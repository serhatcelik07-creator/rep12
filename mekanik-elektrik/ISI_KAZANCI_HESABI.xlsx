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ı Kazancı Hesabı" sheetId="1" state="visible" r:id="rId3"/>
  </sheets>
  <definedNames>
    <definedName function="false" hidden="false" localSheetId="0" name="_xlnm.Print_Titles" vbProcedure="false">'Isı Kazancı Hesabı'!$23:$23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<sst xmlns="http://schemas.openxmlformats.org/spreadsheetml/2006/main" count="288" uniqueCount="175">
  <si>
    <t xml:space="preserve">OFİS VE ÇALIŞMA MAHALLERİ ISI KAZANCI (SOĞUTMA YÜKÜ) HESABI</t>
  </si>
  <si>
    <t xml:space="preserve">TMO MARDİN BAŞMÜDÜRLÜĞÜ HİZMET BİNASI — Mekanik Tesisat — Ön proje, CLTD/CLF basitleştirilmiş yöntem (ASHRAE), mahal bazında pik yük</t>
  </si>
  <si>
    <t xml:space="preserve">TASARIM ŞARTLARI VE KATSAYILAR</t>
  </si>
  <si>
    <t xml:space="preserve">CEPHE YÖNLERİ (kuzey oku planda sağ-alt, ≈ -53°)</t>
  </si>
  <si>
    <t xml:space="preserve">MAHAL TİPİ İÇ YÜKLERİ</t>
  </si>
  <si>
    <t xml:space="preserve">Dış tasarım sıcaklığı (KT) [°C]</t>
  </si>
  <si>
    <t xml:space="preserve">Mardin yaz %0,4 tasarım değeri (≈38,5 °C KT / 20,5 °C YT)</t>
  </si>
  <si>
    <t xml:space="preserve">Plan cephesi</t>
  </si>
  <si>
    <t xml:space="preserve">Yön</t>
  </si>
  <si>
    <t xml:space="preserve">Azimut (°)</t>
  </si>
  <si>
    <t xml:space="preserve">SHGF maks. (W/m²)</t>
  </si>
  <si>
    <t xml:space="preserve">Duvar ΔTeş (K)</t>
  </si>
  <si>
    <t xml:space="preserve">Mahal tipi</t>
  </si>
  <si>
    <t xml:space="preserve">Kişi yoğ. (m²/kişi)</t>
  </si>
  <si>
    <t xml:space="preserve">Sabit kişi</t>
  </si>
  <si>
    <t xml:space="preserve">Duyulur (W/kişi)</t>
  </si>
  <si>
    <t xml:space="preserve">Gizli (W/kişi)</t>
  </si>
  <si>
    <t xml:space="preserve">Cihaz (W/m²)</t>
  </si>
  <si>
    <t xml:space="preserve">İç tasarım sıcaklığı [°C]</t>
  </si>
  <si>
    <t xml:space="preserve">%50 bağıl nem</t>
  </si>
  <si>
    <t xml:space="preserve">Alt (giriş)</t>
  </si>
  <si>
    <t xml:space="preserve">KD</t>
  </si>
  <si>
    <t xml:space="preserve">OFİS</t>
  </si>
  <si>
    <t xml:space="preserve">Cam U değeri [W/m²K]</t>
  </si>
  <si>
    <t xml:space="preserve">Low-e ısıcam</t>
  </si>
  <si>
    <t xml:space="preserve">Üst</t>
  </si>
  <si>
    <t xml:space="preserve">GB</t>
  </si>
  <si>
    <t xml:space="preserve">MAKAM</t>
  </si>
  <si>
    <t xml:space="preserve">Gölgeleme katsayısı SC [-]</t>
  </si>
  <si>
    <t xml:space="preserve">Low-e cam + iç perde/stor</t>
  </si>
  <si>
    <t xml:space="preserve">Sağ</t>
  </si>
  <si>
    <t xml:space="preserve">KB</t>
  </si>
  <si>
    <t xml:space="preserve">SEKRETERYA</t>
  </si>
  <si>
    <t xml:space="preserve">Cam soğutma yükü faktörü CLF [-]</t>
  </si>
  <si>
    <t xml:space="preserve">İç gölgelemeli, orta ağırlıkta yapı, pik saat</t>
  </si>
  <si>
    <t xml:space="preserve">Sol</t>
  </si>
  <si>
    <t xml:space="preserve">GD</t>
  </si>
  <si>
    <t xml:space="preserve">KONFERANS</t>
  </si>
  <si>
    <t xml:space="preserve">Dış duvar U değeri [W/m²K]</t>
  </si>
  <si>
    <t xml:space="preserve">TS 825 2. bölge</t>
  </si>
  <si>
    <t xml:space="preserve">MESCİT</t>
  </si>
  <si>
    <t xml:space="preserve">Çatı arası tavan U değeri [W/m²K]</t>
  </si>
  <si>
    <t xml:space="preserve">Sadece 2. kat mahalleri</t>
  </si>
  <si>
    <t xml:space="preserve">SHGF: 37° K enlemi, Temmuz, saatlik maksimum güneş ısı kazancı faktörü; ΔTeş: orta ağırlıklı duvar CLTD (renk/enlem düzeltmeli).</t>
  </si>
  <si>
    <t xml:space="preserve">YEMEKHANE</t>
  </si>
  <si>
    <t xml:space="preserve">Çatı eşdeğer sıcaklık farkı [K]</t>
  </si>
  <si>
    <t xml:space="preserve">Havalandırmalı kiremit çatı arası</t>
  </si>
  <si>
    <t xml:space="preserve">ÇOCUK</t>
  </si>
  <si>
    <t xml:space="preserve">Kat yüksekliği (cephe) [m]</t>
  </si>
  <si>
    <t xml:space="preserve">Kotlar: +1,20 / +5,20 / +9,20</t>
  </si>
  <si>
    <t xml:space="preserve">MİSAFİRHANE</t>
  </si>
  <si>
    <t xml:space="preserve">Net mahal yüksekliği [m]</t>
  </si>
  <si>
    <t xml:space="preserve">Asma tavan altı</t>
  </si>
  <si>
    <t xml:space="preserve">DİNLENME</t>
  </si>
  <si>
    <t xml:space="preserve">İnfiltrasyon [1/h]</t>
  </si>
  <si>
    <t xml:space="preserve">GÜVENLİK</t>
  </si>
  <si>
    <t xml:space="preserve">Aydınlatma yükü [W/m²]</t>
  </si>
  <si>
    <t xml:space="preserve">LED armatür</t>
  </si>
  <si>
    <t xml:space="preserve">HOL</t>
  </si>
  <si>
    <t xml:space="preserve">Emniyet katsayısı [-]</t>
  </si>
  <si>
    <t xml:space="preserve">LOBİ</t>
  </si>
  <si>
    <t xml:space="preserve">MUTFAK</t>
  </si>
  <si>
    <t xml:space="preserve">BEBEK</t>
  </si>
  <si>
    <t xml:space="preserve">Kat</t>
  </si>
  <si>
    <t xml:space="preserve">Mahal No</t>
  </si>
  <si>
    <t xml:space="preserve">Mahal Adı</t>
  </si>
  <si>
    <t xml:space="preserve">Mahal Tipi</t>
  </si>
  <si>
    <t xml:space="preserve">Alan (m²)</t>
  </si>
  <si>
    <t xml:space="preserve">Kişi Sayısı</t>
  </si>
  <si>
    <t xml:space="preserve">Dış Duvar KD (m)</t>
  </si>
  <si>
    <t xml:space="preserve">Cam KD (m²)</t>
  </si>
  <si>
    <t xml:space="preserve">Dış Duvar GB (m)</t>
  </si>
  <si>
    <t xml:space="preserve">Cam GB (m²)</t>
  </si>
  <si>
    <t xml:space="preserve">Dış Duvar KB (m)</t>
  </si>
  <si>
    <t xml:space="preserve">Cam KB (m²)</t>
  </si>
  <si>
    <t xml:space="preserve">Dış Duvar GD (m)</t>
  </si>
  <si>
    <t xml:space="preserve">Cam GD (m²)</t>
  </si>
  <si>
    <t xml:space="preserve">Çatı Altı (1/0)</t>
  </si>
  <si>
    <t xml:space="preserve">Pencereler</t>
  </si>
  <si>
    <t xml:space="preserve">Q Cam Güneş (W)</t>
  </si>
  <si>
    <t xml:space="preserve">Q Cam İletim (W)</t>
  </si>
  <si>
    <t xml:space="preserve">Q Dış Duvar (W)</t>
  </si>
  <si>
    <t xml:space="preserve">Q Çatı (W)</t>
  </si>
  <si>
    <t xml:space="preserve">Q İnsan Duyulur (W)</t>
  </si>
  <si>
    <t xml:space="preserve">Q Aydınlatma (W)</t>
  </si>
  <si>
    <t xml:space="preserve">Q Cihaz (W)</t>
  </si>
  <si>
    <t xml:space="preserve">Q İnfiltrasyon (W)</t>
  </si>
  <si>
    <t xml:space="preserve">Toplam Duyulur (W)</t>
  </si>
  <si>
    <t xml:space="preserve">Toplam Gizli (W)</t>
  </si>
  <si>
    <t xml:space="preserve">TOPLAM SOĞUTMA YÜKÜ (kW) (emniyetli)</t>
  </si>
  <si>
    <t xml:space="preserve">Birim Yük (W/m²)</t>
  </si>
  <si>
    <t xml:space="preserve">SHR (-)</t>
  </si>
  <si>
    <t xml:space="preserve">ZEMİN KAT</t>
  </si>
  <si>
    <t xml:space="preserve">04</t>
  </si>
  <si>
    <t xml:space="preserve">GÜVENLİK-DANIŞMA</t>
  </si>
  <si>
    <t xml:space="preserve">pencere yok (iç mahal)</t>
  </si>
  <si>
    <t xml:space="preserve">09/A</t>
  </si>
  <si>
    <t xml:space="preserve">KD: AL1 140x350 + AL1 140x350 + AL1 140x350</t>
  </si>
  <si>
    <t xml:space="preserve">28</t>
  </si>
  <si>
    <t xml:space="preserve">DİNLENME ALANI</t>
  </si>
  <si>
    <t xml:space="preserve">KD: AL1 140x350</t>
  </si>
  <si>
    <t xml:space="preserve">24/A</t>
  </si>
  <si>
    <t xml:space="preserve">MİSAFİRHANE-1</t>
  </si>
  <si>
    <t xml:space="preserve">GB: P3 160x320</t>
  </si>
  <si>
    <t xml:space="preserve">25/A</t>
  </si>
  <si>
    <t xml:space="preserve">MİSAFİRHANE-2</t>
  </si>
  <si>
    <t xml:space="preserve">26/A</t>
  </si>
  <si>
    <t xml:space="preserve">MİSAFİRHANE-3</t>
  </si>
  <si>
    <t xml:space="preserve">27/A</t>
  </si>
  <si>
    <t xml:space="preserve">MİSAFİRHANE-4</t>
  </si>
  <si>
    <t xml:space="preserve">KD: AL1 140x350 + AL1 140x350</t>
  </si>
  <si>
    <t xml:space="preserve">02</t>
  </si>
  <si>
    <t xml:space="preserve">KAT HOLÜ</t>
  </si>
  <si>
    <t xml:space="preserve">07</t>
  </si>
  <si>
    <t xml:space="preserve">KD: AL1 140x350 + AL5 140x350</t>
  </si>
  <si>
    <t xml:space="preserve">08</t>
  </si>
  <si>
    <t xml:space="preserve">KD: AL5 140x350</t>
  </si>
  <si>
    <t xml:space="preserve">1. KAT</t>
  </si>
  <si>
    <t xml:space="preserve">13</t>
  </si>
  <si>
    <t xml:space="preserve">GB: P3 160x320 + P3 160x320</t>
  </si>
  <si>
    <t xml:space="preserve">14</t>
  </si>
  <si>
    <t xml:space="preserve">ÇOCUK BAKIM/OYUN</t>
  </si>
  <si>
    <t xml:space="preserve">19</t>
  </si>
  <si>
    <t xml:space="preserve">20</t>
  </si>
  <si>
    <t xml:space="preserve">GB: P3 160x320; KB: P3 160x320</t>
  </si>
  <si>
    <t xml:space="preserve">06</t>
  </si>
  <si>
    <t xml:space="preserve">KD: AL1 140x350; KB: P3 160x320</t>
  </si>
  <si>
    <t xml:space="preserve">09</t>
  </si>
  <si>
    <t xml:space="preserve">10</t>
  </si>
  <si>
    <t xml:space="preserve">KD: AL5 140x350 + AL1 140x350 + AL1 140x350</t>
  </si>
  <si>
    <t xml:space="preserve">11</t>
  </si>
  <si>
    <t xml:space="preserve">KD: AL1 140x350 + AL1 140x350; GD: P3 160x320</t>
  </si>
  <si>
    <t xml:space="preserve">2. KAT</t>
  </si>
  <si>
    <t xml:space="preserve">15</t>
  </si>
  <si>
    <t xml:space="preserve">MÜDÜR YARD. ODASI</t>
  </si>
  <si>
    <t xml:space="preserve">16</t>
  </si>
  <si>
    <t xml:space="preserve">HUKUK SERVİSİ</t>
  </si>
  <si>
    <t xml:space="preserve">17</t>
  </si>
  <si>
    <t xml:space="preserve">BAŞ MÜŞAVİR ODASI</t>
  </si>
  <si>
    <t xml:space="preserve">24/B</t>
  </si>
  <si>
    <t xml:space="preserve">KADIN MESCİT</t>
  </si>
  <si>
    <t xml:space="preserve">25/B</t>
  </si>
  <si>
    <t xml:space="preserve">ERKEK MESCİT</t>
  </si>
  <si>
    <t xml:space="preserve">KB: P3 160x320</t>
  </si>
  <si>
    <t xml:space="preserve">KONFERANS SALONU</t>
  </si>
  <si>
    <t xml:space="preserve">KD: P3 100x250 + P3 100x250</t>
  </si>
  <si>
    <t xml:space="preserve">12</t>
  </si>
  <si>
    <t xml:space="preserve">BAŞ MÜDÜR ODASI</t>
  </si>
  <si>
    <t xml:space="preserve">KD: AL1 140x350; GD: P3 160x320</t>
  </si>
  <si>
    <t xml:space="preserve">BEBEK BAKIM</t>
  </si>
  <si>
    <t xml:space="preserve">TOPLAM</t>
  </si>
  <si>
    <t xml:space="preserve">Yöntem: Q güneş = A·SHGF·SC·CLF ; Q iletim = U·A·ΔT ; Q duvar = U·A_net·ΔTeş ; Q insan = n·(qd+qg) ; Q infiltrasyon = 0,335·n·V·ΔT. Toplam = (duyulur + gizli) × emniyet.</t>
  </si>
  <si>
    <t xml:space="preserve">Mardin yaz havası kurudur (dış ≈ 8 g/kg &lt; iç 24 °C %50 ≈ 9,3 g/kg); infiltrasyon gizli yükü ihmal edilmiştir.</t>
  </si>
  <si>
    <t xml:space="preserve">Dış duvar boyları ve pencere alanları TEMİZ_1.dxf planından (mahal sınırı, P3 160x320, AL1/AL5 140 genişlik şerit pencere — kat başına 3,50 m etkin cam yüksekliği) alınmıştır.</t>
  </si>
  <si>
    <t xml:space="preserve">Yük mahal bazında pik (eş zamansız) değerdir; dış ünite seçiminde iç ünite toplamı / dış ünite kombinasyon oranı %100-%115 alınmıştır.</t>
  </si>
  <si>
    <t xml:space="preserve">Mavi hücreler girdi olup değiştirildiğinde tüm yükler ve "VRF İç Üniteler" sayfasındaki kapasite kontrolü yeniden hesaplanır.</t>
  </si>
  <si>
    <t xml:space="preserve">TEKNİK HACİMLER - MULTİ SPLİT SOĞUTMA YÜKÜ (Z-10 Server + Z-11 Elektrik Ana Pano Odası; 1 asıl + 1 yedek dış ünite)</t>
  </si>
  <si>
    <t xml:space="preserve">Ünite Kodu</t>
  </si>
  <si>
    <t xml:space="preserve">Mahal</t>
  </si>
  <si>
    <t xml:space="preserve">İç Isı Yükü (W)</t>
  </si>
  <si>
    <t xml:space="preserve">Açıklama</t>
  </si>
  <si>
    <t xml:space="preserve">Aydınlatma (W)</t>
  </si>
  <si>
    <t xml:space="preserve">Zarf + İnfiltrasyon (W/m²)</t>
  </si>
  <si>
    <t xml:space="preserve">Zarf + İnfiltrasyon (W)</t>
  </si>
  <si>
    <t xml:space="preserve">TOPLAM YÜK (kW) (emniyetli)</t>
  </si>
  <si>
    <t xml:space="preserve">İç Ünite Kap. (kW)</t>
  </si>
  <si>
    <t xml:space="preserve">Kontrol</t>
  </si>
  <si>
    <t xml:space="preserve">MS-1/1</t>
  </si>
  <si>
    <t xml:space="preserve">Z-10 SERVER ODASI</t>
  </si>
  <si>
    <t xml:space="preserve">Server/network kabini ısı yükü (1 kabin, ön değer)</t>
  </si>
  <si>
    <t xml:space="preserve">MS-1/2</t>
  </si>
  <si>
    <t xml:space="preserve">Z-11 ELK.ANA PANO O.</t>
  </si>
  <si>
    <t xml:space="preserve">Ana dağıtım panosu + kompanzasyon + UPS kayıpları (ön değer)</t>
  </si>
  <si>
    <t xml:space="preserve">MULTİ SPLİT DIŞ ÜNİTE (her biri: asıl / yedek)</t>
  </si>
  <si>
    <t xml:space="preserve">Varsayım: iç ısı yükleri ön değerdir (server kabin ve pano kayıpları satın alınacak ekipmana göre güncellenmelidir). Zarf + infiltrasyon 30 W/m² alınmıştır. Dış ünite, iki iç ünite kapasite toplamının en az %90'ını karşılamalıdır. 7/24 çalışma için kış soğutma (low ambient) kiti gereklidir.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</si>
</sst>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71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pane xSplit="3" ySplit="0" topLeftCell="D24" activePane="topRight" state="frozen"/>
      <selection pane="topLeft" activeCell="A24" activeCellId="0" sqref="A24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14" min="7" style="1" width="8"/>
    <col collapsed="false" customWidth="true" hidden="false" outlineLevel="0" max="15" min="15" style="1" width="7"/>
    <col collapsed="false" customWidth="true" hidden="false" outlineLevel="0" max="16" min="16" style="1" width="34"/>
    <col collapsed="false" customWidth="true" hidden="false" outlineLevel="0" max="19" min="17" style="1" width="9"/>
    <col collapsed="false" customWidth="true" hidden="false" outlineLevel="0" max="20" min="20" style="1" width="8"/>
    <col collapsed="false" customWidth="true" hidden="false" outlineLevel="0" max="22" min="21" style="1" width="9"/>
    <col collapsed="false" customWidth="true" hidden="false" outlineLevel="0" max="23" min="23" style="1" width="8"/>
    <col collapsed="false" customWidth="true" hidden="false" outlineLevel="0" max="24" min="24" style="1" width="9"/>
    <col collapsed="false" customWidth="true" hidden="false" outlineLevel="0" max="25" min="25" style="1" width="10"/>
    <col collapsed="false" customWidth="true" hidden="false" outlineLevel="0" max="26" min="26" style="1" width="9"/>
    <col collapsed="false" customWidth="true" hidden="false" outlineLevel="0" max="27" min="27" style="1" width="13"/>
    <col collapsed="false" customWidth="true" hidden="false" outlineLevel="0" max="28" min="28" style="1" width="9"/>
    <col collapsed="false" customWidth="true" hidden="false" outlineLevel="0" max="29" min="29" style="1" width="7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4" customFormat="false" ht="15" hidden="false" customHeight="true" outlineLevel="0" collapsed="false">
      <c r="A4" s="4" t="s">
        <v>2</v>
      </c>
      <c r="H4" s="4" t="s">
        <v>3</v>
      </c>
      <c r="O4" s="4" t="s">
        <v>4</v>
      </c>
    </row>
    <row r="5" customFormat="false" ht="32.25" hidden="false" customHeight="true" outlineLevel="0" collapsed="false">
      <c r="A5" s="5" t="s">
        <v>5</v>
      </c>
      <c r="B5" s="5"/>
      <c r="C5" s="5"/>
      <c r="D5" s="6" t="n">
        <v>38.5</v>
      </c>
      <c r="E5" s="7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O5" s="8" t="s">
        <v>12</v>
      </c>
      <c r="P5" s="8" t="s">
        <v>13</v>
      </c>
      <c r="Q5" s="8" t="s">
        <v>14</v>
      </c>
      <c r="R5" s="8" t="s">
        <v>15</v>
      </c>
      <c r="S5" s="8" t="s">
        <v>16</v>
      </c>
      <c r="T5" s="8" t="s">
        <v>17</v>
      </c>
    </row>
    <row r="6" customFormat="false" ht="15" hidden="false" customHeight="true" outlineLevel="0" collapsed="false">
      <c r="A6" s="5" t="s">
        <v>18</v>
      </c>
      <c r="B6" s="5"/>
      <c r="C6" s="5"/>
      <c r="D6" s="6" t="n">
        <v>24</v>
      </c>
      <c r="E6" s="7" t="s">
        <v>19</v>
      </c>
      <c r="H6" s="9" t="s">
        <v>20</v>
      </c>
      <c r="I6" s="9" t="s">
        <v>21</v>
      </c>
      <c r="J6" s="10" t="n">
        <v>37</v>
      </c>
      <c r="K6" s="10" t="n">
        <v>470</v>
      </c>
      <c r="L6" s="10" t="n">
        <v>10</v>
      </c>
      <c r="O6" s="9" t="s">
        <v>22</v>
      </c>
      <c r="P6" s="10" t="n">
        <v>10</v>
      </c>
      <c r="Q6" s="10"/>
      <c r="R6" s="10" t="n">
        <v>75</v>
      </c>
      <c r="S6" s="10" t="n">
        <v>55</v>
      </c>
      <c r="T6" s="10" t="n">
        <v>15</v>
      </c>
    </row>
    <row r="7" customFormat="false" ht="15" hidden="false" customHeight="true" outlineLevel="0" collapsed="false">
      <c r="A7" s="5" t="s">
        <v>23</v>
      </c>
      <c r="B7" s="5"/>
      <c r="C7" s="5"/>
      <c r="D7" s="6" t="n">
        <v>1.8</v>
      </c>
      <c r="E7" s="7" t="s">
        <v>24</v>
      </c>
      <c r="H7" s="9" t="s">
        <v>25</v>
      </c>
      <c r="I7" s="9" t="s">
        <v>26</v>
      </c>
      <c r="J7" s="10" t="n">
        <v>217</v>
      </c>
      <c r="K7" s="10" t="n">
        <v>500</v>
      </c>
      <c r="L7" s="10" t="n">
        <v>17</v>
      </c>
      <c r="O7" s="9" t="s">
        <v>27</v>
      </c>
      <c r="P7" s="10"/>
      <c r="Q7" s="10" t="n">
        <v>6</v>
      </c>
      <c r="R7" s="10" t="n">
        <v>75</v>
      </c>
      <c r="S7" s="10" t="n">
        <v>55</v>
      </c>
      <c r="T7" s="10" t="n">
        <v>15</v>
      </c>
    </row>
    <row r="8" customFormat="false" ht="21.75" hidden="false" customHeight="true" outlineLevel="0" collapsed="false">
      <c r="A8" s="5" t="s">
        <v>28</v>
      </c>
      <c r="B8" s="5"/>
      <c r="C8" s="5"/>
      <c r="D8" s="6" t="n">
        <v>0.55</v>
      </c>
      <c r="E8" s="7" t="s">
        <v>29</v>
      </c>
      <c r="H8" s="9" t="s">
        <v>30</v>
      </c>
      <c r="I8" s="9" t="s">
        <v>31</v>
      </c>
      <c r="J8" s="10" t="n">
        <v>307</v>
      </c>
      <c r="K8" s="10" t="n">
        <v>520</v>
      </c>
      <c r="L8" s="10" t="n">
        <v>15</v>
      </c>
      <c r="O8" s="9" t="s">
        <v>32</v>
      </c>
      <c r="P8" s="10"/>
      <c r="Q8" s="10" t="n">
        <v>3</v>
      </c>
      <c r="R8" s="10" t="n">
        <v>75</v>
      </c>
      <c r="S8" s="10" t="n">
        <v>55</v>
      </c>
      <c r="T8" s="10" t="n">
        <v>20</v>
      </c>
    </row>
    <row r="9" customFormat="false" ht="21.75" hidden="false" customHeight="true" outlineLevel="0" collapsed="false">
      <c r="A9" s="5" t="s">
        <v>33</v>
      </c>
      <c r="B9" s="5"/>
      <c r="C9" s="5"/>
      <c r="D9" s="6" t="n">
        <v>0.7</v>
      </c>
      <c r="E9" s="7" t="s">
        <v>34</v>
      </c>
      <c r="H9" s="9" t="s">
        <v>35</v>
      </c>
      <c r="I9" s="9" t="s">
        <v>36</v>
      </c>
      <c r="J9" s="10" t="n">
        <v>127</v>
      </c>
      <c r="K9" s="10" t="n">
        <v>500</v>
      </c>
      <c r="L9" s="10" t="n">
        <v>13</v>
      </c>
      <c r="O9" s="9" t="s">
        <v>37</v>
      </c>
      <c r="P9" s="10" t="n">
        <v>2</v>
      </c>
      <c r="Q9" s="10"/>
      <c r="R9" s="10" t="n">
        <v>70</v>
      </c>
      <c r="S9" s="10" t="n">
        <v>45</v>
      </c>
      <c r="T9" s="10" t="n">
        <v>8</v>
      </c>
    </row>
    <row r="10" customFormat="false" ht="15" hidden="false" customHeight="true" outlineLevel="0" collapsed="false">
      <c r="A10" s="5" t="s">
        <v>38</v>
      </c>
      <c r="B10" s="5"/>
      <c r="C10" s="5"/>
      <c r="D10" s="6" t="n">
        <v>0.5</v>
      </c>
      <c r="E10" s="7" t="s">
        <v>39</v>
      </c>
      <c r="O10" s="9" t="s">
        <v>40</v>
      </c>
      <c r="P10" s="10" t="n">
        <v>1.5</v>
      </c>
      <c r="Q10" s="10"/>
      <c r="R10" s="10" t="n">
        <v>75</v>
      </c>
      <c r="S10" s="10" t="n">
        <v>55</v>
      </c>
      <c r="T10" s="10" t="n">
        <v>0</v>
      </c>
    </row>
    <row r="11" customFormat="false" ht="21.75" hidden="false" customHeight="true" outlineLevel="0" collapsed="false">
      <c r="A11" s="5" t="s">
        <v>41</v>
      </c>
      <c r="B11" s="5"/>
      <c r="C11" s="5"/>
      <c r="D11" s="6" t="n">
        <v>0.4</v>
      </c>
      <c r="E11" s="7" t="s">
        <v>42</v>
      </c>
      <c r="H11" s="7" t="s">
        <v>43</v>
      </c>
      <c r="O11" s="9" t="s">
        <v>44</v>
      </c>
      <c r="P11" s="10" t="n">
        <v>1.5</v>
      </c>
      <c r="Q11" s="10"/>
      <c r="R11" s="10" t="n">
        <v>80</v>
      </c>
      <c r="S11" s="10" t="n">
        <v>80</v>
      </c>
      <c r="T11" s="10" t="n">
        <v>5</v>
      </c>
    </row>
    <row r="12" customFormat="false" ht="15" hidden="false" customHeight="true" outlineLevel="0" collapsed="false">
      <c r="A12" s="5" t="s">
        <v>45</v>
      </c>
      <c r="B12" s="5"/>
      <c r="C12" s="5"/>
      <c r="D12" s="6" t="n">
        <v>22</v>
      </c>
      <c r="E12" s="7" t="s">
        <v>46</v>
      </c>
      <c r="O12" s="9" t="s">
        <v>47</v>
      </c>
      <c r="P12" s="10" t="n">
        <v>4</v>
      </c>
      <c r="Q12" s="10"/>
      <c r="R12" s="10" t="n">
        <v>65</v>
      </c>
      <c r="S12" s="10" t="n">
        <v>45</v>
      </c>
      <c r="T12" s="10" t="n">
        <v>8</v>
      </c>
    </row>
    <row r="13" customFormat="false" ht="21.75" hidden="false" customHeight="true" outlineLevel="0" collapsed="false">
      <c r="A13" s="5" t="s">
        <v>48</v>
      </c>
      <c r="B13" s="5"/>
      <c r="C13" s="5"/>
      <c r="D13" s="6" t="n">
        <v>4</v>
      </c>
      <c r="E13" s="7" t="s">
        <v>49</v>
      </c>
      <c r="O13" s="9" t="s">
        <v>50</v>
      </c>
      <c r="P13" s="10"/>
      <c r="Q13" s="10" t="n">
        <v>2</v>
      </c>
      <c r="R13" s="10" t="n">
        <v>70</v>
      </c>
      <c r="S13" s="10" t="n">
        <v>45</v>
      </c>
      <c r="T13" s="10" t="n">
        <v>6</v>
      </c>
    </row>
    <row r="14" customFormat="false" ht="21.75" hidden="false" customHeight="true" outlineLevel="0" collapsed="false">
      <c r="A14" s="5" t="s">
        <v>51</v>
      </c>
      <c r="B14" s="5"/>
      <c r="C14" s="5"/>
      <c r="D14" s="6" t="n">
        <v>3</v>
      </c>
      <c r="E14" s="7" t="s">
        <v>52</v>
      </c>
      <c r="O14" s="9" t="s">
        <v>53</v>
      </c>
      <c r="P14" s="10" t="n">
        <v>3</v>
      </c>
      <c r="Q14" s="10"/>
      <c r="R14" s="10" t="n">
        <v>70</v>
      </c>
      <c r="S14" s="10" t="n">
        <v>45</v>
      </c>
      <c r="T14" s="10" t="n">
        <v>8</v>
      </c>
    </row>
    <row r="15" customFormat="false" ht="21.75" hidden="false" customHeight="true" outlineLevel="0" collapsed="false">
      <c r="A15" s="5" t="s">
        <v>54</v>
      </c>
      <c r="B15" s="5"/>
      <c r="C15" s="5"/>
      <c r="D15" s="6" t="n">
        <v>0.5</v>
      </c>
      <c r="E15" s="7"/>
      <c r="O15" s="9" t="s">
        <v>55</v>
      </c>
      <c r="P15" s="10"/>
      <c r="Q15" s="10" t="n">
        <v>2</v>
      </c>
      <c r="R15" s="10" t="n">
        <v>75</v>
      </c>
      <c r="S15" s="10" t="n">
        <v>55</v>
      </c>
      <c r="T15" s="10" t="n">
        <v>25</v>
      </c>
    </row>
    <row r="16" customFormat="false" ht="15" hidden="false" customHeight="true" outlineLevel="0" collapsed="false">
      <c r="A16" s="5" t="s">
        <v>56</v>
      </c>
      <c r="B16" s="5"/>
      <c r="C16" s="5"/>
      <c r="D16" s="6" t="n">
        <v>10</v>
      </c>
      <c r="E16" s="7" t="s">
        <v>57</v>
      </c>
      <c r="O16" s="9" t="s">
        <v>58</v>
      </c>
      <c r="P16" s="10" t="n">
        <v>10</v>
      </c>
      <c r="Q16" s="10"/>
      <c r="R16" s="10" t="n">
        <v>75</v>
      </c>
      <c r="S16" s="10" t="n">
        <v>55</v>
      </c>
      <c r="T16" s="10" t="n">
        <v>0</v>
      </c>
    </row>
    <row r="17" customFormat="false" ht="15" hidden="false" customHeight="true" outlineLevel="0" collapsed="false">
      <c r="A17" s="5" t="s">
        <v>59</v>
      </c>
      <c r="B17" s="5"/>
      <c r="C17" s="5"/>
      <c r="D17" s="6" t="n">
        <v>1.1</v>
      </c>
      <c r="E17" s="7"/>
      <c r="O17" s="9" t="s">
        <v>60</v>
      </c>
      <c r="P17" s="10" t="n">
        <v>5</v>
      </c>
      <c r="Q17" s="10"/>
      <c r="R17" s="10" t="n">
        <v>75</v>
      </c>
      <c r="S17" s="10" t="n">
        <v>55</v>
      </c>
      <c r="T17" s="10" t="n">
        <v>5</v>
      </c>
    </row>
    <row r="18" customFormat="false" ht="21.75" hidden="false" customHeight="true" outlineLevel="0" collapsed="false">
      <c r="O18" s="9" t="s">
        <v>61</v>
      </c>
      <c r="P18" s="10"/>
      <c r="Q18" s="10" t="n">
        <v>2</v>
      </c>
      <c r="R18" s="10" t="n">
        <v>80</v>
      </c>
      <c r="S18" s="10" t="n">
        <v>80</v>
      </c>
      <c r="T18" s="10" t="n">
        <v>100</v>
      </c>
    </row>
    <row r="19" customFormat="false" ht="15" hidden="false" customHeight="true" outlineLevel="0" collapsed="false">
      <c r="O19" s="9" t="s">
        <v>62</v>
      </c>
      <c r="P19" s="10"/>
      <c r="Q19" s="10" t="n">
        <v>3</v>
      </c>
      <c r="R19" s="10" t="n">
        <v>70</v>
      </c>
      <c r="S19" s="10" t="n">
        <v>45</v>
      </c>
      <c r="T19" s="10" t="n">
        <v>10</v>
      </c>
    </row>
    <row r="23" customFormat="false" ht="36" hidden="false" customHeight="true" outlineLevel="0" collapsed="false">
      <c r="A23" s="8" t="s">
        <v>63</v>
      </c>
      <c r="B23" s="8" t="s">
        <v>64</v>
      </c>
      <c r="C23" s="8" t="s">
        <v>65</v>
      </c>
      <c r="D23" s="8" t="s">
        <v>66</v>
      </c>
      <c r="E23" s="8" t="s">
        <v>67</v>
      </c>
      <c r="F23" s="8" t="s">
        <v>68</v>
      </c>
      <c r="G23" s="8" t="s">
        <v>69</v>
      </c>
      <c r="H23" s="8" t="s">
        <v>70</v>
      </c>
      <c r="I23" s="8" t="s">
        <v>71</v>
      </c>
      <c r="J23" s="8" t="s">
        <v>72</v>
      </c>
      <c r="K23" s="8" t="s">
        <v>73</v>
      </c>
      <c r="L23" s="8" t="s">
        <v>74</v>
      </c>
      <c r="M23" s="8" t="s">
        <v>75</v>
      </c>
      <c r="N23" s="8" t="s">
        <v>76</v>
      </c>
      <c r="O23" s="8" t="s">
        <v>77</v>
      </c>
      <c r="P23" s="8" t="s">
        <v>78</v>
      </c>
      <c r="Q23" s="8" t="s">
        <v>79</v>
      </c>
      <c r="R23" s="8" t="s">
        <v>80</v>
      </c>
      <c r="S23" s="8" t="s">
        <v>81</v>
      </c>
      <c r="T23" s="8" t="s">
        <v>82</v>
      </c>
      <c r="U23" s="8" t="s">
        <v>83</v>
      </c>
      <c r="V23" s="8" t="s">
        <v>84</v>
      </c>
      <c r="W23" s="8" t="s">
        <v>85</v>
      </c>
      <c r="X23" s="8" t="s">
        <v>86</v>
      </c>
      <c r="Y23" s="8" t="s">
        <v>87</v>
      </c>
      <c r="Z23" s="8" t="s">
        <v>88</v>
      </c>
      <c r="AA23" s="8" t="s">
        <v>89</v>
      </c>
      <c r="AB23" s="8" t="s">
        <v>90</v>
      </c>
      <c r="AC23" s="8" t="s">
        <v>91</v>
      </c>
    </row>
    <row r="24" customFormat="false" ht="15" hidden="false" customHeight="true" outlineLevel="0" collapsed="false">
      <c r="A24" s="11" t="s">
        <v>92</v>
      </c>
      <c r="B24" s="11" t="s">
        <v>93</v>
      </c>
      <c r="C24" s="11" t="s">
        <v>94</v>
      </c>
      <c r="D24" s="11" t="s">
        <v>55</v>
      </c>
      <c r="E24" s="10" t="n">
        <v>8.35</v>
      </c>
      <c r="F24" s="10" t="n">
        <v>2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1" t="s">
        <v>95</v>
      </c>
      <c r="Q24" s="12" t="n">
        <f aca="false">(H24*$K$6+J24*$K$7+L24*$K$8+N24*$K$9)*$D$8*$D$9</f>
        <v>0</v>
      </c>
      <c r="R24" s="12" t="n">
        <f aca="false">(H24+J24+L24+N24)*$D$7*($D$5-$D$6)</f>
        <v>0</v>
      </c>
      <c r="S24" s="12" t="n">
        <f aca="false">(MAX(G24*$D$13-H24,0)*$L$6+MAX(I24*$D$13-J24,0)*$L$7+MAX(K24*$D$13-L24,0)*$L$8+MAX(M24*$D$13-N24,0)*$L$9)*$D$10</f>
        <v>0</v>
      </c>
      <c r="T24" s="12" t="n">
        <f aca="false">O24*E24*$D$11*$D$12</f>
        <v>0</v>
      </c>
      <c r="U24" s="12" t="n">
        <f aca="false">F24*INDEX($R$6:$R$19,MATCH($D24,$O$6:$O$19,0))</f>
        <v>150</v>
      </c>
      <c r="V24" s="12" t="n">
        <f aca="false">E24*$D$16</f>
        <v>83.5</v>
      </c>
      <c r="W24" s="12" t="n">
        <f aca="false">E24*INDEX($T$6:$T$19,MATCH($D24,$O$6:$O$19,0))</f>
        <v>208.75</v>
      </c>
      <c r="X24" s="12" t="n">
        <f aca="false">0.335*$D$15*E24*$D$14*($D$5-$D$6)</f>
        <v>60.8401875</v>
      </c>
      <c r="Y24" s="12" t="n">
        <f aca="false">SUM(Q24:X24)</f>
        <v>503.0901875</v>
      </c>
      <c r="Z24" s="12" t="n">
        <f aca="false">F24*INDEX($S$6:$S$19,MATCH($D24,$O$6:$O$19,0))</f>
        <v>110</v>
      </c>
      <c r="AA24" s="13" t="n">
        <f aca="false">(Y24+Z24)*$D$17/1000</f>
        <v>0.67439920625</v>
      </c>
      <c r="AB24" s="14" t="n">
        <f aca="false">AA24*1000/E24</f>
        <v>80.766372005988</v>
      </c>
      <c r="AC24" s="15" t="n">
        <f aca="false">Y24/(Y24+Z24)</f>
        <v>0.820581046242891</v>
      </c>
    </row>
    <row r="25" customFormat="false" ht="21.75" hidden="false" customHeight="true" outlineLevel="0" collapsed="false">
      <c r="A25" s="11" t="s">
        <v>92</v>
      </c>
      <c r="B25" s="11" t="s">
        <v>96</v>
      </c>
      <c r="C25" s="11" t="s">
        <v>44</v>
      </c>
      <c r="D25" s="11" t="s">
        <v>44</v>
      </c>
      <c r="E25" s="10" t="n">
        <v>42.5</v>
      </c>
      <c r="F25" s="10" t="n">
        <v>29</v>
      </c>
      <c r="G25" s="10" t="n">
        <v>6.6</v>
      </c>
      <c r="H25" s="10" t="n">
        <v>14.7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1" t="s">
        <v>97</v>
      </c>
      <c r="Q25" s="12" t="n">
        <f aca="false">(H25*$K$6+J25*$K$7+L25*$K$8+N25*$K$9)*$D$8*$D$9</f>
        <v>2659.965</v>
      </c>
      <c r="R25" s="12" t="n">
        <f aca="false">(H25+J25+L25+N25)*$D$7*($D$5-$D$6)</f>
        <v>383.67</v>
      </c>
      <c r="S25" s="12" t="n">
        <f aca="false">(MAX(G25*$D$13-H25,0)*$L$6+MAX(I25*$D$13-J25,0)*$L$7+MAX(K25*$D$13-L25,0)*$L$8+MAX(M25*$D$13-N25,0)*$L$9)*$D$10</f>
        <v>58.5</v>
      </c>
      <c r="T25" s="12" t="n">
        <f aca="false">O25*E25*$D$11*$D$12</f>
        <v>0</v>
      </c>
      <c r="U25" s="12" t="n">
        <f aca="false">F25*INDEX($R$6:$R$19,MATCH($D25,$O$6:$O$19,0))</f>
        <v>2320</v>
      </c>
      <c r="V25" s="12" t="n">
        <f aca="false">E25*$D$16</f>
        <v>425</v>
      </c>
      <c r="W25" s="12" t="n">
        <f aca="false">E25*INDEX($T$6:$T$19,MATCH($D25,$O$6:$O$19,0))</f>
        <v>212.5</v>
      </c>
      <c r="X25" s="12" t="n">
        <f aca="false">0.335*$D$15*E25*$D$14*($D$5-$D$6)</f>
        <v>309.665625</v>
      </c>
      <c r="Y25" s="12" t="n">
        <f aca="false">SUM(Q25:X25)</f>
        <v>6369.300625</v>
      </c>
      <c r="Z25" s="12" t="n">
        <f aca="false">F25*INDEX($S$6:$S$19,MATCH($D25,$O$6:$O$19,0))</f>
        <v>2320</v>
      </c>
      <c r="AA25" s="13" t="n">
        <f aca="false">(Y25+Z25)*$D$17/1000</f>
        <v>9.5582306875</v>
      </c>
      <c r="AB25" s="14" t="n">
        <f aca="false">AA25*1000/E25</f>
        <v>224.899545588235</v>
      </c>
      <c r="AC25" s="15" t="n">
        <f aca="false">Y25/(Y25+Z25)</f>
        <v>0.733004979327666</v>
      </c>
    </row>
    <row r="26" customFormat="false" ht="15" hidden="false" customHeight="true" outlineLevel="0" collapsed="false">
      <c r="A26" s="11" t="s">
        <v>92</v>
      </c>
      <c r="B26" s="11" t="s">
        <v>98</v>
      </c>
      <c r="C26" s="11" t="s">
        <v>99</v>
      </c>
      <c r="D26" s="11" t="s">
        <v>53</v>
      </c>
      <c r="E26" s="10" t="n">
        <v>19.7</v>
      </c>
      <c r="F26" s="10" t="n">
        <v>7</v>
      </c>
      <c r="G26" s="10" t="n">
        <v>2.75</v>
      </c>
      <c r="H26" s="10" t="n">
        <v>4.9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1" t="s">
        <v>100</v>
      </c>
      <c r="Q26" s="12" t="n">
        <f aca="false">(H26*$K$6+J26*$K$7+L26*$K$8+N26*$K$9)*$D$8*$D$9</f>
        <v>886.655</v>
      </c>
      <c r="R26" s="12" t="n">
        <f aca="false">(H26+J26+L26+N26)*$D$7*($D$5-$D$6)</f>
        <v>127.89</v>
      </c>
      <c r="S26" s="12" t="n">
        <f aca="false">(MAX(G26*$D$13-H26,0)*$L$6+MAX(I26*$D$13-J26,0)*$L$7+MAX(K26*$D$13-L26,0)*$L$8+MAX(M26*$D$13-N26,0)*$L$9)*$D$10</f>
        <v>30.5</v>
      </c>
      <c r="T26" s="12" t="n">
        <f aca="false">O26*E26*$D$11*$D$12</f>
        <v>0</v>
      </c>
      <c r="U26" s="12" t="n">
        <f aca="false">F26*INDEX($R$6:$R$19,MATCH($D26,$O$6:$O$19,0))</f>
        <v>490</v>
      </c>
      <c r="V26" s="12" t="n">
        <f aca="false">E26*$D$16</f>
        <v>197</v>
      </c>
      <c r="W26" s="12" t="n">
        <f aca="false">E26*INDEX($T$6:$T$19,MATCH($D26,$O$6:$O$19,0))</f>
        <v>157.6</v>
      </c>
      <c r="X26" s="12" t="n">
        <f aca="false">0.335*$D$15*E26*$D$14*($D$5-$D$6)</f>
        <v>143.539125</v>
      </c>
      <c r="Y26" s="12" t="n">
        <f aca="false">SUM(Q26:X26)</f>
        <v>2033.184125</v>
      </c>
      <c r="Z26" s="12" t="n">
        <f aca="false">F26*INDEX($S$6:$S$19,MATCH($D26,$O$6:$O$19,0))</f>
        <v>315</v>
      </c>
      <c r="AA26" s="13" t="n">
        <f aca="false">(Y26+Z26)*$D$17/1000</f>
        <v>2.5830025375</v>
      </c>
      <c r="AB26" s="14" t="n">
        <f aca="false">AA26*1000/E26</f>
        <v>131.116880076142</v>
      </c>
      <c r="AC26" s="15" t="n">
        <f aca="false">Y26/(Y26+Z26)</f>
        <v>0.865853790319786</v>
      </c>
    </row>
    <row r="27" customFormat="false" ht="15" hidden="false" customHeight="true" outlineLevel="0" collapsed="false">
      <c r="A27" s="11" t="s">
        <v>92</v>
      </c>
      <c r="B27" s="11" t="s">
        <v>101</v>
      </c>
      <c r="C27" s="11" t="s">
        <v>102</v>
      </c>
      <c r="D27" s="11" t="s">
        <v>50</v>
      </c>
      <c r="E27" s="10" t="n">
        <v>17.66</v>
      </c>
      <c r="F27" s="10" t="n">
        <v>2</v>
      </c>
      <c r="G27" s="10" t="n">
        <v>0</v>
      </c>
      <c r="H27" s="10" t="n">
        <v>0</v>
      </c>
      <c r="I27" s="10" t="n">
        <v>3.55</v>
      </c>
      <c r="J27" s="10" t="n">
        <v>5.12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1" t="s">
        <v>103</v>
      </c>
      <c r="Q27" s="12" t="n">
        <f aca="false">(H27*$K$6+J27*$K$7+L27*$K$8+N27*$K$9)*$D$8*$D$9</f>
        <v>985.6</v>
      </c>
      <c r="R27" s="12" t="n">
        <f aca="false">(H27+J27+L27+N27)*$D$7*($D$5-$D$6)</f>
        <v>133.632</v>
      </c>
      <c r="S27" s="12" t="n">
        <f aca="false">(MAX(G27*$D$13-H27,0)*$L$6+MAX(I27*$D$13-J27,0)*$L$7+MAX(K27*$D$13-L27,0)*$L$8+MAX(M27*$D$13-N27,0)*$L$9)*$D$10</f>
        <v>77.18</v>
      </c>
      <c r="T27" s="12" t="n">
        <f aca="false">O27*E27*$D$11*$D$12</f>
        <v>0</v>
      </c>
      <c r="U27" s="12" t="n">
        <f aca="false">F27*INDEX($R$6:$R$19,MATCH($D27,$O$6:$O$19,0))</f>
        <v>140</v>
      </c>
      <c r="V27" s="12" t="n">
        <f aca="false">E27*$D$16</f>
        <v>176.6</v>
      </c>
      <c r="W27" s="12" t="n">
        <f aca="false">E27*INDEX($T$6:$T$19,MATCH($D27,$O$6:$O$19,0))</f>
        <v>105.96</v>
      </c>
      <c r="X27" s="12" t="n">
        <f aca="false">0.335*$D$15*E27*$D$14*($D$5-$D$6)</f>
        <v>128.675175</v>
      </c>
      <c r="Y27" s="12" t="n">
        <f aca="false">SUM(Q27:X27)</f>
        <v>1747.647175</v>
      </c>
      <c r="Z27" s="12" t="n">
        <f aca="false">F27*INDEX($S$6:$S$19,MATCH($D27,$O$6:$O$19,0))</f>
        <v>90</v>
      </c>
      <c r="AA27" s="13" t="n">
        <f aca="false">(Y27+Z27)*$D$17/1000</f>
        <v>2.0214118925</v>
      </c>
      <c r="AB27" s="14" t="n">
        <f aca="false">AA27*1000/E27</f>
        <v>114.462734569649</v>
      </c>
      <c r="AC27" s="15" t="n">
        <f aca="false">Y27/(Y27+Z27)</f>
        <v>0.951024330881144</v>
      </c>
    </row>
    <row r="28" customFormat="false" ht="15" hidden="false" customHeight="true" outlineLevel="0" collapsed="false">
      <c r="A28" s="11" t="s">
        <v>92</v>
      </c>
      <c r="B28" s="11" t="s">
        <v>104</v>
      </c>
      <c r="C28" s="11" t="s">
        <v>105</v>
      </c>
      <c r="D28" s="11" t="s">
        <v>50</v>
      </c>
      <c r="E28" s="10" t="n">
        <v>22.15</v>
      </c>
      <c r="F28" s="10" t="n">
        <v>2</v>
      </c>
      <c r="G28" s="10" t="n">
        <v>0</v>
      </c>
      <c r="H28" s="10" t="n">
        <v>0</v>
      </c>
      <c r="I28" s="10" t="n">
        <v>3.65</v>
      </c>
      <c r="J28" s="10" t="n">
        <v>5.12</v>
      </c>
      <c r="K28" s="10" t="n">
        <v>3.22</v>
      </c>
      <c r="L28" s="10" t="n">
        <v>0</v>
      </c>
      <c r="M28" s="10" t="n">
        <v>0</v>
      </c>
      <c r="N28" s="10" t="n">
        <v>0</v>
      </c>
      <c r="O28" s="10" t="n">
        <v>0</v>
      </c>
      <c r="P28" s="11" t="s">
        <v>103</v>
      </c>
      <c r="Q28" s="12" t="n">
        <f aca="false">(H28*$K$6+J28*$K$7+L28*$K$8+N28*$K$9)*$D$8*$D$9</f>
        <v>985.6</v>
      </c>
      <c r="R28" s="12" t="n">
        <f aca="false">(H28+J28+L28+N28)*$D$7*($D$5-$D$6)</f>
        <v>133.632</v>
      </c>
      <c r="S28" s="12" t="n">
        <f aca="false">(MAX(G28*$D$13-H28,0)*$L$6+MAX(I28*$D$13-J28,0)*$L$7+MAX(K28*$D$13-L28,0)*$L$8+MAX(M28*$D$13-N28,0)*$L$9)*$D$10</f>
        <v>177.18</v>
      </c>
      <c r="T28" s="12" t="n">
        <f aca="false">O28*E28*$D$11*$D$12</f>
        <v>0</v>
      </c>
      <c r="U28" s="12" t="n">
        <f aca="false">F28*INDEX($R$6:$R$19,MATCH($D28,$O$6:$O$19,0))</f>
        <v>140</v>
      </c>
      <c r="V28" s="12" t="n">
        <f aca="false">E28*$D$16</f>
        <v>221.5</v>
      </c>
      <c r="W28" s="12" t="n">
        <f aca="false">E28*INDEX($T$6:$T$19,MATCH($D28,$O$6:$O$19,0))</f>
        <v>132.9</v>
      </c>
      <c r="X28" s="12" t="n">
        <f aca="false">0.335*$D$15*E28*$D$14*($D$5-$D$6)</f>
        <v>161.3904375</v>
      </c>
      <c r="Y28" s="12" t="n">
        <f aca="false">SUM(Q28:X28)</f>
        <v>1952.2024375</v>
      </c>
      <c r="Z28" s="12" t="n">
        <f aca="false">F28*INDEX($S$6:$S$19,MATCH($D28,$O$6:$O$19,0))</f>
        <v>90</v>
      </c>
      <c r="AA28" s="13" t="n">
        <f aca="false">(Y28+Z28)*$D$17/1000</f>
        <v>2.24642268125</v>
      </c>
      <c r="AB28" s="14" t="n">
        <f aca="false">AA28*1000/E28</f>
        <v>101.418631207675</v>
      </c>
      <c r="AC28" s="15" t="n">
        <f aca="false">Y28/(Y28+Z28)</f>
        <v>0.955929932142195</v>
      </c>
    </row>
    <row r="29" customFormat="false" ht="15" hidden="false" customHeight="true" outlineLevel="0" collapsed="false">
      <c r="A29" s="11" t="s">
        <v>92</v>
      </c>
      <c r="B29" s="11" t="s">
        <v>106</v>
      </c>
      <c r="C29" s="11" t="s">
        <v>107</v>
      </c>
      <c r="D29" s="11" t="s">
        <v>50</v>
      </c>
      <c r="E29" s="10" t="n">
        <v>16.07</v>
      </c>
      <c r="F29" s="10" t="n">
        <v>2</v>
      </c>
      <c r="G29" s="10" t="n">
        <v>3.15</v>
      </c>
      <c r="H29" s="10" t="n">
        <v>4.9</v>
      </c>
      <c r="I29" s="10" t="n">
        <v>0</v>
      </c>
      <c r="J29" s="10" t="n">
        <v>0</v>
      </c>
      <c r="K29" s="10" t="n">
        <v>2.85</v>
      </c>
      <c r="L29" s="10" t="n">
        <v>0</v>
      </c>
      <c r="M29" s="10" t="n">
        <v>0</v>
      </c>
      <c r="N29" s="10" t="n">
        <v>0</v>
      </c>
      <c r="O29" s="10" t="n">
        <v>0</v>
      </c>
      <c r="P29" s="11" t="s">
        <v>100</v>
      </c>
      <c r="Q29" s="12" t="n">
        <f aca="false">(H29*$K$6+J29*$K$7+L29*$K$8+N29*$K$9)*$D$8*$D$9</f>
        <v>886.655</v>
      </c>
      <c r="R29" s="12" t="n">
        <f aca="false">(H29+J29+L29+N29)*$D$7*($D$5-$D$6)</f>
        <v>127.89</v>
      </c>
      <c r="S29" s="12" t="n">
        <f aca="false">(MAX(G29*$D$13-H29,0)*$L$6+MAX(I29*$D$13-J29,0)*$L$7+MAX(K29*$D$13-L29,0)*$L$8+MAX(M29*$D$13-N29,0)*$L$9)*$D$10</f>
        <v>124</v>
      </c>
      <c r="T29" s="12" t="n">
        <f aca="false">O29*E29*$D$11*$D$12</f>
        <v>0</v>
      </c>
      <c r="U29" s="12" t="n">
        <f aca="false">F29*INDEX($R$6:$R$19,MATCH($D29,$O$6:$O$19,0))</f>
        <v>140</v>
      </c>
      <c r="V29" s="12" t="n">
        <f aca="false">E29*$D$16</f>
        <v>160.7</v>
      </c>
      <c r="W29" s="12" t="n">
        <f aca="false">E29*INDEX($T$6:$T$19,MATCH($D29,$O$6:$O$19,0))</f>
        <v>96.42</v>
      </c>
      <c r="X29" s="12" t="n">
        <f aca="false">0.335*$D$15*E29*$D$14*($D$5-$D$6)</f>
        <v>117.0900375</v>
      </c>
      <c r="Y29" s="12" t="n">
        <f aca="false">SUM(Q29:X29)</f>
        <v>1652.7550375</v>
      </c>
      <c r="Z29" s="12" t="n">
        <f aca="false">F29*INDEX($S$6:$S$19,MATCH($D29,$O$6:$O$19,0))</f>
        <v>90</v>
      </c>
      <c r="AA29" s="13" t="n">
        <f aca="false">(Y29+Z29)*$D$17/1000</f>
        <v>1.91703054125</v>
      </c>
      <c r="AB29" s="14" t="n">
        <f aca="false">AA29*1000/E29</f>
        <v>119.292504122589</v>
      </c>
      <c r="AC29" s="15" t="n">
        <f aca="false">Y29/(Y29+Z29)</f>
        <v>0.948357630267358</v>
      </c>
    </row>
    <row r="30" customFormat="false" ht="15" hidden="false" customHeight="true" outlineLevel="0" collapsed="false">
      <c r="A30" s="11" t="s">
        <v>92</v>
      </c>
      <c r="B30" s="11" t="s">
        <v>108</v>
      </c>
      <c r="C30" s="11" t="s">
        <v>109</v>
      </c>
      <c r="D30" s="11" t="s">
        <v>50</v>
      </c>
      <c r="E30" s="10" t="n">
        <v>16.4</v>
      </c>
      <c r="F30" s="10" t="n">
        <v>2</v>
      </c>
      <c r="G30" s="10" t="n">
        <v>3.25</v>
      </c>
      <c r="H30" s="10" t="n">
        <v>9.8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1" t="s">
        <v>110</v>
      </c>
      <c r="Q30" s="12" t="n">
        <f aca="false">(H30*$K$6+J30*$K$7+L30*$K$8+N30*$K$9)*$D$8*$D$9</f>
        <v>1773.31</v>
      </c>
      <c r="R30" s="12" t="n">
        <f aca="false">(H30+J30+L30+N30)*$D$7*($D$5-$D$6)</f>
        <v>255.78</v>
      </c>
      <c r="S30" s="12" t="n">
        <f aca="false">(MAX(G30*$D$13-H30,0)*$L$6+MAX(I30*$D$13-J30,0)*$L$7+MAX(K30*$D$13-L30,0)*$L$8+MAX(M30*$D$13-N30,0)*$L$9)*$D$10</f>
        <v>16</v>
      </c>
      <c r="T30" s="12" t="n">
        <f aca="false">O30*E30*$D$11*$D$12</f>
        <v>0</v>
      </c>
      <c r="U30" s="12" t="n">
        <f aca="false">F30*INDEX($R$6:$R$19,MATCH($D30,$O$6:$O$19,0))</f>
        <v>140</v>
      </c>
      <c r="V30" s="12" t="n">
        <f aca="false">E30*$D$16</f>
        <v>164</v>
      </c>
      <c r="W30" s="12" t="n">
        <f aca="false">E30*INDEX($T$6:$T$19,MATCH($D30,$O$6:$O$19,0))</f>
        <v>98.4</v>
      </c>
      <c r="X30" s="12" t="n">
        <f aca="false">0.335*$D$15*E30*$D$14*($D$5-$D$6)</f>
        <v>119.4945</v>
      </c>
      <c r="Y30" s="12" t="n">
        <f aca="false">SUM(Q30:X30)</f>
        <v>2566.9845</v>
      </c>
      <c r="Z30" s="12" t="n">
        <f aca="false">F30*INDEX($S$6:$S$19,MATCH($D30,$O$6:$O$19,0))</f>
        <v>90</v>
      </c>
      <c r="AA30" s="13" t="n">
        <f aca="false">(Y30+Z30)*$D$17/1000</f>
        <v>2.92268295</v>
      </c>
      <c r="AB30" s="14" t="n">
        <f aca="false">AA30*1000/E30</f>
        <v>178.212375</v>
      </c>
      <c r="AC30" s="15" t="n">
        <f aca="false">Y30/(Y30+Z30)</f>
        <v>0.966127013537339</v>
      </c>
    </row>
    <row r="31" customFormat="false" ht="15" hidden="false" customHeight="true" outlineLevel="0" collapsed="false">
      <c r="A31" s="11" t="s">
        <v>92</v>
      </c>
      <c r="B31" s="11" t="s">
        <v>111</v>
      </c>
      <c r="C31" s="11" t="s">
        <v>112</v>
      </c>
      <c r="D31" s="11" t="s">
        <v>58</v>
      </c>
      <c r="E31" s="10" t="n">
        <v>30.1</v>
      </c>
      <c r="F31" s="10" t="n">
        <v>4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1" t="s">
        <v>95</v>
      </c>
      <c r="Q31" s="12" t="n">
        <f aca="false">(H31*$K$6+J31*$K$7+L31*$K$8+N31*$K$9)*$D$8*$D$9</f>
        <v>0</v>
      </c>
      <c r="R31" s="12" t="n">
        <f aca="false">(H31+J31+L31+N31)*$D$7*($D$5-$D$6)</f>
        <v>0</v>
      </c>
      <c r="S31" s="12" t="n">
        <f aca="false">(MAX(G31*$D$13-H31,0)*$L$6+MAX(I31*$D$13-J31,0)*$L$7+MAX(K31*$D$13-L31,0)*$L$8+MAX(M31*$D$13-N31,0)*$L$9)*$D$10</f>
        <v>0</v>
      </c>
      <c r="T31" s="12" t="n">
        <f aca="false">O31*E31*$D$11*$D$12</f>
        <v>0</v>
      </c>
      <c r="U31" s="12" t="n">
        <f aca="false">F31*INDEX($R$6:$R$19,MATCH($D31,$O$6:$O$19,0))</f>
        <v>300</v>
      </c>
      <c r="V31" s="12" t="n">
        <f aca="false">E31*$D$16</f>
        <v>301</v>
      </c>
      <c r="W31" s="12" t="n">
        <f aca="false">E31*INDEX($T$6:$T$19,MATCH($D31,$O$6:$O$19,0))</f>
        <v>0</v>
      </c>
      <c r="X31" s="12" t="n">
        <f aca="false">0.335*$D$15*E31*$D$14*($D$5-$D$6)</f>
        <v>219.316125</v>
      </c>
      <c r="Y31" s="12" t="n">
        <f aca="false">SUM(Q31:X31)</f>
        <v>820.316125</v>
      </c>
      <c r="Z31" s="12" t="n">
        <f aca="false">F31*INDEX($S$6:$S$19,MATCH($D31,$O$6:$O$19,0))</f>
        <v>220</v>
      </c>
      <c r="AA31" s="13" t="n">
        <f aca="false">(Y31+Z31)*$D$17/1000</f>
        <v>1.1443477375</v>
      </c>
      <c r="AB31" s="14" t="n">
        <f aca="false">AA31*1000/E31</f>
        <v>38.0181972591362</v>
      </c>
      <c r="AC31" s="15" t="n">
        <f aca="false">Y31/(Y31+Z31)</f>
        <v>0.788525819495492</v>
      </c>
    </row>
    <row r="32" customFormat="false" ht="15" hidden="false" customHeight="true" outlineLevel="0" collapsed="false">
      <c r="A32" s="11" t="s">
        <v>92</v>
      </c>
      <c r="B32" s="11" t="s">
        <v>113</v>
      </c>
      <c r="C32" s="11" t="s">
        <v>60</v>
      </c>
      <c r="D32" s="11" t="s">
        <v>60</v>
      </c>
      <c r="E32" s="10" t="n">
        <v>24.85</v>
      </c>
      <c r="F32" s="10" t="n">
        <v>5</v>
      </c>
      <c r="G32" s="10" t="n">
        <v>3.79</v>
      </c>
      <c r="H32" s="10" t="n">
        <v>9.8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1" t="s">
        <v>114</v>
      </c>
      <c r="Q32" s="12" t="n">
        <f aca="false">(H32*$K$6+J32*$K$7+L32*$K$8+N32*$K$9)*$D$8*$D$9</f>
        <v>1773.31</v>
      </c>
      <c r="R32" s="12" t="n">
        <f aca="false">(H32+J32+L32+N32)*$D$7*($D$5-$D$6)</f>
        <v>255.78</v>
      </c>
      <c r="S32" s="12" t="n">
        <f aca="false">(MAX(G32*$D$13-H32,0)*$L$6+MAX(I32*$D$13-J32,0)*$L$7+MAX(K32*$D$13-L32,0)*$L$8+MAX(M32*$D$13-N32,0)*$L$9)*$D$10</f>
        <v>26.8</v>
      </c>
      <c r="T32" s="12" t="n">
        <f aca="false">O32*E32*$D$11*$D$12</f>
        <v>0</v>
      </c>
      <c r="U32" s="12" t="n">
        <f aca="false">F32*INDEX($R$6:$R$19,MATCH($D32,$O$6:$O$19,0))</f>
        <v>375</v>
      </c>
      <c r="V32" s="12" t="n">
        <f aca="false">E32*$D$16</f>
        <v>248.5</v>
      </c>
      <c r="W32" s="12" t="n">
        <f aca="false">E32*INDEX($T$6:$T$19,MATCH($D32,$O$6:$O$19,0))</f>
        <v>124.25</v>
      </c>
      <c r="X32" s="12" t="n">
        <f aca="false">0.335*$D$15*E32*$D$14*($D$5-$D$6)</f>
        <v>181.0633125</v>
      </c>
      <c r="Y32" s="12" t="n">
        <f aca="false">SUM(Q32:X32)</f>
        <v>2984.7033125</v>
      </c>
      <c r="Z32" s="12" t="n">
        <f aca="false">F32*INDEX($S$6:$S$19,MATCH($D32,$O$6:$O$19,0))</f>
        <v>275</v>
      </c>
      <c r="AA32" s="13" t="n">
        <f aca="false">(Y32+Z32)*$D$17/1000</f>
        <v>3.58567364375</v>
      </c>
      <c r="AB32" s="14" t="n">
        <f aca="false">AA32*1000/E32</f>
        <v>144.292701961771</v>
      </c>
      <c r="AC32" s="15" t="n">
        <f aca="false">Y32/(Y32+Z32)</f>
        <v>0.915636493988439</v>
      </c>
    </row>
    <row r="33" customFormat="false" ht="15" hidden="false" customHeight="true" outlineLevel="0" collapsed="false">
      <c r="A33" s="11" t="s">
        <v>92</v>
      </c>
      <c r="B33" s="11" t="s">
        <v>115</v>
      </c>
      <c r="C33" s="11" t="s">
        <v>61</v>
      </c>
      <c r="D33" s="11" t="s">
        <v>61</v>
      </c>
      <c r="E33" s="10" t="n">
        <v>8.23</v>
      </c>
      <c r="F33" s="10" t="n">
        <v>2</v>
      </c>
      <c r="G33" s="10" t="n">
        <v>2.1</v>
      </c>
      <c r="H33" s="10" t="n">
        <v>4.9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1" t="s">
        <v>116</v>
      </c>
      <c r="Q33" s="12" t="n">
        <f aca="false">(H33*$K$6+J33*$K$7+L33*$K$8+N33*$K$9)*$D$8*$D$9</f>
        <v>886.655</v>
      </c>
      <c r="R33" s="12" t="n">
        <f aca="false">(H33+J33+L33+N33)*$D$7*($D$5-$D$6)</f>
        <v>127.89</v>
      </c>
      <c r="S33" s="12" t="n">
        <f aca="false">(MAX(G33*$D$13-H33,0)*$L$6+MAX(I33*$D$13-J33,0)*$L$7+MAX(K33*$D$13-L33,0)*$L$8+MAX(M33*$D$13-N33,0)*$L$9)*$D$10</f>
        <v>17.5</v>
      </c>
      <c r="T33" s="12" t="n">
        <f aca="false">O33*E33*$D$11*$D$12</f>
        <v>0</v>
      </c>
      <c r="U33" s="12" t="n">
        <f aca="false">F33*INDEX($R$6:$R$19,MATCH($D33,$O$6:$O$19,0))</f>
        <v>160</v>
      </c>
      <c r="V33" s="12" t="n">
        <f aca="false">E33*$D$16</f>
        <v>82.3</v>
      </c>
      <c r="W33" s="12" t="n">
        <f aca="false">E33*INDEX($T$6:$T$19,MATCH($D33,$O$6:$O$19,0))</f>
        <v>823</v>
      </c>
      <c r="X33" s="12" t="n">
        <f aca="false">0.335*$D$15*E33*$D$14*($D$5-$D$6)</f>
        <v>59.9658375</v>
      </c>
      <c r="Y33" s="12" t="n">
        <f aca="false">SUM(Q33:X33)</f>
        <v>2157.3108375</v>
      </c>
      <c r="Z33" s="12" t="n">
        <f aca="false">F33*INDEX($S$6:$S$19,MATCH($D33,$O$6:$O$19,0))</f>
        <v>160</v>
      </c>
      <c r="AA33" s="13" t="n">
        <f aca="false">(Y33+Z33)*$D$17/1000</f>
        <v>2.54904192125</v>
      </c>
      <c r="AB33" s="14" t="n">
        <f aca="false">AA33*1000/E33</f>
        <v>309.725628341434</v>
      </c>
      <c r="AC33" s="15" t="n">
        <f aca="false">Y33/(Y33+Z33)</f>
        <v>0.930954450559333</v>
      </c>
    </row>
    <row r="34" customFormat="false" ht="15" hidden="false" customHeight="true" outlineLevel="0" collapsed="false">
      <c r="A34" s="11" t="s">
        <v>117</v>
      </c>
      <c r="B34" s="11" t="s">
        <v>118</v>
      </c>
      <c r="C34" s="11" t="s">
        <v>22</v>
      </c>
      <c r="D34" s="11" t="s">
        <v>22</v>
      </c>
      <c r="E34" s="10" t="n">
        <v>42.65</v>
      </c>
      <c r="F34" s="10" t="n">
        <v>5</v>
      </c>
      <c r="G34" s="10" t="n">
        <v>0</v>
      </c>
      <c r="H34" s="10" t="n">
        <v>0</v>
      </c>
      <c r="I34" s="10" t="n">
        <v>6.2</v>
      </c>
      <c r="J34" s="10" t="n">
        <v>10.24</v>
      </c>
      <c r="K34" s="10" t="n">
        <v>0</v>
      </c>
      <c r="L34" s="10" t="n">
        <v>0</v>
      </c>
      <c r="M34" s="10" t="n">
        <v>5.99</v>
      </c>
      <c r="N34" s="10" t="n">
        <v>0</v>
      </c>
      <c r="O34" s="10" t="n">
        <v>0</v>
      </c>
      <c r="P34" s="11" t="s">
        <v>119</v>
      </c>
      <c r="Q34" s="12" t="n">
        <f aca="false">(H34*$K$6+J34*$K$7+L34*$K$8+N34*$K$9)*$D$8*$D$9</f>
        <v>1971.2</v>
      </c>
      <c r="R34" s="12" t="n">
        <f aca="false">(H34+J34+L34+N34)*$D$7*($D$5-$D$6)</f>
        <v>267.264</v>
      </c>
      <c r="S34" s="12" t="n">
        <f aca="false">(MAX(G34*$D$13-H34,0)*$L$6+MAX(I34*$D$13-J34,0)*$L$7+MAX(K34*$D$13-L34,0)*$L$8+MAX(M34*$D$13-N34,0)*$L$9)*$D$10</f>
        <v>279.5</v>
      </c>
      <c r="T34" s="12" t="n">
        <f aca="false">O34*E34*$D$11*$D$12</f>
        <v>0</v>
      </c>
      <c r="U34" s="12" t="n">
        <f aca="false">F34*INDEX($R$6:$R$19,MATCH($D34,$O$6:$O$19,0))</f>
        <v>375</v>
      </c>
      <c r="V34" s="12" t="n">
        <f aca="false">E34*$D$16</f>
        <v>426.5</v>
      </c>
      <c r="W34" s="12" t="n">
        <f aca="false">E34*INDEX($T$6:$T$19,MATCH($D34,$O$6:$O$19,0))</f>
        <v>639.75</v>
      </c>
      <c r="X34" s="12" t="n">
        <f aca="false">0.335*$D$15*E34*$D$14*($D$5-$D$6)</f>
        <v>310.7585625</v>
      </c>
      <c r="Y34" s="12" t="n">
        <f aca="false">SUM(Q34:X34)</f>
        <v>4269.9725625</v>
      </c>
      <c r="Z34" s="12" t="n">
        <f aca="false">F34*INDEX($S$6:$S$19,MATCH($D34,$O$6:$O$19,0))</f>
        <v>275</v>
      </c>
      <c r="AA34" s="13" t="n">
        <f aca="false">(Y34+Z34)*$D$17/1000</f>
        <v>4.99946981875</v>
      </c>
      <c r="AB34" s="14" t="n">
        <f aca="false">AA34*1000/E34</f>
        <v>117.220863276671</v>
      </c>
      <c r="AC34" s="15" t="n">
        <f aca="false">Y34/(Y34+Z34)</f>
        <v>0.93949358412656</v>
      </c>
    </row>
    <row r="35" customFormat="false" ht="15" hidden="false" customHeight="true" outlineLevel="0" collapsed="false">
      <c r="A35" s="11" t="s">
        <v>117</v>
      </c>
      <c r="B35" s="11" t="s">
        <v>120</v>
      </c>
      <c r="C35" s="11" t="s">
        <v>121</v>
      </c>
      <c r="D35" s="11" t="s">
        <v>47</v>
      </c>
      <c r="E35" s="10" t="n">
        <v>43.8</v>
      </c>
      <c r="F35" s="10" t="n">
        <v>11</v>
      </c>
      <c r="G35" s="10" t="n">
        <v>0</v>
      </c>
      <c r="H35" s="10" t="n">
        <v>0</v>
      </c>
      <c r="I35" s="10" t="n">
        <v>6.8</v>
      </c>
      <c r="J35" s="10" t="n">
        <v>10.24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1" t="s">
        <v>119</v>
      </c>
      <c r="Q35" s="12" t="n">
        <f aca="false">(H35*$K$6+J35*$K$7+L35*$K$8+N35*$K$9)*$D$8*$D$9</f>
        <v>1971.2</v>
      </c>
      <c r="R35" s="12" t="n">
        <f aca="false">(H35+J35+L35+N35)*$D$7*($D$5-$D$6)</f>
        <v>267.264</v>
      </c>
      <c r="S35" s="12" t="n">
        <f aca="false">(MAX(G35*$D$13-H35,0)*$L$6+MAX(I35*$D$13-J35,0)*$L$7+MAX(K35*$D$13-L35,0)*$L$8+MAX(M35*$D$13-N35,0)*$L$9)*$D$10</f>
        <v>144.16</v>
      </c>
      <c r="T35" s="12" t="n">
        <f aca="false">O35*E35*$D$11*$D$12</f>
        <v>0</v>
      </c>
      <c r="U35" s="12" t="n">
        <f aca="false">F35*INDEX($R$6:$R$19,MATCH($D35,$O$6:$O$19,0))</f>
        <v>715</v>
      </c>
      <c r="V35" s="12" t="n">
        <f aca="false">E35*$D$16</f>
        <v>438</v>
      </c>
      <c r="W35" s="12" t="n">
        <f aca="false">E35*INDEX($T$6:$T$19,MATCH($D35,$O$6:$O$19,0))</f>
        <v>350.4</v>
      </c>
      <c r="X35" s="12" t="n">
        <f aca="false">0.335*$D$15*E35*$D$14*($D$5-$D$6)</f>
        <v>319.13775</v>
      </c>
      <c r="Y35" s="12" t="n">
        <f aca="false">SUM(Q35:X35)</f>
        <v>4205.16175</v>
      </c>
      <c r="Z35" s="12" t="n">
        <f aca="false">F35*INDEX($S$6:$S$19,MATCH($D35,$O$6:$O$19,0))</f>
        <v>495</v>
      </c>
      <c r="AA35" s="13" t="n">
        <f aca="false">(Y35+Z35)*$D$17/1000</f>
        <v>5.170177925</v>
      </c>
      <c r="AB35" s="14" t="n">
        <f aca="false">AA35*1000/E35</f>
        <v>118.040591894977</v>
      </c>
      <c r="AC35" s="15" t="n">
        <f aca="false">Y35/(Y35+Z35)</f>
        <v>0.894684475486402</v>
      </c>
    </row>
    <row r="36" customFormat="false" ht="15" hidden="false" customHeight="true" outlineLevel="0" collapsed="false">
      <c r="A36" s="11" t="s">
        <v>117</v>
      </c>
      <c r="B36" s="11" t="s">
        <v>122</v>
      </c>
      <c r="C36" s="11" t="s">
        <v>22</v>
      </c>
      <c r="D36" s="11" t="s">
        <v>22</v>
      </c>
      <c r="E36" s="10" t="n">
        <v>27.5</v>
      </c>
      <c r="F36" s="10" t="n">
        <v>3</v>
      </c>
      <c r="G36" s="10" t="n">
        <v>0</v>
      </c>
      <c r="H36" s="10" t="n">
        <v>0</v>
      </c>
      <c r="I36" s="10" t="n">
        <v>4</v>
      </c>
      <c r="J36" s="10" t="n">
        <v>5.12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1" t="s">
        <v>103</v>
      </c>
      <c r="Q36" s="12" t="n">
        <f aca="false">(H36*$K$6+J36*$K$7+L36*$K$8+N36*$K$9)*$D$8*$D$9</f>
        <v>985.6</v>
      </c>
      <c r="R36" s="12" t="n">
        <f aca="false">(H36+J36+L36+N36)*$D$7*($D$5-$D$6)</f>
        <v>133.632</v>
      </c>
      <c r="S36" s="12" t="n">
        <f aca="false">(MAX(G36*$D$13-H36,0)*$L$6+MAX(I36*$D$13-J36,0)*$L$7+MAX(K36*$D$13-L36,0)*$L$8+MAX(M36*$D$13-N36,0)*$L$9)*$D$10</f>
        <v>92.48</v>
      </c>
      <c r="T36" s="12" t="n">
        <f aca="false">O36*E36*$D$11*$D$12</f>
        <v>0</v>
      </c>
      <c r="U36" s="12" t="n">
        <f aca="false">F36*INDEX($R$6:$R$19,MATCH($D36,$O$6:$O$19,0))</f>
        <v>225</v>
      </c>
      <c r="V36" s="12" t="n">
        <f aca="false">E36*$D$16</f>
        <v>275</v>
      </c>
      <c r="W36" s="12" t="n">
        <f aca="false">E36*INDEX($T$6:$T$19,MATCH($D36,$O$6:$O$19,0))</f>
        <v>412.5</v>
      </c>
      <c r="X36" s="12" t="n">
        <f aca="false">0.335*$D$15*E36*$D$14*($D$5-$D$6)</f>
        <v>200.371875</v>
      </c>
      <c r="Y36" s="12" t="n">
        <f aca="false">SUM(Q36:X36)</f>
        <v>2324.583875</v>
      </c>
      <c r="Z36" s="12" t="n">
        <f aca="false">F36*INDEX($S$6:$S$19,MATCH($D36,$O$6:$O$19,0))</f>
        <v>165</v>
      </c>
      <c r="AA36" s="13" t="n">
        <f aca="false">(Y36+Z36)*$D$17/1000</f>
        <v>2.7385422625</v>
      </c>
      <c r="AB36" s="14" t="n">
        <f aca="false">AA36*1000/E36</f>
        <v>99.583355</v>
      </c>
      <c r="AC36" s="15" t="n">
        <f aca="false">Y36/(Y36+Z36)</f>
        <v>0.933723863792297</v>
      </c>
    </row>
    <row r="37" customFormat="false" ht="15" hidden="false" customHeight="true" outlineLevel="0" collapsed="false">
      <c r="A37" s="11" t="s">
        <v>117</v>
      </c>
      <c r="B37" s="11" t="s">
        <v>123</v>
      </c>
      <c r="C37" s="11" t="s">
        <v>22</v>
      </c>
      <c r="D37" s="11" t="s">
        <v>22</v>
      </c>
      <c r="E37" s="10" t="n">
        <v>24.15</v>
      </c>
      <c r="F37" s="10" t="n">
        <v>3</v>
      </c>
      <c r="G37" s="10" t="n">
        <v>0</v>
      </c>
      <c r="H37" s="10" t="n">
        <v>0</v>
      </c>
      <c r="I37" s="10" t="n">
        <v>3.5</v>
      </c>
      <c r="J37" s="10" t="n">
        <v>5.12</v>
      </c>
      <c r="K37" s="10" t="n">
        <v>6.77</v>
      </c>
      <c r="L37" s="10" t="n">
        <v>5.12</v>
      </c>
      <c r="M37" s="10" t="n">
        <v>0</v>
      </c>
      <c r="N37" s="10" t="n">
        <v>0</v>
      </c>
      <c r="O37" s="10" t="n">
        <v>0</v>
      </c>
      <c r="P37" s="11" t="s">
        <v>124</v>
      </c>
      <c r="Q37" s="12" t="n">
        <f aca="false">(H37*$K$6+J37*$K$7+L37*$K$8+N37*$K$9)*$D$8*$D$9</f>
        <v>2010.624</v>
      </c>
      <c r="R37" s="12" t="n">
        <f aca="false">(H37+J37+L37+N37)*$D$7*($D$5-$D$6)</f>
        <v>267.264</v>
      </c>
      <c r="S37" s="12" t="n">
        <f aca="false">(MAX(G37*$D$13-H37,0)*$L$6+MAX(I37*$D$13-J37,0)*$L$7+MAX(K37*$D$13-L37,0)*$L$8+MAX(M37*$D$13-N37,0)*$L$9)*$D$10</f>
        <v>240.18</v>
      </c>
      <c r="T37" s="12" t="n">
        <f aca="false">O37*E37*$D$11*$D$12</f>
        <v>0</v>
      </c>
      <c r="U37" s="12" t="n">
        <f aca="false">F37*INDEX($R$6:$R$19,MATCH($D37,$O$6:$O$19,0))</f>
        <v>225</v>
      </c>
      <c r="V37" s="12" t="n">
        <f aca="false">E37*$D$16</f>
        <v>241.5</v>
      </c>
      <c r="W37" s="12" t="n">
        <f aca="false">E37*INDEX($T$6:$T$19,MATCH($D37,$O$6:$O$19,0))</f>
        <v>362.25</v>
      </c>
      <c r="X37" s="12" t="n">
        <f aca="false">0.335*$D$15*E37*$D$14*($D$5-$D$6)</f>
        <v>175.9629375</v>
      </c>
      <c r="Y37" s="12" t="n">
        <f aca="false">SUM(Q37:X37)</f>
        <v>3522.7809375</v>
      </c>
      <c r="Z37" s="12" t="n">
        <f aca="false">F37*INDEX($S$6:$S$19,MATCH($D37,$O$6:$O$19,0))</f>
        <v>165</v>
      </c>
      <c r="AA37" s="13" t="n">
        <f aca="false">(Y37+Z37)*$D$17/1000</f>
        <v>4.05655903125</v>
      </c>
      <c r="AB37" s="14" t="n">
        <f aca="false">AA37*1000/E37</f>
        <v>167.973458850932</v>
      </c>
      <c r="AC37" s="15" t="n">
        <f aca="false">Y37/(Y37+Z37)</f>
        <v>0.955257646048831</v>
      </c>
    </row>
    <row r="38" customFormat="false" ht="15" hidden="false" customHeight="true" outlineLevel="0" collapsed="false">
      <c r="A38" s="11" t="s">
        <v>117</v>
      </c>
      <c r="B38" s="11" t="s">
        <v>125</v>
      </c>
      <c r="C38" s="11" t="s">
        <v>22</v>
      </c>
      <c r="D38" s="11" t="s">
        <v>22</v>
      </c>
      <c r="E38" s="10" t="n">
        <v>21.8</v>
      </c>
      <c r="F38" s="10" t="n">
        <v>3</v>
      </c>
      <c r="G38" s="10" t="n">
        <v>3.33</v>
      </c>
      <c r="H38" s="10" t="n">
        <v>4.9</v>
      </c>
      <c r="I38" s="10" t="n">
        <v>0</v>
      </c>
      <c r="J38" s="10" t="n">
        <v>0</v>
      </c>
      <c r="K38" s="10" t="n">
        <v>6.4</v>
      </c>
      <c r="L38" s="10" t="n">
        <v>5.12</v>
      </c>
      <c r="M38" s="10" t="n">
        <v>0</v>
      </c>
      <c r="N38" s="10" t="n">
        <v>0</v>
      </c>
      <c r="O38" s="10" t="n">
        <v>0</v>
      </c>
      <c r="P38" s="11" t="s">
        <v>126</v>
      </c>
      <c r="Q38" s="12" t="n">
        <f aca="false">(H38*$K$6+J38*$K$7+L38*$K$8+N38*$K$9)*$D$8*$D$9</f>
        <v>1911.679</v>
      </c>
      <c r="R38" s="12" t="n">
        <f aca="false">(H38+J38+L38+N38)*$D$7*($D$5-$D$6)</f>
        <v>261.522</v>
      </c>
      <c r="S38" s="12" t="n">
        <f aca="false">(MAX(G38*$D$13-H38,0)*$L$6+MAX(I38*$D$13-J38,0)*$L$7+MAX(K38*$D$13-L38,0)*$L$8+MAX(M38*$D$13-N38,0)*$L$9)*$D$10</f>
        <v>195.7</v>
      </c>
      <c r="T38" s="12" t="n">
        <f aca="false">O38*E38*$D$11*$D$12</f>
        <v>0</v>
      </c>
      <c r="U38" s="12" t="n">
        <f aca="false">F38*INDEX($R$6:$R$19,MATCH($D38,$O$6:$O$19,0))</f>
        <v>225</v>
      </c>
      <c r="V38" s="12" t="n">
        <f aca="false">E38*$D$16</f>
        <v>218</v>
      </c>
      <c r="W38" s="12" t="n">
        <f aca="false">E38*INDEX($T$6:$T$19,MATCH($D38,$O$6:$O$19,0))</f>
        <v>327</v>
      </c>
      <c r="X38" s="12" t="n">
        <f aca="false">0.335*$D$15*E38*$D$14*($D$5-$D$6)</f>
        <v>158.84025</v>
      </c>
      <c r="Y38" s="12" t="n">
        <f aca="false">SUM(Q38:X38)</f>
        <v>3297.74125</v>
      </c>
      <c r="Z38" s="12" t="n">
        <f aca="false">F38*INDEX($S$6:$S$19,MATCH($D38,$O$6:$O$19,0))</f>
        <v>165</v>
      </c>
      <c r="AA38" s="13" t="n">
        <f aca="false">(Y38+Z38)*$D$17/1000</f>
        <v>3.809015375</v>
      </c>
      <c r="AB38" s="14" t="n">
        <f aca="false">AA38*1000/E38</f>
        <v>174.725475917431</v>
      </c>
      <c r="AC38" s="15" t="n">
        <f aca="false">Y38/(Y38+Z38)</f>
        <v>0.952349890422797</v>
      </c>
    </row>
    <row r="39" customFormat="false" ht="15" hidden="false" customHeight="true" outlineLevel="0" collapsed="false">
      <c r="A39" s="11" t="s">
        <v>117</v>
      </c>
      <c r="B39" s="11" t="s">
        <v>113</v>
      </c>
      <c r="C39" s="11" t="s">
        <v>22</v>
      </c>
      <c r="D39" s="11" t="s">
        <v>22</v>
      </c>
      <c r="E39" s="10" t="n">
        <v>24</v>
      </c>
      <c r="F39" s="10" t="n">
        <v>3</v>
      </c>
      <c r="G39" s="10" t="n">
        <v>3.7</v>
      </c>
      <c r="H39" s="10" t="n">
        <v>9.8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1" t="s">
        <v>110</v>
      </c>
      <c r="Q39" s="12" t="n">
        <f aca="false">(H39*$K$6+J39*$K$7+L39*$K$8+N39*$K$9)*$D$8*$D$9</f>
        <v>1773.31</v>
      </c>
      <c r="R39" s="12" t="n">
        <f aca="false">(H39+J39+L39+N39)*$D$7*($D$5-$D$6)</f>
        <v>255.78</v>
      </c>
      <c r="S39" s="12" t="n">
        <f aca="false">(MAX(G39*$D$13-H39,0)*$L$6+MAX(I39*$D$13-J39,0)*$L$7+MAX(K39*$D$13-L39,0)*$L$8+MAX(M39*$D$13-N39,0)*$L$9)*$D$10</f>
        <v>25</v>
      </c>
      <c r="T39" s="12" t="n">
        <f aca="false">O39*E39*$D$11*$D$12</f>
        <v>0</v>
      </c>
      <c r="U39" s="12" t="n">
        <f aca="false">F39*INDEX($R$6:$R$19,MATCH($D39,$O$6:$O$19,0))</f>
        <v>225</v>
      </c>
      <c r="V39" s="12" t="n">
        <f aca="false">E39*$D$16</f>
        <v>240</v>
      </c>
      <c r="W39" s="12" t="n">
        <f aca="false">E39*INDEX($T$6:$T$19,MATCH($D39,$O$6:$O$19,0))</f>
        <v>360</v>
      </c>
      <c r="X39" s="12" t="n">
        <f aca="false">0.335*$D$15*E39*$D$14*($D$5-$D$6)</f>
        <v>174.87</v>
      </c>
      <c r="Y39" s="12" t="n">
        <f aca="false">SUM(Q39:X39)</f>
        <v>3053.96</v>
      </c>
      <c r="Z39" s="12" t="n">
        <f aca="false">F39*INDEX($S$6:$S$19,MATCH($D39,$O$6:$O$19,0))</f>
        <v>165</v>
      </c>
      <c r="AA39" s="13" t="n">
        <f aca="false">(Y39+Z39)*$D$17/1000</f>
        <v>3.540856</v>
      </c>
      <c r="AB39" s="14" t="n">
        <f aca="false">AA39*1000/E39</f>
        <v>147.535666666667</v>
      </c>
      <c r="AC39" s="15" t="n">
        <f aca="false">Y39/(Y39+Z39)</f>
        <v>0.948741208340582</v>
      </c>
    </row>
    <row r="40" customFormat="false" ht="15" hidden="false" customHeight="true" outlineLevel="0" collapsed="false">
      <c r="A40" s="11" t="s">
        <v>117</v>
      </c>
      <c r="B40" s="11" t="s">
        <v>115</v>
      </c>
      <c r="C40" s="11" t="s">
        <v>22</v>
      </c>
      <c r="D40" s="11" t="s">
        <v>22</v>
      </c>
      <c r="E40" s="10" t="n">
        <v>19.48</v>
      </c>
      <c r="F40" s="10" t="n">
        <v>2</v>
      </c>
      <c r="G40" s="10" t="n">
        <v>3</v>
      </c>
      <c r="H40" s="10" t="n">
        <v>4.9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1" t="s">
        <v>100</v>
      </c>
      <c r="Q40" s="12" t="n">
        <f aca="false">(H40*$K$6+J40*$K$7+L40*$K$8+N40*$K$9)*$D$8*$D$9</f>
        <v>886.655</v>
      </c>
      <c r="R40" s="12" t="n">
        <f aca="false">(H40+J40+L40+N40)*$D$7*($D$5-$D$6)</f>
        <v>127.89</v>
      </c>
      <c r="S40" s="12" t="n">
        <f aca="false">(MAX(G40*$D$13-H40,0)*$L$6+MAX(I40*$D$13-J40,0)*$L$7+MAX(K40*$D$13-L40,0)*$L$8+MAX(M40*$D$13-N40,0)*$L$9)*$D$10</f>
        <v>35.5</v>
      </c>
      <c r="T40" s="12" t="n">
        <f aca="false">O40*E40*$D$11*$D$12</f>
        <v>0</v>
      </c>
      <c r="U40" s="12" t="n">
        <f aca="false">F40*INDEX($R$6:$R$19,MATCH($D40,$O$6:$O$19,0))</f>
        <v>150</v>
      </c>
      <c r="V40" s="12" t="n">
        <f aca="false">E40*$D$16</f>
        <v>194.8</v>
      </c>
      <c r="W40" s="12" t="n">
        <f aca="false">E40*INDEX($T$6:$T$19,MATCH($D40,$O$6:$O$19,0))</f>
        <v>292.2</v>
      </c>
      <c r="X40" s="12" t="n">
        <f aca="false">0.335*$D$15*E40*$D$14*($D$5-$D$6)</f>
        <v>141.93615</v>
      </c>
      <c r="Y40" s="12" t="n">
        <f aca="false">SUM(Q40:X40)</f>
        <v>1828.98115</v>
      </c>
      <c r="Z40" s="12" t="n">
        <f aca="false">F40*INDEX($S$6:$S$19,MATCH($D40,$O$6:$O$19,0))</f>
        <v>110</v>
      </c>
      <c r="AA40" s="13" t="n">
        <f aca="false">(Y40+Z40)*$D$17/1000</f>
        <v>2.132879265</v>
      </c>
      <c r="AB40" s="14" t="n">
        <f aca="false">AA40*1000/E40</f>
        <v>109.490722022587</v>
      </c>
      <c r="AC40" s="15" t="n">
        <f aca="false">Y40/(Y40+Z40)</f>
        <v>0.943269175154178</v>
      </c>
    </row>
    <row r="41" customFormat="false" ht="15" hidden="false" customHeight="true" outlineLevel="0" collapsed="false">
      <c r="A41" s="11" t="s">
        <v>117</v>
      </c>
      <c r="B41" s="11" t="s">
        <v>127</v>
      </c>
      <c r="C41" s="11" t="s">
        <v>22</v>
      </c>
      <c r="D41" s="11" t="s">
        <v>22</v>
      </c>
      <c r="E41" s="10" t="n">
        <v>24.53</v>
      </c>
      <c r="F41" s="10" t="n">
        <v>3</v>
      </c>
      <c r="G41" s="10" t="n">
        <v>3.75</v>
      </c>
      <c r="H41" s="10" t="n">
        <v>9.8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1" t="s">
        <v>114</v>
      </c>
      <c r="Q41" s="12" t="n">
        <f aca="false">(H41*$K$6+J41*$K$7+L41*$K$8+N41*$K$9)*$D$8*$D$9</f>
        <v>1773.31</v>
      </c>
      <c r="R41" s="12" t="n">
        <f aca="false">(H41+J41+L41+N41)*$D$7*($D$5-$D$6)</f>
        <v>255.78</v>
      </c>
      <c r="S41" s="12" t="n">
        <f aca="false">(MAX(G41*$D$13-H41,0)*$L$6+MAX(I41*$D$13-J41,0)*$L$7+MAX(K41*$D$13-L41,0)*$L$8+MAX(M41*$D$13-N41,0)*$L$9)*$D$10</f>
        <v>26</v>
      </c>
      <c r="T41" s="12" t="n">
        <f aca="false">O41*E41*$D$11*$D$12</f>
        <v>0</v>
      </c>
      <c r="U41" s="12" t="n">
        <f aca="false">F41*INDEX($R$6:$R$19,MATCH($D41,$O$6:$O$19,0))</f>
        <v>225</v>
      </c>
      <c r="V41" s="12" t="n">
        <f aca="false">E41*$D$16</f>
        <v>245.3</v>
      </c>
      <c r="W41" s="12" t="n">
        <f aca="false">E41*INDEX($T$6:$T$19,MATCH($D41,$O$6:$O$19,0))</f>
        <v>367.95</v>
      </c>
      <c r="X41" s="12" t="n">
        <f aca="false">0.335*$D$15*E41*$D$14*($D$5-$D$6)</f>
        <v>178.7317125</v>
      </c>
      <c r="Y41" s="12" t="n">
        <f aca="false">SUM(Q41:X41)</f>
        <v>3072.0717125</v>
      </c>
      <c r="Z41" s="12" t="n">
        <f aca="false">F41*INDEX($S$6:$S$19,MATCH($D41,$O$6:$O$19,0))</f>
        <v>165</v>
      </c>
      <c r="AA41" s="13" t="n">
        <f aca="false">(Y41+Z41)*$D$17/1000</f>
        <v>3.56077888375</v>
      </c>
      <c r="AB41" s="14" t="n">
        <f aca="false">AA41*1000/E41</f>
        <v>145.160166479821</v>
      </c>
      <c r="AC41" s="15" t="n">
        <f aca="false">Y41/(Y41+Z41)</f>
        <v>0.949028005971307</v>
      </c>
    </row>
    <row r="42" customFormat="false" ht="21.75" hidden="false" customHeight="true" outlineLevel="0" collapsed="false">
      <c r="A42" s="11" t="s">
        <v>117</v>
      </c>
      <c r="B42" s="11" t="s">
        <v>128</v>
      </c>
      <c r="C42" s="11" t="s">
        <v>22</v>
      </c>
      <c r="D42" s="11" t="s">
        <v>22</v>
      </c>
      <c r="E42" s="10" t="n">
        <v>39.9</v>
      </c>
      <c r="F42" s="10" t="n">
        <v>4</v>
      </c>
      <c r="G42" s="10" t="n">
        <v>6.15</v>
      </c>
      <c r="H42" s="10" t="n">
        <v>14.7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1" t="s">
        <v>129</v>
      </c>
      <c r="Q42" s="12" t="n">
        <f aca="false">(H42*$K$6+J42*$K$7+L42*$K$8+N42*$K$9)*$D$8*$D$9</f>
        <v>2659.965</v>
      </c>
      <c r="R42" s="12" t="n">
        <f aca="false">(H42+J42+L42+N42)*$D$7*($D$5-$D$6)</f>
        <v>383.67</v>
      </c>
      <c r="S42" s="12" t="n">
        <f aca="false">(MAX(G42*$D$13-H42,0)*$L$6+MAX(I42*$D$13-J42,0)*$L$7+MAX(K42*$D$13-L42,0)*$L$8+MAX(M42*$D$13-N42,0)*$L$9)*$D$10</f>
        <v>49.5</v>
      </c>
      <c r="T42" s="12" t="n">
        <f aca="false">O42*E42*$D$11*$D$12</f>
        <v>0</v>
      </c>
      <c r="U42" s="12" t="n">
        <f aca="false">F42*INDEX($R$6:$R$19,MATCH($D42,$O$6:$O$19,0))</f>
        <v>300</v>
      </c>
      <c r="V42" s="12" t="n">
        <f aca="false">E42*$D$16</f>
        <v>399</v>
      </c>
      <c r="W42" s="12" t="n">
        <f aca="false">E42*INDEX($T$6:$T$19,MATCH($D42,$O$6:$O$19,0))</f>
        <v>598.5</v>
      </c>
      <c r="X42" s="12" t="n">
        <f aca="false">0.335*$D$15*E42*$D$14*($D$5-$D$6)</f>
        <v>290.721375</v>
      </c>
      <c r="Y42" s="12" t="n">
        <f aca="false">SUM(Q42:X42)</f>
        <v>4681.356375</v>
      </c>
      <c r="Z42" s="12" t="n">
        <f aca="false">F42*INDEX($S$6:$S$19,MATCH($D42,$O$6:$O$19,0))</f>
        <v>220</v>
      </c>
      <c r="AA42" s="13" t="n">
        <f aca="false">(Y42+Z42)*$D$17/1000</f>
        <v>5.3914920125</v>
      </c>
      <c r="AB42" s="14" t="n">
        <f aca="false">AA42*1000/E42</f>
        <v>135.125113095238</v>
      </c>
      <c r="AC42" s="15" t="n">
        <f aca="false">Y42/(Y42+Z42)</f>
        <v>0.955114465636056</v>
      </c>
    </row>
    <row r="43" customFormat="false" ht="21.75" hidden="false" customHeight="true" outlineLevel="0" collapsed="false">
      <c r="A43" s="11" t="s">
        <v>117</v>
      </c>
      <c r="B43" s="11" t="s">
        <v>130</v>
      </c>
      <c r="C43" s="11" t="s">
        <v>22</v>
      </c>
      <c r="D43" s="11" t="s">
        <v>22</v>
      </c>
      <c r="E43" s="10" t="n">
        <v>39.65</v>
      </c>
      <c r="F43" s="10" t="n">
        <v>4</v>
      </c>
      <c r="G43" s="10" t="n">
        <v>6.22</v>
      </c>
      <c r="H43" s="10" t="n">
        <v>9.8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5.54</v>
      </c>
      <c r="N43" s="10" t="n">
        <v>5.12</v>
      </c>
      <c r="O43" s="10" t="n">
        <v>0</v>
      </c>
      <c r="P43" s="11" t="s">
        <v>131</v>
      </c>
      <c r="Q43" s="12" t="n">
        <f aca="false">(H43*$K$6+J43*$K$7+L43*$K$8+N43*$K$9)*$D$8*$D$9</f>
        <v>2758.91</v>
      </c>
      <c r="R43" s="12" t="n">
        <f aca="false">(H43+J43+L43+N43)*$D$7*($D$5-$D$6)</f>
        <v>389.412</v>
      </c>
      <c r="S43" s="12" t="n">
        <f aca="false">(MAX(G43*$D$13-H43,0)*$L$6+MAX(I43*$D$13-J43,0)*$L$7+MAX(K43*$D$13-L43,0)*$L$8+MAX(M43*$D$13-N43,0)*$L$9)*$D$10</f>
        <v>186.16</v>
      </c>
      <c r="T43" s="12" t="n">
        <f aca="false">O43*E43*$D$11*$D$12</f>
        <v>0</v>
      </c>
      <c r="U43" s="12" t="n">
        <f aca="false">F43*INDEX($R$6:$R$19,MATCH($D43,$O$6:$O$19,0))</f>
        <v>300</v>
      </c>
      <c r="V43" s="12" t="n">
        <f aca="false">E43*$D$16</f>
        <v>396.5</v>
      </c>
      <c r="W43" s="12" t="n">
        <f aca="false">E43*INDEX($T$6:$T$19,MATCH($D43,$O$6:$O$19,0))</f>
        <v>594.75</v>
      </c>
      <c r="X43" s="12" t="n">
        <f aca="false">0.335*$D$15*E43*$D$14*($D$5-$D$6)</f>
        <v>288.8998125</v>
      </c>
      <c r="Y43" s="12" t="n">
        <f aca="false">SUM(Q43:X43)</f>
        <v>4914.6318125</v>
      </c>
      <c r="Z43" s="12" t="n">
        <f aca="false">F43*INDEX($S$6:$S$19,MATCH($D43,$O$6:$O$19,0))</f>
        <v>220</v>
      </c>
      <c r="AA43" s="13" t="n">
        <f aca="false">(Y43+Z43)*$D$17/1000</f>
        <v>5.64809499375</v>
      </c>
      <c r="AB43" s="14" t="n">
        <f aca="false">AA43*1000/E43</f>
        <v>142.448801860025</v>
      </c>
      <c r="AC43" s="15" t="n">
        <f aca="false">Y43/(Y43+Z43)</f>
        <v>0.957153695136539</v>
      </c>
    </row>
    <row r="44" customFormat="false" ht="15" hidden="false" customHeight="true" outlineLevel="0" collapsed="false">
      <c r="A44" s="11" t="s">
        <v>132</v>
      </c>
      <c r="B44" s="11" t="s">
        <v>133</v>
      </c>
      <c r="C44" s="11" t="s">
        <v>134</v>
      </c>
      <c r="D44" s="11" t="s">
        <v>27</v>
      </c>
      <c r="E44" s="10" t="n">
        <v>24</v>
      </c>
      <c r="F44" s="10" t="n">
        <v>6</v>
      </c>
      <c r="G44" s="10" t="n">
        <v>0</v>
      </c>
      <c r="H44" s="10" t="n">
        <v>0</v>
      </c>
      <c r="I44" s="10" t="n">
        <v>3.45</v>
      </c>
      <c r="J44" s="10" t="n">
        <v>5.12</v>
      </c>
      <c r="K44" s="10" t="n">
        <v>0</v>
      </c>
      <c r="L44" s="10" t="n">
        <v>0</v>
      </c>
      <c r="M44" s="10" t="n">
        <v>6.77</v>
      </c>
      <c r="N44" s="10" t="n">
        <v>0</v>
      </c>
      <c r="O44" s="10" t="n">
        <v>1</v>
      </c>
      <c r="P44" s="11" t="s">
        <v>103</v>
      </c>
      <c r="Q44" s="12" t="n">
        <f aca="false">(H44*$K$6+J44*$K$7+L44*$K$8+N44*$K$9)*$D$8*$D$9</f>
        <v>985.6</v>
      </c>
      <c r="R44" s="12" t="n">
        <f aca="false">(H44+J44+L44+N44)*$D$7*($D$5-$D$6)</f>
        <v>133.632</v>
      </c>
      <c r="S44" s="12" t="n">
        <f aca="false">(MAX(G44*$D$13-H44,0)*$L$6+MAX(I44*$D$13-J44,0)*$L$7+MAX(K44*$D$13-L44,0)*$L$8+MAX(M44*$D$13-N44,0)*$L$9)*$D$10</f>
        <v>249.8</v>
      </c>
      <c r="T44" s="12" t="n">
        <f aca="false">O44*E44*$D$11*$D$12</f>
        <v>211.2</v>
      </c>
      <c r="U44" s="12" t="n">
        <f aca="false">F44*INDEX($R$6:$R$19,MATCH($D44,$O$6:$O$19,0))</f>
        <v>450</v>
      </c>
      <c r="V44" s="12" t="n">
        <f aca="false">E44*$D$16</f>
        <v>240</v>
      </c>
      <c r="W44" s="12" t="n">
        <f aca="false">E44*INDEX($T$6:$T$19,MATCH($D44,$O$6:$O$19,0))</f>
        <v>360</v>
      </c>
      <c r="X44" s="12" t="n">
        <f aca="false">0.335*$D$15*E44*$D$14*($D$5-$D$6)</f>
        <v>174.87</v>
      </c>
      <c r="Y44" s="12" t="n">
        <f aca="false">SUM(Q44:X44)</f>
        <v>2805.102</v>
      </c>
      <c r="Z44" s="12" t="n">
        <f aca="false">F44*INDEX($S$6:$S$19,MATCH($D44,$O$6:$O$19,0))</f>
        <v>330</v>
      </c>
      <c r="AA44" s="13" t="n">
        <f aca="false">(Y44+Z44)*$D$17/1000</f>
        <v>3.4486122</v>
      </c>
      <c r="AB44" s="14" t="n">
        <f aca="false">AA44*1000/E44</f>
        <v>143.692175</v>
      </c>
      <c r="AC44" s="15" t="n">
        <f aca="false">Y44/(Y44+Z44)</f>
        <v>0.894740266823855</v>
      </c>
    </row>
    <row r="45" customFormat="false" ht="15" hidden="false" customHeight="true" outlineLevel="0" collapsed="false">
      <c r="A45" s="11" t="s">
        <v>132</v>
      </c>
      <c r="B45" s="11" t="s">
        <v>135</v>
      </c>
      <c r="C45" s="11" t="s">
        <v>136</v>
      </c>
      <c r="D45" s="11" t="s">
        <v>27</v>
      </c>
      <c r="E45" s="10" t="n">
        <v>23.75</v>
      </c>
      <c r="F45" s="10" t="n">
        <v>6</v>
      </c>
      <c r="G45" s="10" t="n">
        <v>0</v>
      </c>
      <c r="H45" s="10" t="n">
        <v>0</v>
      </c>
      <c r="I45" s="10" t="n">
        <v>3.45</v>
      </c>
      <c r="J45" s="10" t="n">
        <v>5.12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1</v>
      </c>
      <c r="P45" s="11" t="s">
        <v>103</v>
      </c>
      <c r="Q45" s="12" t="n">
        <f aca="false">(H45*$K$6+J45*$K$7+L45*$K$8+N45*$K$9)*$D$8*$D$9</f>
        <v>985.6</v>
      </c>
      <c r="R45" s="12" t="n">
        <f aca="false">(H45+J45+L45+N45)*$D$7*($D$5-$D$6)</f>
        <v>133.632</v>
      </c>
      <c r="S45" s="12" t="n">
        <f aca="false">(MAX(G45*$D$13-H45,0)*$L$6+MAX(I45*$D$13-J45,0)*$L$7+MAX(K45*$D$13-L45,0)*$L$8+MAX(M45*$D$13-N45,0)*$L$9)*$D$10</f>
        <v>73.78</v>
      </c>
      <c r="T45" s="12" t="n">
        <f aca="false">O45*E45*$D$11*$D$12</f>
        <v>209</v>
      </c>
      <c r="U45" s="12" t="n">
        <f aca="false">F45*INDEX($R$6:$R$19,MATCH($D45,$O$6:$O$19,0))</f>
        <v>450</v>
      </c>
      <c r="V45" s="12" t="n">
        <f aca="false">E45*$D$16</f>
        <v>237.5</v>
      </c>
      <c r="W45" s="12" t="n">
        <f aca="false">E45*INDEX($T$6:$T$19,MATCH($D45,$O$6:$O$19,0))</f>
        <v>356.25</v>
      </c>
      <c r="X45" s="12" t="n">
        <f aca="false">0.335*$D$15*E45*$D$14*($D$5-$D$6)</f>
        <v>173.0484375</v>
      </c>
      <c r="Y45" s="12" t="n">
        <f aca="false">SUM(Q45:X45)</f>
        <v>2618.8104375</v>
      </c>
      <c r="Z45" s="12" t="n">
        <f aca="false">F45*INDEX($S$6:$S$19,MATCH($D45,$O$6:$O$19,0))</f>
        <v>330</v>
      </c>
      <c r="AA45" s="13" t="n">
        <f aca="false">(Y45+Z45)*$D$17/1000</f>
        <v>3.24369148125</v>
      </c>
      <c r="AB45" s="14" t="n">
        <f aca="false">AA45*1000/E45</f>
        <v>136.576483421053</v>
      </c>
      <c r="AC45" s="15" t="n">
        <f aca="false">Y45/(Y45+Z45)</f>
        <v>0.888090466649401</v>
      </c>
    </row>
    <row r="46" customFormat="false" ht="15" hidden="false" customHeight="true" outlineLevel="0" collapsed="false">
      <c r="A46" s="11" t="s">
        <v>132</v>
      </c>
      <c r="B46" s="11" t="s">
        <v>137</v>
      </c>
      <c r="C46" s="11" t="s">
        <v>138</v>
      </c>
      <c r="D46" s="11" t="s">
        <v>27</v>
      </c>
      <c r="E46" s="10" t="n">
        <v>22.95</v>
      </c>
      <c r="F46" s="10" t="n">
        <v>6</v>
      </c>
      <c r="G46" s="10" t="n">
        <v>0</v>
      </c>
      <c r="H46" s="10" t="n">
        <v>0</v>
      </c>
      <c r="I46" s="10" t="n">
        <v>3.3</v>
      </c>
      <c r="J46" s="10" t="n">
        <v>5.12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1</v>
      </c>
      <c r="P46" s="11" t="s">
        <v>103</v>
      </c>
      <c r="Q46" s="12" t="n">
        <f aca="false">(H46*$K$6+J46*$K$7+L46*$K$8+N46*$K$9)*$D$8*$D$9</f>
        <v>985.6</v>
      </c>
      <c r="R46" s="12" t="n">
        <f aca="false">(H46+J46+L46+N46)*$D$7*($D$5-$D$6)</f>
        <v>133.632</v>
      </c>
      <c r="S46" s="12" t="n">
        <f aca="false">(MAX(G46*$D$13-H46,0)*$L$6+MAX(I46*$D$13-J46,0)*$L$7+MAX(K46*$D$13-L46,0)*$L$8+MAX(M46*$D$13-N46,0)*$L$9)*$D$10</f>
        <v>68.68</v>
      </c>
      <c r="T46" s="12" t="n">
        <f aca="false">O46*E46*$D$11*$D$12</f>
        <v>201.96</v>
      </c>
      <c r="U46" s="12" t="n">
        <f aca="false">F46*INDEX($R$6:$R$19,MATCH($D46,$O$6:$O$19,0))</f>
        <v>450</v>
      </c>
      <c r="V46" s="12" t="n">
        <f aca="false">E46*$D$16</f>
        <v>229.5</v>
      </c>
      <c r="W46" s="12" t="n">
        <f aca="false">E46*INDEX($T$6:$T$19,MATCH($D46,$O$6:$O$19,0))</f>
        <v>344.25</v>
      </c>
      <c r="X46" s="12" t="n">
        <f aca="false">0.335*$D$15*E46*$D$14*($D$5-$D$6)</f>
        <v>167.2194375</v>
      </c>
      <c r="Y46" s="12" t="n">
        <f aca="false">SUM(Q46:X46)</f>
        <v>2580.8414375</v>
      </c>
      <c r="Z46" s="12" t="n">
        <f aca="false">F46*INDEX($S$6:$S$19,MATCH($D46,$O$6:$O$19,0))</f>
        <v>330</v>
      </c>
      <c r="AA46" s="13" t="n">
        <f aca="false">(Y46+Z46)*$D$17/1000</f>
        <v>3.20192558125</v>
      </c>
      <c r="AB46" s="14" t="n">
        <f aca="false">AA46*1000/E46</f>
        <v>139.517454520697</v>
      </c>
      <c r="AC46" s="15" t="n">
        <f aca="false">Y46/(Y46+Z46)</f>
        <v>0.886630719300388</v>
      </c>
    </row>
    <row r="47" customFormat="false" ht="15" hidden="false" customHeight="true" outlineLevel="0" collapsed="false">
      <c r="A47" s="11" t="s">
        <v>132</v>
      </c>
      <c r="B47" s="11" t="s">
        <v>139</v>
      </c>
      <c r="C47" s="11" t="s">
        <v>140</v>
      </c>
      <c r="D47" s="11" t="s">
        <v>40</v>
      </c>
      <c r="E47" s="10" t="n">
        <v>15.37</v>
      </c>
      <c r="F47" s="10" t="n">
        <v>11</v>
      </c>
      <c r="G47" s="10" t="n">
        <v>0</v>
      </c>
      <c r="H47" s="10" t="n">
        <v>0</v>
      </c>
      <c r="I47" s="10" t="n">
        <v>3.97</v>
      </c>
      <c r="J47" s="10" t="n">
        <v>5.12</v>
      </c>
      <c r="K47" s="10" t="n">
        <v>3.17</v>
      </c>
      <c r="L47" s="10" t="n">
        <v>0</v>
      </c>
      <c r="M47" s="10" t="n">
        <v>0</v>
      </c>
      <c r="N47" s="10" t="n">
        <v>0</v>
      </c>
      <c r="O47" s="10" t="n">
        <v>1</v>
      </c>
      <c r="P47" s="11" t="s">
        <v>103</v>
      </c>
      <c r="Q47" s="12" t="n">
        <f aca="false">(H47*$K$6+J47*$K$7+L47*$K$8+N47*$K$9)*$D$8*$D$9</f>
        <v>985.6</v>
      </c>
      <c r="R47" s="12" t="n">
        <f aca="false">(H47+J47+L47+N47)*$D$7*($D$5-$D$6)</f>
        <v>133.632</v>
      </c>
      <c r="S47" s="12" t="n">
        <f aca="false">(MAX(G47*$D$13-H47,0)*$L$6+MAX(I47*$D$13-J47,0)*$L$7+MAX(K47*$D$13-L47,0)*$L$8+MAX(M47*$D$13-N47,0)*$L$9)*$D$10</f>
        <v>186.56</v>
      </c>
      <c r="T47" s="12" t="n">
        <f aca="false">O47*E47*$D$11*$D$12</f>
        <v>135.256</v>
      </c>
      <c r="U47" s="12" t="n">
        <f aca="false">F47*INDEX($R$6:$R$19,MATCH($D47,$O$6:$O$19,0))</f>
        <v>825</v>
      </c>
      <c r="V47" s="12" t="n">
        <f aca="false">E47*$D$16</f>
        <v>153.7</v>
      </c>
      <c r="W47" s="12" t="n">
        <f aca="false">E47*INDEX($T$6:$T$19,MATCH($D47,$O$6:$O$19,0))</f>
        <v>0</v>
      </c>
      <c r="X47" s="12" t="n">
        <f aca="false">0.335*$D$15*E47*$D$14*($D$5-$D$6)</f>
        <v>111.9896625</v>
      </c>
      <c r="Y47" s="12" t="n">
        <f aca="false">SUM(Q47:X47)</f>
        <v>2531.7376625</v>
      </c>
      <c r="Z47" s="12" t="n">
        <f aca="false">F47*INDEX($S$6:$S$19,MATCH($D47,$O$6:$O$19,0))</f>
        <v>605</v>
      </c>
      <c r="AA47" s="13" t="n">
        <f aca="false">(Y47+Z47)*$D$17/1000</f>
        <v>3.45041142875</v>
      </c>
      <c r="AB47" s="14" t="n">
        <f aca="false">AA47*1000/E47</f>
        <v>224.490008376708</v>
      </c>
      <c r="AC47" s="15" t="n">
        <f aca="false">Y47/(Y47+Z47)</f>
        <v>0.807124450593101</v>
      </c>
    </row>
    <row r="48" customFormat="false" ht="15" hidden="false" customHeight="true" outlineLevel="0" collapsed="false">
      <c r="A48" s="11" t="s">
        <v>132</v>
      </c>
      <c r="B48" s="11" t="s">
        <v>141</v>
      </c>
      <c r="C48" s="11" t="s">
        <v>142</v>
      </c>
      <c r="D48" s="11" t="s">
        <v>40</v>
      </c>
      <c r="E48" s="10" t="n">
        <v>16.26</v>
      </c>
      <c r="F48" s="10" t="n">
        <v>11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3.4</v>
      </c>
      <c r="L48" s="10" t="n">
        <v>5.12</v>
      </c>
      <c r="M48" s="10" t="n">
        <v>0</v>
      </c>
      <c r="N48" s="10" t="n">
        <v>0</v>
      </c>
      <c r="O48" s="10" t="n">
        <v>1</v>
      </c>
      <c r="P48" s="11" t="s">
        <v>143</v>
      </c>
      <c r="Q48" s="12" t="n">
        <f aca="false">(H48*$K$6+J48*$K$7+L48*$K$8+N48*$K$9)*$D$8*$D$9</f>
        <v>1025.024</v>
      </c>
      <c r="R48" s="12" t="n">
        <f aca="false">(H48+J48+L48+N48)*$D$7*($D$5-$D$6)</f>
        <v>133.632</v>
      </c>
      <c r="S48" s="12" t="n">
        <f aca="false">(MAX(G48*$D$13-H48,0)*$L$6+MAX(I48*$D$13-J48,0)*$L$7+MAX(K48*$D$13-L48,0)*$L$8+MAX(M48*$D$13-N48,0)*$L$9)*$D$10</f>
        <v>63.6</v>
      </c>
      <c r="T48" s="12" t="n">
        <f aca="false">O48*E48*$D$11*$D$12</f>
        <v>143.088</v>
      </c>
      <c r="U48" s="12" t="n">
        <f aca="false">F48*INDEX($R$6:$R$19,MATCH($D48,$O$6:$O$19,0))</f>
        <v>825</v>
      </c>
      <c r="V48" s="12" t="n">
        <f aca="false">E48*$D$16</f>
        <v>162.6</v>
      </c>
      <c r="W48" s="12" t="n">
        <f aca="false">E48*INDEX($T$6:$T$19,MATCH($D48,$O$6:$O$19,0))</f>
        <v>0</v>
      </c>
      <c r="X48" s="12" t="n">
        <f aca="false">0.335*$D$15*E48*$D$14*($D$5-$D$6)</f>
        <v>118.474425</v>
      </c>
      <c r="Y48" s="12" t="n">
        <f aca="false">SUM(Q48:X48)</f>
        <v>2471.418425</v>
      </c>
      <c r="Z48" s="12" t="n">
        <f aca="false">F48*INDEX($S$6:$S$19,MATCH($D48,$O$6:$O$19,0))</f>
        <v>605</v>
      </c>
      <c r="AA48" s="13" t="n">
        <f aca="false">(Y48+Z48)*$D$17/1000</f>
        <v>3.3840602675</v>
      </c>
      <c r="AB48" s="14" t="n">
        <f aca="false">AA48*1000/E48</f>
        <v>208.121787669127</v>
      </c>
      <c r="AC48" s="15" t="n">
        <f aca="false">Y48/(Y48+Z48)</f>
        <v>0.803342745875019</v>
      </c>
    </row>
    <row r="49" customFormat="false" ht="15" hidden="false" customHeight="true" outlineLevel="0" collapsed="false">
      <c r="A49" s="11" t="s">
        <v>132</v>
      </c>
      <c r="B49" s="11" t="s">
        <v>125</v>
      </c>
      <c r="C49" s="11" t="s">
        <v>22</v>
      </c>
      <c r="D49" s="11" t="s">
        <v>22</v>
      </c>
      <c r="E49" s="10" t="n">
        <v>21.8</v>
      </c>
      <c r="F49" s="10" t="n">
        <v>3</v>
      </c>
      <c r="G49" s="10" t="n">
        <v>3.33</v>
      </c>
      <c r="H49" s="10" t="n">
        <v>4.9</v>
      </c>
      <c r="I49" s="10" t="n">
        <v>0</v>
      </c>
      <c r="J49" s="10" t="n">
        <v>0</v>
      </c>
      <c r="K49" s="10" t="n">
        <v>6.4</v>
      </c>
      <c r="L49" s="10" t="n">
        <v>5.12</v>
      </c>
      <c r="M49" s="10" t="n">
        <v>0</v>
      </c>
      <c r="N49" s="10" t="n">
        <v>0</v>
      </c>
      <c r="O49" s="10" t="n">
        <v>1</v>
      </c>
      <c r="P49" s="11" t="s">
        <v>126</v>
      </c>
      <c r="Q49" s="12" t="n">
        <f aca="false">(H49*$K$6+J49*$K$7+L49*$K$8+N49*$K$9)*$D$8*$D$9</f>
        <v>1911.679</v>
      </c>
      <c r="R49" s="12" t="n">
        <f aca="false">(H49+J49+L49+N49)*$D$7*($D$5-$D$6)</f>
        <v>261.522</v>
      </c>
      <c r="S49" s="12" t="n">
        <f aca="false">(MAX(G49*$D$13-H49,0)*$L$6+MAX(I49*$D$13-J49,0)*$L$7+MAX(K49*$D$13-L49,0)*$L$8+MAX(M49*$D$13-N49,0)*$L$9)*$D$10</f>
        <v>195.7</v>
      </c>
      <c r="T49" s="12" t="n">
        <f aca="false">O49*E49*$D$11*$D$12</f>
        <v>191.84</v>
      </c>
      <c r="U49" s="12" t="n">
        <f aca="false">F49*INDEX($R$6:$R$19,MATCH($D49,$O$6:$O$19,0))</f>
        <v>225</v>
      </c>
      <c r="V49" s="12" t="n">
        <f aca="false">E49*$D$16</f>
        <v>218</v>
      </c>
      <c r="W49" s="12" t="n">
        <f aca="false">E49*INDEX($T$6:$T$19,MATCH($D49,$O$6:$O$19,0))</f>
        <v>327</v>
      </c>
      <c r="X49" s="12" t="n">
        <f aca="false">0.335*$D$15*E49*$D$14*($D$5-$D$6)</f>
        <v>158.84025</v>
      </c>
      <c r="Y49" s="12" t="n">
        <f aca="false">SUM(Q49:X49)</f>
        <v>3489.58125</v>
      </c>
      <c r="Z49" s="12" t="n">
        <f aca="false">F49*INDEX($S$6:$S$19,MATCH($D49,$O$6:$O$19,0))</f>
        <v>165</v>
      </c>
      <c r="AA49" s="13" t="n">
        <f aca="false">(Y49+Z49)*$D$17/1000</f>
        <v>4.020039375</v>
      </c>
      <c r="AB49" s="14" t="n">
        <f aca="false">AA49*1000/E49</f>
        <v>184.405475917431</v>
      </c>
      <c r="AC49" s="15" t="n">
        <f aca="false">Y49/(Y49+Z49)</f>
        <v>0.954851188491158</v>
      </c>
    </row>
    <row r="50" customFormat="false" ht="15" hidden="false" customHeight="true" outlineLevel="0" collapsed="false">
      <c r="A50" s="11" t="s">
        <v>132</v>
      </c>
      <c r="B50" s="11" t="s">
        <v>113</v>
      </c>
      <c r="C50" s="11" t="s">
        <v>22</v>
      </c>
      <c r="D50" s="11" t="s">
        <v>22</v>
      </c>
      <c r="E50" s="10" t="n">
        <v>24</v>
      </c>
      <c r="F50" s="10" t="n">
        <v>3</v>
      </c>
      <c r="G50" s="10" t="n">
        <v>3.7</v>
      </c>
      <c r="H50" s="10" t="n">
        <v>9.8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1</v>
      </c>
      <c r="P50" s="11" t="s">
        <v>110</v>
      </c>
      <c r="Q50" s="12" t="n">
        <f aca="false">(H50*$K$6+J50*$K$7+L50*$K$8+N50*$K$9)*$D$8*$D$9</f>
        <v>1773.31</v>
      </c>
      <c r="R50" s="12" t="n">
        <f aca="false">(H50+J50+L50+N50)*$D$7*($D$5-$D$6)</f>
        <v>255.78</v>
      </c>
      <c r="S50" s="12" t="n">
        <f aca="false">(MAX(G50*$D$13-H50,0)*$L$6+MAX(I50*$D$13-J50,0)*$L$7+MAX(K50*$D$13-L50,0)*$L$8+MAX(M50*$D$13-N50,0)*$L$9)*$D$10</f>
        <v>25</v>
      </c>
      <c r="T50" s="12" t="n">
        <f aca="false">O50*E50*$D$11*$D$12</f>
        <v>211.2</v>
      </c>
      <c r="U50" s="12" t="n">
        <f aca="false">F50*INDEX($R$6:$R$19,MATCH($D50,$O$6:$O$19,0))</f>
        <v>225</v>
      </c>
      <c r="V50" s="12" t="n">
        <f aca="false">E50*$D$16</f>
        <v>240</v>
      </c>
      <c r="W50" s="12" t="n">
        <f aca="false">E50*INDEX($T$6:$T$19,MATCH($D50,$O$6:$O$19,0))</f>
        <v>360</v>
      </c>
      <c r="X50" s="12" t="n">
        <f aca="false">0.335*$D$15*E50*$D$14*($D$5-$D$6)</f>
        <v>174.87</v>
      </c>
      <c r="Y50" s="12" t="n">
        <f aca="false">SUM(Q50:X50)</f>
        <v>3265.16</v>
      </c>
      <c r="Z50" s="12" t="n">
        <f aca="false">F50*INDEX($S$6:$S$19,MATCH($D50,$O$6:$O$19,0))</f>
        <v>165</v>
      </c>
      <c r="AA50" s="13" t="n">
        <f aca="false">(Y50+Z50)*$D$17/1000</f>
        <v>3.773176</v>
      </c>
      <c r="AB50" s="14" t="n">
        <f aca="false">AA50*1000/E50</f>
        <v>157.215666666667</v>
      </c>
      <c r="AC50" s="15" t="n">
        <f aca="false">Y50/(Y50+Z50)</f>
        <v>0.951897287590083</v>
      </c>
    </row>
    <row r="51" customFormat="false" ht="15" hidden="false" customHeight="true" outlineLevel="0" collapsed="false">
      <c r="A51" s="11" t="s">
        <v>132</v>
      </c>
      <c r="B51" s="11" t="s">
        <v>115</v>
      </c>
      <c r="C51" s="11" t="s">
        <v>22</v>
      </c>
      <c r="D51" s="11" t="s">
        <v>22</v>
      </c>
      <c r="E51" s="10" t="n">
        <v>18.48</v>
      </c>
      <c r="F51" s="10" t="n">
        <v>2</v>
      </c>
      <c r="G51" s="10" t="n">
        <v>3</v>
      </c>
      <c r="H51" s="10" t="n">
        <v>4.9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1</v>
      </c>
      <c r="P51" s="11" t="s">
        <v>100</v>
      </c>
      <c r="Q51" s="12" t="n">
        <f aca="false">(H51*$K$6+J51*$K$7+L51*$K$8+N51*$K$9)*$D$8*$D$9</f>
        <v>886.655</v>
      </c>
      <c r="R51" s="12" t="n">
        <f aca="false">(H51+J51+L51+N51)*$D$7*($D$5-$D$6)</f>
        <v>127.89</v>
      </c>
      <c r="S51" s="12" t="n">
        <f aca="false">(MAX(G51*$D$13-H51,0)*$L$6+MAX(I51*$D$13-J51,0)*$L$7+MAX(K51*$D$13-L51,0)*$L$8+MAX(M51*$D$13-N51,0)*$L$9)*$D$10</f>
        <v>35.5</v>
      </c>
      <c r="T51" s="12" t="n">
        <f aca="false">O51*E51*$D$11*$D$12</f>
        <v>162.624</v>
      </c>
      <c r="U51" s="12" t="n">
        <f aca="false">F51*INDEX($R$6:$R$19,MATCH($D51,$O$6:$O$19,0))</f>
        <v>150</v>
      </c>
      <c r="V51" s="12" t="n">
        <f aca="false">E51*$D$16</f>
        <v>184.8</v>
      </c>
      <c r="W51" s="12" t="n">
        <f aca="false">E51*INDEX($T$6:$T$19,MATCH($D51,$O$6:$O$19,0))</f>
        <v>277.2</v>
      </c>
      <c r="X51" s="12" t="n">
        <f aca="false">0.335*$D$15*E51*$D$14*($D$5-$D$6)</f>
        <v>134.6499</v>
      </c>
      <c r="Y51" s="12" t="n">
        <f aca="false">SUM(Q51:X51)</f>
        <v>1959.3189</v>
      </c>
      <c r="Z51" s="12" t="n">
        <f aca="false">F51*INDEX($S$6:$S$19,MATCH($D51,$O$6:$O$19,0))</f>
        <v>110</v>
      </c>
      <c r="AA51" s="13" t="n">
        <f aca="false">(Y51+Z51)*$D$17/1000</f>
        <v>2.27625079</v>
      </c>
      <c r="AB51" s="14" t="n">
        <f aca="false">AA51*1000/E51</f>
        <v>123.173744047619</v>
      </c>
      <c r="AC51" s="15" t="n">
        <f aca="false">Y51/(Y51+Z51)</f>
        <v>0.946842412737834</v>
      </c>
    </row>
    <row r="52" customFormat="false" ht="15" hidden="false" customHeight="true" outlineLevel="0" collapsed="false">
      <c r="A52" s="11" t="s">
        <v>132</v>
      </c>
      <c r="B52" s="11" t="s">
        <v>127</v>
      </c>
      <c r="C52" s="11" t="s">
        <v>22</v>
      </c>
      <c r="D52" s="11" t="s">
        <v>22</v>
      </c>
      <c r="E52" s="10" t="n">
        <v>24.55</v>
      </c>
      <c r="F52" s="10" t="n">
        <v>3</v>
      </c>
      <c r="G52" s="10" t="n">
        <v>3.75</v>
      </c>
      <c r="H52" s="10" t="n">
        <v>9.8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1</v>
      </c>
      <c r="P52" s="11" t="s">
        <v>114</v>
      </c>
      <c r="Q52" s="12" t="n">
        <f aca="false">(H52*$K$6+J52*$K$7+L52*$K$8+N52*$K$9)*$D$8*$D$9</f>
        <v>1773.31</v>
      </c>
      <c r="R52" s="12" t="n">
        <f aca="false">(H52+J52+L52+N52)*$D$7*($D$5-$D$6)</f>
        <v>255.78</v>
      </c>
      <c r="S52" s="12" t="n">
        <f aca="false">(MAX(G52*$D$13-H52,0)*$L$6+MAX(I52*$D$13-J52,0)*$L$7+MAX(K52*$D$13-L52,0)*$L$8+MAX(M52*$D$13-N52,0)*$L$9)*$D$10</f>
        <v>26</v>
      </c>
      <c r="T52" s="12" t="n">
        <f aca="false">O52*E52*$D$11*$D$12</f>
        <v>216.04</v>
      </c>
      <c r="U52" s="12" t="n">
        <f aca="false">F52*INDEX($R$6:$R$19,MATCH($D52,$O$6:$O$19,0))</f>
        <v>225</v>
      </c>
      <c r="V52" s="12" t="n">
        <f aca="false">E52*$D$16</f>
        <v>245.5</v>
      </c>
      <c r="W52" s="12" t="n">
        <f aca="false">E52*INDEX($T$6:$T$19,MATCH($D52,$O$6:$O$19,0))</f>
        <v>368.25</v>
      </c>
      <c r="X52" s="12" t="n">
        <f aca="false">0.335*$D$15*E52*$D$14*($D$5-$D$6)</f>
        <v>178.8774375</v>
      </c>
      <c r="Y52" s="12" t="n">
        <f aca="false">SUM(Q52:X52)</f>
        <v>3288.7574375</v>
      </c>
      <c r="Z52" s="12" t="n">
        <f aca="false">F52*INDEX($S$6:$S$19,MATCH($D52,$O$6:$O$19,0))</f>
        <v>165</v>
      </c>
      <c r="AA52" s="13" t="n">
        <f aca="false">(Y52+Z52)*$D$17/1000</f>
        <v>3.79913318125</v>
      </c>
      <c r="AB52" s="14" t="n">
        <f aca="false">AA52*1000/E52</f>
        <v>154.750842413442</v>
      </c>
      <c r="AC52" s="15" t="n">
        <f aca="false">Y52/(Y52+Z52)</f>
        <v>0.952225944356001</v>
      </c>
    </row>
    <row r="53" customFormat="false" ht="15" hidden="false" customHeight="true" outlineLevel="0" collapsed="false">
      <c r="A53" s="11" t="s">
        <v>132</v>
      </c>
      <c r="B53" s="11" t="s">
        <v>128</v>
      </c>
      <c r="C53" s="11" t="s">
        <v>144</v>
      </c>
      <c r="D53" s="11" t="s">
        <v>37</v>
      </c>
      <c r="E53" s="10" t="n">
        <v>43.05</v>
      </c>
      <c r="F53" s="10" t="n">
        <v>22</v>
      </c>
      <c r="G53" s="10" t="n">
        <v>6.95</v>
      </c>
      <c r="H53" s="10" t="n">
        <v>5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1</v>
      </c>
      <c r="P53" s="11" t="s">
        <v>145</v>
      </c>
      <c r="Q53" s="12" t="n">
        <f aca="false">(H53*$K$6+J53*$K$7+L53*$K$8+N53*$K$9)*$D$8*$D$9</f>
        <v>904.75</v>
      </c>
      <c r="R53" s="12" t="n">
        <f aca="false">(H53+J53+L53+N53)*$D$7*($D$5-$D$6)</f>
        <v>130.5</v>
      </c>
      <c r="S53" s="12" t="n">
        <f aca="false">(MAX(G53*$D$13-H53,0)*$L$6+MAX(I53*$D$13-J53,0)*$L$7+MAX(K53*$D$13-L53,0)*$L$8+MAX(M53*$D$13-N53,0)*$L$9)*$D$10</f>
        <v>114</v>
      </c>
      <c r="T53" s="12" t="n">
        <f aca="false">O53*E53*$D$11*$D$12</f>
        <v>378.84</v>
      </c>
      <c r="U53" s="12" t="n">
        <f aca="false">F53*INDEX($R$6:$R$19,MATCH($D53,$O$6:$O$19,0))</f>
        <v>1540</v>
      </c>
      <c r="V53" s="12" t="n">
        <f aca="false">E53*$D$16</f>
        <v>430.5</v>
      </c>
      <c r="W53" s="12" t="n">
        <f aca="false">E53*INDEX($T$6:$T$19,MATCH($D53,$O$6:$O$19,0))</f>
        <v>344.4</v>
      </c>
      <c r="X53" s="12" t="n">
        <f aca="false">0.335*$D$15*E53*$D$14*($D$5-$D$6)</f>
        <v>313.6730625</v>
      </c>
      <c r="Y53" s="12" t="n">
        <f aca="false">SUM(Q53:X53)</f>
        <v>4156.6630625</v>
      </c>
      <c r="Z53" s="12" t="n">
        <f aca="false">F53*INDEX($S$6:$S$19,MATCH($D53,$O$6:$O$19,0))</f>
        <v>990</v>
      </c>
      <c r="AA53" s="13" t="n">
        <f aca="false">(Y53+Z53)*$D$17/1000</f>
        <v>5.66132936875</v>
      </c>
      <c r="AB53" s="14" t="n">
        <f aca="false">AA53*1000/E53</f>
        <v>131.505908681765</v>
      </c>
      <c r="AC53" s="15" t="n">
        <f aca="false">Y53/(Y53+Z53)</f>
        <v>0.807642352340216</v>
      </c>
    </row>
    <row r="54" customFormat="false" ht="15" hidden="false" customHeight="true" outlineLevel="0" collapsed="false">
      <c r="A54" s="11" t="s">
        <v>132</v>
      </c>
      <c r="B54" s="11" t="s">
        <v>130</v>
      </c>
      <c r="C54" s="11" t="s">
        <v>32</v>
      </c>
      <c r="D54" s="11" t="s">
        <v>32</v>
      </c>
      <c r="E54" s="10" t="n">
        <v>14.45</v>
      </c>
      <c r="F54" s="10" t="n">
        <v>3</v>
      </c>
      <c r="G54" s="10" t="n">
        <v>2.2</v>
      </c>
      <c r="H54" s="10" t="n">
        <v>4.9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1</v>
      </c>
      <c r="P54" s="11" t="s">
        <v>116</v>
      </c>
      <c r="Q54" s="12" t="n">
        <f aca="false">(H54*$K$6+J54*$K$7+L54*$K$8+N54*$K$9)*$D$8*$D$9</f>
        <v>886.655</v>
      </c>
      <c r="R54" s="12" t="n">
        <f aca="false">(H54+J54+L54+N54)*$D$7*($D$5-$D$6)</f>
        <v>127.89</v>
      </c>
      <c r="S54" s="12" t="n">
        <f aca="false">(MAX(G54*$D$13-H54,0)*$L$6+MAX(I54*$D$13-J54,0)*$L$7+MAX(K54*$D$13-L54,0)*$L$8+MAX(M54*$D$13-N54,0)*$L$9)*$D$10</f>
        <v>19.5</v>
      </c>
      <c r="T54" s="12" t="n">
        <f aca="false">O54*E54*$D$11*$D$12</f>
        <v>127.16</v>
      </c>
      <c r="U54" s="12" t="n">
        <f aca="false">F54*INDEX($R$6:$R$19,MATCH($D54,$O$6:$O$19,0))</f>
        <v>225</v>
      </c>
      <c r="V54" s="12" t="n">
        <f aca="false">E54*$D$16</f>
        <v>144.5</v>
      </c>
      <c r="W54" s="12" t="n">
        <f aca="false">E54*INDEX($T$6:$T$19,MATCH($D54,$O$6:$O$19,0))</f>
        <v>289</v>
      </c>
      <c r="X54" s="12" t="n">
        <f aca="false">0.335*$D$15*E54*$D$14*($D$5-$D$6)</f>
        <v>105.2863125</v>
      </c>
      <c r="Y54" s="12" t="n">
        <f aca="false">SUM(Q54:X54)</f>
        <v>1924.9913125</v>
      </c>
      <c r="Z54" s="12" t="n">
        <f aca="false">F54*INDEX($S$6:$S$19,MATCH($D54,$O$6:$O$19,0))</f>
        <v>165</v>
      </c>
      <c r="AA54" s="13" t="n">
        <f aca="false">(Y54+Z54)*$D$17/1000</f>
        <v>2.29899044375</v>
      </c>
      <c r="AB54" s="14" t="n">
        <f aca="false">AA54*1000/E54</f>
        <v>159.099684688581</v>
      </c>
      <c r="AC54" s="15" t="n">
        <f aca="false">Y54/(Y54+Z54)</f>
        <v>0.92105230341717</v>
      </c>
    </row>
    <row r="55" customFormat="false" ht="21.75" hidden="false" customHeight="true" outlineLevel="0" collapsed="false">
      <c r="A55" s="11" t="s">
        <v>132</v>
      </c>
      <c r="B55" s="11" t="s">
        <v>146</v>
      </c>
      <c r="C55" s="11" t="s">
        <v>147</v>
      </c>
      <c r="D55" s="11" t="s">
        <v>27</v>
      </c>
      <c r="E55" s="10" t="n">
        <v>42.17</v>
      </c>
      <c r="F55" s="10" t="n">
        <v>6</v>
      </c>
      <c r="G55" s="10" t="n">
        <v>6.55</v>
      </c>
      <c r="H55" s="10" t="n">
        <v>14.7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1</v>
      </c>
      <c r="P55" s="11" t="s">
        <v>97</v>
      </c>
      <c r="Q55" s="12" t="n">
        <f aca="false">(H55*$K$6+J55*$K$7+L55*$K$8+N55*$K$9)*$D$8*$D$9</f>
        <v>2659.965</v>
      </c>
      <c r="R55" s="12" t="n">
        <f aca="false">(H55+J55+L55+N55)*$D$7*($D$5-$D$6)</f>
        <v>383.67</v>
      </c>
      <c r="S55" s="12" t="n">
        <f aca="false">(MAX(G55*$D$13-H55,0)*$L$6+MAX(I55*$D$13-J55,0)*$L$7+MAX(K55*$D$13-L55,0)*$L$8+MAX(M55*$D$13-N55,0)*$L$9)*$D$10</f>
        <v>57.5</v>
      </c>
      <c r="T55" s="12" t="n">
        <f aca="false">O55*E55*$D$11*$D$12</f>
        <v>371.096</v>
      </c>
      <c r="U55" s="12" t="n">
        <f aca="false">F55*INDEX($R$6:$R$19,MATCH($D55,$O$6:$O$19,0))</f>
        <v>450</v>
      </c>
      <c r="V55" s="12" t="n">
        <f aca="false">E55*$D$16</f>
        <v>421.7</v>
      </c>
      <c r="W55" s="12" t="n">
        <f aca="false">E55*INDEX($T$6:$T$19,MATCH($D55,$O$6:$O$19,0))</f>
        <v>632.55</v>
      </c>
      <c r="X55" s="12" t="n">
        <f aca="false">0.335*$D$15*E55*$D$14*($D$5-$D$6)</f>
        <v>307.2611625</v>
      </c>
      <c r="Y55" s="12" t="n">
        <f aca="false">SUM(Q55:X55)</f>
        <v>5283.7421625</v>
      </c>
      <c r="Z55" s="12" t="n">
        <f aca="false">F55*INDEX($S$6:$S$19,MATCH($D55,$O$6:$O$19,0))</f>
        <v>330</v>
      </c>
      <c r="AA55" s="13" t="n">
        <f aca="false">(Y55+Z55)*$D$17/1000</f>
        <v>6.17511637875</v>
      </c>
      <c r="AB55" s="14" t="n">
        <f aca="false">AA55*1000/E55</f>
        <v>146.43387191724</v>
      </c>
      <c r="AC55" s="15" t="n">
        <f aca="false">Y55/(Y55+Z55)</f>
        <v>0.94121568279277</v>
      </c>
    </row>
    <row r="56" customFormat="false" ht="15" hidden="false" customHeight="true" outlineLevel="0" collapsed="false">
      <c r="A56" s="11" t="s">
        <v>132</v>
      </c>
      <c r="B56" s="11" t="s">
        <v>118</v>
      </c>
      <c r="C56" s="11" t="s">
        <v>134</v>
      </c>
      <c r="D56" s="11" t="s">
        <v>27</v>
      </c>
      <c r="E56" s="10" t="n">
        <v>21.92</v>
      </c>
      <c r="F56" s="10" t="n">
        <v>6</v>
      </c>
      <c r="G56" s="10" t="n">
        <v>3.42</v>
      </c>
      <c r="H56" s="10" t="n">
        <v>4.9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6.4</v>
      </c>
      <c r="N56" s="10" t="n">
        <v>5.12</v>
      </c>
      <c r="O56" s="10" t="n">
        <v>1</v>
      </c>
      <c r="P56" s="11" t="s">
        <v>148</v>
      </c>
      <c r="Q56" s="12" t="n">
        <f aca="false">(H56*$K$6+J56*$K$7+L56*$K$8+N56*$K$9)*$D$8*$D$9</f>
        <v>1872.255</v>
      </c>
      <c r="R56" s="12" t="n">
        <f aca="false">(H56+J56+L56+N56)*$D$7*($D$5-$D$6)</f>
        <v>261.522</v>
      </c>
      <c r="S56" s="12" t="n">
        <f aca="false">(MAX(G56*$D$13-H56,0)*$L$6+MAX(I56*$D$13-J56,0)*$L$7+MAX(K56*$D$13-L56,0)*$L$8+MAX(M56*$D$13-N56,0)*$L$9)*$D$10</f>
        <v>177.02</v>
      </c>
      <c r="T56" s="12" t="n">
        <f aca="false">O56*E56*$D$11*$D$12</f>
        <v>192.896</v>
      </c>
      <c r="U56" s="12" t="n">
        <f aca="false">F56*INDEX($R$6:$R$19,MATCH($D56,$O$6:$O$19,0))</f>
        <v>450</v>
      </c>
      <c r="V56" s="12" t="n">
        <f aca="false">E56*$D$16</f>
        <v>219.2</v>
      </c>
      <c r="W56" s="12" t="n">
        <f aca="false">E56*INDEX($T$6:$T$19,MATCH($D56,$O$6:$O$19,0))</f>
        <v>328.8</v>
      </c>
      <c r="X56" s="12" t="n">
        <f aca="false">0.335*$D$15*E56*$D$14*($D$5-$D$6)</f>
        <v>159.7146</v>
      </c>
      <c r="Y56" s="12" t="n">
        <f aca="false">SUM(Q56:X56)</f>
        <v>3661.4076</v>
      </c>
      <c r="Z56" s="12" t="n">
        <f aca="false">F56*INDEX($S$6:$S$19,MATCH($D56,$O$6:$O$19,0))</f>
        <v>330</v>
      </c>
      <c r="AA56" s="13" t="n">
        <f aca="false">(Y56+Z56)*$D$17/1000</f>
        <v>4.39054836</v>
      </c>
      <c r="AB56" s="14" t="n">
        <f aca="false">AA56*1000/E56</f>
        <v>200.298739051095</v>
      </c>
      <c r="AC56" s="15" t="n">
        <f aca="false">Y56/(Y56+Z56)</f>
        <v>0.917322400247973</v>
      </c>
    </row>
    <row r="57" customFormat="false" ht="15" hidden="false" customHeight="true" outlineLevel="0" collapsed="false">
      <c r="A57" s="11" t="s">
        <v>132</v>
      </c>
      <c r="B57" s="11" t="s">
        <v>122</v>
      </c>
      <c r="C57" s="11" t="s">
        <v>149</v>
      </c>
      <c r="D57" s="11" t="s">
        <v>62</v>
      </c>
      <c r="E57" s="10" t="n">
        <v>10.55</v>
      </c>
      <c r="F57" s="10" t="n">
        <v>3</v>
      </c>
      <c r="G57" s="10" t="n">
        <v>0</v>
      </c>
      <c r="H57" s="10" t="n">
        <v>0</v>
      </c>
      <c r="I57" s="10" t="n">
        <v>1.78</v>
      </c>
      <c r="J57" s="10" t="n">
        <v>5.12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1</v>
      </c>
      <c r="P57" s="11" t="s">
        <v>103</v>
      </c>
      <c r="Q57" s="12" t="n">
        <f aca="false">(H57*$K$6+J57*$K$7+L57*$K$8+N57*$K$9)*$D$8*$D$9</f>
        <v>985.6</v>
      </c>
      <c r="R57" s="12" t="n">
        <f aca="false">(H57+J57+L57+N57)*$D$7*($D$5-$D$6)</f>
        <v>133.632</v>
      </c>
      <c r="S57" s="12" t="n">
        <f aca="false">(MAX(G57*$D$13-H57,0)*$L$6+MAX(I57*$D$13-J57,0)*$L$7+MAX(K57*$D$13-L57,0)*$L$8+MAX(M57*$D$13-N57,0)*$L$9)*$D$10</f>
        <v>17</v>
      </c>
      <c r="T57" s="12" t="n">
        <f aca="false">O57*E57*$D$11*$D$12</f>
        <v>92.84</v>
      </c>
      <c r="U57" s="12" t="n">
        <f aca="false">F57*INDEX($R$6:$R$19,MATCH($D57,$O$6:$O$19,0))</f>
        <v>210</v>
      </c>
      <c r="V57" s="12" t="n">
        <f aca="false">E57*$D$16</f>
        <v>105.5</v>
      </c>
      <c r="W57" s="12" t="n">
        <f aca="false">E57*INDEX($T$6:$T$19,MATCH($D57,$O$6:$O$19,0))</f>
        <v>105.5</v>
      </c>
      <c r="X57" s="12" t="n">
        <f aca="false">0.335*$D$15*E57*$D$14*($D$5-$D$6)</f>
        <v>76.8699375</v>
      </c>
      <c r="Y57" s="12" t="n">
        <f aca="false">SUM(Q57:X57)</f>
        <v>1726.9419375</v>
      </c>
      <c r="Z57" s="12" t="n">
        <f aca="false">F57*INDEX($S$6:$S$19,MATCH($D57,$O$6:$O$19,0))</f>
        <v>135</v>
      </c>
      <c r="AA57" s="13" t="n">
        <f aca="false">(Y57+Z57)*$D$17/1000</f>
        <v>2.04813613125</v>
      </c>
      <c r="AB57" s="14" t="n">
        <f aca="false">AA57*1000/E57</f>
        <v>194.136126184834</v>
      </c>
      <c r="AC57" s="15" t="n">
        <f aca="false">Y57/(Y57+Z57)</f>
        <v>0.927495053803202</v>
      </c>
    </row>
    <row r="58" customFormat="false" ht="15" hidden="false" customHeight="true" outlineLevel="0" collapsed="false">
      <c r="A58" s="16"/>
      <c r="B58" s="16"/>
      <c r="C58" s="17" t="s">
        <v>150</v>
      </c>
      <c r="D58" s="16"/>
      <c r="E58" s="16" t="n">
        <f aca="false">SUM(E24:E57)</f>
        <v>836.77</v>
      </c>
      <c r="F58" s="16" t="n">
        <f aca="false">SUM(F24:F57)</f>
        <v>189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8" t="n">
        <f aca="false">SUM(Q24:Q57)</f>
        <v>48161.806</v>
      </c>
      <c r="R58" s="18" t="n">
        <f aca="false">SUM(R24:R57)</f>
        <v>6761.988</v>
      </c>
      <c r="S58" s="18" t="n">
        <f aca="false">SUM(S24:S57)</f>
        <v>3111.48</v>
      </c>
      <c r="T58" s="18" t="n">
        <f aca="false">SUM(T24:T57)</f>
        <v>2845.04</v>
      </c>
      <c r="U58" s="18" t="n">
        <f aca="false">SUM(U24:U57)</f>
        <v>14020</v>
      </c>
      <c r="V58" s="18" t="n">
        <f aca="false">SUM(V24:V57)</f>
        <v>8367.7</v>
      </c>
      <c r="W58" s="18" t="n">
        <f aca="false">SUM(W24:W57)</f>
        <v>10358.28</v>
      </c>
      <c r="X58" s="18" t="n">
        <f aca="false">SUM(X24:X57)</f>
        <v>6096.9154125</v>
      </c>
      <c r="Y58" s="18" t="n">
        <f aca="false">SUM(Y24:Y57)</f>
        <v>99723.2094125</v>
      </c>
      <c r="Z58" s="18" t="n">
        <f aca="false">SUM(Z24:Z57)</f>
        <v>10660</v>
      </c>
      <c r="AA58" s="19" t="n">
        <f aca="false">SUM(AA24:AA57)</f>
        <v>121.42153035375</v>
      </c>
      <c r="AB58" s="20" t="n">
        <f aca="false">AA58*1000/E58</f>
        <v>145.107413451426</v>
      </c>
      <c r="AC58" s="16"/>
    </row>
    <row r="60" customFormat="false" ht="15" hidden="false" customHeight="true" outlineLevel="0" collapsed="false">
      <c r="A60" s="7" t="s">
        <v>151</v>
      </c>
    </row>
    <row r="61" customFormat="false" ht="15" hidden="false" customHeight="true" outlineLevel="0" collapsed="false">
      <c r="A61" s="7" t="s">
        <v>152</v>
      </c>
    </row>
    <row r="62" customFormat="false" ht="15" hidden="false" customHeight="true" outlineLevel="0" collapsed="false">
      <c r="A62" s="7" t="s">
        <v>153</v>
      </c>
    </row>
    <row r="63" customFormat="false" ht="15" hidden="false" customHeight="true" outlineLevel="0" collapsed="false">
      <c r="A63" s="7" t="s">
        <v>154</v>
      </c>
    </row>
    <row r="64" customFormat="false" ht="15" hidden="false" customHeight="true" outlineLevel="0" collapsed="false">
      <c r="A64" s="7" t="s">
        <v>155</v>
      </c>
    </row>
    <row r="66" customFormat="false" ht="15" hidden="false" customHeight="true" outlineLevel="0" collapsed="false">
      <c r="A66" s="4" t="s">
        <v>156</v>
      </c>
    </row>
    <row r="67" customFormat="false" ht="36" hidden="false" customHeight="true" outlineLevel="0" collapsed="false">
      <c r="A67" s="8" t="s">
        <v>157</v>
      </c>
      <c r="B67" s="8" t="s">
        <v>158</v>
      </c>
      <c r="C67" s="8" t="s">
        <v>67</v>
      </c>
      <c r="D67" s="8" t="s">
        <v>159</v>
      </c>
      <c r="E67" s="8" t="s">
        <v>160</v>
      </c>
      <c r="F67" s="8" t="s">
        <v>161</v>
      </c>
      <c r="G67" s="8" t="s">
        <v>162</v>
      </c>
      <c r="H67" s="8" t="s">
        <v>163</v>
      </c>
      <c r="I67" s="8" t="s">
        <v>164</v>
      </c>
      <c r="J67" s="8" t="s">
        <v>165</v>
      </c>
      <c r="K67" s="8" t="s">
        <v>166</v>
      </c>
    </row>
    <row r="68" customFormat="false" ht="63.75" hidden="false" customHeight="true" outlineLevel="0" collapsed="false">
      <c r="A68" s="11" t="s">
        <v>167</v>
      </c>
      <c r="B68" s="11" t="s">
        <v>168</v>
      </c>
      <c r="C68" s="10" t="n">
        <v>11.4</v>
      </c>
      <c r="D68" s="10" t="n">
        <v>2500</v>
      </c>
      <c r="E68" s="11" t="s">
        <v>169</v>
      </c>
      <c r="F68" s="9" t="n">
        <f aca="false">C68*$D$16</f>
        <v>114</v>
      </c>
      <c r="G68" s="10" t="n">
        <v>30</v>
      </c>
      <c r="H68" s="9" t="n">
        <f aca="false">C68*G68</f>
        <v>342</v>
      </c>
      <c r="I68" s="15" t="n">
        <f aca="false">(D68+F68+H68)*$D$17/1000</f>
        <v>3.2516</v>
      </c>
      <c r="J68" s="10" t="n">
        <v>3.5</v>
      </c>
      <c r="K68" s="9" t="str">
        <f aca="false">IF(J68&gt;=I68,"UYGUN","KAPASİTE ARTIR")</f>
        <v>UYGUN</v>
      </c>
    </row>
    <row r="69" customFormat="false" ht="95.25" hidden="false" customHeight="true" outlineLevel="0" collapsed="false">
      <c r="A69" s="11" t="s">
        <v>170</v>
      </c>
      <c r="B69" s="11" t="s">
        <v>171</v>
      </c>
      <c r="C69" s="10" t="n">
        <v>10.62</v>
      </c>
      <c r="D69" s="10" t="n">
        <v>1000</v>
      </c>
      <c r="E69" s="11" t="s">
        <v>172</v>
      </c>
      <c r="F69" s="9" t="n">
        <f aca="false">C69*$D$16</f>
        <v>106.2</v>
      </c>
      <c r="G69" s="10" t="n">
        <v>30</v>
      </c>
      <c r="H69" s="9" t="n">
        <f aca="false">C69*G69</f>
        <v>318.6</v>
      </c>
      <c r="I69" s="15" t="n">
        <f aca="false">(D69+F69+H69)*$D$17/1000</f>
        <v>1.56728</v>
      </c>
      <c r="J69" s="10" t="n">
        <v>2.5</v>
      </c>
      <c r="K69" s="9" t="str">
        <f aca="false">IF(J69&gt;=I69,"UYGUN","KAPASİTE ARTIR")</f>
        <v>UYGUN</v>
      </c>
    </row>
    <row r="70" customFormat="false" ht="74.25" hidden="false" customHeight="true" outlineLevel="0" collapsed="false">
      <c r="A70" s="16"/>
      <c r="B70" s="17" t="s">
        <v>173</v>
      </c>
      <c r="C70" s="16"/>
      <c r="D70" s="16"/>
      <c r="E70" s="16"/>
      <c r="F70" s="16"/>
      <c r="G70" s="16"/>
      <c r="H70" s="16"/>
      <c r="I70" s="19" t="n">
        <f aca="false">SUM(I68:I69)</f>
        <v>4.81888</v>
      </c>
      <c r="J70" s="21" t="n">
        <v>6.8</v>
      </c>
      <c r="K70" s="16" t="str">
        <f aca="false">IF(AND(J70&gt;=I70,J70&gt;=0.9*SUM(J68:J69)),"UYGUN","KONTROL ET")</f>
        <v>UYGUN</v>
      </c>
    </row>
    <row r="71" customFormat="false" ht="15" hidden="false" customHeight="true" outlineLevel="0" collapsed="false">
      <c r="A71" s="7" t="s">
        <v>174</v>
      </c>
    </row>
  </sheetData>
  <mergeCells count="15">
    <mergeCell ref="A1:AF1"/>
    <mergeCell ref="A2:AF2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2026-10-07T09:16:48Z</dcterms:created>
  <dc:creator>openpyxl</dc:creator>
  <dc:description/>
  <dc:language>en-US</dc:language>
  <cp:lastModifiedBy/>
  <dcterms:modified xsi:type="dcterms:W3CDTF">2026-10-08T18:45:49Z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