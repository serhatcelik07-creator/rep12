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ktrik Güç Tablosu" sheetId="1" state="visible" r:id="rId3"/>
    <sheet name="Pano ve Kat Özeti" sheetId="2" state="visible" r:id="rId4"/>
    <sheet name="Tablolar" sheetId="3" state="visible" r:id="rId5"/>
    <sheet name="Soğutma Yükü" sheetId="4" state="visible" r:id="rId6"/>
    <sheet name="VRF İç Üniteler" sheetId="5" state="visible" r:id="rId7"/>
    <sheet name="VRF Dış Üniteler" sheetId="6" state="visible" r:id="rId8"/>
  </sheets>
  <definedNames>
    <definedName function="false" hidden="true" localSheetId="0" name="_xlnm._FilterDatabase" vbProcedure="false">'Elektrik Güç Tablosu'!$A$4:$U$39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Ön seçim değeri. VRF satırları diğer sayfalardan bağlantılıdır.</t>
        </r>
      </text>
    </comment>
  </commentList>
</comments>
</file>

<file path=xl/sharedStrings.xml><?xml version="1.0" encoding="utf-8"?>
<sst xmlns="http://schemas.openxmlformats.org/spreadsheetml/2006/main" count="902" uniqueCount="376">
  <si>
    <t xml:space="preserve">MEKANİK EKİPMAN ELEKTRİK GÜÇ TABLOSU</t>
  </si>
  <si>
    <t xml:space="preserve">TMO MARDİN BAŞMÜDÜRLÜĞÜ HİZMET BİNASI — Mekanik Tesisat — Elektrik projesine esas cihaz güç, gerilim ve faz bilgileri</t>
  </si>
  <si>
    <t xml:space="preserve">No</t>
  </si>
  <si>
    <t xml:space="preserve">Cihaz Kodu</t>
  </si>
  <si>
    <t xml:space="preserve">Sistem</t>
  </si>
  <si>
    <t xml:space="preserve">Cihaz Adı</t>
  </si>
  <si>
    <t xml:space="preserve">Teknik Özellik</t>
  </si>
  <si>
    <t xml:space="preserve">Mahal</t>
  </si>
  <si>
    <t xml:space="preserve">Kat</t>
  </si>
  <si>
    <t xml:space="preserve">Adet (Toplam)</t>
  </si>
  <si>
    <t xml:space="preserve">Çalışan Adet</t>
  </si>
  <si>
    <t xml:space="preserve">Birim Güç (kW)</t>
  </si>
  <si>
    <t xml:space="preserve">Kurulu Güç (kW)</t>
  </si>
  <si>
    <t xml:space="preserve">Talep Güç (kW)</t>
  </si>
  <si>
    <t xml:space="preserve">Gerilim (V)</t>
  </si>
  <si>
    <t xml:space="preserve">Faz</t>
  </si>
  <si>
    <t xml:space="preserve">cos φ</t>
  </si>
  <si>
    <t xml:space="preserve">Birim Akım Ib (A)</t>
  </si>
  <si>
    <t xml:space="preserve">Önerilen Sigorta (A)</t>
  </si>
  <si>
    <t xml:space="preserve">Önerilen Kablo (Cu)</t>
  </si>
  <si>
    <t xml:space="preserve">Besleyen Pano</t>
  </si>
  <si>
    <t xml:space="preserve">Plan Gösterimi</t>
  </si>
  <si>
    <t xml:space="preserve">Kaynak / Not</t>
  </si>
  <si>
    <t xml:space="preserve">KZ-1</t>
  </si>
  <si>
    <t xml:space="preserve">ISITMA</t>
  </si>
  <si>
    <t xml:space="preserve">Yoğuşmalı Duvar Tipi Doğalgaz Kazanı</t>
  </si>
  <si>
    <t xml:space="preserve">80 kW, kaskad, 70/55 °C, dahili primer pompa</t>
  </si>
  <si>
    <t xml:space="preserve">TESHİN MERKEZİ</t>
  </si>
  <si>
    <t xml:space="preserve">ZEMİN KAT</t>
  </si>
  <si>
    <t xml:space="preserve">MP</t>
  </si>
  <si>
    <t xml:space="preserve">ZEMİN KAT planı</t>
  </si>
  <si>
    <t xml:space="preserve">KAZAN_BORU_POMPA_HESABI: 2x80 kW</t>
  </si>
  <si>
    <t xml:space="preserve">KZ-2</t>
  </si>
  <si>
    <t xml:space="preserve">KP-1</t>
  </si>
  <si>
    <t xml:space="preserve">Kaskad Kontrol Paneli</t>
  </si>
  <si>
    <t xml:space="preserve">Dış hava kompanzasyonlu, BMS bağlantılı</t>
  </si>
  <si>
    <t xml:space="preserve">Isıtma v11 kazan dairesi şeması</t>
  </si>
  <si>
    <t xml:space="preserve">P-1</t>
  </si>
  <si>
    <t xml:space="preserve">Radyatör Devresi Sirkülasyon Pompası</t>
  </si>
  <si>
    <t xml:space="preserve">İkiz, frekans kontrollü ıslak rotorlu; Q=4,43 m³/h, H=2,24 mSS</t>
  </si>
  <si>
    <t xml:space="preserve">KAZAN_BORU_POMPA_HESABI sf.4</t>
  </si>
  <si>
    <t xml:space="preserve">P-2</t>
  </si>
  <si>
    <t xml:space="preserve">Boyler Devresi Sirkülasyon Pompası</t>
  </si>
  <si>
    <t xml:space="preserve">İkiz, ıslak rotorlu; Q=3,5 m³/h (60,7 kW, ΔT=15 K), H≈3 mSS</t>
  </si>
  <si>
    <t xml:space="preserve">BOYLER_HESABI: 60,7 kW</t>
  </si>
  <si>
    <t xml:space="preserve">GD-1</t>
  </si>
  <si>
    <t xml:space="preserve">Doğalgaz Kaçak Dedektörü + Selenoid Vana</t>
  </si>
  <si>
    <t xml:space="preserve">Sesli/ışıklı alarm, NC selenoid</t>
  </si>
  <si>
    <t xml:space="preserve">Doğalgaz iç tesisat esasları</t>
  </si>
  <si>
    <t xml:space="preserve">SP-1</t>
  </si>
  <si>
    <t xml:space="preserve">SIHHİ TESİSAT</t>
  </si>
  <si>
    <t xml:space="preserve">Kullanım Sıcak Suyu Resirkülasyon Pompası</t>
  </si>
  <si>
    <t xml:space="preserve">Q=0,4 m³/h, H=0,5 mSS, bronz gövde</t>
  </si>
  <si>
    <t xml:space="preserve">SİRKÜLASYON_POMPASI_HESABI</t>
  </si>
  <si>
    <t xml:space="preserve">B-1</t>
  </si>
  <si>
    <t xml:space="preserve">Serpantinli Boyler</t>
  </si>
  <si>
    <t xml:space="preserve">500 L, kazan beslemeli (elektriksiz)</t>
  </si>
  <si>
    <t xml:space="preserve">-</t>
  </si>
  <si>
    <t xml:space="preserve">BOYLER_HESABI: 500 L</t>
  </si>
  <si>
    <t xml:space="preserve">HD-1</t>
  </si>
  <si>
    <t xml:space="preserve">Temiz Su Hidroforu (Paket)</t>
  </si>
  <si>
    <t xml:space="preserve">2 pompalı, frekans konv.; Q=2x1,12 m³/h, Palt=2,9 / Püst=4,4 bar, 100 L tank</t>
  </si>
  <si>
    <t xml:space="preserve">YAĞ.SİS. VE GENEL SU DEPOSU</t>
  </si>
  <si>
    <t xml:space="preserve">TEMİZ_SU_DEPO_HİDROFOR_HESABI</t>
  </si>
  <si>
    <t xml:space="preserve">SH-1</t>
  </si>
  <si>
    <t xml:space="preserve">YAĞMUR SUYU</t>
  </si>
  <si>
    <t xml:space="preserve">Bahçe Sulama Hidroforu</t>
  </si>
  <si>
    <t xml:space="preserve">2 pompalı, yağmur suyu deposundan; 1000 m² bahçe</t>
  </si>
  <si>
    <t xml:space="preserve">MANEVRA ODASI (BAHÇE)</t>
  </si>
  <si>
    <t xml:space="preserve">YAĞMUR_SUYU_HESABI / mardin_2</t>
  </si>
  <si>
    <t xml:space="preserve">YP-1</t>
  </si>
  <si>
    <t xml:space="preserve">Yağmur Suyu Deposu Taşma/Boşaltma Dalgıç Pompası</t>
  </si>
  <si>
    <t xml:space="preserve">12 m³ gömülü depo, flatörlü</t>
  </si>
  <si>
    <t xml:space="preserve">YAĞMUR SUYU DEPOSU (BAHÇE)</t>
  </si>
  <si>
    <t xml:space="preserve">Edirne yağmur suyu (1-1,5 kW)</t>
  </si>
  <si>
    <t xml:space="preserve">EF-01</t>
  </si>
  <si>
    <t xml:space="preserve">HAVALANDIRMA</t>
  </si>
  <si>
    <t xml:space="preserve">Teshin Merkezi Taze Hava Fanı</t>
  </si>
  <si>
    <t xml:space="preserve">Kanal tipi aksiyal, ex-proof, 750 m³/h</t>
  </si>
  <si>
    <t xml:space="preserve">Edirne HVL EF-01 eşdeğeri</t>
  </si>
  <si>
    <t xml:space="preserve">EF-02</t>
  </si>
  <si>
    <t xml:space="preserve">Teshin Merkezi Egzost Fanı</t>
  </si>
  <si>
    <t xml:space="preserve">Kanal tipi aksiyal, ex-proof, 500 m³/h</t>
  </si>
  <si>
    <t xml:space="preserve">Edirne HVL EF-02 eşdeğeri</t>
  </si>
  <si>
    <t xml:space="preserve">EF-03</t>
  </si>
  <si>
    <t xml:space="preserve">Zemin Kat WC / Personel Egzost Fanı</t>
  </si>
  <si>
    <t xml:space="preserve">Kanal tipi, 500 m³/h, hız anahtarlı</t>
  </si>
  <si>
    <t xml:space="preserve">WC HOLÜ</t>
  </si>
  <si>
    <t xml:space="preserve">ZKTP</t>
  </si>
  <si>
    <t xml:space="preserve">Mimari not: MEK.HVL.</t>
  </si>
  <si>
    <t xml:space="preserve">EF-04</t>
  </si>
  <si>
    <t xml:space="preserve">Misafirhane Banyo + Çamaşırhane Egzost Fanı</t>
  </si>
  <si>
    <t xml:space="preserve">Kanal tipi, 450 m³/h</t>
  </si>
  <si>
    <t xml:space="preserve">MİSAFİRHANE KORİDOR</t>
  </si>
  <si>
    <t xml:space="preserve">Edirne HVL EF-05 eşdeğeri</t>
  </si>
  <si>
    <t xml:space="preserve">ASP-1</t>
  </si>
  <si>
    <t xml:space="preserve">Mutfak Davlumbaz Aspiratörü</t>
  </si>
  <si>
    <t xml:space="preserve">Ankastre, karbon filtreli, 650 m³/h</t>
  </si>
  <si>
    <t xml:space="preserve">MUTFAK</t>
  </si>
  <si>
    <t xml:space="preserve">Edirne HVL ASP-1 eşdeğeri</t>
  </si>
  <si>
    <t xml:space="preserve">EF-05</t>
  </si>
  <si>
    <t xml:space="preserve">1. Kat WC Grubu Egzost Fanı</t>
  </si>
  <si>
    <t xml:space="preserve">Kanal tipi, 600 m³/h, hız anahtarlı</t>
  </si>
  <si>
    <t xml:space="preserve">1. KAT</t>
  </si>
  <si>
    <t xml:space="preserve">1KTP</t>
  </si>
  <si>
    <t xml:space="preserve">1. KAT planı</t>
  </si>
  <si>
    <t xml:space="preserve">EF-06</t>
  </si>
  <si>
    <t xml:space="preserve">2. Kat WC Grubu Egzost Fanı</t>
  </si>
  <si>
    <t xml:space="preserve">2. KAT</t>
  </si>
  <si>
    <t xml:space="preserve">2KTP</t>
  </si>
  <si>
    <t xml:space="preserve">2. KAT planı</t>
  </si>
  <si>
    <t xml:space="preserve">EF-07</t>
  </si>
  <si>
    <t xml:space="preserve">Abdesthane Egzost Fanı</t>
  </si>
  <si>
    <t xml:space="preserve">Kanal tipi, 400 m³/h</t>
  </si>
  <si>
    <t xml:space="preserve">ABDESTHANELER</t>
  </si>
  <si>
    <t xml:space="preserve">Edirne HVL EF-04 eşdeğeri</t>
  </si>
  <si>
    <t xml:space="preserve">MK-1</t>
  </si>
  <si>
    <t xml:space="preserve">KLİMA</t>
  </si>
  <si>
    <t xml:space="preserve">VRF Merkezi Kumanda</t>
  </si>
  <si>
    <t xml:space="preserve">Dokunmatik, tüm iç üniteler</t>
  </si>
  <si>
    <t xml:space="preserve">GÜVENLİK-DANIŞMA</t>
  </si>
  <si>
    <t xml:space="preserve">Edirne VRF notu</t>
  </si>
  <si>
    <t xml:space="preserve">SPLT-1</t>
  </si>
  <si>
    <t xml:space="preserve">Server Odası Split Klima (İç+Dış)</t>
  </si>
  <si>
    <t xml:space="preserve">12.000 Btu/h (3,5 kW), 7/24, 1 asıl + 1 yedek</t>
  </si>
  <si>
    <t xml:space="preserve">SERVER ODASI</t>
  </si>
  <si>
    <t xml:space="preserve">Edirne SPLT-1 eşdeğeri</t>
  </si>
  <si>
    <t xml:space="preserve">VRF-1A</t>
  </si>
  <si>
    <t xml:space="preserve">KLİMA (VRF)</t>
  </si>
  <si>
    <t xml:space="preserve">VRF Dış Ünite (VRF-1)</t>
  </si>
  <si>
    <t xml:space="preserve">12 HP, 33.5 kW soğutma, tam DC inverter; Zemin Kat + 1. Kat</t>
  </si>
  <si>
    <t xml:space="preserve">BAHÇE - BETON KAİDE (KUZEY)</t>
  </si>
  <si>
    <t xml:space="preserve">VRF-P</t>
  </si>
  <si>
    <t xml:space="preserve">VRF Dış Üniteler sayfası</t>
  </si>
  <si>
    <t xml:space="preserve">VRF-1B</t>
  </si>
  <si>
    <t xml:space="preserve">VRF-2A</t>
  </si>
  <si>
    <t xml:space="preserve">VRF Dış Ünite (VRF-2)</t>
  </si>
  <si>
    <t xml:space="preserve">18 HP, 50.0 kW soğutma, tam DC inverter; 2. Kat</t>
  </si>
  <si>
    <t xml:space="preserve">TİP-21</t>
  </si>
  <si>
    <t xml:space="preserve">VRF İç Ünite (VRF-1)</t>
  </si>
  <si>
    <t xml:space="preserve">Kaset Tip 4 Yöne Üflemeli, 2.2 kW soğ. / 2.5 kW ısıtma</t>
  </si>
  <si>
    <t xml:space="preserve">ZEMİN KAT ofis/çalışma mahalleri</t>
  </si>
  <si>
    <t xml:space="preserve">VRF İç Üniteler sayfası (adet mahal listesinden)</t>
  </si>
  <si>
    <t xml:space="preserve">TİP-25</t>
  </si>
  <si>
    <t xml:space="preserve">Kaset Tip 4 Yöne Üflemeli, 5.6 kW soğ. / 6.3 kW ısıtma</t>
  </si>
  <si>
    <t xml:space="preserve">TİP-22</t>
  </si>
  <si>
    <t xml:space="preserve">Kaset Tip 4 Yöne Üflemeli, 2.8 kW soğ. / 3.2 kW ısıtma</t>
  </si>
  <si>
    <t xml:space="preserve">TİP-23</t>
  </si>
  <si>
    <t xml:space="preserve">Kaset Tip 4 Yöne Üflemeli, 3.6 kW soğ. / 4.0 kW ısıtma</t>
  </si>
  <si>
    <t xml:space="preserve">1. KAT ofis/çalışma mahalleri</t>
  </si>
  <si>
    <t xml:space="preserve">TİP-24</t>
  </si>
  <si>
    <t xml:space="preserve">Kaset Tip 4 Yöne Üflemeli, 4.5 kW soğ. / 5.0 kW ısıtma</t>
  </si>
  <si>
    <t xml:space="preserve">VRF İç Ünite (VRF-2)</t>
  </si>
  <si>
    <t xml:space="preserve">2. KAT ofis/çalışma mahalleri</t>
  </si>
  <si>
    <t xml:space="preserve">SİSTEM BAZINDA TOPLAMLAR</t>
  </si>
  <si>
    <t xml:space="preserve">GENEL TOPLAM (MEKANİK)</t>
  </si>
  <si>
    <t xml:space="preserve">LEJANT: Mavi yazı = değiştirilebilir girdi (adet, birim güç, gerilim, faz, cos φ) · Yeşil yazı = diğer sayfadan bağlantı · Siyah = formül.</t>
  </si>
  <si>
    <t xml:space="preserve">Kurulu Güç = Adet × Birim Güç · Talep Güç = Çalışan Adet × Birim Güç (yedek/stand-by cihazlar hariç).</t>
  </si>
  <si>
    <t xml:space="preserve">Birim akım: 1~ için Ib = P/(U·cosφ), 3~ için Ib = P/(√3·U·cosφ). Sigorta In ≥ 1,25·Ib (Tablolar sayfası); kablo kesitleri ön değerdir.</t>
  </si>
  <si>
    <t xml:space="preserve">Cihaz elektrik güçleri ön seçim değerleridir; satın alınan cihazların katalog değerleri esas alınacak, malzeme onayından sonra elektrik projesi revize edilecektir.</t>
  </si>
  <si>
    <t xml:space="preserve">Isıtma (2×80 kW kazan, P-1/P-2 pompa debi-basma), boyler (500 L, 60,7 kW), sirkülasyon (0,4 m³/h - 0,5 mSS), hidrofor (2×1,12 m³/h, 2,9/4,4 bar) ve yağmur suyu verileri TMO Mardin hesap dosyalarından alınmıştır.</t>
  </si>
  <si>
    <t xml:space="preserve">Pano kodları: MP = Mekanik Pano (Teshin Merkezi), VRF-P = VRF Dış Ünite Panosu, ZKTP / 1KTP / 2KTP = Zemin / 1. / 2. Kat Tali Panoları.</t>
  </si>
  <si>
    <t xml:space="preserve">PANO VE KAT BAZINDA MEKANİK YÜK ÖZETİ</t>
  </si>
  <si>
    <t xml:space="preserve">TMO MARDİN BAŞMÜDÜRLÜĞÜ HİZMET BİNASI — Mekanik Tesisat</t>
  </si>
  <si>
    <t xml:space="preserve">Açıklama</t>
  </si>
  <si>
    <t xml:space="preserve">Cihaz Adedi</t>
  </si>
  <si>
    <t xml:space="preserve">Pay (Talep)</t>
  </si>
  <si>
    <t xml:space="preserve">Mekanik Pano - Teshin Merkezi (ısıtma, hidrofor, yağmur suyu, teshin fanları)</t>
  </si>
  <si>
    <t xml:space="preserve">VRF Dış Ünite Panosu (400V 3N~)</t>
  </si>
  <si>
    <t xml:space="preserve">Zemin Kat Tali Panosu</t>
  </si>
  <si>
    <t xml:space="preserve">1. Kat Tali Panosu</t>
  </si>
  <si>
    <t xml:space="preserve">2. Kat Tali Panosu</t>
  </si>
  <si>
    <t xml:space="preserve">TOPLAM</t>
  </si>
  <si>
    <t xml:space="preserve">Kontrol: genel toplam ile fark (0 olmalı)</t>
  </si>
  <si>
    <t xml:space="preserve">Teshin merkezi, su deposu, bahçe (VRF dış üniteler dahil)</t>
  </si>
  <si>
    <t xml:space="preserve">Ofisler</t>
  </si>
  <si>
    <t xml:space="preserve">Yönetim, konferans, mescit</t>
  </si>
  <si>
    <t xml:space="preserve">YARDIMCI TABLOLAR</t>
  </si>
  <si>
    <t xml:space="preserve">VRF iç ünite tipleri (Edirne TMO VRF projesi tip tablosu ile aynı), sigorta ve kablo seçim tabloları</t>
  </si>
  <si>
    <t xml:space="preserve">Tip</t>
  </si>
  <si>
    <t xml:space="preserve">Ünite Tipi</t>
  </si>
  <si>
    <t xml:space="preserve">Soğutma Kap. (kW)</t>
  </si>
  <si>
    <t xml:space="preserve">Isıtma Kap. (kW)</t>
  </si>
  <si>
    <t xml:space="preserve">Elk. Gücü (W)</t>
  </si>
  <si>
    <t xml:space="preserve">Boyut (mm)</t>
  </si>
  <si>
    <t xml:space="preserve">Sigorta seçimi: In ≥ 1,25 × Ib (C eğrisi, min. 10 A)</t>
  </si>
  <si>
    <t xml:space="preserve">Kaset Tip 4 Yöne Üflemeli</t>
  </si>
  <si>
    <t xml:space="preserve">570x570x260</t>
  </si>
  <si>
    <t xml:space="preserve">Alt sınır (A)</t>
  </si>
  <si>
    <t xml:space="preserve">Sigorta (A)</t>
  </si>
  <si>
    <t xml:space="preserve">Kablo (mm², Cu)</t>
  </si>
  <si>
    <t xml:space="preserve">2,5</t>
  </si>
  <si>
    <t xml:space="preserve">4</t>
  </si>
  <si>
    <t xml:space="preserve">TİP-26</t>
  </si>
  <si>
    <t xml:space="preserve">840x840x204</t>
  </si>
  <si>
    <t xml:space="preserve">6</t>
  </si>
  <si>
    <t xml:space="preserve">10</t>
  </si>
  <si>
    <t xml:space="preserve">16</t>
  </si>
  <si>
    <t xml:space="preserve">25</t>
  </si>
  <si>
    <t xml:space="preserve">Not: Kablo kesitleri ön değerdir; gerilim düşümü ve döşeme koşullarına göre elektrik projesinde kesinleştirilecektir.</t>
  </si>
  <si>
    <t xml:space="preserve">OFİS VE ÇALIŞMA MAHALLERİ SOĞUTMA YÜKÜ HESABI</t>
  </si>
  <si>
    <t xml:space="preserve">TMO MARDİN BAŞMÜDÜRLÜĞÜ HİZMET BİNASI — Mekanik Tesisat — Ön proje, CLTD/CLF basitleştirilmiş yöntem (ASHRAE), mahal bazında pik yük</t>
  </si>
  <si>
    <t xml:space="preserve">TASARIM ŞARTLARI VE KATSAYILAR</t>
  </si>
  <si>
    <t xml:space="preserve">CEPHE YÖNLERİ (kuzey oku planda sağ-alt, ≈ -53°)</t>
  </si>
  <si>
    <t xml:space="preserve">MAHAL TİPİ İÇ YÜKLERİ</t>
  </si>
  <si>
    <t xml:space="preserve">Dış tasarım sıcaklığı (KT) [°C]</t>
  </si>
  <si>
    <t xml:space="preserve">Mardin yaz %0,4 tasarım değeri (≈38,5 °C KT / 20,5 °C YT)</t>
  </si>
  <si>
    <t xml:space="preserve">Plan cephesi</t>
  </si>
  <si>
    <t xml:space="preserve">Yön</t>
  </si>
  <si>
    <t xml:space="preserve">Azimut (°)</t>
  </si>
  <si>
    <t xml:space="preserve">SHGF maks. (W/m²)</t>
  </si>
  <si>
    <t xml:space="preserve">Duvar ΔTeş (K)</t>
  </si>
  <si>
    <t xml:space="preserve">Mahal tipi</t>
  </si>
  <si>
    <t xml:space="preserve">Kişi yoğ. (m²/kişi)</t>
  </si>
  <si>
    <t xml:space="preserve">Sabit kişi</t>
  </si>
  <si>
    <t xml:space="preserve">Duyulur (W/kişi)</t>
  </si>
  <si>
    <t xml:space="preserve">Gizli (W/kişi)</t>
  </si>
  <si>
    <t xml:space="preserve">Cihaz (W/m²)</t>
  </si>
  <si>
    <t xml:space="preserve">İç tasarım sıcaklığı [°C]</t>
  </si>
  <si>
    <t xml:space="preserve">%50 bağıl nem</t>
  </si>
  <si>
    <t xml:space="preserve">Alt (giriş)</t>
  </si>
  <si>
    <t xml:space="preserve">KD</t>
  </si>
  <si>
    <t xml:space="preserve">OFİS</t>
  </si>
  <si>
    <t xml:space="preserve">Cam U değeri [W/m²K]</t>
  </si>
  <si>
    <t xml:space="preserve">Low-e ısıcam</t>
  </si>
  <si>
    <t xml:space="preserve">Üst</t>
  </si>
  <si>
    <t xml:space="preserve">GB</t>
  </si>
  <si>
    <t xml:space="preserve">MAKAM</t>
  </si>
  <si>
    <t xml:space="preserve">Gölgeleme katsayısı SC [-]</t>
  </si>
  <si>
    <t xml:space="preserve">Low-e cam + iç perde/stor</t>
  </si>
  <si>
    <t xml:space="preserve">Sağ</t>
  </si>
  <si>
    <t xml:space="preserve">KB</t>
  </si>
  <si>
    <t xml:space="preserve">SEKRETERYA</t>
  </si>
  <si>
    <t xml:space="preserve">Cam soğutma yükü faktörü CLF [-]</t>
  </si>
  <si>
    <t xml:space="preserve">İç gölgelemeli, orta ağırlıkta yapı, pik saat</t>
  </si>
  <si>
    <t xml:space="preserve">Sol</t>
  </si>
  <si>
    <t xml:space="preserve">GD</t>
  </si>
  <si>
    <t xml:space="preserve">KONFERANS</t>
  </si>
  <si>
    <t xml:space="preserve">Dış duvar U değeri [W/m²K]</t>
  </si>
  <si>
    <t xml:space="preserve">TS 825 2. bölge</t>
  </si>
  <si>
    <t xml:space="preserve">MESCİT</t>
  </si>
  <si>
    <t xml:space="preserve">Çatı arası tavan U değeri [W/m²K]</t>
  </si>
  <si>
    <t xml:space="preserve">Sadece 2. kat mahalleri</t>
  </si>
  <si>
    <t xml:space="preserve">SHGF: 37° K enlemi, Temmuz, saatlik maksimum güneş ısı kazancı faktörü; ΔTeş: orta ağırlıklı duvar CLTD (renk/enlem düzeltmeli).</t>
  </si>
  <si>
    <t xml:space="preserve">YEMEKHANE</t>
  </si>
  <si>
    <t xml:space="preserve">Çatı eşdeğer sıcaklık farkı [K]</t>
  </si>
  <si>
    <t xml:space="preserve">Havalandırmalı kiremit çatı arası</t>
  </si>
  <si>
    <t xml:space="preserve">ÇOCUK</t>
  </si>
  <si>
    <t xml:space="preserve">Kat yüksekliği (cephe) [m]</t>
  </si>
  <si>
    <t xml:space="preserve">Kotlar: +1,20 / +5,20 / +9,20</t>
  </si>
  <si>
    <t xml:space="preserve">MİSAFİRHANE</t>
  </si>
  <si>
    <t xml:space="preserve">Net mahal yüksekliği [m]</t>
  </si>
  <si>
    <t xml:space="preserve">Asma tavan altı</t>
  </si>
  <si>
    <t xml:space="preserve">DİNLENME</t>
  </si>
  <si>
    <t xml:space="preserve">İnfiltrasyon [1/h]</t>
  </si>
  <si>
    <t xml:space="preserve">GÜVENLİK</t>
  </si>
  <si>
    <t xml:space="preserve">Aydınlatma yükü [W/m²]</t>
  </si>
  <si>
    <t xml:space="preserve">LED armatür</t>
  </si>
  <si>
    <t xml:space="preserve">Emniyet katsayısı [-]</t>
  </si>
  <si>
    <t xml:space="preserve">Mahal No</t>
  </si>
  <si>
    <t xml:space="preserve">Mahal Adı</t>
  </si>
  <si>
    <t xml:space="preserve">Mahal Tipi</t>
  </si>
  <si>
    <t xml:space="preserve">Alan (m²)</t>
  </si>
  <si>
    <t xml:space="preserve">Kişi Sayısı</t>
  </si>
  <si>
    <t xml:space="preserve">Dış Duvar KD (m)</t>
  </si>
  <si>
    <t xml:space="preserve">Cam KD (m²)</t>
  </si>
  <si>
    <t xml:space="preserve">Dış Duvar GB (m)</t>
  </si>
  <si>
    <t xml:space="preserve">Cam GB (m²)</t>
  </si>
  <si>
    <t xml:space="preserve">Dış Duvar KB (m)</t>
  </si>
  <si>
    <t xml:space="preserve">Cam KB (m²)</t>
  </si>
  <si>
    <t xml:space="preserve">Dış Duvar GD (m)</t>
  </si>
  <si>
    <t xml:space="preserve">Cam GD (m²)</t>
  </si>
  <si>
    <t xml:space="preserve">Çatı Altı (1/0)</t>
  </si>
  <si>
    <t xml:space="preserve">Pencereler</t>
  </si>
  <si>
    <t xml:space="preserve">Q Cam Güneş (W)</t>
  </si>
  <si>
    <t xml:space="preserve">Q Cam İletim (W)</t>
  </si>
  <si>
    <t xml:space="preserve">Q Dış Duvar (W)</t>
  </si>
  <si>
    <t xml:space="preserve">Q Çatı (W)</t>
  </si>
  <si>
    <t xml:space="preserve">Q İnsan Duyulur (W)</t>
  </si>
  <si>
    <t xml:space="preserve">Q Aydınlatma (W)</t>
  </si>
  <si>
    <t xml:space="preserve">Q Cihaz (W)</t>
  </si>
  <si>
    <t xml:space="preserve">Q İnfiltrasyon (W)</t>
  </si>
  <si>
    <t xml:space="preserve">Toplam Duyulur (W)</t>
  </si>
  <si>
    <t xml:space="preserve">Toplam Gizli (W)</t>
  </si>
  <si>
    <t xml:space="preserve">TOPLAM SOĞUTMA YÜKÜ (kW) (emniyetli)</t>
  </si>
  <si>
    <t xml:space="preserve">Birim Yük (W/m²)</t>
  </si>
  <si>
    <t xml:space="preserve">SHR (-)</t>
  </si>
  <si>
    <t xml:space="preserve">04</t>
  </si>
  <si>
    <t xml:space="preserve">pencere yok (iç mahal)</t>
  </si>
  <si>
    <t xml:space="preserve">09/A</t>
  </si>
  <si>
    <t xml:space="preserve">KD: AL1 140x350 + AL1 140x350 + AL1 140x350</t>
  </si>
  <si>
    <t xml:space="preserve">28</t>
  </si>
  <si>
    <t xml:space="preserve">DİNLENME ALANI</t>
  </si>
  <si>
    <t xml:space="preserve">KD: AL1 140x350</t>
  </si>
  <si>
    <t xml:space="preserve">24/A</t>
  </si>
  <si>
    <t xml:space="preserve">MİSAFİRHANE-1</t>
  </si>
  <si>
    <t xml:space="preserve">GB: P3 160x320</t>
  </si>
  <si>
    <t xml:space="preserve">25/A</t>
  </si>
  <si>
    <t xml:space="preserve">MİSAFİRHANE-2</t>
  </si>
  <si>
    <t xml:space="preserve">26/A</t>
  </si>
  <si>
    <t xml:space="preserve">MİSAFİRHANE-3</t>
  </si>
  <si>
    <t xml:space="preserve">27/A</t>
  </si>
  <si>
    <t xml:space="preserve">MİSAFİRHANE-4</t>
  </si>
  <si>
    <t xml:space="preserve">KD: AL1 140x350 + AL1 140x350</t>
  </si>
  <si>
    <t xml:space="preserve">13</t>
  </si>
  <si>
    <t xml:space="preserve">GB: P3 160x320 + P3 160x320</t>
  </si>
  <si>
    <t xml:space="preserve">14</t>
  </si>
  <si>
    <t xml:space="preserve">ÇOCUK BAKIM/OYUN</t>
  </si>
  <si>
    <t xml:space="preserve">19</t>
  </si>
  <si>
    <t xml:space="preserve">20</t>
  </si>
  <si>
    <t xml:space="preserve">GB: P3 160x320; KB: P3 160x320</t>
  </si>
  <si>
    <t xml:space="preserve">06</t>
  </si>
  <si>
    <t xml:space="preserve">KD: AL1 140x350; KB: P3 160x320</t>
  </si>
  <si>
    <t xml:space="preserve">07</t>
  </si>
  <si>
    <t xml:space="preserve">08</t>
  </si>
  <si>
    <t xml:space="preserve">09</t>
  </si>
  <si>
    <t xml:space="preserve">KD: AL1 140x350 + AL5 140x350</t>
  </si>
  <si>
    <t xml:space="preserve">KD: AL5 140x350 + AL1 140x350 + AL1 140x350</t>
  </si>
  <si>
    <t xml:space="preserve">11</t>
  </si>
  <si>
    <t xml:space="preserve">KD: AL1 140x350 + AL1 140x350; GD: P3 160x320</t>
  </si>
  <si>
    <t xml:space="preserve">15</t>
  </si>
  <si>
    <t xml:space="preserve">MÜDÜR YARD. ODASI</t>
  </si>
  <si>
    <t xml:space="preserve">HUKUK SERVİSİ</t>
  </si>
  <si>
    <t xml:space="preserve">17</t>
  </si>
  <si>
    <t xml:space="preserve">BAŞ MÜŞAVİR ODASI</t>
  </si>
  <si>
    <t xml:space="preserve">24/B</t>
  </si>
  <si>
    <t xml:space="preserve">KADIN MESCİT</t>
  </si>
  <si>
    <t xml:space="preserve">25/B</t>
  </si>
  <si>
    <t xml:space="preserve">ERKEK MESCİT</t>
  </si>
  <si>
    <t xml:space="preserve">KB: P3 160x320</t>
  </si>
  <si>
    <t xml:space="preserve">KONFERANS SALONU</t>
  </si>
  <si>
    <t xml:space="preserve">KD: P3 100x250 + P3 100x250</t>
  </si>
  <si>
    <t xml:space="preserve">KD: AL5 140x350</t>
  </si>
  <si>
    <t xml:space="preserve">12</t>
  </si>
  <si>
    <t xml:space="preserve">BAŞ MÜDÜR ODASI</t>
  </si>
  <si>
    <t xml:space="preserve">KD: AL1 140x350; GD: P3 160x320</t>
  </si>
  <si>
    <t xml:space="preserve">Yöntem: Q güneş = A·SHGF·SC·CLF ; Q iletim = U·A·ΔT ; Q duvar = U·A_net·ΔTeş ; Q insan = n·(qd+qg) ; Q infiltrasyon = 0,335·n·V·ΔT. Toplam = (duyulur + gizli) × emniyet.</t>
  </si>
  <si>
    <t xml:space="preserve">Mardin yaz havası kurudur (dış ≈ 8 g/kg &lt; iç 24 °C %50 ≈ 9,3 g/kg); infiltrasyon gizli yükü ihmal edilmiştir.</t>
  </si>
  <si>
    <t xml:space="preserve">Dış duvar boyları ve pencere alanları TEMİZ_1.dxf planından (mahal sınırı, P3 160x320, AL1/AL5 140 genişlik şerit pencere — kat başına 3,50 m etkin cam yüksekliği) alınmıştır.</t>
  </si>
  <si>
    <t xml:space="preserve">Yük mahal bazında pik (eş zamansız) değerdir; dış ünite seçiminde iç ünite toplamı / dış ünite kombinasyon oranı %100-%115 alınmıştır.</t>
  </si>
  <si>
    <t xml:space="preserve">Mavi hücreler girdi olup değiştirildiğinde tüm yükler ve "VRF İç Üniteler" sayfasındaki kapasite kontrolü yeniden hesaplanır.</t>
  </si>
  <si>
    <t xml:space="preserve">VRF İÇ ÜNİTE SEÇİM TABLOSU (KASET TİP 4 YÖNE ÜFLEMELİ)</t>
  </si>
  <si>
    <t xml:space="preserve">TMO MARDİN BAŞMÜDÜRLÜĞÜ HİZMET BİNASI — Mekanik Tesisat — Ofis ve çalışma mahalleri</t>
  </si>
  <si>
    <t xml:space="preserve">Birim Soğ. Yükü (W/m²)</t>
  </si>
  <si>
    <t xml:space="preserve">Hesaplanan Soğ. Yükü (kW)</t>
  </si>
  <si>
    <t xml:space="preserve">Adet</t>
  </si>
  <si>
    <t xml:space="preserve">Birim Soğ. Kap. (kW)</t>
  </si>
  <si>
    <t xml:space="preserve">Toplam Soğ. Kap. (kW)</t>
  </si>
  <si>
    <t xml:space="preserve">Kontrol</t>
  </si>
  <si>
    <t xml:space="preserve">Toplam Isıt. Kap. (kW)</t>
  </si>
  <si>
    <t xml:space="preserve">Birim Elk. (W)</t>
  </si>
  <si>
    <t xml:space="preserve">Toplam Elk. (kW)</t>
  </si>
  <si>
    <t xml:space="preserve">VRF Sistemi</t>
  </si>
  <si>
    <t xml:space="preserve">Pano</t>
  </si>
  <si>
    <t xml:space="preserve">VRF-1</t>
  </si>
  <si>
    <t xml:space="preserve">VRF-2</t>
  </si>
  <si>
    <t xml:space="preserve">Soğutma yükü değerleri "Soğutma Yükü" sayfasındaki mahal bazında hesaptan bağlantılıdır (yeşil). Ünite tipi/adet mavi hücreleri değiştirilebilir; Kontrol sütunu kapasite yeterliliğini gösterir.</t>
  </si>
  <si>
    <t xml:space="preserve">Kaynak: Mahal alanları TEMİZ_1.dxf mimari mahal etiketleri; ünite tip/kapasite/güç değerleri TMO Edirne Hizmet Binası VRF projesi iç ünite seçim tablosu.</t>
  </si>
  <si>
    <t xml:space="preserve">VRF DIŞ ÜNİTE SEÇİM TABLOSU</t>
  </si>
  <si>
    <t xml:space="preserve">TMO MARDİN BAŞMÜDÜRLÜĞÜ HİZMET BİNASI — Mekanik Tesisat — Hava soğutmalı, tam DC inverter, üstten hava atışlı (bahçe, beton kaide)</t>
  </si>
  <si>
    <t xml:space="preserve">Modül</t>
  </si>
  <si>
    <t xml:space="preserve">Kapasite (HP)</t>
  </si>
  <si>
    <t xml:space="preserve">Elk. Gücü (kW)</t>
  </si>
  <si>
    <t xml:space="preserve">Gerilim</t>
  </si>
  <si>
    <t xml:space="preserve">Ölçü WxDxH (mm)</t>
  </si>
  <si>
    <t xml:space="preserve">Hizmet Ettiği Katlar</t>
  </si>
  <si>
    <t xml:space="preserve">Sistem İç Ünite Toplamı (kW)</t>
  </si>
  <si>
    <t xml:space="preserve">Sistem Dış Ünite Toplamı (kW)</t>
  </si>
  <si>
    <t xml:space="preserve">Kombinasyon Oranı</t>
  </si>
  <si>
    <t xml:space="preserve">400V 3N~ 50Hz</t>
  </si>
  <si>
    <t xml:space="preserve">1240x765x1690</t>
  </si>
  <si>
    <t xml:space="preserve">Zemin Kat + 1. Kat</t>
  </si>
  <si>
    <t xml:space="preserve">2. Kat</t>
  </si>
  <si>
    <t xml:space="preserve">Kombinasyon oranı (iç ünite toplamı / dış ünite toplamı) %50-%130 aralığında olmalıdır; Mardin yüksek dış sıcaklığı nedeniyle %110 altı tercih edilmiştir.</t>
  </si>
  <si>
    <t xml:space="preserve">Elektrik güçleri TMO Edirne VRF projesi dış ünite tablosundaki oran ile (≈0,42 kW elektrik / kW soğutma; 12 HP: 13,80 kW) alınmıştır; seçilen markanın katalog değeri esas alınacaktır.</t>
  </si>
  <si>
    <t xml:space="preserve">Dış üniteler 10 cm beton kaide üzerine, çelik kafes içinde, kuzey cephe bahçesine konulacaktır. Merkezi kumanda Z-04 Güvenlik-Danışma mahallindedir.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</si>
</sst>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General"/>
    <numFmt numFmtId="167" formatCode="0.0%"/>
    <numFmt numFmtId="168" formatCode="#,##0"/>
    <numFmt numFmtId="169" formatCode="0"/>
    <numFmt numFmtId="170" formatCode="0.000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9" min="8" style="0" width="9"/>
    <col collapsed="false" customWidth="true" hidden="false" outlineLevel="0" max="12" min="10" style="0" width="10"/>
    <col collapsed="false" customWidth="true" hidden="false" outlineLevel="0" max="13" min="13" style="0" width="9"/>
    <col collapsed="false" customWidth="true" hidden="false" outlineLevel="0" max="14" min="14" style="0" width="5"/>
    <col collapsed="false" customWidth="true" hidden="false" outlineLevel="0" max="15" min="15" style="0" width="7"/>
    <col collapsed="false" customWidth="true" hidden="false" outlineLevel="0" max="17" min="16" style="0" width="10"/>
    <col collapsed="false" customWidth="true" hidden="false" outlineLevel="0" max="18" min="18" style="0" width="12"/>
    <col collapsed="false" customWidth="true" hidden="false" outlineLevel="0" max="19" min="19" style="0" width="9"/>
    <col collapsed="false" customWidth="true" hidden="false" outlineLevel="0" max="20" min="20" style="0" width="15"/>
    <col collapsed="false" customWidth="true" hidden="false" outlineLevel="0" max="21" min="21" style="0" width="32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6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22.35" hidden="false" customHeight="false" outlineLevel="0" collapsed="false">
      <c r="A5" s="4" t="n">
        <v>1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6" t="n">
        <v>1</v>
      </c>
      <c r="I5" s="6" t="n">
        <v>1</v>
      </c>
      <c r="J5" s="7" t="n">
        <v>0.3</v>
      </c>
      <c r="K5" s="8" t="n">
        <f aca="false">H5*J5</f>
        <v>0.3</v>
      </c>
      <c r="L5" s="8" t="n">
        <f aca="false">I5*J5</f>
        <v>0.3</v>
      </c>
      <c r="M5" s="6" t="n">
        <v>230</v>
      </c>
      <c r="N5" s="6" t="n">
        <v>1</v>
      </c>
      <c r="O5" s="7" t="n">
        <v>0.9</v>
      </c>
      <c r="P5" s="8" t="n">
        <f aca="false">IF(OR(J5=0,M5=0),0,IF(N5=3,J5*1000/(SQRT(3)*M5*O5),J5*1000/(M5*O5)))</f>
        <v>1.44927536231884</v>
      </c>
      <c r="Q5" s="4" t="n">
        <f aca="false">IF(P5=0,"-",INDEX(Tablolar!$I$6:$I$14,MATCH(P5*1.25-0.001,Tablolar!$H$6:$H$14,1)))</f>
        <v>10</v>
      </c>
      <c r="R5" s="4" t="str">
        <f aca="false">IF(P5=0,"-",IF(N5=3,"5x","3x")&amp;INDEX(Tablolar!$J$6:$J$14,MATCH(P5*1.25-0.001,Tablolar!$H$6:$H$14,1))&amp;" mm²")</f>
        <v>3x2,5 mm²</v>
      </c>
      <c r="S5" s="5" t="s">
        <v>29</v>
      </c>
      <c r="T5" s="5" t="s">
        <v>30</v>
      </c>
      <c r="U5" s="5" t="s">
        <v>31</v>
      </c>
    </row>
    <row r="6" customFormat="false" ht="22.35" hidden="false" customHeight="false" outlineLevel="0" collapsed="false">
      <c r="A6" s="4" t="n">
        <v>2</v>
      </c>
      <c r="B6" s="5" t="s">
        <v>32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6" t="n">
        <v>1</v>
      </c>
      <c r="I6" s="6" t="n">
        <v>1</v>
      </c>
      <c r="J6" s="7" t="n">
        <v>0.3</v>
      </c>
      <c r="K6" s="8" t="n">
        <f aca="false">H6*J6</f>
        <v>0.3</v>
      </c>
      <c r="L6" s="8" t="n">
        <f aca="false">I6*J6</f>
        <v>0.3</v>
      </c>
      <c r="M6" s="6" t="n">
        <v>230</v>
      </c>
      <c r="N6" s="6" t="n">
        <v>1</v>
      </c>
      <c r="O6" s="7" t="n">
        <v>0.9</v>
      </c>
      <c r="P6" s="8" t="n">
        <f aca="false">IF(OR(J6=0,M6=0),0,IF(N6=3,J6*1000/(SQRT(3)*M6*O6),J6*1000/(M6*O6)))</f>
        <v>1.44927536231884</v>
      </c>
      <c r="Q6" s="4" t="n">
        <f aca="false">IF(P6=0,"-",INDEX(Tablolar!$I$6:$I$14,MATCH(P6*1.25-0.001,Tablolar!$H$6:$H$14,1)))</f>
        <v>10</v>
      </c>
      <c r="R6" s="4" t="str">
        <f aca="false">IF(P6=0,"-",IF(N6=3,"5x","3x")&amp;INDEX(Tablolar!$J$6:$J$14,MATCH(P6*1.25-0.001,Tablolar!$H$6:$H$14,1))&amp;" mm²")</f>
        <v>3x2,5 mm²</v>
      </c>
      <c r="S6" s="5" t="s">
        <v>29</v>
      </c>
      <c r="T6" s="5" t="s">
        <v>30</v>
      </c>
      <c r="U6" s="5" t="s">
        <v>31</v>
      </c>
    </row>
    <row r="7" customFormat="false" ht="15" hidden="false" customHeight="false" outlineLevel="0" collapsed="false">
      <c r="A7" s="4" t="n">
        <v>3</v>
      </c>
      <c r="B7" s="5" t="s">
        <v>33</v>
      </c>
      <c r="C7" s="5" t="s">
        <v>24</v>
      </c>
      <c r="D7" s="5" t="s">
        <v>34</v>
      </c>
      <c r="E7" s="5" t="s">
        <v>35</v>
      </c>
      <c r="F7" s="5" t="s">
        <v>27</v>
      </c>
      <c r="G7" s="5" t="s">
        <v>28</v>
      </c>
      <c r="H7" s="6" t="n">
        <v>1</v>
      </c>
      <c r="I7" s="6" t="n">
        <v>1</v>
      </c>
      <c r="J7" s="7" t="n">
        <v>0.05</v>
      </c>
      <c r="K7" s="8" t="n">
        <f aca="false">H7*J7</f>
        <v>0.05</v>
      </c>
      <c r="L7" s="8" t="n">
        <f aca="false">I7*J7</f>
        <v>0.05</v>
      </c>
      <c r="M7" s="6" t="n">
        <v>230</v>
      </c>
      <c r="N7" s="6" t="n">
        <v>1</v>
      </c>
      <c r="O7" s="7" t="n">
        <v>0.9</v>
      </c>
      <c r="P7" s="8" t="n">
        <f aca="false">IF(OR(J7=0,M7=0),0,IF(N7=3,J7*1000/(SQRT(3)*M7*O7),J7*1000/(M7*O7)))</f>
        <v>0.241545893719807</v>
      </c>
      <c r="Q7" s="4" t="n">
        <f aca="false">IF(P7=0,"-",INDEX(Tablolar!$I$6:$I$14,MATCH(P7*1.25-0.001,Tablolar!$H$6:$H$14,1)))</f>
        <v>10</v>
      </c>
      <c r="R7" s="4" t="str">
        <f aca="false">IF(P7=0,"-",IF(N7=3,"5x","3x")&amp;INDEX(Tablolar!$J$6:$J$14,MATCH(P7*1.25-0.001,Tablolar!$H$6:$H$14,1))&amp;" mm²")</f>
        <v>3x2,5 mm²</v>
      </c>
      <c r="S7" s="5" t="s">
        <v>29</v>
      </c>
      <c r="T7" s="5" t="s">
        <v>30</v>
      </c>
      <c r="U7" s="5" t="s">
        <v>36</v>
      </c>
    </row>
    <row r="8" customFormat="false" ht="15" hidden="false" customHeight="false" outlineLevel="0" collapsed="false">
      <c r="A8" s="4" t="n">
        <v>4</v>
      </c>
      <c r="B8" s="5" t="s">
        <v>37</v>
      </c>
      <c r="C8" s="5" t="s">
        <v>24</v>
      </c>
      <c r="D8" s="5" t="s">
        <v>38</v>
      </c>
      <c r="E8" s="5" t="s">
        <v>39</v>
      </c>
      <c r="F8" s="5" t="s">
        <v>27</v>
      </c>
      <c r="G8" s="5" t="s">
        <v>28</v>
      </c>
      <c r="H8" s="6" t="n">
        <v>2</v>
      </c>
      <c r="I8" s="6" t="n">
        <v>1</v>
      </c>
      <c r="J8" s="7" t="n">
        <v>0.2</v>
      </c>
      <c r="K8" s="8" t="n">
        <f aca="false">H8*J8</f>
        <v>0.4</v>
      </c>
      <c r="L8" s="8" t="n">
        <f aca="false">I8*J8</f>
        <v>0.2</v>
      </c>
      <c r="M8" s="6" t="n">
        <v>230</v>
      </c>
      <c r="N8" s="6" t="n">
        <v>1</v>
      </c>
      <c r="O8" s="7" t="n">
        <v>0.85</v>
      </c>
      <c r="P8" s="8" t="n">
        <f aca="false">IF(OR(J8=0,M8=0),0,IF(N8=3,J8*1000/(SQRT(3)*M8*O8),J8*1000/(M8*O8)))</f>
        <v>1.0230179028133</v>
      </c>
      <c r="Q8" s="4" t="n">
        <f aca="false">IF(P8=0,"-",INDEX(Tablolar!$I$6:$I$14,MATCH(P8*1.25-0.001,Tablolar!$H$6:$H$14,1)))</f>
        <v>10</v>
      </c>
      <c r="R8" s="4" t="str">
        <f aca="false">IF(P8=0,"-",IF(N8=3,"5x","3x")&amp;INDEX(Tablolar!$J$6:$J$14,MATCH(P8*1.25-0.001,Tablolar!$H$6:$H$14,1))&amp;" mm²")</f>
        <v>3x2,5 mm²</v>
      </c>
      <c r="S8" s="5" t="s">
        <v>29</v>
      </c>
      <c r="T8" s="5" t="s">
        <v>30</v>
      </c>
      <c r="U8" s="5" t="s">
        <v>40</v>
      </c>
    </row>
    <row r="9" customFormat="false" ht="15" hidden="false" customHeight="false" outlineLevel="0" collapsed="false">
      <c r="A9" s="4" t="n">
        <v>5</v>
      </c>
      <c r="B9" s="5" t="s">
        <v>41</v>
      </c>
      <c r="C9" s="5" t="s">
        <v>24</v>
      </c>
      <c r="D9" s="5" t="s">
        <v>42</v>
      </c>
      <c r="E9" s="5" t="s">
        <v>43</v>
      </c>
      <c r="F9" s="5" t="s">
        <v>27</v>
      </c>
      <c r="G9" s="5" t="s">
        <v>28</v>
      </c>
      <c r="H9" s="6" t="n">
        <v>2</v>
      </c>
      <c r="I9" s="6" t="n">
        <v>1</v>
      </c>
      <c r="J9" s="7" t="n">
        <v>0.15</v>
      </c>
      <c r="K9" s="8" t="n">
        <f aca="false">H9*J9</f>
        <v>0.3</v>
      </c>
      <c r="L9" s="8" t="n">
        <f aca="false">I9*J9</f>
        <v>0.15</v>
      </c>
      <c r="M9" s="6" t="n">
        <v>230</v>
      </c>
      <c r="N9" s="6" t="n">
        <v>1</v>
      </c>
      <c r="O9" s="7" t="n">
        <v>0.85</v>
      </c>
      <c r="P9" s="8" t="n">
        <f aca="false">IF(OR(J9=0,M9=0),0,IF(N9=3,J9*1000/(SQRT(3)*M9*O9),J9*1000/(M9*O9)))</f>
        <v>0.767263427109974</v>
      </c>
      <c r="Q9" s="4" t="n">
        <f aca="false">IF(P9=0,"-",INDEX(Tablolar!$I$6:$I$14,MATCH(P9*1.25-0.001,Tablolar!$H$6:$H$14,1)))</f>
        <v>10</v>
      </c>
      <c r="R9" s="4" t="str">
        <f aca="false">IF(P9=0,"-",IF(N9=3,"5x","3x")&amp;INDEX(Tablolar!$J$6:$J$14,MATCH(P9*1.25-0.001,Tablolar!$H$6:$H$14,1))&amp;" mm²")</f>
        <v>3x2,5 mm²</v>
      </c>
      <c r="S9" s="5" t="s">
        <v>29</v>
      </c>
      <c r="T9" s="5" t="s">
        <v>30</v>
      </c>
      <c r="U9" s="5" t="s">
        <v>44</v>
      </c>
    </row>
    <row r="10" customFormat="false" ht="15" hidden="false" customHeight="false" outlineLevel="0" collapsed="false">
      <c r="A10" s="4" t="n">
        <v>6</v>
      </c>
      <c r="B10" s="5" t="s">
        <v>45</v>
      </c>
      <c r="C10" s="5" t="s">
        <v>24</v>
      </c>
      <c r="D10" s="5" t="s">
        <v>46</v>
      </c>
      <c r="E10" s="5" t="s">
        <v>47</v>
      </c>
      <c r="F10" s="5" t="s">
        <v>27</v>
      </c>
      <c r="G10" s="5" t="s">
        <v>28</v>
      </c>
      <c r="H10" s="6" t="n">
        <v>1</v>
      </c>
      <c r="I10" s="6" t="n">
        <v>1</v>
      </c>
      <c r="J10" s="7" t="n">
        <v>0.02</v>
      </c>
      <c r="K10" s="8" t="n">
        <f aca="false">H10*J10</f>
        <v>0.02</v>
      </c>
      <c r="L10" s="8" t="n">
        <f aca="false">I10*J10</f>
        <v>0.02</v>
      </c>
      <c r="M10" s="6" t="n">
        <v>230</v>
      </c>
      <c r="N10" s="6" t="n">
        <v>1</v>
      </c>
      <c r="O10" s="7" t="n">
        <v>0.9</v>
      </c>
      <c r="P10" s="8" t="n">
        <f aca="false">IF(OR(J10=0,M10=0),0,IF(N10=3,J10*1000/(SQRT(3)*M10*O10),J10*1000/(M10*O10)))</f>
        <v>0.0966183574879227</v>
      </c>
      <c r="Q10" s="4" t="n">
        <f aca="false">IF(P10=0,"-",INDEX(Tablolar!$I$6:$I$14,MATCH(P10*1.25-0.001,Tablolar!$H$6:$H$14,1)))</f>
        <v>10</v>
      </c>
      <c r="R10" s="4" t="str">
        <f aca="false">IF(P10=0,"-",IF(N10=3,"5x","3x")&amp;INDEX(Tablolar!$J$6:$J$14,MATCH(P10*1.25-0.001,Tablolar!$H$6:$H$14,1))&amp;" mm²")</f>
        <v>3x2,5 mm²</v>
      </c>
      <c r="S10" s="5" t="s">
        <v>29</v>
      </c>
      <c r="T10" s="5" t="s">
        <v>30</v>
      </c>
      <c r="U10" s="5" t="s">
        <v>48</v>
      </c>
    </row>
    <row r="11" customFormat="false" ht="15" hidden="false" customHeight="false" outlineLevel="0" collapsed="false">
      <c r="A11" s="4" t="n">
        <v>7</v>
      </c>
      <c r="B11" s="5" t="s">
        <v>49</v>
      </c>
      <c r="C11" s="5" t="s">
        <v>50</v>
      </c>
      <c r="D11" s="5" t="s">
        <v>51</v>
      </c>
      <c r="E11" s="5" t="s">
        <v>52</v>
      </c>
      <c r="F11" s="5" t="s">
        <v>27</v>
      </c>
      <c r="G11" s="5" t="s">
        <v>28</v>
      </c>
      <c r="H11" s="6" t="n">
        <v>1</v>
      </c>
      <c r="I11" s="6" t="n">
        <v>1</v>
      </c>
      <c r="J11" s="7" t="n">
        <v>0.05</v>
      </c>
      <c r="K11" s="8" t="n">
        <f aca="false">H11*J11</f>
        <v>0.05</v>
      </c>
      <c r="L11" s="8" t="n">
        <f aca="false">I11*J11</f>
        <v>0.05</v>
      </c>
      <c r="M11" s="6" t="n">
        <v>230</v>
      </c>
      <c r="N11" s="6" t="n">
        <v>1</v>
      </c>
      <c r="O11" s="7" t="n">
        <v>0.85</v>
      </c>
      <c r="P11" s="8" t="n">
        <f aca="false">IF(OR(J11=0,M11=0),0,IF(N11=3,J11*1000/(SQRT(3)*M11*O11),J11*1000/(M11*O11)))</f>
        <v>0.255754475703325</v>
      </c>
      <c r="Q11" s="4" t="n">
        <f aca="false">IF(P11=0,"-",INDEX(Tablolar!$I$6:$I$14,MATCH(P11*1.25-0.001,Tablolar!$H$6:$H$14,1)))</f>
        <v>10</v>
      </c>
      <c r="R11" s="4" t="str">
        <f aca="false">IF(P11=0,"-",IF(N11=3,"5x","3x")&amp;INDEX(Tablolar!$J$6:$J$14,MATCH(P11*1.25-0.001,Tablolar!$H$6:$H$14,1))&amp;" mm²")</f>
        <v>3x2,5 mm²</v>
      </c>
      <c r="S11" s="5" t="s">
        <v>29</v>
      </c>
      <c r="T11" s="5" t="s">
        <v>30</v>
      </c>
      <c r="U11" s="5" t="s">
        <v>53</v>
      </c>
    </row>
    <row r="12" customFormat="false" ht="15" hidden="false" customHeight="false" outlineLevel="0" collapsed="false">
      <c r="A12" s="4" t="n">
        <v>8</v>
      </c>
      <c r="B12" s="5" t="s">
        <v>54</v>
      </c>
      <c r="C12" s="5" t="s">
        <v>50</v>
      </c>
      <c r="D12" s="5" t="s">
        <v>55</v>
      </c>
      <c r="E12" s="5" t="s">
        <v>56</v>
      </c>
      <c r="F12" s="5" t="s">
        <v>27</v>
      </c>
      <c r="G12" s="5" t="s">
        <v>28</v>
      </c>
      <c r="H12" s="6" t="n">
        <v>1</v>
      </c>
      <c r="I12" s="6" t="n">
        <v>1</v>
      </c>
      <c r="J12" s="7" t="n">
        <v>0</v>
      </c>
      <c r="K12" s="8" t="n">
        <f aca="false">H12*J12</f>
        <v>0</v>
      </c>
      <c r="L12" s="8" t="n">
        <f aca="false">I12*J12</f>
        <v>0</v>
      </c>
      <c r="M12" s="6" t="n">
        <v>0</v>
      </c>
      <c r="N12" s="6" t="n">
        <v>0</v>
      </c>
      <c r="O12" s="7" t="n">
        <v>1</v>
      </c>
      <c r="P12" s="8" t="n">
        <f aca="false">IF(OR(J12=0,M12=0),0,IF(N12=3,J12*1000/(SQRT(3)*M12*O12),J12*1000/(M12*O12)))</f>
        <v>0</v>
      </c>
      <c r="Q12" s="4" t="str">
        <f aca="false">IF(P12=0,"-",INDEX(Tablolar!$I$6:$I$14,MATCH(P12*1.25-0.001,Tablolar!$H$6:$H$14,1)))</f>
        <v>-</v>
      </c>
      <c r="R12" s="4" t="str">
        <f aca="false">IF(P12=0,"-",IF(N12=3,"5x","3x")&amp;INDEX(Tablolar!$J$6:$J$14,MATCH(P12*1.25-0.001,Tablolar!$H$6:$H$14,1))&amp;" mm²")</f>
        <v>-</v>
      </c>
      <c r="S12" s="5" t="s">
        <v>57</v>
      </c>
      <c r="T12" s="5" t="s">
        <v>30</v>
      </c>
      <c r="U12" s="5" t="s">
        <v>58</v>
      </c>
    </row>
    <row r="13" customFormat="false" ht="22.35" hidden="false" customHeight="false" outlineLevel="0" collapsed="false">
      <c r="A13" s="4" t="n">
        <v>9</v>
      </c>
      <c r="B13" s="5" t="s">
        <v>59</v>
      </c>
      <c r="C13" s="5" t="s">
        <v>50</v>
      </c>
      <c r="D13" s="5" t="s">
        <v>60</v>
      </c>
      <c r="E13" s="5" t="s">
        <v>61</v>
      </c>
      <c r="F13" s="5" t="s">
        <v>62</v>
      </c>
      <c r="G13" s="5" t="s">
        <v>28</v>
      </c>
      <c r="H13" s="6" t="n">
        <v>2</v>
      </c>
      <c r="I13" s="6" t="n">
        <v>2</v>
      </c>
      <c r="J13" s="7" t="n">
        <v>0.75</v>
      </c>
      <c r="K13" s="8" t="n">
        <f aca="false">H13*J13</f>
        <v>1.5</v>
      </c>
      <c r="L13" s="8" t="n">
        <f aca="false">I13*J13</f>
        <v>1.5</v>
      </c>
      <c r="M13" s="6" t="n">
        <v>400</v>
      </c>
      <c r="N13" s="6" t="n">
        <v>3</v>
      </c>
      <c r="O13" s="7" t="n">
        <v>0.85</v>
      </c>
      <c r="P13" s="8" t="n">
        <f aca="false">IF(OR(J13=0,M13=0),0,IF(N13=3,J13*1000/(SQRT(3)*M13*O13),J13*1000/(M13*O13)))</f>
        <v>1.27356677027123</v>
      </c>
      <c r="Q13" s="4" t="n">
        <f aca="false">IF(P13=0,"-",INDEX(Tablolar!$I$6:$I$14,MATCH(P13*1.25-0.001,Tablolar!$H$6:$H$14,1)))</f>
        <v>10</v>
      </c>
      <c r="R13" s="4" t="str">
        <f aca="false">IF(P13=0,"-",IF(N13=3,"5x","3x")&amp;INDEX(Tablolar!$J$6:$J$14,MATCH(P13*1.25-0.001,Tablolar!$H$6:$H$14,1))&amp;" mm²")</f>
        <v>5x2,5 mm²</v>
      </c>
      <c r="S13" s="5" t="s">
        <v>29</v>
      </c>
      <c r="T13" s="5" t="s">
        <v>30</v>
      </c>
      <c r="U13" s="5" t="s">
        <v>63</v>
      </c>
    </row>
    <row r="14" customFormat="false" ht="15" hidden="false" customHeight="false" outlineLevel="0" collapsed="false">
      <c r="A14" s="4" t="n">
        <v>10</v>
      </c>
      <c r="B14" s="5" t="s">
        <v>64</v>
      </c>
      <c r="C14" s="5" t="s">
        <v>65</v>
      </c>
      <c r="D14" s="5" t="s">
        <v>66</v>
      </c>
      <c r="E14" s="5" t="s">
        <v>67</v>
      </c>
      <c r="F14" s="5" t="s">
        <v>68</v>
      </c>
      <c r="G14" s="5" t="s">
        <v>28</v>
      </c>
      <c r="H14" s="6" t="n">
        <v>2</v>
      </c>
      <c r="I14" s="6" t="n">
        <v>1</v>
      </c>
      <c r="J14" s="7" t="n">
        <v>0.75</v>
      </c>
      <c r="K14" s="8" t="n">
        <f aca="false">H14*J14</f>
        <v>1.5</v>
      </c>
      <c r="L14" s="8" t="n">
        <f aca="false">I14*J14</f>
        <v>0.75</v>
      </c>
      <c r="M14" s="6" t="n">
        <v>230</v>
      </c>
      <c r="N14" s="6" t="n">
        <v>1</v>
      </c>
      <c r="O14" s="7" t="n">
        <v>0.85</v>
      </c>
      <c r="P14" s="8" t="n">
        <f aca="false">IF(OR(J14=0,M14=0),0,IF(N14=3,J14*1000/(SQRT(3)*M14*O14),J14*1000/(M14*O14)))</f>
        <v>3.83631713554987</v>
      </c>
      <c r="Q14" s="4" t="n">
        <f aca="false">IF(P14=0,"-",INDEX(Tablolar!$I$6:$I$14,MATCH(P14*1.25-0.001,Tablolar!$H$6:$H$14,1)))</f>
        <v>10</v>
      </c>
      <c r="R14" s="4" t="str">
        <f aca="false">IF(P14=0,"-",IF(N14=3,"5x","3x")&amp;INDEX(Tablolar!$J$6:$J$14,MATCH(P14*1.25-0.001,Tablolar!$H$6:$H$14,1))&amp;" mm²")</f>
        <v>3x2,5 mm²</v>
      </c>
      <c r="S14" s="5" t="s">
        <v>29</v>
      </c>
      <c r="T14" s="5" t="s">
        <v>30</v>
      </c>
      <c r="U14" s="5" t="s">
        <v>69</v>
      </c>
    </row>
    <row r="15" customFormat="false" ht="22.35" hidden="false" customHeight="false" outlineLevel="0" collapsed="false">
      <c r="A15" s="4" t="n">
        <v>11</v>
      </c>
      <c r="B15" s="5" t="s">
        <v>70</v>
      </c>
      <c r="C15" s="5" t="s">
        <v>65</v>
      </c>
      <c r="D15" s="5" t="s">
        <v>71</v>
      </c>
      <c r="E15" s="5" t="s">
        <v>72</v>
      </c>
      <c r="F15" s="5" t="s">
        <v>73</v>
      </c>
      <c r="G15" s="5" t="s">
        <v>28</v>
      </c>
      <c r="H15" s="6" t="n">
        <v>1</v>
      </c>
      <c r="I15" s="6" t="n">
        <v>1</v>
      </c>
      <c r="J15" s="7" t="n">
        <v>1.1</v>
      </c>
      <c r="K15" s="8" t="n">
        <f aca="false">H15*J15</f>
        <v>1.1</v>
      </c>
      <c r="L15" s="8" t="n">
        <f aca="false">I15*J15</f>
        <v>1.1</v>
      </c>
      <c r="M15" s="6" t="n">
        <v>230</v>
      </c>
      <c r="N15" s="6" t="n">
        <v>1</v>
      </c>
      <c r="O15" s="7" t="n">
        <v>0.85</v>
      </c>
      <c r="P15" s="8" t="n">
        <f aca="false">IF(OR(J15=0,M15=0),0,IF(N15=3,J15*1000/(SQRT(3)*M15*O15),J15*1000/(M15*O15)))</f>
        <v>5.62659846547315</v>
      </c>
      <c r="Q15" s="4" t="n">
        <f aca="false">IF(P15=0,"-",INDEX(Tablolar!$I$6:$I$14,MATCH(P15*1.25-0.001,Tablolar!$H$6:$H$14,1)))</f>
        <v>10</v>
      </c>
      <c r="R15" s="4" t="str">
        <f aca="false">IF(P15=0,"-",IF(N15=3,"5x","3x")&amp;INDEX(Tablolar!$J$6:$J$14,MATCH(P15*1.25-0.001,Tablolar!$H$6:$H$14,1))&amp;" mm²")</f>
        <v>3x2,5 mm²</v>
      </c>
      <c r="S15" s="5" t="s">
        <v>29</v>
      </c>
      <c r="T15" s="5" t="s">
        <v>30</v>
      </c>
      <c r="U15" s="5" t="s">
        <v>74</v>
      </c>
    </row>
    <row r="16" customFormat="false" ht="15" hidden="false" customHeight="false" outlineLevel="0" collapsed="false">
      <c r="A16" s="4" t="n">
        <v>12</v>
      </c>
      <c r="B16" s="5" t="s">
        <v>75</v>
      </c>
      <c r="C16" s="5" t="s">
        <v>76</v>
      </c>
      <c r="D16" s="5" t="s">
        <v>77</v>
      </c>
      <c r="E16" s="5" t="s">
        <v>78</v>
      </c>
      <c r="F16" s="5" t="s">
        <v>27</v>
      </c>
      <c r="G16" s="5" t="s">
        <v>28</v>
      </c>
      <c r="H16" s="6" t="n">
        <v>1</v>
      </c>
      <c r="I16" s="6" t="n">
        <v>1</v>
      </c>
      <c r="J16" s="7" t="n">
        <v>0.2</v>
      </c>
      <c r="K16" s="8" t="n">
        <f aca="false">H16*J16</f>
        <v>0.2</v>
      </c>
      <c r="L16" s="8" t="n">
        <f aca="false">I16*J16</f>
        <v>0.2</v>
      </c>
      <c r="M16" s="6" t="n">
        <v>230</v>
      </c>
      <c r="N16" s="6" t="n">
        <v>1</v>
      </c>
      <c r="O16" s="7" t="n">
        <v>0.85</v>
      </c>
      <c r="P16" s="8" t="n">
        <f aca="false">IF(OR(J16=0,M16=0),0,IF(N16=3,J16*1000/(SQRT(3)*M16*O16),J16*1000/(M16*O16)))</f>
        <v>1.0230179028133</v>
      </c>
      <c r="Q16" s="4" t="n">
        <f aca="false">IF(P16=0,"-",INDEX(Tablolar!$I$6:$I$14,MATCH(P16*1.25-0.001,Tablolar!$H$6:$H$14,1)))</f>
        <v>10</v>
      </c>
      <c r="R16" s="4" t="str">
        <f aca="false">IF(P16=0,"-",IF(N16=3,"5x","3x")&amp;INDEX(Tablolar!$J$6:$J$14,MATCH(P16*1.25-0.001,Tablolar!$H$6:$H$14,1))&amp;" mm²")</f>
        <v>3x2,5 mm²</v>
      </c>
      <c r="S16" s="5" t="s">
        <v>29</v>
      </c>
      <c r="T16" s="5" t="s">
        <v>30</v>
      </c>
      <c r="U16" s="5" t="s">
        <v>79</v>
      </c>
    </row>
    <row r="17" customFormat="false" ht="15" hidden="false" customHeight="false" outlineLevel="0" collapsed="false">
      <c r="A17" s="4" t="n">
        <v>13</v>
      </c>
      <c r="B17" s="5" t="s">
        <v>80</v>
      </c>
      <c r="C17" s="5" t="s">
        <v>76</v>
      </c>
      <c r="D17" s="5" t="s">
        <v>81</v>
      </c>
      <c r="E17" s="5" t="s">
        <v>82</v>
      </c>
      <c r="F17" s="5" t="s">
        <v>27</v>
      </c>
      <c r="G17" s="5" t="s">
        <v>28</v>
      </c>
      <c r="H17" s="6" t="n">
        <v>1</v>
      </c>
      <c r="I17" s="6" t="n">
        <v>1</v>
      </c>
      <c r="J17" s="7" t="n">
        <v>0.2</v>
      </c>
      <c r="K17" s="8" t="n">
        <f aca="false">H17*J17</f>
        <v>0.2</v>
      </c>
      <c r="L17" s="8" t="n">
        <f aca="false">I17*J17</f>
        <v>0.2</v>
      </c>
      <c r="M17" s="6" t="n">
        <v>230</v>
      </c>
      <c r="N17" s="6" t="n">
        <v>1</v>
      </c>
      <c r="O17" s="7" t="n">
        <v>0.85</v>
      </c>
      <c r="P17" s="8" t="n">
        <f aca="false">IF(OR(J17=0,M17=0),0,IF(N17=3,J17*1000/(SQRT(3)*M17*O17),J17*1000/(M17*O17)))</f>
        <v>1.0230179028133</v>
      </c>
      <c r="Q17" s="4" t="n">
        <f aca="false">IF(P17=0,"-",INDEX(Tablolar!$I$6:$I$14,MATCH(P17*1.25-0.001,Tablolar!$H$6:$H$14,1)))</f>
        <v>10</v>
      </c>
      <c r="R17" s="4" t="str">
        <f aca="false">IF(P17=0,"-",IF(N17=3,"5x","3x")&amp;INDEX(Tablolar!$J$6:$J$14,MATCH(P17*1.25-0.001,Tablolar!$H$6:$H$14,1))&amp;" mm²")</f>
        <v>3x2,5 mm²</v>
      </c>
      <c r="S17" s="5" t="s">
        <v>29</v>
      </c>
      <c r="T17" s="5" t="s">
        <v>30</v>
      </c>
      <c r="U17" s="5" t="s">
        <v>83</v>
      </c>
    </row>
    <row r="18" customFormat="false" ht="15" hidden="false" customHeight="false" outlineLevel="0" collapsed="false">
      <c r="A18" s="4" t="n">
        <v>14</v>
      </c>
      <c r="B18" s="5" t="s">
        <v>84</v>
      </c>
      <c r="C18" s="5" t="s">
        <v>76</v>
      </c>
      <c r="D18" s="5" t="s">
        <v>85</v>
      </c>
      <c r="E18" s="5" t="s">
        <v>86</v>
      </c>
      <c r="F18" s="5" t="s">
        <v>87</v>
      </c>
      <c r="G18" s="5" t="s">
        <v>28</v>
      </c>
      <c r="H18" s="6" t="n">
        <v>1</v>
      </c>
      <c r="I18" s="6" t="n">
        <v>1</v>
      </c>
      <c r="J18" s="7" t="n">
        <v>0.2</v>
      </c>
      <c r="K18" s="8" t="n">
        <f aca="false">H18*J18</f>
        <v>0.2</v>
      </c>
      <c r="L18" s="8" t="n">
        <f aca="false">I18*J18</f>
        <v>0.2</v>
      </c>
      <c r="M18" s="6" t="n">
        <v>230</v>
      </c>
      <c r="N18" s="6" t="n">
        <v>1</v>
      </c>
      <c r="O18" s="7" t="n">
        <v>0.85</v>
      </c>
      <c r="P18" s="8" t="n">
        <f aca="false">IF(OR(J18=0,M18=0),0,IF(N18=3,J18*1000/(SQRT(3)*M18*O18),J18*1000/(M18*O18)))</f>
        <v>1.0230179028133</v>
      </c>
      <c r="Q18" s="4" t="n">
        <f aca="false">IF(P18=0,"-",INDEX(Tablolar!$I$6:$I$14,MATCH(P18*1.25-0.001,Tablolar!$H$6:$H$14,1)))</f>
        <v>10</v>
      </c>
      <c r="R18" s="4" t="str">
        <f aca="false">IF(P18=0,"-",IF(N18=3,"5x","3x")&amp;INDEX(Tablolar!$J$6:$J$14,MATCH(P18*1.25-0.001,Tablolar!$H$6:$H$14,1))&amp;" mm²")</f>
        <v>3x2,5 mm²</v>
      </c>
      <c r="S18" s="5" t="s">
        <v>88</v>
      </c>
      <c r="T18" s="5" t="s">
        <v>30</v>
      </c>
      <c r="U18" s="5" t="s">
        <v>89</v>
      </c>
    </row>
    <row r="19" customFormat="false" ht="22.35" hidden="false" customHeight="false" outlineLevel="0" collapsed="false">
      <c r="A19" s="4" t="n">
        <v>15</v>
      </c>
      <c r="B19" s="5" t="s">
        <v>90</v>
      </c>
      <c r="C19" s="5" t="s">
        <v>76</v>
      </c>
      <c r="D19" s="5" t="s">
        <v>91</v>
      </c>
      <c r="E19" s="5" t="s">
        <v>92</v>
      </c>
      <c r="F19" s="5" t="s">
        <v>93</v>
      </c>
      <c r="G19" s="5" t="s">
        <v>28</v>
      </c>
      <c r="H19" s="6" t="n">
        <v>1</v>
      </c>
      <c r="I19" s="6" t="n">
        <v>1</v>
      </c>
      <c r="J19" s="7" t="n">
        <v>0.2</v>
      </c>
      <c r="K19" s="8" t="n">
        <f aca="false">H19*J19</f>
        <v>0.2</v>
      </c>
      <c r="L19" s="8" t="n">
        <f aca="false">I19*J19</f>
        <v>0.2</v>
      </c>
      <c r="M19" s="6" t="n">
        <v>230</v>
      </c>
      <c r="N19" s="6" t="n">
        <v>1</v>
      </c>
      <c r="O19" s="7" t="n">
        <v>0.85</v>
      </c>
      <c r="P19" s="8" t="n">
        <f aca="false">IF(OR(J19=0,M19=0),0,IF(N19=3,J19*1000/(SQRT(3)*M19*O19),J19*1000/(M19*O19)))</f>
        <v>1.0230179028133</v>
      </c>
      <c r="Q19" s="4" t="n">
        <f aca="false">IF(P19=0,"-",INDEX(Tablolar!$I$6:$I$14,MATCH(P19*1.25-0.001,Tablolar!$H$6:$H$14,1)))</f>
        <v>10</v>
      </c>
      <c r="R19" s="4" t="str">
        <f aca="false">IF(P19=0,"-",IF(N19=3,"5x","3x")&amp;INDEX(Tablolar!$J$6:$J$14,MATCH(P19*1.25-0.001,Tablolar!$H$6:$H$14,1))&amp;" mm²")</f>
        <v>3x2,5 mm²</v>
      </c>
      <c r="S19" s="5" t="s">
        <v>88</v>
      </c>
      <c r="T19" s="5" t="s">
        <v>30</v>
      </c>
      <c r="U19" s="5" t="s">
        <v>94</v>
      </c>
    </row>
    <row r="20" customFormat="false" ht="15" hidden="false" customHeight="false" outlineLevel="0" collapsed="false">
      <c r="A20" s="4" t="n">
        <v>16</v>
      </c>
      <c r="B20" s="5" t="s">
        <v>95</v>
      </c>
      <c r="C20" s="5" t="s">
        <v>76</v>
      </c>
      <c r="D20" s="5" t="s">
        <v>96</v>
      </c>
      <c r="E20" s="5" t="s">
        <v>97</v>
      </c>
      <c r="F20" s="5" t="s">
        <v>98</v>
      </c>
      <c r="G20" s="5" t="s">
        <v>28</v>
      </c>
      <c r="H20" s="6" t="n">
        <v>1</v>
      </c>
      <c r="I20" s="6" t="n">
        <v>1</v>
      </c>
      <c r="J20" s="7" t="n">
        <v>0.2</v>
      </c>
      <c r="K20" s="8" t="n">
        <f aca="false">H20*J20</f>
        <v>0.2</v>
      </c>
      <c r="L20" s="8" t="n">
        <f aca="false">I20*J20</f>
        <v>0.2</v>
      </c>
      <c r="M20" s="6" t="n">
        <v>230</v>
      </c>
      <c r="N20" s="6" t="n">
        <v>1</v>
      </c>
      <c r="O20" s="7" t="n">
        <v>0.85</v>
      </c>
      <c r="P20" s="8" t="n">
        <f aca="false">IF(OR(J20=0,M20=0),0,IF(N20=3,J20*1000/(SQRT(3)*M20*O20),J20*1000/(M20*O20)))</f>
        <v>1.0230179028133</v>
      </c>
      <c r="Q20" s="4" t="n">
        <f aca="false">IF(P20=0,"-",INDEX(Tablolar!$I$6:$I$14,MATCH(P20*1.25-0.001,Tablolar!$H$6:$H$14,1)))</f>
        <v>10</v>
      </c>
      <c r="R20" s="4" t="str">
        <f aca="false">IF(P20=0,"-",IF(N20=3,"5x","3x")&amp;INDEX(Tablolar!$J$6:$J$14,MATCH(P20*1.25-0.001,Tablolar!$H$6:$H$14,1))&amp;" mm²")</f>
        <v>3x2,5 mm²</v>
      </c>
      <c r="S20" s="5" t="s">
        <v>88</v>
      </c>
      <c r="T20" s="5" t="s">
        <v>30</v>
      </c>
      <c r="U20" s="5" t="s">
        <v>99</v>
      </c>
    </row>
    <row r="21" customFormat="false" ht="15" hidden="false" customHeight="false" outlineLevel="0" collapsed="false">
      <c r="A21" s="4" t="n">
        <v>17</v>
      </c>
      <c r="B21" s="5" t="s">
        <v>100</v>
      </c>
      <c r="C21" s="5" t="s">
        <v>76</v>
      </c>
      <c r="D21" s="5" t="s">
        <v>101</v>
      </c>
      <c r="E21" s="5" t="s">
        <v>102</v>
      </c>
      <c r="F21" s="5" t="s">
        <v>87</v>
      </c>
      <c r="G21" s="5" t="s">
        <v>103</v>
      </c>
      <c r="H21" s="6" t="n">
        <v>1</v>
      </c>
      <c r="I21" s="6" t="n">
        <v>1</v>
      </c>
      <c r="J21" s="7" t="n">
        <v>0.25</v>
      </c>
      <c r="K21" s="8" t="n">
        <f aca="false">H21*J21</f>
        <v>0.25</v>
      </c>
      <c r="L21" s="8" t="n">
        <f aca="false">I21*J21</f>
        <v>0.25</v>
      </c>
      <c r="M21" s="6" t="n">
        <v>230</v>
      </c>
      <c r="N21" s="6" t="n">
        <v>1</v>
      </c>
      <c r="O21" s="7" t="n">
        <v>0.85</v>
      </c>
      <c r="P21" s="8" t="n">
        <f aca="false">IF(OR(J21=0,M21=0),0,IF(N21=3,J21*1000/(SQRT(3)*M21*O21),J21*1000/(M21*O21)))</f>
        <v>1.27877237851662</v>
      </c>
      <c r="Q21" s="4" t="n">
        <f aca="false">IF(P21=0,"-",INDEX(Tablolar!$I$6:$I$14,MATCH(P21*1.25-0.001,Tablolar!$H$6:$H$14,1)))</f>
        <v>10</v>
      </c>
      <c r="R21" s="4" t="str">
        <f aca="false">IF(P21=0,"-",IF(N21=3,"5x","3x")&amp;INDEX(Tablolar!$J$6:$J$14,MATCH(P21*1.25-0.001,Tablolar!$H$6:$H$14,1))&amp;" mm²")</f>
        <v>3x2,5 mm²</v>
      </c>
      <c r="S21" s="5" t="s">
        <v>104</v>
      </c>
      <c r="T21" s="5" t="s">
        <v>105</v>
      </c>
      <c r="U21" s="5" t="s">
        <v>89</v>
      </c>
    </row>
    <row r="22" customFormat="false" ht="15" hidden="false" customHeight="false" outlineLevel="0" collapsed="false">
      <c r="A22" s="4" t="n">
        <v>18</v>
      </c>
      <c r="B22" s="5" t="s">
        <v>106</v>
      </c>
      <c r="C22" s="5" t="s">
        <v>76</v>
      </c>
      <c r="D22" s="5" t="s">
        <v>107</v>
      </c>
      <c r="E22" s="5" t="s">
        <v>102</v>
      </c>
      <c r="F22" s="5" t="s">
        <v>87</v>
      </c>
      <c r="G22" s="5" t="s">
        <v>108</v>
      </c>
      <c r="H22" s="6" t="n">
        <v>1</v>
      </c>
      <c r="I22" s="6" t="n">
        <v>1</v>
      </c>
      <c r="J22" s="7" t="n">
        <v>0.25</v>
      </c>
      <c r="K22" s="8" t="n">
        <f aca="false">H22*J22</f>
        <v>0.25</v>
      </c>
      <c r="L22" s="8" t="n">
        <f aca="false">I22*J22</f>
        <v>0.25</v>
      </c>
      <c r="M22" s="6" t="n">
        <v>230</v>
      </c>
      <c r="N22" s="6" t="n">
        <v>1</v>
      </c>
      <c r="O22" s="7" t="n">
        <v>0.85</v>
      </c>
      <c r="P22" s="8" t="n">
        <f aca="false">IF(OR(J22=0,M22=0),0,IF(N22=3,J22*1000/(SQRT(3)*M22*O22),J22*1000/(M22*O22)))</f>
        <v>1.27877237851662</v>
      </c>
      <c r="Q22" s="4" t="n">
        <f aca="false">IF(P22=0,"-",INDEX(Tablolar!$I$6:$I$14,MATCH(P22*1.25-0.001,Tablolar!$H$6:$H$14,1)))</f>
        <v>10</v>
      </c>
      <c r="R22" s="4" t="str">
        <f aca="false">IF(P22=0,"-",IF(N22=3,"5x","3x")&amp;INDEX(Tablolar!$J$6:$J$14,MATCH(P22*1.25-0.001,Tablolar!$H$6:$H$14,1))&amp;" mm²")</f>
        <v>3x2,5 mm²</v>
      </c>
      <c r="S22" s="5" t="s">
        <v>109</v>
      </c>
      <c r="T22" s="5" t="s">
        <v>110</v>
      </c>
      <c r="U22" s="5" t="s">
        <v>89</v>
      </c>
    </row>
    <row r="23" customFormat="false" ht="15" hidden="false" customHeight="false" outlineLevel="0" collapsed="false">
      <c r="A23" s="4" t="n">
        <v>19</v>
      </c>
      <c r="B23" s="5" t="s">
        <v>111</v>
      </c>
      <c r="C23" s="5" t="s">
        <v>76</v>
      </c>
      <c r="D23" s="5" t="s">
        <v>112</v>
      </c>
      <c r="E23" s="5" t="s">
        <v>113</v>
      </c>
      <c r="F23" s="5" t="s">
        <v>114</v>
      </c>
      <c r="G23" s="5" t="s">
        <v>108</v>
      </c>
      <c r="H23" s="6" t="n">
        <v>1</v>
      </c>
      <c r="I23" s="6" t="n">
        <v>1</v>
      </c>
      <c r="J23" s="7" t="n">
        <v>0.2</v>
      </c>
      <c r="K23" s="8" t="n">
        <f aca="false">H23*J23</f>
        <v>0.2</v>
      </c>
      <c r="L23" s="8" t="n">
        <f aca="false">I23*J23</f>
        <v>0.2</v>
      </c>
      <c r="M23" s="6" t="n">
        <v>230</v>
      </c>
      <c r="N23" s="6" t="n">
        <v>1</v>
      </c>
      <c r="O23" s="7" t="n">
        <v>0.85</v>
      </c>
      <c r="P23" s="8" t="n">
        <f aca="false">IF(OR(J23=0,M23=0),0,IF(N23=3,J23*1000/(SQRT(3)*M23*O23),J23*1000/(M23*O23)))</f>
        <v>1.0230179028133</v>
      </c>
      <c r="Q23" s="4" t="n">
        <f aca="false">IF(P23=0,"-",INDEX(Tablolar!$I$6:$I$14,MATCH(P23*1.25-0.001,Tablolar!$H$6:$H$14,1)))</f>
        <v>10</v>
      </c>
      <c r="R23" s="4" t="str">
        <f aca="false">IF(P23=0,"-",IF(N23=3,"5x","3x")&amp;INDEX(Tablolar!$J$6:$J$14,MATCH(P23*1.25-0.001,Tablolar!$H$6:$H$14,1))&amp;" mm²")</f>
        <v>3x2,5 mm²</v>
      </c>
      <c r="S23" s="5" t="s">
        <v>109</v>
      </c>
      <c r="T23" s="5" t="s">
        <v>110</v>
      </c>
      <c r="U23" s="5" t="s">
        <v>115</v>
      </c>
    </row>
    <row r="24" customFormat="false" ht="15" hidden="false" customHeight="false" outlineLevel="0" collapsed="false">
      <c r="A24" s="4" t="n">
        <v>20</v>
      </c>
      <c r="B24" s="5" t="s">
        <v>116</v>
      </c>
      <c r="C24" s="5" t="s">
        <v>117</v>
      </c>
      <c r="D24" s="5" t="s">
        <v>118</v>
      </c>
      <c r="E24" s="5" t="s">
        <v>119</v>
      </c>
      <c r="F24" s="5" t="s">
        <v>120</v>
      </c>
      <c r="G24" s="5" t="s">
        <v>28</v>
      </c>
      <c r="H24" s="6" t="n">
        <v>1</v>
      </c>
      <c r="I24" s="6" t="n">
        <v>1</v>
      </c>
      <c r="J24" s="7" t="n">
        <v>0.02</v>
      </c>
      <c r="K24" s="8" t="n">
        <f aca="false">H24*J24</f>
        <v>0.02</v>
      </c>
      <c r="L24" s="8" t="n">
        <f aca="false">I24*J24</f>
        <v>0.02</v>
      </c>
      <c r="M24" s="6" t="n">
        <v>230</v>
      </c>
      <c r="N24" s="6" t="n">
        <v>1</v>
      </c>
      <c r="O24" s="7" t="n">
        <v>0.9</v>
      </c>
      <c r="P24" s="8" t="n">
        <f aca="false">IF(OR(J24=0,M24=0),0,IF(N24=3,J24*1000/(SQRT(3)*M24*O24),J24*1000/(M24*O24)))</f>
        <v>0.0966183574879227</v>
      </c>
      <c r="Q24" s="4" t="n">
        <f aca="false">IF(P24=0,"-",INDEX(Tablolar!$I$6:$I$14,MATCH(P24*1.25-0.001,Tablolar!$H$6:$H$14,1)))</f>
        <v>10</v>
      </c>
      <c r="R24" s="4" t="str">
        <f aca="false">IF(P24=0,"-",IF(N24=3,"5x","3x")&amp;INDEX(Tablolar!$J$6:$J$14,MATCH(P24*1.25-0.001,Tablolar!$H$6:$H$14,1))&amp;" mm²")</f>
        <v>3x2,5 mm²</v>
      </c>
      <c r="S24" s="5" t="s">
        <v>88</v>
      </c>
      <c r="T24" s="5" t="s">
        <v>30</v>
      </c>
      <c r="U24" s="5" t="s">
        <v>121</v>
      </c>
    </row>
    <row r="25" customFormat="false" ht="15" hidden="false" customHeight="false" outlineLevel="0" collapsed="false">
      <c r="A25" s="4" t="n">
        <v>21</v>
      </c>
      <c r="B25" s="5" t="s">
        <v>122</v>
      </c>
      <c r="C25" s="5" t="s">
        <v>117</v>
      </c>
      <c r="D25" s="5" t="s">
        <v>123</v>
      </c>
      <c r="E25" s="5" t="s">
        <v>124</v>
      </c>
      <c r="F25" s="5" t="s">
        <v>125</v>
      </c>
      <c r="G25" s="5" t="s">
        <v>28</v>
      </c>
      <c r="H25" s="6" t="n">
        <v>2</v>
      </c>
      <c r="I25" s="6" t="n">
        <v>1</v>
      </c>
      <c r="J25" s="7" t="n">
        <v>1.1</v>
      </c>
      <c r="K25" s="8" t="n">
        <f aca="false">H25*J25</f>
        <v>2.2</v>
      </c>
      <c r="L25" s="8" t="n">
        <f aca="false">I25*J25</f>
        <v>1.1</v>
      </c>
      <c r="M25" s="6" t="n">
        <v>230</v>
      </c>
      <c r="N25" s="6" t="n">
        <v>1</v>
      </c>
      <c r="O25" s="7" t="n">
        <v>0.9</v>
      </c>
      <c r="P25" s="8" t="n">
        <f aca="false">IF(OR(J25=0,M25=0),0,IF(N25=3,J25*1000/(SQRT(3)*M25*O25),J25*1000/(M25*O25)))</f>
        <v>5.31400966183575</v>
      </c>
      <c r="Q25" s="4" t="n">
        <f aca="false">IF(P25=0,"-",INDEX(Tablolar!$I$6:$I$14,MATCH(P25*1.25-0.001,Tablolar!$H$6:$H$14,1)))</f>
        <v>10</v>
      </c>
      <c r="R25" s="4" t="str">
        <f aca="false">IF(P25=0,"-",IF(N25=3,"5x","3x")&amp;INDEX(Tablolar!$J$6:$J$14,MATCH(P25*1.25-0.001,Tablolar!$H$6:$H$14,1))&amp;" mm²")</f>
        <v>3x2,5 mm²</v>
      </c>
      <c r="S25" s="5" t="s">
        <v>88</v>
      </c>
      <c r="T25" s="5" t="s">
        <v>30</v>
      </c>
      <c r="U25" s="5" t="s">
        <v>126</v>
      </c>
    </row>
    <row r="26" customFormat="false" ht="22.35" hidden="false" customHeight="false" outlineLevel="0" collapsed="false">
      <c r="A26" s="4" t="n">
        <v>22</v>
      </c>
      <c r="B26" s="5" t="s">
        <v>127</v>
      </c>
      <c r="C26" s="5" t="s">
        <v>128</v>
      </c>
      <c r="D26" s="5" t="s">
        <v>129</v>
      </c>
      <c r="E26" s="5" t="s">
        <v>130</v>
      </c>
      <c r="F26" s="5" t="s">
        <v>131</v>
      </c>
      <c r="G26" s="5" t="s">
        <v>28</v>
      </c>
      <c r="H26" s="6" t="n">
        <v>1</v>
      </c>
      <c r="I26" s="6" t="n">
        <v>1</v>
      </c>
      <c r="J26" s="9" t="n">
        <f aca="false">'VRF Dış Üniteler'!E5</f>
        <v>13.8</v>
      </c>
      <c r="K26" s="8" t="n">
        <f aca="false">H26*J26</f>
        <v>13.8</v>
      </c>
      <c r="L26" s="8" t="n">
        <f aca="false">I26*J26</f>
        <v>13.8</v>
      </c>
      <c r="M26" s="6" t="n">
        <v>400</v>
      </c>
      <c r="N26" s="6" t="n">
        <v>3</v>
      </c>
      <c r="O26" s="7" t="n">
        <v>0.95</v>
      </c>
      <c r="P26" s="8" t="n">
        <f aca="false">IF(OR(J26=0,M26=0),0,IF(N26=3,J26*1000/(SQRT(3)*M26*O26),J26*1000/(M26*O26)))</f>
        <v>20.9669308284654</v>
      </c>
      <c r="Q26" s="4" t="n">
        <f aca="false">IF(P26=0,"-",INDEX(Tablolar!$I$6:$I$14,MATCH(P26*1.25-0.001,Tablolar!$H$6:$H$14,1)))</f>
        <v>32</v>
      </c>
      <c r="R26" s="4" t="str">
        <f aca="false">IF(P26=0,"-",IF(N26=3,"5x","3x")&amp;INDEX(Tablolar!$J$6:$J$14,MATCH(P26*1.25-0.001,Tablolar!$H$6:$H$14,1))&amp;" mm²")</f>
        <v>5x6 mm²</v>
      </c>
      <c r="S26" s="5" t="s">
        <v>132</v>
      </c>
      <c r="T26" s="5" t="s">
        <v>30</v>
      </c>
      <c r="U26" s="5" t="s">
        <v>133</v>
      </c>
    </row>
    <row r="27" customFormat="false" ht="22.35" hidden="false" customHeight="false" outlineLevel="0" collapsed="false">
      <c r="A27" s="4" t="n">
        <v>23</v>
      </c>
      <c r="B27" s="5" t="s">
        <v>134</v>
      </c>
      <c r="C27" s="5" t="s">
        <v>128</v>
      </c>
      <c r="D27" s="5" t="s">
        <v>129</v>
      </c>
      <c r="E27" s="5" t="s">
        <v>130</v>
      </c>
      <c r="F27" s="5" t="s">
        <v>131</v>
      </c>
      <c r="G27" s="5" t="s">
        <v>28</v>
      </c>
      <c r="H27" s="6" t="n">
        <v>1</v>
      </c>
      <c r="I27" s="6" t="n">
        <v>1</v>
      </c>
      <c r="J27" s="9" t="n">
        <f aca="false">'VRF Dış Üniteler'!E6</f>
        <v>13.8</v>
      </c>
      <c r="K27" s="8" t="n">
        <f aca="false">H27*J27</f>
        <v>13.8</v>
      </c>
      <c r="L27" s="8" t="n">
        <f aca="false">I27*J27</f>
        <v>13.8</v>
      </c>
      <c r="M27" s="6" t="n">
        <v>400</v>
      </c>
      <c r="N27" s="6" t="n">
        <v>3</v>
      </c>
      <c r="O27" s="7" t="n">
        <v>0.95</v>
      </c>
      <c r="P27" s="8" t="n">
        <f aca="false">IF(OR(J27=0,M27=0),0,IF(N27=3,J27*1000/(SQRT(3)*M27*O27),J27*1000/(M27*O27)))</f>
        <v>20.9669308284654</v>
      </c>
      <c r="Q27" s="4" t="n">
        <f aca="false">IF(P27=0,"-",INDEX(Tablolar!$I$6:$I$14,MATCH(P27*1.25-0.001,Tablolar!$H$6:$H$14,1)))</f>
        <v>32</v>
      </c>
      <c r="R27" s="4" t="str">
        <f aca="false">IF(P27=0,"-",IF(N27=3,"5x","3x")&amp;INDEX(Tablolar!$J$6:$J$14,MATCH(P27*1.25-0.001,Tablolar!$H$6:$H$14,1))&amp;" mm²")</f>
        <v>5x6 mm²</v>
      </c>
      <c r="S27" s="5" t="s">
        <v>132</v>
      </c>
      <c r="T27" s="5" t="s">
        <v>30</v>
      </c>
      <c r="U27" s="5" t="s">
        <v>133</v>
      </c>
    </row>
    <row r="28" customFormat="false" ht="22.35" hidden="false" customHeight="false" outlineLevel="0" collapsed="false">
      <c r="A28" s="4" t="n">
        <v>24</v>
      </c>
      <c r="B28" s="5" t="s">
        <v>135</v>
      </c>
      <c r="C28" s="5" t="s">
        <v>128</v>
      </c>
      <c r="D28" s="5" t="s">
        <v>136</v>
      </c>
      <c r="E28" s="5" t="s">
        <v>137</v>
      </c>
      <c r="F28" s="5" t="s">
        <v>131</v>
      </c>
      <c r="G28" s="5" t="s">
        <v>28</v>
      </c>
      <c r="H28" s="6" t="n">
        <v>1</v>
      </c>
      <c r="I28" s="6" t="n">
        <v>1</v>
      </c>
      <c r="J28" s="9" t="n">
        <f aca="false">'VRF Dış Üniteler'!E7</f>
        <v>21</v>
      </c>
      <c r="K28" s="8" t="n">
        <f aca="false">H28*J28</f>
        <v>21</v>
      </c>
      <c r="L28" s="8" t="n">
        <f aca="false">I28*J28</f>
        <v>21</v>
      </c>
      <c r="M28" s="6" t="n">
        <v>400</v>
      </c>
      <c r="N28" s="6" t="n">
        <v>3</v>
      </c>
      <c r="O28" s="7" t="n">
        <v>0.95</v>
      </c>
      <c r="P28" s="8" t="n">
        <f aca="false">IF(OR(J28=0,M28=0),0,IF(N28=3,J28*1000/(SQRT(3)*M28*O28),J28*1000/(M28*O28)))</f>
        <v>31.9061990867951</v>
      </c>
      <c r="Q28" s="4" t="n">
        <f aca="false">IF(P28=0,"-",INDEX(Tablolar!$I$6:$I$14,MATCH(P28*1.25-0.001,Tablolar!$H$6:$H$14,1)))</f>
        <v>40</v>
      </c>
      <c r="R28" s="4" t="str">
        <f aca="false">IF(P28=0,"-",IF(N28=3,"5x","3x")&amp;INDEX(Tablolar!$J$6:$J$14,MATCH(P28*1.25-0.001,Tablolar!$H$6:$H$14,1))&amp;" mm²")</f>
        <v>5x10 mm²</v>
      </c>
      <c r="S28" s="5" t="s">
        <v>132</v>
      </c>
      <c r="T28" s="5" t="s">
        <v>30</v>
      </c>
      <c r="U28" s="5" t="s">
        <v>133</v>
      </c>
    </row>
    <row r="29" customFormat="false" ht="22.35" hidden="false" customHeight="false" outlineLevel="0" collapsed="false">
      <c r="A29" s="4" t="n">
        <v>25</v>
      </c>
      <c r="B29" s="5" t="s">
        <v>138</v>
      </c>
      <c r="C29" s="5" t="s">
        <v>128</v>
      </c>
      <c r="D29" s="5" t="s">
        <v>139</v>
      </c>
      <c r="E29" s="5" t="s">
        <v>140</v>
      </c>
      <c r="F29" s="5" t="s">
        <v>141</v>
      </c>
      <c r="G29" s="5" t="s">
        <v>28</v>
      </c>
      <c r="H29" s="10" t="n">
        <f aca="false">SUMIFS('VRF İç Üniteler'!$H$5:$H$34,'VRF İç Üniteler'!$A$5:$A$34,G29,'VRF İç Üniteler'!$G$5:$G$34,B29,'VRF İç Üniteler'!$O$5:$O$34,"VRF-1")</f>
        <v>3</v>
      </c>
      <c r="I29" s="4" t="n">
        <f aca="false">H29</f>
        <v>3</v>
      </c>
      <c r="J29" s="9" t="n">
        <f aca="false">INDEX(Tablolar!$E$5:$E$10,MATCH(B29,Tablolar!$A$5:$A$10,0))/1000</f>
        <v>0.05</v>
      </c>
      <c r="K29" s="8" t="n">
        <f aca="false">H29*J29</f>
        <v>0.15</v>
      </c>
      <c r="L29" s="8" t="n">
        <f aca="false">I29*J29</f>
        <v>0.15</v>
      </c>
      <c r="M29" s="6" t="n">
        <v>230</v>
      </c>
      <c r="N29" s="6" t="n">
        <v>1</v>
      </c>
      <c r="O29" s="7" t="n">
        <v>0.9</v>
      </c>
      <c r="P29" s="8" t="n">
        <f aca="false">IF(OR(J29=0,M29=0),0,IF(N29=3,J29*1000/(SQRT(3)*M29*O29),J29*1000/(M29*O29)))</f>
        <v>0.241545893719807</v>
      </c>
      <c r="Q29" s="4" t="n">
        <f aca="false">IF(P29=0,"-",INDEX(Tablolar!$I$6:$I$14,MATCH(P29*1.25-0.001,Tablolar!$H$6:$H$14,1)))</f>
        <v>10</v>
      </c>
      <c r="R29" s="4" t="str">
        <f aca="false">IF(P29=0,"-",IF(N29=3,"5x","3x")&amp;INDEX(Tablolar!$J$6:$J$14,MATCH(P29*1.25-0.001,Tablolar!$H$6:$H$14,1))&amp;" mm²")</f>
        <v>3x2,5 mm²</v>
      </c>
      <c r="S29" s="5" t="s">
        <v>88</v>
      </c>
      <c r="T29" s="5" t="s">
        <v>30</v>
      </c>
      <c r="U29" s="5" t="s">
        <v>142</v>
      </c>
    </row>
    <row r="30" customFormat="false" ht="22.35" hidden="false" customHeight="false" outlineLevel="0" collapsed="false">
      <c r="A30" s="4" t="n">
        <v>26</v>
      </c>
      <c r="B30" s="5" t="s">
        <v>143</v>
      </c>
      <c r="C30" s="5" t="s">
        <v>128</v>
      </c>
      <c r="D30" s="5" t="s">
        <v>139</v>
      </c>
      <c r="E30" s="5" t="s">
        <v>144</v>
      </c>
      <c r="F30" s="5" t="s">
        <v>141</v>
      </c>
      <c r="G30" s="5" t="s">
        <v>28</v>
      </c>
      <c r="H30" s="10" t="n">
        <f aca="false">SUMIFS('VRF İç Üniteler'!$H$5:$H$34,'VRF İç Üniteler'!$A$5:$A$34,G30,'VRF İç Üniteler'!$G$5:$G$34,B30,'VRF İç Üniteler'!$O$5:$O$34,"VRF-1")</f>
        <v>2</v>
      </c>
      <c r="I30" s="4" t="n">
        <f aca="false">H30</f>
        <v>2</v>
      </c>
      <c r="J30" s="9" t="n">
        <f aca="false">INDEX(Tablolar!$E$5:$E$10,MATCH(B30,Tablolar!$A$5:$A$10,0))/1000</f>
        <v>0.062</v>
      </c>
      <c r="K30" s="8" t="n">
        <f aca="false">H30*J30</f>
        <v>0.124</v>
      </c>
      <c r="L30" s="8" t="n">
        <f aca="false">I30*J30</f>
        <v>0.124</v>
      </c>
      <c r="M30" s="6" t="n">
        <v>230</v>
      </c>
      <c r="N30" s="6" t="n">
        <v>1</v>
      </c>
      <c r="O30" s="7" t="n">
        <v>0.9</v>
      </c>
      <c r="P30" s="8" t="n">
        <f aca="false">IF(OR(J30=0,M30=0),0,IF(N30=3,J30*1000/(SQRT(3)*M30*O30),J30*1000/(M30*O30)))</f>
        <v>0.29951690821256</v>
      </c>
      <c r="Q30" s="4" t="n">
        <f aca="false">IF(P30=0,"-",INDEX(Tablolar!$I$6:$I$14,MATCH(P30*1.25-0.001,Tablolar!$H$6:$H$14,1)))</f>
        <v>10</v>
      </c>
      <c r="R30" s="4" t="str">
        <f aca="false">IF(P30=0,"-",IF(N30=3,"5x","3x")&amp;INDEX(Tablolar!$J$6:$J$14,MATCH(P30*1.25-0.001,Tablolar!$H$6:$H$14,1))&amp;" mm²")</f>
        <v>3x2,5 mm²</v>
      </c>
      <c r="S30" s="5" t="s">
        <v>88</v>
      </c>
      <c r="T30" s="5" t="s">
        <v>30</v>
      </c>
      <c r="U30" s="5" t="s">
        <v>142</v>
      </c>
    </row>
    <row r="31" customFormat="false" ht="22.35" hidden="false" customHeight="false" outlineLevel="0" collapsed="false">
      <c r="A31" s="4" t="n">
        <v>27</v>
      </c>
      <c r="B31" s="5" t="s">
        <v>145</v>
      </c>
      <c r="C31" s="5" t="s">
        <v>128</v>
      </c>
      <c r="D31" s="5" t="s">
        <v>139</v>
      </c>
      <c r="E31" s="5" t="s">
        <v>146</v>
      </c>
      <c r="F31" s="5" t="s">
        <v>141</v>
      </c>
      <c r="G31" s="5" t="s">
        <v>28</v>
      </c>
      <c r="H31" s="10" t="n">
        <f aca="false">SUMIFS('VRF İç Üniteler'!$H$5:$H$34,'VRF İç Üniteler'!$A$5:$A$34,G31,'VRF İç Üniteler'!$G$5:$G$34,B31,'VRF İç Üniteler'!$O$5:$O$34,"VRF-1")</f>
        <v>2</v>
      </c>
      <c r="I31" s="4" t="n">
        <f aca="false">H31</f>
        <v>2</v>
      </c>
      <c r="J31" s="9" t="n">
        <f aca="false">INDEX(Tablolar!$E$5:$E$10,MATCH(B31,Tablolar!$A$5:$A$10,0))/1000</f>
        <v>0.05</v>
      </c>
      <c r="K31" s="8" t="n">
        <f aca="false">H31*J31</f>
        <v>0.1</v>
      </c>
      <c r="L31" s="8" t="n">
        <f aca="false">I31*J31</f>
        <v>0.1</v>
      </c>
      <c r="M31" s="6" t="n">
        <v>230</v>
      </c>
      <c r="N31" s="6" t="n">
        <v>1</v>
      </c>
      <c r="O31" s="7" t="n">
        <v>0.9</v>
      </c>
      <c r="P31" s="8" t="n">
        <f aca="false">IF(OR(J31=0,M31=0),0,IF(N31=3,J31*1000/(SQRT(3)*M31*O31),J31*1000/(M31*O31)))</f>
        <v>0.241545893719807</v>
      </c>
      <c r="Q31" s="4" t="n">
        <f aca="false">IF(P31=0,"-",INDEX(Tablolar!$I$6:$I$14,MATCH(P31*1.25-0.001,Tablolar!$H$6:$H$14,1)))</f>
        <v>10</v>
      </c>
      <c r="R31" s="4" t="str">
        <f aca="false">IF(P31=0,"-",IF(N31=3,"5x","3x")&amp;INDEX(Tablolar!$J$6:$J$14,MATCH(P31*1.25-0.001,Tablolar!$H$6:$H$14,1))&amp;" mm²")</f>
        <v>3x2,5 mm²</v>
      </c>
      <c r="S31" s="5" t="s">
        <v>88</v>
      </c>
      <c r="T31" s="5" t="s">
        <v>30</v>
      </c>
      <c r="U31" s="5" t="s">
        <v>142</v>
      </c>
    </row>
    <row r="32" customFormat="false" ht="22.35" hidden="false" customHeight="false" outlineLevel="0" collapsed="false">
      <c r="A32" s="4" t="n">
        <v>28</v>
      </c>
      <c r="B32" s="5" t="s">
        <v>147</v>
      </c>
      <c r="C32" s="5" t="s">
        <v>128</v>
      </c>
      <c r="D32" s="5" t="s">
        <v>139</v>
      </c>
      <c r="E32" s="5" t="s">
        <v>148</v>
      </c>
      <c r="F32" s="5" t="s">
        <v>141</v>
      </c>
      <c r="G32" s="5" t="s">
        <v>28</v>
      </c>
      <c r="H32" s="10" t="n">
        <f aca="false">SUMIFS('VRF İç Üniteler'!$H$5:$H$34,'VRF İç Üniteler'!$A$5:$A$34,G32,'VRF İç Üniteler'!$G$5:$G$34,B32,'VRF İç Üniteler'!$O$5:$O$34,"VRF-1")</f>
        <v>1</v>
      </c>
      <c r="I32" s="4" t="n">
        <f aca="false">H32</f>
        <v>1</v>
      </c>
      <c r="J32" s="9" t="n">
        <f aca="false">INDEX(Tablolar!$E$5:$E$10,MATCH(B32,Tablolar!$A$5:$A$10,0))/1000</f>
        <v>0.06</v>
      </c>
      <c r="K32" s="8" t="n">
        <f aca="false">H32*J32</f>
        <v>0.06</v>
      </c>
      <c r="L32" s="8" t="n">
        <f aca="false">I32*J32</f>
        <v>0.06</v>
      </c>
      <c r="M32" s="6" t="n">
        <v>230</v>
      </c>
      <c r="N32" s="6" t="n">
        <v>1</v>
      </c>
      <c r="O32" s="7" t="n">
        <v>0.9</v>
      </c>
      <c r="P32" s="8" t="n">
        <f aca="false">IF(OR(J32=0,M32=0),0,IF(N32=3,J32*1000/(SQRT(3)*M32*O32),J32*1000/(M32*O32)))</f>
        <v>0.289855072463768</v>
      </c>
      <c r="Q32" s="4" t="n">
        <f aca="false">IF(P32=0,"-",INDEX(Tablolar!$I$6:$I$14,MATCH(P32*1.25-0.001,Tablolar!$H$6:$H$14,1)))</f>
        <v>10</v>
      </c>
      <c r="R32" s="4" t="str">
        <f aca="false">IF(P32=0,"-",IF(N32=3,"5x","3x")&amp;INDEX(Tablolar!$J$6:$J$14,MATCH(P32*1.25-0.001,Tablolar!$H$6:$H$14,1))&amp;" mm²")</f>
        <v>3x2,5 mm²</v>
      </c>
      <c r="S32" s="5" t="s">
        <v>88</v>
      </c>
      <c r="T32" s="5" t="s">
        <v>30</v>
      </c>
      <c r="U32" s="5" t="s">
        <v>142</v>
      </c>
    </row>
    <row r="33" customFormat="false" ht="22.35" hidden="false" customHeight="false" outlineLevel="0" collapsed="false">
      <c r="A33" s="4" t="n">
        <v>29</v>
      </c>
      <c r="B33" s="5" t="s">
        <v>145</v>
      </c>
      <c r="C33" s="5" t="s">
        <v>128</v>
      </c>
      <c r="D33" s="5" t="s">
        <v>139</v>
      </c>
      <c r="E33" s="5" t="s">
        <v>146</v>
      </c>
      <c r="F33" s="5" t="s">
        <v>149</v>
      </c>
      <c r="G33" s="5" t="s">
        <v>103</v>
      </c>
      <c r="H33" s="10" t="n">
        <f aca="false">SUMIFS('VRF İç Üniteler'!$H$5:$H$34,'VRF İç Üniteler'!$A$5:$A$34,G33,'VRF İç Üniteler'!$G$5:$G$34,B33,'VRF İç Üniteler'!$O$5:$O$34,"VRF-1")</f>
        <v>7</v>
      </c>
      <c r="I33" s="4" t="n">
        <f aca="false">H33</f>
        <v>7</v>
      </c>
      <c r="J33" s="9" t="n">
        <f aca="false">INDEX(Tablolar!$E$5:$E$10,MATCH(B33,Tablolar!$A$5:$A$10,0))/1000</f>
        <v>0.05</v>
      </c>
      <c r="K33" s="8" t="n">
        <f aca="false">H33*J33</f>
        <v>0.35</v>
      </c>
      <c r="L33" s="8" t="n">
        <f aca="false">I33*J33</f>
        <v>0.35</v>
      </c>
      <c r="M33" s="6" t="n">
        <v>230</v>
      </c>
      <c r="N33" s="6" t="n">
        <v>1</v>
      </c>
      <c r="O33" s="7" t="n">
        <v>0.9</v>
      </c>
      <c r="P33" s="8" t="n">
        <f aca="false">IF(OR(J33=0,M33=0),0,IF(N33=3,J33*1000/(SQRT(3)*M33*O33),J33*1000/(M33*O33)))</f>
        <v>0.241545893719807</v>
      </c>
      <c r="Q33" s="4" t="n">
        <f aca="false">IF(P33=0,"-",INDEX(Tablolar!$I$6:$I$14,MATCH(P33*1.25-0.001,Tablolar!$H$6:$H$14,1)))</f>
        <v>10</v>
      </c>
      <c r="R33" s="4" t="str">
        <f aca="false">IF(P33=0,"-",IF(N33=3,"5x","3x")&amp;INDEX(Tablolar!$J$6:$J$14,MATCH(P33*1.25-0.001,Tablolar!$H$6:$H$14,1))&amp;" mm²")</f>
        <v>3x2,5 mm²</v>
      </c>
      <c r="S33" s="5" t="s">
        <v>104</v>
      </c>
      <c r="T33" s="5" t="s">
        <v>105</v>
      </c>
      <c r="U33" s="5" t="s">
        <v>142</v>
      </c>
    </row>
    <row r="34" customFormat="false" ht="22.35" hidden="false" customHeight="false" outlineLevel="0" collapsed="false">
      <c r="A34" s="4" t="n">
        <v>30</v>
      </c>
      <c r="B34" s="5" t="s">
        <v>150</v>
      </c>
      <c r="C34" s="5" t="s">
        <v>128</v>
      </c>
      <c r="D34" s="5" t="s">
        <v>139</v>
      </c>
      <c r="E34" s="5" t="s">
        <v>151</v>
      </c>
      <c r="F34" s="5" t="s">
        <v>149</v>
      </c>
      <c r="G34" s="5" t="s">
        <v>103</v>
      </c>
      <c r="H34" s="10" t="n">
        <f aca="false">SUMIFS('VRF İç Üniteler'!$H$5:$H$34,'VRF İç Üniteler'!$A$5:$A$34,G34,'VRF İç Üniteler'!$G$5:$G$34,B34,'VRF İç Üniteler'!$O$5:$O$34,"VRF-1")</f>
        <v>2</v>
      </c>
      <c r="I34" s="4" t="n">
        <f aca="false">H34</f>
        <v>2</v>
      </c>
      <c r="J34" s="9" t="n">
        <f aca="false">INDEX(Tablolar!$E$5:$E$10,MATCH(B34,Tablolar!$A$5:$A$10,0))/1000</f>
        <v>0.06</v>
      </c>
      <c r="K34" s="8" t="n">
        <f aca="false">H34*J34</f>
        <v>0.12</v>
      </c>
      <c r="L34" s="8" t="n">
        <f aca="false">I34*J34</f>
        <v>0.12</v>
      </c>
      <c r="M34" s="6" t="n">
        <v>230</v>
      </c>
      <c r="N34" s="6" t="n">
        <v>1</v>
      </c>
      <c r="O34" s="7" t="n">
        <v>0.9</v>
      </c>
      <c r="P34" s="8" t="n">
        <f aca="false">IF(OR(J34=0,M34=0),0,IF(N34=3,J34*1000/(SQRT(3)*M34*O34),J34*1000/(M34*O34)))</f>
        <v>0.289855072463768</v>
      </c>
      <c r="Q34" s="4" t="n">
        <f aca="false">IF(P34=0,"-",INDEX(Tablolar!$I$6:$I$14,MATCH(P34*1.25-0.001,Tablolar!$H$6:$H$14,1)))</f>
        <v>10</v>
      </c>
      <c r="R34" s="4" t="str">
        <f aca="false">IF(P34=0,"-",IF(N34=3,"5x","3x")&amp;INDEX(Tablolar!$J$6:$J$14,MATCH(P34*1.25-0.001,Tablolar!$H$6:$H$14,1))&amp;" mm²")</f>
        <v>3x2,5 mm²</v>
      </c>
      <c r="S34" s="5" t="s">
        <v>104</v>
      </c>
      <c r="T34" s="5" t="s">
        <v>105</v>
      </c>
      <c r="U34" s="5" t="s">
        <v>142</v>
      </c>
    </row>
    <row r="35" customFormat="false" ht="22.35" hidden="false" customHeight="false" outlineLevel="0" collapsed="false">
      <c r="A35" s="4" t="n">
        <v>31</v>
      </c>
      <c r="B35" s="5" t="s">
        <v>147</v>
      </c>
      <c r="C35" s="5" t="s">
        <v>128</v>
      </c>
      <c r="D35" s="5" t="s">
        <v>139</v>
      </c>
      <c r="E35" s="5" t="s">
        <v>148</v>
      </c>
      <c r="F35" s="5" t="s">
        <v>149</v>
      </c>
      <c r="G35" s="5" t="s">
        <v>103</v>
      </c>
      <c r="H35" s="10" t="n">
        <f aca="false">SUMIFS('VRF İç Üniteler'!$H$5:$H$34,'VRF İç Üniteler'!$A$5:$A$34,G35,'VRF İç Üniteler'!$G$5:$G$34,B35,'VRF İç Üniteler'!$O$5:$O$34,"VRF-1")</f>
        <v>4</v>
      </c>
      <c r="I35" s="4" t="n">
        <f aca="false">H35</f>
        <v>4</v>
      </c>
      <c r="J35" s="9" t="n">
        <f aca="false">INDEX(Tablolar!$E$5:$E$10,MATCH(B35,Tablolar!$A$5:$A$10,0))/1000</f>
        <v>0.06</v>
      </c>
      <c r="K35" s="8" t="n">
        <f aca="false">H35*J35</f>
        <v>0.24</v>
      </c>
      <c r="L35" s="8" t="n">
        <f aca="false">I35*J35</f>
        <v>0.24</v>
      </c>
      <c r="M35" s="6" t="n">
        <v>230</v>
      </c>
      <c r="N35" s="6" t="n">
        <v>1</v>
      </c>
      <c r="O35" s="7" t="n">
        <v>0.9</v>
      </c>
      <c r="P35" s="8" t="n">
        <f aca="false">IF(OR(J35=0,M35=0),0,IF(N35=3,J35*1000/(SQRT(3)*M35*O35),J35*1000/(M35*O35)))</f>
        <v>0.289855072463768</v>
      </c>
      <c r="Q35" s="4" t="n">
        <f aca="false">IF(P35=0,"-",INDEX(Tablolar!$I$6:$I$14,MATCH(P35*1.25-0.001,Tablolar!$H$6:$H$14,1)))</f>
        <v>10</v>
      </c>
      <c r="R35" s="4" t="str">
        <f aca="false">IF(P35=0,"-",IF(N35=3,"5x","3x")&amp;INDEX(Tablolar!$J$6:$J$14,MATCH(P35*1.25-0.001,Tablolar!$H$6:$H$14,1))&amp;" mm²")</f>
        <v>3x2,5 mm²</v>
      </c>
      <c r="S35" s="5" t="s">
        <v>104</v>
      </c>
      <c r="T35" s="5" t="s">
        <v>105</v>
      </c>
      <c r="U35" s="5" t="s">
        <v>142</v>
      </c>
    </row>
    <row r="36" customFormat="false" ht="22.35" hidden="false" customHeight="false" outlineLevel="0" collapsed="false">
      <c r="A36" s="4" t="n">
        <v>32</v>
      </c>
      <c r="B36" s="5" t="s">
        <v>138</v>
      </c>
      <c r="C36" s="5" t="s">
        <v>128</v>
      </c>
      <c r="D36" s="5" t="s">
        <v>139</v>
      </c>
      <c r="E36" s="5" t="s">
        <v>140</v>
      </c>
      <c r="F36" s="5" t="s">
        <v>149</v>
      </c>
      <c r="G36" s="5" t="s">
        <v>103</v>
      </c>
      <c r="H36" s="10" t="n">
        <f aca="false">SUMIFS('VRF İç Üniteler'!$H$5:$H$34,'VRF İç Üniteler'!$A$5:$A$34,G36,'VRF İç Üniteler'!$G$5:$G$34,B36,'VRF İç Üniteler'!$O$5:$O$34,"VRF-1")</f>
        <v>1</v>
      </c>
      <c r="I36" s="4" t="n">
        <f aca="false">H36</f>
        <v>1</v>
      </c>
      <c r="J36" s="9" t="n">
        <f aca="false">INDEX(Tablolar!$E$5:$E$10,MATCH(B36,Tablolar!$A$5:$A$10,0))/1000</f>
        <v>0.05</v>
      </c>
      <c r="K36" s="8" t="n">
        <f aca="false">H36*J36</f>
        <v>0.05</v>
      </c>
      <c r="L36" s="8" t="n">
        <f aca="false">I36*J36</f>
        <v>0.05</v>
      </c>
      <c r="M36" s="6" t="n">
        <v>230</v>
      </c>
      <c r="N36" s="6" t="n">
        <v>1</v>
      </c>
      <c r="O36" s="7" t="n">
        <v>0.9</v>
      </c>
      <c r="P36" s="8" t="n">
        <f aca="false">IF(OR(J36=0,M36=0),0,IF(N36=3,J36*1000/(SQRT(3)*M36*O36),J36*1000/(M36*O36)))</f>
        <v>0.241545893719807</v>
      </c>
      <c r="Q36" s="4" t="n">
        <f aca="false">IF(P36=0,"-",INDEX(Tablolar!$I$6:$I$14,MATCH(P36*1.25-0.001,Tablolar!$H$6:$H$14,1)))</f>
        <v>10</v>
      </c>
      <c r="R36" s="4" t="str">
        <f aca="false">IF(P36=0,"-",IF(N36=3,"5x","3x")&amp;INDEX(Tablolar!$J$6:$J$14,MATCH(P36*1.25-0.001,Tablolar!$H$6:$H$14,1))&amp;" mm²")</f>
        <v>3x2,5 mm²</v>
      </c>
      <c r="S36" s="5" t="s">
        <v>104</v>
      </c>
      <c r="T36" s="5" t="s">
        <v>105</v>
      </c>
      <c r="U36" s="5" t="s">
        <v>142</v>
      </c>
    </row>
    <row r="37" customFormat="false" ht="22.35" hidden="false" customHeight="false" outlineLevel="0" collapsed="false">
      <c r="A37" s="4" t="n">
        <v>33</v>
      </c>
      <c r="B37" s="5" t="s">
        <v>147</v>
      </c>
      <c r="C37" s="5" t="s">
        <v>128</v>
      </c>
      <c r="D37" s="5" t="s">
        <v>152</v>
      </c>
      <c r="E37" s="5" t="s">
        <v>148</v>
      </c>
      <c r="F37" s="5" t="s">
        <v>153</v>
      </c>
      <c r="G37" s="5" t="s">
        <v>108</v>
      </c>
      <c r="H37" s="10" t="n">
        <f aca="false">SUMIFS('VRF İç Üniteler'!$H$5:$H$34,'VRF İç Üniteler'!$A$5:$A$34,G37,'VRF İç Üniteler'!$G$5:$G$34,B37,'VRF İç Üniteler'!$O$5:$O$34,"VRF-2")</f>
        <v>9</v>
      </c>
      <c r="I37" s="4" t="n">
        <f aca="false">H37</f>
        <v>9</v>
      </c>
      <c r="J37" s="9" t="n">
        <f aca="false">INDEX(Tablolar!$E$5:$E$10,MATCH(B37,Tablolar!$A$5:$A$10,0))/1000</f>
        <v>0.06</v>
      </c>
      <c r="K37" s="8" t="n">
        <f aca="false">H37*J37</f>
        <v>0.54</v>
      </c>
      <c r="L37" s="8" t="n">
        <f aca="false">I37*J37</f>
        <v>0.54</v>
      </c>
      <c r="M37" s="6" t="n">
        <v>230</v>
      </c>
      <c r="N37" s="6" t="n">
        <v>1</v>
      </c>
      <c r="O37" s="7" t="n">
        <v>0.9</v>
      </c>
      <c r="P37" s="8" t="n">
        <f aca="false">IF(OR(J37=0,M37=0),0,IF(N37=3,J37*1000/(SQRT(3)*M37*O37),J37*1000/(M37*O37)))</f>
        <v>0.289855072463768</v>
      </c>
      <c r="Q37" s="4" t="n">
        <f aca="false">IF(P37=0,"-",INDEX(Tablolar!$I$6:$I$14,MATCH(P37*1.25-0.001,Tablolar!$H$6:$H$14,1)))</f>
        <v>10</v>
      </c>
      <c r="R37" s="4" t="str">
        <f aca="false">IF(P37=0,"-",IF(N37=3,"5x","3x")&amp;INDEX(Tablolar!$J$6:$J$14,MATCH(P37*1.25-0.001,Tablolar!$H$6:$H$14,1))&amp;" mm²")</f>
        <v>3x2,5 mm²</v>
      </c>
      <c r="S37" s="5" t="s">
        <v>109</v>
      </c>
      <c r="T37" s="5" t="s">
        <v>110</v>
      </c>
      <c r="U37" s="5" t="s">
        <v>142</v>
      </c>
    </row>
    <row r="38" customFormat="false" ht="22.35" hidden="false" customHeight="false" outlineLevel="0" collapsed="false">
      <c r="A38" s="4" t="n">
        <v>34</v>
      </c>
      <c r="B38" s="5" t="s">
        <v>150</v>
      </c>
      <c r="C38" s="5" t="s">
        <v>128</v>
      </c>
      <c r="D38" s="5" t="s">
        <v>152</v>
      </c>
      <c r="E38" s="5" t="s">
        <v>151</v>
      </c>
      <c r="F38" s="5" t="s">
        <v>153</v>
      </c>
      <c r="G38" s="5" t="s">
        <v>108</v>
      </c>
      <c r="H38" s="10" t="n">
        <f aca="false">SUMIFS('VRF İç Üniteler'!$H$5:$H$34,'VRF İç Üniteler'!$A$5:$A$34,G38,'VRF İç Üniteler'!$G$5:$G$34,B38,'VRF İç Üniteler'!$O$5:$O$34,"VRF-2")</f>
        <v>4</v>
      </c>
      <c r="I38" s="4" t="n">
        <f aca="false">H38</f>
        <v>4</v>
      </c>
      <c r="J38" s="9" t="n">
        <f aca="false">INDEX(Tablolar!$E$5:$E$10,MATCH(B38,Tablolar!$A$5:$A$10,0))/1000</f>
        <v>0.06</v>
      </c>
      <c r="K38" s="8" t="n">
        <f aca="false">H38*J38</f>
        <v>0.24</v>
      </c>
      <c r="L38" s="8" t="n">
        <f aca="false">I38*J38</f>
        <v>0.24</v>
      </c>
      <c r="M38" s="6" t="n">
        <v>230</v>
      </c>
      <c r="N38" s="6" t="n">
        <v>1</v>
      </c>
      <c r="O38" s="7" t="n">
        <v>0.9</v>
      </c>
      <c r="P38" s="8" t="n">
        <f aca="false">IF(OR(J38=0,M38=0),0,IF(N38=3,J38*1000/(SQRT(3)*M38*O38),J38*1000/(M38*O38)))</f>
        <v>0.289855072463768</v>
      </c>
      <c r="Q38" s="4" t="n">
        <f aca="false">IF(P38=0,"-",INDEX(Tablolar!$I$6:$I$14,MATCH(P38*1.25-0.001,Tablolar!$H$6:$H$14,1)))</f>
        <v>10</v>
      </c>
      <c r="R38" s="4" t="str">
        <f aca="false">IF(P38=0,"-",IF(N38=3,"5x","3x")&amp;INDEX(Tablolar!$J$6:$J$14,MATCH(P38*1.25-0.001,Tablolar!$H$6:$H$14,1))&amp;" mm²")</f>
        <v>3x2,5 mm²</v>
      </c>
      <c r="S38" s="5" t="s">
        <v>109</v>
      </c>
      <c r="T38" s="5" t="s">
        <v>110</v>
      </c>
      <c r="U38" s="5" t="s">
        <v>142</v>
      </c>
    </row>
    <row r="39" customFormat="false" ht="22.35" hidden="false" customHeight="false" outlineLevel="0" collapsed="false">
      <c r="A39" s="4" t="n">
        <v>35</v>
      </c>
      <c r="B39" s="5" t="s">
        <v>145</v>
      </c>
      <c r="C39" s="5" t="s">
        <v>128</v>
      </c>
      <c r="D39" s="5" t="s">
        <v>152</v>
      </c>
      <c r="E39" s="5" t="s">
        <v>146</v>
      </c>
      <c r="F39" s="5" t="s">
        <v>153</v>
      </c>
      <c r="G39" s="5" t="s">
        <v>108</v>
      </c>
      <c r="H39" s="10" t="n">
        <f aca="false">SUMIFS('VRF İç Üniteler'!$H$5:$H$34,'VRF İç Üniteler'!$A$5:$A$34,G39,'VRF İç Üniteler'!$G$5:$G$34,B39,'VRF İç Üniteler'!$O$5:$O$34,"VRF-2")</f>
        <v>2</v>
      </c>
      <c r="I39" s="4" t="n">
        <f aca="false">H39</f>
        <v>2</v>
      </c>
      <c r="J39" s="9" t="n">
        <f aca="false">INDEX(Tablolar!$E$5:$E$10,MATCH(B39,Tablolar!$A$5:$A$10,0))/1000</f>
        <v>0.05</v>
      </c>
      <c r="K39" s="8" t="n">
        <f aca="false">H39*J39</f>
        <v>0.1</v>
      </c>
      <c r="L39" s="8" t="n">
        <f aca="false">I39*J39</f>
        <v>0.1</v>
      </c>
      <c r="M39" s="6" t="n">
        <v>230</v>
      </c>
      <c r="N39" s="6" t="n">
        <v>1</v>
      </c>
      <c r="O39" s="7" t="n">
        <v>0.9</v>
      </c>
      <c r="P39" s="8" t="n">
        <f aca="false">IF(OR(J39=0,M39=0),0,IF(N39=3,J39*1000/(SQRT(3)*M39*O39),J39*1000/(M39*O39)))</f>
        <v>0.241545893719807</v>
      </c>
      <c r="Q39" s="4" t="n">
        <f aca="false">IF(P39=0,"-",INDEX(Tablolar!$I$6:$I$14,MATCH(P39*1.25-0.001,Tablolar!$H$6:$H$14,1)))</f>
        <v>10</v>
      </c>
      <c r="R39" s="4" t="str">
        <f aca="false">IF(P39=0,"-",IF(N39=3,"5x","3x")&amp;INDEX(Tablolar!$J$6:$J$14,MATCH(P39*1.25-0.001,Tablolar!$H$6:$H$14,1))&amp;" mm²")</f>
        <v>3x2,5 mm²</v>
      </c>
      <c r="S39" s="5" t="s">
        <v>109</v>
      </c>
      <c r="T39" s="5" t="s">
        <v>110</v>
      </c>
      <c r="U39" s="5" t="s">
        <v>142</v>
      </c>
    </row>
    <row r="41" customFormat="false" ht="32.8" hidden="false" customHeight="false" outlineLevel="0" collapsed="false">
      <c r="A41" s="11"/>
      <c r="B41" s="11"/>
      <c r="C41" s="12" t="s">
        <v>154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customFormat="false" ht="15" hidden="false" customHeight="false" outlineLevel="0" collapsed="false">
      <c r="A42" s="4"/>
      <c r="B42" s="4"/>
      <c r="C42" s="5" t="s">
        <v>24</v>
      </c>
      <c r="D42" s="4"/>
      <c r="E42" s="4"/>
      <c r="F42" s="4"/>
      <c r="G42" s="4"/>
      <c r="H42" s="4" t="n">
        <f aca="false">SUMIF($C$5:$C$39,C42,$H$5:$H$39)</f>
        <v>8</v>
      </c>
      <c r="I42" s="4"/>
      <c r="J42" s="4"/>
      <c r="K42" s="8" t="n">
        <f aca="false">SUMIF($C$5:$C$39,C42,$K$5:$K$39)</f>
        <v>1.37</v>
      </c>
      <c r="L42" s="8" t="n">
        <f aca="false">SUMIF($C$5:$C$39,C42,$L$5:$L$39)</f>
        <v>1.02</v>
      </c>
      <c r="M42" s="4"/>
      <c r="N42" s="4"/>
      <c r="O42" s="4"/>
      <c r="P42" s="4"/>
      <c r="Q42" s="4"/>
      <c r="R42" s="4"/>
      <c r="S42" s="4"/>
      <c r="T42" s="4"/>
      <c r="U42" s="4"/>
    </row>
    <row r="43" customFormat="false" ht="15" hidden="false" customHeight="false" outlineLevel="0" collapsed="false">
      <c r="A43" s="4"/>
      <c r="B43" s="4"/>
      <c r="C43" s="5" t="s">
        <v>50</v>
      </c>
      <c r="D43" s="4"/>
      <c r="E43" s="4"/>
      <c r="F43" s="4"/>
      <c r="G43" s="4"/>
      <c r="H43" s="4" t="n">
        <f aca="false">SUMIF($C$5:$C$39,C43,$H$5:$H$39)</f>
        <v>4</v>
      </c>
      <c r="I43" s="4"/>
      <c r="J43" s="4"/>
      <c r="K43" s="8" t="n">
        <f aca="false">SUMIF($C$5:$C$39,C43,$K$5:$K$39)</f>
        <v>1.55</v>
      </c>
      <c r="L43" s="8" t="n">
        <f aca="false">SUMIF($C$5:$C$39,C43,$L$5:$L$39)</f>
        <v>1.55</v>
      </c>
      <c r="M43" s="4"/>
      <c r="N43" s="4"/>
      <c r="O43" s="4"/>
      <c r="P43" s="4"/>
      <c r="Q43" s="4"/>
      <c r="R43" s="4"/>
      <c r="S43" s="4"/>
      <c r="T43" s="4"/>
      <c r="U43" s="4"/>
    </row>
    <row r="44" customFormat="false" ht="15" hidden="false" customHeight="false" outlineLevel="0" collapsed="false">
      <c r="A44" s="4"/>
      <c r="B44" s="4"/>
      <c r="C44" s="5" t="s">
        <v>65</v>
      </c>
      <c r="D44" s="4"/>
      <c r="E44" s="4"/>
      <c r="F44" s="4"/>
      <c r="G44" s="4"/>
      <c r="H44" s="4" t="n">
        <f aca="false">SUMIF($C$5:$C$39,C44,$H$5:$H$39)</f>
        <v>3</v>
      </c>
      <c r="I44" s="4"/>
      <c r="J44" s="4"/>
      <c r="K44" s="8" t="n">
        <f aca="false">SUMIF($C$5:$C$39,C44,$K$5:$K$39)</f>
        <v>2.6</v>
      </c>
      <c r="L44" s="8" t="n">
        <f aca="false">SUMIF($C$5:$C$39,C44,$L$5:$L$39)</f>
        <v>1.85</v>
      </c>
      <c r="M44" s="4"/>
      <c r="N44" s="4"/>
      <c r="O44" s="4"/>
      <c r="P44" s="4"/>
      <c r="Q44" s="4"/>
      <c r="R44" s="4"/>
      <c r="S44" s="4"/>
      <c r="T44" s="4"/>
      <c r="U44" s="4"/>
    </row>
    <row r="45" customFormat="false" ht="15" hidden="false" customHeight="false" outlineLevel="0" collapsed="false">
      <c r="A45" s="4"/>
      <c r="B45" s="4"/>
      <c r="C45" s="5" t="s">
        <v>76</v>
      </c>
      <c r="D45" s="4"/>
      <c r="E45" s="4"/>
      <c r="F45" s="4"/>
      <c r="G45" s="4"/>
      <c r="H45" s="4" t="n">
        <f aca="false">SUMIF($C$5:$C$39,C45,$H$5:$H$39)</f>
        <v>8</v>
      </c>
      <c r="I45" s="4"/>
      <c r="J45" s="4"/>
      <c r="K45" s="8" t="n">
        <f aca="false">SUMIF($C$5:$C$39,C45,$K$5:$K$39)</f>
        <v>1.7</v>
      </c>
      <c r="L45" s="8" t="n">
        <f aca="false">SUMIF($C$5:$C$39,C45,$L$5:$L$39)</f>
        <v>1.7</v>
      </c>
      <c r="M45" s="4"/>
      <c r="N45" s="4"/>
      <c r="O45" s="4"/>
      <c r="P45" s="4"/>
      <c r="Q45" s="4"/>
      <c r="R45" s="4"/>
      <c r="S45" s="4"/>
      <c r="T45" s="4"/>
      <c r="U45" s="4"/>
    </row>
    <row r="46" customFormat="false" ht="15" hidden="false" customHeight="false" outlineLevel="0" collapsed="false">
      <c r="A46" s="4"/>
      <c r="B46" s="4"/>
      <c r="C46" s="5" t="s">
        <v>117</v>
      </c>
      <c r="D46" s="4"/>
      <c r="E46" s="4"/>
      <c r="F46" s="4"/>
      <c r="G46" s="4"/>
      <c r="H46" s="4" t="n">
        <f aca="false">SUMIF($C$5:$C$39,C46,$H$5:$H$39)</f>
        <v>3</v>
      </c>
      <c r="I46" s="4"/>
      <c r="J46" s="4"/>
      <c r="K46" s="8" t="n">
        <f aca="false">SUMIF($C$5:$C$39,C46,$K$5:$K$39)</f>
        <v>2.22</v>
      </c>
      <c r="L46" s="8" t="n">
        <f aca="false">SUMIF($C$5:$C$39,C46,$L$5:$L$39)</f>
        <v>1.12</v>
      </c>
      <c r="M46" s="4"/>
      <c r="N46" s="4"/>
      <c r="O46" s="4"/>
      <c r="P46" s="4"/>
      <c r="Q46" s="4"/>
      <c r="R46" s="4"/>
      <c r="S46" s="4"/>
      <c r="T46" s="4"/>
      <c r="U46" s="4"/>
    </row>
    <row r="47" customFormat="false" ht="15" hidden="false" customHeight="false" outlineLevel="0" collapsed="false">
      <c r="A47" s="4"/>
      <c r="B47" s="4"/>
      <c r="C47" s="5" t="s">
        <v>128</v>
      </c>
      <c r="D47" s="4"/>
      <c r="E47" s="4"/>
      <c r="F47" s="4"/>
      <c r="G47" s="4"/>
      <c r="H47" s="4" t="n">
        <f aca="false">SUMIF($C$5:$C$39,C47,$H$5:$H$39)</f>
        <v>40</v>
      </c>
      <c r="I47" s="4"/>
      <c r="J47" s="4"/>
      <c r="K47" s="8" t="n">
        <f aca="false">SUMIF($C$5:$C$39,C47,$K$5:$K$39)</f>
        <v>50.674</v>
      </c>
      <c r="L47" s="8" t="n">
        <f aca="false">SUMIF($C$5:$C$39,C47,$L$5:$L$39)</f>
        <v>50.674</v>
      </c>
      <c r="M47" s="4"/>
      <c r="N47" s="4"/>
      <c r="O47" s="4"/>
      <c r="P47" s="4"/>
      <c r="Q47" s="4"/>
      <c r="R47" s="4"/>
      <c r="S47" s="4"/>
      <c r="T47" s="4"/>
      <c r="U47" s="4"/>
    </row>
    <row r="48" customFormat="false" ht="22.35" hidden="false" customHeight="false" outlineLevel="0" collapsed="false">
      <c r="A48" s="13"/>
      <c r="B48" s="13"/>
      <c r="C48" s="14" t="s">
        <v>155</v>
      </c>
      <c r="D48" s="13"/>
      <c r="E48" s="13"/>
      <c r="F48" s="13"/>
      <c r="G48" s="13"/>
      <c r="H48" s="13" t="n">
        <f aca="false">SUM(H42:H47)</f>
        <v>66</v>
      </c>
      <c r="I48" s="13"/>
      <c r="J48" s="13"/>
      <c r="K48" s="15" t="n">
        <f aca="false">SUM(K42:K47)</f>
        <v>60.114</v>
      </c>
      <c r="L48" s="15" t="n">
        <f aca="false">SUM(L42:L47)</f>
        <v>57.914</v>
      </c>
      <c r="M48" s="13"/>
      <c r="N48" s="13"/>
      <c r="O48" s="13"/>
      <c r="P48" s="13"/>
      <c r="Q48" s="13"/>
      <c r="R48" s="13"/>
      <c r="S48" s="13"/>
      <c r="T48" s="13"/>
      <c r="U48" s="13"/>
    </row>
    <row r="50" customFormat="false" ht="15" hidden="false" customHeight="false" outlineLevel="0" collapsed="false">
      <c r="A50" s="16" t="s">
        <v>156</v>
      </c>
    </row>
    <row r="51" customFormat="false" ht="15" hidden="false" customHeight="false" outlineLevel="0" collapsed="false">
      <c r="A51" s="16" t="s">
        <v>157</v>
      </c>
    </row>
    <row r="52" customFormat="false" ht="15" hidden="false" customHeight="false" outlineLevel="0" collapsed="false">
      <c r="A52" s="16" t="s">
        <v>158</v>
      </c>
    </row>
    <row r="53" customFormat="false" ht="15" hidden="false" customHeight="false" outlineLevel="0" collapsed="false">
      <c r="A53" s="16" t="s">
        <v>159</v>
      </c>
    </row>
    <row r="54" customFormat="false" ht="15" hidden="false" customHeight="false" outlineLevel="0" collapsed="false">
      <c r="A54" s="16" t="s">
        <v>160</v>
      </c>
    </row>
    <row r="55" customFormat="false" ht="15" hidden="false" customHeight="false" outlineLevel="0" collapsed="false">
      <c r="A55" s="16" t="s">
        <v>161</v>
      </c>
    </row>
  </sheetData>
  <autoFilter ref="A4:U39"/>
  <mergeCells count="2">
    <mergeCell ref="A1:U1"/>
    <mergeCell ref="A2:U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62"/>
    <col collapsed="false" customWidth="true" hidden="false" outlineLevel="0" max="3" min="3" style="0" width="11"/>
    <col collapsed="false" customWidth="true" hidden="false" outlineLevel="0" max="5" min="4" style="0" width="14"/>
    <col collapsed="false" customWidth="true" hidden="false" outlineLevel="0" max="6" min="6" style="0" width="11"/>
  </cols>
  <sheetData>
    <row r="1" customFormat="false" ht="16.15" hidden="false" customHeight="false" outlineLevel="0" collapsed="false">
      <c r="A1" s="1" t="s">
        <v>162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163</v>
      </c>
      <c r="B2" s="2"/>
      <c r="C2" s="2"/>
      <c r="D2" s="2"/>
      <c r="E2" s="2"/>
      <c r="F2" s="2"/>
    </row>
    <row r="4" customFormat="false" ht="36" hidden="false" customHeight="true" outlineLevel="0" collapsed="false">
      <c r="A4" s="3" t="s">
        <v>20</v>
      </c>
      <c r="B4" s="3" t="s">
        <v>164</v>
      </c>
      <c r="C4" s="3" t="s">
        <v>165</v>
      </c>
      <c r="D4" s="3" t="s">
        <v>12</v>
      </c>
      <c r="E4" s="3" t="s">
        <v>13</v>
      </c>
      <c r="F4" s="3" t="s">
        <v>166</v>
      </c>
    </row>
    <row r="5" customFormat="false" ht="15" hidden="false" customHeight="false" outlineLevel="0" collapsed="false">
      <c r="A5" s="5" t="s">
        <v>29</v>
      </c>
      <c r="B5" s="5" t="s">
        <v>167</v>
      </c>
      <c r="C5" s="4" t="n">
        <f aca="false">SUMIF('Elektrik Güç Tablosu'!$S$5:$S$39,A5,'Elektrik Güç Tablosu'!$H$5:$H$39)</f>
        <v>16</v>
      </c>
      <c r="D5" s="8" t="n">
        <f aca="false">SUMIF('Elektrik Güç Tablosu'!$S$5:$S$39,A5,'Elektrik Güç Tablosu'!$K$5:$K$39)</f>
        <v>5.92</v>
      </c>
      <c r="E5" s="8" t="n">
        <f aca="false">SUMIF('Elektrik Güç Tablosu'!$S$5:$S$39,A5,'Elektrik Güç Tablosu'!$L$5:$L$39)</f>
        <v>4.82</v>
      </c>
      <c r="F5" s="17" t="n">
        <f aca="false">IF($E$10=0,0,E5/$E$10)</f>
        <v>0.083226853610526</v>
      </c>
    </row>
    <row r="6" customFormat="false" ht="15" hidden="false" customHeight="false" outlineLevel="0" collapsed="false">
      <c r="A6" s="5" t="s">
        <v>132</v>
      </c>
      <c r="B6" s="5" t="s">
        <v>168</v>
      </c>
      <c r="C6" s="4" t="n">
        <f aca="false">SUMIF('Elektrik Güç Tablosu'!$S$5:$S$39,A6,'Elektrik Güç Tablosu'!$H$5:$H$39)</f>
        <v>3</v>
      </c>
      <c r="D6" s="8" t="n">
        <f aca="false">SUMIF('Elektrik Güç Tablosu'!$S$5:$S$39,A6,'Elektrik Güç Tablosu'!$K$5:$K$39)</f>
        <v>48.6</v>
      </c>
      <c r="E6" s="8" t="n">
        <f aca="false">SUMIF('Elektrik Güç Tablosu'!$S$5:$S$39,A6,'Elektrik Güç Tablosu'!$L$5:$L$39)</f>
        <v>48.6</v>
      </c>
      <c r="F6" s="17" t="n">
        <f aca="false">IF($E$10=0,0,E6/$E$10)</f>
        <v>0.839175328936009</v>
      </c>
    </row>
    <row r="7" customFormat="false" ht="15" hidden="false" customHeight="false" outlineLevel="0" collapsed="false">
      <c r="A7" s="5" t="s">
        <v>88</v>
      </c>
      <c r="B7" s="5" t="s">
        <v>169</v>
      </c>
      <c r="C7" s="4" t="n">
        <f aca="false">SUMIF('Elektrik Güç Tablosu'!$S$5:$S$39,A7,'Elektrik Güç Tablosu'!$H$5:$H$39)</f>
        <v>14</v>
      </c>
      <c r="D7" s="8" t="n">
        <f aca="false">SUMIF('Elektrik Güç Tablosu'!$S$5:$S$39,A7,'Elektrik Güç Tablosu'!$K$5:$K$39)</f>
        <v>3.254</v>
      </c>
      <c r="E7" s="8" t="n">
        <f aca="false">SUMIF('Elektrik Güç Tablosu'!$S$5:$S$39,A7,'Elektrik Güç Tablosu'!$L$5:$L$39)</f>
        <v>2.154</v>
      </c>
      <c r="F7" s="17" t="n">
        <f aca="false">IF($E$10=0,0,E7/$E$10)</f>
        <v>0.0371930793935836</v>
      </c>
    </row>
    <row r="8" customFormat="false" ht="15" hidden="false" customHeight="false" outlineLevel="0" collapsed="false">
      <c r="A8" s="5" t="s">
        <v>104</v>
      </c>
      <c r="B8" s="5" t="s">
        <v>170</v>
      </c>
      <c r="C8" s="4" t="n">
        <f aca="false">SUMIF('Elektrik Güç Tablosu'!$S$5:$S$39,A8,'Elektrik Güç Tablosu'!$H$5:$H$39)</f>
        <v>15</v>
      </c>
      <c r="D8" s="8" t="n">
        <f aca="false">SUMIF('Elektrik Güç Tablosu'!$S$5:$S$39,A8,'Elektrik Güç Tablosu'!$K$5:$K$39)</f>
        <v>1.01</v>
      </c>
      <c r="E8" s="8" t="n">
        <f aca="false">SUMIF('Elektrik Güç Tablosu'!$S$5:$S$39,A8,'Elektrik Güç Tablosu'!$L$5:$L$39)</f>
        <v>1.01</v>
      </c>
      <c r="F8" s="17" t="n">
        <f aca="false">IF($E$10=0,0,E8/$E$10)</f>
        <v>0.0174396518976413</v>
      </c>
    </row>
    <row r="9" customFormat="false" ht="15" hidden="false" customHeight="false" outlineLevel="0" collapsed="false">
      <c r="A9" s="5" t="s">
        <v>109</v>
      </c>
      <c r="B9" s="5" t="s">
        <v>171</v>
      </c>
      <c r="C9" s="4" t="n">
        <f aca="false">SUMIF('Elektrik Güç Tablosu'!$S$5:$S$39,A9,'Elektrik Güç Tablosu'!$H$5:$H$39)</f>
        <v>17</v>
      </c>
      <c r="D9" s="8" t="n">
        <f aca="false">SUMIF('Elektrik Güç Tablosu'!$S$5:$S$39,A9,'Elektrik Güç Tablosu'!$K$5:$K$39)</f>
        <v>1.33</v>
      </c>
      <c r="E9" s="8" t="n">
        <f aca="false">SUMIF('Elektrik Güç Tablosu'!$S$5:$S$39,A9,'Elektrik Güç Tablosu'!$L$5:$L$39)</f>
        <v>1.33</v>
      </c>
      <c r="F9" s="17" t="n">
        <f aca="false">IF($E$10=0,0,E9/$E$10)</f>
        <v>0.0229650861622406</v>
      </c>
    </row>
    <row r="10" customFormat="false" ht="15" hidden="false" customHeight="false" outlineLevel="0" collapsed="false">
      <c r="A10" s="14" t="s">
        <v>172</v>
      </c>
      <c r="B10" s="13"/>
      <c r="C10" s="13" t="n">
        <f aca="false">SUM(C5:C9)</f>
        <v>65</v>
      </c>
      <c r="D10" s="15" t="n">
        <f aca="false">SUM(D5:D9)</f>
        <v>60.114</v>
      </c>
      <c r="E10" s="15" t="n">
        <f aca="false">SUM(E5:E9)</f>
        <v>57.914</v>
      </c>
      <c r="F10" s="18" t="n">
        <f aca="false">SUM(F5:F9)</f>
        <v>1</v>
      </c>
    </row>
    <row r="11" customFormat="false" ht="15" hidden="false" customHeight="false" outlineLevel="0" collapsed="false">
      <c r="A11" s="16" t="s">
        <v>173</v>
      </c>
      <c r="D11" s="19" t="n">
        <f aca="false">D10-'Elektrik Güç Tablosu'!K48</f>
        <v>0</v>
      </c>
    </row>
    <row r="13" customFormat="false" ht="36" hidden="false" customHeight="true" outlineLevel="0" collapsed="false">
      <c r="A13" s="3" t="s">
        <v>8</v>
      </c>
      <c r="B13" s="3" t="s">
        <v>164</v>
      </c>
      <c r="C13" s="3" t="s">
        <v>165</v>
      </c>
      <c r="D13" s="3" t="s">
        <v>12</v>
      </c>
      <c r="E13" s="3" t="s">
        <v>13</v>
      </c>
      <c r="F13" s="3" t="s">
        <v>166</v>
      </c>
    </row>
    <row r="14" customFormat="false" ht="15" hidden="false" customHeight="false" outlineLevel="0" collapsed="false">
      <c r="A14" s="5" t="s">
        <v>28</v>
      </c>
      <c r="B14" s="5" t="s">
        <v>174</v>
      </c>
      <c r="C14" s="4" t="n">
        <f aca="false">SUMIF('Elektrik Güç Tablosu'!$G$5:$G$39,A14,'Elektrik Güç Tablosu'!$H$5:$H$39)</f>
        <v>34</v>
      </c>
      <c r="D14" s="8" t="n">
        <f aca="false">SUMIF('Elektrik Güç Tablosu'!$G$5:$G$39,A14,'Elektrik Güç Tablosu'!$K$5:$K$39)</f>
        <v>57.774</v>
      </c>
      <c r="E14" s="8" t="n">
        <f aca="false">SUMIF('Elektrik Güç Tablosu'!$G$5:$G$39,A14,'Elektrik Güç Tablosu'!$L$5:$L$39)</f>
        <v>55.574</v>
      </c>
      <c r="F14" s="17" t="n">
        <f aca="false">IF($E$17=0,0,E14/$E$17)</f>
        <v>0.959595261940118</v>
      </c>
    </row>
    <row r="15" customFormat="false" ht="15" hidden="false" customHeight="false" outlineLevel="0" collapsed="false">
      <c r="A15" s="5" t="s">
        <v>103</v>
      </c>
      <c r="B15" s="5" t="s">
        <v>175</v>
      </c>
      <c r="C15" s="4" t="n">
        <f aca="false">SUMIF('Elektrik Güç Tablosu'!$G$5:$G$39,A15,'Elektrik Güç Tablosu'!$H$5:$H$39)</f>
        <v>15</v>
      </c>
      <c r="D15" s="8" t="n">
        <f aca="false">SUMIF('Elektrik Güç Tablosu'!$G$5:$G$39,A15,'Elektrik Güç Tablosu'!$K$5:$K$39)</f>
        <v>1.01</v>
      </c>
      <c r="E15" s="8" t="n">
        <f aca="false">SUMIF('Elektrik Güç Tablosu'!$G$5:$G$39,A15,'Elektrik Güç Tablosu'!$L$5:$L$39)</f>
        <v>1.01</v>
      </c>
      <c r="F15" s="17" t="n">
        <f aca="false">IF($E$17=0,0,E15/$E$17)</f>
        <v>0.0174396518976413</v>
      </c>
    </row>
    <row r="16" customFormat="false" ht="15" hidden="false" customHeight="false" outlineLevel="0" collapsed="false">
      <c r="A16" s="5" t="s">
        <v>108</v>
      </c>
      <c r="B16" s="5" t="s">
        <v>176</v>
      </c>
      <c r="C16" s="4" t="n">
        <f aca="false">SUMIF('Elektrik Güç Tablosu'!$G$5:$G$39,A16,'Elektrik Güç Tablosu'!$H$5:$H$39)</f>
        <v>17</v>
      </c>
      <c r="D16" s="8" t="n">
        <f aca="false">SUMIF('Elektrik Güç Tablosu'!$G$5:$G$39,A16,'Elektrik Güç Tablosu'!$K$5:$K$39)</f>
        <v>1.33</v>
      </c>
      <c r="E16" s="8" t="n">
        <f aca="false">SUMIF('Elektrik Güç Tablosu'!$G$5:$G$39,A16,'Elektrik Güç Tablosu'!$L$5:$L$39)</f>
        <v>1.33</v>
      </c>
      <c r="F16" s="17" t="n">
        <f aca="false">IF($E$17=0,0,E16/$E$17)</f>
        <v>0.0229650861622406</v>
      </c>
    </row>
    <row r="17" customFormat="false" ht="15" hidden="false" customHeight="false" outlineLevel="0" collapsed="false">
      <c r="A17" s="14" t="s">
        <v>172</v>
      </c>
      <c r="B17" s="13"/>
      <c r="C17" s="13" t="n">
        <f aca="false">SUM(C14:C16)</f>
        <v>66</v>
      </c>
      <c r="D17" s="15" t="n">
        <f aca="false">SUM(D14:D16)</f>
        <v>60.114</v>
      </c>
      <c r="E17" s="15" t="n">
        <f aca="false">SUM(E14:E16)</f>
        <v>57.914</v>
      </c>
      <c r="F17" s="18" t="n">
        <f aca="false">SUM(F14:F16)</f>
        <v>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6.15" hidden="false" customHeight="false" outlineLevel="0" collapsed="false">
      <c r="A1" s="1" t="s">
        <v>177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178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3" t="s">
        <v>179</v>
      </c>
      <c r="B4" s="3" t="s">
        <v>180</v>
      </c>
      <c r="C4" s="3" t="s">
        <v>181</v>
      </c>
      <c r="D4" s="3" t="s">
        <v>182</v>
      </c>
      <c r="E4" s="3" t="s">
        <v>183</v>
      </c>
      <c r="F4" s="3" t="s">
        <v>184</v>
      </c>
      <c r="H4" s="20" t="s">
        <v>185</v>
      </c>
    </row>
    <row r="5" customFormat="false" ht="15" hidden="false" customHeight="false" outlineLevel="0" collapsed="false">
      <c r="A5" s="5" t="s">
        <v>138</v>
      </c>
      <c r="B5" s="5" t="s">
        <v>186</v>
      </c>
      <c r="C5" s="6" t="n">
        <v>2.2</v>
      </c>
      <c r="D5" s="6" t="n">
        <v>2.5</v>
      </c>
      <c r="E5" s="6" t="n">
        <v>50</v>
      </c>
      <c r="F5" s="5" t="s">
        <v>187</v>
      </c>
      <c r="H5" s="3" t="s">
        <v>188</v>
      </c>
      <c r="I5" s="3" t="s">
        <v>189</v>
      </c>
      <c r="J5" s="3" t="s">
        <v>190</v>
      </c>
    </row>
    <row r="6" customFormat="false" ht="15" hidden="false" customHeight="false" outlineLevel="0" collapsed="false">
      <c r="A6" s="5" t="s">
        <v>145</v>
      </c>
      <c r="B6" s="5" t="s">
        <v>186</v>
      </c>
      <c r="C6" s="6" t="n">
        <v>2.8</v>
      </c>
      <c r="D6" s="6" t="n">
        <v>3.2</v>
      </c>
      <c r="E6" s="6" t="n">
        <v>50</v>
      </c>
      <c r="F6" s="5" t="s">
        <v>187</v>
      </c>
      <c r="H6" s="6" t="n">
        <v>0</v>
      </c>
      <c r="I6" s="6" t="n">
        <v>10</v>
      </c>
      <c r="J6" s="6" t="s">
        <v>191</v>
      </c>
    </row>
    <row r="7" customFormat="false" ht="15" hidden="false" customHeight="false" outlineLevel="0" collapsed="false">
      <c r="A7" s="5" t="s">
        <v>147</v>
      </c>
      <c r="B7" s="5" t="s">
        <v>186</v>
      </c>
      <c r="C7" s="6" t="n">
        <v>3.6</v>
      </c>
      <c r="D7" s="6" t="n">
        <v>4</v>
      </c>
      <c r="E7" s="6" t="n">
        <v>60</v>
      </c>
      <c r="F7" s="5" t="s">
        <v>187</v>
      </c>
      <c r="H7" s="6" t="n">
        <v>10</v>
      </c>
      <c r="I7" s="6" t="n">
        <v>16</v>
      </c>
      <c r="J7" s="6" t="s">
        <v>191</v>
      </c>
    </row>
    <row r="8" customFormat="false" ht="15" hidden="false" customHeight="false" outlineLevel="0" collapsed="false">
      <c r="A8" s="5" t="s">
        <v>150</v>
      </c>
      <c r="B8" s="5" t="s">
        <v>186</v>
      </c>
      <c r="C8" s="6" t="n">
        <v>4.5</v>
      </c>
      <c r="D8" s="6" t="n">
        <v>5</v>
      </c>
      <c r="E8" s="6" t="n">
        <v>60</v>
      </c>
      <c r="F8" s="5" t="s">
        <v>187</v>
      </c>
      <c r="H8" s="6" t="n">
        <v>16</v>
      </c>
      <c r="I8" s="6" t="n">
        <v>20</v>
      </c>
      <c r="J8" s="6" t="s">
        <v>191</v>
      </c>
    </row>
    <row r="9" customFormat="false" ht="15" hidden="false" customHeight="false" outlineLevel="0" collapsed="false">
      <c r="A9" s="5" t="s">
        <v>143</v>
      </c>
      <c r="B9" s="5" t="s">
        <v>186</v>
      </c>
      <c r="C9" s="6" t="n">
        <v>5.6</v>
      </c>
      <c r="D9" s="6" t="n">
        <v>6.3</v>
      </c>
      <c r="E9" s="6" t="n">
        <v>62</v>
      </c>
      <c r="F9" s="5" t="s">
        <v>187</v>
      </c>
      <c r="H9" s="6" t="n">
        <v>20</v>
      </c>
      <c r="I9" s="6" t="n">
        <v>25</v>
      </c>
      <c r="J9" s="6" t="s">
        <v>192</v>
      </c>
    </row>
    <row r="10" customFormat="false" ht="15" hidden="false" customHeight="false" outlineLevel="0" collapsed="false">
      <c r="A10" s="5" t="s">
        <v>193</v>
      </c>
      <c r="B10" s="5" t="s">
        <v>186</v>
      </c>
      <c r="C10" s="6" t="n">
        <v>7.1</v>
      </c>
      <c r="D10" s="6" t="n">
        <v>8</v>
      </c>
      <c r="E10" s="6" t="n">
        <v>62</v>
      </c>
      <c r="F10" s="5" t="s">
        <v>194</v>
      </c>
      <c r="H10" s="6" t="n">
        <v>25</v>
      </c>
      <c r="I10" s="6" t="n">
        <v>32</v>
      </c>
      <c r="J10" s="6" t="s">
        <v>195</v>
      </c>
    </row>
    <row r="11" customFormat="false" ht="15" hidden="false" customHeight="false" outlineLevel="0" collapsed="false">
      <c r="H11" s="6" t="n">
        <v>32</v>
      </c>
      <c r="I11" s="6" t="n">
        <v>40</v>
      </c>
      <c r="J11" s="6" t="s">
        <v>196</v>
      </c>
    </row>
    <row r="12" customFormat="false" ht="15" hidden="false" customHeight="false" outlineLevel="0" collapsed="false">
      <c r="H12" s="6" t="n">
        <v>40</v>
      </c>
      <c r="I12" s="6" t="n">
        <v>50</v>
      </c>
      <c r="J12" s="6" t="s">
        <v>196</v>
      </c>
    </row>
    <row r="13" customFormat="false" ht="15" hidden="false" customHeight="false" outlineLevel="0" collapsed="false">
      <c r="H13" s="6" t="n">
        <v>50</v>
      </c>
      <c r="I13" s="6" t="n">
        <v>63</v>
      </c>
      <c r="J13" s="6" t="s">
        <v>197</v>
      </c>
    </row>
    <row r="14" customFormat="false" ht="15" hidden="false" customHeight="false" outlineLevel="0" collapsed="false">
      <c r="H14" s="6" t="n">
        <v>63</v>
      </c>
      <c r="I14" s="6" t="n">
        <v>80</v>
      </c>
      <c r="J14" s="6" t="s">
        <v>198</v>
      </c>
    </row>
    <row r="17" customFormat="false" ht="15" hidden="false" customHeight="false" outlineLevel="0" collapsed="false">
      <c r="H17" s="16" t="s">
        <v>199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8" topLeftCell="D19" activePane="bottomRight" state="frozen"/>
      <selection pane="topLeft" activeCell="A1" activeCellId="0" sqref="A1"/>
      <selection pane="topRight" activeCell="D1" activeCellId="0" sqref="D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14" min="7" style="0" width="8"/>
    <col collapsed="false" customWidth="true" hidden="false" outlineLevel="0" max="15" min="15" style="0" width="7"/>
    <col collapsed="false" customWidth="true" hidden="false" outlineLevel="0" max="16" min="16" style="0" width="34"/>
    <col collapsed="false" customWidth="true" hidden="false" outlineLevel="0" max="19" min="17" style="0" width="9"/>
    <col collapsed="false" customWidth="true" hidden="false" outlineLevel="0" max="20" min="20" style="0" width="8"/>
    <col collapsed="false" customWidth="true" hidden="false" outlineLevel="0" max="22" min="21" style="0" width="9"/>
    <col collapsed="false" customWidth="true" hidden="false" outlineLevel="0" max="23" min="23" style="0" width="8"/>
    <col collapsed="false" customWidth="true" hidden="false" outlineLevel="0" max="24" min="24" style="0" width="9"/>
    <col collapsed="false" customWidth="true" hidden="false" outlineLevel="0" max="25" min="25" style="0" width="10"/>
    <col collapsed="false" customWidth="true" hidden="false" outlineLevel="0" max="26" min="26" style="0" width="9"/>
    <col collapsed="false" customWidth="true" hidden="false" outlineLevel="0" max="27" min="27" style="0" width="13"/>
    <col collapsed="false" customWidth="true" hidden="false" outlineLevel="0" max="28" min="28" style="0" width="9"/>
    <col collapsed="false" customWidth="true" hidden="false" outlineLevel="0" max="29" min="29" style="0" width="7"/>
  </cols>
  <sheetData>
    <row r="1" customFormat="false" ht="16.15" hidden="false" customHeight="false" outlineLevel="0" collapsed="false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" hidden="false" customHeight="fals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 customFormat="false" ht="15" hidden="false" customHeight="false" outlineLevel="0" collapsed="false">
      <c r="A4" s="20" t="s">
        <v>202</v>
      </c>
      <c r="H4" s="20" t="s">
        <v>203</v>
      </c>
      <c r="O4" s="20" t="s">
        <v>204</v>
      </c>
    </row>
    <row r="5" customFormat="false" ht="32.8" hidden="false" customHeight="false" outlineLevel="0" collapsed="false">
      <c r="A5" s="21" t="s">
        <v>205</v>
      </c>
      <c r="B5" s="21"/>
      <c r="C5" s="21"/>
      <c r="D5" s="22" t="n">
        <v>38.5</v>
      </c>
      <c r="E5" s="16" t="s">
        <v>206</v>
      </c>
      <c r="H5" s="3" t="s">
        <v>207</v>
      </c>
      <c r="I5" s="3" t="s">
        <v>208</v>
      </c>
      <c r="J5" s="3" t="s">
        <v>209</v>
      </c>
      <c r="K5" s="3" t="s">
        <v>210</v>
      </c>
      <c r="L5" s="3" t="s">
        <v>211</v>
      </c>
      <c r="O5" s="3" t="s">
        <v>212</v>
      </c>
      <c r="P5" s="3" t="s">
        <v>213</v>
      </c>
      <c r="Q5" s="3" t="s">
        <v>214</v>
      </c>
      <c r="R5" s="3" t="s">
        <v>215</v>
      </c>
      <c r="S5" s="3" t="s">
        <v>216</v>
      </c>
      <c r="T5" s="3" t="s">
        <v>217</v>
      </c>
    </row>
    <row r="6" customFormat="false" ht="15" hidden="false" customHeight="false" outlineLevel="0" collapsed="false">
      <c r="A6" s="21" t="s">
        <v>218</v>
      </c>
      <c r="B6" s="21"/>
      <c r="C6" s="21"/>
      <c r="D6" s="22" t="n">
        <v>24</v>
      </c>
      <c r="E6" s="16" t="s">
        <v>219</v>
      </c>
      <c r="H6" s="4" t="s">
        <v>220</v>
      </c>
      <c r="I6" s="4" t="s">
        <v>221</v>
      </c>
      <c r="J6" s="6" t="n">
        <v>37</v>
      </c>
      <c r="K6" s="6" t="n">
        <v>470</v>
      </c>
      <c r="L6" s="6" t="n">
        <v>10</v>
      </c>
      <c r="O6" s="4" t="s">
        <v>222</v>
      </c>
      <c r="P6" s="6" t="n">
        <v>10</v>
      </c>
      <c r="Q6" s="6"/>
      <c r="R6" s="6" t="n">
        <v>75</v>
      </c>
      <c r="S6" s="6" t="n">
        <v>55</v>
      </c>
      <c r="T6" s="6" t="n">
        <v>15</v>
      </c>
    </row>
    <row r="7" customFormat="false" ht="15" hidden="false" customHeight="false" outlineLevel="0" collapsed="false">
      <c r="A7" s="21" t="s">
        <v>223</v>
      </c>
      <c r="B7" s="21"/>
      <c r="C7" s="21"/>
      <c r="D7" s="22" t="n">
        <v>1.8</v>
      </c>
      <c r="E7" s="16" t="s">
        <v>224</v>
      </c>
      <c r="H7" s="4" t="s">
        <v>225</v>
      </c>
      <c r="I7" s="4" t="s">
        <v>226</v>
      </c>
      <c r="J7" s="6" t="n">
        <v>217</v>
      </c>
      <c r="K7" s="6" t="n">
        <v>500</v>
      </c>
      <c r="L7" s="6" t="n">
        <v>17</v>
      </c>
      <c r="O7" s="4" t="s">
        <v>227</v>
      </c>
      <c r="P7" s="6"/>
      <c r="Q7" s="6" t="n">
        <v>6</v>
      </c>
      <c r="R7" s="6" t="n">
        <v>75</v>
      </c>
      <c r="S7" s="6" t="n">
        <v>55</v>
      </c>
      <c r="T7" s="6" t="n">
        <v>15</v>
      </c>
    </row>
    <row r="8" customFormat="false" ht="22.35" hidden="false" customHeight="false" outlineLevel="0" collapsed="false">
      <c r="A8" s="21" t="s">
        <v>228</v>
      </c>
      <c r="B8" s="21"/>
      <c r="C8" s="21"/>
      <c r="D8" s="22" t="n">
        <v>0.55</v>
      </c>
      <c r="E8" s="16" t="s">
        <v>229</v>
      </c>
      <c r="H8" s="4" t="s">
        <v>230</v>
      </c>
      <c r="I8" s="4" t="s">
        <v>231</v>
      </c>
      <c r="J8" s="6" t="n">
        <v>307</v>
      </c>
      <c r="K8" s="6" t="n">
        <v>520</v>
      </c>
      <c r="L8" s="6" t="n">
        <v>15</v>
      </c>
      <c r="O8" s="4" t="s">
        <v>232</v>
      </c>
      <c r="P8" s="6"/>
      <c r="Q8" s="6" t="n">
        <v>3</v>
      </c>
      <c r="R8" s="6" t="n">
        <v>75</v>
      </c>
      <c r="S8" s="6" t="n">
        <v>55</v>
      </c>
      <c r="T8" s="6" t="n">
        <v>20</v>
      </c>
    </row>
    <row r="9" customFormat="false" ht="22.35" hidden="false" customHeight="false" outlineLevel="0" collapsed="false">
      <c r="A9" s="21" t="s">
        <v>233</v>
      </c>
      <c r="B9" s="21"/>
      <c r="C9" s="21"/>
      <c r="D9" s="22" t="n">
        <v>0.7</v>
      </c>
      <c r="E9" s="16" t="s">
        <v>234</v>
      </c>
      <c r="H9" s="4" t="s">
        <v>235</v>
      </c>
      <c r="I9" s="4" t="s">
        <v>236</v>
      </c>
      <c r="J9" s="6" t="n">
        <v>127</v>
      </c>
      <c r="K9" s="6" t="n">
        <v>500</v>
      </c>
      <c r="L9" s="6" t="n">
        <v>13</v>
      </c>
      <c r="O9" s="4" t="s">
        <v>237</v>
      </c>
      <c r="P9" s="6" t="n">
        <v>2</v>
      </c>
      <c r="Q9" s="6"/>
      <c r="R9" s="6" t="n">
        <v>70</v>
      </c>
      <c r="S9" s="6" t="n">
        <v>45</v>
      </c>
      <c r="T9" s="6" t="n">
        <v>8</v>
      </c>
    </row>
    <row r="10" customFormat="false" ht="15" hidden="false" customHeight="false" outlineLevel="0" collapsed="false">
      <c r="A10" s="21" t="s">
        <v>238</v>
      </c>
      <c r="B10" s="21"/>
      <c r="C10" s="21"/>
      <c r="D10" s="22" t="n">
        <v>0.5</v>
      </c>
      <c r="E10" s="16" t="s">
        <v>239</v>
      </c>
      <c r="O10" s="4" t="s">
        <v>240</v>
      </c>
      <c r="P10" s="6" t="n">
        <v>1.5</v>
      </c>
      <c r="Q10" s="6"/>
      <c r="R10" s="6" t="n">
        <v>75</v>
      </c>
      <c r="S10" s="6" t="n">
        <v>55</v>
      </c>
      <c r="T10" s="6" t="n">
        <v>0</v>
      </c>
    </row>
    <row r="11" customFormat="false" ht="22.35" hidden="false" customHeight="false" outlineLevel="0" collapsed="false">
      <c r="A11" s="21" t="s">
        <v>241</v>
      </c>
      <c r="B11" s="21"/>
      <c r="C11" s="21"/>
      <c r="D11" s="22" t="n">
        <v>0.4</v>
      </c>
      <c r="E11" s="16" t="s">
        <v>242</v>
      </c>
      <c r="H11" s="16" t="s">
        <v>243</v>
      </c>
      <c r="O11" s="4" t="s">
        <v>244</v>
      </c>
      <c r="P11" s="6" t="n">
        <v>1.5</v>
      </c>
      <c r="Q11" s="6"/>
      <c r="R11" s="6" t="n">
        <v>80</v>
      </c>
      <c r="S11" s="6" t="n">
        <v>80</v>
      </c>
      <c r="T11" s="6" t="n">
        <v>5</v>
      </c>
    </row>
    <row r="12" customFormat="false" ht="15" hidden="false" customHeight="false" outlineLevel="0" collapsed="false">
      <c r="A12" s="21" t="s">
        <v>245</v>
      </c>
      <c r="B12" s="21"/>
      <c r="C12" s="21"/>
      <c r="D12" s="22" t="n">
        <v>22</v>
      </c>
      <c r="E12" s="16" t="s">
        <v>246</v>
      </c>
      <c r="O12" s="4" t="s">
        <v>247</v>
      </c>
      <c r="P12" s="6" t="n">
        <v>4</v>
      </c>
      <c r="Q12" s="6"/>
      <c r="R12" s="6" t="n">
        <v>65</v>
      </c>
      <c r="S12" s="6" t="n">
        <v>45</v>
      </c>
      <c r="T12" s="6" t="n">
        <v>8</v>
      </c>
    </row>
    <row r="13" customFormat="false" ht="22.35" hidden="false" customHeight="false" outlineLevel="0" collapsed="false">
      <c r="A13" s="21" t="s">
        <v>248</v>
      </c>
      <c r="B13" s="21"/>
      <c r="C13" s="21"/>
      <c r="D13" s="22" t="n">
        <v>4</v>
      </c>
      <c r="E13" s="16" t="s">
        <v>249</v>
      </c>
      <c r="O13" s="4" t="s">
        <v>250</v>
      </c>
      <c r="P13" s="6"/>
      <c r="Q13" s="6" t="n">
        <v>2</v>
      </c>
      <c r="R13" s="6" t="n">
        <v>70</v>
      </c>
      <c r="S13" s="6" t="n">
        <v>45</v>
      </c>
      <c r="T13" s="6" t="n">
        <v>6</v>
      </c>
    </row>
    <row r="14" customFormat="false" ht="22.35" hidden="false" customHeight="false" outlineLevel="0" collapsed="false">
      <c r="A14" s="21" t="s">
        <v>251</v>
      </c>
      <c r="B14" s="21"/>
      <c r="C14" s="21"/>
      <c r="D14" s="22" t="n">
        <v>3</v>
      </c>
      <c r="E14" s="16" t="s">
        <v>252</v>
      </c>
      <c r="O14" s="4" t="s">
        <v>253</v>
      </c>
      <c r="P14" s="6" t="n">
        <v>3</v>
      </c>
      <c r="Q14" s="6"/>
      <c r="R14" s="6" t="n">
        <v>70</v>
      </c>
      <c r="S14" s="6" t="n">
        <v>45</v>
      </c>
      <c r="T14" s="6" t="n">
        <v>8</v>
      </c>
    </row>
    <row r="15" customFormat="false" ht="22.35" hidden="false" customHeight="false" outlineLevel="0" collapsed="false">
      <c r="A15" s="21" t="s">
        <v>254</v>
      </c>
      <c r="B15" s="21"/>
      <c r="C15" s="21"/>
      <c r="D15" s="22" t="n">
        <v>0.5</v>
      </c>
      <c r="E15" s="16"/>
      <c r="O15" s="4" t="s">
        <v>255</v>
      </c>
      <c r="P15" s="6"/>
      <c r="Q15" s="6" t="n">
        <v>2</v>
      </c>
      <c r="R15" s="6" t="n">
        <v>75</v>
      </c>
      <c r="S15" s="6" t="n">
        <v>55</v>
      </c>
      <c r="T15" s="6" t="n">
        <v>25</v>
      </c>
    </row>
    <row r="16" customFormat="false" ht="15" hidden="false" customHeight="false" outlineLevel="0" collapsed="false">
      <c r="A16" s="21" t="s">
        <v>256</v>
      </c>
      <c r="B16" s="21"/>
      <c r="C16" s="21"/>
      <c r="D16" s="22" t="n">
        <v>10</v>
      </c>
      <c r="E16" s="16" t="s">
        <v>257</v>
      </c>
    </row>
    <row r="17" customFormat="false" ht="15" hidden="false" customHeight="false" outlineLevel="0" collapsed="false">
      <c r="A17" s="21" t="s">
        <v>258</v>
      </c>
      <c r="B17" s="21"/>
      <c r="C17" s="21"/>
      <c r="D17" s="22" t="n">
        <v>1.1</v>
      </c>
      <c r="E17" s="16"/>
    </row>
    <row r="18" customFormat="false" ht="36" hidden="false" customHeight="true" outlineLevel="0" collapsed="false">
      <c r="A18" s="3" t="s">
        <v>8</v>
      </c>
      <c r="B18" s="3" t="s">
        <v>259</v>
      </c>
      <c r="C18" s="3" t="s">
        <v>260</v>
      </c>
      <c r="D18" s="3" t="s">
        <v>261</v>
      </c>
      <c r="E18" s="3" t="s">
        <v>262</v>
      </c>
      <c r="F18" s="3" t="s">
        <v>263</v>
      </c>
      <c r="G18" s="3" t="s">
        <v>264</v>
      </c>
      <c r="H18" s="3" t="s">
        <v>265</v>
      </c>
      <c r="I18" s="3" t="s">
        <v>266</v>
      </c>
      <c r="J18" s="3" t="s">
        <v>267</v>
      </c>
      <c r="K18" s="3" t="s">
        <v>268</v>
      </c>
      <c r="L18" s="3" t="s">
        <v>269</v>
      </c>
      <c r="M18" s="3" t="s">
        <v>270</v>
      </c>
      <c r="N18" s="3" t="s">
        <v>271</v>
      </c>
      <c r="O18" s="3" t="s">
        <v>272</v>
      </c>
      <c r="P18" s="3" t="s">
        <v>273</v>
      </c>
      <c r="Q18" s="3" t="s">
        <v>274</v>
      </c>
      <c r="R18" s="3" t="s">
        <v>275</v>
      </c>
      <c r="S18" s="3" t="s">
        <v>276</v>
      </c>
      <c r="T18" s="3" t="s">
        <v>277</v>
      </c>
      <c r="U18" s="3" t="s">
        <v>278</v>
      </c>
      <c r="V18" s="3" t="s">
        <v>279</v>
      </c>
      <c r="W18" s="3" t="s">
        <v>280</v>
      </c>
      <c r="X18" s="3" t="s">
        <v>281</v>
      </c>
      <c r="Y18" s="3" t="s">
        <v>282</v>
      </c>
      <c r="Z18" s="3" t="s">
        <v>283</v>
      </c>
      <c r="AA18" s="3" t="s">
        <v>284</v>
      </c>
      <c r="AB18" s="3" t="s">
        <v>285</v>
      </c>
      <c r="AC18" s="3" t="s">
        <v>286</v>
      </c>
    </row>
    <row r="19" customFormat="false" ht="15" hidden="false" customHeight="false" outlineLevel="0" collapsed="false">
      <c r="A19" s="5" t="s">
        <v>28</v>
      </c>
      <c r="B19" s="5" t="s">
        <v>287</v>
      </c>
      <c r="C19" s="5" t="s">
        <v>120</v>
      </c>
      <c r="D19" s="5" t="s">
        <v>255</v>
      </c>
      <c r="E19" s="6" t="n">
        <v>8.35</v>
      </c>
      <c r="F19" s="6" t="n">
        <v>2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5" t="s">
        <v>288</v>
      </c>
      <c r="Q19" s="23" t="n">
        <f aca="false">(H19*$K$6+J19*$K$7+L19*$K$8+N19*$K$9)*$D$8*$D$9</f>
        <v>0</v>
      </c>
      <c r="R19" s="23" t="n">
        <f aca="false">(H19+J19+L19+N19)*$D$7*($D$5-$D$6)</f>
        <v>0</v>
      </c>
      <c r="S19" s="23" t="n">
        <f aca="false">(MAX(G19*$D$13-H19,0)*$L$6+MAX(I19*$D$13-J19,0)*$L$7+MAX(K19*$D$13-L19,0)*$L$8+MAX(M19*$D$13-N19,0)*$L$9)*$D$10</f>
        <v>0</v>
      </c>
      <c r="T19" s="23" t="n">
        <f aca="false">O19*E19*$D$11*$D$12</f>
        <v>0</v>
      </c>
      <c r="U19" s="23" t="n">
        <f aca="false">F19*INDEX($R$6:$R$15,MATCH($D19,$O$6:$O$15,0))</f>
        <v>150</v>
      </c>
      <c r="V19" s="23" t="n">
        <f aca="false">E19*$D$16</f>
        <v>83.5</v>
      </c>
      <c r="W19" s="23" t="n">
        <f aca="false">E19*INDEX($T$6:$T$15,MATCH($D19,$O$6:$O$15,0))</f>
        <v>208.75</v>
      </c>
      <c r="X19" s="23" t="n">
        <f aca="false">0.335*$D$15*E19*$D$14*($D$5-$D$6)</f>
        <v>60.8401875</v>
      </c>
      <c r="Y19" s="23" t="n">
        <f aca="false">SUM(Q19:X19)</f>
        <v>503.0901875</v>
      </c>
      <c r="Z19" s="23" t="n">
        <f aca="false">F19*INDEX($S$6:$S$15,MATCH($D19,$O$6:$O$15,0))</f>
        <v>110</v>
      </c>
      <c r="AA19" s="24" t="n">
        <f aca="false">(Y19+Z19)*$D$17/1000</f>
        <v>0.67439920625</v>
      </c>
      <c r="AB19" s="25" t="n">
        <f aca="false">AA19*1000/E19</f>
        <v>80.766372005988</v>
      </c>
      <c r="AC19" s="8" t="n">
        <f aca="false">Y19/(Y19+Z19)</f>
        <v>0.820581046242891</v>
      </c>
    </row>
    <row r="20" customFormat="false" ht="22.35" hidden="false" customHeight="false" outlineLevel="0" collapsed="false">
      <c r="A20" s="5" t="s">
        <v>28</v>
      </c>
      <c r="B20" s="5" t="s">
        <v>289</v>
      </c>
      <c r="C20" s="5" t="s">
        <v>244</v>
      </c>
      <c r="D20" s="5" t="s">
        <v>244</v>
      </c>
      <c r="E20" s="6" t="n">
        <v>42.5</v>
      </c>
      <c r="F20" s="6" t="n">
        <v>29</v>
      </c>
      <c r="G20" s="6" t="n">
        <v>6.6</v>
      </c>
      <c r="H20" s="6" t="n">
        <v>14.7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5" t="s">
        <v>290</v>
      </c>
      <c r="Q20" s="23" t="n">
        <f aca="false">(H20*$K$6+J20*$K$7+L20*$K$8+N20*$K$9)*$D$8*$D$9</f>
        <v>2659.965</v>
      </c>
      <c r="R20" s="23" t="n">
        <f aca="false">(H20+J20+L20+N20)*$D$7*($D$5-$D$6)</f>
        <v>383.67</v>
      </c>
      <c r="S20" s="23" t="n">
        <f aca="false">(MAX(G20*$D$13-H20,0)*$L$6+MAX(I20*$D$13-J20,0)*$L$7+MAX(K20*$D$13-L20,0)*$L$8+MAX(M20*$D$13-N20,0)*$L$9)*$D$10</f>
        <v>58.5</v>
      </c>
      <c r="T20" s="23" t="n">
        <f aca="false">O20*E20*$D$11*$D$12</f>
        <v>0</v>
      </c>
      <c r="U20" s="23" t="n">
        <f aca="false">F20*INDEX($R$6:$R$15,MATCH($D20,$O$6:$O$15,0))</f>
        <v>2320</v>
      </c>
      <c r="V20" s="23" t="n">
        <f aca="false">E20*$D$16</f>
        <v>425</v>
      </c>
      <c r="W20" s="23" t="n">
        <f aca="false">E20*INDEX($T$6:$T$15,MATCH($D20,$O$6:$O$15,0))</f>
        <v>212.5</v>
      </c>
      <c r="X20" s="23" t="n">
        <f aca="false">0.335*$D$15*E20*$D$14*($D$5-$D$6)</f>
        <v>309.665625</v>
      </c>
      <c r="Y20" s="23" t="n">
        <f aca="false">SUM(Q20:X20)</f>
        <v>6369.300625</v>
      </c>
      <c r="Z20" s="23" t="n">
        <f aca="false">F20*INDEX($S$6:$S$15,MATCH($D20,$O$6:$O$15,0))</f>
        <v>2320</v>
      </c>
      <c r="AA20" s="24" t="n">
        <f aca="false">(Y20+Z20)*$D$17/1000</f>
        <v>9.5582306875</v>
      </c>
      <c r="AB20" s="25" t="n">
        <f aca="false">AA20*1000/E20</f>
        <v>224.899545588235</v>
      </c>
      <c r="AC20" s="8" t="n">
        <f aca="false">Y20/(Y20+Z20)</f>
        <v>0.733004979327666</v>
      </c>
    </row>
    <row r="21" customFormat="false" ht="15" hidden="false" customHeight="false" outlineLevel="0" collapsed="false">
      <c r="A21" s="5" t="s">
        <v>28</v>
      </c>
      <c r="B21" s="5" t="s">
        <v>291</v>
      </c>
      <c r="C21" s="5" t="s">
        <v>292</v>
      </c>
      <c r="D21" s="5" t="s">
        <v>253</v>
      </c>
      <c r="E21" s="6" t="n">
        <v>19.7</v>
      </c>
      <c r="F21" s="6" t="n">
        <v>7</v>
      </c>
      <c r="G21" s="6" t="n">
        <v>2.75</v>
      </c>
      <c r="H21" s="6" t="n">
        <v>4.9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5" t="s">
        <v>293</v>
      </c>
      <c r="Q21" s="23" t="n">
        <f aca="false">(H21*$K$6+J21*$K$7+L21*$K$8+N21*$K$9)*$D$8*$D$9</f>
        <v>886.655</v>
      </c>
      <c r="R21" s="23" t="n">
        <f aca="false">(H21+J21+L21+N21)*$D$7*($D$5-$D$6)</f>
        <v>127.89</v>
      </c>
      <c r="S21" s="23" t="n">
        <f aca="false">(MAX(G21*$D$13-H21,0)*$L$6+MAX(I21*$D$13-J21,0)*$L$7+MAX(K21*$D$13-L21,0)*$L$8+MAX(M21*$D$13-N21,0)*$L$9)*$D$10</f>
        <v>30.5</v>
      </c>
      <c r="T21" s="23" t="n">
        <f aca="false">O21*E21*$D$11*$D$12</f>
        <v>0</v>
      </c>
      <c r="U21" s="23" t="n">
        <f aca="false">F21*INDEX($R$6:$R$15,MATCH($D21,$O$6:$O$15,0))</f>
        <v>490</v>
      </c>
      <c r="V21" s="23" t="n">
        <f aca="false">E21*$D$16</f>
        <v>197</v>
      </c>
      <c r="W21" s="23" t="n">
        <f aca="false">E21*INDEX($T$6:$T$15,MATCH($D21,$O$6:$O$15,0))</f>
        <v>157.6</v>
      </c>
      <c r="X21" s="23" t="n">
        <f aca="false">0.335*$D$15*E21*$D$14*($D$5-$D$6)</f>
        <v>143.539125</v>
      </c>
      <c r="Y21" s="23" t="n">
        <f aca="false">SUM(Q21:X21)</f>
        <v>2033.184125</v>
      </c>
      <c r="Z21" s="23" t="n">
        <f aca="false">F21*INDEX($S$6:$S$15,MATCH($D21,$O$6:$O$15,0))</f>
        <v>315</v>
      </c>
      <c r="AA21" s="24" t="n">
        <f aca="false">(Y21+Z21)*$D$17/1000</f>
        <v>2.5830025375</v>
      </c>
      <c r="AB21" s="25" t="n">
        <f aca="false">AA21*1000/E21</f>
        <v>131.116880076142</v>
      </c>
      <c r="AC21" s="8" t="n">
        <f aca="false">Y21/(Y21+Z21)</f>
        <v>0.865853790319786</v>
      </c>
    </row>
    <row r="22" customFormat="false" ht="15" hidden="false" customHeight="false" outlineLevel="0" collapsed="false">
      <c r="A22" s="5" t="s">
        <v>28</v>
      </c>
      <c r="B22" s="5" t="s">
        <v>294</v>
      </c>
      <c r="C22" s="5" t="s">
        <v>295</v>
      </c>
      <c r="D22" s="5" t="s">
        <v>250</v>
      </c>
      <c r="E22" s="6" t="n">
        <v>17.66</v>
      </c>
      <c r="F22" s="6" t="n">
        <v>2</v>
      </c>
      <c r="G22" s="6" t="n">
        <v>0</v>
      </c>
      <c r="H22" s="6" t="n">
        <v>0</v>
      </c>
      <c r="I22" s="6" t="n">
        <v>3.55</v>
      </c>
      <c r="J22" s="6" t="n">
        <v>5.12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5" t="s">
        <v>296</v>
      </c>
      <c r="Q22" s="23" t="n">
        <f aca="false">(H22*$K$6+J22*$K$7+L22*$K$8+N22*$K$9)*$D$8*$D$9</f>
        <v>985.6</v>
      </c>
      <c r="R22" s="23" t="n">
        <f aca="false">(H22+J22+L22+N22)*$D$7*($D$5-$D$6)</f>
        <v>133.632</v>
      </c>
      <c r="S22" s="23" t="n">
        <f aca="false">(MAX(G22*$D$13-H22,0)*$L$6+MAX(I22*$D$13-J22,0)*$L$7+MAX(K22*$D$13-L22,0)*$L$8+MAX(M22*$D$13-N22,0)*$L$9)*$D$10</f>
        <v>77.18</v>
      </c>
      <c r="T22" s="23" t="n">
        <f aca="false">O22*E22*$D$11*$D$12</f>
        <v>0</v>
      </c>
      <c r="U22" s="23" t="n">
        <f aca="false">F22*INDEX($R$6:$R$15,MATCH($D22,$O$6:$O$15,0))</f>
        <v>140</v>
      </c>
      <c r="V22" s="23" t="n">
        <f aca="false">E22*$D$16</f>
        <v>176.6</v>
      </c>
      <c r="W22" s="23" t="n">
        <f aca="false">E22*INDEX($T$6:$T$15,MATCH($D22,$O$6:$O$15,0))</f>
        <v>105.96</v>
      </c>
      <c r="X22" s="23" t="n">
        <f aca="false">0.335*$D$15*E22*$D$14*($D$5-$D$6)</f>
        <v>128.675175</v>
      </c>
      <c r="Y22" s="23" t="n">
        <f aca="false">SUM(Q22:X22)</f>
        <v>1747.647175</v>
      </c>
      <c r="Z22" s="23" t="n">
        <f aca="false">F22*INDEX($S$6:$S$15,MATCH($D22,$O$6:$O$15,0))</f>
        <v>90</v>
      </c>
      <c r="AA22" s="24" t="n">
        <f aca="false">(Y22+Z22)*$D$17/1000</f>
        <v>2.0214118925</v>
      </c>
      <c r="AB22" s="25" t="n">
        <f aca="false">AA22*1000/E22</f>
        <v>114.462734569649</v>
      </c>
      <c r="AC22" s="8" t="n">
        <f aca="false">Y22/(Y22+Z22)</f>
        <v>0.951024330881144</v>
      </c>
    </row>
    <row r="23" customFormat="false" ht="15" hidden="false" customHeight="false" outlineLevel="0" collapsed="false">
      <c r="A23" s="5" t="s">
        <v>28</v>
      </c>
      <c r="B23" s="5" t="s">
        <v>297</v>
      </c>
      <c r="C23" s="5" t="s">
        <v>298</v>
      </c>
      <c r="D23" s="5" t="s">
        <v>250</v>
      </c>
      <c r="E23" s="6" t="n">
        <v>22.15</v>
      </c>
      <c r="F23" s="6" t="n">
        <v>2</v>
      </c>
      <c r="G23" s="6" t="n">
        <v>0</v>
      </c>
      <c r="H23" s="6" t="n">
        <v>0</v>
      </c>
      <c r="I23" s="6" t="n">
        <v>3.65</v>
      </c>
      <c r="J23" s="6" t="n">
        <v>5.12</v>
      </c>
      <c r="K23" s="6" t="n">
        <v>3.22</v>
      </c>
      <c r="L23" s="6" t="n">
        <v>0</v>
      </c>
      <c r="M23" s="6" t="n">
        <v>0</v>
      </c>
      <c r="N23" s="6" t="n">
        <v>0</v>
      </c>
      <c r="O23" s="6" t="n">
        <v>0</v>
      </c>
      <c r="P23" s="5" t="s">
        <v>296</v>
      </c>
      <c r="Q23" s="23" t="n">
        <f aca="false">(H23*$K$6+J23*$K$7+L23*$K$8+N23*$K$9)*$D$8*$D$9</f>
        <v>985.6</v>
      </c>
      <c r="R23" s="23" t="n">
        <f aca="false">(H23+J23+L23+N23)*$D$7*($D$5-$D$6)</f>
        <v>133.632</v>
      </c>
      <c r="S23" s="23" t="n">
        <f aca="false">(MAX(G23*$D$13-H23,0)*$L$6+MAX(I23*$D$13-J23,0)*$L$7+MAX(K23*$D$13-L23,0)*$L$8+MAX(M23*$D$13-N23,0)*$L$9)*$D$10</f>
        <v>177.18</v>
      </c>
      <c r="T23" s="23" t="n">
        <f aca="false">O23*E23*$D$11*$D$12</f>
        <v>0</v>
      </c>
      <c r="U23" s="23" t="n">
        <f aca="false">F23*INDEX($R$6:$R$15,MATCH($D23,$O$6:$O$15,0))</f>
        <v>140</v>
      </c>
      <c r="V23" s="23" t="n">
        <f aca="false">E23*$D$16</f>
        <v>221.5</v>
      </c>
      <c r="W23" s="23" t="n">
        <f aca="false">E23*INDEX($T$6:$T$15,MATCH($D23,$O$6:$O$15,0))</f>
        <v>132.9</v>
      </c>
      <c r="X23" s="23" t="n">
        <f aca="false">0.335*$D$15*E23*$D$14*($D$5-$D$6)</f>
        <v>161.3904375</v>
      </c>
      <c r="Y23" s="23" t="n">
        <f aca="false">SUM(Q23:X23)</f>
        <v>1952.2024375</v>
      </c>
      <c r="Z23" s="23" t="n">
        <f aca="false">F23*INDEX($S$6:$S$15,MATCH($D23,$O$6:$O$15,0))</f>
        <v>90</v>
      </c>
      <c r="AA23" s="24" t="n">
        <f aca="false">(Y23+Z23)*$D$17/1000</f>
        <v>2.24642268125</v>
      </c>
      <c r="AB23" s="25" t="n">
        <f aca="false">AA23*1000/E23</f>
        <v>101.418631207675</v>
      </c>
      <c r="AC23" s="8" t="n">
        <f aca="false">Y23/(Y23+Z23)</f>
        <v>0.955929932142195</v>
      </c>
    </row>
    <row r="24" customFormat="false" ht="15" hidden="false" customHeight="false" outlineLevel="0" collapsed="false">
      <c r="A24" s="5" t="s">
        <v>28</v>
      </c>
      <c r="B24" s="5" t="s">
        <v>299</v>
      </c>
      <c r="C24" s="5" t="s">
        <v>300</v>
      </c>
      <c r="D24" s="5" t="s">
        <v>250</v>
      </c>
      <c r="E24" s="6" t="n">
        <v>16.07</v>
      </c>
      <c r="F24" s="6" t="n">
        <v>2</v>
      </c>
      <c r="G24" s="6" t="n">
        <v>3.15</v>
      </c>
      <c r="H24" s="6" t="n">
        <v>4.9</v>
      </c>
      <c r="I24" s="6" t="n">
        <v>0</v>
      </c>
      <c r="J24" s="6" t="n">
        <v>0</v>
      </c>
      <c r="K24" s="6" t="n">
        <v>2.85</v>
      </c>
      <c r="L24" s="6" t="n">
        <v>0</v>
      </c>
      <c r="M24" s="6" t="n">
        <v>0</v>
      </c>
      <c r="N24" s="6" t="n">
        <v>0</v>
      </c>
      <c r="O24" s="6" t="n">
        <v>0</v>
      </c>
      <c r="P24" s="5" t="s">
        <v>293</v>
      </c>
      <c r="Q24" s="23" t="n">
        <f aca="false">(H24*$K$6+J24*$K$7+L24*$K$8+N24*$K$9)*$D$8*$D$9</f>
        <v>886.655</v>
      </c>
      <c r="R24" s="23" t="n">
        <f aca="false">(H24+J24+L24+N24)*$D$7*($D$5-$D$6)</f>
        <v>127.89</v>
      </c>
      <c r="S24" s="23" t="n">
        <f aca="false">(MAX(G24*$D$13-H24,0)*$L$6+MAX(I24*$D$13-J24,0)*$L$7+MAX(K24*$D$13-L24,0)*$L$8+MAX(M24*$D$13-N24,0)*$L$9)*$D$10</f>
        <v>124</v>
      </c>
      <c r="T24" s="23" t="n">
        <f aca="false">O24*E24*$D$11*$D$12</f>
        <v>0</v>
      </c>
      <c r="U24" s="23" t="n">
        <f aca="false">F24*INDEX($R$6:$R$15,MATCH($D24,$O$6:$O$15,0))</f>
        <v>140</v>
      </c>
      <c r="V24" s="23" t="n">
        <f aca="false">E24*$D$16</f>
        <v>160.7</v>
      </c>
      <c r="W24" s="23" t="n">
        <f aca="false">E24*INDEX($T$6:$T$15,MATCH($D24,$O$6:$O$15,0))</f>
        <v>96.42</v>
      </c>
      <c r="X24" s="23" t="n">
        <f aca="false">0.335*$D$15*E24*$D$14*($D$5-$D$6)</f>
        <v>117.0900375</v>
      </c>
      <c r="Y24" s="23" t="n">
        <f aca="false">SUM(Q24:X24)</f>
        <v>1652.7550375</v>
      </c>
      <c r="Z24" s="23" t="n">
        <f aca="false">F24*INDEX($S$6:$S$15,MATCH($D24,$O$6:$O$15,0))</f>
        <v>90</v>
      </c>
      <c r="AA24" s="24" t="n">
        <f aca="false">(Y24+Z24)*$D$17/1000</f>
        <v>1.91703054125</v>
      </c>
      <c r="AB24" s="25" t="n">
        <f aca="false">AA24*1000/E24</f>
        <v>119.292504122589</v>
      </c>
      <c r="AC24" s="8" t="n">
        <f aca="false">Y24/(Y24+Z24)</f>
        <v>0.948357630267358</v>
      </c>
    </row>
    <row r="25" customFormat="false" ht="15" hidden="false" customHeight="false" outlineLevel="0" collapsed="false">
      <c r="A25" s="5" t="s">
        <v>28</v>
      </c>
      <c r="B25" s="5" t="s">
        <v>301</v>
      </c>
      <c r="C25" s="5" t="s">
        <v>302</v>
      </c>
      <c r="D25" s="5" t="s">
        <v>250</v>
      </c>
      <c r="E25" s="6" t="n">
        <v>16.4</v>
      </c>
      <c r="F25" s="6" t="n">
        <v>2</v>
      </c>
      <c r="G25" s="6" t="n">
        <v>3.25</v>
      </c>
      <c r="H25" s="6" t="n">
        <v>9.8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5" t="s">
        <v>303</v>
      </c>
      <c r="Q25" s="23" t="n">
        <f aca="false">(H25*$K$6+J25*$K$7+L25*$K$8+N25*$K$9)*$D$8*$D$9</f>
        <v>1773.31</v>
      </c>
      <c r="R25" s="23" t="n">
        <f aca="false">(H25+J25+L25+N25)*$D$7*($D$5-$D$6)</f>
        <v>255.78</v>
      </c>
      <c r="S25" s="23" t="n">
        <f aca="false">(MAX(G25*$D$13-H25,0)*$L$6+MAX(I25*$D$13-J25,0)*$L$7+MAX(K25*$D$13-L25,0)*$L$8+MAX(M25*$D$13-N25,0)*$L$9)*$D$10</f>
        <v>16</v>
      </c>
      <c r="T25" s="23" t="n">
        <f aca="false">O25*E25*$D$11*$D$12</f>
        <v>0</v>
      </c>
      <c r="U25" s="23" t="n">
        <f aca="false">F25*INDEX($R$6:$R$15,MATCH($D25,$O$6:$O$15,0))</f>
        <v>140</v>
      </c>
      <c r="V25" s="23" t="n">
        <f aca="false">E25*$D$16</f>
        <v>164</v>
      </c>
      <c r="W25" s="23" t="n">
        <f aca="false">E25*INDEX($T$6:$T$15,MATCH($D25,$O$6:$O$15,0))</f>
        <v>98.4</v>
      </c>
      <c r="X25" s="23" t="n">
        <f aca="false">0.335*$D$15*E25*$D$14*($D$5-$D$6)</f>
        <v>119.4945</v>
      </c>
      <c r="Y25" s="23" t="n">
        <f aca="false">SUM(Q25:X25)</f>
        <v>2566.9845</v>
      </c>
      <c r="Z25" s="23" t="n">
        <f aca="false">F25*INDEX($S$6:$S$15,MATCH($D25,$O$6:$O$15,0))</f>
        <v>90</v>
      </c>
      <c r="AA25" s="24" t="n">
        <f aca="false">(Y25+Z25)*$D$17/1000</f>
        <v>2.92268295</v>
      </c>
      <c r="AB25" s="25" t="n">
        <f aca="false">AA25*1000/E25</f>
        <v>178.212375</v>
      </c>
      <c r="AC25" s="8" t="n">
        <f aca="false">Y25/(Y25+Z25)</f>
        <v>0.966127013537339</v>
      </c>
    </row>
    <row r="26" customFormat="false" ht="15" hidden="false" customHeight="false" outlineLevel="0" collapsed="false">
      <c r="A26" s="5" t="s">
        <v>103</v>
      </c>
      <c r="B26" s="5" t="s">
        <v>304</v>
      </c>
      <c r="C26" s="5" t="s">
        <v>222</v>
      </c>
      <c r="D26" s="5" t="s">
        <v>222</v>
      </c>
      <c r="E26" s="6" t="n">
        <v>42.65</v>
      </c>
      <c r="F26" s="6" t="n">
        <v>5</v>
      </c>
      <c r="G26" s="6" t="n">
        <v>0</v>
      </c>
      <c r="H26" s="6" t="n">
        <v>0</v>
      </c>
      <c r="I26" s="6" t="n">
        <v>6.2</v>
      </c>
      <c r="J26" s="6" t="n">
        <v>10.24</v>
      </c>
      <c r="K26" s="6" t="n">
        <v>0</v>
      </c>
      <c r="L26" s="6" t="n">
        <v>0</v>
      </c>
      <c r="M26" s="6" t="n">
        <v>5.99</v>
      </c>
      <c r="N26" s="6" t="n">
        <v>0</v>
      </c>
      <c r="O26" s="6" t="n">
        <v>0</v>
      </c>
      <c r="P26" s="5" t="s">
        <v>305</v>
      </c>
      <c r="Q26" s="23" t="n">
        <f aca="false">(H26*$K$6+J26*$K$7+L26*$K$8+N26*$K$9)*$D$8*$D$9</f>
        <v>1971.2</v>
      </c>
      <c r="R26" s="23" t="n">
        <f aca="false">(H26+J26+L26+N26)*$D$7*($D$5-$D$6)</f>
        <v>267.264</v>
      </c>
      <c r="S26" s="23" t="n">
        <f aca="false">(MAX(G26*$D$13-H26,0)*$L$6+MAX(I26*$D$13-J26,0)*$L$7+MAX(K26*$D$13-L26,0)*$L$8+MAX(M26*$D$13-N26,0)*$L$9)*$D$10</f>
        <v>279.5</v>
      </c>
      <c r="T26" s="23" t="n">
        <f aca="false">O26*E26*$D$11*$D$12</f>
        <v>0</v>
      </c>
      <c r="U26" s="23" t="n">
        <f aca="false">F26*INDEX($R$6:$R$15,MATCH($D26,$O$6:$O$15,0))</f>
        <v>375</v>
      </c>
      <c r="V26" s="23" t="n">
        <f aca="false">E26*$D$16</f>
        <v>426.5</v>
      </c>
      <c r="W26" s="23" t="n">
        <f aca="false">E26*INDEX($T$6:$T$15,MATCH($D26,$O$6:$O$15,0))</f>
        <v>639.75</v>
      </c>
      <c r="X26" s="23" t="n">
        <f aca="false">0.335*$D$15*E26*$D$14*($D$5-$D$6)</f>
        <v>310.7585625</v>
      </c>
      <c r="Y26" s="23" t="n">
        <f aca="false">SUM(Q26:X26)</f>
        <v>4269.9725625</v>
      </c>
      <c r="Z26" s="23" t="n">
        <f aca="false">F26*INDEX($S$6:$S$15,MATCH($D26,$O$6:$O$15,0))</f>
        <v>275</v>
      </c>
      <c r="AA26" s="24" t="n">
        <f aca="false">(Y26+Z26)*$D$17/1000</f>
        <v>4.99946981875</v>
      </c>
      <c r="AB26" s="25" t="n">
        <f aca="false">AA26*1000/E26</f>
        <v>117.220863276671</v>
      </c>
      <c r="AC26" s="8" t="n">
        <f aca="false">Y26/(Y26+Z26)</f>
        <v>0.93949358412656</v>
      </c>
    </row>
    <row r="27" customFormat="false" ht="15" hidden="false" customHeight="false" outlineLevel="0" collapsed="false">
      <c r="A27" s="5" t="s">
        <v>103</v>
      </c>
      <c r="B27" s="5" t="s">
        <v>306</v>
      </c>
      <c r="C27" s="5" t="s">
        <v>307</v>
      </c>
      <c r="D27" s="5" t="s">
        <v>247</v>
      </c>
      <c r="E27" s="6" t="n">
        <v>43.8</v>
      </c>
      <c r="F27" s="6" t="n">
        <v>11</v>
      </c>
      <c r="G27" s="6" t="n">
        <v>0</v>
      </c>
      <c r="H27" s="6" t="n">
        <v>0</v>
      </c>
      <c r="I27" s="6" t="n">
        <v>6.8</v>
      </c>
      <c r="J27" s="6" t="n">
        <v>10.24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5" t="s">
        <v>305</v>
      </c>
      <c r="Q27" s="23" t="n">
        <f aca="false">(H27*$K$6+J27*$K$7+L27*$K$8+N27*$K$9)*$D$8*$D$9</f>
        <v>1971.2</v>
      </c>
      <c r="R27" s="23" t="n">
        <f aca="false">(H27+J27+L27+N27)*$D$7*($D$5-$D$6)</f>
        <v>267.264</v>
      </c>
      <c r="S27" s="23" t="n">
        <f aca="false">(MAX(G27*$D$13-H27,0)*$L$6+MAX(I27*$D$13-J27,0)*$L$7+MAX(K27*$D$13-L27,0)*$L$8+MAX(M27*$D$13-N27,0)*$L$9)*$D$10</f>
        <v>144.16</v>
      </c>
      <c r="T27" s="23" t="n">
        <f aca="false">O27*E27*$D$11*$D$12</f>
        <v>0</v>
      </c>
      <c r="U27" s="23" t="n">
        <f aca="false">F27*INDEX($R$6:$R$15,MATCH($D27,$O$6:$O$15,0))</f>
        <v>715</v>
      </c>
      <c r="V27" s="23" t="n">
        <f aca="false">E27*$D$16</f>
        <v>438</v>
      </c>
      <c r="W27" s="23" t="n">
        <f aca="false">E27*INDEX($T$6:$T$15,MATCH($D27,$O$6:$O$15,0))</f>
        <v>350.4</v>
      </c>
      <c r="X27" s="23" t="n">
        <f aca="false">0.335*$D$15*E27*$D$14*($D$5-$D$6)</f>
        <v>319.13775</v>
      </c>
      <c r="Y27" s="23" t="n">
        <f aca="false">SUM(Q27:X27)</f>
        <v>4205.16175</v>
      </c>
      <c r="Z27" s="23" t="n">
        <f aca="false">F27*INDEX($S$6:$S$15,MATCH($D27,$O$6:$O$15,0))</f>
        <v>495</v>
      </c>
      <c r="AA27" s="24" t="n">
        <f aca="false">(Y27+Z27)*$D$17/1000</f>
        <v>5.170177925</v>
      </c>
      <c r="AB27" s="25" t="n">
        <f aca="false">AA27*1000/E27</f>
        <v>118.040591894977</v>
      </c>
      <c r="AC27" s="8" t="n">
        <f aca="false">Y27/(Y27+Z27)</f>
        <v>0.894684475486402</v>
      </c>
    </row>
    <row r="28" customFormat="false" ht="15" hidden="false" customHeight="false" outlineLevel="0" collapsed="false">
      <c r="A28" s="5" t="s">
        <v>103</v>
      </c>
      <c r="B28" s="5" t="s">
        <v>308</v>
      </c>
      <c r="C28" s="5" t="s">
        <v>222</v>
      </c>
      <c r="D28" s="5" t="s">
        <v>222</v>
      </c>
      <c r="E28" s="6" t="n">
        <v>27.5</v>
      </c>
      <c r="F28" s="6" t="n">
        <v>3</v>
      </c>
      <c r="G28" s="6" t="n">
        <v>0</v>
      </c>
      <c r="H28" s="6" t="n">
        <v>0</v>
      </c>
      <c r="I28" s="6" t="n">
        <v>4</v>
      </c>
      <c r="J28" s="6" t="n">
        <v>5.12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5" t="s">
        <v>296</v>
      </c>
      <c r="Q28" s="23" t="n">
        <f aca="false">(H28*$K$6+J28*$K$7+L28*$K$8+N28*$K$9)*$D$8*$D$9</f>
        <v>985.6</v>
      </c>
      <c r="R28" s="23" t="n">
        <f aca="false">(H28+J28+L28+N28)*$D$7*($D$5-$D$6)</f>
        <v>133.632</v>
      </c>
      <c r="S28" s="23" t="n">
        <f aca="false">(MAX(G28*$D$13-H28,0)*$L$6+MAX(I28*$D$13-J28,0)*$L$7+MAX(K28*$D$13-L28,0)*$L$8+MAX(M28*$D$13-N28,0)*$L$9)*$D$10</f>
        <v>92.48</v>
      </c>
      <c r="T28" s="23" t="n">
        <f aca="false">O28*E28*$D$11*$D$12</f>
        <v>0</v>
      </c>
      <c r="U28" s="23" t="n">
        <f aca="false">F28*INDEX($R$6:$R$15,MATCH($D28,$O$6:$O$15,0))</f>
        <v>225</v>
      </c>
      <c r="V28" s="23" t="n">
        <f aca="false">E28*$D$16</f>
        <v>275</v>
      </c>
      <c r="W28" s="23" t="n">
        <f aca="false">E28*INDEX($T$6:$T$15,MATCH($D28,$O$6:$O$15,0))</f>
        <v>412.5</v>
      </c>
      <c r="X28" s="23" t="n">
        <f aca="false">0.335*$D$15*E28*$D$14*($D$5-$D$6)</f>
        <v>200.371875</v>
      </c>
      <c r="Y28" s="23" t="n">
        <f aca="false">SUM(Q28:X28)</f>
        <v>2324.583875</v>
      </c>
      <c r="Z28" s="23" t="n">
        <f aca="false">F28*INDEX($S$6:$S$15,MATCH($D28,$O$6:$O$15,0))</f>
        <v>165</v>
      </c>
      <c r="AA28" s="24" t="n">
        <f aca="false">(Y28+Z28)*$D$17/1000</f>
        <v>2.7385422625</v>
      </c>
      <c r="AB28" s="25" t="n">
        <f aca="false">AA28*1000/E28</f>
        <v>99.583355</v>
      </c>
      <c r="AC28" s="8" t="n">
        <f aca="false">Y28/(Y28+Z28)</f>
        <v>0.933723863792297</v>
      </c>
    </row>
    <row r="29" customFormat="false" ht="15" hidden="false" customHeight="false" outlineLevel="0" collapsed="false">
      <c r="A29" s="5" t="s">
        <v>103</v>
      </c>
      <c r="B29" s="5" t="s">
        <v>309</v>
      </c>
      <c r="C29" s="5" t="s">
        <v>222</v>
      </c>
      <c r="D29" s="5" t="s">
        <v>222</v>
      </c>
      <c r="E29" s="6" t="n">
        <v>24.15</v>
      </c>
      <c r="F29" s="6" t="n">
        <v>3</v>
      </c>
      <c r="G29" s="6" t="n">
        <v>0</v>
      </c>
      <c r="H29" s="6" t="n">
        <v>0</v>
      </c>
      <c r="I29" s="6" t="n">
        <v>3.5</v>
      </c>
      <c r="J29" s="6" t="n">
        <v>5.12</v>
      </c>
      <c r="K29" s="6" t="n">
        <v>6.77</v>
      </c>
      <c r="L29" s="6" t="n">
        <v>5.12</v>
      </c>
      <c r="M29" s="6" t="n">
        <v>0</v>
      </c>
      <c r="N29" s="6" t="n">
        <v>0</v>
      </c>
      <c r="O29" s="6" t="n">
        <v>0</v>
      </c>
      <c r="P29" s="5" t="s">
        <v>310</v>
      </c>
      <c r="Q29" s="23" t="n">
        <f aca="false">(H29*$K$6+J29*$K$7+L29*$K$8+N29*$K$9)*$D$8*$D$9</f>
        <v>2010.624</v>
      </c>
      <c r="R29" s="23" t="n">
        <f aca="false">(H29+J29+L29+N29)*$D$7*($D$5-$D$6)</f>
        <v>267.264</v>
      </c>
      <c r="S29" s="23" t="n">
        <f aca="false">(MAX(G29*$D$13-H29,0)*$L$6+MAX(I29*$D$13-J29,0)*$L$7+MAX(K29*$D$13-L29,0)*$L$8+MAX(M29*$D$13-N29,0)*$L$9)*$D$10</f>
        <v>240.18</v>
      </c>
      <c r="T29" s="23" t="n">
        <f aca="false">O29*E29*$D$11*$D$12</f>
        <v>0</v>
      </c>
      <c r="U29" s="23" t="n">
        <f aca="false">F29*INDEX($R$6:$R$15,MATCH($D29,$O$6:$O$15,0))</f>
        <v>225</v>
      </c>
      <c r="V29" s="23" t="n">
        <f aca="false">E29*$D$16</f>
        <v>241.5</v>
      </c>
      <c r="W29" s="23" t="n">
        <f aca="false">E29*INDEX($T$6:$T$15,MATCH($D29,$O$6:$O$15,0))</f>
        <v>362.25</v>
      </c>
      <c r="X29" s="23" t="n">
        <f aca="false">0.335*$D$15*E29*$D$14*($D$5-$D$6)</f>
        <v>175.9629375</v>
      </c>
      <c r="Y29" s="23" t="n">
        <f aca="false">SUM(Q29:X29)</f>
        <v>3522.7809375</v>
      </c>
      <c r="Z29" s="23" t="n">
        <f aca="false">F29*INDEX($S$6:$S$15,MATCH($D29,$O$6:$O$15,0))</f>
        <v>165</v>
      </c>
      <c r="AA29" s="24" t="n">
        <f aca="false">(Y29+Z29)*$D$17/1000</f>
        <v>4.05655903125</v>
      </c>
      <c r="AB29" s="25" t="n">
        <f aca="false">AA29*1000/E29</f>
        <v>167.973458850932</v>
      </c>
      <c r="AC29" s="8" t="n">
        <f aca="false">Y29/(Y29+Z29)</f>
        <v>0.955257646048831</v>
      </c>
    </row>
    <row r="30" customFormat="false" ht="15" hidden="false" customHeight="false" outlineLevel="0" collapsed="false">
      <c r="A30" s="5" t="s">
        <v>103</v>
      </c>
      <c r="B30" s="5" t="s">
        <v>311</v>
      </c>
      <c r="C30" s="5" t="s">
        <v>222</v>
      </c>
      <c r="D30" s="5" t="s">
        <v>222</v>
      </c>
      <c r="E30" s="6" t="n">
        <v>21.8</v>
      </c>
      <c r="F30" s="6" t="n">
        <v>3</v>
      </c>
      <c r="G30" s="6" t="n">
        <v>3.33</v>
      </c>
      <c r="H30" s="6" t="n">
        <v>4.9</v>
      </c>
      <c r="I30" s="6" t="n">
        <v>0</v>
      </c>
      <c r="J30" s="6" t="n">
        <v>0</v>
      </c>
      <c r="K30" s="6" t="n">
        <v>6.4</v>
      </c>
      <c r="L30" s="6" t="n">
        <v>5.12</v>
      </c>
      <c r="M30" s="6" t="n">
        <v>0</v>
      </c>
      <c r="N30" s="6" t="n">
        <v>0</v>
      </c>
      <c r="O30" s="6" t="n">
        <v>0</v>
      </c>
      <c r="P30" s="5" t="s">
        <v>312</v>
      </c>
      <c r="Q30" s="23" t="n">
        <f aca="false">(H30*$K$6+J30*$K$7+L30*$K$8+N30*$K$9)*$D$8*$D$9</f>
        <v>1911.679</v>
      </c>
      <c r="R30" s="23" t="n">
        <f aca="false">(H30+J30+L30+N30)*$D$7*($D$5-$D$6)</f>
        <v>261.522</v>
      </c>
      <c r="S30" s="23" t="n">
        <f aca="false">(MAX(G30*$D$13-H30,0)*$L$6+MAX(I30*$D$13-J30,0)*$L$7+MAX(K30*$D$13-L30,0)*$L$8+MAX(M30*$D$13-N30,0)*$L$9)*$D$10</f>
        <v>195.7</v>
      </c>
      <c r="T30" s="23" t="n">
        <f aca="false">O30*E30*$D$11*$D$12</f>
        <v>0</v>
      </c>
      <c r="U30" s="23" t="n">
        <f aca="false">F30*INDEX($R$6:$R$15,MATCH($D30,$O$6:$O$15,0))</f>
        <v>225</v>
      </c>
      <c r="V30" s="23" t="n">
        <f aca="false">E30*$D$16</f>
        <v>218</v>
      </c>
      <c r="W30" s="23" t="n">
        <f aca="false">E30*INDEX($T$6:$T$15,MATCH($D30,$O$6:$O$15,0))</f>
        <v>327</v>
      </c>
      <c r="X30" s="23" t="n">
        <f aca="false">0.335*$D$15*E30*$D$14*($D$5-$D$6)</f>
        <v>158.84025</v>
      </c>
      <c r="Y30" s="23" t="n">
        <f aca="false">SUM(Q30:X30)</f>
        <v>3297.74125</v>
      </c>
      <c r="Z30" s="23" t="n">
        <f aca="false">F30*INDEX($S$6:$S$15,MATCH($D30,$O$6:$O$15,0))</f>
        <v>165</v>
      </c>
      <c r="AA30" s="24" t="n">
        <f aca="false">(Y30+Z30)*$D$17/1000</f>
        <v>3.809015375</v>
      </c>
      <c r="AB30" s="25" t="n">
        <f aca="false">AA30*1000/E30</f>
        <v>174.725475917431</v>
      </c>
      <c r="AC30" s="8" t="n">
        <f aca="false">Y30/(Y30+Z30)</f>
        <v>0.952349890422797</v>
      </c>
    </row>
    <row r="31" customFormat="false" ht="15" hidden="false" customHeight="false" outlineLevel="0" collapsed="false">
      <c r="A31" s="5" t="s">
        <v>103</v>
      </c>
      <c r="B31" s="5" t="s">
        <v>313</v>
      </c>
      <c r="C31" s="5" t="s">
        <v>222</v>
      </c>
      <c r="D31" s="5" t="s">
        <v>222</v>
      </c>
      <c r="E31" s="6" t="n">
        <v>24</v>
      </c>
      <c r="F31" s="6" t="n">
        <v>3</v>
      </c>
      <c r="G31" s="6" t="n">
        <v>3.7</v>
      </c>
      <c r="H31" s="6" t="n">
        <v>9.8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5" t="s">
        <v>303</v>
      </c>
      <c r="Q31" s="23" t="n">
        <f aca="false">(H31*$K$6+J31*$K$7+L31*$K$8+N31*$K$9)*$D$8*$D$9</f>
        <v>1773.31</v>
      </c>
      <c r="R31" s="23" t="n">
        <f aca="false">(H31+J31+L31+N31)*$D$7*($D$5-$D$6)</f>
        <v>255.78</v>
      </c>
      <c r="S31" s="23" t="n">
        <f aca="false">(MAX(G31*$D$13-H31,0)*$L$6+MAX(I31*$D$13-J31,0)*$L$7+MAX(K31*$D$13-L31,0)*$L$8+MAX(M31*$D$13-N31,0)*$L$9)*$D$10</f>
        <v>25</v>
      </c>
      <c r="T31" s="23" t="n">
        <f aca="false">O31*E31*$D$11*$D$12</f>
        <v>0</v>
      </c>
      <c r="U31" s="23" t="n">
        <f aca="false">F31*INDEX($R$6:$R$15,MATCH($D31,$O$6:$O$15,0))</f>
        <v>225</v>
      </c>
      <c r="V31" s="23" t="n">
        <f aca="false">E31*$D$16</f>
        <v>240</v>
      </c>
      <c r="W31" s="23" t="n">
        <f aca="false">E31*INDEX($T$6:$T$15,MATCH($D31,$O$6:$O$15,0))</f>
        <v>360</v>
      </c>
      <c r="X31" s="23" t="n">
        <f aca="false">0.335*$D$15*E31*$D$14*($D$5-$D$6)</f>
        <v>174.87</v>
      </c>
      <c r="Y31" s="23" t="n">
        <f aca="false">SUM(Q31:X31)</f>
        <v>3053.96</v>
      </c>
      <c r="Z31" s="23" t="n">
        <f aca="false">F31*INDEX($S$6:$S$15,MATCH($D31,$O$6:$O$15,0))</f>
        <v>165</v>
      </c>
      <c r="AA31" s="24" t="n">
        <f aca="false">(Y31+Z31)*$D$17/1000</f>
        <v>3.540856</v>
      </c>
      <c r="AB31" s="25" t="n">
        <f aca="false">AA31*1000/E31</f>
        <v>147.535666666667</v>
      </c>
      <c r="AC31" s="8" t="n">
        <f aca="false">Y31/(Y31+Z31)</f>
        <v>0.948741208340582</v>
      </c>
    </row>
    <row r="32" customFormat="false" ht="15" hidden="false" customHeight="false" outlineLevel="0" collapsed="false">
      <c r="A32" s="5" t="s">
        <v>103</v>
      </c>
      <c r="B32" s="5" t="s">
        <v>314</v>
      </c>
      <c r="C32" s="5" t="s">
        <v>222</v>
      </c>
      <c r="D32" s="5" t="s">
        <v>222</v>
      </c>
      <c r="E32" s="6" t="n">
        <v>19.48</v>
      </c>
      <c r="F32" s="6" t="n">
        <v>2</v>
      </c>
      <c r="G32" s="6" t="n">
        <v>3</v>
      </c>
      <c r="H32" s="6" t="n">
        <v>4.9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5" t="s">
        <v>293</v>
      </c>
      <c r="Q32" s="23" t="n">
        <f aca="false">(H32*$K$6+J32*$K$7+L32*$K$8+N32*$K$9)*$D$8*$D$9</f>
        <v>886.655</v>
      </c>
      <c r="R32" s="23" t="n">
        <f aca="false">(H32+J32+L32+N32)*$D$7*($D$5-$D$6)</f>
        <v>127.89</v>
      </c>
      <c r="S32" s="23" t="n">
        <f aca="false">(MAX(G32*$D$13-H32,0)*$L$6+MAX(I32*$D$13-J32,0)*$L$7+MAX(K32*$D$13-L32,0)*$L$8+MAX(M32*$D$13-N32,0)*$L$9)*$D$10</f>
        <v>35.5</v>
      </c>
      <c r="T32" s="23" t="n">
        <f aca="false">O32*E32*$D$11*$D$12</f>
        <v>0</v>
      </c>
      <c r="U32" s="23" t="n">
        <f aca="false">F32*INDEX($R$6:$R$15,MATCH($D32,$O$6:$O$15,0))</f>
        <v>150</v>
      </c>
      <c r="V32" s="23" t="n">
        <f aca="false">E32*$D$16</f>
        <v>194.8</v>
      </c>
      <c r="W32" s="23" t="n">
        <f aca="false">E32*INDEX($T$6:$T$15,MATCH($D32,$O$6:$O$15,0))</f>
        <v>292.2</v>
      </c>
      <c r="X32" s="23" t="n">
        <f aca="false">0.335*$D$15*E32*$D$14*($D$5-$D$6)</f>
        <v>141.93615</v>
      </c>
      <c r="Y32" s="23" t="n">
        <f aca="false">SUM(Q32:X32)</f>
        <v>1828.98115</v>
      </c>
      <c r="Z32" s="23" t="n">
        <f aca="false">F32*INDEX($S$6:$S$15,MATCH($D32,$O$6:$O$15,0))</f>
        <v>110</v>
      </c>
      <c r="AA32" s="24" t="n">
        <f aca="false">(Y32+Z32)*$D$17/1000</f>
        <v>2.132879265</v>
      </c>
      <c r="AB32" s="25" t="n">
        <f aca="false">AA32*1000/E32</f>
        <v>109.490722022587</v>
      </c>
      <c r="AC32" s="8" t="n">
        <f aca="false">Y32/(Y32+Z32)</f>
        <v>0.943269175154178</v>
      </c>
    </row>
    <row r="33" customFormat="false" ht="15" hidden="false" customHeight="false" outlineLevel="0" collapsed="false">
      <c r="A33" s="5" t="s">
        <v>103</v>
      </c>
      <c r="B33" s="5" t="s">
        <v>315</v>
      </c>
      <c r="C33" s="5" t="s">
        <v>222</v>
      </c>
      <c r="D33" s="5" t="s">
        <v>222</v>
      </c>
      <c r="E33" s="6" t="n">
        <v>24.53</v>
      </c>
      <c r="F33" s="6" t="n">
        <v>3</v>
      </c>
      <c r="G33" s="6" t="n">
        <v>3.75</v>
      </c>
      <c r="H33" s="6" t="n">
        <v>9.8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5" t="s">
        <v>316</v>
      </c>
      <c r="Q33" s="23" t="n">
        <f aca="false">(H33*$K$6+J33*$K$7+L33*$K$8+N33*$K$9)*$D$8*$D$9</f>
        <v>1773.31</v>
      </c>
      <c r="R33" s="23" t="n">
        <f aca="false">(H33+J33+L33+N33)*$D$7*($D$5-$D$6)</f>
        <v>255.78</v>
      </c>
      <c r="S33" s="23" t="n">
        <f aca="false">(MAX(G33*$D$13-H33,0)*$L$6+MAX(I33*$D$13-J33,0)*$L$7+MAX(K33*$D$13-L33,0)*$L$8+MAX(M33*$D$13-N33,0)*$L$9)*$D$10</f>
        <v>26</v>
      </c>
      <c r="T33" s="23" t="n">
        <f aca="false">O33*E33*$D$11*$D$12</f>
        <v>0</v>
      </c>
      <c r="U33" s="23" t="n">
        <f aca="false">F33*INDEX($R$6:$R$15,MATCH($D33,$O$6:$O$15,0))</f>
        <v>225</v>
      </c>
      <c r="V33" s="23" t="n">
        <f aca="false">E33*$D$16</f>
        <v>245.3</v>
      </c>
      <c r="W33" s="23" t="n">
        <f aca="false">E33*INDEX($T$6:$T$15,MATCH($D33,$O$6:$O$15,0))</f>
        <v>367.95</v>
      </c>
      <c r="X33" s="23" t="n">
        <f aca="false">0.335*$D$15*E33*$D$14*($D$5-$D$6)</f>
        <v>178.7317125</v>
      </c>
      <c r="Y33" s="23" t="n">
        <f aca="false">SUM(Q33:X33)</f>
        <v>3072.0717125</v>
      </c>
      <c r="Z33" s="23" t="n">
        <f aca="false">F33*INDEX($S$6:$S$15,MATCH($D33,$O$6:$O$15,0))</f>
        <v>165</v>
      </c>
      <c r="AA33" s="24" t="n">
        <f aca="false">(Y33+Z33)*$D$17/1000</f>
        <v>3.56077888375</v>
      </c>
      <c r="AB33" s="25" t="n">
        <f aca="false">AA33*1000/E33</f>
        <v>145.160166479821</v>
      </c>
      <c r="AC33" s="8" t="n">
        <f aca="false">Y33/(Y33+Z33)</f>
        <v>0.949028005971307</v>
      </c>
    </row>
    <row r="34" customFormat="false" ht="22.35" hidden="false" customHeight="false" outlineLevel="0" collapsed="false">
      <c r="A34" s="5" t="s">
        <v>103</v>
      </c>
      <c r="B34" s="5" t="s">
        <v>196</v>
      </c>
      <c r="C34" s="5" t="s">
        <v>222</v>
      </c>
      <c r="D34" s="5" t="s">
        <v>222</v>
      </c>
      <c r="E34" s="6" t="n">
        <v>39.9</v>
      </c>
      <c r="F34" s="6" t="n">
        <v>4</v>
      </c>
      <c r="G34" s="6" t="n">
        <v>6.15</v>
      </c>
      <c r="H34" s="6" t="n">
        <v>14.7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5" t="s">
        <v>317</v>
      </c>
      <c r="Q34" s="23" t="n">
        <f aca="false">(H34*$K$6+J34*$K$7+L34*$K$8+N34*$K$9)*$D$8*$D$9</f>
        <v>2659.965</v>
      </c>
      <c r="R34" s="23" t="n">
        <f aca="false">(H34+J34+L34+N34)*$D$7*($D$5-$D$6)</f>
        <v>383.67</v>
      </c>
      <c r="S34" s="23" t="n">
        <f aca="false">(MAX(G34*$D$13-H34,0)*$L$6+MAX(I34*$D$13-J34,0)*$L$7+MAX(K34*$D$13-L34,0)*$L$8+MAX(M34*$D$13-N34,0)*$L$9)*$D$10</f>
        <v>49.5</v>
      </c>
      <c r="T34" s="23" t="n">
        <f aca="false">O34*E34*$D$11*$D$12</f>
        <v>0</v>
      </c>
      <c r="U34" s="23" t="n">
        <f aca="false">F34*INDEX($R$6:$R$15,MATCH($D34,$O$6:$O$15,0))</f>
        <v>300</v>
      </c>
      <c r="V34" s="23" t="n">
        <f aca="false">E34*$D$16</f>
        <v>399</v>
      </c>
      <c r="W34" s="23" t="n">
        <f aca="false">E34*INDEX($T$6:$T$15,MATCH($D34,$O$6:$O$15,0))</f>
        <v>598.5</v>
      </c>
      <c r="X34" s="23" t="n">
        <f aca="false">0.335*$D$15*E34*$D$14*($D$5-$D$6)</f>
        <v>290.721375</v>
      </c>
      <c r="Y34" s="23" t="n">
        <f aca="false">SUM(Q34:X34)</f>
        <v>4681.356375</v>
      </c>
      <c r="Z34" s="23" t="n">
        <f aca="false">F34*INDEX($S$6:$S$15,MATCH($D34,$O$6:$O$15,0))</f>
        <v>220</v>
      </c>
      <c r="AA34" s="24" t="n">
        <f aca="false">(Y34+Z34)*$D$17/1000</f>
        <v>5.3914920125</v>
      </c>
      <c r="AB34" s="25" t="n">
        <f aca="false">AA34*1000/E34</f>
        <v>135.125113095238</v>
      </c>
      <c r="AC34" s="8" t="n">
        <f aca="false">Y34/(Y34+Z34)</f>
        <v>0.955114465636056</v>
      </c>
    </row>
    <row r="35" customFormat="false" ht="22.35" hidden="false" customHeight="false" outlineLevel="0" collapsed="false">
      <c r="A35" s="5" t="s">
        <v>103</v>
      </c>
      <c r="B35" s="5" t="s">
        <v>318</v>
      </c>
      <c r="C35" s="5" t="s">
        <v>222</v>
      </c>
      <c r="D35" s="5" t="s">
        <v>222</v>
      </c>
      <c r="E35" s="6" t="n">
        <v>39.65</v>
      </c>
      <c r="F35" s="6" t="n">
        <v>4</v>
      </c>
      <c r="G35" s="6" t="n">
        <v>6.22</v>
      </c>
      <c r="H35" s="6" t="n">
        <v>9.8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5.54</v>
      </c>
      <c r="N35" s="6" t="n">
        <v>5.12</v>
      </c>
      <c r="O35" s="6" t="n">
        <v>0</v>
      </c>
      <c r="P35" s="5" t="s">
        <v>319</v>
      </c>
      <c r="Q35" s="23" t="n">
        <f aca="false">(H35*$K$6+J35*$K$7+L35*$K$8+N35*$K$9)*$D$8*$D$9</f>
        <v>2758.91</v>
      </c>
      <c r="R35" s="23" t="n">
        <f aca="false">(H35+J35+L35+N35)*$D$7*($D$5-$D$6)</f>
        <v>389.412</v>
      </c>
      <c r="S35" s="23" t="n">
        <f aca="false">(MAX(G35*$D$13-H35,0)*$L$6+MAX(I35*$D$13-J35,0)*$L$7+MAX(K35*$D$13-L35,0)*$L$8+MAX(M35*$D$13-N35,0)*$L$9)*$D$10</f>
        <v>186.16</v>
      </c>
      <c r="T35" s="23" t="n">
        <f aca="false">O35*E35*$D$11*$D$12</f>
        <v>0</v>
      </c>
      <c r="U35" s="23" t="n">
        <f aca="false">F35*INDEX($R$6:$R$15,MATCH($D35,$O$6:$O$15,0))</f>
        <v>300</v>
      </c>
      <c r="V35" s="23" t="n">
        <f aca="false">E35*$D$16</f>
        <v>396.5</v>
      </c>
      <c r="W35" s="23" t="n">
        <f aca="false">E35*INDEX($T$6:$T$15,MATCH($D35,$O$6:$O$15,0))</f>
        <v>594.75</v>
      </c>
      <c r="X35" s="23" t="n">
        <f aca="false">0.335*$D$15*E35*$D$14*($D$5-$D$6)</f>
        <v>288.8998125</v>
      </c>
      <c r="Y35" s="23" t="n">
        <f aca="false">SUM(Q35:X35)</f>
        <v>4914.6318125</v>
      </c>
      <c r="Z35" s="23" t="n">
        <f aca="false">F35*INDEX($S$6:$S$15,MATCH($D35,$O$6:$O$15,0))</f>
        <v>220</v>
      </c>
      <c r="AA35" s="24" t="n">
        <f aca="false">(Y35+Z35)*$D$17/1000</f>
        <v>5.64809499375</v>
      </c>
      <c r="AB35" s="25" t="n">
        <f aca="false">AA35*1000/E35</f>
        <v>142.448801860025</v>
      </c>
      <c r="AC35" s="8" t="n">
        <f aca="false">Y35/(Y35+Z35)</f>
        <v>0.957153695136539</v>
      </c>
    </row>
    <row r="36" customFormat="false" ht="15" hidden="false" customHeight="false" outlineLevel="0" collapsed="false">
      <c r="A36" s="5" t="s">
        <v>108</v>
      </c>
      <c r="B36" s="5" t="s">
        <v>320</v>
      </c>
      <c r="C36" s="5" t="s">
        <v>321</v>
      </c>
      <c r="D36" s="5" t="s">
        <v>227</v>
      </c>
      <c r="E36" s="6" t="n">
        <v>24</v>
      </c>
      <c r="F36" s="6" t="n">
        <v>6</v>
      </c>
      <c r="G36" s="6" t="n">
        <v>0</v>
      </c>
      <c r="H36" s="6" t="n">
        <v>0</v>
      </c>
      <c r="I36" s="6" t="n">
        <v>3.45</v>
      </c>
      <c r="J36" s="6" t="n">
        <v>5.12</v>
      </c>
      <c r="K36" s="6" t="n">
        <v>0</v>
      </c>
      <c r="L36" s="6" t="n">
        <v>0</v>
      </c>
      <c r="M36" s="6" t="n">
        <v>6.77</v>
      </c>
      <c r="N36" s="6" t="n">
        <v>0</v>
      </c>
      <c r="O36" s="6" t="n">
        <v>1</v>
      </c>
      <c r="P36" s="5" t="s">
        <v>296</v>
      </c>
      <c r="Q36" s="23" t="n">
        <f aca="false">(H36*$K$6+J36*$K$7+L36*$K$8+N36*$K$9)*$D$8*$D$9</f>
        <v>985.6</v>
      </c>
      <c r="R36" s="23" t="n">
        <f aca="false">(H36+J36+L36+N36)*$D$7*($D$5-$D$6)</f>
        <v>133.632</v>
      </c>
      <c r="S36" s="23" t="n">
        <f aca="false">(MAX(G36*$D$13-H36,0)*$L$6+MAX(I36*$D$13-J36,0)*$L$7+MAX(K36*$D$13-L36,0)*$L$8+MAX(M36*$D$13-N36,0)*$L$9)*$D$10</f>
        <v>249.8</v>
      </c>
      <c r="T36" s="23" t="n">
        <f aca="false">O36*E36*$D$11*$D$12</f>
        <v>211.2</v>
      </c>
      <c r="U36" s="23" t="n">
        <f aca="false">F36*INDEX($R$6:$R$15,MATCH($D36,$O$6:$O$15,0))</f>
        <v>450</v>
      </c>
      <c r="V36" s="23" t="n">
        <f aca="false">E36*$D$16</f>
        <v>240</v>
      </c>
      <c r="W36" s="23" t="n">
        <f aca="false">E36*INDEX($T$6:$T$15,MATCH($D36,$O$6:$O$15,0))</f>
        <v>360</v>
      </c>
      <c r="X36" s="23" t="n">
        <f aca="false">0.335*$D$15*E36*$D$14*($D$5-$D$6)</f>
        <v>174.87</v>
      </c>
      <c r="Y36" s="23" t="n">
        <f aca="false">SUM(Q36:X36)</f>
        <v>2805.102</v>
      </c>
      <c r="Z36" s="23" t="n">
        <f aca="false">F36*INDEX($S$6:$S$15,MATCH($D36,$O$6:$O$15,0))</f>
        <v>330</v>
      </c>
      <c r="AA36" s="24" t="n">
        <f aca="false">(Y36+Z36)*$D$17/1000</f>
        <v>3.4486122</v>
      </c>
      <c r="AB36" s="25" t="n">
        <f aca="false">AA36*1000/E36</f>
        <v>143.692175</v>
      </c>
      <c r="AC36" s="8" t="n">
        <f aca="false">Y36/(Y36+Z36)</f>
        <v>0.894740266823855</v>
      </c>
    </row>
    <row r="37" customFormat="false" ht="15" hidden="false" customHeight="false" outlineLevel="0" collapsed="false">
      <c r="A37" s="5" t="s">
        <v>108</v>
      </c>
      <c r="B37" s="5" t="s">
        <v>197</v>
      </c>
      <c r="C37" s="5" t="s">
        <v>322</v>
      </c>
      <c r="D37" s="5" t="s">
        <v>227</v>
      </c>
      <c r="E37" s="6" t="n">
        <v>23.75</v>
      </c>
      <c r="F37" s="6" t="n">
        <v>6</v>
      </c>
      <c r="G37" s="6" t="n">
        <v>0</v>
      </c>
      <c r="H37" s="6" t="n">
        <v>0</v>
      </c>
      <c r="I37" s="6" t="n">
        <v>3.45</v>
      </c>
      <c r="J37" s="6" t="n">
        <v>5.12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1</v>
      </c>
      <c r="P37" s="5" t="s">
        <v>296</v>
      </c>
      <c r="Q37" s="23" t="n">
        <f aca="false">(H37*$K$6+J37*$K$7+L37*$K$8+N37*$K$9)*$D$8*$D$9</f>
        <v>985.6</v>
      </c>
      <c r="R37" s="23" t="n">
        <f aca="false">(H37+J37+L37+N37)*$D$7*($D$5-$D$6)</f>
        <v>133.632</v>
      </c>
      <c r="S37" s="23" t="n">
        <f aca="false">(MAX(G37*$D$13-H37,0)*$L$6+MAX(I37*$D$13-J37,0)*$L$7+MAX(K37*$D$13-L37,0)*$L$8+MAX(M37*$D$13-N37,0)*$L$9)*$D$10</f>
        <v>73.78</v>
      </c>
      <c r="T37" s="23" t="n">
        <f aca="false">O37*E37*$D$11*$D$12</f>
        <v>209</v>
      </c>
      <c r="U37" s="23" t="n">
        <f aca="false">F37*INDEX($R$6:$R$15,MATCH($D37,$O$6:$O$15,0))</f>
        <v>450</v>
      </c>
      <c r="V37" s="23" t="n">
        <f aca="false">E37*$D$16</f>
        <v>237.5</v>
      </c>
      <c r="W37" s="23" t="n">
        <f aca="false">E37*INDEX($T$6:$T$15,MATCH($D37,$O$6:$O$15,0))</f>
        <v>356.25</v>
      </c>
      <c r="X37" s="23" t="n">
        <f aca="false">0.335*$D$15*E37*$D$14*($D$5-$D$6)</f>
        <v>173.0484375</v>
      </c>
      <c r="Y37" s="23" t="n">
        <f aca="false">SUM(Q37:X37)</f>
        <v>2618.8104375</v>
      </c>
      <c r="Z37" s="23" t="n">
        <f aca="false">F37*INDEX($S$6:$S$15,MATCH($D37,$O$6:$O$15,0))</f>
        <v>330</v>
      </c>
      <c r="AA37" s="24" t="n">
        <f aca="false">(Y37+Z37)*$D$17/1000</f>
        <v>3.24369148125</v>
      </c>
      <c r="AB37" s="25" t="n">
        <f aca="false">AA37*1000/E37</f>
        <v>136.576483421053</v>
      </c>
      <c r="AC37" s="8" t="n">
        <f aca="false">Y37/(Y37+Z37)</f>
        <v>0.888090466649401</v>
      </c>
    </row>
    <row r="38" customFormat="false" ht="15" hidden="false" customHeight="false" outlineLevel="0" collapsed="false">
      <c r="A38" s="5" t="s">
        <v>108</v>
      </c>
      <c r="B38" s="5" t="s">
        <v>323</v>
      </c>
      <c r="C38" s="5" t="s">
        <v>324</v>
      </c>
      <c r="D38" s="5" t="s">
        <v>227</v>
      </c>
      <c r="E38" s="6" t="n">
        <v>22.95</v>
      </c>
      <c r="F38" s="6" t="n">
        <v>6</v>
      </c>
      <c r="G38" s="6" t="n">
        <v>0</v>
      </c>
      <c r="H38" s="6" t="n">
        <v>0</v>
      </c>
      <c r="I38" s="6" t="n">
        <v>3.3</v>
      </c>
      <c r="J38" s="6" t="n">
        <v>5.12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1</v>
      </c>
      <c r="P38" s="5" t="s">
        <v>296</v>
      </c>
      <c r="Q38" s="23" t="n">
        <f aca="false">(H38*$K$6+J38*$K$7+L38*$K$8+N38*$K$9)*$D$8*$D$9</f>
        <v>985.6</v>
      </c>
      <c r="R38" s="23" t="n">
        <f aca="false">(H38+J38+L38+N38)*$D$7*($D$5-$D$6)</f>
        <v>133.632</v>
      </c>
      <c r="S38" s="23" t="n">
        <f aca="false">(MAX(G38*$D$13-H38,0)*$L$6+MAX(I38*$D$13-J38,0)*$L$7+MAX(K38*$D$13-L38,0)*$L$8+MAX(M38*$D$13-N38,0)*$L$9)*$D$10</f>
        <v>68.68</v>
      </c>
      <c r="T38" s="23" t="n">
        <f aca="false">O38*E38*$D$11*$D$12</f>
        <v>201.96</v>
      </c>
      <c r="U38" s="23" t="n">
        <f aca="false">F38*INDEX($R$6:$R$15,MATCH($D38,$O$6:$O$15,0))</f>
        <v>450</v>
      </c>
      <c r="V38" s="23" t="n">
        <f aca="false">E38*$D$16</f>
        <v>229.5</v>
      </c>
      <c r="W38" s="23" t="n">
        <f aca="false">E38*INDEX($T$6:$T$15,MATCH($D38,$O$6:$O$15,0))</f>
        <v>344.25</v>
      </c>
      <c r="X38" s="23" t="n">
        <f aca="false">0.335*$D$15*E38*$D$14*($D$5-$D$6)</f>
        <v>167.2194375</v>
      </c>
      <c r="Y38" s="23" t="n">
        <f aca="false">SUM(Q38:X38)</f>
        <v>2580.8414375</v>
      </c>
      <c r="Z38" s="23" t="n">
        <f aca="false">F38*INDEX($S$6:$S$15,MATCH($D38,$O$6:$O$15,0))</f>
        <v>330</v>
      </c>
      <c r="AA38" s="24" t="n">
        <f aca="false">(Y38+Z38)*$D$17/1000</f>
        <v>3.20192558125</v>
      </c>
      <c r="AB38" s="25" t="n">
        <f aca="false">AA38*1000/E38</f>
        <v>139.517454520697</v>
      </c>
      <c r="AC38" s="8" t="n">
        <f aca="false">Y38/(Y38+Z38)</f>
        <v>0.886630719300388</v>
      </c>
    </row>
    <row r="39" customFormat="false" ht="15" hidden="false" customHeight="false" outlineLevel="0" collapsed="false">
      <c r="A39" s="5" t="s">
        <v>108</v>
      </c>
      <c r="B39" s="5" t="s">
        <v>325</v>
      </c>
      <c r="C39" s="5" t="s">
        <v>326</v>
      </c>
      <c r="D39" s="5" t="s">
        <v>240</v>
      </c>
      <c r="E39" s="6" t="n">
        <v>15.37</v>
      </c>
      <c r="F39" s="6" t="n">
        <v>11</v>
      </c>
      <c r="G39" s="6" t="n">
        <v>0</v>
      </c>
      <c r="H39" s="6" t="n">
        <v>0</v>
      </c>
      <c r="I39" s="6" t="n">
        <v>3.97</v>
      </c>
      <c r="J39" s="6" t="n">
        <v>5.12</v>
      </c>
      <c r="K39" s="6" t="n">
        <v>3.17</v>
      </c>
      <c r="L39" s="6" t="n">
        <v>0</v>
      </c>
      <c r="M39" s="6" t="n">
        <v>0</v>
      </c>
      <c r="N39" s="6" t="n">
        <v>0</v>
      </c>
      <c r="O39" s="6" t="n">
        <v>1</v>
      </c>
      <c r="P39" s="5" t="s">
        <v>296</v>
      </c>
      <c r="Q39" s="23" t="n">
        <f aca="false">(H39*$K$6+J39*$K$7+L39*$K$8+N39*$K$9)*$D$8*$D$9</f>
        <v>985.6</v>
      </c>
      <c r="R39" s="23" t="n">
        <f aca="false">(H39+J39+L39+N39)*$D$7*($D$5-$D$6)</f>
        <v>133.632</v>
      </c>
      <c r="S39" s="23" t="n">
        <f aca="false">(MAX(G39*$D$13-H39,0)*$L$6+MAX(I39*$D$13-J39,0)*$L$7+MAX(K39*$D$13-L39,0)*$L$8+MAX(M39*$D$13-N39,0)*$L$9)*$D$10</f>
        <v>186.56</v>
      </c>
      <c r="T39" s="23" t="n">
        <f aca="false">O39*E39*$D$11*$D$12</f>
        <v>135.256</v>
      </c>
      <c r="U39" s="23" t="n">
        <f aca="false">F39*INDEX($R$6:$R$15,MATCH($D39,$O$6:$O$15,0))</f>
        <v>825</v>
      </c>
      <c r="V39" s="23" t="n">
        <f aca="false">E39*$D$16</f>
        <v>153.7</v>
      </c>
      <c r="W39" s="23" t="n">
        <f aca="false">E39*INDEX($T$6:$T$15,MATCH($D39,$O$6:$O$15,0))</f>
        <v>0</v>
      </c>
      <c r="X39" s="23" t="n">
        <f aca="false">0.335*$D$15*E39*$D$14*($D$5-$D$6)</f>
        <v>111.9896625</v>
      </c>
      <c r="Y39" s="23" t="n">
        <f aca="false">SUM(Q39:X39)</f>
        <v>2531.7376625</v>
      </c>
      <c r="Z39" s="23" t="n">
        <f aca="false">F39*INDEX($S$6:$S$15,MATCH($D39,$O$6:$O$15,0))</f>
        <v>605</v>
      </c>
      <c r="AA39" s="24" t="n">
        <f aca="false">(Y39+Z39)*$D$17/1000</f>
        <v>3.45041142875</v>
      </c>
      <c r="AB39" s="25" t="n">
        <f aca="false">AA39*1000/E39</f>
        <v>224.490008376708</v>
      </c>
      <c r="AC39" s="8" t="n">
        <f aca="false">Y39/(Y39+Z39)</f>
        <v>0.807124450593101</v>
      </c>
    </row>
    <row r="40" customFormat="false" ht="15" hidden="false" customHeight="false" outlineLevel="0" collapsed="false">
      <c r="A40" s="5" t="s">
        <v>108</v>
      </c>
      <c r="B40" s="5" t="s">
        <v>327</v>
      </c>
      <c r="C40" s="5" t="s">
        <v>328</v>
      </c>
      <c r="D40" s="5" t="s">
        <v>240</v>
      </c>
      <c r="E40" s="6" t="n">
        <v>16.26</v>
      </c>
      <c r="F40" s="6" t="n">
        <v>11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3.4</v>
      </c>
      <c r="L40" s="6" t="n">
        <v>5.12</v>
      </c>
      <c r="M40" s="6" t="n">
        <v>0</v>
      </c>
      <c r="N40" s="6" t="n">
        <v>0</v>
      </c>
      <c r="O40" s="6" t="n">
        <v>1</v>
      </c>
      <c r="P40" s="5" t="s">
        <v>329</v>
      </c>
      <c r="Q40" s="23" t="n">
        <f aca="false">(H40*$K$6+J40*$K$7+L40*$K$8+N40*$K$9)*$D$8*$D$9</f>
        <v>1025.024</v>
      </c>
      <c r="R40" s="23" t="n">
        <f aca="false">(H40+J40+L40+N40)*$D$7*($D$5-$D$6)</f>
        <v>133.632</v>
      </c>
      <c r="S40" s="23" t="n">
        <f aca="false">(MAX(G40*$D$13-H40,0)*$L$6+MAX(I40*$D$13-J40,0)*$L$7+MAX(K40*$D$13-L40,0)*$L$8+MAX(M40*$D$13-N40,0)*$L$9)*$D$10</f>
        <v>63.6</v>
      </c>
      <c r="T40" s="23" t="n">
        <f aca="false">O40*E40*$D$11*$D$12</f>
        <v>143.088</v>
      </c>
      <c r="U40" s="23" t="n">
        <f aca="false">F40*INDEX($R$6:$R$15,MATCH($D40,$O$6:$O$15,0))</f>
        <v>825</v>
      </c>
      <c r="V40" s="23" t="n">
        <f aca="false">E40*$D$16</f>
        <v>162.6</v>
      </c>
      <c r="W40" s="23" t="n">
        <f aca="false">E40*INDEX($T$6:$T$15,MATCH($D40,$O$6:$O$15,0))</f>
        <v>0</v>
      </c>
      <c r="X40" s="23" t="n">
        <f aca="false">0.335*$D$15*E40*$D$14*($D$5-$D$6)</f>
        <v>118.474425</v>
      </c>
      <c r="Y40" s="23" t="n">
        <f aca="false">SUM(Q40:X40)</f>
        <v>2471.418425</v>
      </c>
      <c r="Z40" s="23" t="n">
        <f aca="false">F40*INDEX($S$6:$S$15,MATCH($D40,$O$6:$O$15,0))</f>
        <v>605</v>
      </c>
      <c r="AA40" s="24" t="n">
        <f aca="false">(Y40+Z40)*$D$17/1000</f>
        <v>3.3840602675</v>
      </c>
      <c r="AB40" s="25" t="n">
        <f aca="false">AA40*1000/E40</f>
        <v>208.121787669127</v>
      </c>
      <c r="AC40" s="8" t="n">
        <f aca="false">Y40/(Y40+Z40)</f>
        <v>0.803342745875019</v>
      </c>
    </row>
    <row r="41" customFormat="false" ht="15" hidden="false" customHeight="false" outlineLevel="0" collapsed="false">
      <c r="A41" s="5" t="s">
        <v>108</v>
      </c>
      <c r="B41" s="5" t="s">
        <v>311</v>
      </c>
      <c r="C41" s="5" t="s">
        <v>222</v>
      </c>
      <c r="D41" s="5" t="s">
        <v>222</v>
      </c>
      <c r="E41" s="6" t="n">
        <v>21.8</v>
      </c>
      <c r="F41" s="6" t="n">
        <v>3</v>
      </c>
      <c r="G41" s="6" t="n">
        <v>3.33</v>
      </c>
      <c r="H41" s="6" t="n">
        <v>4.9</v>
      </c>
      <c r="I41" s="6" t="n">
        <v>0</v>
      </c>
      <c r="J41" s="6" t="n">
        <v>0</v>
      </c>
      <c r="K41" s="6" t="n">
        <v>6.4</v>
      </c>
      <c r="L41" s="6" t="n">
        <v>5.12</v>
      </c>
      <c r="M41" s="6" t="n">
        <v>0</v>
      </c>
      <c r="N41" s="6" t="n">
        <v>0</v>
      </c>
      <c r="O41" s="6" t="n">
        <v>1</v>
      </c>
      <c r="P41" s="5" t="s">
        <v>312</v>
      </c>
      <c r="Q41" s="23" t="n">
        <f aca="false">(H41*$K$6+J41*$K$7+L41*$K$8+N41*$K$9)*$D$8*$D$9</f>
        <v>1911.679</v>
      </c>
      <c r="R41" s="23" t="n">
        <f aca="false">(H41+J41+L41+N41)*$D$7*($D$5-$D$6)</f>
        <v>261.522</v>
      </c>
      <c r="S41" s="23" t="n">
        <f aca="false">(MAX(G41*$D$13-H41,0)*$L$6+MAX(I41*$D$13-J41,0)*$L$7+MAX(K41*$D$13-L41,0)*$L$8+MAX(M41*$D$13-N41,0)*$L$9)*$D$10</f>
        <v>195.7</v>
      </c>
      <c r="T41" s="23" t="n">
        <f aca="false">O41*E41*$D$11*$D$12</f>
        <v>191.84</v>
      </c>
      <c r="U41" s="23" t="n">
        <f aca="false">F41*INDEX($R$6:$R$15,MATCH($D41,$O$6:$O$15,0))</f>
        <v>225</v>
      </c>
      <c r="V41" s="23" t="n">
        <f aca="false">E41*$D$16</f>
        <v>218</v>
      </c>
      <c r="W41" s="23" t="n">
        <f aca="false">E41*INDEX($T$6:$T$15,MATCH($D41,$O$6:$O$15,0))</f>
        <v>327</v>
      </c>
      <c r="X41" s="23" t="n">
        <f aca="false">0.335*$D$15*E41*$D$14*($D$5-$D$6)</f>
        <v>158.84025</v>
      </c>
      <c r="Y41" s="23" t="n">
        <f aca="false">SUM(Q41:X41)</f>
        <v>3489.58125</v>
      </c>
      <c r="Z41" s="23" t="n">
        <f aca="false">F41*INDEX($S$6:$S$15,MATCH($D41,$O$6:$O$15,0))</f>
        <v>165</v>
      </c>
      <c r="AA41" s="24" t="n">
        <f aca="false">(Y41+Z41)*$D$17/1000</f>
        <v>4.020039375</v>
      </c>
      <c r="AB41" s="25" t="n">
        <f aca="false">AA41*1000/E41</f>
        <v>184.405475917431</v>
      </c>
      <c r="AC41" s="8" t="n">
        <f aca="false">Y41/(Y41+Z41)</f>
        <v>0.954851188491158</v>
      </c>
    </row>
    <row r="42" customFormat="false" ht="15" hidden="false" customHeight="false" outlineLevel="0" collapsed="false">
      <c r="A42" s="5" t="s">
        <v>108</v>
      </c>
      <c r="B42" s="5" t="s">
        <v>313</v>
      </c>
      <c r="C42" s="5" t="s">
        <v>222</v>
      </c>
      <c r="D42" s="5" t="s">
        <v>222</v>
      </c>
      <c r="E42" s="6" t="n">
        <v>24</v>
      </c>
      <c r="F42" s="6" t="n">
        <v>3</v>
      </c>
      <c r="G42" s="6" t="n">
        <v>3.7</v>
      </c>
      <c r="H42" s="6" t="n">
        <v>9.8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1</v>
      </c>
      <c r="P42" s="5" t="s">
        <v>303</v>
      </c>
      <c r="Q42" s="23" t="n">
        <f aca="false">(H42*$K$6+J42*$K$7+L42*$K$8+N42*$K$9)*$D$8*$D$9</f>
        <v>1773.31</v>
      </c>
      <c r="R42" s="23" t="n">
        <f aca="false">(H42+J42+L42+N42)*$D$7*($D$5-$D$6)</f>
        <v>255.78</v>
      </c>
      <c r="S42" s="23" t="n">
        <f aca="false">(MAX(G42*$D$13-H42,0)*$L$6+MAX(I42*$D$13-J42,0)*$L$7+MAX(K42*$D$13-L42,0)*$L$8+MAX(M42*$D$13-N42,0)*$L$9)*$D$10</f>
        <v>25</v>
      </c>
      <c r="T42" s="23" t="n">
        <f aca="false">O42*E42*$D$11*$D$12</f>
        <v>211.2</v>
      </c>
      <c r="U42" s="23" t="n">
        <f aca="false">F42*INDEX($R$6:$R$15,MATCH($D42,$O$6:$O$15,0))</f>
        <v>225</v>
      </c>
      <c r="V42" s="23" t="n">
        <f aca="false">E42*$D$16</f>
        <v>240</v>
      </c>
      <c r="W42" s="23" t="n">
        <f aca="false">E42*INDEX($T$6:$T$15,MATCH($D42,$O$6:$O$15,0))</f>
        <v>360</v>
      </c>
      <c r="X42" s="23" t="n">
        <f aca="false">0.335*$D$15*E42*$D$14*($D$5-$D$6)</f>
        <v>174.87</v>
      </c>
      <c r="Y42" s="23" t="n">
        <f aca="false">SUM(Q42:X42)</f>
        <v>3265.16</v>
      </c>
      <c r="Z42" s="23" t="n">
        <f aca="false">F42*INDEX($S$6:$S$15,MATCH($D42,$O$6:$O$15,0))</f>
        <v>165</v>
      </c>
      <c r="AA42" s="24" t="n">
        <f aca="false">(Y42+Z42)*$D$17/1000</f>
        <v>3.773176</v>
      </c>
      <c r="AB42" s="25" t="n">
        <f aca="false">AA42*1000/E42</f>
        <v>157.215666666667</v>
      </c>
      <c r="AC42" s="8" t="n">
        <f aca="false">Y42/(Y42+Z42)</f>
        <v>0.951897287590083</v>
      </c>
    </row>
    <row r="43" customFormat="false" ht="15" hidden="false" customHeight="false" outlineLevel="0" collapsed="false">
      <c r="A43" s="5" t="s">
        <v>108</v>
      </c>
      <c r="B43" s="5" t="s">
        <v>314</v>
      </c>
      <c r="C43" s="5" t="s">
        <v>222</v>
      </c>
      <c r="D43" s="5" t="s">
        <v>222</v>
      </c>
      <c r="E43" s="6" t="n">
        <v>18.48</v>
      </c>
      <c r="F43" s="6" t="n">
        <v>2</v>
      </c>
      <c r="G43" s="6" t="n">
        <v>3</v>
      </c>
      <c r="H43" s="6" t="n">
        <v>4.9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6" t="n">
        <v>0</v>
      </c>
      <c r="O43" s="6" t="n">
        <v>1</v>
      </c>
      <c r="P43" s="5" t="s">
        <v>293</v>
      </c>
      <c r="Q43" s="23" t="n">
        <f aca="false">(H43*$K$6+J43*$K$7+L43*$K$8+N43*$K$9)*$D$8*$D$9</f>
        <v>886.655</v>
      </c>
      <c r="R43" s="23" t="n">
        <f aca="false">(H43+J43+L43+N43)*$D$7*($D$5-$D$6)</f>
        <v>127.89</v>
      </c>
      <c r="S43" s="23" t="n">
        <f aca="false">(MAX(G43*$D$13-H43,0)*$L$6+MAX(I43*$D$13-J43,0)*$L$7+MAX(K43*$D$13-L43,0)*$L$8+MAX(M43*$D$13-N43,0)*$L$9)*$D$10</f>
        <v>35.5</v>
      </c>
      <c r="T43" s="23" t="n">
        <f aca="false">O43*E43*$D$11*$D$12</f>
        <v>162.624</v>
      </c>
      <c r="U43" s="23" t="n">
        <f aca="false">F43*INDEX($R$6:$R$15,MATCH($D43,$O$6:$O$15,0))</f>
        <v>150</v>
      </c>
      <c r="V43" s="23" t="n">
        <f aca="false">E43*$D$16</f>
        <v>184.8</v>
      </c>
      <c r="W43" s="23" t="n">
        <f aca="false">E43*INDEX($T$6:$T$15,MATCH($D43,$O$6:$O$15,0))</f>
        <v>277.2</v>
      </c>
      <c r="X43" s="23" t="n">
        <f aca="false">0.335*$D$15*E43*$D$14*($D$5-$D$6)</f>
        <v>134.6499</v>
      </c>
      <c r="Y43" s="23" t="n">
        <f aca="false">SUM(Q43:X43)</f>
        <v>1959.3189</v>
      </c>
      <c r="Z43" s="23" t="n">
        <f aca="false">F43*INDEX($S$6:$S$15,MATCH($D43,$O$6:$O$15,0))</f>
        <v>110</v>
      </c>
      <c r="AA43" s="24" t="n">
        <f aca="false">(Y43+Z43)*$D$17/1000</f>
        <v>2.27625079</v>
      </c>
      <c r="AB43" s="25" t="n">
        <f aca="false">AA43*1000/E43</f>
        <v>123.173744047619</v>
      </c>
      <c r="AC43" s="8" t="n">
        <f aca="false">Y43/(Y43+Z43)</f>
        <v>0.946842412737834</v>
      </c>
    </row>
    <row r="44" customFormat="false" ht="15" hidden="false" customHeight="false" outlineLevel="0" collapsed="false">
      <c r="A44" s="5" t="s">
        <v>108</v>
      </c>
      <c r="B44" s="5" t="s">
        <v>315</v>
      </c>
      <c r="C44" s="5" t="s">
        <v>222</v>
      </c>
      <c r="D44" s="5" t="s">
        <v>222</v>
      </c>
      <c r="E44" s="6" t="n">
        <v>24.55</v>
      </c>
      <c r="F44" s="6" t="n">
        <v>3</v>
      </c>
      <c r="G44" s="6" t="n">
        <v>3.75</v>
      </c>
      <c r="H44" s="6" t="n">
        <v>9.8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0</v>
      </c>
      <c r="N44" s="6" t="n">
        <v>0</v>
      </c>
      <c r="O44" s="6" t="n">
        <v>1</v>
      </c>
      <c r="P44" s="5" t="s">
        <v>316</v>
      </c>
      <c r="Q44" s="23" t="n">
        <f aca="false">(H44*$K$6+J44*$K$7+L44*$K$8+N44*$K$9)*$D$8*$D$9</f>
        <v>1773.31</v>
      </c>
      <c r="R44" s="23" t="n">
        <f aca="false">(H44+J44+L44+N44)*$D$7*($D$5-$D$6)</f>
        <v>255.78</v>
      </c>
      <c r="S44" s="23" t="n">
        <f aca="false">(MAX(G44*$D$13-H44,0)*$L$6+MAX(I44*$D$13-J44,0)*$L$7+MAX(K44*$D$13-L44,0)*$L$8+MAX(M44*$D$13-N44,0)*$L$9)*$D$10</f>
        <v>26</v>
      </c>
      <c r="T44" s="23" t="n">
        <f aca="false">O44*E44*$D$11*$D$12</f>
        <v>216.04</v>
      </c>
      <c r="U44" s="23" t="n">
        <f aca="false">F44*INDEX($R$6:$R$15,MATCH($D44,$O$6:$O$15,0))</f>
        <v>225</v>
      </c>
      <c r="V44" s="23" t="n">
        <f aca="false">E44*$D$16</f>
        <v>245.5</v>
      </c>
      <c r="W44" s="23" t="n">
        <f aca="false">E44*INDEX($T$6:$T$15,MATCH($D44,$O$6:$O$15,0))</f>
        <v>368.25</v>
      </c>
      <c r="X44" s="23" t="n">
        <f aca="false">0.335*$D$15*E44*$D$14*($D$5-$D$6)</f>
        <v>178.8774375</v>
      </c>
      <c r="Y44" s="23" t="n">
        <f aca="false">SUM(Q44:X44)</f>
        <v>3288.7574375</v>
      </c>
      <c r="Z44" s="23" t="n">
        <f aca="false">F44*INDEX($S$6:$S$15,MATCH($D44,$O$6:$O$15,0))</f>
        <v>165</v>
      </c>
      <c r="AA44" s="24" t="n">
        <f aca="false">(Y44+Z44)*$D$17/1000</f>
        <v>3.79913318125</v>
      </c>
      <c r="AB44" s="25" t="n">
        <f aca="false">AA44*1000/E44</f>
        <v>154.750842413442</v>
      </c>
      <c r="AC44" s="8" t="n">
        <f aca="false">Y44/(Y44+Z44)</f>
        <v>0.952225944356001</v>
      </c>
    </row>
    <row r="45" customFormat="false" ht="15" hidden="false" customHeight="false" outlineLevel="0" collapsed="false">
      <c r="A45" s="5" t="s">
        <v>108</v>
      </c>
      <c r="B45" s="5" t="s">
        <v>196</v>
      </c>
      <c r="C45" s="5" t="s">
        <v>330</v>
      </c>
      <c r="D45" s="5" t="s">
        <v>237</v>
      </c>
      <c r="E45" s="6" t="n">
        <v>43.05</v>
      </c>
      <c r="F45" s="6" t="n">
        <v>22</v>
      </c>
      <c r="G45" s="6" t="n">
        <v>6.95</v>
      </c>
      <c r="H45" s="6" t="n">
        <v>5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6" t="n">
        <v>0</v>
      </c>
      <c r="O45" s="6" t="n">
        <v>1</v>
      </c>
      <c r="P45" s="5" t="s">
        <v>331</v>
      </c>
      <c r="Q45" s="23" t="n">
        <f aca="false">(H45*$K$6+J45*$K$7+L45*$K$8+N45*$K$9)*$D$8*$D$9</f>
        <v>904.75</v>
      </c>
      <c r="R45" s="23" t="n">
        <f aca="false">(H45+J45+L45+N45)*$D$7*($D$5-$D$6)</f>
        <v>130.5</v>
      </c>
      <c r="S45" s="23" t="n">
        <f aca="false">(MAX(G45*$D$13-H45,0)*$L$6+MAX(I45*$D$13-J45,0)*$L$7+MAX(K45*$D$13-L45,0)*$L$8+MAX(M45*$D$13-N45,0)*$L$9)*$D$10</f>
        <v>114</v>
      </c>
      <c r="T45" s="23" t="n">
        <f aca="false">O45*E45*$D$11*$D$12</f>
        <v>378.84</v>
      </c>
      <c r="U45" s="23" t="n">
        <f aca="false">F45*INDEX($R$6:$R$15,MATCH($D45,$O$6:$O$15,0))</f>
        <v>1540</v>
      </c>
      <c r="V45" s="23" t="n">
        <f aca="false">E45*$D$16</f>
        <v>430.5</v>
      </c>
      <c r="W45" s="23" t="n">
        <f aca="false">E45*INDEX($T$6:$T$15,MATCH($D45,$O$6:$O$15,0))</f>
        <v>344.4</v>
      </c>
      <c r="X45" s="23" t="n">
        <f aca="false">0.335*$D$15*E45*$D$14*($D$5-$D$6)</f>
        <v>313.6730625</v>
      </c>
      <c r="Y45" s="23" t="n">
        <f aca="false">SUM(Q45:X45)</f>
        <v>4156.6630625</v>
      </c>
      <c r="Z45" s="23" t="n">
        <f aca="false">F45*INDEX($S$6:$S$15,MATCH($D45,$O$6:$O$15,0))</f>
        <v>990</v>
      </c>
      <c r="AA45" s="24" t="n">
        <f aca="false">(Y45+Z45)*$D$17/1000</f>
        <v>5.66132936875</v>
      </c>
      <c r="AB45" s="25" t="n">
        <f aca="false">AA45*1000/E45</f>
        <v>131.505908681765</v>
      </c>
      <c r="AC45" s="8" t="n">
        <f aca="false">Y45/(Y45+Z45)</f>
        <v>0.807642352340216</v>
      </c>
    </row>
    <row r="46" customFormat="false" ht="15" hidden="false" customHeight="false" outlineLevel="0" collapsed="false">
      <c r="A46" s="5" t="s">
        <v>108</v>
      </c>
      <c r="B46" s="5" t="s">
        <v>318</v>
      </c>
      <c r="C46" s="5" t="s">
        <v>232</v>
      </c>
      <c r="D46" s="5" t="s">
        <v>232</v>
      </c>
      <c r="E46" s="6" t="n">
        <v>14.45</v>
      </c>
      <c r="F46" s="6" t="n">
        <v>3</v>
      </c>
      <c r="G46" s="6" t="n">
        <v>2.2</v>
      </c>
      <c r="H46" s="6" t="n">
        <v>4.9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5" t="s">
        <v>332</v>
      </c>
      <c r="Q46" s="23" t="n">
        <f aca="false">(H46*$K$6+J46*$K$7+L46*$K$8+N46*$K$9)*$D$8*$D$9</f>
        <v>886.655</v>
      </c>
      <c r="R46" s="23" t="n">
        <f aca="false">(H46+J46+L46+N46)*$D$7*($D$5-$D$6)</f>
        <v>127.89</v>
      </c>
      <c r="S46" s="23" t="n">
        <f aca="false">(MAX(G46*$D$13-H46,0)*$L$6+MAX(I46*$D$13-J46,0)*$L$7+MAX(K46*$D$13-L46,0)*$L$8+MAX(M46*$D$13-N46,0)*$L$9)*$D$10</f>
        <v>19.5</v>
      </c>
      <c r="T46" s="23" t="n">
        <f aca="false">O46*E46*$D$11*$D$12</f>
        <v>127.16</v>
      </c>
      <c r="U46" s="23" t="n">
        <f aca="false">F46*INDEX($R$6:$R$15,MATCH($D46,$O$6:$O$15,0))</f>
        <v>225</v>
      </c>
      <c r="V46" s="23" t="n">
        <f aca="false">E46*$D$16</f>
        <v>144.5</v>
      </c>
      <c r="W46" s="23" t="n">
        <f aca="false">E46*INDEX($T$6:$T$15,MATCH($D46,$O$6:$O$15,0))</f>
        <v>289</v>
      </c>
      <c r="X46" s="23" t="n">
        <f aca="false">0.335*$D$15*E46*$D$14*($D$5-$D$6)</f>
        <v>105.2863125</v>
      </c>
      <c r="Y46" s="23" t="n">
        <f aca="false">SUM(Q46:X46)</f>
        <v>1924.9913125</v>
      </c>
      <c r="Z46" s="23" t="n">
        <f aca="false">F46*INDEX($S$6:$S$15,MATCH($D46,$O$6:$O$15,0))</f>
        <v>165</v>
      </c>
      <c r="AA46" s="24" t="n">
        <f aca="false">(Y46+Z46)*$D$17/1000</f>
        <v>2.29899044375</v>
      </c>
      <c r="AB46" s="25" t="n">
        <f aca="false">AA46*1000/E46</f>
        <v>159.099684688581</v>
      </c>
      <c r="AC46" s="8" t="n">
        <f aca="false">Y46/(Y46+Z46)</f>
        <v>0.92105230341717</v>
      </c>
    </row>
    <row r="47" customFormat="false" ht="22.35" hidden="false" customHeight="false" outlineLevel="0" collapsed="false">
      <c r="A47" s="5" t="s">
        <v>108</v>
      </c>
      <c r="B47" s="5" t="s">
        <v>333</v>
      </c>
      <c r="C47" s="5" t="s">
        <v>334</v>
      </c>
      <c r="D47" s="5" t="s">
        <v>227</v>
      </c>
      <c r="E47" s="6" t="n">
        <v>42.17</v>
      </c>
      <c r="F47" s="6" t="n">
        <v>6</v>
      </c>
      <c r="G47" s="6" t="n">
        <v>6.55</v>
      </c>
      <c r="H47" s="6" t="n">
        <v>14.7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1</v>
      </c>
      <c r="P47" s="5" t="s">
        <v>290</v>
      </c>
      <c r="Q47" s="23" t="n">
        <f aca="false">(H47*$K$6+J47*$K$7+L47*$K$8+N47*$K$9)*$D$8*$D$9</f>
        <v>2659.965</v>
      </c>
      <c r="R47" s="23" t="n">
        <f aca="false">(H47+J47+L47+N47)*$D$7*($D$5-$D$6)</f>
        <v>383.67</v>
      </c>
      <c r="S47" s="23" t="n">
        <f aca="false">(MAX(G47*$D$13-H47,0)*$L$6+MAX(I47*$D$13-J47,0)*$L$7+MAX(K47*$D$13-L47,0)*$L$8+MAX(M47*$D$13-N47,0)*$L$9)*$D$10</f>
        <v>57.5</v>
      </c>
      <c r="T47" s="23" t="n">
        <f aca="false">O47*E47*$D$11*$D$12</f>
        <v>371.096</v>
      </c>
      <c r="U47" s="23" t="n">
        <f aca="false">F47*INDEX($R$6:$R$15,MATCH($D47,$O$6:$O$15,0))</f>
        <v>450</v>
      </c>
      <c r="V47" s="23" t="n">
        <f aca="false">E47*$D$16</f>
        <v>421.7</v>
      </c>
      <c r="W47" s="23" t="n">
        <f aca="false">E47*INDEX($T$6:$T$15,MATCH($D47,$O$6:$O$15,0))</f>
        <v>632.55</v>
      </c>
      <c r="X47" s="23" t="n">
        <f aca="false">0.335*$D$15*E47*$D$14*($D$5-$D$6)</f>
        <v>307.2611625</v>
      </c>
      <c r="Y47" s="23" t="n">
        <f aca="false">SUM(Q47:X47)</f>
        <v>5283.7421625</v>
      </c>
      <c r="Z47" s="23" t="n">
        <f aca="false">F47*INDEX($S$6:$S$15,MATCH($D47,$O$6:$O$15,0))</f>
        <v>330</v>
      </c>
      <c r="AA47" s="24" t="n">
        <f aca="false">(Y47+Z47)*$D$17/1000</f>
        <v>6.17511637875</v>
      </c>
      <c r="AB47" s="25" t="n">
        <f aca="false">AA47*1000/E47</f>
        <v>146.43387191724</v>
      </c>
      <c r="AC47" s="8" t="n">
        <f aca="false">Y47/(Y47+Z47)</f>
        <v>0.94121568279277</v>
      </c>
    </row>
    <row r="48" customFormat="false" ht="15" hidden="false" customHeight="false" outlineLevel="0" collapsed="false">
      <c r="A48" s="5" t="s">
        <v>108</v>
      </c>
      <c r="B48" s="5" t="s">
        <v>304</v>
      </c>
      <c r="C48" s="5" t="s">
        <v>321</v>
      </c>
      <c r="D48" s="5" t="s">
        <v>227</v>
      </c>
      <c r="E48" s="6" t="n">
        <v>21.92</v>
      </c>
      <c r="F48" s="6" t="n">
        <v>6</v>
      </c>
      <c r="G48" s="6" t="n">
        <v>3.42</v>
      </c>
      <c r="H48" s="6" t="n">
        <v>4.9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6.4</v>
      </c>
      <c r="N48" s="6" t="n">
        <v>5.12</v>
      </c>
      <c r="O48" s="6" t="n">
        <v>1</v>
      </c>
      <c r="P48" s="5" t="s">
        <v>335</v>
      </c>
      <c r="Q48" s="23" t="n">
        <f aca="false">(H48*$K$6+J48*$K$7+L48*$K$8+N48*$K$9)*$D$8*$D$9</f>
        <v>1872.255</v>
      </c>
      <c r="R48" s="23" t="n">
        <f aca="false">(H48+J48+L48+N48)*$D$7*($D$5-$D$6)</f>
        <v>261.522</v>
      </c>
      <c r="S48" s="23" t="n">
        <f aca="false">(MAX(G48*$D$13-H48,0)*$L$6+MAX(I48*$D$13-J48,0)*$L$7+MAX(K48*$D$13-L48,0)*$L$8+MAX(M48*$D$13-N48,0)*$L$9)*$D$10</f>
        <v>177.02</v>
      </c>
      <c r="T48" s="23" t="n">
        <f aca="false">O48*E48*$D$11*$D$12</f>
        <v>192.896</v>
      </c>
      <c r="U48" s="23" t="n">
        <f aca="false">F48*INDEX($R$6:$R$15,MATCH($D48,$O$6:$O$15,0))</f>
        <v>450</v>
      </c>
      <c r="V48" s="23" t="n">
        <f aca="false">E48*$D$16</f>
        <v>219.2</v>
      </c>
      <c r="W48" s="23" t="n">
        <f aca="false">E48*INDEX($T$6:$T$15,MATCH($D48,$O$6:$O$15,0))</f>
        <v>328.8</v>
      </c>
      <c r="X48" s="23" t="n">
        <f aca="false">0.335*$D$15*E48*$D$14*($D$5-$D$6)</f>
        <v>159.7146</v>
      </c>
      <c r="Y48" s="23" t="n">
        <f aca="false">SUM(Q48:X48)</f>
        <v>3661.4076</v>
      </c>
      <c r="Z48" s="23" t="n">
        <f aca="false">F48*INDEX($S$6:$S$15,MATCH($D48,$O$6:$O$15,0))</f>
        <v>330</v>
      </c>
      <c r="AA48" s="24" t="n">
        <f aca="false">(Y48+Z48)*$D$17/1000</f>
        <v>4.39054836</v>
      </c>
      <c r="AB48" s="25" t="n">
        <f aca="false">AA48*1000/E48</f>
        <v>200.298739051095</v>
      </c>
      <c r="AC48" s="8" t="n">
        <f aca="false">Y48/(Y48+Z48)</f>
        <v>0.917322400247973</v>
      </c>
    </row>
    <row r="49" customFormat="false" ht="15" hidden="false" customHeight="false" outlineLevel="0" collapsed="false">
      <c r="A49" s="13"/>
      <c r="B49" s="13"/>
      <c r="C49" s="14" t="s">
        <v>172</v>
      </c>
      <c r="D49" s="13"/>
      <c r="E49" s="13" t="n">
        <f aca="false">SUM(E19:E48)</f>
        <v>763.04</v>
      </c>
      <c r="F49" s="13" t="n">
        <f aca="false">SUM(F19:F48)</f>
        <v>175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26" t="n">
        <f aca="false">SUM(Q19:Q48)</f>
        <v>44516.241</v>
      </c>
      <c r="R49" s="26" t="n">
        <f aca="false">SUM(R19:R48)</f>
        <v>6244.686</v>
      </c>
      <c r="S49" s="26" t="n">
        <f aca="false">SUM(S19:S48)</f>
        <v>3050.18</v>
      </c>
      <c r="T49" s="26" t="n">
        <f aca="false">SUM(T19:T48)</f>
        <v>2752.2</v>
      </c>
      <c r="U49" s="26" t="n">
        <f aca="false">SUM(U19:U48)</f>
        <v>12975</v>
      </c>
      <c r="V49" s="26" t="n">
        <f aca="false">SUM(V19:V48)</f>
        <v>7630.4</v>
      </c>
      <c r="W49" s="26" t="n">
        <f aca="false">SUM(W19:W48)</f>
        <v>9305.53</v>
      </c>
      <c r="X49" s="26" t="n">
        <f aca="false">SUM(X19:X48)</f>
        <v>5559.7002</v>
      </c>
      <c r="Y49" s="26" t="n">
        <f aca="false">SUM(Y19:Y48)</f>
        <v>92033.9372</v>
      </c>
      <c r="Z49" s="26" t="n">
        <f aca="false">SUM(Z19:Z48)</f>
        <v>9870</v>
      </c>
      <c r="AA49" s="15" t="n">
        <f aca="false">SUM(AA19:AA48)</f>
        <v>112.09433092</v>
      </c>
      <c r="AB49" s="27" t="n">
        <f aca="false">AA49*1000/E49</f>
        <v>146.90492100021</v>
      </c>
      <c r="AC49" s="13"/>
    </row>
    <row r="51" customFormat="false" ht="15" hidden="false" customHeight="false" outlineLevel="0" collapsed="false">
      <c r="A51" s="16" t="s">
        <v>336</v>
      </c>
    </row>
    <row r="52" customFormat="false" ht="15" hidden="false" customHeight="false" outlineLevel="0" collapsed="false">
      <c r="A52" s="16" t="s">
        <v>337</v>
      </c>
    </row>
    <row r="53" customFormat="false" ht="15" hidden="false" customHeight="false" outlineLevel="0" collapsed="false">
      <c r="A53" s="16" t="s">
        <v>338</v>
      </c>
    </row>
    <row r="54" customFormat="false" ht="15" hidden="false" customHeight="false" outlineLevel="0" collapsed="false">
      <c r="A54" s="16" t="s">
        <v>339</v>
      </c>
    </row>
    <row r="55" customFormat="false" ht="15" hidden="false" customHeight="false" outlineLevel="0" collapsed="false">
      <c r="A55" s="16" t="s">
        <v>340</v>
      </c>
    </row>
  </sheetData>
  <mergeCells count="15">
    <mergeCell ref="A1:AF1"/>
    <mergeCell ref="A2:AF2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22"/>
    <col collapsed="false" customWidth="true" hidden="false" outlineLevel="0" max="4" min="4" style="0" width="9"/>
    <col collapsed="false" customWidth="true" hidden="false" outlineLevel="0" max="6" min="5" style="0" width="11"/>
    <col collapsed="false" customWidth="true" hidden="false" outlineLevel="0" max="7" min="7" style="0" width="9"/>
    <col collapsed="false" customWidth="true" hidden="false" outlineLevel="0" max="8" min="8" style="0" width="6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7"/>
  </cols>
  <sheetData>
    <row r="1" customFormat="false" ht="16.15" hidden="false" customHeight="false" outlineLevel="0" collapsed="false">
      <c r="A1" s="1" t="s">
        <v>341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342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6" hidden="false" customHeight="true" outlineLevel="0" collapsed="false">
      <c r="A4" s="3" t="s">
        <v>8</v>
      </c>
      <c r="B4" s="3" t="s">
        <v>259</v>
      </c>
      <c r="C4" s="3" t="s">
        <v>260</v>
      </c>
      <c r="D4" s="3" t="s">
        <v>262</v>
      </c>
      <c r="E4" s="3" t="s">
        <v>343</v>
      </c>
      <c r="F4" s="3" t="s">
        <v>344</v>
      </c>
      <c r="G4" s="3" t="s">
        <v>180</v>
      </c>
      <c r="H4" s="3" t="s">
        <v>345</v>
      </c>
      <c r="I4" s="3" t="s">
        <v>346</v>
      </c>
      <c r="J4" s="3" t="s">
        <v>347</v>
      </c>
      <c r="K4" s="3" t="s">
        <v>348</v>
      </c>
      <c r="L4" s="3" t="s">
        <v>349</v>
      </c>
      <c r="M4" s="3" t="s">
        <v>350</v>
      </c>
      <c r="N4" s="3" t="s">
        <v>351</v>
      </c>
      <c r="O4" s="3" t="s">
        <v>352</v>
      </c>
      <c r="P4" s="3" t="s">
        <v>353</v>
      </c>
    </row>
    <row r="5" customFormat="false" ht="15" hidden="false" customHeight="false" outlineLevel="0" collapsed="false">
      <c r="A5" s="5" t="s">
        <v>28</v>
      </c>
      <c r="B5" s="5" t="s">
        <v>287</v>
      </c>
      <c r="C5" s="5" t="s">
        <v>120</v>
      </c>
      <c r="D5" s="7" t="n">
        <v>8.35</v>
      </c>
      <c r="E5" s="28" t="n">
        <f aca="false">'Soğutma Yükü'!AB19</f>
        <v>80.766372005988</v>
      </c>
      <c r="F5" s="9" t="n">
        <f aca="false">'Soğutma Yükü'!AA19</f>
        <v>0.67439920625</v>
      </c>
      <c r="G5" s="29" t="s">
        <v>138</v>
      </c>
      <c r="H5" s="6" t="n">
        <v>1</v>
      </c>
      <c r="I5" s="8" t="n">
        <f aca="false">INDEX(Tablolar!$C$5:$C$10,MATCH(G5,Tablolar!$A$5:$A$10,0))</f>
        <v>2.2</v>
      </c>
      <c r="J5" s="8" t="n">
        <f aca="false">H5*I5</f>
        <v>2.2</v>
      </c>
      <c r="K5" s="4" t="str">
        <f aca="false">IF(J5&gt;=F5,"UYGUN","KAPASİTE ARTIR")</f>
        <v>UYGUN</v>
      </c>
      <c r="L5" s="8" t="n">
        <f aca="false">H5*INDEX(Tablolar!$D$5:$D$10,MATCH(G5,Tablolar!$A$5:$A$10,0))</f>
        <v>2.5</v>
      </c>
      <c r="M5" s="4" t="n">
        <f aca="false">INDEX(Tablolar!$E$5:$E$10,MATCH(G5,Tablolar!$A$5:$A$10,0))</f>
        <v>50</v>
      </c>
      <c r="N5" s="30" t="n">
        <f aca="false">H5*M5/1000</f>
        <v>0.05</v>
      </c>
      <c r="O5" s="5" t="s">
        <v>354</v>
      </c>
      <c r="P5" s="5" t="s">
        <v>88</v>
      </c>
    </row>
    <row r="6" customFormat="false" ht="15" hidden="false" customHeight="false" outlineLevel="0" collapsed="false">
      <c r="A6" s="5" t="s">
        <v>28</v>
      </c>
      <c r="B6" s="5" t="s">
        <v>289</v>
      </c>
      <c r="C6" s="5" t="s">
        <v>244</v>
      </c>
      <c r="D6" s="7" t="n">
        <v>42.5</v>
      </c>
      <c r="E6" s="28" t="n">
        <f aca="false">'Soğutma Yükü'!AB20</f>
        <v>224.899545588235</v>
      </c>
      <c r="F6" s="9" t="n">
        <f aca="false">'Soğutma Yükü'!AA20</f>
        <v>9.5582306875</v>
      </c>
      <c r="G6" s="29" t="s">
        <v>143</v>
      </c>
      <c r="H6" s="6" t="n">
        <v>2</v>
      </c>
      <c r="I6" s="8" t="n">
        <f aca="false">INDEX(Tablolar!$C$5:$C$10,MATCH(G6,Tablolar!$A$5:$A$10,0))</f>
        <v>5.6</v>
      </c>
      <c r="J6" s="8" t="n">
        <f aca="false">H6*I6</f>
        <v>11.2</v>
      </c>
      <c r="K6" s="4" t="str">
        <f aca="false">IF(J6&gt;=F6,"UYGUN","KAPASİTE ARTIR")</f>
        <v>UYGUN</v>
      </c>
      <c r="L6" s="8" t="n">
        <f aca="false">H6*INDEX(Tablolar!$D$5:$D$10,MATCH(G6,Tablolar!$A$5:$A$10,0))</f>
        <v>12.6</v>
      </c>
      <c r="M6" s="4" t="n">
        <f aca="false">INDEX(Tablolar!$E$5:$E$10,MATCH(G6,Tablolar!$A$5:$A$10,0))</f>
        <v>62</v>
      </c>
      <c r="N6" s="30" t="n">
        <f aca="false">H6*M6/1000</f>
        <v>0.124</v>
      </c>
      <c r="O6" s="5" t="s">
        <v>354</v>
      </c>
      <c r="P6" s="5" t="s">
        <v>88</v>
      </c>
    </row>
    <row r="7" customFormat="false" ht="15" hidden="false" customHeight="false" outlineLevel="0" collapsed="false">
      <c r="A7" s="5" t="s">
        <v>28</v>
      </c>
      <c r="B7" s="5" t="s">
        <v>291</v>
      </c>
      <c r="C7" s="5" t="s">
        <v>292</v>
      </c>
      <c r="D7" s="7" t="n">
        <v>19.7</v>
      </c>
      <c r="E7" s="28" t="n">
        <f aca="false">'Soğutma Yükü'!AB21</f>
        <v>131.116880076142</v>
      </c>
      <c r="F7" s="9" t="n">
        <f aca="false">'Soğutma Yükü'!AA21</f>
        <v>2.5830025375</v>
      </c>
      <c r="G7" s="29" t="s">
        <v>145</v>
      </c>
      <c r="H7" s="6" t="n">
        <v>1</v>
      </c>
      <c r="I7" s="8" t="n">
        <f aca="false">INDEX(Tablolar!$C$5:$C$10,MATCH(G7,Tablolar!$A$5:$A$10,0))</f>
        <v>2.8</v>
      </c>
      <c r="J7" s="8" t="n">
        <f aca="false">H7*I7</f>
        <v>2.8</v>
      </c>
      <c r="K7" s="4" t="str">
        <f aca="false">IF(J7&gt;=F7,"UYGUN","KAPASİTE ARTIR")</f>
        <v>UYGUN</v>
      </c>
      <c r="L7" s="8" t="n">
        <f aca="false">H7*INDEX(Tablolar!$D$5:$D$10,MATCH(G7,Tablolar!$A$5:$A$10,0))</f>
        <v>3.2</v>
      </c>
      <c r="M7" s="4" t="n">
        <f aca="false">INDEX(Tablolar!$E$5:$E$10,MATCH(G7,Tablolar!$A$5:$A$10,0))</f>
        <v>50</v>
      </c>
      <c r="N7" s="30" t="n">
        <f aca="false">H7*M7/1000</f>
        <v>0.05</v>
      </c>
      <c r="O7" s="5" t="s">
        <v>354</v>
      </c>
      <c r="P7" s="5" t="s">
        <v>88</v>
      </c>
    </row>
    <row r="8" customFormat="false" ht="15" hidden="false" customHeight="false" outlineLevel="0" collapsed="false">
      <c r="A8" s="5" t="s">
        <v>28</v>
      </c>
      <c r="B8" s="5" t="s">
        <v>294</v>
      </c>
      <c r="C8" s="5" t="s">
        <v>295</v>
      </c>
      <c r="D8" s="7" t="n">
        <v>17.66</v>
      </c>
      <c r="E8" s="28" t="n">
        <f aca="false">'Soğutma Yükü'!AB22</f>
        <v>114.462734569649</v>
      </c>
      <c r="F8" s="9" t="n">
        <f aca="false">'Soğutma Yükü'!AA22</f>
        <v>2.0214118925</v>
      </c>
      <c r="G8" s="29" t="s">
        <v>138</v>
      </c>
      <c r="H8" s="6" t="n">
        <v>1</v>
      </c>
      <c r="I8" s="8" t="n">
        <f aca="false">INDEX(Tablolar!$C$5:$C$10,MATCH(G8,Tablolar!$A$5:$A$10,0))</f>
        <v>2.2</v>
      </c>
      <c r="J8" s="8" t="n">
        <f aca="false">H8*I8</f>
        <v>2.2</v>
      </c>
      <c r="K8" s="4" t="str">
        <f aca="false">IF(J8&gt;=F8,"UYGUN","KAPASİTE ARTIR")</f>
        <v>UYGUN</v>
      </c>
      <c r="L8" s="8" t="n">
        <f aca="false">H8*INDEX(Tablolar!$D$5:$D$10,MATCH(G8,Tablolar!$A$5:$A$10,0))</f>
        <v>2.5</v>
      </c>
      <c r="M8" s="4" t="n">
        <f aca="false">INDEX(Tablolar!$E$5:$E$10,MATCH(G8,Tablolar!$A$5:$A$10,0))</f>
        <v>50</v>
      </c>
      <c r="N8" s="30" t="n">
        <f aca="false">H8*M8/1000</f>
        <v>0.05</v>
      </c>
      <c r="O8" s="5" t="s">
        <v>354</v>
      </c>
      <c r="P8" s="5" t="s">
        <v>88</v>
      </c>
    </row>
    <row r="9" customFormat="false" ht="15" hidden="false" customHeight="false" outlineLevel="0" collapsed="false">
      <c r="A9" s="5" t="s">
        <v>28</v>
      </c>
      <c r="B9" s="5" t="s">
        <v>297</v>
      </c>
      <c r="C9" s="5" t="s">
        <v>298</v>
      </c>
      <c r="D9" s="7" t="n">
        <v>22.15</v>
      </c>
      <c r="E9" s="28" t="n">
        <f aca="false">'Soğutma Yükü'!AB23</f>
        <v>101.418631207675</v>
      </c>
      <c r="F9" s="9" t="n">
        <f aca="false">'Soğutma Yükü'!AA23</f>
        <v>2.24642268125</v>
      </c>
      <c r="G9" s="29" t="s">
        <v>145</v>
      </c>
      <c r="H9" s="6" t="n">
        <v>1</v>
      </c>
      <c r="I9" s="8" t="n">
        <f aca="false">INDEX(Tablolar!$C$5:$C$10,MATCH(G9,Tablolar!$A$5:$A$10,0))</f>
        <v>2.8</v>
      </c>
      <c r="J9" s="8" t="n">
        <f aca="false">H9*I9</f>
        <v>2.8</v>
      </c>
      <c r="K9" s="4" t="str">
        <f aca="false">IF(J9&gt;=F9,"UYGUN","KAPASİTE ARTIR")</f>
        <v>UYGUN</v>
      </c>
      <c r="L9" s="8" t="n">
        <f aca="false">H9*INDEX(Tablolar!$D$5:$D$10,MATCH(G9,Tablolar!$A$5:$A$10,0))</f>
        <v>3.2</v>
      </c>
      <c r="M9" s="4" t="n">
        <f aca="false">INDEX(Tablolar!$E$5:$E$10,MATCH(G9,Tablolar!$A$5:$A$10,0))</f>
        <v>50</v>
      </c>
      <c r="N9" s="30" t="n">
        <f aca="false">H9*M9/1000</f>
        <v>0.05</v>
      </c>
      <c r="O9" s="5" t="s">
        <v>354</v>
      </c>
      <c r="P9" s="5" t="s">
        <v>88</v>
      </c>
    </row>
    <row r="10" customFormat="false" ht="15" hidden="false" customHeight="false" outlineLevel="0" collapsed="false">
      <c r="A10" s="5" t="s">
        <v>28</v>
      </c>
      <c r="B10" s="5" t="s">
        <v>299</v>
      </c>
      <c r="C10" s="5" t="s">
        <v>300</v>
      </c>
      <c r="D10" s="7" t="n">
        <v>16.07</v>
      </c>
      <c r="E10" s="28" t="n">
        <f aca="false">'Soğutma Yükü'!AB24</f>
        <v>119.292504122589</v>
      </c>
      <c r="F10" s="9" t="n">
        <f aca="false">'Soğutma Yükü'!AA24</f>
        <v>1.91703054125</v>
      </c>
      <c r="G10" s="29" t="s">
        <v>138</v>
      </c>
      <c r="H10" s="6" t="n">
        <v>1</v>
      </c>
      <c r="I10" s="8" t="n">
        <f aca="false">INDEX(Tablolar!$C$5:$C$10,MATCH(G10,Tablolar!$A$5:$A$10,0))</f>
        <v>2.2</v>
      </c>
      <c r="J10" s="8" t="n">
        <f aca="false">H10*I10</f>
        <v>2.2</v>
      </c>
      <c r="K10" s="4" t="str">
        <f aca="false">IF(J10&gt;=F10,"UYGUN","KAPASİTE ARTIR")</f>
        <v>UYGUN</v>
      </c>
      <c r="L10" s="8" t="n">
        <f aca="false">H10*INDEX(Tablolar!$D$5:$D$10,MATCH(G10,Tablolar!$A$5:$A$10,0))</f>
        <v>2.5</v>
      </c>
      <c r="M10" s="4" t="n">
        <f aca="false">INDEX(Tablolar!$E$5:$E$10,MATCH(G10,Tablolar!$A$5:$A$10,0))</f>
        <v>50</v>
      </c>
      <c r="N10" s="30" t="n">
        <f aca="false">H10*M10/1000</f>
        <v>0.05</v>
      </c>
      <c r="O10" s="5" t="s">
        <v>354</v>
      </c>
      <c r="P10" s="5" t="s">
        <v>88</v>
      </c>
    </row>
    <row r="11" customFormat="false" ht="15" hidden="false" customHeight="false" outlineLevel="0" collapsed="false">
      <c r="A11" s="5" t="s">
        <v>28</v>
      </c>
      <c r="B11" s="5" t="s">
        <v>301</v>
      </c>
      <c r="C11" s="5" t="s">
        <v>302</v>
      </c>
      <c r="D11" s="7" t="n">
        <v>16.4</v>
      </c>
      <c r="E11" s="28" t="n">
        <f aca="false">'Soğutma Yükü'!AB25</f>
        <v>178.212375</v>
      </c>
      <c r="F11" s="9" t="n">
        <f aca="false">'Soğutma Yükü'!AA25</f>
        <v>2.92268295</v>
      </c>
      <c r="G11" s="29" t="s">
        <v>147</v>
      </c>
      <c r="H11" s="6" t="n">
        <v>1</v>
      </c>
      <c r="I11" s="8" t="n">
        <f aca="false">INDEX(Tablolar!$C$5:$C$10,MATCH(G11,Tablolar!$A$5:$A$10,0))</f>
        <v>3.6</v>
      </c>
      <c r="J11" s="8" t="n">
        <f aca="false">H11*I11</f>
        <v>3.6</v>
      </c>
      <c r="K11" s="4" t="str">
        <f aca="false">IF(J11&gt;=F11,"UYGUN","KAPASİTE ARTIR")</f>
        <v>UYGUN</v>
      </c>
      <c r="L11" s="8" t="n">
        <f aca="false">H11*INDEX(Tablolar!$D$5:$D$10,MATCH(G11,Tablolar!$A$5:$A$10,0))</f>
        <v>4</v>
      </c>
      <c r="M11" s="4" t="n">
        <f aca="false">INDEX(Tablolar!$E$5:$E$10,MATCH(G11,Tablolar!$A$5:$A$10,0))</f>
        <v>60</v>
      </c>
      <c r="N11" s="30" t="n">
        <f aca="false">H11*M11/1000</f>
        <v>0.06</v>
      </c>
      <c r="O11" s="5" t="s">
        <v>354</v>
      </c>
      <c r="P11" s="5" t="s">
        <v>88</v>
      </c>
    </row>
    <row r="12" customFormat="false" ht="15" hidden="false" customHeight="false" outlineLevel="0" collapsed="false">
      <c r="A12" s="5" t="s">
        <v>103</v>
      </c>
      <c r="B12" s="5" t="s">
        <v>304</v>
      </c>
      <c r="C12" s="5" t="s">
        <v>222</v>
      </c>
      <c r="D12" s="7" t="n">
        <v>42.65</v>
      </c>
      <c r="E12" s="28" t="n">
        <f aca="false">'Soğutma Yükü'!AB26</f>
        <v>117.220863276671</v>
      </c>
      <c r="F12" s="9" t="n">
        <f aca="false">'Soğutma Yükü'!AA26</f>
        <v>4.99946981875</v>
      </c>
      <c r="G12" s="29" t="s">
        <v>145</v>
      </c>
      <c r="H12" s="6" t="n">
        <v>2</v>
      </c>
      <c r="I12" s="8" t="n">
        <f aca="false">INDEX(Tablolar!$C$5:$C$10,MATCH(G12,Tablolar!$A$5:$A$10,0))</f>
        <v>2.8</v>
      </c>
      <c r="J12" s="8" t="n">
        <f aca="false">H12*I12</f>
        <v>5.6</v>
      </c>
      <c r="K12" s="4" t="str">
        <f aca="false">IF(J12&gt;=F12,"UYGUN","KAPASİTE ARTIR")</f>
        <v>UYGUN</v>
      </c>
      <c r="L12" s="8" t="n">
        <f aca="false">H12*INDEX(Tablolar!$D$5:$D$10,MATCH(G12,Tablolar!$A$5:$A$10,0))</f>
        <v>6.4</v>
      </c>
      <c r="M12" s="4" t="n">
        <f aca="false">INDEX(Tablolar!$E$5:$E$10,MATCH(G12,Tablolar!$A$5:$A$10,0))</f>
        <v>50</v>
      </c>
      <c r="N12" s="30" t="n">
        <f aca="false">H12*M12/1000</f>
        <v>0.1</v>
      </c>
      <c r="O12" s="5" t="s">
        <v>354</v>
      </c>
      <c r="P12" s="5" t="s">
        <v>104</v>
      </c>
    </row>
    <row r="13" customFormat="false" ht="15" hidden="false" customHeight="false" outlineLevel="0" collapsed="false">
      <c r="A13" s="5" t="s">
        <v>103</v>
      </c>
      <c r="B13" s="5" t="s">
        <v>306</v>
      </c>
      <c r="C13" s="5" t="s">
        <v>307</v>
      </c>
      <c r="D13" s="7" t="n">
        <v>43.8</v>
      </c>
      <c r="E13" s="28" t="n">
        <f aca="false">'Soğutma Yükü'!AB27</f>
        <v>118.040591894977</v>
      </c>
      <c r="F13" s="9" t="n">
        <f aca="false">'Soğutma Yükü'!AA27</f>
        <v>5.170177925</v>
      </c>
      <c r="G13" s="29" t="s">
        <v>145</v>
      </c>
      <c r="H13" s="6" t="n">
        <v>2</v>
      </c>
      <c r="I13" s="8" t="n">
        <f aca="false">INDEX(Tablolar!$C$5:$C$10,MATCH(G13,Tablolar!$A$5:$A$10,0))</f>
        <v>2.8</v>
      </c>
      <c r="J13" s="8" t="n">
        <f aca="false">H13*I13</f>
        <v>5.6</v>
      </c>
      <c r="K13" s="4" t="str">
        <f aca="false">IF(J13&gt;=F13,"UYGUN","KAPASİTE ARTIR")</f>
        <v>UYGUN</v>
      </c>
      <c r="L13" s="8" t="n">
        <f aca="false">H13*INDEX(Tablolar!$D$5:$D$10,MATCH(G13,Tablolar!$A$5:$A$10,0))</f>
        <v>6.4</v>
      </c>
      <c r="M13" s="4" t="n">
        <f aca="false">INDEX(Tablolar!$E$5:$E$10,MATCH(G13,Tablolar!$A$5:$A$10,0))</f>
        <v>50</v>
      </c>
      <c r="N13" s="30" t="n">
        <f aca="false">H13*M13/1000</f>
        <v>0.1</v>
      </c>
      <c r="O13" s="5" t="s">
        <v>354</v>
      </c>
      <c r="P13" s="5" t="s">
        <v>104</v>
      </c>
    </row>
    <row r="14" customFormat="false" ht="15" hidden="false" customHeight="false" outlineLevel="0" collapsed="false">
      <c r="A14" s="5" t="s">
        <v>103</v>
      </c>
      <c r="B14" s="5" t="s">
        <v>308</v>
      </c>
      <c r="C14" s="5" t="s">
        <v>222</v>
      </c>
      <c r="D14" s="7" t="n">
        <v>27.5</v>
      </c>
      <c r="E14" s="28" t="n">
        <f aca="false">'Soğutma Yükü'!AB28</f>
        <v>99.583355</v>
      </c>
      <c r="F14" s="9" t="n">
        <f aca="false">'Soğutma Yükü'!AA28</f>
        <v>2.7385422625</v>
      </c>
      <c r="G14" s="29" t="s">
        <v>145</v>
      </c>
      <c r="H14" s="6" t="n">
        <v>1</v>
      </c>
      <c r="I14" s="8" t="n">
        <f aca="false">INDEX(Tablolar!$C$5:$C$10,MATCH(G14,Tablolar!$A$5:$A$10,0))</f>
        <v>2.8</v>
      </c>
      <c r="J14" s="8" t="n">
        <f aca="false">H14*I14</f>
        <v>2.8</v>
      </c>
      <c r="K14" s="4" t="str">
        <f aca="false">IF(J14&gt;=F14,"UYGUN","KAPASİTE ARTIR")</f>
        <v>UYGUN</v>
      </c>
      <c r="L14" s="8" t="n">
        <f aca="false">H14*INDEX(Tablolar!$D$5:$D$10,MATCH(G14,Tablolar!$A$5:$A$10,0))</f>
        <v>3.2</v>
      </c>
      <c r="M14" s="4" t="n">
        <f aca="false">INDEX(Tablolar!$E$5:$E$10,MATCH(G14,Tablolar!$A$5:$A$10,0))</f>
        <v>50</v>
      </c>
      <c r="N14" s="30" t="n">
        <f aca="false">H14*M14/1000</f>
        <v>0.05</v>
      </c>
      <c r="O14" s="5" t="s">
        <v>354</v>
      </c>
      <c r="P14" s="5" t="s">
        <v>104</v>
      </c>
    </row>
    <row r="15" customFormat="false" ht="15" hidden="false" customHeight="false" outlineLevel="0" collapsed="false">
      <c r="A15" s="5" t="s">
        <v>103</v>
      </c>
      <c r="B15" s="5" t="s">
        <v>309</v>
      </c>
      <c r="C15" s="5" t="s">
        <v>222</v>
      </c>
      <c r="D15" s="7" t="n">
        <v>24.15</v>
      </c>
      <c r="E15" s="28" t="n">
        <f aca="false">'Soğutma Yükü'!AB29</f>
        <v>167.973458850932</v>
      </c>
      <c r="F15" s="9" t="n">
        <f aca="false">'Soğutma Yükü'!AA29</f>
        <v>4.05655903125</v>
      </c>
      <c r="G15" s="29" t="s">
        <v>150</v>
      </c>
      <c r="H15" s="6" t="n">
        <v>1</v>
      </c>
      <c r="I15" s="8" t="n">
        <f aca="false">INDEX(Tablolar!$C$5:$C$10,MATCH(G15,Tablolar!$A$5:$A$10,0))</f>
        <v>4.5</v>
      </c>
      <c r="J15" s="8" t="n">
        <f aca="false">H15*I15</f>
        <v>4.5</v>
      </c>
      <c r="K15" s="4" t="str">
        <f aca="false">IF(J15&gt;=F15,"UYGUN","KAPASİTE ARTIR")</f>
        <v>UYGUN</v>
      </c>
      <c r="L15" s="8" t="n">
        <f aca="false">H15*INDEX(Tablolar!$D$5:$D$10,MATCH(G15,Tablolar!$A$5:$A$10,0))</f>
        <v>5</v>
      </c>
      <c r="M15" s="4" t="n">
        <f aca="false">INDEX(Tablolar!$E$5:$E$10,MATCH(G15,Tablolar!$A$5:$A$10,0))</f>
        <v>60</v>
      </c>
      <c r="N15" s="30" t="n">
        <f aca="false">H15*M15/1000</f>
        <v>0.06</v>
      </c>
      <c r="O15" s="5" t="s">
        <v>354</v>
      </c>
      <c r="P15" s="5" t="s">
        <v>104</v>
      </c>
    </row>
    <row r="16" customFormat="false" ht="15" hidden="false" customHeight="false" outlineLevel="0" collapsed="false">
      <c r="A16" s="5" t="s">
        <v>103</v>
      </c>
      <c r="B16" s="5" t="s">
        <v>311</v>
      </c>
      <c r="C16" s="5" t="s">
        <v>222</v>
      </c>
      <c r="D16" s="7" t="n">
        <v>21.8</v>
      </c>
      <c r="E16" s="28" t="n">
        <f aca="false">'Soğutma Yükü'!AB30</f>
        <v>174.725475917431</v>
      </c>
      <c r="F16" s="9" t="n">
        <f aca="false">'Soğutma Yükü'!AA30</f>
        <v>3.809015375</v>
      </c>
      <c r="G16" s="29" t="s">
        <v>150</v>
      </c>
      <c r="H16" s="6" t="n">
        <v>1</v>
      </c>
      <c r="I16" s="8" t="n">
        <f aca="false">INDEX(Tablolar!$C$5:$C$10,MATCH(G16,Tablolar!$A$5:$A$10,0))</f>
        <v>4.5</v>
      </c>
      <c r="J16" s="8" t="n">
        <f aca="false">H16*I16</f>
        <v>4.5</v>
      </c>
      <c r="K16" s="4" t="str">
        <f aca="false">IF(J16&gt;=F16,"UYGUN","KAPASİTE ARTIR")</f>
        <v>UYGUN</v>
      </c>
      <c r="L16" s="8" t="n">
        <f aca="false">H16*INDEX(Tablolar!$D$5:$D$10,MATCH(G16,Tablolar!$A$5:$A$10,0))</f>
        <v>5</v>
      </c>
      <c r="M16" s="4" t="n">
        <f aca="false">INDEX(Tablolar!$E$5:$E$10,MATCH(G16,Tablolar!$A$5:$A$10,0))</f>
        <v>60</v>
      </c>
      <c r="N16" s="30" t="n">
        <f aca="false">H16*M16/1000</f>
        <v>0.06</v>
      </c>
      <c r="O16" s="5" t="s">
        <v>354</v>
      </c>
      <c r="P16" s="5" t="s">
        <v>104</v>
      </c>
    </row>
    <row r="17" customFormat="false" ht="15" hidden="false" customHeight="false" outlineLevel="0" collapsed="false">
      <c r="A17" s="5" t="s">
        <v>103</v>
      </c>
      <c r="B17" s="5" t="s">
        <v>313</v>
      </c>
      <c r="C17" s="5" t="s">
        <v>222</v>
      </c>
      <c r="D17" s="7" t="n">
        <v>24</v>
      </c>
      <c r="E17" s="28" t="n">
        <f aca="false">'Soğutma Yükü'!AB31</f>
        <v>147.535666666667</v>
      </c>
      <c r="F17" s="9" t="n">
        <f aca="false">'Soğutma Yükü'!AA31</f>
        <v>3.540856</v>
      </c>
      <c r="G17" s="29" t="s">
        <v>147</v>
      </c>
      <c r="H17" s="6" t="n">
        <v>1</v>
      </c>
      <c r="I17" s="8" t="n">
        <f aca="false">INDEX(Tablolar!$C$5:$C$10,MATCH(G17,Tablolar!$A$5:$A$10,0))</f>
        <v>3.6</v>
      </c>
      <c r="J17" s="8" t="n">
        <f aca="false">H17*I17</f>
        <v>3.6</v>
      </c>
      <c r="K17" s="4" t="str">
        <f aca="false">IF(J17&gt;=F17,"UYGUN","KAPASİTE ARTIR")</f>
        <v>UYGUN</v>
      </c>
      <c r="L17" s="8" t="n">
        <f aca="false">H17*INDEX(Tablolar!$D$5:$D$10,MATCH(G17,Tablolar!$A$5:$A$10,0))</f>
        <v>4</v>
      </c>
      <c r="M17" s="4" t="n">
        <f aca="false">INDEX(Tablolar!$E$5:$E$10,MATCH(G17,Tablolar!$A$5:$A$10,0))</f>
        <v>60</v>
      </c>
      <c r="N17" s="30" t="n">
        <f aca="false">H17*M17/1000</f>
        <v>0.06</v>
      </c>
      <c r="O17" s="5" t="s">
        <v>354</v>
      </c>
      <c r="P17" s="5" t="s">
        <v>104</v>
      </c>
    </row>
    <row r="18" customFormat="false" ht="15" hidden="false" customHeight="false" outlineLevel="0" collapsed="false">
      <c r="A18" s="5" t="s">
        <v>103</v>
      </c>
      <c r="B18" s="5" t="s">
        <v>314</v>
      </c>
      <c r="C18" s="5" t="s">
        <v>222</v>
      </c>
      <c r="D18" s="7" t="n">
        <v>19.48</v>
      </c>
      <c r="E18" s="28" t="n">
        <f aca="false">'Soğutma Yükü'!AB32</f>
        <v>109.490722022587</v>
      </c>
      <c r="F18" s="9" t="n">
        <f aca="false">'Soğutma Yükü'!AA32</f>
        <v>2.132879265</v>
      </c>
      <c r="G18" s="29" t="s">
        <v>138</v>
      </c>
      <c r="H18" s="6" t="n">
        <v>1</v>
      </c>
      <c r="I18" s="8" t="n">
        <f aca="false">INDEX(Tablolar!$C$5:$C$10,MATCH(G18,Tablolar!$A$5:$A$10,0))</f>
        <v>2.2</v>
      </c>
      <c r="J18" s="8" t="n">
        <f aca="false">H18*I18</f>
        <v>2.2</v>
      </c>
      <c r="K18" s="4" t="str">
        <f aca="false">IF(J18&gt;=F18,"UYGUN","KAPASİTE ARTIR")</f>
        <v>UYGUN</v>
      </c>
      <c r="L18" s="8" t="n">
        <f aca="false">H18*INDEX(Tablolar!$D$5:$D$10,MATCH(G18,Tablolar!$A$5:$A$10,0))</f>
        <v>2.5</v>
      </c>
      <c r="M18" s="4" t="n">
        <f aca="false">INDEX(Tablolar!$E$5:$E$10,MATCH(G18,Tablolar!$A$5:$A$10,0))</f>
        <v>50</v>
      </c>
      <c r="N18" s="30" t="n">
        <f aca="false">H18*M18/1000</f>
        <v>0.05</v>
      </c>
      <c r="O18" s="5" t="s">
        <v>354</v>
      </c>
      <c r="P18" s="5" t="s">
        <v>104</v>
      </c>
    </row>
    <row r="19" customFormat="false" ht="15" hidden="false" customHeight="false" outlineLevel="0" collapsed="false">
      <c r="A19" s="5" t="s">
        <v>103</v>
      </c>
      <c r="B19" s="5" t="s">
        <v>315</v>
      </c>
      <c r="C19" s="5" t="s">
        <v>222</v>
      </c>
      <c r="D19" s="7" t="n">
        <v>24.53</v>
      </c>
      <c r="E19" s="28" t="n">
        <f aca="false">'Soğutma Yükü'!AB33</f>
        <v>145.160166479821</v>
      </c>
      <c r="F19" s="9" t="n">
        <f aca="false">'Soğutma Yükü'!AA33</f>
        <v>3.56077888375</v>
      </c>
      <c r="G19" s="29" t="s">
        <v>147</v>
      </c>
      <c r="H19" s="6" t="n">
        <v>1</v>
      </c>
      <c r="I19" s="8" t="n">
        <f aca="false">INDEX(Tablolar!$C$5:$C$10,MATCH(G19,Tablolar!$A$5:$A$10,0))</f>
        <v>3.6</v>
      </c>
      <c r="J19" s="8" t="n">
        <f aca="false">H19*I19</f>
        <v>3.6</v>
      </c>
      <c r="K19" s="4" t="str">
        <f aca="false">IF(J19&gt;=F19,"UYGUN","KAPASİTE ARTIR")</f>
        <v>UYGUN</v>
      </c>
      <c r="L19" s="8" t="n">
        <f aca="false">H19*INDEX(Tablolar!$D$5:$D$10,MATCH(G19,Tablolar!$A$5:$A$10,0))</f>
        <v>4</v>
      </c>
      <c r="M19" s="4" t="n">
        <f aca="false">INDEX(Tablolar!$E$5:$E$10,MATCH(G19,Tablolar!$A$5:$A$10,0))</f>
        <v>60</v>
      </c>
      <c r="N19" s="30" t="n">
        <f aca="false">H19*M19/1000</f>
        <v>0.06</v>
      </c>
      <c r="O19" s="5" t="s">
        <v>354</v>
      </c>
      <c r="P19" s="5" t="s">
        <v>104</v>
      </c>
    </row>
    <row r="20" customFormat="false" ht="15" hidden="false" customHeight="false" outlineLevel="0" collapsed="false">
      <c r="A20" s="5" t="s">
        <v>103</v>
      </c>
      <c r="B20" s="5" t="s">
        <v>196</v>
      </c>
      <c r="C20" s="5" t="s">
        <v>222</v>
      </c>
      <c r="D20" s="7" t="n">
        <v>39.9</v>
      </c>
      <c r="E20" s="28" t="n">
        <f aca="false">'Soğutma Yükü'!AB34</f>
        <v>135.125113095238</v>
      </c>
      <c r="F20" s="9" t="n">
        <f aca="false">'Soğutma Yükü'!AA34</f>
        <v>5.3914920125</v>
      </c>
      <c r="G20" s="29" t="s">
        <v>145</v>
      </c>
      <c r="H20" s="6" t="n">
        <v>2</v>
      </c>
      <c r="I20" s="8" t="n">
        <f aca="false">INDEX(Tablolar!$C$5:$C$10,MATCH(G20,Tablolar!$A$5:$A$10,0))</f>
        <v>2.8</v>
      </c>
      <c r="J20" s="8" t="n">
        <f aca="false">H20*I20</f>
        <v>5.6</v>
      </c>
      <c r="K20" s="4" t="str">
        <f aca="false">IF(J20&gt;=F20,"UYGUN","KAPASİTE ARTIR")</f>
        <v>UYGUN</v>
      </c>
      <c r="L20" s="8" t="n">
        <f aca="false">H20*INDEX(Tablolar!$D$5:$D$10,MATCH(G20,Tablolar!$A$5:$A$10,0))</f>
        <v>6.4</v>
      </c>
      <c r="M20" s="4" t="n">
        <f aca="false">INDEX(Tablolar!$E$5:$E$10,MATCH(G20,Tablolar!$A$5:$A$10,0))</f>
        <v>50</v>
      </c>
      <c r="N20" s="30" t="n">
        <f aca="false">H20*M20/1000</f>
        <v>0.1</v>
      </c>
      <c r="O20" s="5" t="s">
        <v>354</v>
      </c>
      <c r="P20" s="5" t="s">
        <v>104</v>
      </c>
    </row>
    <row r="21" customFormat="false" ht="15" hidden="false" customHeight="false" outlineLevel="0" collapsed="false">
      <c r="A21" s="5" t="s">
        <v>103</v>
      </c>
      <c r="B21" s="5" t="s">
        <v>318</v>
      </c>
      <c r="C21" s="5" t="s">
        <v>222</v>
      </c>
      <c r="D21" s="7" t="n">
        <v>39.65</v>
      </c>
      <c r="E21" s="28" t="n">
        <f aca="false">'Soğutma Yükü'!AB35</f>
        <v>142.448801860025</v>
      </c>
      <c r="F21" s="9" t="n">
        <f aca="false">'Soğutma Yükü'!AA35</f>
        <v>5.64809499375</v>
      </c>
      <c r="G21" s="29" t="s">
        <v>147</v>
      </c>
      <c r="H21" s="6" t="n">
        <v>2</v>
      </c>
      <c r="I21" s="8" t="n">
        <f aca="false">INDEX(Tablolar!$C$5:$C$10,MATCH(G21,Tablolar!$A$5:$A$10,0))</f>
        <v>3.6</v>
      </c>
      <c r="J21" s="8" t="n">
        <f aca="false">H21*I21</f>
        <v>7.2</v>
      </c>
      <c r="K21" s="4" t="str">
        <f aca="false">IF(J21&gt;=F21,"UYGUN","KAPASİTE ARTIR")</f>
        <v>UYGUN</v>
      </c>
      <c r="L21" s="8" t="n">
        <f aca="false">H21*INDEX(Tablolar!$D$5:$D$10,MATCH(G21,Tablolar!$A$5:$A$10,0))</f>
        <v>8</v>
      </c>
      <c r="M21" s="4" t="n">
        <f aca="false">INDEX(Tablolar!$E$5:$E$10,MATCH(G21,Tablolar!$A$5:$A$10,0))</f>
        <v>60</v>
      </c>
      <c r="N21" s="30" t="n">
        <f aca="false">H21*M21/1000</f>
        <v>0.12</v>
      </c>
      <c r="O21" s="5" t="s">
        <v>354</v>
      </c>
      <c r="P21" s="5" t="s">
        <v>104</v>
      </c>
    </row>
    <row r="22" customFormat="false" ht="15" hidden="false" customHeight="false" outlineLevel="0" collapsed="false">
      <c r="A22" s="5" t="s">
        <v>108</v>
      </c>
      <c r="B22" s="5" t="s">
        <v>320</v>
      </c>
      <c r="C22" s="5" t="s">
        <v>321</v>
      </c>
      <c r="D22" s="7" t="n">
        <v>24</v>
      </c>
      <c r="E22" s="28" t="n">
        <f aca="false">'Soğutma Yükü'!AB36</f>
        <v>143.692175</v>
      </c>
      <c r="F22" s="9" t="n">
        <f aca="false">'Soğutma Yükü'!AA36</f>
        <v>3.4486122</v>
      </c>
      <c r="G22" s="29" t="s">
        <v>147</v>
      </c>
      <c r="H22" s="6" t="n">
        <v>1</v>
      </c>
      <c r="I22" s="8" t="n">
        <f aca="false">INDEX(Tablolar!$C$5:$C$10,MATCH(G22,Tablolar!$A$5:$A$10,0))</f>
        <v>3.6</v>
      </c>
      <c r="J22" s="8" t="n">
        <f aca="false">H22*I22</f>
        <v>3.6</v>
      </c>
      <c r="K22" s="4" t="str">
        <f aca="false">IF(J22&gt;=F22,"UYGUN","KAPASİTE ARTIR")</f>
        <v>UYGUN</v>
      </c>
      <c r="L22" s="8" t="n">
        <f aca="false">H22*INDEX(Tablolar!$D$5:$D$10,MATCH(G22,Tablolar!$A$5:$A$10,0))</f>
        <v>4</v>
      </c>
      <c r="M22" s="4" t="n">
        <f aca="false">INDEX(Tablolar!$E$5:$E$10,MATCH(G22,Tablolar!$A$5:$A$10,0))</f>
        <v>60</v>
      </c>
      <c r="N22" s="30" t="n">
        <f aca="false">H22*M22/1000</f>
        <v>0.06</v>
      </c>
      <c r="O22" s="5" t="s">
        <v>355</v>
      </c>
      <c r="P22" s="5" t="s">
        <v>109</v>
      </c>
    </row>
    <row r="23" customFormat="false" ht="15" hidden="false" customHeight="false" outlineLevel="0" collapsed="false">
      <c r="A23" s="5" t="s">
        <v>108</v>
      </c>
      <c r="B23" s="5" t="s">
        <v>197</v>
      </c>
      <c r="C23" s="5" t="s">
        <v>322</v>
      </c>
      <c r="D23" s="7" t="n">
        <v>23.75</v>
      </c>
      <c r="E23" s="28" t="n">
        <f aca="false">'Soğutma Yükü'!AB37</f>
        <v>136.576483421053</v>
      </c>
      <c r="F23" s="9" t="n">
        <f aca="false">'Soğutma Yükü'!AA37</f>
        <v>3.24369148125</v>
      </c>
      <c r="G23" s="29" t="s">
        <v>147</v>
      </c>
      <c r="H23" s="6" t="n">
        <v>1</v>
      </c>
      <c r="I23" s="8" t="n">
        <f aca="false">INDEX(Tablolar!$C$5:$C$10,MATCH(G23,Tablolar!$A$5:$A$10,0))</f>
        <v>3.6</v>
      </c>
      <c r="J23" s="8" t="n">
        <f aca="false">H23*I23</f>
        <v>3.6</v>
      </c>
      <c r="K23" s="4" t="str">
        <f aca="false">IF(J23&gt;=F23,"UYGUN","KAPASİTE ARTIR")</f>
        <v>UYGUN</v>
      </c>
      <c r="L23" s="8" t="n">
        <f aca="false">H23*INDEX(Tablolar!$D$5:$D$10,MATCH(G23,Tablolar!$A$5:$A$10,0))</f>
        <v>4</v>
      </c>
      <c r="M23" s="4" t="n">
        <f aca="false">INDEX(Tablolar!$E$5:$E$10,MATCH(G23,Tablolar!$A$5:$A$10,0))</f>
        <v>60</v>
      </c>
      <c r="N23" s="30" t="n">
        <f aca="false">H23*M23/1000</f>
        <v>0.06</v>
      </c>
      <c r="O23" s="5" t="s">
        <v>355</v>
      </c>
      <c r="P23" s="5" t="s">
        <v>109</v>
      </c>
    </row>
    <row r="24" customFormat="false" ht="15" hidden="false" customHeight="false" outlineLevel="0" collapsed="false">
      <c r="A24" s="5" t="s">
        <v>108</v>
      </c>
      <c r="B24" s="5" t="s">
        <v>323</v>
      </c>
      <c r="C24" s="5" t="s">
        <v>324</v>
      </c>
      <c r="D24" s="7" t="n">
        <v>22.95</v>
      </c>
      <c r="E24" s="28" t="n">
        <f aca="false">'Soğutma Yükü'!AB38</f>
        <v>139.517454520697</v>
      </c>
      <c r="F24" s="9" t="n">
        <f aca="false">'Soğutma Yükü'!AA38</f>
        <v>3.20192558125</v>
      </c>
      <c r="G24" s="29" t="s">
        <v>147</v>
      </c>
      <c r="H24" s="6" t="n">
        <v>1</v>
      </c>
      <c r="I24" s="8" t="n">
        <f aca="false">INDEX(Tablolar!$C$5:$C$10,MATCH(G24,Tablolar!$A$5:$A$10,0))</f>
        <v>3.6</v>
      </c>
      <c r="J24" s="8" t="n">
        <f aca="false">H24*I24</f>
        <v>3.6</v>
      </c>
      <c r="K24" s="4" t="str">
        <f aca="false">IF(J24&gt;=F24,"UYGUN","KAPASİTE ARTIR")</f>
        <v>UYGUN</v>
      </c>
      <c r="L24" s="8" t="n">
        <f aca="false">H24*INDEX(Tablolar!$D$5:$D$10,MATCH(G24,Tablolar!$A$5:$A$10,0))</f>
        <v>4</v>
      </c>
      <c r="M24" s="4" t="n">
        <f aca="false">INDEX(Tablolar!$E$5:$E$10,MATCH(G24,Tablolar!$A$5:$A$10,0))</f>
        <v>60</v>
      </c>
      <c r="N24" s="30" t="n">
        <f aca="false">H24*M24/1000</f>
        <v>0.06</v>
      </c>
      <c r="O24" s="5" t="s">
        <v>355</v>
      </c>
      <c r="P24" s="5" t="s">
        <v>109</v>
      </c>
    </row>
    <row r="25" customFormat="false" ht="15" hidden="false" customHeight="false" outlineLevel="0" collapsed="false">
      <c r="A25" s="5" t="s">
        <v>108</v>
      </c>
      <c r="B25" s="5" t="s">
        <v>325</v>
      </c>
      <c r="C25" s="5" t="s">
        <v>326</v>
      </c>
      <c r="D25" s="7" t="n">
        <v>15.37</v>
      </c>
      <c r="E25" s="28" t="n">
        <f aca="false">'Soğutma Yükü'!AB39</f>
        <v>224.490008376708</v>
      </c>
      <c r="F25" s="9" t="n">
        <f aca="false">'Soğutma Yükü'!AA39</f>
        <v>3.45041142875</v>
      </c>
      <c r="G25" s="29" t="s">
        <v>147</v>
      </c>
      <c r="H25" s="6" t="n">
        <v>1</v>
      </c>
      <c r="I25" s="8" t="n">
        <f aca="false">INDEX(Tablolar!$C$5:$C$10,MATCH(G25,Tablolar!$A$5:$A$10,0))</f>
        <v>3.6</v>
      </c>
      <c r="J25" s="8" t="n">
        <f aca="false">H25*I25</f>
        <v>3.6</v>
      </c>
      <c r="K25" s="4" t="str">
        <f aca="false">IF(J25&gt;=F25,"UYGUN","KAPASİTE ARTIR")</f>
        <v>UYGUN</v>
      </c>
      <c r="L25" s="8" t="n">
        <f aca="false">H25*INDEX(Tablolar!$D$5:$D$10,MATCH(G25,Tablolar!$A$5:$A$10,0))</f>
        <v>4</v>
      </c>
      <c r="M25" s="4" t="n">
        <f aca="false">INDEX(Tablolar!$E$5:$E$10,MATCH(G25,Tablolar!$A$5:$A$10,0))</f>
        <v>60</v>
      </c>
      <c r="N25" s="30" t="n">
        <f aca="false">H25*M25/1000</f>
        <v>0.06</v>
      </c>
      <c r="O25" s="5" t="s">
        <v>355</v>
      </c>
      <c r="P25" s="5" t="s">
        <v>109</v>
      </c>
    </row>
    <row r="26" customFormat="false" ht="15" hidden="false" customHeight="false" outlineLevel="0" collapsed="false">
      <c r="A26" s="5" t="s">
        <v>108</v>
      </c>
      <c r="B26" s="5" t="s">
        <v>327</v>
      </c>
      <c r="C26" s="5" t="s">
        <v>328</v>
      </c>
      <c r="D26" s="7" t="n">
        <v>16.26</v>
      </c>
      <c r="E26" s="28" t="n">
        <f aca="false">'Soğutma Yükü'!AB40</f>
        <v>208.121787669127</v>
      </c>
      <c r="F26" s="9" t="n">
        <f aca="false">'Soğutma Yükü'!AA40</f>
        <v>3.3840602675</v>
      </c>
      <c r="G26" s="29" t="s">
        <v>147</v>
      </c>
      <c r="H26" s="6" t="n">
        <v>1</v>
      </c>
      <c r="I26" s="8" t="n">
        <f aca="false">INDEX(Tablolar!$C$5:$C$10,MATCH(G26,Tablolar!$A$5:$A$10,0))</f>
        <v>3.6</v>
      </c>
      <c r="J26" s="8" t="n">
        <f aca="false">H26*I26</f>
        <v>3.6</v>
      </c>
      <c r="K26" s="4" t="str">
        <f aca="false">IF(J26&gt;=F26,"UYGUN","KAPASİTE ARTIR")</f>
        <v>UYGUN</v>
      </c>
      <c r="L26" s="8" t="n">
        <f aca="false">H26*INDEX(Tablolar!$D$5:$D$10,MATCH(G26,Tablolar!$A$5:$A$10,0))</f>
        <v>4</v>
      </c>
      <c r="M26" s="4" t="n">
        <f aca="false">INDEX(Tablolar!$E$5:$E$10,MATCH(G26,Tablolar!$A$5:$A$10,0))</f>
        <v>60</v>
      </c>
      <c r="N26" s="30" t="n">
        <f aca="false">H26*M26/1000</f>
        <v>0.06</v>
      </c>
      <c r="O26" s="5" t="s">
        <v>355</v>
      </c>
      <c r="P26" s="5" t="s">
        <v>109</v>
      </c>
    </row>
    <row r="27" customFormat="false" ht="15" hidden="false" customHeight="false" outlineLevel="0" collapsed="false">
      <c r="A27" s="5" t="s">
        <v>108</v>
      </c>
      <c r="B27" s="5" t="s">
        <v>311</v>
      </c>
      <c r="C27" s="5" t="s">
        <v>222</v>
      </c>
      <c r="D27" s="7" t="n">
        <v>21.8</v>
      </c>
      <c r="E27" s="28" t="n">
        <f aca="false">'Soğutma Yükü'!AB41</f>
        <v>184.405475917431</v>
      </c>
      <c r="F27" s="9" t="n">
        <f aca="false">'Soğutma Yükü'!AA41</f>
        <v>4.020039375</v>
      </c>
      <c r="G27" s="29" t="s">
        <v>150</v>
      </c>
      <c r="H27" s="6" t="n">
        <v>1</v>
      </c>
      <c r="I27" s="8" t="n">
        <f aca="false">INDEX(Tablolar!$C$5:$C$10,MATCH(G27,Tablolar!$A$5:$A$10,0))</f>
        <v>4.5</v>
      </c>
      <c r="J27" s="8" t="n">
        <f aca="false">H27*I27</f>
        <v>4.5</v>
      </c>
      <c r="K27" s="4" t="str">
        <f aca="false">IF(J27&gt;=F27,"UYGUN","KAPASİTE ARTIR")</f>
        <v>UYGUN</v>
      </c>
      <c r="L27" s="8" t="n">
        <f aca="false">H27*INDEX(Tablolar!$D$5:$D$10,MATCH(G27,Tablolar!$A$5:$A$10,0))</f>
        <v>5</v>
      </c>
      <c r="M27" s="4" t="n">
        <f aca="false">INDEX(Tablolar!$E$5:$E$10,MATCH(G27,Tablolar!$A$5:$A$10,0))</f>
        <v>60</v>
      </c>
      <c r="N27" s="30" t="n">
        <f aca="false">H27*M27/1000</f>
        <v>0.06</v>
      </c>
      <c r="O27" s="5" t="s">
        <v>355</v>
      </c>
      <c r="P27" s="5" t="s">
        <v>109</v>
      </c>
    </row>
    <row r="28" customFormat="false" ht="15" hidden="false" customHeight="false" outlineLevel="0" collapsed="false">
      <c r="A28" s="5" t="s">
        <v>108</v>
      </c>
      <c r="B28" s="5" t="s">
        <v>313</v>
      </c>
      <c r="C28" s="5" t="s">
        <v>222</v>
      </c>
      <c r="D28" s="7" t="n">
        <v>24</v>
      </c>
      <c r="E28" s="28" t="n">
        <f aca="false">'Soğutma Yükü'!AB42</f>
        <v>157.215666666667</v>
      </c>
      <c r="F28" s="9" t="n">
        <f aca="false">'Soğutma Yükü'!AA42</f>
        <v>3.773176</v>
      </c>
      <c r="G28" s="29" t="s">
        <v>150</v>
      </c>
      <c r="H28" s="6" t="n">
        <v>1</v>
      </c>
      <c r="I28" s="8" t="n">
        <f aca="false">INDEX(Tablolar!$C$5:$C$10,MATCH(G28,Tablolar!$A$5:$A$10,0))</f>
        <v>4.5</v>
      </c>
      <c r="J28" s="8" t="n">
        <f aca="false">H28*I28</f>
        <v>4.5</v>
      </c>
      <c r="K28" s="4" t="str">
        <f aca="false">IF(J28&gt;=F28,"UYGUN","KAPASİTE ARTIR")</f>
        <v>UYGUN</v>
      </c>
      <c r="L28" s="8" t="n">
        <f aca="false">H28*INDEX(Tablolar!$D$5:$D$10,MATCH(G28,Tablolar!$A$5:$A$10,0))</f>
        <v>5</v>
      </c>
      <c r="M28" s="4" t="n">
        <f aca="false">INDEX(Tablolar!$E$5:$E$10,MATCH(G28,Tablolar!$A$5:$A$10,0))</f>
        <v>60</v>
      </c>
      <c r="N28" s="30" t="n">
        <f aca="false">H28*M28/1000</f>
        <v>0.06</v>
      </c>
      <c r="O28" s="5" t="s">
        <v>355</v>
      </c>
      <c r="P28" s="5" t="s">
        <v>109</v>
      </c>
    </row>
    <row r="29" customFormat="false" ht="15" hidden="false" customHeight="false" outlineLevel="0" collapsed="false">
      <c r="A29" s="5" t="s">
        <v>108</v>
      </c>
      <c r="B29" s="5" t="s">
        <v>314</v>
      </c>
      <c r="C29" s="5" t="s">
        <v>222</v>
      </c>
      <c r="D29" s="7" t="n">
        <v>18.48</v>
      </c>
      <c r="E29" s="28" t="n">
        <f aca="false">'Soğutma Yükü'!AB43</f>
        <v>123.173744047619</v>
      </c>
      <c r="F29" s="9" t="n">
        <f aca="false">'Soğutma Yükü'!AA43</f>
        <v>2.27625079</v>
      </c>
      <c r="G29" s="29" t="s">
        <v>145</v>
      </c>
      <c r="H29" s="6" t="n">
        <v>1</v>
      </c>
      <c r="I29" s="8" t="n">
        <f aca="false">INDEX(Tablolar!$C$5:$C$10,MATCH(G29,Tablolar!$A$5:$A$10,0))</f>
        <v>2.8</v>
      </c>
      <c r="J29" s="8" t="n">
        <f aca="false">H29*I29</f>
        <v>2.8</v>
      </c>
      <c r="K29" s="4" t="str">
        <f aca="false">IF(J29&gt;=F29,"UYGUN","KAPASİTE ARTIR")</f>
        <v>UYGUN</v>
      </c>
      <c r="L29" s="8" t="n">
        <f aca="false">H29*INDEX(Tablolar!$D$5:$D$10,MATCH(G29,Tablolar!$A$5:$A$10,0))</f>
        <v>3.2</v>
      </c>
      <c r="M29" s="4" t="n">
        <f aca="false">INDEX(Tablolar!$E$5:$E$10,MATCH(G29,Tablolar!$A$5:$A$10,0))</f>
        <v>50</v>
      </c>
      <c r="N29" s="30" t="n">
        <f aca="false">H29*M29/1000</f>
        <v>0.05</v>
      </c>
      <c r="O29" s="5" t="s">
        <v>355</v>
      </c>
      <c r="P29" s="5" t="s">
        <v>109</v>
      </c>
    </row>
    <row r="30" customFormat="false" ht="15" hidden="false" customHeight="false" outlineLevel="0" collapsed="false">
      <c r="A30" s="5" t="s">
        <v>108</v>
      </c>
      <c r="B30" s="5" t="s">
        <v>315</v>
      </c>
      <c r="C30" s="5" t="s">
        <v>222</v>
      </c>
      <c r="D30" s="7" t="n">
        <v>24.55</v>
      </c>
      <c r="E30" s="28" t="n">
        <f aca="false">'Soğutma Yükü'!AB44</f>
        <v>154.750842413442</v>
      </c>
      <c r="F30" s="9" t="n">
        <f aca="false">'Soğutma Yükü'!AA44</f>
        <v>3.79913318125</v>
      </c>
      <c r="G30" s="29" t="s">
        <v>150</v>
      </c>
      <c r="H30" s="6" t="n">
        <v>1</v>
      </c>
      <c r="I30" s="8" t="n">
        <f aca="false">INDEX(Tablolar!$C$5:$C$10,MATCH(G30,Tablolar!$A$5:$A$10,0))</f>
        <v>4.5</v>
      </c>
      <c r="J30" s="8" t="n">
        <f aca="false">H30*I30</f>
        <v>4.5</v>
      </c>
      <c r="K30" s="4" t="str">
        <f aca="false">IF(J30&gt;=F30,"UYGUN","KAPASİTE ARTIR")</f>
        <v>UYGUN</v>
      </c>
      <c r="L30" s="8" t="n">
        <f aca="false">H30*INDEX(Tablolar!$D$5:$D$10,MATCH(G30,Tablolar!$A$5:$A$10,0))</f>
        <v>5</v>
      </c>
      <c r="M30" s="4" t="n">
        <f aca="false">INDEX(Tablolar!$E$5:$E$10,MATCH(G30,Tablolar!$A$5:$A$10,0))</f>
        <v>60</v>
      </c>
      <c r="N30" s="30" t="n">
        <f aca="false">H30*M30/1000</f>
        <v>0.06</v>
      </c>
      <c r="O30" s="5" t="s">
        <v>355</v>
      </c>
      <c r="P30" s="5" t="s">
        <v>109</v>
      </c>
    </row>
    <row r="31" customFormat="false" ht="15" hidden="false" customHeight="false" outlineLevel="0" collapsed="false">
      <c r="A31" s="5" t="s">
        <v>108</v>
      </c>
      <c r="B31" s="5" t="s">
        <v>196</v>
      </c>
      <c r="C31" s="5" t="s">
        <v>330</v>
      </c>
      <c r="D31" s="7" t="n">
        <v>43.05</v>
      </c>
      <c r="E31" s="28" t="n">
        <f aca="false">'Soğutma Yükü'!AB45</f>
        <v>131.505908681765</v>
      </c>
      <c r="F31" s="9" t="n">
        <f aca="false">'Soğutma Yükü'!AA45</f>
        <v>5.66132936875</v>
      </c>
      <c r="G31" s="29" t="s">
        <v>147</v>
      </c>
      <c r="H31" s="6" t="n">
        <v>2</v>
      </c>
      <c r="I31" s="8" t="n">
        <f aca="false">INDEX(Tablolar!$C$5:$C$10,MATCH(G31,Tablolar!$A$5:$A$10,0))</f>
        <v>3.6</v>
      </c>
      <c r="J31" s="8" t="n">
        <f aca="false">H31*I31</f>
        <v>7.2</v>
      </c>
      <c r="K31" s="4" t="str">
        <f aca="false">IF(J31&gt;=F31,"UYGUN","KAPASİTE ARTIR")</f>
        <v>UYGUN</v>
      </c>
      <c r="L31" s="8" t="n">
        <f aca="false">H31*INDEX(Tablolar!$D$5:$D$10,MATCH(G31,Tablolar!$A$5:$A$10,0))</f>
        <v>8</v>
      </c>
      <c r="M31" s="4" t="n">
        <f aca="false">INDEX(Tablolar!$E$5:$E$10,MATCH(G31,Tablolar!$A$5:$A$10,0))</f>
        <v>60</v>
      </c>
      <c r="N31" s="30" t="n">
        <f aca="false">H31*M31/1000</f>
        <v>0.12</v>
      </c>
      <c r="O31" s="5" t="s">
        <v>355</v>
      </c>
      <c r="P31" s="5" t="s">
        <v>109</v>
      </c>
    </row>
    <row r="32" customFormat="false" ht="15" hidden="false" customHeight="false" outlineLevel="0" collapsed="false">
      <c r="A32" s="5" t="s">
        <v>108</v>
      </c>
      <c r="B32" s="5" t="s">
        <v>318</v>
      </c>
      <c r="C32" s="5" t="s">
        <v>232</v>
      </c>
      <c r="D32" s="7" t="n">
        <v>14.45</v>
      </c>
      <c r="E32" s="28" t="n">
        <f aca="false">'Soğutma Yükü'!AB46</f>
        <v>159.099684688581</v>
      </c>
      <c r="F32" s="9" t="n">
        <f aca="false">'Soğutma Yükü'!AA46</f>
        <v>2.29899044375</v>
      </c>
      <c r="G32" s="29" t="s">
        <v>145</v>
      </c>
      <c r="H32" s="6" t="n">
        <v>1</v>
      </c>
      <c r="I32" s="8" t="n">
        <f aca="false">INDEX(Tablolar!$C$5:$C$10,MATCH(G32,Tablolar!$A$5:$A$10,0))</f>
        <v>2.8</v>
      </c>
      <c r="J32" s="8" t="n">
        <f aca="false">H32*I32</f>
        <v>2.8</v>
      </c>
      <c r="K32" s="4" t="str">
        <f aca="false">IF(J32&gt;=F32,"UYGUN","KAPASİTE ARTIR")</f>
        <v>UYGUN</v>
      </c>
      <c r="L32" s="8" t="n">
        <f aca="false">H32*INDEX(Tablolar!$D$5:$D$10,MATCH(G32,Tablolar!$A$5:$A$10,0))</f>
        <v>3.2</v>
      </c>
      <c r="M32" s="4" t="n">
        <f aca="false">INDEX(Tablolar!$E$5:$E$10,MATCH(G32,Tablolar!$A$5:$A$10,0))</f>
        <v>50</v>
      </c>
      <c r="N32" s="30" t="n">
        <f aca="false">H32*M32/1000</f>
        <v>0.05</v>
      </c>
      <c r="O32" s="5" t="s">
        <v>355</v>
      </c>
      <c r="P32" s="5" t="s">
        <v>109</v>
      </c>
    </row>
    <row r="33" customFormat="false" ht="15" hidden="false" customHeight="false" outlineLevel="0" collapsed="false">
      <c r="A33" s="5" t="s">
        <v>108</v>
      </c>
      <c r="B33" s="5" t="s">
        <v>333</v>
      </c>
      <c r="C33" s="5" t="s">
        <v>334</v>
      </c>
      <c r="D33" s="7" t="n">
        <v>42.17</v>
      </c>
      <c r="E33" s="28" t="n">
        <f aca="false">'Soğutma Yükü'!AB47</f>
        <v>146.43387191724</v>
      </c>
      <c r="F33" s="9" t="n">
        <f aca="false">'Soğutma Yükü'!AA47</f>
        <v>6.17511637875</v>
      </c>
      <c r="G33" s="29" t="s">
        <v>147</v>
      </c>
      <c r="H33" s="6" t="n">
        <v>2</v>
      </c>
      <c r="I33" s="8" t="n">
        <f aca="false">INDEX(Tablolar!$C$5:$C$10,MATCH(G33,Tablolar!$A$5:$A$10,0))</f>
        <v>3.6</v>
      </c>
      <c r="J33" s="8" t="n">
        <f aca="false">H33*I33</f>
        <v>7.2</v>
      </c>
      <c r="K33" s="4" t="str">
        <f aca="false">IF(J33&gt;=F33,"UYGUN","KAPASİTE ARTIR")</f>
        <v>UYGUN</v>
      </c>
      <c r="L33" s="8" t="n">
        <f aca="false">H33*INDEX(Tablolar!$D$5:$D$10,MATCH(G33,Tablolar!$A$5:$A$10,0))</f>
        <v>8</v>
      </c>
      <c r="M33" s="4" t="n">
        <f aca="false">INDEX(Tablolar!$E$5:$E$10,MATCH(G33,Tablolar!$A$5:$A$10,0))</f>
        <v>60</v>
      </c>
      <c r="N33" s="30" t="n">
        <f aca="false">H33*M33/1000</f>
        <v>0.12</v>
      </c>
      <c r="O33" s="5" t="s">
        <v>355</v>
      </c>
      <c r="P33" s="5" t="s">
        <v>109</v>
      </c>
    </row>
    <row r="34" customFormat="false" ht="15" hidden="false" customHeight="false" outlineLevel="0" collapsed="false">
      <c r="A34" s="5" t="s">
        <v>108</v>
      </c>
      <c r="B34" s="5" t="s">
        <v>304</v>
      </c>
      <c r="C34" s="5" t="s">
        <v>321</v>
      </c>
      <c r="D34" s="7" t="n">
        <v>21.92</v>
      </c>
      <c r="E34" s="28" t="n">
        <f aca="false">'Soğutma Yükü'!AB48</f>
        <v>200.298739051095</v>
      </c>
      <c r="F34" s="9" t="n">
        <f aca="false">'Soğutma Yükü'!AA48</f>
        <v>4.39054836</v>
      </c>
      <c r="G34" s="29" t="s">
        <v>150</v>
      </c>
      <c r="H34" s="6" t="n">
        <v>1</v>
      </c>
      <c r="I34" s="8" t="n">
        <f aca="false">INDEX(Tablolar!$C$5:$C$10,MATCH(G34,Tablolar!$A$5:$A$10,0))</f>
        <v>4.5</v>
      </c>
      <c r="J34" s="8" t="n">
        <f aca="false">H34*I34</f>
        <v>4.5</v>
      </c>
      <c r="K34" s="4" t="str">
        <f aca="false">IF(J34&gt;=F34,"UYGUN","KAPASİTE ARTIR")</f>
        <v>UYGUN</v>
      </c>
      <c r="L34" s="8" t="n">
        <f aca="false">H34*INDEX(Tablolar!$D$5:$D$10,MATCH(G34,Tablolar!$A$5:$A$10,0))</f>
        <v>5</v>
      </c>
      <c r="M34" s="4" t="n">
        <f aca="false">INDEX(Tablolar!$E$5:$E$10,MATCH(G34,Tablolar!$A$5:$A$10,0))</f>
        <v>60</v>
      </c>
      <c r="N34" s="30" t="n">
        <f aca="false">H34*M34/1000</f>
        <v>0.06</v>
      </c>
      <c r="O34" s="5" t="s">
        <v>355</v>
      </c>
      <c r="P34" s="5" t="s">
        <v>109</v>
      </c>
    </row>
    <row r="35" customFormat="false" ht="15" hidden="false" customHeight="false" outlineLevel="0" collapsed="false">
      <c r="A35" s="13"/>
      <c r="B35" s="13"/>
      <c r="C35" s="14" t="s">
        <v>172</v>
      </c>
      <c r="D35" s="15" t="n">
        <f aca="false">SUM(D5:D34)</f>
        <v>763.04</v>
      </c>
      <c r="E35" s="13"/>
      <c r="F35" s="15" t="n">
        <f aca="false">SUM(F5:F34)</f>
        <v>112.09433092</v>
      </c>
      <c r="G35" s="13"/>
      <c r="H35" s="13" t="n">
        <f aca="false">SUM(H5:H34)</f>
        <v>37</v>
      </c>
      <c r="I35" s="13"/>
      <c r="J35" s="15" t="n">
        <f aca="false">SUM(J5:J34)</f>
        <v>128.2</v>
      </c>
      <c r="K35" s="13"/>
      <c r="L35" s="15" t="n">
        <f aca="false">SUM(L5:L34)</f>
        <v>143.8</v>
      </c>
      <c r="M35" s="13"/>
      <c r="N35" s="31" t="n">
        <f aca="false">SUM(N5:N34)</f>
        <v>2.074</v>
      </c>
      <c r="O35" s="13"/>
      <c r="P35" s="13"/>
    </row>
    <row r="37" customFormat="false" ht="15" hidden="false" customHeight="false" outlineLevel="0" collapsed="false">
      <c r="A37" s="16" t="s">
        <v>356</v>
      </c>
    </row>
    <row r="38" customFormat="false" ht="15" hidden="false" customHeight="false" outlineLevel="0" collapsed="false">
      <c r="A38" s="16" t="s">
        <v>357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16.15" hidden="false" customHeight="false" outlineLevel="0" collapsed="false">
      <c r="A1" s="1" t="s">
        <v>358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359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6" hidden="false" customHeight="true" outlineLevel="0" collapsed="false">
      <c r="A4" s="3" t="s">
        <v>4</v>
      </c>
      <c r="B4" s="3" t="s">
        <v>360</v>
      </c>
      <c r="C4" s="3" t="s">
        <v>361</v>
      </c>
      <c r="D4" s="3" t="s">
        <v>181</v>
      </c>
      <c r="E4" s="3" t="s">
        <v>362</v>
      </c>
      <c r="F4" s="3" t="s">
        <v>363</v>
      </c>
      <c r="G4" s="3" t="s">
        <v>364</v>
      </c>
      <c r="H4" s="3" t="s">
        <v>365</v>
      </c>
      <c r="I4" s="3" t="s">
        <v>366</v>
      </c>
      <c r="J4" s="3" t="s">
        <v>367</v>
      </c>
      <c r="K4" s="3" t="s">
        <v>368</v>
      </c>
    </row>
    <row r="5" customFormat="false" ht="15" hidden="false" customHeight="false" outlineLevel="0" collapsed="false">
      <c r="A5" s="5" t="s">
        <v>354</v>
      </c>
      <c r="B5" s="5" t="s">
        <v>127</v>
      </c>
      <c r="C5" s="6" t="n">
        <v>12</v>
      </c>
      <c r="D5" s="7" t="n">
        <v>33.5</v>
      </c>
      <c r="E5" s="7" t="n">
        <v>13.8</v>
      </c>
      <c r="F5" s="5" t="s">
        <v>369</v>
      </c>
      <c r="G5" s="5" t="s">
        <v>370</v>
      </c>
      <c r="H5" s="5" t="s">
        <v>371</v>
      </c>
      <c r="I5" s="8" t="n">
        <f aca="false">SUMIF('VRF İç Üniteler'!$O$5:$O$34,A5,'VRF İç Üniteler'!$J$5:$J$34)</f>
        <v>72.2</v>
      </c>
      <c r="J5" s="8" t="n">
        <f aca="false">SUMIF($A$5:$A$7,A5,$D$5:$D$7)</f>
        <v>67</v>
      </c>
      <c r="K5" s="32" t="n">
        <f aca="false">IF(J5=0,0,I5/J5)</f>
        <v>1.07761194029851</v>
      </c>
    </row>
    <row r="6" customFormat="false" ht="15" hidden="false" customHeight="false" outlineLevel="0" collapsed="false">
      <c r="A6" s="5" t="s">
        <v>354</v>
      </c>
      <c r="B6" s="5" t="s">
        <v>134</v>
      </c>
      <c r="C6" s="6" t="n">
        <v>12</v>
      </c>
      <c r="D6" s="7" t="n">
        <v>33.5</v>
      </c>
      <c r="E6" s="7" t="n">
        <v>13.8</v>
      </c>
      <c r="F6" s="5" t="s">
        <v>369</v>
      </c>
      <c r="G6" s="5" t="s">
        <v>370</v>
      </c>
      <c r="H6" s="5" t="s">
        <v>371</v>
      </c>
      <c r="I6" s="8" t="n">
        <f aca="false">SUMIF('VRF İç Üniteler'!$O$5:$O$34,A6,'VRF İç Üniteler'!$J$5:$J$34)</f>
        <v>72.2</v>
      </c>
      <c r="J6" s="8" t="n">
        <f aca="false">SUMIF($A$5:$A$7,A6,$D$5:$D$7)</f>
        <v>67</v>
      </c>
      <c r="K6" s="32" t="n">
        <f aca="false">IF(J6=0,0,I6/J6)</f>
        <v>1.07761194029851</v>
      </c>
    </row>
    <row r="7" customFormat="false" ht="15" hidden="false" customHeight="false" outlineLevel="0" collapsed="false">
      <c r="A7" s="5" t="s">
        <v>355</v>
      </c>
      <c r="B7" s="5" t="s">
        <v>135</v>
      </c>
      <c r="C7" s="6" t="n">
        <v>18</v>
      </c>
      <c r="D7" s="7" t="n">
        <v>50</v>
      </c>
      <c r="E7" s="7" t="n">
        <v>21</v>
      </c>
      <c r="F7" s="5" t="s">
        <v>369</v>
      </c>
      <c r="G7" s="5" t="s">
        <v>370</v>
      </c>
      <c r="H7" s="5" t="s">
        <v>372</v>
      </c>
      <c r="I7" s="8" t="n">
        <f aca="false">SUMIF('VRF İç Üniteler'!$O$5:$O$34,A7,'VRF İç Üniteler'!$J$5:$J$34)</f>
        <v>56</v>
      </c>
      <c r="J7" s="8" t="n">
        <f aca="false">SUMIF($A$5:$A$7,A7,$D$5:$D$7)</f>
        <v>50</v>
      </c>
      <c r="K7" s="32" t="n">
        <f aca="false">IF(J7=0,0,I7/J7)</f>
        <v>1.12</v>
      </c>
    </row>
    <row r="8" customFormat="false" ht="15" hidden="false" customHeight="false" outlineLevel="0" collapsed="false">
      <c r="A8" s="13"/>
      <c r="B8" s="14" t="s">
        <v>172</v>
      </c>
      <c r="C8" s="13" t="n">
        <f aca="false">SUM(C5:C7)</f>
        <v>42</v>
      </c>
      <c r="D8" s="15" t="n">
        <f aca="false">SUM(D5:D7)</f>
        <v>117</v>
      </c>
      <c r="E8" s="15" t="n">
        <f aca="false">SUM(E5:E7)</f>
        <v>48.6</v>
      </c>
      <c r="F8" s="13"/>
      <c r="G8" s="13"/>
      <c r="H8" s="13"/>
      <c r="I8" s="13"/>
      <c r="J8" s="13"/>
      <c r="K8" s="13"/>
    </row>
    <row r="10" customFormat="false" ht="15" hidden="false" customHeight="false" outlineLevel="0" collapsed="false">
      <c r="A10" s="16" t="s">
        <v>373</v>
      </c>
    </row>
    <row r="11" customFormat="false" ht="15" hidden="false" customHeight="false" outlineLevel="0" collapsed="false">
      <c r="A11" s="16" t="s">
        <v>374</v>
      </c>
    </row>
    <row r="12" customFormat="false" ht="15" hidden="false" customHeight="false" outlineLevel="0" collapsed="false">
      <c r="A12" s="16" t="s">
        <v>375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2026-10-07T07:24:56Z</dcterms:created>
  <dc:creator>openpyxl</dc:creator>
  <dc:description/>
  <dc:language>en-US</dc:language>
  <cp:lastModifiedBy/>
  <dcterms:modified xsi:type="dcterms:W3CDTF">2026-10-07T07:24:56Z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