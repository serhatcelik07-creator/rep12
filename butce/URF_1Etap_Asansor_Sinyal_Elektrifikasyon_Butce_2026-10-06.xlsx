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Varsayimlar" sheetId="2" state="visible" r:id="rId2"/>
    <sheet xmlns:r="http://schemas.openxmlformats.org/officeDocument/2006/relationships" name="Teklifler" sheetId="3" state="visible" r:id="rId3"/>
    <sheet xmlns:r="http://schemas.openxmlformats.org/officeDocument/2006/relationships" name="Asansor" sheetId="4" state="visible" r:id="rId4"/>
    <sheet xmlns:r="http://schemas.openxmlformats.org/officeDocument/2006/relationships" name="Sinyal" sheetId="5" state="visible" r:id="rId5"/>
    <sheet xmlns:r="http://schemas.openxmlformats.org/officeDocument/2006/relationships" name="Katener" sheetId="6" state="visible" r:id="rId6"/>
    <sheet xmlns:r="http://schemas.openxmlformats.org/officeDocument/2006/relationships" name="Cer_Guc" sheetId="7" state="visible" r:id="rId7"/>
    <sheet xmlns:r="http://schemas.openxmlformats.org/officeDocument/2006/relationships" name="Idare_Duzelt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;[Red]-#,##0"/>
    <numFmt numFmtId="166" formatCode="#,##0.##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5" borderId="1" pivotButton="0" quotePrefix="0" xfId="0"/>
    <xf numFmtId="0" fontId="0" fillId="5" borderId="1" pivotButton="0" quotePrefix="0" xfId="0"/>
    <xf numFmtId="165" fontId="3" fillId="5" borderId="1" pivotButton="0" quotePrefix="0" xfId="0"/>
    <xf numFmtId="0" fontId="3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3" fillId="4" borderId="1" pivotButton="0" quotePrefix="0" xfId="0"/>
    <xf numFmtId="165" fontId="3" fillId="4" borderId="1" pivotButton="0" quotePrefix="0" xfId="0"/>
    <xf numFmtId="166" fontId="0" fillId="0" borderId="1" pivotButton="0" quotePrefix="0" xfId="0"/>
    <xf numFmtId="4" fontId="0" fillId="3" borderId="1" pivotButton="0" quotePrefix="0" xfId="0"/>
    <xf numFmtId="165" fontId="0" fillId="5" borderId="1" pivotButton="0" quotePrefix="0" xfId="0"/>
    <xf numFmtId="166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9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  <col width="26" customWidth="1" min="10" max="10"/>
    <col width="60" customWidth="1" min="11" max="11"/>
  </cols>
  <sheetData>
    <row r="1">
      <c r="A1" s="1" t="inlineStr">
        <is>
          <t>ŞANLIURFA HRS 1. ETAP – ASANSÖR / SİNYALİZASYON / ELEKTRİFİKASYON BÜTÇE ÇALIŞMASI</t>
        </is>
      </c>
    </row>
    <row r="2" ht="36" customHeight="1">
      <c r="A2" s="2" t="inlineStr">
        <is>
          <t>İKN 2026/1327584 • Teklif sahibi: ÖZVER İNŞAAT A.Ş. • Hazırlayan: MEP Center • 06.10.2026 • EUR, KDV hariç, montaj+test+devreye alma dahil (taşeron fiyatı), Şanlıurfa şantiye teslim. Miktarlar RFQ cetvelleri + idare cevapları (05.10.2026) ile düzeltilmiştir.</t>
        </is>
      </c>
    </row>
    <row r="4" ht="45" customHeight="1">
      <c r="A4" s="3" t="inlineStr">
        <is>
          <t>Disiplin</t>
        </is>
      </c>
      <c r="B4" s="3" t="inlineStr">
        <is>
          <t>Cetvel sıraları</t>
        </is>
      </c>
      <c r="C4" s="3" t="inlineStr">
        <is>
          <t>Kalem bazlı bütçe (düzeltilmiş) EUR</t>
        </is>
      </c>
      <c r="D4" s="3" t="inlineStr">
        <is>
          <t>Risk payı %</t>
        </is>
      </c>
      <c r="E4" s="3" t="inlineStr">
        <is>
          <t>Önerilen bütçe EUR</t>
        </is>
      </c>
      <c r="F4" s="3" t="inlineStr">
        <is>
          <t>Önerilen bütçe USD</t>
        </is>
      </c>
      <c r="G4" s="3" t="inlineStr">
        <is>
          <t>Önerilen bütçe TL</t>
        </is>
      </c>
      <c r="H4" s="3" t="inlineStr">
        <is>
          <t>RFQ miktarlarıyla (düzeltmesiz) EUR</t>
        </is>
      </c>
      <c r="I4" s="3" t="inlineStr">
        <is>
          <t>Referans / teklif kıyası EUR</t>
        </is>
      </c>
      <c r="J4" s="3" t="inlineStr">
        <is>
          <t>Kıyas kaynağı</t>
        </is>
      </c>
      <c r="K4" s="3" t="inlineStr">
        <is>
          <t>Açıklama</t>
        </is>
      </c>
    </row>
    <row r="5">
      <c r="A5" s="4" t="inlineStr">
        <is>
          <t>Asansör</t>
        </is>
      </c>
      <c r="B5" s="4" t="inlineStr">
        <is>
          <t>364–365</t>
        </is>
      </c>
      <c r="C5" s="5">
        <f>'Asansor'!$H$13</f>
        <v/>
      </c>
      <c r="D5" s="6">
        <f>Varsayimlar!$B$14</f>
        <v/>
      </c>
      <c r="E5" s="5">
        <f>C5*(1+D5)</f>
        <v/>
      </c>
      <c r="F5" s="5">
        <f>E5*Varsayimlar!$B$4</f>
        <v/>
      </c>
      <c r="G5" s="5">
        <f>E5*Varsayimlar!$B$5</f>
        <v/>
      </c>
      <c r="H5" s="5">
        <f>'Asansor'!$H$14</f>
        <v/>
      </c>
      <c r="I5" s="5">
        <f>Teklifler!F5</f>
        <v/>
      </c>
      <c r="J5" s="4" t="inlineStr">
        <is>
          <t>En düşük teklif (TK Elevator)</t>
        </is>
      </c>
      <c r="K5" s="4" t="inlineStr">
        <is>
          <t>13 asansör; Schindler + TK ortalaması (bakım hariç). Ref. kalem bazlı 647.200 €</t>
        </is>
      </c>
    </row>
    <row r="6">
      <c r="A6" s="4" t="inlineStr">
        <is>
          <t>Sinyalizasyon + AVLS</t>
        </is>
      </c>
      <c r="B6" s="4" t="inlineStr">
        <is>
          <t>228–235</t>
        </is>
      </c>
      <c r="C6" s="5">
        <f>'Sinyal'!$H$102</f>
        <v/>
      </c>
      <c r="D6" s="6">
        <f>Varsayimlar!$B$15</f>
        <v/>
      </c>
      <c r="E6" s="5">
        <f>C6*(1+D6)</f>
        <v/>
      </c>
      <c r="F6" s="5">
        <f>E6*Varsayimlar!$B$4</f>
        <v/>
      </c>
      <c r="G6" s="5">
        <f>E6*Varsayimlar!$B$5</f>
        <v/>
      </c>
      <c r="H6" s="5">
        <f>'Sinyal'!$H$103</f>
        <v/>
      </c>
      <c r="I6" s="5">
        <f>Teklifler!F7</f>
        <v/>
      </c>
      <c r="J6" s="4" t="inlineStr">
        <is>
          <t>Sistem bazlı ref. (makas başı)</t>
        </is>
      </c>
      <c r="K6" s="4" t="inlineStr">
        <is>
          <t>Point Link/CASCO 7,28 M€ (DAP, gümrük hariç) aykırı – kıyas dışı</t>
        </is>
      </c>
    </row>
    <row r="7">
      <c r="A7" s="4" t="inlineStr">
        <is>
          <t>Elektrifikasyon – Katener</t>
        </is>
      </c>
      <c r="B7" s="4" t="inlineStr">
        <is>
          <t>220–226</t>
        </is>
      </c>
      <c r="C7" s="5">
        <f>'Katener'!$H$96</f>
        <v/>
      </c>
      <c r="D7" s="6">
        <f>Varsayimlar!$B$16</f>
        <v/>
      </c>
      <c r="E7" s="5">
        <f>C7*(1+D7)</f>
        <v/>
      </c>
      <c r="F7" s="5">
        <f>E7*Varsayimlar!$B$4</f>
        <v/>
      </c>
      <c r="G7" s="5">
        <f>E7*Varsayimlar!$B$5</f>
        <v/>
      </c>
      <c r="H7" s="5">
        <f>'Katener'!$H$97</f>
        <v/>
      </c>
      <c r="I7" s="5">
        <f>Teklifler!F9</f>
        <v/>
      </c>
      <c r="J7" s="4" t="inlineStr">
        <is>
          <t>Sistem bazlı ref. (km başı)</t>
        </is>
      </c>
      <c r="K7" s="4" t="inlineStr">
        <is>
          <t>Direk temelleri inşaat kapsamında; lente yok; depo direkleri cetvel direk kalemlerinde</t>
        </is>
      </c>
    </row>
    <row r="8">
      <c r="A8" s="4" t="inlineStr">
        <is>
          <t>Elektrifikasyon – Cer gücü / enerji temini</t>
        </is>
      </c>
      <c r="B8" s="4" t="inlineStr">
        <is>
          <t>169–179, 187–189, 197, 200–210, 219, 227 (+TM UPS)</t>
        </is>
      </c>
      <c r="C8" s="5">
        <f>'Cer_Guc'!$H$128</f>
        <v/>
      </c>
      <c r="D8" s="6">
        <f>Varsayimlar!$B$17</f>
        <v/>
      </c>
      <c r="E8" s="5">
        <f>C8*(1+D8)</f>
        <v/>
      </c>
      <c r="F8" s="5">
        <f>E8*Varsayimlar!$B$4</f>
        <v/>
      </c>
      <c r="G8" s="5">
        <f>E8*Varsayimlar!$B$5</f>
        <v/>
      </c>
      <c r="H8" s="5">
        <f>'Cer_Guc'!$H$129</f>
        <v/>
      </c>
      <c r="I8" s="5">
        <f>Teklifler!F11</f>
        <v/>
      </c>
      <c r="J8" s="4" t="inlineStr">
        <is>
          <t>Sistem bazlı ref. (5 TM; yalnız OG+trafo+DC)</t>
        </is>
      </c>
      <c r="K8" s="4" t="inlineStr">
        <is>
          <t>OG ring + TEİAŞ bağlantı kabloları (transe dahil), kompanzasyon, 5 cer TM, TM yardımcı sistemleri</t>
        </is>
      </c>
    </row>
    <row r="9">
      <c r="A9" s="7" t="inlineStr">
        <is>
          <t>TOPLAM</t>
        </is>
      </c>
      <c r="B9" s="8" t="n"/>
      <c r="C9" s="9">
        <f>SUM(C5:C8)</f>
        <v/>
      </c>
      <c r="D9" s="8" t="n"/>
      <c r="E9" s="9">
        <f>SUM(E5:E8)</f>
        <v/>
      </c>
      <c r="F9" s="9">
        <f>SUM(F5:F8)</f>
        <v/>
      </c>
      <c r="G9" s="9">
        <f>SUM(G5:G8)</f>
        <v/>
      </c>
      <c r="H9" s="9">
        <f>SUM(H5:H8)</f>
        <v/>
      </c>
      <c r="I9" s="9">
        <f>SUM(I5:I8)</f>
        <v/>
      </c>
      <c r="J9" s="8" t="n"/>
      <c r="K9" s="8" t="n"/>
    </row>
    <row r="10">
      <c r="A10" s="10" t="inlineStr">
        <is>
          <t xml:space="preserve">  Elektrifikasyon ara toplamı (Katener + Cer gücü)</t>
        </is>
      </c>
      <c r="C10" s="11">
        <f>C7+C8</f>
        <v/>
      </c>
      <c r="E10" s="11">
        <f>E7+E8</f>
        <v/>
      </c>
      <c r="F10" s="11">
        <f>F7+F8</f>
        <v/>
      </c>
      <c r="G10" s="11">
        <f>G7+G8</f>
        <v/>
      </c>
      <c r="H10" s="11">
        <f>H7+H8</f>
        <v/>
      </c>
    </row>
    <row r="12">
      <c r="A12" s="12" t="inlineStr">
        <is>
          <t>CETVEL SIRASI BAZINDA DÖKÜM (risk payı hariç, EUR)</t>
        </is>
      </c>
    </row>
    <row r="13">
      <c r="A13" s="13" t="inlineStr">
        <is>
          <t>Disiplin</t>
        </is>
      </c>
      <c r="B13" s="13" t="inlineStr">
        <is>
          <t>Sıra</t>
        </is>
      </c>
      <c r="C13" s="13" t="inlineStr">
        <is>
          <t>Kalem</t>
        </is>
      </c>
      <c r="D13" s="13" t="inlineStr">
        <is>
          <t>Tutar EUR</t>
        </is>
      </c>
    </row>
    <row r="14">
      <c r="A14" s="14" t="inlineStr">
        <is>
          <t>Asansör</t>
        </is>
      </c>
      <c r="B14" s="14" t="inlineStr">
        <is>
          <t>364</t>
        </is>
      </c>
      <c r="C14" s="14" t="inlineStr">
        <is>
          <t>2 Duraklı 13 Kişilik Asansör (12 adet – 4 üst geçit × 3)</t>
        </is>
      </c>
      <c r="D14" s="15">
        <f>'Asansor'!H5</f>
        <v/>
      </c>
    </row>
    <row r="15">
      <c r="A15" s="14" t="inlineStr">
        <is>
          <t>Asansör</t>
        </is>
      </c>
      <c r="B15" s="14" t="inlineStr">
        <is>
          <t>365</t>
        </is>
      </c>
      <c r="C15" s="14" t="inlineStr">
        <is>
          <t>2 Duraklı 10 Kişilik 800 kg Asansör (D01 idari bina)</t>
        </is>
      </c>
      <c r="D15" s="15">
        <f>'Asansor'!H10</f>
        <v/>
      </c>
    </row>
    <row r="16">
      <c r="A16" s="14" t="inlineStr">
        <is>
          <t>Sinyalizasyon + AVLS</t>
        </is>
      </c>
      <c r="B16" s="14" t="inlineStr">
        <is>
          <t>228</t>
        </is>
      </c>
      <c r="C16" s="14" t="inlineStr">
        <is>
          <t>Sinyalizasyon Sistemi Tasarımı</t>
        </is>
      </c>
      <c r="D16" s="15">
        <f>'Sinyal'!H5</f>
        <v/>
      </c>
    </row>
    <row r="17">
      <c r="A17" s="14" t="inlineStr">
        <is>
          <t>Sinyalizasyon + AVLS</t>
        </is>
      </c>
      <c r="B17" s="14" t="inlineStr">
        <is>
          <t>229</t>
        </is>
      </c>
      <c r="C17" s="14" t="inlineStr">
        <is>
          <t>Hat Boyu Sinyalizasyon Sistemi</t>
        </is>
      </c>
      <c r="D17" s="15">
        <f>'Sinyal'!H7</f>
        <v/>
      </c>
    </row>
    <row r="18">
      <c r="A18" s="14" t="inlineStr">
        <is>
          <t>Sinyalizasyon + AVLS</t>
        </is>
      </c>
      <c r="B18" s="14" t="inlineStr">
        <is>
          <t>230</t>
        </is>
      </c>
      <c r="C18" s="14" t="inlineStr">
        <is>
          <t>Depo Sahası ve Tesisleri Sinyalizasyon Sistemi</t>
        </is>
      </c>
      <c r="D18" s="15">
        <f>'Sinyal'!H47</f>
        <v/>
      </c>
    </row>
    <row r="19">
      <c r="A19" s="14" t="inlineStr">
        <is>
          <t>Sinyalizasyon + AVLS</t>
        </is>
      </c>
      <c r="B19" s="14" t="inlineStr">
        <is>
          <t>231</t>
        </is>
      </c>
      <c r="C19" s="14" t="inlineStr">
        <is>
          <t>Araç Üstü Sinyalizasyon Sistemi</t>
        </is>
      </c>
      <c r="D19" s="15">
        <f>'Sinyal'!H66</f>
        <v/>
      </c>
    </row>
    <row r="20">
      <c r="A20" s="14" t="inlineStr">
        <is>
          <t>Sinyalizasyon + AVLS</t>
        </is>
      </c>
      <c r="B20" s="14" t="inlineStr">
        <is>
          <t>232</t>
        </is>
      </c>
      <c r="C20" s="14" t="inlineStr">
        <is>
          <t>Sinyalizasyon Merkez Donanımı &amp; Sistem Yazılımları</t>
        </is>
      </c>
      <c r="D20" s="15">
        <f>'Sinyal'!H74</f>
        <v/>
      </c>
    </row>
    <row r="21">
      <c r="A21" s="14" t="inlineStr">
        <is>
          <t>Sinyalizasyon + AVLS</t>
        </is>
      </c>
      <c r="B21" s="14" t="inlineStr">
        <is>
          <t>233</t>
        </is>
      </c>
      <c r="C21" s="14" t="inlineStr">
        <is>
          <t>Araç Takip Sistemi (AVLS) – araç üstü ve saha</t>
        </is>
      </c>
      <c r="D21" s="15">
        <f>'Sinyal'!H88</f>
        <v/>
      </c>
    </row>
    <row r="22">
      <c r="A22" s="14" t="inlineStr">
        <is>
          <t>Sinyalizasyon + AVLS</t>
        </is>
      </c>
      <c r="B22" s="14" t="inlineStr">
        <is>
          <t>234</t>
        </is>
      </c>
      <c r="C22" s="14" t="inlineStr">
        <is>
          <t>Tramvay Araç Takip Sistemi Merkezi Donanımı ve Yazılımı</t>
        </is>
      </c>
      <c r="D22" s="15">
        <f>'Sinyal'!H97</f>
        <v/>
      </c>
    </row>
    <row r="23">
      <c r="A23" s="14" t="inlineStr">
        <is>
          <t>Sinyalizasyon + AVLS</t>
        </is>
      </c>
      <c r="B23" s="14" t="inlineStr">
        <is>
          <t>235</t>
        </is>
      </c>
      <c r="C23" s="14" t="inlineStr">
        <is>
          <t>Araç Takip Sistemi Tasarımı</t>
        </is>
      </c>
      <c r="D23" s="15">
        <f>'Sinyal'!H99</f>
        <v/>
      </c>
    </row>
    <row r="24">
      <c r="A24" s="14" t="inlineStr">
        <is>
          <t>Katener</t>
        </is>
      </c>
      <c r="B24" s="14" t="inlineStr">
        <is>
          <t>220</t>
        </is>
      </c>
      <c r="C24" s="14" t="inlineStr">
        <is>
          <t>Hat Boyu ve Depo Bağlantı Hatları Katener Sistemi</t>
        </is>
      </c>
      <c r="D24" s="15">
        <f>'Katener'!H5</f>
        <v/>
      </c>
    </row>
    <row r="25">
      <c r="A25" s="14" t="inlineStr">
        <is>
          <t>Katener</t>
        </is>
      </c>
      <c r="B25" s="14" t="inlineStr">
        <is>
          <t>221</t>
        </is>
      </c>
      <c r="C25" s="14" t="inlineStr">
        <is>
          <t>Depo Sahası ve Tesisleri Katener Sistemi</t>
        </is>
      </c>
      <c r="D25" s="15">
        <f>'Katener'!H42</f>
        <v/>
      </c>
    </row>
    <row r="26">
      <c r="A26" s="14" t="inlineStr">
        <is>
          <t>Katener</t>
        </is>
      </c>
      <c r="B26" s="14" t="inlineStr">
        <is>
          <t>222</t>
        </is>
      </c>
      <c r="C26" s="14" t="inlineStr">
        <is>
          <t>T1-A Tipi Katener Direği (114 adet)</t>
        </is>
      </c>
      <c r="D26" s="15">
        <f>'Katener'!H75</f>
        <v/>
      </c>
    </row>
    <row r="27">
      <c r="A27" s="14" t="inlineStr">
        <is>
          <t>Katener</t>
        </is>
      </c>
      <c r="B27" s="14" t="inlineStr">
        <is>
          <t>223</t>
        </is>
      </c>
      <c r="C27" s="14" t="inlineStr">
        <is>
          <t>T2-B Tipi Katener Direği (17 adet)</t>
        </is>
      </c>
      <c r="D27" s="15">
        <f>'Katener'!H79</f>
        <v/>
      </c>
    </row>
    <row r="28">
      <c r="A28" s="14" t="inlineStr">
        <is>
          <t>Katener</t>
        </is>
      </c>
      <c r="B28" s="14" t="inlineStr">
        <is>
          <t>224</t>
        </is>
      </c>
      <c r="C28" s="14" t="inlineStr">
        <is>
          <t>T2-B1 Tipi Katener Direği (4 adet)</t>
        </is>
      </c>
      <c r="D28" s="15">
        <f>'Katener'!H83</f>
        <v/>
      </c>
    </row>
    <row r="29">
      <c r="A29" s="14" t="inlineStr">
        <is>
          <t>Katener</t>
        </is>
      </c>
      <c r="B29" s="14" t="inlineStr">
        <is>
          <t>225</t>
        </is>
      </c>
      <c r="C29" s="14" t="inlineStr">
        <is>
          <t>T3-D Tipi Katener Direği (33 adet)</t>
        </is>
      </c>
      <c r="D29" s="15">
        <f>'Katener'!H87</f>
        <v/>
      </c>
    </row>
    <row r="30">
      <c r="A30" s="14" t="inlineStr">
        <is>
          <t>Katener</t>
        </is>
      </c>
      <c r="B30" s="14" t="inlineStr">
        <is>
          <t>226</t>
        </is>
      </c>
      <c r="C30" s="14" t="inlineStr">
        <is>
          <t>T3-C Tipi Katener Direği (60 adet)</t>
        </is>
      </c>
      <c r="D30" s="15">
        <f>'Katener'!H91</f>
        <v/>
      </c>
    </row>
    <row r="31">
      <c r="A31" s="14" t="inlineStr">
        <is>
          <t>Cer gücü</t>
        </is>
      </c>
      <c r="B31" s="14" t="inlineStr">
        <is>
          <t>169</t>
        </is>
      </c>
      <c r="C31" s="14" t="inlineStr">
        <is>
          <t>Güç Temini ve Cer Gücü Tasarımı</t>
        </is>
      </c>
      <c r="D31" s="15">
        <f>'Cer_Guc'!H5</f>
        <v/>
      </c>
    </row>
    <row r="32">
      <c r="A32" s="14" t="inlineStr">
        <is>
          <t>Cer gücü</t>
        </is>
      </c>
      <c r="B32" s="14" t="inlineStr">
        <is>
          <t>170</t>
        </is>
      </c>
      <c r="C32" s="14" t="inlineStr">
        <is>
          <t>OG Ring Şebekesi 3×1×240/25 mm² 20,3/35 kV Al XLPE</t>
        </is>
      </c>
      <c r="D32" s="15">
        <f>'Cer_Guc'!H8</f>
        <v/>
      </c>
    </row>
    <row r="33">
      <c r="A33" s="14" t="inlineStr">
        <is>
          <t>Cer gücü</t>
        </is>
      </c>
      <c r="B33" s="14" t="inlineStr">
        <is>
          <t>171</t>
        </is>
      </c>
      <c r="C33" s="14" t="inlineStr">
        <is>
          <t>TEİAŞ Bağlantısı 2×4×(1×400+35) mm² 20,3/35 kV – transe dahil</t>
        </is>
      </c>
      <c r="D33" s="15">
        <f>'Cer_Guc'!H16</f>
        <v/>
      </c>
    </row>
    <row r="34">
      <c r="A34" s="14" t="inlineStr">
        <is>
          <t>Cer gücü</t>
        </is>
      </c>
      <c r="B34" s="14" t="inlineStr">
        <is>
          <t>172</t>
        </is>
      </c>
      <c r="C34" s="14" t="inlineStr">
        <is>
          <t>Enerji Kalitesi ve Yönetimi Sistemi</t>
        </is>
      </c>
      <c r="D34" s="15">
        <f>'Cer_Guc'!H31</f>
        <v/>
      </c>
    </row>
    <row r="35">
      <c r="A35" s="14" t="inlineStr">
        <is>
          <t>Cer gücü</t>
        </is>
      </c>
      <c r="B35" s="14" t="inlineStr">
        <is>
          <t>173</t>
        </is>
      </c>
      <c r="C35" s="14" t="inlineStr">
        <is>
          <t>Ring Giriş/Çıkış 34,5 kV Şalt Panosu (12 hücre)</t>
        </is>
      </c>
      <c r="D35" s="15">
        <f>'Cer_Guc'!H43</f>
        <v/>
      </c>
    </row>
    <row r="36">
      <c r="A36" s="14" t="inlineStr">
        <is>
          <t>Cer gücü</t>
        </is>
      </c>
      <c r="B36" s="14" t="inlineStr">
        <is>
          <t>174</t>
        </is>
      </c>
      <c r="C36" s="14" t="inlineStr">
        <is>
          <t>Cer Trafo Besleme 34,5 kV Şalt Panosu (5 hücre)</t>
        </is>
      </c>
      <c r="D36" s="15">
        <f>'Cer_Guc'!H45</f>
        <v/>
      </c>
    </row>
    <row r="37">
      <c r="A37" s="14" t="inlineStr">
        <is>
          <t>Cer gücü</t>
        </is>
      </c>
      <c r="B37" s="14" t="inlineStr">
        <is>
          <t>175</t>
        </is>
      </c>
      <c r="C37" s="14" t="inlineStr">
        <is>
          <t>İç İhtiyaç Trafo Besleme 34,5 kV Şalt Panosu (6 hücre)</t>
        </is>
      </c>
      <c r="D37" s="15">
        <f>'Cer_Guc'!H49</f>
        <v/>
      </c>
    </row>
    <row r="38">
      <c r="A38" s="14" t="inlineStr">
        <is>
          <t>Cer gücü</t>
        </is>
      </c>
      <c r="B38" s="14" t="inlineStr">
        <is>
          <t>176</t>
        </is>
      </c>
      <c r="C38" s="14" t="inlineStr">
        <is>
          <t>Ölçü 34,5 kV Şalt Panosu</t>
        </is>
      </c>
      <c r="D38" s="15">
        <f>'Cer_Guc'!H53</f>
        <v/>
      </c>
    </row>
    <row r="39">
      <c r="A39" s="14" t="inlineStr">
        <is>
          <t>Cer gücü</t>
        </is>
      </c>
      <c r="B39" s="14" t="inlineStr">
        <is>
          <t>177</t>
        </is>
      </c>
      <c r="C39" s="14" t="inlineStr">
        <is>
          <t>TEİAŞ Giriş 34,5 kV Şalt Panosu (mevcut TM-4'te fider ilavesi)</t>
        </is>
      </c>
      <c r="D39" s="15">
        <f>'Cer_Guc'!H57</f>
        <v/>
      </c>
    </row>
    <row r="40">
      <c r="A40" s="14" t="inlineStr">
        <is>
          <t>Cer gücü</t>
        </is>
      </c>
      <c r="B40" s="14" t="inlineStr">
        <is>
          <t>178</t>
        </is>
      </c>
      <c r="C40" s="14" t="inlineStr">
        <is>
          <t>Hat TM İç İhtiyaç Trafosu 250 kVA (4 adet)</t>
        </is>
      </c>
      <c r="D40" s="15">
        <f>'Cer_Guc'!H59</f>
        <v/>
      </c>
    </row>
    <row r="41">
      <c r="A41" s="14" t="inlineStr">
        <is>
          <t>Cer gücü</t>
        </is>
      </c>
      <c r="B41" s="14" t="inlineStr">
        <is>
          <t>179</t>
        </is>
      </c>
      <c r="C41" s="14" t="inlineStr">
        <is>
          <t>Depo TM İç İhtiyaç Trafosu 2000 kVA (2 adet)</t>
        </is>
      </c>
      <c r="D41" s="15">
        <f>'Cer_Guc'!H61</f>
        <v/>
      </c>
    </row>
    <row r="42">
      <c r="A42" s="14" t="inlineStr">
        <is>
          <t>Cer gücü</t>
        </is>
      </c>
      <c r="B42" s="14" t="inlineStr">
        <is>
          <t>187</t>
        </is>
      </c>
      <c r="C42" s="14" t="inlineStr">
        <is>
          <t>Hat Trafo Binaları AG Ana Dağıtım Panoları (4 set)</t>
        </is>
      </c>
      <c r="D42" s="15">
        <f>'Cer_Guc'!H63</f>
        <v/>
      </c>
    </row>
    <row r="43">
      <c r="A43" s="14" t="inlineStr">
        <is>
          <t>Cer gücü</t>
        </is>
      </c>
      <c r="B43" s="14" t="inlineStr">
        <is>
          <t>188</t>
        </is>
      </c>
      <c r="C43" s="14" t="inlineStr">
        <is>
          <t>Hat TM Cer Merkezi – 1×2,75 MVA (4 adet)</t>
        </is>
      </c>
      <c r="D43" s="15">
        <f>'Cer_Guc'!H65</f>
        <v/>
      </c>
    </row>
    <row r="44">
      <c r="A44" s="14" t="inlineStr">
        <is>
          <t>Cer gücü</t>
        </is>
      </c>
      <c r="B44" s="14" t="inlineStr">
        <is>
          <t>189</t>
        </is>
      </c>
      <c r="C44" s="14" t="inlineStr">
        <is>
          <t>Depo TM Cer Merkezi – 1×2,75 MVA (1 adet)</t>
        </is>
      </c>
      <c r="D44" s="15">
        <f>'Cer_Guc'!H83</f>
        <v/>
      </c>
    </row>
    <row r="45">
      <c r="A45" s="14" t="inlineStr">
        <is>
          <t>Cer gücü</t>
        </is>
      </c>
      <c r="B45" s="14" t="inlineStr">
        <is>
          <t>197</t>
        </is>
      </c>
      <c r="C45" s="14" t="inlineStr">
        <is>
          <t>Hat Trafo Binaları Topraklama Tesisatı (4 set)</t>
        </is>
      </c>
      <c r="D45" s="15">
        <f>'Cer_Guc'!H101</f>
        <v/>
      </c>
    </row>
    <row r="46">
      <c r="A46" s="14" t="inlineStr">
        <is>
          <t>Cer gücü</t>
        </is>
      </c>
      <c r="B46" s="14" t="inlineStr">
        <is>
          <t>200</t>
        </is>
      </c>
      <c r="C46" s="14" t="inlineStr">
        <is>
          <t>Hat TM 110 V DC Akü-Şarj (4 set)</t>
        </is>
      </c>
      <c r="D46" s="15">
        <f>'Cer_Guc'!H107</f>
        <v/>
      </c>
    </row>
    <row r="47">
      <c r="A47" s="14" t="inlineStr">
        <is>
          <t>Cer gücü</t>
        </is>
      </c>
      <c r="B47" s="14" t="inlineStr">
        <is>
          <t>201</t>
        </is>
      </c>
      <c r="C47" s="14" t="inlineStr">
        <is>
          <t>Depo TM 110 V DC Akü-Şarj (1 set)</t>
        </is>
      </c>
      <c r="D47" s="15">
        <f>'Cer_Guc'!H109</f>
        <v/>
      </c>
    </row>
    <row r="48">
      <c r="A48" s="14" t="inlineStr">
        <is>
          <t>Cer gücü</t>
        </is>
      </c>
      <c r="B48" s="14" t="inlineStr">
        <is>
          <t>202-208</t>
        </is>
      </c>
      <c r="C48" s="14" t="inlineStr">
        <is>
          <t>İstasyon (6) ve Depo Kaçak Akım İzleme / Korozyon Kontrolü</t>
        </is>
      </c>
      <c r="D48" s="15">
        <f>'Cer_Guc'!H111</f>
        <v/>
      </c>
    </row>
    <row r="49">
      <c r="A49" s="14" t="inlineStr">
        <is>
          <t>Cer gücü</t>
        </is>
      </c>
      <c r="B49" s="14" t="inlineStr">
        <is>
          <t>209</t>
        </is>
      </c>
      <c r="C49" s="14" t="inlineStr">
        <is>
          <t>Hat TM Kaçak Akım İzleme (4 set)</t>
        </is>
      </c>
      <c r="D49" s="15">
        <f>'Cer_Guc'!H114</f>
        <v/>
      </c>
    </row>
    <row r="50">
      <c r="A50" s="14" t="inlineStr">
        <is>
          <t>Cer gücü</t>
        </is>
      </c>
      <c r="B50" s="14" t="inlineStr">
        <is>
          <t>210</t>
        </is>
      </c>
      <c r="C50" s="14" t="inlineStr">
        <is>
          <t>Hatboyu ve Üst Geçit Kaçak Akım İzleme / Korozyon Kontrolü</t>
        </is>
      </c>
      <c r="D50" s="15">
        <f>'Cer_Guc'!H117</f>
        <v/>
      </c>
    </row>
    <row r="51">
      <c r="A51" s="14" t="inlineStr">
        <is>
          <t>Cer gücü</t>
        </is>
      </c>
      <c r="B51" s="14" t="inlineStr">
        <is>
          <t>219</t>
        </is>
      </c>
      <c r="C51" s="14" t="inlineStr">
        <is>
          <t>Hat Trafo Binaları AG Kabloları ve Kablo Taşıma (4 set)</t>
        </is>
      </c>
      <c r="D51" s="15">
        <f>'Cer_Guc'!H119</f>
        <v/>
      </c>
    </row>
    <row r="52">
      <c r="A52" s="14" t="inlineStr">
        <is>
          <t>Cer gücü</t>
        </is>
      </c>
      <c r="B52" s="14" t="inlineStr">
        <is>
          <t>227</t>
        </is>
      </c>
      <c r="C52" s="14" t="inlineStr">
        <is>
          <t>Depo Trafo Binası Busbar (kablo bağlantısı)</t>
        </is>
      </c>
      <c r="D52" s="15">
        <f>'Cer_Guc'!H122</f>
        <v/>
      </c>
    </row>
    <row r="53">
      <c r="A53" s="14" t="inlineStr">
        <is>
          <t>Cer gücü</t>
        </is>
      </c>
      <c r="B53" s="14" t="inlineStr">
        <is>
          <t>329/331</t>
        </is>
      </c>
      <c r="C53" s="14" t="inlineStr">
        <is>
          <t>Trafo Merkezi UPS'leri (AG tesisat setlerinden ayrıştırıldı)</t>
        </is>
      </c>
      <c r="D53" s="15">
        <f>'Cer_Guc'!H124</f>
        <v/>
      </c>
    </row>
    <row r="56" ht="15" customHeight="1">
      <c r="A56" s="16" t="inlineStr">
        <is>
          <t>NOTLAR</t>
        </is>
      </c>
    </row>
    <row r="57" ht="32" customHeight="1">
      <c r="A57" s="2" t="inlineStr">
        <is>
          <t>1. Kalem bazlı bütçe: RFQ cetvellerindeki alt kalemler × birim fiyat. Birim fiyat önceliği: 2026 teklifi &gt; geçmiş teklif referansı (EM_Butce_Tahmini, HICP ile Ağu-2026'ya taşınmış, tramvay/LRT öncelikli) &gt; mühendislik tahmini. Her satırda kaynak yazılıdır.</t>
        </is>
      </c>
    </row>
    <row r="58" ht="32" customHeight="1">
      <c r="A58" s="2" t="inlineStr">
        <is>
          <t>2. İdare cevaplarına göre düzeltmeler Idare_Duzeltme sayfasında; değişen miktarlar disiplin sayfalarında turuncu işaretlidir. 'RFQ miktarlarıyla' sütunu aynı birim fiyatlarla düzeltmesiz tutarı gösterir.</t>
        </is>
      </c>
    </row>
    <row r="59" ht="32" customHeight="1">
      <c r="A59" s="2" t="inlineStr">
        <is>
          <t>3. Risk payı, eksik teklif ve öngörü miktarları için Varsayımlar sayfasından değiştirilebilir. Önerilen bütçe = kalem bazlı × (1 + risk payı).</t>
        </is>
      </c>
    </row>
    <row r="60" ht="32" customHeight="1">
      <c r="A60" s="2" t="inlineStr">
        <is>
          <t>4. Kapsam dışı (bu çalışmada yok): istasyon/depo AG panoları ve tesisatı, aydınlatma, yangın ihbar, haberleşme/SCADA (TM RTU dahil), katener direk temelleri ve depo ekipmanları (inşaat/yüklenici). Asansör kuyusu ve yürüyen merdiven yok.</t>
        </is>
      </c>
    </row>
    <row r="61" ht="32" customHeight="1">
      <c r="A61" s="2" t="inlineStr">
        <is>
          <t>5. Sinyalizasyonda ayrı proje yoktur; miktarlar şematik paftalardan öngörülmüştür. Point Link/CASCO teklifi (7.281.784 € DAP, gümrük ve KDV hariç) kalem dökümü alınana kadar yalnız üst sınır göstergesidir.</t>
        </is>
      </c>
    </row>
    <row r="62" ht="32" customHeight="1">
      <c r="A62" s="2" t="inlineStr">
        <is>
          <t>6. Kur: EUR/USD ve EUR/TRY Varsayımlar sayfasındadır (Eylül 2026 sonu piyasa değerleri); teklif günü kuruyla güncellenmelidir.</t>
        </is>
      </c>
    </row>
    <row r="63" ht="32" customHeight="1">
      <c r="A63" s="2" t="inlineStr">
        <is>
          <t>7. Gelen yeni teklifler (Mitaş, Erbakır, DeSA, Best Transformer, Contirail vb.) ilgili satırın birim fiyatına yazılarak bütçe güncellenebilir.</t>
        </is>
      </c>
    </row>
  </sheetData>
  <mergeCells count="9">
    <mergeCell ref="A61:K61"/>
    <mergeCell ref="A58:K58"/>
    <mergeCell ref="A62:K62"/>
    <mergeCell ref="A59:K59"/>
    <mergeCell ref="A57:K57"/>
    <mergeCell ref="A2:K2"/>
    <mergeCell ref="A63:K63"/>
    <mergeCell ref="A60:K60"/>
    <mergeCell ref="A56:K5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zoomScale="9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95" customWidth="1" min="3" max="3"/>
  </cols>
  <sheetData>
    <row r="1">
      <c r="A1" s="12" t="inlineStr">
        <is>
          <t>VARSAYIMLAR (sarı hücreler değiştirilebilir; tüm sayfalar formülle bağlıdır)</t>
        </is>
      </c>
    </row>
    <row r="3">
      <c r="A3" s="13" t="inlineStr">
        <is>
          <t>Parametre</t>
        </is>
      </c>
      <c r="B3" s="13" t="inlineStr">
        <is>
          <t>Değer</t>
        </is>
      </c>
      <c r="C3" s="13" t="inlineStr">
        <is>
          <t>Kaynak / açıklama</t>
        </is>
      </c>
    </row>
    <row r="4">
      <c r="A4" s="14" t="inlineStr">
        <is>
          <t>EUR/USD kuru</t>
        </is>
      </c>
      <c r="B4" s="17" t="n">
        <v>1.146</v>
      </c>
      <c r="C4" s="14" t="inlineStr">
        <is>
          <t>21.09.2026 piyasa kapanışı (USD/EUR 0,8723). Teklif günü TCMB/ECB kuru ile güncelleyin.</t>
        </is>
      </c>
    </row>
    <row r="5">
      <c r="A5" s="14" t="inlineStr">
        <is>
          <t>EUR/TRY kuru</t>
        </is>
      </c>
      <c r="B5" s="17" t="n">
        <v>56.1</v>
      </c>
      <c r="C5" s="14" t="inlineStr">
        <is>
          <t>20.09.2026 TCMB efektif satış ~56,11. Teklif günü kuru ile güncelleyin.</t>
        </is>
      </c>
    </row>
    <row r="6">
      <c r="A6" s="14" t="inlineStr">
        <is>
          <t>Hat uzunluğu – RFQ kabulü (km)</t>
        </is>
      </c>
      <c r="B6" s="17" t="n">
        <v>6.56</v>
      </c>
      <c r="C6" s="14" t="inlineStr">
        <is>
          <t>Katener şartnamesi; RFQ cetvellerinde kullanıldı</t>
        </is>
      </c>
    </row>
    <row r="7">
      <c r="A7" s="14" t="inlineStr">
        <is>
          <t>Hat uzunluğu – idare cevabı (km)</t>
        </is>
      </c>
      <c r="B7" s="17" t="n">
        <v>6.44</v>
      </c>
      <c r="C7" s="14" t="inlineStr">
        <is>
          <t>İdare cevabı 05.10.2026, soru 18</t>
        </is>
      </c>
    </row>
    <row r="8">
      <c r="A8" s="14" t="inlineStr">
        <is>
          <t>Hat boyu uzunluk düzeltme oranı</t>
        </is>
      </c>
      <c r="B8" s="18">
        <f>B6/B5</f>
        <v/>
      </c>
      <c r="C8" s="14" t="inlineStr">
        <is>
          <t>Hat boyu iletken/kablo uzunluklarına uygulanır</t>
        </is>
      </c>
    </row>
    <row r="9">
      <c r="A9" s="14" t="inlineStr">
        <is>
          <t>Araç sayısı – RFQ kabulü</t>
        </is>
      </c>
      <c r="B9" s="17" t="n">
        <v>15</v>
      </c>
      <c r="C9" s="14" t="inlineStr">
        <is>
          <t>Sinyal RFQ kabul 5</t>
        </is>
      </c>
    </row>
    <row r="10">
      <c r="A10" s="14" t="inlineStr">
        <is>
          <t>Araç sayısı – idare cevabı</t>
        </is>
      </c>
      <c r="B10" s="17" t="n">
        <v>14</v>
      </c>
      <c r="C10" s="14" t="inlineStr">
        <is>
          <t>İdare cevabı soru 2 (araçlar ayrı ihale; arayüz yüklenicide)</t>
        </is>
      </c>
    </row>
    <row r="11">
      <c r="A11" s="14" t="inlineStr">
        <is>
          <t>OG ring güzergahı – RFQ (m)</t>
        </is>
      </c>
      <c r="B11" s="17" t="n">
        <v>7000</v>
      </c>
      <c r="C11" s="14" t="inlineStr">
        <is>
          <t>Sıra 170 RFQ</t>
        </is>
      </c>
    </row>
    <row r="12">
      <c r="A12" s="14" t="inlineStr">
        <is>
          <t>OG ring güzergahı – idare cevabı (m)</t>
        </is>
      </c>
      <c r="B12" s="17" t="n">
        <v>7964</v>
      </c>
      <c r="C12" s="14" t="inlineStr">
        <is>
          <t>İdare cevabı soru 21 (tüm kesitler)</t>
        </is>
      </c>
    </row>
    <row r="13">
      <c r="A13" s="14" t="inlineStr">
        <is>
          <t>Galvanizli katener direği çeliği, imalat+galvaniz+dikim (EUR/kg)</t>
        </is>
      </c>
      <c r="B13" s="17" t="n">
        <v>2.2</v>
      </c>
      <c r="C13" s="14" t="inlineStr">
        <is>
          <t>Referans medyanı 1,80 €/kg (2013–2016 tramvay) + yerli üretim/montaj payı; Mitaş teklifi gelince güncelleyin</t>
        </is>
      </c>
    </row>
    <row r="14">
      <c r="A14" s="14" t="inlineStr">
        <is>
          <t>Risk/belirsizlik payı – Asansör</t>
        </is>
      </c>
      <c r="B14" s="19" t="n">
        <v>0.05</v>
      </c>
      <c r="C14" s="14" t="inlineStr">
        <is>
          <t>2 firma teklifi var, kapsam net</t>
        </is>
      </c>
    </row>
    <row r="15">
      <c r="A15" s="14" t="inlineStr">
        <is>
          <t>Risk/belirsizlik payı – Sinyalizasyon + AVLS</t>
        </is>
      </c>
      <c r="B15" s="19" t="n">
        <v>0.15</v>
      </c>
      <c r="C15" s="14" t="inlineStr">
        <is>
          <t>Ayrı sinyal projesi yok; miktarlar öngörü ağırlıklı; tek teklif (Point Link) aykırı</t>
        </is>
      </c>
    </row>
    <row r="16">
      <c r="A16" s="14" t="inlineStr">
        <is>
          <t>Risk/belirsizlik payı – Katener</t>
        </is>
      </c>
      <c r="B16" s="19" t="n">
        <v>0.1</v>
      </c>
      <c r="C16" s="14" t="inlineStr">
        <is>
          <t>Proje var; fiyatlar referans + tahmin</t>
        </is>
      </c>
    </row>
    <row r="17">
      <c r="A17" s="14" t="inlineStr">
        <is>
          <t>Risk/belirsizlik payı – Cer gücü / enerji temini</t>
        </is>
      </c>
      <c r="B17" s="19" t="n">
        <v>0.1</v>
      </c>
      <c r="C17" s="14" t="inlineStr">
        <is>
          <t>Proje var; teklif yok (Best Transformer, Alfanar bütçe bekleniyor)</t>
        </is>
      </c>
    </row>
    <row r="18">
      <c r="A18" s="14" t="inlineStr">
        <is>
          <t>Fiyat esası</t>
        </is>
      </c>
      <c r="B18" s="14" t="inlineStr">
        <is>
          <t>EUR, Ekim 2026, KDV hariç, Şanlıurfa şantiye teslim, montaj+test+devreye alma dahil (taşeron fiyatı)</t>
        </is>
      </c>
      <c r="C18" s="14" t="inlineStr"/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5" customWidth="1" min="4" max="4"/>
    <col width="10" customWidth="1" min="5" max="5"/>
    <col width="15" customWidth="1" min="6" max="6"/>
    <col width="14" customWidth="1" min="7" max="7"/>
    <col width="14" customWidth="1" min="8" max="8"/>
    <col width="48" customWidth="1" min="9" max="9"/>
  </cols>
  <sheetData>
    <row r="1">
      <c r="A1" s="12" t="inlineStr">
        <is>
          <t>GELEN TEKLİFLER VE REFERANS KIYASLAR (06.10.2026 itibarıyla)</t>
        </is>
      </c>
    </row>
    <row r="3">
      <c r="A3" s="3" t="inlineStr">
        <is>
          <t>Disiplin</t>
        </is>
      </c>
      <c r="B3" s="3" t="inlineStr">
        <is>
          <t>Firma</t>
        </is>
      </c>
      <c r="C3" s="3" t="inlineStr">
        <is>
          <t>Kapsam / not</t>
        </is>
      </c>
      <c r="D3" s="3" t="inlineStr">
        <is>
          <t>Tutar (orijinal)</t>
        </is>
      </c>
      <c r="E3" s="3" t="inlineStr">
        <is>
          <t>Para birimi</t>
        </is>
      </c>
      <c r="F3" s="3" t="inlineStr">
        <is>
          <t>Tutar (EUR)</t>
        </is>
      </c>
      <c r="G3" s="3" t="inlineStr">
        <is>
          <t>Birim fiyat (EUR) 1000 kg</t>
        </is>
      </c>
      <c r="H3" s="3" t="inlineStr">
        <is>
          <t>Birim fiyat (EUR) 800 kg</t>
        </is>
      </c>
      <c r="I3" s="3" t="inlineStr">
        <is>
          <t>Değerlendirme</t>
        </is>
      </c>
    </row>
    <row r="4">
      <c r="A4" s="4" t="inlineStr">
        <is>
          <t>Asansör</t>
        </is>
      </c>
      <c r="B4" s="4" t="inlineStr">
        <is>
          <t>Schindler (Mert Can Oğlakkaya)</t>
        </is>
      </c>
      <c r="C4" s="4" t="inlineStr">
        <is>
          <t>12 × 37.000 USD (işçilik dahil) + 1 × 800 kg 36.000 USD; bakım hariç</t>
        </is>
      </c>
      <c r="D4" s="5" t="n">
        <v>480000</v>
      </c>
      <c r="E4" s="4" t="inlineStr">
        <is>
          <t>USD</t>
        </is>
      </c>
      <c r="F4" s="5">
        <f>D4/Varsayimlar!$B$4</f>
        <v/>
      </c>
      <c r="G4" s="5">
        <f>37000/Varsayimlar!$B$4</f>
        <v/>
      </c>
      <c r="H4" s="5">
        <f>36000/Varsayimlar!$B$4</f>
        <v/>
      </c>
      <c r="I4" s="4" t="inlineStr">
        <is>
          <t>Şartnameye uygun kabul; bütçede kullanıldı</t>
        </is>
      </c>
    </row>
    <row r="5">
      <c r="A5" s="4" t="inlineStr">
        <is>
          <t>Asansör</t>
        </is>
      </c>
      <c r="B5" s="4" t="inlineStr">
        <is>
          <t>TK Elevator (Betül Okay)</t>
        </is>
      </c>
      <c r="C5" s="4" t="inlineStr">
        <is>
          <t>12 × (24.000 malzeme + 8.000 işçilik) + 1 × 30.200; anti-vandal CAT-2</t>
        </is>
      </c>
      <c r="D5" s="5" t="n">
        <v>414200</v>
      </c>
      <c r="E5" s="4" t="inlineStr">
        <is>
          <t>EUR</t>
        </is>
      </c>
      <c r="F5" s="5">
        <f>D5</f>
        <v/>
      </c>
      <c r="G5" s="5" t="n">
        <v>32000</v>
      </c>
      <c r="H5" s="5" t="n">
        <v>30200</v>
      </c>
      <c r="I5" s="4" t="inlineStr">
        <is>
          <t>Şartnameye uygun kabul; bütçede kullanıldı</t>
        </is>
      </c>
    </row>
    <row r="6">
      <c r="A6" s="4" t="inlineStr">
        <is>
          <t>Sinyalizasyon + AVLS</t>
        </is>
      </c>
      <c r="B6" s="4" t="inlineStr">
        <is>
          <t>Point Link / CASCO (Çin)</t>
        </is>
      </c>
      <c r="C6" s="4" t="inlineStr">
        <is>
          <t>Sıra 228–235; DAP şantiye; KDV ve gümrük hariç; AI asistan imzalı yanıt</t>
        </is>
      </c>
      <c r="D6" s="5" t="n">
        <v>7281784</v>
      </c>
      <c r="E6" s="4" t="inlineStr">
        <is>
          <t>EUR</t>
        </is>
      </c>
      <c r="F6" s="5">
        <f>D6</f>
        <v/>
      </c>
      <c r="G6" s="5" t="n"/>
      <c r="H6" s="5" t="n"/>
      <c r="I6" s="4" t="inlineStr">
        <is>
          <t>Referanslara göre ~2,3 kat yüksek; kalem dökümü alınmadan bütçeye esas alınmadı (üst sınır kıyası)</t>
        </is>
      </c>
    </row>
    <row r="7">
      <c r="A7" s="4" t="inlineStr">
        <is>
          <t>Sinyalizasyon</t>
        </is>
      </c>
      <c r="B7" s="4" t="inlineStr">
        <is>
          <t>Referans – sistem bazlı (makas başı)</t>
        </is>
      </c>
      <c r="C7" s="4" t="inlineStr">
        <is>
          <t>İzmir tramvay H&amp;K 64.862 €/makas, Eminönü Elektroline 46.638 €/makas; ort. 55.750 €/makas × 56</t>
        </is>
      </c>
      <c r="D7" s="5" t="n">
        <v>3121990</v>
      </c>
      <c r="E7" s="4" t="inlineStr">
        <is>
          <t>EUR</t>
        </is>
      </c>
      <c r="F7" s="5">
        <f>D7</f>
        <v/>
      </c>
      <c r="G7" s="5" t="n"/>
      <c r="H7" s="5" t="n"/>
      <c r="I7" s="4" t="inlineStr">
        <is>
          <t>EM_Butce_Tahmini Sistem sayfası (EUR Ağu-2026)</t>
        </is>
      </c>
    </row>
    <row r="8">
      <c r="A8" s="4" t="inlineStr">
        <is>
          <t>Sinyalizasyon</t>
        </is>
      </c>
      <c r="B8" s="4" t="inlineStr">
        <is>
          <t>Referans – kalem bazlı (fiyatı bulunan 5/8 ana kalem)</t>
        </is>
      </c>
      <c r="C8" s="4" t="inlineStr">
        <is>
          <t>228, 229, 230, 231, 234 sıraları; 232, 233, 235 fiyatsız</t>
        </is>
      </c>
      <c r="D8" s="5" t="n">
        <v>1802246</v>
      </c>
      <c r="E8" s="4" t="inlineStr">
        <is>
          <t>EUR</t>
        </is>
      </c>
      <c r="F8" s="5">
        <f>D8</f>
        <v/>
      </c>
      <c r="G8" s="5" t="n"/>
      <c r="H8" s="5" t="n"/>
      <c r="I8" s="4" t="inlineStr">
        <is>
          <t>EM_Butce_Tahmini Ozet sayfası</t>
        </is>
      </c>
    </row>
    <row r="9">
      <c r="A9" s="4" t="inlineStr">
        <is>
          <t>Katener</t>
        </is>
      </c>
      <c r="B9" s="4" t="inlineStr">
        <is>
          <t>Referans – sistem bazlı (hat-km başı)</t>
        </is>
      </c>
      <c r="C9" s="4" t="inlineStr">
        <is>
          <t>İzmir (Usluel, Siemens), Samsun (Usluel, BBR) ort. 356.767 €/km × 6,56 km</t>
        </is>
      </c>
      <c r="D9" s="5" t="n">
        <v>2340390</v>
      </c>
      <c r="E9" s="4" t="inlineStr">
        <is>
          <t>EUR</t>
        </is>
      </c>
      <c r="F9" s="5">
        <f>D9</f>
        <v/>
      </c>
      <c r="G9" s="5" t="n"/>
      <c r="H9" s="5" t="n"/>
      <c r="I9" s="4" t="inlineStr">
        <is>
          <t>EM_Butce_Tahmini Sistem sayfası</t>
        </is>
      </c>
    </row>
    <row r="10">
      <c r="A10" s="4" t="inlineStr">
        <is>
          <t>Katener</t>
        </is>
      </c>
      <c r="B10" s="4" t="inlineStr">
        <is>
          <t>Referans – kalem bazlı (6/7 ana kalem)</t>
        </is>
      </c>
      <c r="C10" s="4" t="inlineStr">
        <is>
          <t>220 için konsol, iletken, gergi; 221 kısmi; direkler kg bazlı</t>
        </is>
      </c>
      <c r="D10" s="5" t="n">
        <v>2590010</v>
      </c>
      <c r="E10" s="4" t="inlineStr">
        <is>
          <t>EUR</t>
        </is>
      </c>
      <c r="F10" s="5">
        <f>D10</f>
        <v/>
      </c>
      <c r="G10" s="5" t="n"/>
      <c r="H10" s="5" t="n"/>
      <c r="I10" s="4" t="inlineStr">
        <is>
          <t>EM_Butce_Tahmini Ozet sayfası</t>
        </is>
      </c>
    </row>
    <row r="11">
      <c r="A11" s="4" t="inlineStr">
        <is>
          <t>Cer gücü</t>
        </is>
      </c>
      <c r="B11" s="4" t="inlineStr">
        <is>
          <t>Referans – sistem bazlı (TM başı)</t>
        </is>
      </c>
      <c r="C11" s="4" t="inlineStr">
        <is>
          <t>İzmir Siemens, Bursa Haluk/MET, Kocaeli; ort. 672.038 €/TM × 5 (OG+trafo+redresör+DC; kablo hariç)</t>
        </is>
      </c>
      <c r="D11" s="5" t="n">
        <v>3360189</v>
      </c>
      <c r="E11" s="4" t="inlineStr">
        <is>
          <t>EUR</t>
        </is>
      </c>
      <c r="F11" s="5">
        <f>D11</f>
        <v/>
      </c>
      <c r="G11" s="5" t="n"/>
      <c r="H11" s="5" t="n"/>
      <c r="I11" s="4" t="inlineStr">
        <is>
          <t>EM_Butce_Tahmini Sistem sayfası</t>
        </is>
      </c>
    </row>
    <row r="12">
      <c r="A12" s="4" t="inlineStr">
        <is>
          <t>Asansör</t>
        </is>
      </c>
      <c r="B12" s="4" t="inlineStr">
        <is>
          <t>Referans – kalem bazlı (metro/tramvay asansör referansları medyanı)</t>
        </is>
      </c>
      <c r="C12" s="4" t="inlineStr">
        <is>
          <t>1000 kg medyan 50.992 €, 800 kg 35.293 €</t>
        </is>
      </c>
      <c r="D12" s="5" t="n">
        <v>647200</v>
      </c>
      <c r="E12" s="4" t="inlineStr">
        <is>
          <t>EUR</t>
        </is>
      </c>
      <c r="F12" s="5">
        <f>D12</f>
        <v/>
      </c>
      <c r="G12" s="5" t="n">
        <v>50992</v>
      </c>
      <c r="H12" s="5" t="n">
        <v>35293</v>
      </c>
      <c r="I12" s="4" t="inlineStr">
        <is>
          <t>Metro referansları ağırlıklı; teklifler daha düşük</t>
        </is>
      </c>
    </row>
    <row r="14" ht="45" customHeight="1">
      <c r="A14" s="2" t="inlineStr">
        <is>
          <t>Bekleyen / bütçe fiyatı istenen: Edoux, Adakon-Orona (asansör); Contirail/Mukan Rail (AVLS), Hanning &amp; Kahl, Pintsch, INIT, Frauscher (sinyal); Mitaş, DeSA/Arthur Flury, Erbakır, Kambeton, La Farga, Galland, Revenga (katener); Best Transformer, Alfanar, Savronik, Alstom, Met-Eng, Tema (enerji).</t>
        </is>
      </c>
    </row>
  </sheetData>
  <mergeCells count="1">
    <mergeCell ref="A14:I14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0" customWidth="1" min="3" max="3"/>
    <col width="8" customWidth="1" min="4" max="4"/>
    <col width="13" customWidth="1" min="5" max="5"/>
    <col width="15" customWidth="1" min="6" max="6"/>
    <col width="15" customWidth="1" min="7" max="7"/>
    <col width="15" customWidth="1" min="8" max="8"/>
    <col width="34" customWidth="1" min="9" max="9"/>
    <col width="48" customWidth="1" min="10" max="10"/>
  </cols>
  <sheetData>
    <row r="1">
      <c r="A1" s="12" t="inlineStr">
        <is>
          <t>ASANSÖR – Sıra 364–365 (13 asansör)</t>
        </is>
      </c>
    </row>
    <row r="2" ht="42" customHeight="1">
      <c r="A2" s="2" t="inlineStr">
        <is>
          <t>Birim fiyatlar EUR, KDV hariç, montaj+test+devreye alma dahil. Sarı: değiştirilebilir. Turuncu miktar: idare cevabı (05.10.2026) ile RFQ'dan farklılaşan kalem. Kaynak kodları: REF = EM_Butce_Tahmini referans BF (geçmiş teklifler, HICP ile Ağu-2026); TEKLİF = 2026 firma teklifi; TAHMİN = mühendislik tahmini (referans yok).</t>
        </is>
      </c>
    </row>
    <row r="4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(RFQ)</t>
        </is>
      </c>
      <c r="F4" s="3" t="inlineStr">
        <is>
          <t>Miktar (idare cevabına göre)</t>
        </is>
      </c>
      <c r="G4" s="3" t="inlineStr">
        <is>
          <t>Birim fiyat EUR (montaj dahil)</t>
        </is>
      </c>
      <c r="H4" s="3" t="inlineStr">
        <is>
          <t>Tutar EUR</t>
        </is>
      </c>
      <c r="I4" s="3" t="inlineStr">
        <is>
          <t>Fiyat kaynağı</t>
        </is>
      </c>
      <c r="J4" s="3" t="inlineStr">
        <is>
          <t>Düzeltme / not</t>
        </is>
      </c>
    </row>
    <row r="5">
      <c r="A5" s="20" t="inlineStr">
        <is>
          <t>364</t>
        </is>
      </c>
      <c r="B5" s="20" t="inlineStr">
        <is>
          <t>5010.A</t>
        </is>
      </c>
      <c r="C5" s="20" t="inlineStr">
        <is>
          <t>2 Duraklı 13 Kişilik Asansör (12 adet – 4 üst geçit × 3)</t>
        </is>
      </c>
      <c r="D5" s="20" t="n"/>
      <c r="E5" s="20" t="inlineStr">
        <is>
          <t>RFQ tutarı →</t>
        </is>
      </c>
      <c r="F5" s="21">
        <f>SUMPRODUCT(E6:E9,G6:G9)</f>
        <v/>
      </c>
      <c r="G5" s="20" t="n"/>
      <c r="H5" s="21">
        <f>SUM(H6:H9)</f>
        <v/>
      </c>
      <c r="I5" s="20" t="n"/>
      <c r="J5" s="20" t="n"/>
    </row>
    <row r="6">
      <c r="A6" s="14" t="n"/>
      <c r="B6" s="14" t="inlineStr">
        <is>
          <t>5010.A</t>
        </is>
      </c>
      <c r="C6" s="4" t="inlineStr">
        <is>
          <t>Asansör 1000 kg, 2 durak, MRL dişlisiz, VVVF, 1 m/s, cam+paslanmaz kabin – S09 Hızmalı Köprüsü</t>
        </is>
      </c>
      <c r="D6" s="14" t="inlineStr">
        <is>
          <t>adet</t>
        </is>
      </c>
      <c r="E6" s="22" t="n">
        <v>3</v>
      </c>
      <c r="F6" s="22" t="n">
        <v>3</v>
      </c>
      <c r="G6" s="23">
        <f>AVERAGE(Teklifler!$G$4,Teklifler!$G$5)</f>
        <v/>
      </c>
      <c r="H6" s="15">
        <f>F6*G6</f>
        <v/>
      </c>
      <c r="I6" s="4" t="inlineStr">
        <is>
          <t>TEKLİF ort. (Schindler, TK Elevator)</t>
        </is>
      </c>
      <c r="J6" s="4" t="inlineStr">
        <is>
          <t>Bakım hariç; yeşil etiket, eğitim dahil</t>
        </is>
      </c>
    </row>
    <row r="7">
      <c r="A7" s="14" t="n"/>
      <c r="B7" s="14" t="inlineStr">
        <is>
          <t>5010.A</t>
        </is>
      </c>
      <c r="C7" s="4" t="inlineStr">
        <is>
          <t>Asansör 1000 kg – S10 Balıklıgöl</t>
        </is>
      </c>
      <c r="D7" s="14" t="inlineStr">
        <is>
          <t>adet</t>
        </is>
      </c>
      <c r="E7" s="22" t="n">
        <v>3</v>
      </c>
      <c r="F7" s="22" t="n">
        <v>3</v>
      </c>
      <c r="G7" s="23">
        <f>AVERAGE(Teklifler!$G$4,Teklifler!$G$5)</f>
        <v/>
      </c>
      <c r="H7" s="15">
        <f>F7*G7</f>
        <v/>
      </c>
      <c r="I7" s="4" t="inlineStr">
        <is>
          <t>TEKLİF ort.</t>
        </is>
      </c>
      <c r="J7" s="4" t="inlineStr"/>
    </row>
    <row r="8">
      <c r="A8" s="14" t="n"/>
      <c r="B8" s="14" t="inlineStr">
        <is>
          <t>5010.A</t>
        </is>
      </c>
      <c r="C8" s="4" t="inlineStr">
        <is>
          <t>Asansör 1000 kg – S11 Eyyüp Peygamber</t>
        </is>
      </c>
      <c r="D8" s="14" t="inlineStr">
        <is>
          <t>adet</t>
        </is>
      </c>
      <c r="E8" s="22" t="n">
        <v>3</v>
      </c>
      <c r="F8" s="22" t="n">
        <v>3</v>
      </c>
      <c r="G8" s="23">
        <f>AVERAGE(Teklifler!$G$4,Teklifler!$G$5)</f>
        <v/>
      </c>
      <c r="H8" s="15">
        <f>F8*G8</f>
        <v/>
      </c>
      <c r="I8" s="4" t="inlineStr">
        <is>
          <t>TEKLİF ort.</t>
        </is>
      </c>
      <c r="J8" s="4" t="inlineStr"/>
    </row>
    <row r="9">
      <c r="A9" s="14" t="n"/>
      <c r="B9" s="14" t="inlineStr">
        <is>
          <t>5010.A</t>
        </is>
      </c>
      <c r="C9" s="4" t="inlineStr">
        <is>
          <t>Asansör 1000 kg – S12 Rasathane</t>
        </is>
      </c>
      <c r="D9" s="14" t="inlineStr">
        <is>
          <t>adet</t>
        </is>
      </c>
      <c r="E9" s="22" t="n">
        <v>3</v>
      </c>
      <c r="F9" s="22" t="n">
        <v>3</v>
      </c>
      <c r="G9" s="23">
        <f>AVERAGE(Teklifler!$G$4,Teklifler!$G$5)</f>
        <v/>
      </c>
      <c r="H9" s="15">
        <f>F9*G9</f>
        <v/>
      </c>
      <c r="I9" s="4" t="inlineStr">
        <is>
          <t>TEKLİF ort.</t>
        </is>
      </c>
      <c r="J9" s="4" t="inlineStr"/>
    </row>
    <row r="10">
      <c r="A10" s="20" t="inlineStr">
        <is>
          <t>365</t>
        </is>
      </c>
      <c r="B10" s="20" t="inlineStr">
        <is>
          <t>5010.B</t>
        </is>
      </c>
      <c r="C10" s="20" t="inlineStr">
        <is>
          <t>2 Duraklı 10 Kişilik 800 kg Asansör (D01 idari bina)</t>
        </is>
      </c>
      <c r="D10" s="20" t="n"/>
      <c r="E10" s="20" t="inlineStr">
        <is>
          <t>RFQ tutarı →</t>
        </is>
      </c>
      <c r="F10" s="21">
        <f>SUMPRODUCT(E11:E11,G11:G11)</f>
        <v/>
      </c>
      <c r="G10" s="20" t="n"/>
      <c r="H10" s="21">
        <f>SUM(H11:H11)</f>
        <v/>
      </c>
      <c r="I10" s="20" t="n"/>
      <c r="J10" s="20" t="n"/>
    </row>
    <row r="11">
      <c r="A11" s="14" t="n"/>
      <c r="B11" s="14" t="inlineStr">
        <is>
          <t>5010.B</t>
        </is>
      </c>
      <c r="C11" s="4" t="inlineStr">
        <is>
          <t>Asansör 800 kg, 2 durak (zemin/1. kat), MRL, VVVF, 1 m/s – D01</t>
        </is>
      </c>
      <c r="D11" s="14" t="inlineStr">
        <is>
          <t>adet</t>
        </is>
      </c>
      <c r="E11" s="22" t="n">
        <v>1</v>
      </c>
      <c r="F11" s="22" t="n">
        <v>1</v>
      </c>
      <c r="G11" s="23">
        <f>AVERAGE(Teklifler!$H$4,Teklifler!$H$5)</f>
        <v/>
      </c>
      <c r="H11" s="15">
        <f>F11*G11</f>
        <v/>
      </c>
      <c r="I11" s="4" t="inlineStr">
        <is>
          <t>TEKLİF ort.</t>
        </is>
      </c>
      <c r="J11" s="4" t="inlineStr"/>
    </row>
    <row r="13">
      <c r="C13" s="7" t="inlineStr">
        <is>
          <t>TOPLAM (idare cevaplarına göre düzeltilmiş)</t>
        </is>
      </c>
      <c r="H13" s="24">
        <f>H5+H10</f>
        <v/>
      </c>
    </row>
    <row r="14">
      <c r="C14" s="7" t="inlineStr">
        <is>
          <t>Karşılaştırma: RFQ miktarlarıyla aynı birim fiyatlardan tutar</t>
        </is>
      </c>
      <c r="H14" s="24">
        <f>F5+F10</f>
        <v/>
      </c>
    </row>
    <row r="15">
      <c r="C15" s="7" t="inlineStr">
        <is>
          <t>İdare cevaplarının net etkisi</t>
        </is>
      </c>
      <c r="H15" s="24">
        <f>H13-H14</f>
        <v/>
      </c>
    </row>
  </sheetData>
  <mergeCells count="1">
    <mergeCell ref="A2:J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0" customWidth="1" min="3" max="3"/>
    <col width="8" customWidth="1" min="4" max="4"/>
    <col width="13" customWidth="1" min="5" max="5"/>
    <col width="15" customWidth="1" min="6" max="6"/>
    <col width="15" customWidth="1" min="7" max="7"/>
    <col width="15" customWidth="1" min="8" max="8"/>
    <col width="34" customWidth="1" min="9" max="9"/>
    <col width="48" customWidth="1" min="10" max="10"/>
  </cols>
  <sheetData>
    <row r="1">
      <c r="A1" s="12" t="inlineStr">
        <is>
          <t>SİNYALİZASYON VE ARAÇ TAKİP (AVLS) – Sıra 228–235</t>
        </is>
      </c>
    </row>
    <row r="2" ht="42" customHeight="1">
      <c r="A2" s="2" t="inlineStr">
        <is>
          <t>Birim fiyatlar EUR, KDV hariç, montaj+test+devreye alma dahil. Sarı: değiştirilebilir. Turuncu miktar: idare cevabı (05.10.2026) ile RFQ'dan farklılaşan kalem. Kaynak kodları: REF = EM_Butce_Tahmini referans BF (geçmiş teklifler, HICP ile Ağu-2026); TEKLİF = 2026 firma teklifi; TAHMİN = mühendislik tahmini (referans yok).</t>
        </is>
      </c>
    </row>
    <row r="4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(RFQ)</t>
        </is>
      </c>
      <c r="F4" s="3" t="inlineStr">
        <is>
          <t>Miktar (idare cevabına göre)</t>
        </is>
      </c>
      <c r="G4" s="3" t="inlineStr">
        <is>
          <t>Birim fiyat EUR (montaj dahil)</t>
        </is>
      </c>
      <c r="H4" s="3" t="inlineStr">
        <is>
          <t>Tutar EUR</t>
        </is>
      </c>
      <c r="I4" s="3" t="inlineStr">
        <is>
          <t>Fiyat kaynağı</t>
        </is>
      </c>
      <c r="J4" s="3" t="inlineStr">
        <is>
          <t>Düzeltme / not</t>
        </is>
      </c>
    </row>
    <row r="5">
      <c r="A5" s="20" t="inlineStr">
        <is>
          <t>228</t>
        </is>
      </c>
      <c r="B5" s="20" t="inlineStr">
        <is>
          <t>3001</t>
        </is>
      </c>
      <c r="C5" s="20" t="inlineStr">
        <is>
          <t>Sinyalizasyon Sistemi Tasarımı</t>
        </is>
      </c>
      <c r="D5" s="20" t="n"/>
      <c r="E5" s="20" t="inlineStr">
        <is>
          <t>RFQ tutarı →</t>
        </is>
      </c>
      <c r="F5" s="21">
        <f>SUMPRODUCT(E6:E6,G6:G6)</f>
        <v/>
      </c>
      <c r="G5" s="20" t="n"/>
      <c r="H5" s="21">
        <f>SUM(H6:H6)</f>
        <v/>
      </c>
      <c r="I5" s="20" t="n"/>
      <c r="J5" s="20" t="n"/>
    </row>
    <row r="6">
      <c r="A6" s="14" t="n"/>
      <c r="B6" s="14" t="inlineStr">
        <is>
          <t>3001</t>
        </is>
      </c>
      <c r="C6" s="4" t="inlineStr">
        <is>
          <t>Tasarım paketi: simülasyon, mimari/kilitleme tabloları, uygulama ve kablo projeleri, RAMS/Safety Case (SIL3/SIL2), ISA, test prosedürleri, KET izin dosyası</t>
        </is>
      </c>
      <c r="D6" s="14" t="inlineStr">
        <is>
          <t>set</t>
        </is>
      </c>
      <c r="E6" s="22" t="n">
        <v>1</v>
      </c>
      <c r="F6" s="22" t="n">
        <v>1</v>
      </c>
      <c r="G6" s="23" t="n">
        <v>207246</v>
      </c>
      <c r="H6" s="15">
        <f>F6*G6</f>
        <v/>
      </c>
      <c r="I6" s="4" t="inlineStr">
        <is>
          <t>REF (4 ref; seçilen BF)</t>
        </is>
      </c>
      <c r="J6" s="4" t="inlineStr">
        <is>
          <t>İdare: sıra 228 yalnız tasarım; ekipman 229–232'den</t>
        </is>
      </c>
    </row>
    <row r="7">
      <c r="A7" s="20" t="inlineStr">
        <is>
          <t>229</t>
        </is>
      </c>
      <c r="B7" s="20" t="inlineStr">
        <is>
          <t>3001.A</t>
        </is>
      </c>
      <c r="C7" s="20" t="inlineStr">
        <is>
          <t>Hat Boyu Sinyalizasyon Sistemi</t>
        </is>
      </c>
      <c r="D7" s="20" t="n"/>
      <c r="E7" s="20" t="inlineStr">
        <is>
          <t>RFQ tutarı →</t>
        </is>
      </c>
      <c r="F7" s="21">
        <f>SUMPRODUCT(E8:E46,G8:G46)</f>
        <v/>
      </c>
      <c r="G7" s="20" t="n"/>
      <c r="H7" s="21">
        <f>SUM(H8:H46)</f>
        <v/>
      </c>
      <c r="I7" s="20" t="n"/>
      <c r="J7" s="20" t="n"/>
    </row>
    <row r="8">
      <c r="A8" s="14" t="n"/>
      <c r="B8" s="14" t="inlineStr">
        <is>
          <t>3001.A</t>
        </is>
      </c>
      <c r="C8" s="4" t="inlineStr">
        <is>
          <t>Elektrikli makas motoru (IP67, iç kilitli, uç konum dedektörlü) – ana hat</t>
        </is>
      </c>
      <c r="D8" s="14" t="inlineStr">
        <is>
          <t>takım</t>
        </is>
      </c>
      <c r="E8" s="22" t="n">
        <v>12</v>
      </c>
      <c r="F8" s="25" t="n">
        <v>16</v>
      </c>
      <c r="G8" s="23" t="n">
        <v>17785</v>
      </c>
      <c r="H8" s="15">
        <f>F8*G8</f>
        <v/>
      </c>
      <c r="I8" s="4" t="inlineStr">
        <is>
          <t>REF (CONTEC CSV24 / H&amp;K HW61 / Elektroline TSH102: 15.255–19.316)</t>
        </is>
      </c>
      <c r="J8" s="4" t="inlineStr">
        <is>
          <t>İdare soru 3: ana hattaki tüm makaslar motorlu (+4, C4 kruvazmanı)</t>
        </is>
      </c>
    </row>
    <row r="9">
      <c r="A9" s="14" t="n"/>
      <c r="B9" s="14" t="inlineStr">
        <is>
          <t>3001.A</t>
        </is>
      </c>
      <c r="C9" s="4" t="inlineStr">
        <is>
          <t>Makas motoru tahrik/dedeksiyon çubukları + dil kilidi seti</t>
        </is>
      </c>
      <c r="D9" s="14" t="inlineStr">
        <is>
          <t>takım</t>
        </is>
      </c>
      <c r="E9" s="22" t="n">
        <v>12</v>
      </c>
      <c r="F9" s="25" t="n">
        <v>16</v>
      </c>
      <c r="G9" s="23" t="n">
        <v>2969</v>
      </c>
      <c r="H9" s="15">
        <f>F9*G9</f>
        <v/>
      </c>
      <c r="I9" s="4" t="inlineStr">
        <is>
          <t>REF (Bombardier bars)</t>
        </is>
      </c>
      <c r="J9" s="4" t="inlineStr">
        <is>
          <t>Motor adedine bağlı</t>
        </is>
      </c>
    </row>
    <row r="10">
      <c r="A10" s="14" t="n"/>
      <c r="B10" s="14" t="inlineStr">
        <is>
          <t>3001.A</t>
        </is>
      </c>
      <c r="C10" s="4" t="inlineStr">
        <is>
          <t>Manuel makas hareket mekanizması (ana hat)</t>
        </is>
      </c>
      <c r="D10" s="14" t="inlineStr">
        <is>
          <t>takım</t>
        </is>
      </c>
      <c r="E10" s="22" t="n">
        <v>4</v>
      </c>
      <c r="F10" s="25" t="n">
        <v>0</v>
      </c>
      <c r="G10" s="23" t="n">
        <v>5484</v>
      </c>
      <c r="H10" s="15">
        <f>F10*G10</f>
        <v/>
      </c>
      <c r="I10" s="4" t="inlineStr">
        <is>
          <t>REF</t>
        </is>
      </c>
      <c r="J10" s="4" t="inlineStr">
        <is>
          <t>İdare soru 3: manuel makas yok</t>
        </is>
      </c>
    </row>
    <row r="11">
      <c r="A11" s="14" t="n"/>
      <c r="B11" s="14" t="inlineStr">
        <is>
          <t>3001.A</t>
        </is>
      </c>
      <c r="C11" s="4" t="inlineStr">
        <is>
          <t>Manuel makas konum izleme kutusu (IO/RTU)</t>
        </is>
      </c>
      <c r="D11" s="14" t="inlineStr">
        <is>
          <t>adet</t>
        </is>
      </c>
      <c r="E11" s="22" t="n">
        <v>1</v>
      </c>
      <c r="F11" s="25" t="n">
        <v>0</v>
      </c>
      <c r="G11" s="23" t="n">
        <v>3000</v>
      </c>
      <c r="H11" s="15">
        <f>F11*G11</f>
        <v/>
      </c>
      <c r="I11" s="4" t="inlineStr">
        <is>
          <t>TAHMİN</t>
        </is>
      </c>
      <c r="J11" s="4" t="inlineStr">
        <is>
          <t>Manuel makas kalmadı</t>
        </is>
      </c>
    </row>
    <row r="12">
      <c r="A12" s="14" t="n"/>
      <c r="B12" s="14" t="inlineStr">
        <is>
          <t>3001.A</t>
        </is>
      </c>
      <c r="C12" s="4" t="inlineStr">
        <is>
          <t>Lokal kontrol ve kumanda kabini SKP (SIL3, GRP IP54)</t>
        </is>
      </c>
      <c r="D12" s="14" t="inlineStr">
        <is>
          <t>adet</t>
        </is>
      </c>
      <c r="E12" s="22" t="n">
        <v>3</v>
      </c>
      <c r="F12" s="25" t="n">
        <v>4</v>
      </c>
      <c r="G12" s="23" t="n">
        <v>88734</v>
      </c>
      <c r="H12" s="15">
        <f>F12*G12</f>
        <v/>
      </c>
      <c r="I12" s="4" t="inlineStr">
        <is>
          <t>REF (12 ref, medyan)</t>
        </is>
      </c>
      <c r="J12" s="4" t="inlineStr">
        <is>
          <t>C4 kruvazmanı motorlu olduğundan ilave kontrol birimi (temkinli kabul)</t>
        </is>
      </c>
    </row>
    <row r="13">
      <c r="A13" s="14" t="n"/>
      <c r="B13" s="14" t="inlineStr">
        <is>
          <t>3001.A</t>
        </is>
      </c>
      <c r="C13" s="4" t="inlineStr">
        <is>
          <t>Sorgulayıcı (interrogator) birimi – SKP içi</t>
        </is>
      </c>
      <c r="D13" s="14" t="inlineStr">
        <is>
          <t>adet</t>
        </is>
      </c>
      <c r="E13" s="22" t="n">
        <v>4</v>
      </c>
      <c r="F13" s="25" t="n">
        <v>5</v>
      </c>
      <c r="G13" s="23" t="n">
        <v>6000</v>
      </c>
      <c r="H13" s="15">
        <f>F13*G13</f>
        <v/>
      </c>
      <c r="I13" s="4" t="inlineStr">
        <is>
          <t>TAHMİN</t>
        </is>
      </c>
      <c r="J13" s="4" t="inlineStr">
        <is>
          <t>SKP ile birlikte +1</t>
        </is>
      </c>
    </row>
    <row r="14">
      <c r="A14" s="14" t="n"/>
      <c r="B14" s="14" t="inlineStr">
        <is>
          <t>3001.A</t>
        </is>
      </c>
      <c r="C14" s="4" t="inlineStr">
        <is>
          <t>Alıcı endüktif lup (güzergah talep) – makas bölgeleri</t>
        </is>
      </c>
      <c r="D14" s="14" t="inlineStr">
        <is>
          <t>adet</t>
        </is>
      </c>
      <c r="E14" s="22" t="n">
        <v>11</v>
      </c>
      <c r="F14" s="22" t="n">
        <v>11</v>
      </c>
      <c r="G14" s="23" t="n">
        <v>2814</v>
      </c>
      <c r="H14" s="15">
        <f>F14*G14</f>
        <v/>
      </c>
      <c r="I14" s="4" t="inlineStr">
        <is>
          <t>REF (4 ref)</t>
        </is>
      </c>
      <c r="J14" s="4" t="inlineStr"/>
    </row>
    <row r="15">
      <c r="A15" s="14" t="n"/>
      <c r="B15" s="14" t="inlineStr">
        <is>
          <t>3001.A</t>
        </is>
      </c>
      <c r="C15" s="4" t="inlineStr">
        <is>
          <t>Ray devresi / kütle dedektörü (makas kilitleme, bölge meşgul)</t>
        </is>
      </c>
      <c r="D15" s="14" t="inlineStr">
        <is>
          <t>adet</t>
        </is>
      </c>
      <c r="E15" s="22" t="n">
        <v>34</v>
      </c>
      <c r="F15" s="22" t="n">
        <v>34</v>
      </c>
      <c r="G15" s="23" t="n">
        <v>5614</v>
      </c>
      <c r="H15" s="15">
        <f>F15*G15</f>
        <v/>
      </c>
      <c r="I15" s="4" t="inlineStr">
        <is>
          <t>REF (4 ref)</t>
        </is>
      </c>
      <c r="J15" s="4" t="inlineStr"/>
    </row>
    <row r="16">
      <c r="A16" s="14" t="n"/>
      <c r="B16" s="14" t="inlineStr">
        <is>
          <t>3001.A</t>
        </is>
      </c>
      <c r="C16" s="4" t="inlineStr">
        <is>
          <t>Ana hat makas sinyal lambası 3 ışıklı LED + talep alındı lambası</t>
        </is>
      </c>
      <c r="D16" s="14" t="inlineStr">
        <is>
          <t>takım</t>
        </is>
      </c>
      <c r="E16" s="22" t="n">
        <v>11</v>
      </c>
      <c r="F16" s="22" t="n">
        <v>11</v>
      </c>
      <c r="G16" s="23" t="n">
        <v>5173</v>
      </c>
      <c r="H16" s="15">
        <f>F16*G16</f>
        <v/>
      </c>
      <c r="I16" s="4" t="inlineStr">
        <is>
          <t>REF (3 ref)</t>
        </is>
      </c>
      <c r="J16" s="4" t="inlineStr"/>
    </row>
    <row r="17">
      <c r="A17" s="14" t="n"/>
      <c r="B17" s="14" t="inlineStr">
        <is>
          <t>3001.A</t>
        </is>
      </c>
      <c r="C17" s="4" t="inlineStr">
        <is>
          <t>Sinyal lamba direği – makas bölgeleri</t>
        </is>
      </c>
      <c r="D17" s="14" t="inlineStr">
        <is>
          <t>adet</t>
        </is>
      </c>
      <c r="E17" s="22" t="n">
        <v>11</v>
      </c>
      <c r="F17" s="22" t="n">
        <v>11</v>
      </c>
      <c r="G17" s="23" t="n">
        <v>1200</v>
      </c>
      <c r="H17" s="15">
        <f>F17*G17</f>
        <v/>
      </c>
      <c r="I17" s="4" t="inlineStr">
        <is>
          <t>TAHMİN</t>
        </is>
      </c>
      <c r="J17" s="4" t="inlineStr"/>
    </row>
    <row r="18">
      <c r="A18" s="14" t="n"/>
      <c r="B18" s="14" t="inlineStr">
        <is>
          <t>3001.A</t>
        </is>
      </c>
      <c r="C18" s="4" t="inlineStr">
        <is>
          <t>Lokal talep anahtarı – makas bölgeleri</t>
        </is>
      </c>
      <c r="D18" s="14" t="inlineStr">
        <is>
          <t>adet</t>
        </is>
      </c>
      <c r="E18" s="22" t="n">
        <v>11</v>
      </c>
      <c r="F18" s="22" t="n">
        <v>11</v>
      </c>
      <c r="G18" s="23" t="n">
        <v>800</v>
      </c>
      <c r="H18" s="15">
        <f>F18*G18</f>
        <v/>
      </c>
      <c r="I18" s="4" t="inlineStr">
        <is>
          <t>TAHMİN</t>
        </is>
      </c>
      <c r="J18" s="4" t="inlineStr"/>
    </row>
    <row r="19">
      <c r="A19" s="14" t="n"/>
      <c r="B19" s="14" t="inlineStr">
        <is>
          <t>3001.A</t>
        </is>
      </c>
      <c r="C19" s="4" t="inlineStr">
        <is>
          <t>Karayolu kavşağı sinyalizasyon kontrol kabini TSP (tramvay öncelik)</t>
        </is>
      </c>
      <c r="D19" s="14" t="inlineStr">
        <is>
          <t>adet</t>
        </is>
      </c>
      <c r="E19" s="22" t="n">
        <v>5</v>
      </c>
      <c r="F19" s="22" t="n">
        <v>5</v>
      </c>
      <c r="G19" s="23" t="n">
        <v>8627</v>
      </c>
      <c r="H19" s="15">
        <f>F19*G19</f>
        <v/>
      </c>
      <c r="I19" s="4" t="inlineStr">
        <is>
          <t>REF (3 ref)</t>
        </is>
      </c>
      <c r="J19" s="4" t="inlineStr">
        <is>
          <t>Tramvay tarafı; kapsamda kalır</t>
        </is>
      </c>
    </row>
    <row r="20">
      <c r="A20" s="14" t="n"/>
      <c r="B20" s="14" t="inlineStr">
        <is>
          <t>3001.A</t>
        </is>
      </c>
      <c r="C20" s="4" t="inlineStr">
        <is>
          <t>Alıcı endüktif lup (ON/OFF öncelik talep) – kavşaklar</t>
        </is>
      </c>
      <c r="D20" s="14" t="inlineStr">
        <is>
          <t>adet</t>
        </is>
      </c>
      <c r="E20" s="22" t="n">
        <v>24</v>
      </c>
      <c r="F20" s="22" t="n">
        <v>24</v>
      </c>
      <c r="G20" s="23" t="n">
        <v>2814</v>
      </c>
      <c r="H20" s="15">
        <f>F20*G20</f>
        <v/>
      </c>
      <c r="I20" s="4" t="inlineStr">
        <is>
          <t>REF (makas lupu BF)</t>
        </is>
      </c>
      <c r="J20" s="4" t="inlineStr"/>
    </row>
    <row r="21">
      <c r="A21" s="14" t="n"/>
      <c r="B21" s="14" t="inlineStr">
        <is>
          <t>3001.A</t>
        </is>
      </c>
      <c r="C21" s="4" t="inlineStr">
        <is>
          <t>Tramvay sinyal lambası 2 ışıklı LED – kavşaklar</t>
        </is>
      </c>
      <c r="D21" s="14" t="inlineStr">
        <is>
          <t>adet</t>
        </is>
      </c>
      <c r="E21" s="22" t="n">
        <v>12</v>
      </c>
      <c r="F21" s="22" t="n">
        <v>12</v>
      </c>
      <c r="G21" s="23" t="n">
        <v>3600</v>
      </c>
      <c r="H21" s="15">
        <f>F21*G21</f>
        <v/>
      </c>
      <c r="I21" s="4" t="inlineStr">
        <is>
          <t>TAHMİN (tek ref 7.268 aykırı)</t>
        </is>
      </c>
      <c r="J21" s="4" t="inlineStr"/>
    </row>
    <row r="22">
      <c r="A22" s="14" t="n"/>
      <c r="B22" s="14" t="inlineStr">
        <is>
          <t>3001.A</t>
        </is>
      </c>
      <c r="C22" s="4" t="inlineStr">
        <is>
          <t>Tramvay sinyal direği – kavşaklar</t>
        </is>
      </c>
      <c r="D22" s="14" t="inlineStr">
        <is>
          <t>adet</t>
        </is>
      </c>
      <c r="E22" s="22" t="n">
        <v>12</v>
      </c>
      <c r="F22" s="22" t="n">
        <v>12</v>
      </c>
      <c r="G22" s="23" t="n">
        <v>1200</v>
      </c>
      <c r="H22" s="15">
        <f>F22*G22</f>
        <v/>
      </c>
      <c r="I22" s="4" t="inlineStr">
        <is>
          <t>TAHMİN</t>
        </is>
      </c>
      <c r="J22" s="4" t="inlineStr"/>
    </row>
    <row r="23">
      <c r="A23" s="14" t="n"/>
      <c r="B23" s="14" t="inlineStr">
        <is>
          <t>3001.A</t>
        </is>
      </c>
      <c r="C23" s="4" t="inlineStr">
        <is>
          <t>Lokal kumanda anahtarı – kavşaklar</t>
        </is>
      </c>
      <c r="D23" s="14" t="inlineStr">
        <is>
          <t>adet</t>
        </is>
      </c>
      <c r="E23" s="22" t="n">
        <v>12</v>
      </c>
      <c r="F23" s="22" t="n">
        <v>12</v>
      </c>
      <c r="G23" s="23" t="n">
        <v>800</v>
      </c>
      <c r="H23" s="15">
        <f>F23*G23</f>
        <v/>
      </c>
      <c r="I23" s="4" t="inlineStr">
        <is>
          <t>TAHMİN</t>
        </is>
      </c>
      <c r="J23" s="4" t="inlineStr"/>
    </row>
    <row r="24">
      <c r="A24" s="14" t="n"/>
      <c r="B24" s="14" t="inlineStr">
        <is>
          <t>3001.A</t>
        </is>
      </c>
      <c r="C24" s="4" t="inlineStr">
        <is>
          <t>Yaya geçidi tramvay uyarı seti (flaşör + levha)</t>
        </is>
      </c>
      <c r="D24" s="14" t="inlineStr">
        <is>
          <t>adet</t>
        </is>
      </c>
      <c r="E24" s="22" t="n">
        <v>6</v>
      </c>
      <c r="F24" s="22" t="n">
        <v>6</v>
      </c>
      <c r="G24" s="23" t="n">
        <v>2500</v>
      </c>
      <c r="H24" s="15">
        <f>F24*G24</f>
        <v/>
      </c>
      <c r="I24" s="4" t="inlineStr">
        <is>
          <t>TAHMİN</t>
        </is>
      </c>
      <c r="J24" s="4" t="inlineStr"/>
    </row>
    <row r="25">
      <c r="A25" s="14" t="n"/>
      <c r="B25" s="14" t="inlineStr">
        <is>
          <t>3001.A</t>
        </is>
      </c>
      <c r="C25" s="4" t="inlineStr">
        <is>
          <t>Yaya geçidi uyarı kontrol kutusu + aktivasyon lupu</t>
        </is>
      </c>
      <c r="D25" s="14" t="inlineStr">
        <is>
          <t>takım</t>
        </is>
      </c>
      <c r="E25" s="22" t="n">
        <v>3</v>
      </c>
      <c r="F25" s="22" t="n">
        <v>3</v>
      </c>
      <c r="G25" s="23" t="n">
        <v>6000</v>
      </c>
      <c r="H25" s="15">
        <f>F25*G25</f>
        <v/>
      </c>
      <c r="I25" s="4" t="inlineStr">
        <is>
          <t>TAHMİN</t>
        </is>
      </c>
      <c r="J25" s="4" t="inlineStr"/>
    </row>
    <row r="26">
      <c r="A26" s="14" t="n"/>
      <c r="B26" s="14" t="inlineStr">
        <is>
          <t>3001.A</t>
        </is>
      </c>
      <c r="C26" s="4" t="inlineStr">
        <is>
          <t>TSKP karayolu kavşak kontrol cihazı</t>
        </is>
      </c>
      <c r="D26" s="14" t="inlineStr">
        <is>
          <t>adet</t>
        </is>
      </c>
      <c r="E26" s="22" t="n">
        <v>6</v>
      </c>
      <c r="F26" s="25" t="n">
        <v>0</v>
      </c>
      <c r="G26" s="23" t="n">
        <v>18000</v>
      </c>
      <c r="H26" s="15">
        <f>F26*G26</f>
        <v/>
      </c>
      <c r="I26" s="4" t="inlineStr">
        <is>
          <t>TAHMİN</t>
        </is>
      </c>
      <c r="J26" s="4" t="inlineStr">
        <is>
          <t>İdare soru 1: TSKP kapsam dışı</t>
        </is>
      </c>
    </row>
    <row r="27">
      <c r="A27" s="14" t="n"/>
      <c r="B27" s="14" t="inlineStr">
        <is>
          <t>3001.A</t>
        </is>
      </c>
      <c r="C27" s="4" t="inlineStr">
        <is>
          <t>Karayolu trafik lambası 300'lük başüstü</t>
        </is>
      </c>
      <c r="D27" s="14" t="inlineStr">
        <is>
          <t>adet</t>
        </is>
      </c>
      <c r="E27" s="22" t="n">
        <v>20</v>
      </c>
      <c r="F27" s="25" t="n">
        <v>0</v>
      </c>
      <c r="G27" s="23" t="n">
        <v>900</v>
      </c>
      <c r="H27" s="15">
        <f>F27*G27</f>
        <v/>
      </c>
      <c r="I27" s="4" t="inlineStr">
        <is>
          <t>TAHMİN</t>
        </is>
      </c>
      <c r="J27" s="4" t="inlineStr">
        <is>
          <t>İdare soru 1: kapsam dışı</t>
        </is>
      </c>
    </row>
    <row r="28">
      <c r="A28" s="14" t="n"/>
      <c r="B28" s="14" t="inlineStr">
        <is>
          <t>3001.A</t>
        </is>
      </c>
      <c r="C28" s="4" t="inlineStr">
        <is>
          <t>Karayolu trafik lambası 200'lük direk tipi</t>
        </is>
      </c>
      <c r="D28" s="14" t="inlineStr">
        <is>
          <t>adet</t>
        </is>
      </c>
      <c r="E28" s="22" t="n">
        <v>44</v>
      </c>
      <c r="F28" s="25" t="n">
        <v>0</v>
      </c>
      <c r="G28" s="23" t="n">
        <v>450</v>
      </c>
      <c r="H28" s="15">
        <f>F28*G28</f>
        <v/>
      </c>
      <c r="I28" s="4" t="inlineStr">
        <is>
          <t>TAHMİN</t>
        </is>
      </c>
      <c r="J28" s="4" t="inlineStr">
        <is>
          <t>İdare soru 1: kapsam dışı</t>
        </is>
      </c>
    </row>
    <row r="29">
      <c r="A29" s="14" t="n"/>
      <c r="B29" s="14" t="inlineStr">
        <is>
          <t>3001.A</t>
        </is>
      </c>
      <c r="C29" s="4" t="inlineStr">
        <is>
          <t>Yaya lambası + yaya butonu</t>
        </is>
      </c>
      <c r="D29" s="14" t="inlineStr">
        <is>
          <t>takım</t>
        </is>
      </c>
      <c r="E29" s="22" t="n">
        <v>44</v>
      </c>
      <c r="F29" s="25" t="n">
        <v>0</v>
      </c>
      <c r="G29" s="23" t="n">
        <v>500</v>
      </c>
      <c r="H29" s="15">
        <f>F29*G29</f>
        <v/>
      </c>
      <c r="I29" s="4" t="inlineStr">
        <is>
          <t>TAHMİN</t>
        </is>
      </c>
      <c r="J29" s="4" t="inlineStr">
        <is>
          <t>İdare soru 1: kapsam dışı</t>
        </is>
      </c>
    </row>
    <row r="30">
      <c r="A30" s="14" t="n"/>
      <c r="B30" s="14" t="inlineStr">
        <is>
          <t>3001.A</t>
        </is>
      </c>
      <c r="C30" s="4" t="inlineStr">
        <is>
          <t>Trafik lambası direği 3,5 m / 6 m konsollu</t>
        </is>
      </c>
      <c r="D30" s="14" t="inlineStr">
        <is>
          <t>adet</t>
        </is>
      </c>
      <c r="E30" s="22" t="n">
        <v>64</v>
      </c>
      <c r="F30" s="25" t="n">
        <v>0</v>
      </c>
      <c r="G30" s="23" t="n">
        <v>900</v>
      </c>
      <c r="H30" s="15">
        <f>F30*G30</f>
        <v/>
      </c>
      <c r="I30" s="4" t="inlineStr">
        <is>
          <t>TAHMİN</t>
        </is>
      </c>
      <c r="J30" s="4" t="inlineStr">
        <is>
          <t>İdare soru 1: kapsam dışı</t>
        </is>
      </c>
    </row>
    <row r="31">
      <c r="A31" s="14" t="n"/>
      <c r="B31" s="14" t="inlineStr">
        <is>
          <t>3001.A</t>
        </is>
      </c>
      <c r="C31" s="4" t="inlineStr">
        <is>
          <t>Karayolu trafik sinyal kabloları (TSKP–lambalar)</t>
        </is>
      </c>
      <c r="D31" s="14" t="inlineStr">
        <is>
          <t>m</t>
        </is>
      </c>
      <c r="E31" s="22" t="n">
        <v>2695</v>
      </c>
      <c r="F31" s="25" t="n">
        <v>0</v>
      </c>
      <c r="G31" s="23" t="n">
        <v>6</v>
      </c>
      <c r="H31" s="15">
        <f>F31*G31</f>
        <v/>
      </c>
      <c r="I31" s="4" t="inlineStr">
        <is>
          <t>TAHMİN</t>
        </is>
      </c>
      <c r="J31" s="4" t="inlineStr">
        <is>
          <t>İdare soru 1: kapsam dışı</t>
        </is>
      </c>
    </row>
    <row r="32">
      <c r="A32" s="14" t="n"/>
      <c r="B32" s="14" t="inlineStr">
        <is>
          <t>3001.A</t>
        </is>
      </c>
      <c r="C32" s="4" t="inlineStr">
        <is>
          <t>Karayolu sinyal kablo borusu HDPE Ø63</t>
        </is>
      </c>
      <c r="D32" s="14" t="inlineStr">
        <is>
          <t>m</t>
        </is>
      </c>
      <c r="E32" s="22" t="n">
        <v>1210</v>
      </c>
      <c r="F32" s="25" t="n">
        <v>0</v>
      </c>
      <c r="G32" s="23" t="n">
        <v>4</v>
      </c>
      <c r="H32" s="15">
        <f>F32*G32</f>
        <v/>
      </c>
      <c r="I32" s="4" t="inlineStr">
        <is>
          <t>TAHMİN</t>
        </is>
      </c>
      <c r="J32" s="4" t="inlineStr">
        <is>
          <t>İdare soru 1: kapsam dışı</t>
        </is>
      </c>
    </row>
    <row r="33">
      <c r="A33" s="14" t="n"/>
      <c r="B33" s="14" t="inlineStr">
        <is>
          <t>3001.A</t>
        </is>
      </c>
      <c r="C33" s="4" t="inlineStr">
        <is>
          <t>Lup besleme kablosu 2x2x1,0 ekranlı</t>
        </is>
      </c>
      <c r="D33" s="14" t="inlineStr">
        <is>
          <t>m</t>
        </is>
      </c>
      <c r="E33" s="22" t="n">
        <v>5468</v>
      </c>
      <c r="F33" s="25">
        <f>5468*Varsayimlar!$B$8</f>
        <v/>
      </c>
      <c r="G33" s="23" t="n">
        <v>4</v>
      </c>
      <c r="H33" s="15">
        <f>F33*G33</f>
        <v/>
      </c>
      <c r="I33" s="4" t="inlineStr">
        <is>
          <t>TAHMİN</t>
        </is>
      </c>
      <c r="J33" s="4" t="inlineStr">
        <is>
          <t>Hat boyu 6,44/6,56</t>
        </is>
      </c>
    </row>
    <row r="34">
      <c r="A34" s="14" t="n"/>
      <c r="B34" s="14" t="inlineStr">
        <is>
          <t>3001.A</t>
        </is>
      </c>
      <c r="C34" s="4" t="inlineStr">
        <is>
          <t>Lup kablosu (hat yatağı içi iletken + koruma kanalı)</t>
        </is>
      </c>
      <c r="D34" s="14" t="inlineStr">
        <is>
          <t>adet</t>
        </is>
      </c>
      <c r="E34" s="22" t="n">
        <v>41</v>
      </c>
      <c r="F34" s="22" t="n">
        <v>41</v>
      </c>
      <c r="G34" s="23" t="n">
        <v>400</v>
      </c>
      <c r="H34" s="15">
        <f>F34*G34</f>
        <v/>
      </c>
      <c r="I34" s="4" t="inlineStr">
        <is>
          <t>TAHMİN</t>
        </is>
      </c>
      <c r="J34" s="4" t="inlineStr"/>
    </row>
    <row r="35">
      <c r="A35" s="14" t="n"/>
      <c r="B35" s="14" t="inlineStr">
        <is>
          <t>3001.A</t>
        </is>
      </c>
      <c r="C35" s="4" t="inlineStr">
        <is>
          <t>Ray devresi / dedektör kablosu 2x2x1,0</t>
        </is>
      </c>
      <c r="D35" s="14" t="inlineStr">
        <is>
          <t>m</t>
        </is>
      </c>
      <c r="E35" s="22" t="n">
        <v>2673</v>
      </c>
      <c r="F35" s="25">
        <f>2673*Varsayimlar!$B$8</f>
        <v/>
      </c>
      <c r="G35" s="23" t="n">
        <v>4</v>
      </c>
      <c r="H35" s="15">
        <f>F35*G35</f>
        <v/>
      </c>
      <c r="I35" s="4" t="inlineStr">
        <is>
          <t>TAHMİN</t>
        </is>
      </c>
      <c r="J35" s="4" t="inlineStr">
        <is>
          <t>Hat boyu oranı</t>
        </is>
      </c>
    </row>
    <row r="36">
      <c r="A36" s="14" t="n"/>
      <c r="B36" s="14" t="inlineStr">
        <is>
          <t>3001.A</t>
        </is>
      </c>
      <c r="C36" s="4" t="inlineStr">
        <is>
          <t>Makas motoru güç+kumanda kablosu 12x2,5</t>
        </is>
      </c>
      <c r="D36" s="14" t="inlineStr">
        <is>
          <t>m</t>
        </is>
      </c>
      <c r="E36" s="22" t="n">
        <v>541</v>
      </c>
      <c r="F36" s="25">
        <f>ROUND(541*16/12,0)</f>
        <v/>
      </c>
      <c r="G36" s="23" t="n">
        <v>9</v>
      </c>
      <c r="H36" s="15">
        <f>F36*G36</f>
        <v/>
      </c>
      <c r="I36" s="4" t="inlineStr">
        <is>
          <t>TAHMİN</t>
        </is>
      </c>
      <c r="J36" s="4" t="inlineStr">
        <is>
          <t>+4 motor oranında</t>
        </is>
      </c>
    </row>
    <row r="37">
      <c r="A37" s="14" t="n"/>
      <c r="B37" s="14" t="inlineStr">
        <is>
          <t>3001.A</t>
        </is>
      </c>
      <c r="C37" s="4" t="inlineStr">
        <is>
          <t>Sinyal lambası kablosu 12x1,5</t>
        </is>
      </c>
      <c r="D37" s="14" t="inlineStr">
        <is>
          <t>m</t>
        </is>
      </c>
      <c r="E37" s="22" t="n">
        <v>1348</v>
      </c>
      <c r="F37" s="25">
        <f>1348*Varsayimlar!$B$8</f>
        <v/>
      </c>
      <c r="G37" s="23" t="n">
        <v>7</v>
      </c>
      <c r="H37" s="15">
        <f>F37*G37</f>
        <v/>
      </c>
      <c r="I37" s="4" t="inlineStr">
        <is>
          <t>TAHMİN</t>
        </is>
      </c>
      <c r="J37" s="4" t="inlineStr"/>
    </row>
    <row r="38">
      <c r="A38" s="14" t="n"/>
      <c r="B38" s="14" t="inlineStr">
        <is>
          <t>3001.A</t>
        </is>
      </c>
      <c r="C38" s="4" t="inlineStr">
        <is>
          <t>Lokal kumanda anahtarı kablosu 7x1,5</t>
        </is>
      </c>
      <c r="D38" s="14" t="inlineStr">
        <is>
          <t>m</t>
        </is>
      </c>
      <c r="E38" s="22" t="n">
        <v>1348</v>
      </c>
      <c r="F38" s="25">
        <f>1348*Varsayimlar!$B$8</f>
        <v/>
      </c>
      <c r="G38" s="23" t="n">
        <v>4.5</v>
      </c>
      <c r="H38" s="15">
        <f>F38*G38</f>
        <v/>
      </c>
      <c r="I38" s="4" t="inlineStr">
        <is>
          <t>TAHMİN</t>
        </is>
      </c>
      <c r="J38" s="4" t="inlineStr"/>
    </row>
    <row r="39">
      <c r="A39" s="14" t="n"/>
      <c r="B39" s="14" t="inlineStr">
        <is>
          <t>3001.A</t>
        </is>
      </c>
      <c r="C39" s="4" t="inlineStr">
        <is>
          <t>TSP/SKP–TSKP arayüz kablosu 19x1,5</t>
        </is>
      </c>
      <c r="D39" s="14" t="inlineStr">
        <is>
          <t>m</t>
        </is>
      </c>
      <c r="E39" s="22" t="n">
        <v>198</v>
      </c>
      <c r="F39" s="22" t="n">
        <v>198</v>
      </c>
      <c r="G39" s="23" t="n">
        <v>10</v>
      </c>
      <c r="H39" s="15">
        <f>F39*G39</f>
        <v/>
      </c>
      <c r="I39" s="4" t="inlineStr">
        <is>
          <t>TAHMİN</t>
        </is>
      </c>
      <c r="J39" s="4" t="inlineStr">
        <is>
          <t>İdare: irtibat kablolaması kapsamda</t>
        </is>
      </c>
    </row>
    <row r="40">
      <c r="A40" s="14" t="n"/>
      <c r="B40" s="14" t="inlineStr">
        <is>
          <t>3001.A</t>
        </is>
      </c>
      <c r="C40" s="4" t="inlineStr">
        <is>
          <t>Manuel makas konum kontağı kablosu 7x1,5</t>
        </is>
      </c>
      <c r="D40" s="14" t="inlineStr">
        <is>
          <t>m</t>
        </is>
      </c>
      <c r="E40" s="22" t="n">
        <v>117</v>
      </c>
      <c r="F40" s="25" t="n">
        <v>0</v>
      </c>
      <c r="G40" s="23" t="n">
        <v>4.5</v>
      </c>
      <c r="H40" s="15">
        <f>F40*G40</f>
        <v/>
      </c>
      <c r="I40" s="4" t="inlineStr">
        <is>
          <t>TAHMİN</t>
        </is>
      </c>
      <c r="J40" s="4" t="inlineStr">
        <is>
          <t>Manuel makas yok</t>
        </is>
      </c>
    </row>
    <row r="41">
      <c r="A41" s="14" t="n"/>
      <c r="B41" s="14" t="inlineStr">
        <is>
          <t>3001.A</t>
        </is>
      </c>
      <c r="C41" s="4" t="inlineStr">
        <is>
          <t>Yaya geçidi flaş lamba kablosu 3x1,5</t>
        </is>
      </c>
      <c r="D41" s="14" t="inlineStr">
        <is>
          <t>m</t>
        </is>
      </c>
      <c r="E41" s="22" t="n">
        <v>264</v>
      </c>
      <c r="F41" s="22" t="n">
        <v>264</v>
      </c>
      <c r="G41" s="23" t="n">
        <v>2.5</v>
      </c>
      <c r="H41" s="15">
        <f>F41*G41</f>
        <v/>
      </c>
      <c r="I41" s="4" t="inlineStr">
        <is>
          <t>TAHMİN</t>
        </is>
      </c>
      <c r="J41" s="4" t="inlineStr"/>
    </row>
    <row r="42">
      <c r="A42" s="14" t="n"/>
      <c r="B42" s="14" t="inlineStr">
        <is>
          <t>3001.A</t>
        </is>
      </c>
      <c r="C42" s="4" t="inlineStr">
        <is>
          <t>Kabin besleme kablosu NYY 3x6 (TM UPS panosundan)</t>
        </is>
      </c>
      <c r="D42" s="14" t="inlineStr">
        <is>
          <t>m</t>
        </is>
      </c>
      <c r="E42" s="22" t="n">
        <v>5905</v>
      </c>
      <c r="F42" s="25">
        <f>5905*Varsayimlar!$B$8</f>
        <v/>
      </c>
      <c r="G42" s="23" t="n">
        <v>4.5</v>
      </c>
      <c r="H42" s="15">
        <f>F42*G42</f>
        <v/>
      </c>
      <c r="I42" s="4" t="inlineStr">
        <is>
          <t>TAHMİN</t>
        </is>
      </c>
      <c r="J42" s="4" t="inlineStr"/>
    </row>
    <row r="43">
      <c r="A43" s="14" t="n"/>
      <c r="B43" s="14" t="inlineStr">
        <is>
          <t>3001.A</t>
        </is>
      </c>
      <c r="C43" s="4" t="inlineStr">
        <is>
          <t>Kablo koruma borusu HDPE Ø50</t>
        </is>
      </c>
      <c r="D43" s="14" t="inlineStr">
        <is>
          <t>m</t>
        </is>
      </c>
      <c r="E43" s="22" t="n">
        <v>2327</v>
      </c>
      <c r="F43" s="25">
        <f>2327*Varsayimlar!$B$8</f>
        <v/>
      </c>
      <c r="G43" s="23" t="n">
        <v>3</v>
      </c>
      <c r="H43" s="15">
        <f>F43*G43</f>
        <v/>
      </c>
      <c r="I43" s="4" t="inlineStr">
        <is>
          <t>TAHMİN</t>
        </is>
      </c>
      <c r="J43" s="4" t="inlineStr"/>
    </row>
    <row r="44">
      <c r="A44" s="14" t="n"/>
      <c r="B44" s="14" t="inlineStr">
        <is>
          <t>3001.A</t>
        </is>
      </c>
      <c r="C44" s="4" t="inlineStr">
        <is>
          <t>Kablo koruma borusu HDPE Ø110 (hat/yol altı)</t>
        </is>
      </c>
      <c r="D44" s="14" t="inlineStr">
        <is>
          <t>m</t>
        </is>
      </c>
      <c r="E44" s="22" t="n">
        <v>605</v>
      </c>
      <c r="F44" s="22" t="n">
        <v>605</v>
      </c>
      <c r="G44" s="23" t="n">
        <v>7</v>
      </c>
      <c r="H44" s="15">
        <f>F44*G44</f>
        <v/>
      </c>
      <c r="I44" s="4" t="inlineStr">
        <is>
          <t>TAHMİN</t>
        </is>
      </c>
      <c r="J44" s="4" t="inlineStr"/>
    </row>
    <row r="45">
      <c r="A45" s="14" t="n"/>
      <c r="B45" s="14" t="inlineStr">
        <is>
          <t>3001.A</t>
        </is>
      </c>
      <c r="C45" s="4" t="inlineStr">
        <is>
          <t>Kabin ve sinyal direği temelleri</t>
        </is>
      </c>
      <c r="D45" s="14" t="inlineStr">
        <is>
          <t>adet</t>
        </is>
      </c>
      <c r="E45" s="22" t="n">
        <v>100</v>
      </c>
      <c r="F45" s="22" t="n">
        <v>100</v>
      </c>
      <c r="G45" s="23" t="n">
        <v>350</v>
      </c>
      <c r="H45" s="15">
        <f>F45*G45</f>
        <v/>
      </c>
      <c r="I45" s="4" t="inlineStr">
        <is>
          <t>TAHMİN</t>
        </is>
      </c>
      <c r="J45" s="4" t="inlineStr"/>
    </row>
    <row r="46">
      <c r="A46" s="14" t="n"/>
      <c r="B46" s="14" t="inlineStr">
        <is>
          <t>3001.A</t>
        </is>
      </c>
      <c r="C46" s="4" t="inlineStr">
        <is>
          <t>Test, devreye alma, entegre test, 15 gün test işletmesi – hat boyu</t>
        </is>
      </c>
      <c r="D46" s="14" t="inlineStr">
        <is>
          <t>set</t>
        </is>
      </c>
      <c r="E46" s="22" t="n">
        <v>1</v>
      </c>
      <c r="F46" s="22" t="n">
        <v>1</v>
      </c>
      <c r="G46" s="23" t="n">
        <v>40669</v>
      </c>
      <c r="H46" s="15">
        <f>F46*G46</f>
        <v/>
      </c>
      <c r="I46" s="4" t="inlineStr">
        <is>
          <t>REF (5 ref)</t>
        </is>
      </c>
      <c r="J46" s="4" t="inlineStr"/>
    </row>
    <row r="47">
      <c r="A47" s="20" t="inlineStr">
        <is>
          <t>230</t>
        </is>
      </c>
      <c r="B47" s="20" t="inlineStr">
        <is>
          <t>3001.B</t>
        </is>
      </c>
      <c r="C47" s="20" t="inlineStr">
        <is>
          <t>Depo Sahası ve Tesisleri Sinyalizasyon Sistemi</t>
        </is>
      </c>
      <c r="D47" s="20" t="n"/>
      <c r="E47" s="20" t="inlineStr">
        <is>
          <t>RFQ tutarı →</t>
        </is>
      </c>
      <c r="F47" s="21">
        <f>SUMPRODUCT(E48:E65,G48:G65)</f>
        <v/>
      </c>
      <c r="G47" s="20" t="n"/>
      <c r="H47" s="21">
        <f>SUM(H48:H65)</f>
        <v/>
      </c>
      <c r="I47" s="20" t="n"/>
      <c r="J47" s="20" t="n"/>
    </row>
    <row r="48">
      <c r="A48" s="14" t="n"/>
      <c r="B48" s="14" t="inlineStr">
        <is>
          <t>3001.B</t>
        </is>
      </c>
      <c r="C48" s="4" t="inlineStr">
        <is>
          <t>Elektrikli makas motoru – depo (IP67, el kranklı, uç konum dedektörlü)</t>
        </is>
      </c>
      <c r="D48" s="14" t="inlineStr">
        <is>
          <t>takım</t>
        </is>
      </c>
      <c r="E48" s="22" t="n">
        <v>20</v>
      </c>
      <c r="F48" s="25" t="n">
        <v>40</v>
      </c>
      <c r="G48" s="23" t="n">
        <v>15000</v>
      </c>
      <c r="H48" s="15">
        <f>F48*G48</f>
        <v/>
      </c>
      <c r="I48" s="4" t="inlineStr">
        <is>
          <t>REF (H&amp;K HWE 14.713, CONTEC 15.090)</t>
        </is>
      </c>
      <c r="J48" s="4" t="inlineStr">
        <is>
          <t>İdare soru 4: depo makaslarının tamamı motorlu (+20)</t>
        </is>
      </c>
    </row>
    <row r="49">
      <c r="A49" s="14" t="n"/>
      <c r="B49" s="14" t="inlineStr">
        <is>
          <t>3001.B</t>
        </is>
      </c>
      <c r="C49" s="4" t="inlineStr">
        <is>
          <t>Makas motoru tahrik/dedeksiyon çubuk seti + dil kilidi – depo</t>
        </is>
      </c>
      <c r="D49" s="14" t="inlineStr">
        <is>
          <t>takım</t>
        </is>
      </c>
      <c r="E49" s="22" t="n">
        <v>20</v>
      </c>
      <c r="F49" s="25" t="n">
        <v>40</v>
      </c>
      <c r="G49" s="23" t="n">
        <v>2969</v>
      </c>
      <c r="H49" s="15">
        <f>F49*G49</f>
        <v/>
      </c>
      <c r="I49" s="4" t="inlineStr">
        <is>
          <t>REF</t>
        </is>
      </c>
      <c r="J49" s="4" t="inlineStr">
        <is>
          <t>Motor adedine bağlı</t>
        </is>
      </c>
    </row>
    <row r="50">
      <c r="A50" s="14" t="n"/>
      <c r="B50" s="14" t="inlineStr">
        <is>
          <t>3001.B</t>
        </is>
      </c>
      <c r="C50" s="4" t="inlineStr">
        <is>
          <t>Manuel makas hareket mekanizması – depo</t>
        </is>
      </c>
      <c r="D50" s="14" t="inlineStr">
        <is>
          <t>takım</t>
        </is>
      </c>
      <c r="E50" s="22" t="n">
        <v>20</v>
      </c>
      <c r="F50" s="25" t="n">
        <v>0</v>
      </c>
      <c r="G50" s="23" t="n">
        <v>5541</v>
      </c>
      <c r="H50" s="15">
        <f>F50*G50</f>
        <v/>
      </c>
      <c r="I50" s="4" t="inlineStr">
        <is>
          <t>REF (2 ref)</t>
        </is>
      </c>
      <c r="J50" s="4" t="inlineStr">
        <is>
          <t>İdare soru 4: manuel yok</t>
        </is>
      </c>
    </row>
    <row r="51">
      <c r="A51" s="14" t="n"/>
      <c r="B51" s="14" t="inlineStr">
        <is>
          <t>3001.B</t>
        </is>
      </c>
      <c r="C51" s="4" t="inlineStr">
        <is>
          <t>Depo sinyalizasyon kontrol ünitesi SKP (SIL2) + IO</t>
        </is>
      </c>
      <c r="D51" s="14" t="inlineStr">
        <is>
          <t>adet</t>
        </is>
      </c>
      <c r="E51" s="22" t="n">
        <v>2</v>
      </c>
      <c r="F51" s="22" t="n">
        <v>2</v>
      </c>
      <c r="G51" s="23" t="n">
        <v>80000</v>
      </c>
      <c r="H51" s="15">
        <f>F51*G51</f>
        <v/>
      </c>
      <c r="I51" s="4" t="inlineStr">
        <is>
          <t>TAHMİN (CONTEC TCS300 16 makas: 115.167 sistem)</t>
        </is>
      </c>
      <c r="J51" s="4" t="inlineStr">
        <is>
          <t>40 motor için I/O kapasitesi artırıldı</t>
        </is>
      </c>
    </row>
    <row r="52">
      <c r="A52" s="14" t="n"/>
      <c r="B52" s="14" t="inlineStr">
        <is>
          <t>3001.B</t>
        </is>
      </c>
      <c r="C52" s="4" t="inlineStr">
        <is>
          <t>Depo manuel güzergah talep paneli MSP</t>
        </is>
      </c>
      <c r="D52" s="14" t="inlineStr">
        <is>
          <t>adet</t>
        </is>
      </c>
      <c r="E52" s="22" t="n">
        <v>4</v>
      </c>
      <c r="F52" s="22" t="n">
        <v>4</v>
      </c>
      <c r="G52" s="23" t="n">
        <v>1604</v>
      </c>
      <c r="H52" s="15">
        <f>F52*G52</f>
        <v/>
      </c>
      <c r="I52" s="4" t="inlineStr">
        <is>
          <t>REF (2 ref)</t>
        </is>
      </c>
      <c r="J52" s="4" t="inlineStr"/>
    </row>
    <row r="53">
      <c r="A53" s="14" t="n"/>
      <c r="B53" s="14" t="inlineStr">
        <is>
          <t>3001.B</t>
        </is>
      </c>
      <c r="C53" s="4" t="inlineStr">
        <is>
          <t>Depo sinyal lambası (makas pozisyon/kilit) + direği</t>
        </is>
      </c>
      <c r="D53" s="14" t="inlineStr">
        <is>
          <t>takım</t>
        </is>
      </c>
      <c r="E53" s="22" t="n">
        <v>20</v>
      </c>
      <c r="F53" s="25" t="n">
        <v>40</v>
      </c>
      <c r="G53" s="23" t="n">
        <v>1500</v>
      </c>
      <c r="H53" s="15">
        <f>F53*G53</f>
        <v/>
      </c>
      <c r="I53" s="4" t="inlineStr">
        <is>
          <t>TAHMİN (CONTEC PPI 874 + direk)</t>
        </is>
      </c>
      <c r="J53" s="4" t="inlineStr">
        <is>
          <t>Her motorlu makasa 1</t>
        </is>
      </c>
    </row>
    <row r="54">
      <c r="A54" s="14" t="n"/>
      <c r="B54" s="14" t="inlineStr">
        <is>
          <t>3001.B</t>
        </is>
      </c>
      <c r="C54" s="4" t="inlineStr">
        <is>
          <t>Ray devresi / kütle dedektörü – depo</t>
        </is>
      </c>
      <c r="D54" s="14" t="inlineStr">
        <is>
          <t>adet</t>
        </is>
      </c>
      <c r="E54" s="22" t="n">
        <v>24</v>
      </c>
      <c r="F54" s="25" t="n">
        <v>40</v>
      </c>
      <c r="G54" s="23" t="n">
        <v>3085</v>
      </c>
      <c r="H54" s="15">
        <f>F54*G54</f>
        <v/>
      </c>
      <c r="I54" s="4" t="inlineStr">
        <is>
          <t>REF (CONTEC)</t>
        </is>
      </c>
      <c r="J54" s="4" t="inlineStr">
        <is>
          <t>Her motorlu makas için kilitleme algılaması</t>
        </is>
      </c>
    </row>
    <row r="55">
      <c r="A55" s="14" t="n"/>
      <c r="B55" s="14" t="inlineStr">
        <is>
          <t>3001.B</t>
        </is>
      </c>
      <c r="C55" s="4" t="inlineStr">
        <is>
          <t>Makas motoru güç+kumanda kablosu 12x2,5 – depo</t>
        </is>
      </c>
      <c r="D55" s="14" t="inlineStr">
        <is>
          <t>m</t>
        </is>
      </c>
      <c r="E55" s="22" t="n">
        <v>552</v>
      </c>
      <c r="F55" s="25" t="n">
        <v>1104</v>
      </c>
      <c r="G55" s="23" t="n">
        <v>9</v>
      </c>
      <c r="H55" s="15">
        <f>F55*G55</f>
        <v/>
      </c>
      <c r="I55" s="4" t="inlineStr">
        <is>
          <t>TAHMİN</t>
        </is>
      </c>
      <c r="J55" s="4" t="inlineStr">
        <is>
          <t>Motor sayısı ×2</t>
        </is>
      </c>
    </row>
    <row r="56">
      <c r="A56" s="14" t="n"/>
      <c r="B56" s="14" t="inlineStr">
        <is>
          <t>3001.B</t>
        </is>
      </c>
      <c r="C56" s="4" t="inlineStr">
        <is>
          <t>Manuel makas konum kontağı kablosu 7x1,5 – depo</t>
        </is>
      </c>
      <c r="D56" s="14" t="inlineStr">
        <is>
          <t>m</t>
        </is>
      </c>
      <c r="E56" s="22" t="n">
        <v>959</v>
      </c>
      <c r="F56" s="25" t="n">
        <v>0</v>
      </c>
      <c r="G56" s="23" t="n">
        <v>4.5</v>
      </c>
      <c r="H56" s="15">
        <f>F56*G56</f>
        <v/>
      </c>
      <c r="I56" s="4" t="inlineStr">
        <is>
          <t>TAHMİN</t>
        </is>
      </c>
      <c r="J56" s="4" t="inlineStr">
        <is>
          <t>Manuel makas yok</t>
        </is>
      </c>
    </row>
    <row r="57">
      <c r="A57" s="14" t="n"/>
      <c r="B57" s="14" t="inlineStr">
        <is>
          <t>3001.B</t>
        </is>
      </c>
      <c r="C57" s="4" t="inlineStr">
        <is>
          <t>Depo sinyal lambası kablosu 12x1,5</t>
        </is>
      </c>
      <c r="D57" s="14" t="inlineStr">
        <is>
          <t>m</t>
        </is>
      </c>
      <c r="E57" s="22" t="n">
        <v>992</v>
      </c>
      <c r="F57" s="25" t="n">
        <v>1984</v>
      </c>
      <c r="G57" s="23" t="n">
        <v>7</v>
      </c>
      <c r="H57" s="15">
        <f>F57*G57</f>
        <v/>
      </c>
      <c r="I57" s="4" t="inlineStr">
        <is>
          <t>TAHMİN</t>
        </is>
      </c>
      <c r="J57" s="4" t="inlineStr">
        <is>
          <t>Lamba sayısı ×2</t>
        </is>
      </c>
    </row>
    <row r="58">
      <c r="A58" s="14" t="n"/>
      <c r="B58" s="14" t="inlineStr">
        <is>
          <t>3001.B</t>
        </is>
      </c>
      <c r="C58" s="4" t="inlineStr">
        <is>
          <t>Ray devresi / dedektör kablosu 2x2x1,0 – depo</t>
        </is>
      </c>
      <c r="D58" s="14" t="inlineStr">
        <is>
          <t>m</t>
        </is>
      </c>
      <c r="E58" s="22" t="n">
        <v>816</v>
      </c>
      <c r="F58" s="25" t="n">
        <v>1360</v>
      </c>
      <c r="G58" s="23" t="n">
        <v>4</v>
      </c>
      <c r="H58" s="15">
        <f>F58*G58</f>
        <v/>
      </c>
      <c r="I58" s="4" t="inlineStr">
        <is>
          <t>TAHMİN</t>
        </is>
      </c>
      <c r="J58" s="4" t="inlineStr">
        <is>
          <t>Dedektör 24→40</t>
        </is>
      </c>
    </row>
    <row r="59">
      <c r="A59" s="14" t="n"/>
      <c r="B59" s="14" t="inlineStr">
        <is>
          <t>3001.B</t>
        </is>
      </c>
      <c r="C59" s="4" t="inlineStr">
        <is>
          <t>MSP panel kablosu 24x1,5</t>
        </is>
      </c>
      <c r="D59" s="14" t="inlineStr">
        <is>
          <t>m</t>
        </is>
      </c>
      <c r="E59" s="22" t="n">
        <v>176</v>
      </c>
      <c r="F59" s="22" t="n">
        <v>176</v>
      </c>
      <c r="G59" s="23" t="n">
        <v>12</v>
      </c>
      <c r="H59" s="15">
        <f>F59*G59</f>
        <v/>
      </c>
      <c r="I59" s="4" t="inlineStr">
        <is>
          <t>TAHMİN</t>
        </is>
      </c>
      <c r="J59" s="4" t="inlineStr"/>
    </row>
    <row r="60">
      <c r="A60" s="14" t="n"/>
      <c r="B60" s="14" t="inlineStr">
        <is>
          <t>3001.B</t>
        </is>
      </c>
      <c r="C60" s="4" t="inlineStr">
        <is>
          <t>SKP besleme kablosu NYY 3x6</t>
        </is>
      </c>
      <c r="D60" s="14" t="inlineStr">
        <is>
          <t>m</t>
        </is>
      </c>
      <c r="E60" s="22" t="n">
        <v>563</v>
      </c>
      <c r="F60" s="22" t="n">
        <v>563</v>
      </c>
      <c r="G60" s="23" t="n">
        <v>4.5</v>
      </c>
      <c r="H60" s="15">
        <f>F60*G60</f>
        <v/>
      </c>
      <c r="I60" s="4" t="inlineStr">
        <is>
          <t>TAHMİN</t>
        </is>
      </c>
      <c r="J60" s="4" t="inlineStr"/>
    </row>
    <row r="61">
      <c r="A61" s="14" t="n"/>
      <c r="B61" s="14" t="inlineStr">
        <is>
          <t>3001.B</t>
        </is>
      </c>
      <c r="C61" s="4" t="inlineStr">
        <is>
          <t>SKP–TCC veri bağlantısı 6 core MM FO</t>
        </is>
      </c>
      <c r="D61" s="14" t="inlineStr">
        <is>
          <t>m</t>
        </is>
      </c>
      <c r="E61" s="22" t="n">
        <v>662</v>
      </c>
      <c r="F61" s="22" t="n">
        <v>662</v>
      </c>
      <c r="G61" s="23" t="n">
        <v>3.5</v>
      </c>
      <c r="H61" s="15">
        <f>F61*G61</f>
        <v/>
      </c>
      <c r="I61" s="4" t="inlineStr">
        <is>
          <t>TAHMİN</t>
        </is>
      </c>
      <c r="J61" s="4" t="inlineStr"/>
    </row>
    <row r="62">
      <c r="A62" s="14" t="n"/>
      <c r="B62" s="14" t="inlineStr">
        <is>
          <t>3001.B</t>
        </is>
      </c>
      <c r="C62" s="4" t="inlineStr">
        <is>
          <t>Kablo koruma borusu HDPE Ø110 – depo ana güzergah</t>
        </is>
      </c>
      <c r="D62" s="14" t="inlineStr">
        <is>
          <t>m</t>
        </is>
      </c>
      <c r="E62" s="22" t="n">
        <v>880</v>
      </c>
      <c r="F62" s="22" t="n">
        <v>880</v>
      </c>
      <c r="G62" s="23" t="n">
        <v>7</v>
      </c>
      <c r="H62" s="15">
        <f>F62*G62</f>
        <v/>
      </c>
      <c r="I62" s="4" t="inlineStr">
        <is>
          <t>TAHMİN</t>
        </is>
      </c>
      <c r="J62" s="4" t="inlineStr"/>
    </row>
    <row r="63">
      <c r="A63" s="14" t="n"/>
      <c r="B63" s="14" t="inlineStr">
        <is>
          <t>3001.B</t>
        </is>
      </c>
      <c r="C63" s="4" t="inlineStr">
        <is>
          <t>Kablo koruma borusu HDPE Ø50 – depo</t>
        </is>
      </c>
      <c r="D63" s="14" t="inlineStr">
        <is>
          <t>m</t>
        </is>
      </c>
      <c r="E63" s="22" t="n">
        <v>1452</v>
      </c>
      <c r="F63" s="25" t="n">
        <v>2200</v>
      </c>
      <c r="G63" s="23" t="n">
        <v>3</v>
      </c>
      <c r="H63" s="15">
        <f>F63*G63</f>
        <v/>
      </c>
      <c r="I63" s="4" t="inlineStr">
        <is>
          <t>TAHMİN</t>
        </is>
      </c>
      <c r="J63" s="4" t="inlineStr">
        <is>
          <t>Cihaz sayısı artışı</t>
        </is>
      </c>
    </row>
    <row r="64">
      <c r="A64" s="14" t="n"/>
      <c r="B64" s="14" t="inlineStr">
        <is>
          <t>3001.B</t>
        </is>
      </c>
      <c r="C64" s="4" t="inlineStr">
        <is>
          <t>Kabin / sinyal direği / MSP temelleri</t>
        </is>
      </c>
      <c r="D64" s="14" t="inlineStr">
        <is>
          <t>adet</t>
        </is>
      </c>
      <c r="E64" s="22" t="n">
        <v>27</v>
      </c>
      <c r="F64" s="25" t="n">
        <v>47</v>
      </c>
      <c r="G64" s="23" t="n">
        <v>350</v>
      </c>
      <c r="H64" s="15">
        <f>F64*G64</f>
        <v/>
      </c>
      <c r="I64" s="4" t="inlineStr">
        <is>
          <t>TAHMİN</t>
        </is>
      </c>
      <c r="J64" s="4" t="inlineStr">
        <is>
          <t>+20 lamba direği</t>
        </is>
      </c>
    </row>
    <row r="65">
      <c r="A65" s="14" t="n"/>
      <c r="B65" s="14" t="inlineStr">
        <is>
          <t>3001.B</t>
        </is>
      </c>
      <c r="C65" s="4" t="inlineStr">
        <is>
          <t>Depo güzergah/kilitleme yazılımı (15+ güzergah), test ve devreye alma</t>
        </is>
      </c>
      <c r="D65" s="14" t="inlineStr">
        <is>
          <t>set</t>
        </is>
      </c>
      <c r="E65" s="22" t="n">
        <v>1</v>
      </c>
      <c r="F65" s="22" t="n">
        <v>1</v>
      </c>
      <c r="G65" s="23" t="n">
        <v>70169</v>
      </c>
      <c r="H65" s="15">
        <f>F65*G65</f>
        <v/>
      </c>
      <c r="I65" s="4" t="inlineStr">
        <is>
          <t>REF (Elektroline EYAS)</t>
        </is>
      </c>
      <c r="J65" s="4" t="inlineStr"/>
    </row>
    <row r="66">
      <c r="A66" s="20" t="inlineStr">
        <is>
          <t>231</t>
        </is>
      </c>
      <c r="B66" s="20" t="inlineStr">
        <is>
          <t>3001.C</t>
        </is>
      </c>
      <c r="C66" s="20" t="inlineStr">
        <is>
          <t>Araç Üstü Sinyalizasyon Sistemi</t>
        </is>
      </c>
      <c r="D66" s="20" t="n"/>
      <c r="E66" s="20" t="inlineStr">
        <is>
          <t>RFQ tutarı →</t>
        </is>
      </c>
      <c r="F66" s="21">
        <f>SUMPRODUCT(E67:E73,G67:G73)</f>
        <v/>
      </c>
      <c r="G66" s="20" t="n"/>
      <c r="H66" s="21">
        <f>SUM(H67:H73)</f>
        <v/>
      </c>
      <c r="I66" s="20" t="n"/>
      <c r="J66" s="20" t="n"/>
    </row>
    <row r="67">
      <c r="A67" s="14" t="n"/>
      <c r="B67" s="14" t="inlineStr">
        <is>
          <t>3001.C</t>
        </is>
      </c>
      <c r="C67" s="4" t="inlineStr">
        <is>
          <t>Araç sinyalizasyon işletim paneli – her kabine 1</t>
        </is>
      </c>
      <c r="D67" s="14" t="inlineStr">
        <is>
          <t>adet</t>
        </is>
      </c>
      <c r="E67" s="22" t="n">
        <v>30</v>
      </c>
      <c r="F67" s="25">
        <f>2*Varsayimlar!$B$10</f>
        <v/>
      </c>
      <c r="G67" s="23" t="n">
        <v>1500</v>
      </c>
      <c r="H67" s="15">
        <f>F67*G67</f>
        <v/>
      </c>
      <c r="I67" s="4" t="inlineStr">
        <is>
          <t>TAHMİN</t>
        </is>
      </c>
      <c r="J67" s="4" t="inlineStr">
        <is>
          <t>İdare soru 2: 14 araç</t>
        </is>
      </c>
    </row>
    <row r="68">
      <c r="A68" s="14" t="n"/>
      <c r="B68" s="14" t="inlineStr">
        <is>
          <t>3001.C</t>
        </is>
      </c>
      <c r="C68" s="4" t="inlineStr">
        <is>
          <t>Araç alıcı-verici (transponder) + alt şasi anteni – her uca 1</t>
        </is>
      </c>
      <c r="D68" s="14" t="inlineStr">
        <is>
          <t>adet</t>
        </is>
      </c>
      <c r="E68" s="22" t="n">
        <v>30</v>
      </c>
      <c r="F68" s="25">
        <f>2*Varsayimlar!$B$10</f>
        <v/>
      </c>
      <c r="G68" s="23" t="n">
        <v>2500</v>
      </c>
      <c r="H68" s="15">
        <f>F68*G68</f>
        <v/>
      </c>
      <c r="I68" s="4" t="inlineStr">
        <is>
          <t>TAHMİN (H&amp;K HCS-V 5.047/kabin)</t>
        </is>
      </c>
      <c r="J68" s="4" t="inlineStr">
        <is>
          <t>14 araç</t>
        </is>
      </c>
    </row>
    <row r="69">
      <c r="A69" s="14" t="n"/>
      <c r="B69" s="14" t="inlineStr">
        <is>
          <t>3001.C</t>
        </is>
      </c>
      <c r="C69" s="4" t="inlineStr">
        <is>
          <t>Araç üstü sinyalizasyon kontrol/kodlayıcı birimi (EN 50155)</t>
        </is>
      </c>
      <c r="D69" s="14" t="inlineStr">
        <is>
          <t>adet</t>
        </is>
      </c>
      <c r="E69" s="22" t="n">
        <v>15</v>
      </c>
      <c r="F69" s="25">
        <f>Varsayimlar!$B$10</f>
        <v/>
      </c>
      <c r="G69" s="23" t="n">
        <v>6000</v>
      </c>
      <c r="H69" s="15">
        <f>F69*G69</f>
        <v/>
      </c>
      <c r="I69" s="4" t="inlineStr">
        <is>
          <t>TAHMİN</t>
        </is>
      </c>
      <c r="J69" s="4" t="inlineStr">
        <is>
          <t>14 araç</t>
        </is>
      </c>
    </row>
    <row r="70">
      <c r="A70" s="14" t="n"/>
      <c r="B70" s="14" t="inlineStr">
        <is>
          <t>3001.C</t>
        </is>
      </c>
      <c r="C70" s="4" t="inlineStr">
        <is>
          <t>Anten kabloları, araç içi kablaj ve montaj aparatları</t>
        </is>
      </c>
      <c r="D70" s="14" t="inlineStr">
        <is>
          <t>set</t>
        </is>
      </c>
      <c r="E70" s="22" t="n">
        <v>15</v>
      </c>
      <c r="F70" s="25">
        <f>Varsayimlar!$B$10</f>
        <v/>
      </c>
      <c r="G70" s="23" t="n">
        <v>1500</v>
      </c>
      <c r="H70" s="15">
        <f>F70*G70</f>
        <v/>
      </c>
      <c r="I70" s="4" t="inlineStr">
        <is>
          <t>TAHMİN</t>
        </is>
      </c>
      <c r="J70" s="4" t="inlineStr">
        <is>
          <t>14 araç</t>
        </is>
      </c>
    </row>
    <row r="71">
      <c r="A71" s="14" t="n"/>
      <c r="B71" s="14" t="inlineStr">
        <is>
          <t>3001.C</t>
        </is>
      </c>
      <c r="C71" s="4" t="inlineStr">
        <is>
          <t>Araç arayüzü (hız/odometri, kabin aktif, kapı, TCMS/AVLS)</t>
        </is>
      </c>
      <c r="D71" s="14" t="inlineStr">
        <is>
          <t>set</t>
        </is>
      </c>
      <c r="E71" s="22" t="n">
        <v>15</v>
      </c>
      <c r="F71" s="25">
        <f>Varsayimlar!$B$10</f>
        <v/>
      </c>
      <c r="G71" s="23" t="n">
        <v>2000</v>
      </c>
      <c r="H71" s="15">
        <f>F71*G71</f>
        <v/>
      </c>
      <c r="I71" s="4" t="inlineStr">
        <is>
          <t>TAHMİN</t>
        </is>
      </c>
      <c r="J71" s="4" t="inlineStr">
        <is>
          <t>14 araç</t>
        </is>
      </c>
    </row>
    <row r="72">
      <c r="A72" s="14" t="n"/>
      <c r="B72" s="14" t="inlineStr">
        <is>
          <t>3001.C</t>
        </is>
      </c>
      <c r="C72" s="4" t="inlineStr">
        <is>
          <t>Araç tipi entegrasyon mühendisliği + ilk araç tip testi</t>
        </is>
      </c>
      <c r="D72" s="14" t="inlineStr">
        <is>
          <t>set</t>
        </is>
      </c>
      <c r="E72" s="22" t="n">
        <v>1</v>
      </c>
      <c r="F72" s="22" t="n">
        <v>1</v>
      </c>
      <c r="G72" s="23" t="n">
        <v>30000</v>
      </c>
      <c r="H72" s="15">
        <f>F72*G72</f>
        <v/>
      </c>
      <c r="I72" s="4" t="inlineStr">
        <is>
          <t>TAHMİN</t>
        </is>
      </c>
      <c r="J72" s="4" t="inlineStr">
        <is>
          <t>Araç ayrı ihale; arayüz yüklenicide</t>
        </is>
      </c>
    </row>
    <row r="73">
      <c r="A73" s="14" t="n"/>
      <c r="B73" s="14" t="inlineStr">
        <is>
          <t>3001.C</t>
        </is>
      </c>
      <c r="C73" s="4" t="inlineStr">
        <is>
          <t>Araç başına montaj + statik/dinamik test</t>
        </is>
      </c>
      <c r="D73" s="14" t="inlineStr">
        <is>
          <t>adet</t>
        </is>
      </c>
      <c r="E73" s="22" t="n">
        <v>15</v>
      </c>
      <c r="F73" s="25">
        <f>Varsayimlar!$B$10</f>
        <v/>
      </c>
      <c r="G73" s="23" t="n">
        <v>2411</v>
      </c>
      <c r="H73" s="15">
        <f>F73*G73</f>
        <v/>
      </c>
      <c r="I73" s="4" t="inlineStr">
        <is>
          <t>REF (H&amp;K Konya)</t>
        </is>
      </c>
      <c r="J73" s="4" t="inlineStr">
        <is>
          <t>14 araç</t>
        </is>
      </c>
    </row>
    <row r="74">
      <c r="A74" s="20" t="inlineStr">
        <is>
          <t>232</t>
        </is>
      </c>
      <c r="B74" s="20" t="inlineStr">
        <is>
          <t>3001.D</t>
        </is>
      </c>
      <c r="C74" s="20" t="inlineStr">
        <is>
          <t>Sinyalizasyon Merkez Donanımı &amp; Sistem Yazılımları</t>
        </is>
      </c>
      <c r="D74" s="20" t="n"/>
      <c r="E74" s="20" t="inlineStr">
        <is>
          <t>RFQ tutarı →</t>
        </is>
      </c>
      <c r="F74" s="21">
        <f>SUMPRODUCT(E75:E87,G75:G87)</f>
        <v/>
      </c>
      <c r="G74" s="20" t="n"/>
      <c r="H74" s="21">
        <f>SUM(H75:H87)</f>
        <v/>
      </c>
      <c r="I74" s="20" t="n"/>
      <c r="J74" s="20" t="n"/>
    </row>
    <row r="75">
      <c r="A75" s="14" t="n"/>
      <c r="B75" s="14" t="inlineStr">
        <is>
          <t>3001.D</t>
        </is>
      </c>
      <c r="C75" s="4" t="inlineStr">
        <is>
          <t>Sinyalizasyon ana işlemcisi (sunucu) – sıcak yedekli</t>
        </is>
      </c>
      <c r="D75" s="14" t="inlineStr">
        <is>
          <t>adet</t>
        </is>
      </c>
      <c r="E75" s="22" t="n">
        <v>2</v>
      </c>
      <c r="F75" s="22" t="n">
        <v>2</v>
      </c>
      <c r="G75" s="23" t="n">
        <v>11925</v>
      </c>
      <c r="H75" s="15">
        <f>F75*G75</f>
        <v/>
      </c>
      <c r="I75" s="4" t="inlineStr">
        <is>
          <t>REF (3 ref)</t>
        </is>
      </c>
      <c r="J75" s="4" t="inlineStr"/>
    </row>
    <row r="76">
      <c r="A76" s="14" t="n"/>
      <c r="B76" s="14" t="inlineStr">
        <is>
          <t>3001.D</t>
        </is>
      </c>
      <c r="C76" s="4" t="inlineStr">
        <is>
          <t>Sunucu konsolu KVM + 21" LCD</t>
        </is>
      </c>
      <c r="D76" s="14" t="inlineStr">
        <is>
          <t>takım</t>
        </is>
      </c>
      <c r="E76" s="22" t="n">
        <v>1</v>
      </c>
      <c r="F76" s="22" t="n">
        <v>1</v>
      </c>
      <c r="G76" s="23" t="n">
        <v>2500</v>
      </c>
      <c r="H76" s="15">
        <f>F76*G76</f>
        <v/>
      </c>
      <c r="I76" s="4" t="inlineStr">
        <is>
          <t>TAHMİN</t>
        </is>
      </c>
      <c r="J76" s="4" t="inlineStr"/>
    </row>
    <row r="77">
      <c r="A77" s="14" t="n"/>
      <c r="B77" s="14" t="inlineStr">
        <is>
          <t>3001.D</t>
        </is>
      </c>
      <c r="C77" s="4" t="inlineStr">
        <is>
          <t>19" sinyalizasyon cihaz dolabı + PDU</t>
        </is>
      </c>
      <c r="D77" s="14" t="inlineStr">
        <is>
          <t>adet</t>
        </is>
      </c>
      <c r="E77" s="22" t="n">
        <v>1</v>
      </c>
      <c r="F77" s="22" t="n">
        <v>1</v>
      </c>
      <c r="G77" s="23" t="n">
        <v>4000</v>
      </c>
      <c r="H77" s="15">
        <f>F77*G77</f>
        <v/>
      </c>
      <c r="I77" s="4" t="inlineStr">
        <is>
          <t>TAHMİN</t>
        </is>
      </c>
      <c r="J77" s="4" t="inlineStr"/>
    </row>
    <row r="78">
      <c r="A78" s="14" t="n"/>
      <c r="B78" s="14" t="inlineStr">
        <is>
          <t>3001.D</t>
        </is>
      </c>
      <c r="C78" s="4" t="inlineStr">
        <is>
          <t>Ana hat sinyalizasyon operatör iş istasyonu (2 monitör)</t>
        </is>
      </c>
      <c r="D78" s="14" t="inlineStr">
        <is>
          <t>takım</t>
        </is>
      </c>
      <c r="E78" s="22" t="n">
        <v>2</v>
      </c>
      <c r="F78" s="22" t="n">
        <v>2</v>
      </c>
      <c r="G78" s="23" t="n">
        <v>6000</v>
      </c>
      <c r="H78" s="15">
        <f>F78*G78</f>
        <v/>
      </c>
      <c r="I78" s="4" t="inlineStr">
        <is>
          <t>TAHMİN</t>
        </is>
      </c>
      <c r="J78" s="4" t="inlineStr"/>
    </row>
    <row r="79">
      <c r="A79" s="14" t="n"/>
      <c r="B79" s="14" t="inlineStr">
        <is>
          <t>3001.D</t>
        </is>
      </c>
      <c r="C79" s="4" t="inlineStr">
        <is>
          <t>Depo sinyalizasyon operatör iş istasyonu</t>
        </is>
      </c>
      <c r="D79" s="14" t="inlineStr">
        <is>
          <t>takım</t>
        </is>
      </c>
      <c r="E79" s="22" t="n">
        <v>1</v>
      </c>
      <c r="F79" s="22" t="n">
        <v>1</v>
      </c>
      <c r="G79" s="23" t="n">
        <v>5000</v>
      </c>
      <c r="H79" s="15">
        <f>F79*G79</f>
        <v/>
      </c>
      <c r="I79" s="4" t="inlineStr">
        <is>
          <t>TAHMİN</t>
        </is>
      </c>
      <c r="J79" s="4" t="inlineStr"/>
    </row>
    <row r="80">
      <c r="A80" s="14" t="n"/>
      <c r="B80" s="14" t="inlineStr">
        <is>
          <t>3001.D</t>
        </is>
      </c>
      <c r="C80" s="4" t="inlineStr">
        <is>
          <t>Sinyalizasyon LAN anahtarı (yedekli) + patch + çevirici</t>
        </is>
      </c>
      <c r="D80" s="14" t="inlineStr">
        <is>
          <t>takım</t>
        </is>
      </c>
      <c r="E80" s="22" t="n">
        <v>2</v>
      </c>
      <c r="F80" s="22" t="n">
        <v>2</v>
      </c>
      <c r="G80" s="23" t="n">
        <v>4000</v>
      </c>
      <c r="H80" s="15">
        <f>F80*G80</f>
        <v/>
      </c>
      <c r="I80" s="4" t="inlineStr">
        <is>
          <t>TAHMİN</t>
        </is>
      </c>
      <c r="J80" s="4" t="inlineStr"/>
    </row>
    <row r="81">
      <c r="A81" s="14" t="n"/>
      <c r="B81" s="14" t="inlineStr">
        <is>
          <t>3001.D</t>
        </is>
      </c>
      <c r="C81" s="4" t="inlineStr">
        <is>
          <t>Sinyalizasyon özel yazılımı + lisanslar (ana uygulama, sinoptik, protokoller)</t>
        </is>
      </c>
      <c r="D81" s="14" t="inlineStr">
        <is>
          <t>set</t>
        </is>
      </c>
      <c r="E81" s="22" t="n">
        <v>1</v>
      </c>
      <c r="F81" s="22" t="n">
        <v>1</v>
      </c>
      <c r="G81" s="23" t="n">
        <v>150000</v>
      </c>
      <c r="H81" s="15">
        <f>F81*G81</f>
        <v/>
      </c>
      <c r="I81" s="4" t="inlineStr">
        <is>
          <t>TAHMİN</t>
        </is>
      </c>
      <c r="J81" s="4" t="inlineStr">
        <is>
          <t>Tramvay referansı yok (metro CBTC ref. 2,7–12 M€ kullanılmadı)</t>
        </is>
      </c>
    </row>
    <row r="82">
      <c r="A82" s="14" t="n"/>
      <c r="B82" s="14" t="inlineStr">
        <is>
          <t>3001.D</t>
        </is>
      </c>
      <c r="C82" s="4" t="inlineStr">
        <is>
          <t>Araç ve sinyalizasyon simülatör yazılımı + PC</t>
        </is>
      </c>
      <c r="D82" s="14" t="inlineStr">
        <is>
          <t>set</t>
        </is>
      </c>
      <c r="E82" s="22" t="n">
        <v>1</v>
      </c>
      <c r="F82" s="22" t="n">
        <v>1</v>
      </c>
      <c r="G82" s="23" t="n">
        <v>40000</v>
      </c>
      <c r="H82" s="15">
        <f>F82*G82</f>
        <v/>
      </c>
      <c r="I82" s="4" t="inlineStr">
        <is>
          <t>TAHMİN</t>
        </is>
      </c>
      <c r="J82" s="4" t="inlineStr"/>
    </row>
    <row r="83">
      <c r="A83" s="14" t="n"/>
      <c r="B83" s="14" t="inlineStr">
        <is>
          <t>3001.D</t>
        </is>
      </c>
      <c r="C83" s="4" t="inlineStr">
        <is>
          <t>Arayüzler: AVLS, SCADA, NTP, YBS</t>
        </is>
      </c>
      <c r="D83" s="14" t="inlineStr">
        <is>
          <t>set</t>
        </is>
      </c>
      <c r="E83" s="22" t="n">
        <v>1</v>
      </c>
      <c r="F83" s="22" t="n">
        <v>1</v>
      </c>
      <c r="G83" s="23" t="n">
        <v>40000</v>
      </c>
      <c r="H83" s="15">
        <f>F83*G83</f>
        <v/>
      </c>
      <c r="I83" s="4" t="inlineStr">
        <is>
          <t>TAHMİN</t>
        </is>
      </c>
      <c r="J83" s="4" t="inlineStr"/>
    </row>
    <row r="84">
      <c r="A84" s="14" t="n"/>
      <c r="B84" s="14" t="inlineStr">
        <is>
          <t>3001.D</t>
        </is>
      </c>
      <c r="C84" s="4" t="inlineStr">
        <is>
          <t>Sistem mühendisliği hizmetleri</t>
        </is>
      </c>
      <c r="D84" s="14" t="inlineStr">
        <is>
          <t>ay</t>
        </is>
      </c>
      <c r="E84" s="22" t="n">
        <v>12</v>
      </c>
      <c r="F84" s="22" t="n">
        <v>12</v>
      </c>
      <c r="G84" s="23" t="n">
        <v>9000</v>
      </c>
      <c r="H84" s="15">
        <f>F84*G84</f>
        <v/>
      </c>
      <c r="I84" s="4" t="inlineStr">
        <is>
          <t>TAHMİN</t>
        </is>
      </c>
      <c r="J84" s="4" t="inlineStr"/>
    </row>
    <row r="85">
      <c r="A85" s="14" t="n"/>
      <c r="B85" s="14" t="inlineStr">
        <is>
          <t>3001.D</t>
        </is>
      </c>
      <c r="C85" s="4" t="inlineStr">
        <is>
          <t>Eğitim (10 kursiyer, 2 hafta) + dokümanlar</t>
        </is>
      </c>
      <c r="D85" s="14" t="inlineStr">
        <is>
          <t>set</t>
        </is>
      </c>
      <c r="E85" s="22" t="n">
        <v>1</v>
      </c>
      <c r="F85" s="22" t="n">
        <v>1</v>
      </c>
      <c r="G85" s="23" t="n">
        <v>15000</v>
      </c>
      <c r="H85" s="15">
        <f>F85*G85</f>
        <v/>
      </c>
      <c r="I85" s="4" t="inlineStr">
        <is>
          <t>TAHMİN (ref. 8.254–8.569/hafta)</t>
        </is>
      </c>
      <c r="J85" s="4" t="inlineStr"/>
    </row>
    <row r="86">
      <c r="A86" s="14" t="n"/>
      <c r="B86" s="14" t="inlineStr">
        <is>
          <t>3001.D</t>
        </is>
      </c>
      <c r="C86" s="4" t="inlineStr">
        <is>
          <t>Bakım/arıza bulma yazılımı + dizüstü teşhis bilgisayarı</t>
        </is>
      </c>
      <c r="D86" s="14" t="inlineStr">
        <is>
          <t>set</t>
        </is>
      </c>
      <c r="E86" s="22" t="n">
        <v>1</v>
      </c>
      <c r="F86" s="22" t="n">
        <v>1</v>
      </c>
      <c r="G86" s="23" t="n">
        <v>8000</v>
      </c>
      <c r="H86" s="15">
        <f>F86*G86</f>
        <v/>
      </c>
      <c r="I86" s="4" t="inlineStr">
        <is>
          <t>TAHMİN</t>
        </is>
      </c>
      <c r="J86" s="4" t="inlineStr"/>
    </row>
    <row r="87">
      <c r="A87" s="14" t="n"/>
      <c r="B87" s="14" t="inlineStr">
        <is>
          <t>3001.D</t>
        </is>
      </c>
      <c r="C87" s="4" t="inlineStr">
        <is>
          <t>Mevcut depo kontrol merkezi entegrasyonu – uyarlama ve lisans</t>
        </is>
      </c>
      <c r="D87" s="14" t="inlineStr">
        <is>
          <t>set</t>
        </is>
      </c>
      <c r="E87" s="22" t="n">
        <v>1</v>
      </c>
      <c r="F87" s="25" t="n">
        <v>0</v>
      </c>
      <c r="G87" s="23" t="n">
        <v>60000</v>
      </c>
      <c r="H87" s="15">
        <f>F87*G87</f>
        <v/>
      </c>
      <c r="I87" s="4" t="inlineStr">
        <is>
          <t>TAHMİN</t>
        </is>
      </c>
      <c r="J87" s="4" t="inlineStr">
        <is>
          <t>İdare soru 17: mevcut sistem yok</t>
        </is>
      </c>
    </row>
    <row r="88">
      <c r="A88" s="20" t="inlineStr">
        <is>
          <t>233</t>
        </is>
      </c>
      <c r="B88" s="20" t="inlineStr">
        <is>
          <t>3002</t>
        </is>
      </c>
      <c r="C88" s="20" t="inlineStr">
        <is>
          <t>Araç Takip Sistemi (AVLS) – araç üstü ve saha</t>
        </is>
      </c>
      <c r="D88" s="20" t="n"/>
      <c r="E88" s="20" t="inlineStr">
        <is>
          <t>RFQ tutarı →</t>
        </is>
      </c>
      <c r="F88" s="21">
        <f>SUMPRODUCT(E89:E96,G89:G96)</f>
        <v/>
      </c>
      <c r="G88" s="20" t="n"/>
      <c r="H88" s="21">
        <f>SUM(H89:H96)</f>
        <v/>
      </c>
      <c r="I88" s="20" t="n"/>
      <c r="J88" s="20" t="n"/>
    </row>
    <row r="89">
      <c r="A89" s="14" t="n"/>
      <c r="B89" s="14" t="inlineStr">
        <is>
          <t>3002</t>
        </is>
      </c>
      <c r="C89" s="4" t="inlineStr">
        <is>
          <t>Araç üstü AVLS bilgisayarı (EN 50155, 48 kanal GPS, LTE, odometri)</t>
        </is>
      </c>
      <c r="D89" s="14" t="inlineStr">
        <is>
          <t>adet</t>
        </is>
      </c>
      <c r="E89" s="22" t="n">
        <v>15</v>
      </c>
      <c r="F89" s="25">
        <f>Varsayimlar!$B$10</f>
        <v/>
      </c>
      <c r="G89" s="23" t="n">
        <v>3500</v>
      </c>
      <c r="H89" s="15">
        <f>F89*G89</f>
        <v/>
      </c>
      <c r="I89" s="4" t="inlineStr">
        <is>
          <t>TAHMİN</t>
        </is>
      </c>
      <c r="J89" s="4" t="inlineStr">
        <is>
          <t>14 araç</t>
        </is>
      </c>
    </row>
    <row r="90">
      <c r="A90" s="14" t="n"/>
      <c r="B90" s="14" t="inlineStr">
        <is>
          <t>3002</t>
        </is>
      </c>
      <c r="C90" s="4" t="inlineStr">
        <is>
          <t>Entegre GSM/GPS çatı anteni + kablosu</t>
        </is>
      </c>
      <c r="D90" s="14" t="inlineStr">
        <is>
          <t>adet</t>
        </is>
      </c>
      <c r="E90" s="22" t="n">
        <v>15</v>
      </c>
      <c r="F90" s="25">
        <f>Varsayimlar!$B$10</f>
        <v/>
      </c>
      <c r="G90" s="23" t="n">
        <v>400</v>
      </c>
      <c r="H90" s="15">
        <f>F90*G90</f>
        <v/>
      </c>
      <c r="I90" s="4" t="inlineStr">
        <is>
          <t>TAHMİN</t>
        </is>
      </c>
      <c r="J90" s="4" t="inlineStr">
        <is>
          <t>14 araç</t>
        </is>
      </c>
    </row>
    <row r="91">
      <c r="A91" s="14" t="n"/>
      <c r="B91" s="14" t="inlineStr">
        <is>
          <t>3002</t>
        </is>
      </c>
      <c r="C91" s="4" t="inlineStr">
        <is>
          <t>Sürücü HMI terminali – her kabine 1</t>
        </is>
      </c>
      <c r="D91" s="14" t="inlineStr">
        <is>
          <t>adet</t>
        </is>
      </c>
      <c r="E91" s="22" t="n">
        <v>30</v>
      </c>
      <c r="F91" s="25">
        <f>2*Varsayimlar!$B$10</f>
        <v/>
      </c>
      <c r="G91" s="23" t="n">
        <v>1500</v>
      </c>
      <c r="H91" s="15">
        <f>F91*G91</f>
        <v/>
      </c>
      <c r="I91" s="4" t="inlineStr">
        <is>
          <t>TAHMİN</t>
        </is>
      </c>
      <c r="J91" s="4" t="inlineStr">
        <is>
          <t>14 araç</t>
        </is>
      </c>
    </row>
    <row r="92">
      <c r="A92" s="14" t="n"/>
      <c r="B92" s="14" t="inlineStr">
        <is>
          <t>3002</t>
        </is>
      </c>
      <c r="C92" s="4" t="inlineStr">
        <is>
          <t>Araç içi arayüz (odometri, PIS/anons, sinyal paneli), kablaj, montaj</t>
        </is>
      </c>
      <c r="D92" s="14" t="inlineStr">
        <is>
          <t>set</t>
        </is>
      </c>
      <c r="E92" s="22" t="n">
        <v>15</v>
      </c>
      <c r="F92" s="25">
        <f>Varsayimlar!$B$10</f>
        <v/>
      </c>
      <c r="G92" s="23" t="n">
        <v>1500</v>
      </c>
      <c r="H92" s="15">
        <f>F92*G92</f>
        <v/>
      </c>
      <c r="I92" s="4" t="inlineStr">
        <is>
          <t>TAHMİN</t>
        </is>
      </c>
      <c r="J92" s="4" t="inlineStr">
        <is>
          <t>14 araç</t>
        </is>
      </c>
    </row>
    <row r="93">
      <c r="A93" s="14" t="n"/>
      <c r="B93" s="14" t="inlineStr">
        <is>
          <t>3002</t>
        </is>
      </c>
      <c r="C93" s="4" t="inlineStr">
        <is>
          <t>M2M data SIM / APN aktivasyonu</t>
        </is>
      </c>
      <c r="D93" s="14" t="inlineStr">
        <is>
          <t>adet</t>
        </is>
      </c>
      <c r="E93" s="22" t="n">
        <v>15</v>
      </c>
      <c r="F93" s="25">
        <f>Varsayimlar!$B$10</f>
        <v/>
      </c>
      <c r="G93" s="23" t="n">
        <v>100</v>
      </c>
      <c r="H93" s="15">
        <f>F93*G93</f>
        <v/>
      </c>
      <c r="I93" s="4" t="inlineStr">
        <is>
          <t>TAHMİN</t>
        </is>
      </c>
      <c r="J93" s="4" t="inlineStr">
        <is>
          <t>14 araç</t>
        </is>
      </c>
    </row>
    <row r="94">
      <c r="A94" s="14" t="n"/>
      <c r="B94" s="14" t="inlineStr">
        <is>
          <t>3002</t>
        </is>
      </c>
      <c r="C94" s="4" t="inlineStr">
        <is>
          <t>Depo veri indirme kablosuz erişim noktası</t>
        </is>
      </c>
      <c r="D94" s="14" t="inlineStr">
        <is>
          <t>adet</t>
        </is>
      </c>
      <c r="E94" s="22" t="n">
        <v>2</v>
      </c>
      <c r="F94" s="22" t="n">
        <v>2</v>
      </c>
      <c r="G94" s="23" t="n">
        <v>2500</v>
      </c>
      <c r="H94" s="15">
        <f>F94*G94</f>
        <v/>
      </c>
      <c r="I94" s="4" t="inlineStr">
        <is>
          <t>TAHMİN</t>
        </is>
      </c>
      <c r="J94" s="4" t="inlineStr"/>
    </row>
    <row r="95">
      <c r="A95" s="14" t="n"/>
      <c r="B95" s="14" t="inlineStr">
        <is>
          <t>3002</t>
        </is>
      </c>
      <c r="C95" s="4" t="inlineStr">
        <is>
          <t>Hat boyu lup konum verisinin AVLS'ye aktarımı</t>
        </is>
      </c>
      <c r="D95" s="14" t="inlineStr">
        <is>
          <t>set</t>
        </is>
      </c>
      <c r="E95" s="22" t="n">
        <v>1</v>
      </c>
      <c r="F95" s="22" t="n">
        <v>1</v>
      </c>
      <c r="G95" s="23" t="n">
        <v>10000</v>
      </c>
      <c r="H95" s="15">
        <f>F95*G95</f>
        <v/>
      </c>
      <c r="I95" s="4" t="inlineStr">
        <is>
          <t>TAHMİN</t>
        </is>
      </c>
      <c r="J95" s="4" t="inlineStr"/>
    </row>
    <row r="96">
      <c r="A96" s="14" t="n"/>
      <c r="B96" s="14" t="inlineStr">
        <is>
          <t>3002</t>
        </is>
      </c>
      <c r="C96" s="4" t="inlineStr">
        <is>
          <t>Kurulum, araç bazlı test ve devreye alma</t>
        </is>
      </c>
      <c r="D96" s="14" t="inlineStr">
        <is>
          <t>set</t>
        </is>
      </c>
      <c r="E96" s="22" t="n">
        <v>1</v>
      </c>
      <c r="F96" s="22" t="n">
        <v>1</v>
      </c>
      <c r="G96" s="23" t="n">
        <v>25000</v>
      </c>
      <c r="H96" s="15">
        <f>F96*G96</f>
        <v/>
      </c>
      <c r="I96" s="4" t="inlineStr">
        <is>
          <t>TAHMİN</t>
        </is>
      </c>
      <c r="J96" s="4" t="inlineStr"/>
    </row>
    <row r="97">
      <c r="A97" s="20" t="inlineStr">
        <is>
          <t>234</t>
        </is>
      </c>
      <c r="B97" s="20" t="inlineStr">
        <is>
          <t>3003</t>
        </is>
      </c>
      <c r="C97" s="20" t="inlineStr">
        <is>
          <t>Tramvay Araç Takip Sistemi Merkezi Donanımı ve Yazılımı</t>
        </is>
      </c>
      <c r="D97" s="20" t="n"/>
      <c r="E97" s="20" t="inlineStr">
        <is>
          <t>RFQ tutarı →</t>
        </is>
      </c>
      <c r="F97" s="21">
        <f>SUMPRODUCT(E98:E98,G98:G98)</f>
        <v/>
      </c>
      <c r="G97" s="20" t="n"/>
      <c r="H97" s="21">
        <f>SUM(H98:H98)</f>
        <v/>
      </c>
      <c r="I97" s="20" t="n"/>
      <c r="J97" s="20" t="n"/>
    </row>
    <row r="98">
      <c r="A98" s="14" t="n"/>
      <c r="B98" s="14" t="inlineStr">
        <is>
          <t>3003</t>
        </is>
      </c>
      <c r="C98" s="4" t="inlineStr">
        <is>
          <t>AVLS merkez paketi: yedekli sunucu, NAS, operatör PC, 65" duvar monitörü, VPN router/firewall, LAN, merkezi yazılım+lisans, belediye AVLS entegrasyonu, kurulum/test/eğitim</t>
        </is>
      </c>
      <c r="D98" s="14" t="inlineStr">
        <is>
          <t>set</t>
        </is>
      </c>
      <c r="E98" s="22" t="n">
        <v>1</v>
      </c>
      <c r="F98" s="22" t="n">
        <v>1</v>
      </c>
      <c r="G98" s="23" t="n">
        <v>136568</v>
      </c>
      <c r="H98" s="15">
        <f>F98*G98</f>
        <v/>
      </c>
      <c r="I98" s="4" t="inlineStr">
        <is>
          <t>REF (H&amp;K İzmir 136.568; Kocaeli 212.046)</t>
        </is>
      </c>
      <c r="J98" s="4" t="inlineStr">
        <is>
          <t>Mevcut belediye AVLS entegrasyonu dahil</t>
        </is>
      </c>
    </row>
    <row r="99">
      <c r="A99" s="20" t="inlineStr">
        <is>
          <t>235</t>
        </is>
      </c>
      <c r="B99" s="20" t="inlineStr">
        <is>
          <t>3004</t>
        </is>
      </c>
      <c r="C99" s="20" t="inlineStr">
        <is>
          <t>Araç Takip Sistemi Tasarımı</t>
        </is>
      </c>
      <c r="D99" s="20" t="n"/>
      <c r="E99" s="20" t="inlineStr">
        <is>
          <t>RFQ tutarı →</t>
        </is>
      </c>
      <c r="F99" s="21">
        <f>SUMPRODUCT(E100:E100,G100:G100)</f>
        <v/>
      </c>
      <c r="G99" s="20" t="n"/>
      <c r="H99" s="21">
        <f>SUM(H100:H100)</f>
        <v/>
      </c>
      <c r="I99" s="20" t="n"/>
      <c r="J99" s="20" t="n"/>
    </row>
    <row r="100">
      <c r="A100" s="14" t="n"/>
      <c r="B100" s="14" t="inlineStr">
        <is>
          <t>3004</t>
        </is>
      </c>
      <c r="C100" s="4" t="inlineStr">
        <is>
          <t>AVLS tasarımı: mimari, konumlandırma (GPS+odometri+lup), merkez ekranları, siber güvenlik, uygulama projeleri</t>
        </is>
      </c>
      <c r="D100" s="14" t="inlineStr">
        <is>
          <t>set</t>
        </is>
      </c>
      <c r="E100" s="22" t="n">
        <v>1</v>
      </c>
      <c r="F100" s="22" t="n">
        <v>1</v>
      </c>
      <c r="G100" s="23" t="n">
        <v>60000</v>
      </c>
      <c r="H100" s="15">
        <f>F100*G100</f>
        <v/>
      </c>
      <c r="I100" s="4" t="inlineStr">
        <is>
          <t>TAHMİN</t>
        </is>
      </c>
      <c r="J100" s="4" t="inlineStr"/>
    </row>
    <row r="102">
      <c r="C102" s="7" t="inlineStr">
        <is>
          <t>TOPLAM (idare cevaplarına göre düzeltilmiş)</t>
        </is>
      </c>
      <c r="H102" s="24">
        <f>H5+H7+H47+H66+H74+H88+H97+H99</f>
        <v/>
      </c>
    </row>
    <row r="103">
      <c r="C103" s="7" t="inlineStr">
        <is>
          <t>Karşılaştırma: RFQ miktarlarıyla aynı birim fiyatlardan tutar</t>
        </is>
      </c>
      <c r="H103" s="24">
        <f>F5+F7+F47+F66+F74+F88+F97+F99</f>
        <v/>
      </c>
    </row>
    <row r="104">
      <c r="C104" s="7" t="inlineStr">
        <is>
          <t>İdare cevaplarının net etkisi</t>
        </is>
      </c>
      <c r="H104" s="24">
        <f>H102-H103</f>
        <v/>
      </c>
    </row>
  </sheetData>
  <mergeCells count="1">
    <mergeCell ref="A2:J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0" customWidth="1" min="3" max="3"/>
    <col width="8" customWidth="1" min="4" max="4"/>
    <col width="13" customWidth="1" min="5" max="5"/>
    <col width="15" customWidth="1" min="6" max="6"/>
    <col width="15" customWidth="1" min="7" max="7"/>
    <col width="15" customWidth="1" min="8" max="8"/>
    <col width="34" customWidth="1" min="9" max="9"/>
    <col width="48" customWidth="1" min="10" max="10"/>
  </cols>
  <sheetData>
    <row r="1">
      <c r="A1" s="12" t="inlineStr">
        <is>
          <t>ELEKTRİFİKASYON (1) – KATENER – Sıra 220–226</t>
        </is>
      </c>
    </row>
    <row r="2" ht="42" customHeight="1">
      <c r="A2" s="2" t="inlineStr">
        <is>
          <t>Birim fiyatlar EUR, KDV hariç, montaj+test+devreye alma dahil. Sarı: değiştirilebilir. Turuncu miktar: idare cevabı (05.10.2026) ile RFQ'dan farklılaşan kalem. Kaynak kodları: REF = EM_Butce_Tahmini referans BF (geçmiş teklifler, HICP ile Ağu-2026); TEKLİF = 2026 firma teklifi; TAHMİN = mühendislik tahmini (referans yok).</t>
        </is>
      </c>
    </row>
    <row r="4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(RFQ)</t>
        </is>
      </c>
      <c r="F4" s="3" t="inlineStr">
        <is>
          <t>Miktar (idare cevabına göre)</t>
        </is>
      </c>
      <c r="G4" s="3" t="inlineStr">
        <is>
          <t>Birim fiyat EUR (montaj dahil)</t>
        </is>
      </c>
      <c r="H4" s="3" t="inlineStr">
        <is>
          <t>Tutar EUR</t>
        </is>
      </c>
      <c r="I4" s="3" t="inlineStr">
        <is>
          <t>Fiyat kaynağı</t>
        </is>
      </c>
      <c r="J4" s="3" t="inlineStr">
        <is>
          <t>Düzeltme / not</t>
        </is>
      </c>
    </row>
    <row r="5">
      <c r="A5" s="20" t="inlineStr">
        <is>
          <t>220</t>
        </is>
      </c>
      <c r="B5" s="20" t="inlineStr">
        <is>
          <t>2012.A</t>
        </is>
      </c>
      <c r="C5" s="20" t="inlineStr">
        <is>
          <t>Hat Boyu ve Depo Bağlantı Hatları Katener Sistemi</t>
        </is>
      </c>
      <c r="D5" s="20" t="n"/>
      <c r="E5" s="20" t="inlineStr">
        <is>
          <t>RFQ tutarı →</t>
        </is>
      </c>
      <c r="F5" s="21">
        <f>SUMPRODUCT(E6:E41,G6:G41)</f>
        <v/>
      </c>
      <c r="G5" s="20" t="n"/>
      <c r="H5" s="21">
        <f>SUM(H6:H41)</f>
        <v/>
      </c>
      <c r="I5" s="20" t="n"/>
      <c r="J5" s="20" t="n"/>
    </row>
    <row r="6">
      <c r="A6" s="14" t="n"/>
      <c r="B6" s="14" t="inlineStr">
        <is>
          <t>2012.A</t>
        </is>
      </c>
      <c r="C6" s="4" t="inlineStr">
        <is>
          <t>Kontak teli 120 mm² Cu ETP (EN 50149, Ø13,2) – çekme dahil</t>
        </is>
      </c>
      <c r="D6" s="14" t="inlineStr">
        <is>
          <t>m</t>
        </is>
      </c>
      <c r="E6" s="22" t="n">
        <v>18748.5</v>
      </c>
      <c r="F6" s="25">
        <f>18748.5*Varsayimlar!$B$8</f>
        <v/>
      </c>
      <c r="G6" s="23" t="n">
        <v>18</v>
      </c>
      <c r="H6" s="15">
        <f>F6*G6</f>
        <v/>
      </c>
      <c r="I6" s="4" t="inlineStr">
        <is>
          <t>REF BF 16 €/m (31 ref) + montaj</t>
        </is>
      </c>
      <c r="J6" s="4" t="inlineStr">
        <is>
          <t>Hat boyu 6,44/6,56 (Erbakır teklifi bekleniyor)</t>
        </is>
      </c>
    </row>
    <row r="7">
      <c r="A7" s="14" t="n"/>
      <c r="B7" s="14" t="inlineStr">
        <is>
          <t>2012.A</t>
        </is>
      </c>
      <c r="C7" s="4" t="inlineStr">
        <is>
          <t>Destek iletkeni 2×120 mm² Cu (iletken metresi)</t>
        </is>
      </c>
      <c r="D7" s="14" t="inlineStr">
        <is>
          <t>m</t>
        </is>
      </c>
      <c r="E7" s="22" t="n">
        <v>37497</v>
      </c>
      <c r="F7" s="25">
        <f>37497*Varsayimlar!$B$8</f>
        <v/>
      </c>
      <c r="G7" s="23" t="n">
        <v>16</v>
      </c>
      <c r="H7" s="15">
        <f>F7*G7</f>
        <v/>
      </c>
      <c r="I7" s="4" t="inlineStr">
        <is>
          <t>REF medyan 14 €/m + montaj</t>
        </is>
      </c>
      <c r="J7" s="4" t="inlineStr">
        <is>
          <t>Hat boyu oranı</t>
        </is>
      </c>
    </row>
    <row r="8">
      <c r="A8" s="14" t="n"/>
      <c r="B8" s="14" t="inlineStr">
        <is>
          <t>2012.A</t>
        </is>
      </c>
      <c r="C8" s="4" t="inlineStr">
        <is>
          <t>Konsol hoban komplesi (çift yalıtımlı) – hat</t>
        </is>
      </c>
      <c r="D8" s="14" t="inlineStr">
        <is>
          <t>adet</t>
        </is>
      </c>
      <c r="E8" s="22" t="n">
        <v>358</v>
      </c>
      <c r="F8" s="22" t="n">
        <v>358</v>
      </c>
      <c r="G8" s="23" t="n">
        <v>1116</v>
      </c>
      <c r="H8" s="15">
        <f>F8*G8</f>
        <v/>
      </c>
      <c r="I8" s="4" t="inlineStr">
        <is>
          <t>REF medyan (22 ref)</t>
        </is>
      </c>
      <c r="J8" s="4" t="inlineStr"/>
    </row>
    <row r="9">
      <c r="A9" s="14" t="n"/>
      <c r="B9" s="14" t="inlineStr">
        <is>
          <t>2012.A</t>
        </is>
      </c>
      <c r="C9" s="4" t="inlineStr">
        <is>
          <t>Konsol hoban komplesi – depo bağlantı hattı</t>
        </is>
      </c>
      <c r="D9" s="14" t="inlineStr">
        <is>
          <t>adet</t>
        </is>
      </c>
      <c r="E9" s="22" t="n">
        <v>40</v>
      </c>
      <c r="F9" s="22" t="n">
        <v>40</v>
      </c>
      <c r="G9" s="23" t="n">
        <v>1116</v>
      </c>
      <c r="H9" s="15">
        <f>F9*G9</f>
        <v/>
      </c>
      <c r="I9" s="4" t="inlineStr">
        <is>
          <t>REF</t>
        </is>
      </c>
      <c r="J9" s="4" t="inlineStr"/>
    </row>
    <row r="10">
      <c r="A10" s="14" t="n"/>
      <c r="B10" s="14" t="inlineStr">
        <is>
          <t>2012.A</t>
        </is>
      </c>
      <c r="C10" s="4" t="inlineStr">
        <is>
          <t>Otomatik gerdirme tertibatı (ağırlıklı, kontak + 2 destek)</t>
        </is>
      </c>
      <c r="D10" s="14" t="inlineStr">
        <is>
          <t>takım</t>
        </is>
      </c>
      <c r="E10" s="22" t="n">
        <v>48</v>
      </c>
      <c r="F10" s="22" t="n">
        <v>48</v>
      </c>
      <c r="G10" s="23" t="n">
        <v>2500</v>
      </c>
      <c r="H10" s="15">
        <f>F10*G10</f>
        <v/>
      </c>
      <c r="I10" s="4" t="inlineStr">
        <is>
          <t>REF BF (49 ref)</t>
        </is>
      </c>
      <c r="J10" s="4" t="inlineStr"/>
    </row>
    <row r="11">
      <c r="A11" s="14" t="n"/>
      <c r="B11" s="14" t="inlineStr">
        <is>
          <t>2012.A</t>
        </is>
      </c>
      <c r="C11" s="4" t="inlineStr">
        <is>
          <t>Antişöminman (mid-point) düzenlemesi</t>
        </is>
      </c>
      <c r="D11" s="14" t="inlineStr">
        <is>
          <t>takım</t>
        </is>
      </c>
      <c r="E11" s="22" t="n">
        <v>24</v>
      </c>
      <c r="F11" s="22" t="n">
        <v>24</v>
      </c>
      <c r="G11" s="23" t="n">
        <v>1164</v>
      </c>
      <c r="H11" s="15">
        <f>F11*G11</f>
        <v/>
      </c>
      <c r="I11" s="4" t="inlineStr">
        <is>
          <t>REF BF (28 ref)</t>
        </is>
      </c>
      <c r="J11" s="4" t="inlineStr"/>
    </row>
    <row r="12">
      <c r="A12" s="14" t="n"/>
      <c r="B12" s="14" t="inlineStr">
        <is>
          <t>2012.A</t>
        </is>
      </c>
      <c r="C12" s="4" t="inlineStr">
        <is>
          <t>Ankraj lentesi teçhizatı (ana hat)</t>
        </is>
      </c>
      <c r="D12" s="14" t="inlineStr">
        <is>
          <t>takım</t>
        </is>
      </c>
      <c r="E12" s="22" t="n">
        <v>66</v>
      </c>
      <c r="F12" s="25" t="n">
        <v>0</v>
      </c>
      <c r="G12" s="23" t="n">
        <v>485</v>
      </c>
      <c r="H12" s="15">
        <f>F12*G12</f>
        <v/>
      </c>
      <c r="I12" s="4" t="inlineStr">
        <is>
          <t>REF</t>
        </is>
      </c>
      <c r="J12" s="4" t="inlineStr">
        <is>
          <t>İdare soru 6: ana hatta lente yok</t>
        </is>
      </c>
    </row>
    <row r="13">
      <c r="A13" s="14" t="n"/>
      <c r="B13" s="14" t="inlineStr">
        <is>
          <t>2012.A</t>
        </is>
      </c>
      <c r="C13" s="4" t="inlineStr">
        <is>
          <t>Ankraj lentesi temeli – kazı (ana hat)</t>
        </is>
      </c>
      <c r="D13" s="14" t="inlineStr">
        <is>
          <t>m³</t>
        </is>
      </c>
      <c r="E13" s="22" t="n">
        <v>1014.8</v>
      </c>
      <c r="F13" s="25" t="n">
        <v>0</v>
      </c>
      <c r="G13" s="23" t="n">
        <v>8</v>
      </c>
      <c r="H13" s="15">
        <f>F13*G13</f>
        <v/>
      </c>
      <c r="I13" s="4" t="inlineStr">
        <is>
          <t>TAHMİN</t>
        </is>
      </c>
      <c r="J13" s="4" t="inlineStr">
        <is>
          <t>İdare soru 6</t>
        </is>
      </c>
    </row>
    <row r="14">
      <c r="A14" s="14" t="n"/>
      <c r="B14" s="14" t="inlineStr">
        <is>
          <t>2012.A</t>
        </is>
      </c>
      <c r="C14" s="4" t="inlineStr">
        <is>
          <t>Ankraj lentesi temeli – grobeton C16</t>
        </is>
      </c>
      <c r="D14" s="14" t="inlineStr">
        <is>
          <t>m³</t>
        </is>
      </c>
      <c r="E14" s="22" t="n">
        <v>48.1</v>
      </c>
      <c r="F14" s="25" t="n">
        <v>0</v>
      </c>
      <c r="G14" s="23" t="n">
        <v>75</v>
      </c>
      <c r="H14" s="15">
        <f>F14*G14</f>
        <v/>
      </c>
      <c r="I14" s="4" t="inlineStr">
        <is>
          <t>TAHMİN</t>
        </is>
      </c>
      <c r="J14" s="4" t="inlineStr">
        <is>
          <t>İdare soru 6</t>
        </is>
      </c>
    </row>
    <row r="15">
      <c r="A15" s="14" t="n"/>
      <c r="B15" s="14" t="inlineStr">
        <is>
          <t>2012.A</t>
        </is>
      </c>
      <c r="C15" s="4" t="inlineStr">
        <is>
          <t>Ankraj lentesi temeli – C25/30 beton</t>
        </is>
      </c>
      <c r="D15" s="14" t="inlineStr">
        <is>
          <t>m³</t>
        </is>
      </c>
      <c r="E15" s="22" t="n">
        <v>618.8</v>
      </c>
      <c r="F15" s="25" t="n">
        <v>0</v>
      </c>
      <c r="G15" s="23" t="n">
        <v>95</v>
      </c>
      <c r="H15" s="15">
        <f>F15*G15</f>
        <v/>
      </c>
      <c r="I15" s="4" t="inlineStr">
        <is>
          <t>TAHMİN</t>
        </is>
      </c>
      <c r="J15" s="4" t="inlineStr">
        <is>
          <t>İdare soru 6</t>
        </is>
      </c>
    </row>
    <row r="16">
      <c r="A16" s="14" t="n"/>
      <c r="B16" s="14" t="inlineStr">
        <is>
          <t>2012.A</t>
        </is>
      </c>
      <c r="C16" s="4" t="inlineStr">
        <is>
          <t>Ankraj lentesi temeli – kalıp</t>
        </is>
      </c>
      <c r="D16" s="14" t="inlineStr">
        <is>
          <t>m²</t>
        </is>
      </c>
      <c r="E16" s="22" t="n">
        <v>990</v>
      </c>
      <c r="F16" s="25" t="n">
        <v>0</v>
      </c>
      <c r="G16" s="23" t="n">
        <v>15</v>
      </c>
      <c r="H16" s="15">
        <f>F16*G16</f>
        <v/>
      </c>
      <c r="I16" s="4" t="inlineStr">
        <is>
          <t>TAHMİN</t>
        </is>
      </c>
      <c r="J16" s="4" t="inlineStr">
        <is>
          <t>İdare soru 6</t>
        </is>
      </c>
    </row>
    <row r="17">
      <c r="A17" s="14" t="n"/>
      <c r="B17" s="14" t="inlineStr">
        <is>
          <t>2012.A</t>
        </is>
      </c>
      <c r="C17" s="4" t="inlineStr">
        <is>
          <t>Ankraj lentesi temeli – donatı B500C</t>
        </is>
      </c>
      <c r="D17" s="14" t="inlineStr">
        <is>
          <t>kg</t>
        </is>
      </c>
      <c r="E17" s="22" t="n">
        <v>37125</v>
      </c>
      <c r="F17" s="25" t="n">
        <v>0</v>
      </c>
      <c r="G17" s="23" t="n">
        <v>0.9</v>
      </c>
      <c r="H17" s="15">
        <f>F17*G17</f>
        <v/>
      </c>
      <c r="I17" s="4" t="inlineStr">
        <is>
          <t>TAHMİN</t>
        </is>
      </c>
      <c r="J17" s="4" t="inlineStr">
        <is>
          <t>İdare soru 6</t>
        </is>
      </c>
    </row>
    <row r="18">
      <c r="A18" s="14" t="n"/>
      <c r="B18" s="14" t="inlineStr">
        <is>
          <t>2012.A</t>
        </is>
      </c>
      <c r="C18" s="4" t="inlineStr">
        <is>
          <t>Ankraj lentesi temeli – ankraj çubuğu/gömme plaka M36</t>
        </is>
      </c>
      <c r="D18" s="14" t="inlineStr">
        <is>
          <t>takım</t>
        </is>
      </c>
      <c r="E18" s="22" t="n">
        <v>66</v>
      </c>
      <c r="F18" s="25" t="n">
        <v>0</v>
      </c>
      <c r="G18" s="23" t="n">
        <v>250</v>
      </c>
      <c r="H18" s="15">
        <f>F18*G18</f>
        <v/>
      </c>
      <c r="I18" s="4" t="inlineStr">
        <is>
          <t>TAHMİN</t>
        </is>
      </c>
      <c r="J18" s="4" t="inlineStr">
        <is>
          <t>İdare soru 6</t>
        </is>
      </c>
    </row>
    <row r="19">
      <c r="A19" s="14" t="n"/>
      <c r="B19" s="14" t="inlineStr">
        <is>
          <t>2012.A</t>
        </is>
      </c>
      <c r="C19" s="4" t="inlineStr">
        <is>
          <t>Ankraj lentesi temeli – geri dolgu</t>
        </is>
      </c>
      <c r="D19" s="14" t="inlineStr">
        <is>
          <t>m³</t>
        </is>
      </c>
      <c r="E19" s="22" t="n">
        <v>348</v>
      </c>
      <c r="F19" s="25" t="n">
        <v>0</v>
      </c>
      <c r="G19" s="23" t="n">
        <v>6</v>
      </c>
      <c r="H19" s="15">
        <f>F19*G19</f>
        <v/>
      </c>
      <c r="I19" s="4" t="inlineStr">
        <is>
          <t>TAHMİN</t>
        </is>
      </c>
      <c r="J19" s="4" t="inlineStr">
        <is>
          <t>İdare soru 6</t>
        </is>
      </c>
    </row>
    <row r="20">
      <c r="A20" s="14" t="n"/>
      <c r="B20" s="14" t="inlineStr">
        <is>
          <t>2012.A</t>
        </is>
      </c>
      <c r="C20" s="4" t="inlineStr">
        <is>
          <t>Ankraj direk başı bağlantı (ankraj konsolu, gergi klemensi)</t>
        </is>
      </c>
      <c r="D20" s="14" t="inlineStr">
        <is>
          <t>adet</t>
        </is>
      </c>
      <c r="E20" s="22" t="n">
        <v>78</v>
      </c>
      <c r="F20" s="22" t="n">
        <v>78</v>
      </c>
      <c r="G20" s="23" t="n">
        <v>600</v>
      </c>
      <c r="H20" s="15">
        <f>F20*G20</f>
        <v/>
      </c>
      <c r="I20" s="4" t="inlineStr">
        <is>
          <t>TAHMİN</t>
        </is>
      </c>
      <c r="J20" s="4" t="inlineStr">
        <is>
          <t>Lentesiz ankraj: T3-D direkleri</t>
        </is>
      </c>
    </row>
    <row r="21">
      <c r="A21" s="14" t="n"/>
      <c r="B21" s="14" t="inlineStr">
        <is>
          <t>2012.A</t>
        </is>
      </c>
      <c r="C21" s="4" t="inlineStr">
        <is>
          <t>Hava aralıklı overlap (mekanik, izolesiz)</t>
        </is>
      </c>
      <c r="D21" s="14" t="inlineStr">
        <is>
          <t>adet</t>
        </is>
      </c>
      <c r="E21" s="22" t="n">
        <v>12</v>
      </c>
      <c r="F21" s="22" t="n">
        <v>12</v>
      </c>
      <c r="G21" s="23" t="n">
        <v>3000</v>
      </c>
      <c r="H21" s="15">
        <f>F21*G21</f>
        <v/>
      </c>
      <c r="I21" s="4" t="inlineStr">
        <is>
          <t>TAHMİN</t>
        </is>
      </c>
      <c r="J21" s="4" t="inlineStr"/>
    </row>
    <row r="22">
      <c r="A22" s="14" t="n"/>
      <c r="B22" s="14" t="inlineStr">
        <is>
          <t>2012.A</t>
        </is>
      </c>
      <c r="C22" s="4" t="inlineStr">
        <is>
          <t>Hava aralıklı izoleli seksiyon overlap (TM önü)</t>
        </is>
      </c>
      <c r="D22" s="14" t="inlineStr">
        <is>
          <t>adet</t>
        </is>
      </c>
      <c r="E22" s="22" t="n">
        <v>10</v>
      </c>
      <c r="F22" s="22" t="n">
        <v>10</v>
      </c>
      <c r="G22" s="23" t="n">
        <v>4000</v>
      </c>
      <c r="H22" s="15">
        <f>F22*G22</f>
        <v/>
      </c>
      <c r="I22" s="4" t="inlineStr">
        <is>
          <t>TAHMİN</t>
        </is>
      </c>
      <c r="J22" s="4" t="inlineStr"/>
    </row>
    <row r="23">
      <c r="A23" s="14" t="n"/>
      <c r="B23" s="14" t="inlineStr">
        <is>
          <t>2012.A</t>
        </is>
      </c>
      <c r="C23" s="4" t="inlineStr">
        <is>
          <t>Makas bölgesi hava makası</t>
        </is>
      </c>
      <c r="D23" s="14" t="inlineStr">
        <is>
          <t>adet</t>
        </is>
      </c>
      <c r="E23" s="22" t="n">
        <v>16</v>
      </c>
      <c r="F23" s="22" t="n">
        <v>16</v>
      </c>
      <c r="G23" s="23" t="n">
        <v>2500</v>
      </c>
      <c r="H23" s="15">
        <f>F23*G23</f>
        <v/>
      </c>
      <c r="I23" s="4" t="inlineStr">
        <is>
          <t>TAHMİN</t>
        </is>
      </c>
      <c r="J23" s="4" t="inlineStr"/>
    </row>
    <row r="24">
      <c r="A24" s="14" t="n"/>
      <c r="B24" s="14" t="inlineStr">
        <is>
          <t>2012.A</t>
        </is>
      </c>
      <c r="C24" s="4" t="inlineStr">
        <is>
          <t>Kruvazman katener kesişmesi</t>
        </is>
      </c>
      <c r="D24" s="14" t="inlineStr">
        <is>
          <t>adet</t>
        </is>
      </c>
      <c r="E24" s="22" t="n">
        <v>2</v>
      </c>
      <c r="F24" s="22" t="n">
        <v>2</v>
      </c>
      <c r="G24" s="23" t="n">
        <v>5000</v>
      </c>
      <c r="H24" s="15">
        <f>F24*G24</f>
        <v/>
      </c>
      <c r="I24" s="4" t="inlineStr">
        <is>
          <t>TAHMİN</t>
        </is>
      </c>
      <c r="J24" s="4" t="inlineStr"/>
    </row>
    <row r="25">
      <c r="A25" s="14" t="n"/>
      <c r="B25" s="14" t="inlineStr">
        <is>
          <t>2012.A</t>
        </is>
      </c>
      <c r="C25" s="4" t="inlineStr">
        <is>
          <t>Yaylı gerdirme tertibatı (makas diyagonalleri)</t>
        </is>
      </c>
      <c r="D25" s="14" t="inlineStr">
        <is>
          <t>takım</t>
        </is>
      </c>
      <c r="E25" s="22" t="n">
        <v>12</v>
      </c>
      <c r="F25" s="22" t="n">
        <v>12</v>
      </c>
      <c r="G25" s="23" t="n">
        <v>1481</v>
      </c>
      <c r="H25" s="15">
        <f>F25*G25</f>
        <v/>
      </c>
      <c r="I25" s="4" t="inlineStr">
        <is>
          <t>REF BF (10 ref)</t>
        </is>
      </c>
      <c r="J25" s="4" t="inlineStr"/>
    </row>
    <row r="26">
      <c r="A26" s="14" t="n"/>
      <c r="B26" s="14" t="inlineStr">
        <is>
          <t>2012.A</t>
        </is>
      </c>
      <c r="C26" s="4" t="inlineStr">
        <is>
          <t>Seksiyon izolatörü ünitesi</t>
        </is>
      </c>
      <c r="D26" s="14" t="inlineStr">
        <is>
          <t>adet</t>
        </is>
      </c>
      <c r="E26" s="22" t="n">
        <v>8</v>
      </c>
      <c r="F26" s="22" t="n">
        <v>8</v>
      </c>
      <c r="G26" s="23" t="n">
        <v>2070</v>
      </c>
      <c r="H26" s="15">
        <f>F26*G26</f>
        <v/>
      </c>
      <c r="I26" s="4" t="inlineStr">
        <is>
          <t>REF BF (21 ref)</t>
        </is>
      </c>
      <c r="J26" s="4" t="inlineStr">
        <is>
          <t>DeSA / Arthur Flury teklifi bekleniyor</t>
        </is>
      </c>
    </row>
    <row r="27">
      <c r="A27" s="14" t="n"/>
      <c r="B27" s="14" t="inlineStr">
        <is>
          <t>2012.A</t>
        </is>
      </c>
      <c r="C27" s="4" t="inlineStr">
        <is>
          <t>Motorlu yük ayırıcı 4000 A DC, direk tipi, SCADA arabirimli</t>
        </is>
      </c>
      <c r="D27" s="14" t="inlineStr">
        <is>
          <t>adet</t>
        </is>
      </c>
      <c r="E27" s="22" t="n">
        <v>13</v>
      </c>
      <c r="F27" s="22" t="n">
        <v>13</v>
      </c>
      <c r="G27" s="23" t="n">
        <v>6000</v>
      </c>
      <c r="H27" s="15">
        <f>F27*G27</f>
        <v/>
      </c>
      <c r="I27" s="4" t="inlineStr">
        <is>
          <t>REF medyan 4.825 + motor tahrik payı</t>
        </is>
      </c>
      <c r="J27" s="4" t="inlineStr"/>
    </row>
    <row r="28">
      <c r="A28" s="14" t="n"/>
      <c r="B28" s="14" t="inlineStr">
        <is>
          <t>2012.A</t>
        </is>
      </c>
      <c r="C28" s="4" t="inlineStr">
        <is>
          <t>Aşırı gerilim koruyucu VLD (ray–direk)</t>
        </is>
      </c>
      <c r="D28" s="14" t="inlineStr">
        <is>
          <t>adet</t>
        </is>
      </c>
      <c r="E28" s="22" t="n">
        <v>13</v>
      </c>
      <c r="F28" s="22" t="n">
        <v>13</v>
      </c>
      <c r="G28" s="23" t="n">
        <v>594</v>
      </c>
      <c r="H28" s="15">
        <f>F28*G28</f>
        <v/>
      </c>
      <c r="I28" s="4" t="inlineStr">
        <is>
          <t>REF medyan (5 ref)</t>
        </is>
      </c>
      <c r="J28" s="4" t="inlineStr"/>
    </row>
    <row r="29">
      <c r="A29" s="14" t="n"/>
      <c r="B29" s="14" t="inlineStr">
        <is>
          <t>2012.A</t>
        </is>
      </c>
      <c r="C29" s="4" t="inlineStr">
        <is>
          <t>Besleme (fider) bağlantı düzeneği (bara izolatörü, 1×300 çıkış)</t>
        </is>
      </c>
      <c r="D29" s="14" t="inlineStr">
        <is>
          <t>takım</t>
        </is>
      </c>
      <c r="E29" s="22" t="n">
        <v>16</v>
      </c>
      <c r="F29" s="22" t="n">
        <v>16</v>
      </c>
      <c r="G29" s="23" t="n">
        <v>1500</v>
      </c>
      <c r="H29" s="15">
        <f>F29*G29</f>
        <v/>
      </c>
      <c r="I29" s="4" t="inlineStr">
        <is>
          <t>TAHMİN</t>
        </is>
      </c>
      <c r="J29" s="4" t="inlineStr"/>
    </row>
    <row r="30">
      <c r="A30" s="14" t="n"/>
      <c r="B30" s="14" t="inlineStr">
        <is>
          <t>2012.A</t>
        </is>
      </c>
      <c r="C30" s="4" t="inlineStr">
        <is>
          <t>Parafudr 1 kV DC 10 kA + toprak elektrodu</t>
        </is>
      </c>
      <c r="D30" s="14" t="inlineStr">
        <is>
          <t>takım</t>
        </is>
      </c>
      <c r="E30" s="22" t="n">
        <v>20</v>
      </c>
      <c r="F30" s="22" t="n">
        <v>20</v>
      </c>
      <c r="G30" s="23" t="n">
        <v>744</v>
      </c>
      <c r="H30" s="15">
        <f>F30*G30</f>
        <v/>
      </c>
      <c r="I30" s="4" t="inlineStr">
        <is>
          <t>REF medyan (4 ref)</t>
        </is>
      </c>
      <c r="J30" s="4" t="inlineStr"/>
    </row>
    <row r="31">
      <c r="A31" s="14" t="n"/>
      <c r="B31" s="14" t="inlineStr">
        <is>
          <t>2012.A</t>
        </is>
      </c>
      <c r="C31" s="4" t="inlineStr">
        <is>
          <t>Akım köprüsü 95 mm² örgülü Cu</t>
        </is>
      </c>
      <c r="D31" s="14" t="inlineStr">
        <is>
          <t>adet</t>
        </is>
      </c>
      <c r="E31" s="22" t="n">
        <v>59</v>
      </c>
      <c r="F31" s="22" t="n">
        <v>59</v>
      </c>
      <c r="G31" s="23" t="n">
        <v>461</v>
      </c>
      <c r="H31" s="15">
        <f>F31*G31</f>
        <v/>
      </c>
      <c r="I31" s="4" t="inlineStr">
        <is>
          <t>REF</t>
        </is>
      </c>
      <c r="J31" s="4" t="inlineStr"/>
    </row>
    <row r="32">
      <c r="A32" s="14" t="n"/>
      <c r="B32" s="14" t="inlineStr">
        <is>
          <t>2012.A</t>
        </is>
      </c>
      <c r="C32" s="4" t="inlineStr">
        <is>
          <t>Elektriksel jumper seti 95 mm²</t>
        </is>
      </c>
      <c r="D32" s="14" t="inlineStr">
        <is>
          <t>adet</t>
        </is>
      </c>
      <c r="E32" s="22" t="n">
        <v>44</v>
      </c>
      <c r="F32" s="22" t="n">
        <v>44</v>
      </c>
      <c r="G32" s="23" t="n">
        <v>299</v>
      </c>
      <c r="H32" s="15">
        <f>F32*G32</f>
        <v/>
      </c>
      <c r="I32" s="4" t="inlineStr">
        <is>
          <t>REF</t>
        </is>
      </c>
      <c r="J32" s="4" t="inlineStr"/>
    </row>
    <row r="33">
      <c r="A33" s="14" t="n"/>
      <c r="B33" s="14" t="inlineStr">
        <is>
          <t>2012.A</t>
        </is>
      </c>
      <c r="C33" s="4" t="inlineStr">
        <is>
          <t>95 mm² örgülü esnek Cu iletken</t>
        </is>
      </c>
      <c r="D33" s="14" t="inlineStr">
        <is>
          <t>m</t>
        </is>
      </c>
      <c r="E33" s="22" t="n">
        <v>339.9</v>
      </c>
      <c r="F33" s="22" t="n">
        <v>339.9</v>
      </c>
      <c r="G33" s="23" t="n">
        <v>25</v>
      </c>
      <c r="H33" s="15">
        <f>F33*G33</f>
        <v/>
      </c>
      <c r="I33" s="4" t="inlineStr">
        <is>
          <t>TAHMİN</t>
        </is>
      </c>
      <c r="J33" s="4" t="inlineStr"/>
    </row>
    <row r="34">
      <c r="A34" s="14" t="n"/>
      <c r="B34" s="14" t="inlineStr">
        <is>
          <t>2012.A</t>
        </is>
      </c>
      <c r="C34" s="4" t="inlineStr">
        <is>
          <t>Gömülü destek iletkeni 150 mm² Cu</t>
        </is>
      </c>
      <c r="D34" s="14" t="inlineStr">
        <is>
          <t>m</t>
        </is>
      </c>
      <c r="E34" s="22" t="n">
        <v>246.4</v>
      </c>
      <c r="F34" s="22" t="n">
        <v>246.4</v>
      </c>
      <c r="G34" s="23" t="n">
        <v>35</v>
      </c>
      <c r="H34" s="15">
        <f>F34*G34</f>
        <v/>
      </c>
      <c r="I34" s="4" t="inlineStr">
        <is>
          <t>TAHMİN</t>
        </is>
      </c>
      <c r="J34" s="4" t="inlineStr"/>
    </row>
    <row r="35">
      <c r="A35" s="14" t="n"/>
      <c r="B35" s="14" t="inlineStr">
        <is>
          <t>2012.A</t>
        </is>
      </c>
      <c r="C35" s="4" t="inlineStr">
        <is>
          <t>Destek iletkeni ekleri, pabuçlar, direk çıkış aparatları</t>
        </is>
      </c>
      <c r="D35" s="14" t="inlineStr">
        <is>
          <t>adet</t>
        </is>
      </c>
      <c r="E35" s="22" t="n">
        <v>16</v>
      </c>
      <c r="F35" s="22" t="n">
        <v>16</v>
      </c>
      <c r="G35" s="23" t="n">
        <v>150</v>
      </c>
      <c r="H35" s="15">
        <f>F35*G35</f>
        <v/>
      </c>
      <c r="I35" s="4" t="inlineStr">
        <is>
          <t>TAHMİN</t>
        </is>
      </c>
      <c r="J35" s="4" t="inlineStr"/>
    </row>
    <row r="36">
      <c r="A36" s="14" t="n"/>
      <c r="B36" s="14" t="inlineStr">
        <is>
          <t>2012.A</t>
        </is>
      </c>
      <c r="C36" s="4" t="inlineStr">
        <is>
          <t>Tünel/köprü taşıyıcı destek elemanı</t>
        </is>
      </c>
      <c r="D36" s="14" t="inlineStr">
        <is>
          <t>adet</t>
        </is>
      </c>
      <c r="E36" s="22" t="n">
        <v>2</v>
      </c>
      <c r="F36" s="22" t="n">
        <v>2</v>
      </c>
      <c r="G36" s="23" t="n">
        <v>2000</v>
      </c>
      <c r="H36" s="15">
        <f>F36*G36</f>
        <v/>
      </c>
      <c r="I36" s="4" t="inlineStr">
        <is>
          <t>TAHMİN</t>
        </is>
      </c>
      <c r="J36" s="4" t="inlineStr"/>
    </row>
    <row r="37">
      <c r="A37" s="14" t="n"/>
      <c r="B37" s="14" t="inlineStr">
        <is>
          <t>2012.A</t>
        </is>
      </c>
      <c r="C37" s="4" t="inlineStr">
        <is>
          <t>Direk numaralandırma levhası</t>
        </is>
      </c>
      <c r="D37" s="14" t="inlineStr">
        <is>
          <t>adet</t>
        </is>
      </c>
      <c r="E37" s="22" t="n">
        <v>228</v>
      </c>
      <c r="F37" s="22" t="n">
        <v>228</v>
      </c>
      <c r="G37" s="23" t="n">
        <v>37</v>
      </c>
      <c r="H37" s="15">
        <f>F37*G37</f>
        <v/>
      </c>
      <c r="I37" s="4" t="inlineStr">
        <is>
          <t>REF (3 ref)</t>
        </is>
      </c>
      <c r="J37" s="4" t="inlineStr"/>
    </row>
    <row r="38">
      <c r="A38" s="14" t="n"/>
      <c r="B38" s="14" t="inlineStr">
        <is>
          <t>2012.A</t>
        </is>
      </c>
      <c r="C38" s="4" t="inlineStr">
        <is>
          <t>Ayırıcı motor enerji kablosu 3×2,5 NYY</t>
        </is>
      </c>
      <c r="D38" s="14" t="inlineStr">
        <is>
          <t>m</t>
        </is>
      </c>
      <c r="E38" s="22" t="n">
        <v>935</v>
      </c>
      <c r="F38" s="22" t="n">
        <v>935</v>
      </c>
      <c r="G38" s="23" t="n">
        <v>4</v>
      </c>
      <c r="H38" s="15">
        <f>F38*G38</f>
        <v/>
      </c>
      <c r="I38" s="4" t="inlineStr">
        <is>
          <t>TAHMİN</t>
        </is>
      </c>
      <c r="J38" s="4" t="inlineStr"/>
    </row>
    <row r="39">
      <c r="A39" s="14" t="n"/>
      <c r="B39" s="14" t="inlineStr">
        <is>
          <t>2012.A</t>
        </is>
      </c>
      <c r="C39" s="4" t="inlineStr">
        <is>
          <t>Ayırıcı kumanda/konum kablosu 12×1,5 + kilitleme teçhizatı</t>
        </is>
      </c>
      <c r="D39" s="14" t="inlineStr">
        <is>
          <t>m</t>
        </is>
      </c>
      <c r="E39" s="22" t="n">
        <v>935</v>
      </c>
      <c r="F39" s="22" t="n">
        <v>935</v>
      </c>
      <c r="G39" s="23" t="n">
        <v>7</v>
      </c>
      <c r="H39" s="15">
        <f>F39*G39</f>
        <v/>
      </c>
      <c r="I39" s="4" t="inlineStr">
        <is>
          <t>TAHMİN</t>
        </is>
      </c>
      <c r="J39" s="4" t="inlineStr"/>
    </row>
    <row r="40">
      <c r="A40" s="14" t="n"/>
      <c r="B40" s="14" t="inlineStr">
        <is>
          <t>2012.A</t>
        </is>
      </c>
      <c r="C40" s="4" t="inlineStr">
        <is>
          <t>Katener uygulama projesi, EN 50119 hesapları, direk statiği</t>
        </is>
      </c>
      <c r="D40" s="14" t="inlineStr">
        <is>
          <t>set</t>
        </is>
      </c>
      <c r="E40" s="22" t="n">
        <v>1</v>
      </c>
      <c r="F40" s="22" t="n">
        <v>1</v>
      </c>
      <c r="G40" s="23" t="n">
        <v>47158</v>
      </c>
      <c r="H40" s="15">
        <f>F40*G40</f>
        <v/>
      </c>
      <c r="I40" s="4" t="inlineStr">
        <is>
          <t>REF medyan (4 ref)</t>
        </is>
      </c>
      <c r="J40" s="4" t="inlineStr"/>
    </row>
    <row r="41">
      <c r="A41" s="14" t="n"/>
      <c r="B41" s="14" t="inlineStr">
        <is>
          <t>2012.A</t>
        </is>
      </c>
      <c r="C41" s="4" t="inlineStr">
        <is>
          <t>Test, ölçüm, enerjilendirme, devreye alma; 2 yıllık yedek parça</t>
        </is>
      </c>
      <c r="D41" s="14" t="inlineStr">
        <is>
          <t>set</t>
        </is>
      </c>
      <c r="E41" s="22" t="n">
        <v>1</v>
      </c>
      <c r="F41" s="22" t="n">
        <v>1</v>
      </c>
      <c r="G41" s="23" t="n">
        <v>60000</v>
      </c>
      <c r="H41" s="15">
        <f>F41*G41</f>
        <v/>
      </c>
      <c r="I41" s="4" t="inlineStr">
        <is>
          <t>TAHMİN</t>
        </is>
      </c>
      <c r="J41" s="4" t="inlineStr">
        <is>
          <t>İdare: yedek parça listesi bağlayıcı (sıra 384)</t>
        </is>
      </c>
    </row>
    <row r="42">
      <c r="A42" s="20" t="inlineStr">
        <is>
          <t>221</t>
        </is>
      </c>
      <c r="B42" s="20" t="inlineStr">
        <is>
          <t>2012.B</t>
        </is>
      </c>
      <c r="C42" s="20" t="inlineStr">
        <is>
          <t>Depo Sahası ve Tesisleri Katener Sistemi</t>
        </is>
      </c>
      <c r="D42" s="20" t="n"/>
      <c r="E42" s="20" t="inlineStr">
        <is>
          <t>RFQ tutarı →</t>
        </is>
      </c>
      <c r="F42" s="21">
        <f>SUMPRODUCT(E43:E74,G43:G74)</f>
        <v/>
      </c>
      <c r="G42" s="20" t="n"/>
      <c r="H42" s="21">
        <f>SUM(H43:H74)</f>
        <v/>
      </c>
      <c r="I42" s="20" t="n"/>
      <c r="J42" s="20" t="n"/>
    </row>
    <row r="43">
      <c r="A43" s="14" t="n"/>
      <c r="B43" s="14" t="inlineStr">
        <is>
          <t>2012.B</t>
        </is>
      </c>
      <c r="C43" s="4" t="inlineStr">
        <is>
          <t>Kontak teli 120 mm² Cu ETP – depo hatları</t>
        </is>
      </c>
      <c r="D43" s="14" t="inlineStr">
        <is>
          <t>m</t>
        </is>
      </c>
      <c r="E43" s="22" t="n">
        <v>5288.1</v>
      </c>
      <c r="F43" s="22" t="n">
        <v>5288.1</v>
      </c>
      <c r="G43" s="23" t="n">
        <v>18</v>
      </c>
      <c r="H43" s="15">
        <f>F43*G43</f>
        <v/>
      </c>
      <c r="I43" s="4" t="inlineStr">
        <is>
          <t>REF + montaj</t>
        </is>
      </c>
      <c r="J43" s="4" t="inlineStr"/>
    </row>
    <row r="44">
      <c r="A44" s="14" t="n"/>
      <c r="B44" s="14" t="inlineStr">
        <is>
          <t>2012.B</t>
        </is>
      </c>
      <c r="C44" s="4" t="inlineStr">
        <is>
          <t>Yaylı gerdirme tertibatı (kontak teli)</t>
        </is>
      </c>
      <c r="D44" s="14" t="inlineStr">
        <is>
          <t>takım</t>
        </is>
      </c>
      <c r="E44" s="22" t="n">
        <v>42</v>
      </c>
      <c r="F44" s="22" t="n">
        <v>42</v>
      </c>
      <c r="G44" s="23" t="n">
        <v>1100</v>
      </c>
      <c r="H44" s="15">
        <f>F44*G44</f>
        <v/>
      </c>
      <c r="I44" s="4" t="inlineStr">
        <is>
          <t>REF (2 ref)</t>
        </is>
      </c>
      <c r="J44" s="4" t="inlineStr"/>
    </row>
    <row r="45">
      <c r="A45" s="14" t="n"/>
      <c r="B45" s="14" t="inlineStr">
        <is>
          <t>2012.B</t>
        </is>
      </c>
      <c r="C45" s="4" t="inlineStr">
        <is>
          <t>Sabit ankraj / sabit germe tertibatı 10 kN</t>
        </is>
      </c>
      <c r="D45" s="14" t="inlineStr">
        <is>
          <t>takım</t>
        </is>
      </c>
      <c r="E45" s="22" t="n">
        <v>42</v>
      </c>
      <c r="F45" s="22" t="n">
        <v>42</v>
      </c>
      <c r="G45" s="23" t="n">
        <v>517</v>
      </c>
      <c r="H45" s="15">
        <f>F45*G45</f>
        <v/>
      </c>
      <c r="I45" s="4" t="inlineStr">
        <is>
          <t>REF (6 ref)</t>
        </is>
      </c>
      <c r="J45" s="4" t="inlineStr"/>
    </row>
    <row r="46">
      <c r="A46" s="14" t="n"/>
      <c r="B46" s="14" t="inlineStr">
        <is>
          <t>2012.B</t>
        </is>
      </c>
      <c r="C46" s="4" t="inlineStr">
        <is>
          <t>Ankraj lentesi teçhizatı (depo ankraj direkleri)</t>
        </is>
      </c>
      <c r="D46" s="14" t="inlineStr">
        <is>
          <t>takım</t>
        </is>
      </c>
      <c r="E46" s="22" t="n">
        <v>21</v>
      </c>
      <c r="F46" s="22" t="n">
        <v>21</v>
      </c>
      <c r="G46" s="23" t="n">
        <v>485</v>
      </c>
      <c r="H46" s="15">
        <f>F46*G46</f>
        <v/>
      </c>
      <c r="I46" s="4" t="inlineStr">
        <is>
          <t>REF</t>
        </is>
      </c>
      <c r="J46" s="4" t="inlineStr">
        <is>
          <t>İdare cevabı yalnız ana hat lentesi için</t>
        </is>
      </c>
    </row>
    <row r="47">
      <c r="A47" s="14" t="n"/>
      <c r="B47" s="14" t="inlineStr">
        <is>
          <t>2012.B</t>
        </is>
      </c>
      <c r="C47" s="4" t="inlineStr">
        <is>
          <t>Hava makası (depo makasları)</t>
        </is>
      </c>
      <c r="D47" s="14" t="inlineStr">
        <is>
          <t>adet</t>
        </is>
      </c>
      <c r="E47" s="22" t="n">
        <v>40</v>
      </c>
      <c r="F47" s="22" t="n">
        <v>40</v>
      </c>
      <c r="G47" s="23" t="n">
        <v>1500</v>
      </c>
      <c r="H47" s="15">
        <f>F47*G47</f>
        <v/>
      </c>
      <c r="I47" s="4" t="inlineStr">
        <is>
          <t>TAHMİN</t>
        </is>
      </c>
      <c r="J47" s="4" t="inlineStr"/>
    </row>
    <row r="48">
      <c r="A48" s="14" t="n"/>
      <c r="B48" s="14" t="inlineStr">
        <is>
          <t>2012.B</t>
        </is>
      </c>
      <c r="C48" s="4" t="inlineStr">
        <is>
          <t>Kruvazman katener kesişmesi (depo)</t>
        </is>
      </c>
      <c r="D48" s="14" t="inlineStr">
        <is>
          <t>adet</t>
        </is>
      </c>
      <c r="E48" s="22" t="n">
        <v>1</v>
      </c>
      <c r="F48" s="22" t="n">
        <v>1</v>
      </c>
      <c r="G48" s="23" t="n">
        <v>4000</v>
      </c>
      <c r="H48" s="15">
        <f>F48*G48</f>
        <v/>
      </c>
      <c r="I48" s="4" t="inlineStr">
        <is>
          <t>TAHMİN</t>
        </is>
      </c>
      <c r="J48" s="4" t="inlineStr"/>
    </row>
    <row r="49">
      <c r="A49" s="14" t="n"/>
      <c r="B49" s="14" t="inlineStr">
        <is>
          <t>2012.B</t>
        </is>
      </c>
      <c r="C49" s="4" t="inlineStr">
        <is>
          <t>Headspan sistemi – komple</t>
        </is>
      </c>
      <c r="D49" s="14" t="inlineStr">
        <is>
          <t>takım</t>
        </is>
      </c>
      <c r="E49" s="22" t="n">
        <v>8</v>
      </c>
      <c r="F49" s="22" t="n">
        <v>8</v>
      </c>
      <c r="G49" s="23" t="n">
        <v>1779</v>
      </c>
      <c r="H49" s="15">
        <f>F49*G49</f>
        <v/>
      </c>
      <c r="I49" s="4" t="inlineStr">
        <is>
          <t>REF (6 ref)</t>
        </is>
      </c>
      <c r="J49" s="4" t="inlineStr"/>
    </row>
    <row r="50">
      <c r="A50" s="14" t="n"/>
      <c r="B50" s="14" t="inlineStr">
        <is>
          <t>2012.B</t>
        </is>
      </c>
      <c r="C50" s="4" t="inlineStr">
        <is>
          <t>Headspan enine taşıyıcı + steady tel</t>
        </is>
      </c>
      <c r="D50" s="14" t="inlineStr">
        <is>
          <t>m</t>
        </is>
      </c>
      <c r="E50" s="22" t="n">
        <v>750.4</v>
      </c>
      <c r="F50" s="22" t="n">
        <v>750.4</v>
      </c>
      <c r="G50" s="23" t="n">
        <v>20</v>
      </c>
      <c r="H50" s="15">
        <f>F50*G50</f>
        <v/>
      </c>
      <c r="I50" s="4" t="inlineStr">
        <is>
          <t>TAHMİN</t>
        </is>
      </c>
      <c r="J50" s="4" t="inlineStr"/>
    </row>
    <row r="51">
      <c r="A51" s="14" t="n"/>
      <c r="B51" s="14" t="inlineStr">
        <is>
          <t>2012.B</t>
        </is>
      </c>
      <c r="C51" s="4" t="inlineStr">
        <is>
          <t>Headspan altı askı-rapel takımı</t>
        </is>
      </c>
      <c r="D51" s="14" t="inlineStr">
        <is>
          <t>adet</t>
        </is>
      </c>
      <c r="E51" s="22" t="n">
        <v>78</v>
      </c>
      <c r="F51" s="22" t="n">
        <v>78</v>
      </c>
      <c r="G51" s="23" t="n">
        <v>250</v>
      </c>
      <c r="H51" s="15">
        <f>F51*G51</f>
        <v/>
      </c>
      <c r="I51" s="4" t="inlineStr">
        <is>
          <t>TAHMİN</t>
        </is>
      </c>
      <c r="J51" s="4" t="inlineStr"/>
    </row>
    <row r="52">
      <c r="A52" s="14" t="n"/>
      <c r="B52" s="14" t="inlineStr">
        <is>
          <t>2012.B</t>
        </is>
      </c>
      <c r="C52" s="4" t="inlineStr">
        <is>
          <t>Konsol hoban komplesi (tek hat) – depo</t>
        </is>
      </c>
      <c r="D52" s="14" t="inlineStr">
        <is>
          <t>adet</t>
        </is>
      </c>
      <c r="E52" s="22" t="n">
        <v>29</v>
      </c>
      <c r="F52" s="22" t="n">
        <v>29</v>
      </c>
      <c r="G52" s="23" t="n">
        <v>1116</v>
      </c>
      <c r="H52" s="15">
        <f>F52*G52</f>
        <v/>
      </c>
      <c r="I52" s="4" t="inlineStr">
        <is>
          <t>REF</t>
        </is>
      </c>
      <c r="J52" s="4" t="inlineStr"/>
    </row>
    <row r="53">
      <c r="A53" s="14" t="n"/>
      <c r="B53" s="14" t="inlineStr">
        <is>
          <t>2012.B</t>
        </is>
      </c>
      <c r="C53" s="4" t="inlineStr">
        <is>
          <t>Seksiyon izolatörü ünitesi (depo bölümleme)</t>
        </is>
      </c>
      <c r="D53" s="14" t="inlineStr">
        <is>
          <t>adet</t>
        </is>
      </c>
      <c r="E53" s="22" t="n">
        <v>10</v>
      </c>
      <c r="F53" s="22" t="n">
        <v>10</v>
      </c>
      <c r="G53" s="23" t="n">
        <v>2070</v>
      </c>
      <c r="H53" s="15">
        <f>F53*G53</f>
        <v/>
      </c>
      <c r="I53" s="4" t="inlineStr">
        <is>
          <t>REF</t>
        </is>
      </c>
      <c r="J53" s="4" t="inlineStr">
        <is>
          <t>DeSA formu: depo 10 izolatör</t>
        </is>
      </c>
    </row>
    <row r="54">
      <c r="A54" s="14" t="n"/>
      <c r="B54" s="14" t="inlineStr">
        <is>
          <t>2012.B</t>
        </is>
      </c>
      <c r="C54" s="4" t="inlineStr">
        <is>
          <t>Direk tipi motorlu ayırıcı 4000 A (SCADA)</t>
        </is>
      </c>
      <c r="D54" s="14" t="inlineStr">
        <is>
          <t>adet</t>
        </is>
      </c>
      <c r="E54" s="22" t="n">
        <v>6</v>
      </c>
      <c r="F54" s="22" t="n">
        <v>6</v>
      </c>
      <c r="G54" s="23" t="n">
        <v>6000</v>
      </c>
      <c r="H54" s="15">
        <f>F54*G54</f>
        <v/>
      </c>
      <c r="I54" s="4" t="inlineStr">
        <is>
          <t>REF + motor</t>
        </is>
      </c>
      <c r="J54" s="4" t="inlineStr"/>
    </row>
    <row r="55">
      <c r="A55" s="14" t="n"/>
      <c r="B55" s="14" t="inlineStr">
        <is>
          <t>2012.B</t>
        </is>
      </c>
      <c r="C55" s="4" t="inlineStr">
        <is>
          <t>Topraklı elle kumandalı ayırıcı (kilitli kol)</t>
        </is>
      </c>
      <c r="D55" s="14" t="inlineStr">
        <is>
          <t>adet</t>
        </is>
      </c>
      <c r="E55" s="22" t="n">
        <v>4</v>
      </c>
      <c r="F55" s="22" t="n">
        <v>4</v>
      </c>
      <c r="G55" s="23" t="n">
        <v>3553</v>
      </c>
      <c r="H55" s="15">
        <f>F55*G55</f>
        <v/>
      </c>
      <c r="I55" s="4" t="inlineStr">
        <is>
          <t>REF BF (18 ref)</t>
        </is>
      </c>
      <c r="J55" s="4" t="inlineStr"/>
    </row>
    <row r="56">
      <c r="A56" s="14" t="n"/>
      <c r="B56" s="14" t="inlineStr">
        <is>
          <t>2012.B</t>
        </is>
      </c>
      <c r="C56" s="4" t="inlineStr">
        <is>
          <t>Besleme bağlantı düzeneği depo</t>
        </is>
      </c>
      <c r="D56" s="14" t="inlineStr">
        <is>
          <t>takım</t>
        </is>
      </c>
      <c r="E56" s="22" t="n">
        <v>4</v>
      </c>
      <c r="F56" s="22" t="n">
        <v>4</v>
      </c>
      <c r="G56" s="23" t="n">
        <v>1500</v>
      </c>
      <c r="H56" s="15">
        <f>F56*G56</f>
        <v/>
      </c>
      <c r="I56" s="4" t="inlineStr">
        <is>
          <t>TAHMİN</t>
        </is>
      </c>
      <c r="J56" s="4" t="inlineStr"/>
    </row>
    <row r="57">
      <c r="A57" s="14" t="n"/>
      <c r="B57" s="14" t="inlineStr">
        <is>
          <t>2012.B</t>
        </is>
      </c>
      <c r="C57" s="4" t="inlineStr">
        <is>
          <t>Parafudr 1 kV DC + toprak elektrodu</t>
        </is>
      </c>
      <c r="D57" s="14" t="inlineStr">
        <is>
          <t>takım</t>
        </is>
      </c>
      <c r="E57" s="22" t="n">
        <v>4</v>
      </c>
      <c r="F57" s="22" t="n">
        <v>4</v>
      </c>
      <c r="G57" s="23" t="n">
        <v>744</v>
      </c>
      <c r="H57" s="15">
        <f>F57*G57</f>
        <v/>
      </c>
      <c r="I57" s="4" t="inlineStr">
        <is>
          <t>REF</t>
        </is>
      </c>
      <c r="J57" s="4" t="inlineStr"/>
    </row>
    <row r="58">
      <c r="A58" s="14" t="n"/>
      <c r="B58" s="14" t="inlineStr">
        <is>
          <t>2012.B</t>
        </is>
      </c>
      <c r="C58" s="4" t="inlineStr">
        <is>
          <t>VLD ayırıcılı direkler</t>
        </is>
      </c>
      <c r="D58" s="14" t="inlineStr">
        <is>
          <t>adet</t>
        </is>
      </c>
      <c r="E58" s="22" t="n">
        <v>10</v>
      </c>
      <c r="F58" s="22" t="n">
        <v>10</v>
      </c>
      <c r="G58" s="23" t="n">
        <v>594</v>
      </c>
      <c r="H58" s="15">
        <f>F58*G58</f>
        <v/>
      </c>
      <c r="I58" s="4" t="inlineStr">
        <is>
          <t>REF</t>
        </is>
      </c>
      <c r="J58" s="4" t="inlineStr"/>
    </row>
    <row r="59">
      <c r="A59" s="14" t="n"/>
      <c r="B59" s="14" t="inlineStr">
        <is>
          <t>2012.B</t>
        </is>
      </c>
      <c r="C59" s="4" t="inlineStr">
        <is>
          <t>Atölye katlanır (döner) katener mekanizması – A2/A3</t>
        </is>
      </c>
      <c r="D59" s="14" t="inlineStr">
        <is>
          <t>set</t>
        </is>
      </c>
      <c r="E59" s="22" t="n">
        <v>2</v>
      </c>
      <c r="F59" s="22" t="n">
        <v>2</v>
      </c>
      <c r="G59" s="23" t="n">
        <v>20534</v>
      </c>
      <c r="H59" s="15">
        <f>F59*G59</f>
        <v/>
      </c>
      <c r="I59" s="4" t="inlineStr">
        <is>
          <t>REF medyan (9 ref)</t>
        </is>
      </c>
      <c r="J59" s="4" t="inlineStr"/>
    </row>
    <row r="60">
      <c r="A60" s="14" t="n"/>
      <c r="B60" s="14" t="inlineStr">
        <is>
          <t>2012.B</t>
        </is>
      </c>
      <c r="C60" s="4" t="inlineStr">
        <is>
          <t>Atölye sabit kontak hattı A1 ~75 m</t>
        </is>
      </c>
      <c r="D60" s="14" t="inlineStr">
        <is>
          <t>set</t>
        </is>
      </c>
      <c r="E60" s="22" t="n">
        <v>1</v>
      </c>
      <c r="F60" s="22" t="n">
        <v>1</v>
      </c>
      <c r="G60" s="23" t="n">
        <v>7702</v>
      </c>
      <c r="H60" s="15">
        <f>F60*G60</f>
        <v/>
      </c>
      <c r="I60" s="4" t="inlineStr">
        <is>
          <t>REF</t>
        </is>
      </c>
      <c r="J60" s="4" t="inlineStr"/>
    </row>
    <row r="61">
      <c r="A61" s="14" t="n"/>
      <c r="B61" s="14" t="inlineStr">
        <is>
          <t>2012.B</t>
        </is>
      </c>
      <c r="C61" s="4" t="inlineStr">
        <is>
          <t>Atölye ana kesicisi (DC) + kilitlenebilir hat ayırıcıları</t>
        </is>
      </c>
      <c r="D61" s="14" t="inlineStr">
        <is>
          <t>set</t>
        </is>
      </c>
      <c r="E61" s="22" t="n">
        <v>1</v>
      </c>
      <c r="F61" s="22" t="n">
        <v>1</v>
      </c>
      <c r="G61" s="23" t="n">
        <v>25000</v>
      </c>
      <c r="H61" s="15">
        <f>F61*G61</f>
        <v/>
      </c>
      <c r="I61" s="4" t="inlineStr">
        <is>
          <t>TAHMİN</t>
        </is>
      </c>
      <c r="J61" s="4" t="inlineStr"/>
    </row>
    <row r="62">
      <c r="A62" s="14" t="n"/>
      <c r="B62" s="14" t="inlineStr">
        <is>
          <t>2012.B</t>
        </is>
      </c>
      <c r="C62" s="4" t="inlineStr">
        <is>
          <t>Kilitleme sistemi (gezer vinç, katlanır katener, platform, kriko, kapılar)</t>
        </is>
      </c>
      <c r="D62" s="14" t="inlineStr">
        <is>
          <t>set</t>
        </is>
      </c>
      <c r="E62" s="22" t="n">
        <v>1</v>
      </c>
      <c r="F62" s="22" t="n">
        <v>1</v>
      </c>
      <c r="G62" s="23" t="n">
        <v>40000</v>
      </c>
      <c r="H62" s="15">
        <f>F62*G62</f>
        <v/>
      </c>
      <c r="I62" s="4" t="inlineStr">
        <is>
          <t>TAHMİN</t>
        </is>
      </c>
      <c r="J62" s="4" t="inlineStr"/>
    </row>
    <row r="63">
      <c r="A63" s="14" t="n"/>
      <c r="B63" s="14" t="inlineStr">
        <is>
          <t>2012.B</t>
        </is>
      </c>
      <c r="C63" s="4" t="inlineStr">
        <is>
          <t>Acil gerilim kesme butonu + 'katener enerjili' ikaz lambası</t>
        </is>
      </c>
      <c r="D63" s="14" t="inlineStr">
        <is>
          <t>adet</t>
        </is>
      </c>
      <c r="E63" s="22" t="n">
        <v>12</v>
      </c>
      <c r="F63" s="22" t="n">
        <v>12</v>
      </c>
      <c r="G63" s="23" t="n">
        <v>600</v>
      </c>
      <c r="H63" s="15">
        <f>F63*G63</f>
        <v/>
      </c>
      <c r="I63" s="4" t="inlineStr">
        <is>
          <t>TAHMİN</t>
        </is>
      </c>
      <c r="J63" s="4" t="inlineStr"/>
    </row>
    <row r="64">
      <c r="A64" s="14" t="n"/>
      <c r="B64" s="14" t="inlineStr">
        <is>
          <t>2012.B</t>
        </is>
      </c>
      <c r="C64" s="4" t="inlineStr">
        <is>
          <t>Atölye/depo katener güç ve kontrol kabloları</t>
        </is>
      </c>
      <c r="D64" s="14" t="inlineStr">
        <is>
          <t>m</t>
        </is>
      </c>
      <c r="E64" s="22" t="n">
        <v>1595</v>
      </c>
      <c r="F64" s="22" t="n">
        <v>1595</v>
      </c>
      <c r="G64" s="23" t="n">
        <v>8</v>
      </c>
      <c r="H64" s="15">
        <f>F64*G64</f>
        <v/>
      </c>
      <c r="I64" s="4" t="inlineStr">
        <is>
          <t>TAHMİN</t>
        </is>
      </c>
      <c r="J64" s="4" t="inlineStr"/>
    </row>
    <row r="65">
      <c r="A65" s="14" t="n"/>
      <c r="B65" s="14" t="inlineStr">
        <is>
          <t>2012.B</t>
        </is>
      </c>
      <c r="C65" s="4" t="inlineStr">
        <is>
          <t>Direk numaralandırma levhası (depo)</t>
        </is>
      </c>
      <c r="D65" s="14" t="inlineStr">
        <is>
          <t>adet</t>
        </is>
      </c>
      <c r="E65" s="22" t="n">
        <v>77</v>
      </c>
      <c r="F65" s="22" t="n">
        <v>77</v>
      </c>
      <c r="G65" s="23" t="n">
        <v>37</v>
      </c>
      <c r="H65" s="15">
        <f>F65*G65</f>
        <v/>
      </c>
      <c r="I65" s="4" t="inlineStr">
        <is>
          <t>REF</t>
        </is>
      </c>
      <c r="J65" s="4" t="inlineStr"/>
    </row>
    <row r="66">
      <c r="A66" s="14" t="n"/>
      <c r="B66" s="14" t="inlineStr">
        <is>
          <t>2012.B</t>
        </is>
      </c>
      <c r="C66" s="4" t="inlineStr">
        <is>
          <t>Depo headspan/portal direği C tipi L=9 m</t>
        </is>
      </c>
      <c r="D66" s="14" t="inlineStr">
        <is>
          <t>adet</t>
        </is>
      </c>
      <c r="E66" s="22" t="n">
        <v>18</v>
      </c>
      <c r="F66" s="25" t="n">
        <v>0</v>
      </c>
      <c r="G66" s="23" t="n">
        <v>0</v>
      </c>
      <c r="H66" s="15">
        <f>F66*G66</f>
        <v/>
      </c>
      <c r="I66" s="4" t="inlineStr">
        <is>
          <t>—</t>
        </is>
      </c>
      <c r="J66" s="4" t="inlineStr">
        <is>
          <t>İdare soru 7: depo direkleri cetvel direk kalemlerinde (çift sayım)</t>
        </is>
      </c>
    </row>
    <row r="67">
      <c r="A67" s="14" t="n"/>
      <c r="B67" s="14" t="inlineStr">
        <is>
          <t>2012.B</t>
        </is>
      </c>
      <c r="C67" s="4" t="inlineStr">
        <is>
          <t>Depo headspan/portal direği C tipi L=8 m</t>
        </is>
      </c>
      <c r="D67" s="14" t="inlineStr">
        <is>
          <t>adet</t>
        </is>
      </c>
      <c r="E67" s="22" t="n">
        <v>12</v>
      </c>
      <c r="F67" s="25" t="n">
        <v>0</v>
      </c>
      <c r="G67" s="23" t="n">
        <v>0</v>
      </c>
      <c r="H67" s="15">
        <f>F67*G67</f>
        <v/>
      </c>
      <c r="I67" s="4" t="inlineStr">
        <is>
          <t>—</t>
        </is>
      </c>
      <c r="J67" s="4" t="inlineStr">
        <is>
          <t>İdare soru 7</t>
        </is>
      </c>
    </row>
    <row r="68">
      <c r="A68" s="14" t="n"/>
      <c r="B68" s="14" t="inlineStr">
        <is>
          <t>2012.B</t>
        </is>
      </c>
      <c r="C68" s="4" t="inlineStr">
        <is>
          <t>Depo ara direği A tipi L=8 m</t>
        </is>
      </c>
      <c r="D68" s="14" t="inlineStr">
        <is>
          <t>adet</t>
        </is>
      </c>
      <c r="E68" s="22" t="n">
        <v>26</v>
      </c>
      <c r="F68" s="25" t="n">
        <v>0</v>
      </c>
      <c r="G68" s="23" t="n">
        <v>1821</v>
      </c>
      <c r="H68" s="15">
        <f>F68*G68</f>
        <v/>
      </c>
      <c r="I68" s="4" t="inlineStr">
        <is>
          <t>REF</t>
        </is>
      </c>
      <c r="J68" s="4" t="inlineStr">
        <is>
          <t>İdare soru 7</t>
        </is>
      </c>
    </row>
    <row r="69">
      <c r="A69" s="14" t="n"/>
      <c r="B69" s="14" t="inlineStr">
        <is>
          <t>2012.B</t>
        </is>
      </c>
      <c r="C69" s="4" t="inlineStr">
        <is>
          <t>Depo ankraj direği D tipi L=8 m</t>
        </is>
      </c>
      <c r="D69" s="14" t="inlineStr">
        <is>
          <t>adet</t>
        </is>
      </c>
      <c r="E69" s="22" t="n">
        <v>21</v>
      </c>
      <c r="F69" s="25" t="n">
        <v>0</v>
      </c>
      <c r="G69" s="23" t="n">
        <v>0</v>
      </c>
      <c r="H69" s="15">
        <f>F69*G69</f>
        <v/>
      </c>
      <c r="I69" s="4" t="inlineStr">
        <is>
          <t>—</t>
        </is>
      </c>
      <c r="J69" s="4" t="inlineStr">
        <is>
          <t>İdare soru 7</t>
        </is>
      </c>
    </row>
    <row r="70">
      <c r="A70" s="14" t="n"/>
      <c r="B70" s="14" t="inlineStr">
        <is>
          <t>2012.B</t>
        </is>
      </c>
      <c r="C70" s="4" t="inlineStr">
        <is>
          <t>Depo direkleri çelik ağırlığı (galvaniz)</t>
        </is>
      </c>
      <c r="D70" s="14" t="inlineStr">
        <is>
          <t>kg</t>
        </is>
      </c>
      <c r="E70" s="22" t="n">
        <v>44194</v>
      </c>
      <c r="F70" s="25" t="n">
        <v>0</v>
      </c>
      <c r="G70" s="23">
        <f>Varsayimlar!$B$13</f>
        <v/>
      </c>
      <c r="H70" s="15">
        <f>F70*G70</f>
        <v/>
      </c>
      <c r="I70" s="4" t="inlineStr">
        <is>
          <t>Varsayımlar</t>
        </is>
      </c>
      <c r="J70" s="4" t="inlineStr">
        <is>
          <t>İdare soru 7: çift sayım – düşüldü</t>
        </is>
      </c>
    </row>
    <row r="71">
      <c r="A71" s="14" t="n"/>
      <c r="B71" s="14" t="inlineStr">
        <is>
          <t>2012.B</t>
        </is>
      </c>
      <c r="C71" s="4" t="inlineStr">
        <is>
          <t>Portal kirişi HEB-200</t>
        </is>
      </c>
      <c r="D71" s="14" t="inlineStr">
        <is>
          <t>kg</t>
        </is>
      </c>
      <c r="E71" s="22" t="n">
        <v>3752</v>
      </c>
      <c r="F71" s="25" t="n">
        <v>0</v>
      </c>
      <c r="G71" s="23">
        <f>Varsayimlar!$B$13</f>
        <v/>
      </c>
      <c r="H71" s="15">
        <f>F71*G71</f>
        <v/>
      </c>
      <c r="I71" s="4" t="inlineStr">
        <is>
          <t>Varsayımlar</t>
        </is>
      </c>
      <c r="J71" s="4" t="inlineStr">
        <is>
          <t>İdare soru 7</t>
        </is>
      </c>
    </row>
    <row r="72">
      <c r="A72" s="14" t="n"/>
      <c r="B72" s="14" t="inlineStr">
        <is>
          <t>2012.B</t>
        </is>
      </c>
      <c r="C72" s="4" t="inlineStr">
        <is>
          <t>Depo direk temelleri (fore kazık Ø60, beton, donatı, bulon)</t>
        </is>
      </c>
      <c r="D72" s="14" t="inlineStr">
        <is>
          <t>set</t>
        </is>
      </c>
      <c r="E72" s="22" t="n">
        <v>1</v>
      </c>
      <c r="F72" s="25" t="n">
        <v>0</v>
      </c>
      <c r="G72" s="23" t="n">
        <v>120000</v>
      </c>
      <c r="H72" s="15">
        <f>F72*G72</f>
        <v/>
      </c>
      <c r="I72" s="4" t="inlineStr">
        <is>
          <t>TAHMİN</t>
        </is>
      </c>
      <c r="J72" s="4" t="inlineStr">
        <is>
          <t>İdare soru 7: temeller sıra 13 (inşaat)</t>
        </is>
      </c>
    </row>
    <row r="73">
      <c r="A73" s="14" t="n"/>
      <c r="B73" s="14" t="inlineStr">
        <is>
          <t>2012.B</t>
        </is>
      </c>
      <c r="C73" s="4" t="inlineStr">
        <is>
          <t>Depo lente temelleri (kazı, beton, kalıp, donatı, dolgu)</t>
        </is>
      </c>
      <c r="D73" s="14" t="inlineStr">
        <is>
          <t>set</t>
        </is>
      </c>
      <c r="E73" s="22" t="n">
        <v>1</v>
      </c>
      <c r="F73" s="25" t="n">
        <v>0</v>
      </c>
      <c r="G73" s="23" t="n">
        <v>30000</v>
      </c>
      <c r="H73" s="15">
        <f>F73*G73</f>
        <v/>
      </c>
      <c r="I73" s="4" t="inlineStr">
        <is>
          <t>TAHMİN</t>
        </is>
      </c>
      <c r="J73" s="4" t="inlineStr">
        <is>
          <t>Temel işleri inşaat kapsamı (sıra 13)</t>
        </is>
      </c>
    </row>
    <row r="74">
      <c r="A74" s="14" t="n"/>
      <c r="B74" s="14" t="inlineStr">
        <is>
          <t>2012.B</t>
        </is>
      </c>
      <c r="C74" s="4" t="inlineStr">
        <is>
          <t>Depo katener uygulama projesi, test ve devreye alma</t>
        </is>
      </c>
      <c r="D74" s="14" t="inlineStr">
        <is>
          <t>set</t>
        </is>
      </c>
      <c r="E74" s="22" t="n">
        <v>1</v>
      </c>
      <c r="F74" s="22" t="n">
        <v>1</v>
      </c>
      <c r="G74" s="23" t="n">
        <v>25000</v>
      </c>
      <c r="H74" s="15">
        <f>F74*G74</f>
        <v/>
      </c>
      <c r="I74" s="4" t="inlineStr">
        <is>
          <t>TAHMİN</t>
        </is>
      </c>
      <c r="J74" s="4" t="inlineStr"/>
    </row>
    <row r="75">
      <c r="A75" s="20" t="inlineStr">
        <is>
          <t>222</t>
        </is>
      </c>
      <c r="B75" s="20" t="inlineStr">
        <is>
          <t>2012.C</t>
        </is>
      </c>
      <c r="C75" s="20" t="inlineStr">
        <is>
          <t>T1-A Tipi Katener Direği (114 adet)</t>
        </is>
      </c>
      <c r="D75" s="20" t="n"/>
      <c r="E75" s="20" t="inlineStr">
        <is>
          <t>RFQ tutarı →</t>
        </is>
      </c>
      <c r="F75" s="21">
        <f>SUMPRODUCT(E76:E78,G76:G78)</f>
        <v/>
      </c>
      <c r="G75" s="20" t="n"/>
      <c r="H75" s="21">
        <f>SUM(H76:H78)</f>
        <v/>
      </c>
      <c r="I75" s="20" t="n"/>
      <c r="J75" s="20" t="n"/>
    </row>
    <row r="76">
      <c r="A76" s="14" t="n"/>
      <c r="B76" s="14" t="inlineStr">
        <is>
          <t>2012.C</t>
        </is>
      </c>
      <c r="C76" s="4" t="inlineStr">
        <is>
          <t>T1-A Tipi Katener Direği (114 adet) gövdesi – galvanizli çelik (imalat+galvaniz+dikim)</t>
        </is>
      </c>
      <c r="D76" s="14" t="inlineStr">
        <is>
          <t>kg</t>
        </is>
      </c>
      <c r="E76" s="22" t="n">
        <v>39216</v>
      </c>
      <c r="F76" s="22" t="n">
        <v>39216</v>
      </c>
      <c r="G76" s="23">
        <f>Varsayimlar!$B$13</f>
        <v/>
      </c>
      <c r="H76" s="15">
        <f>F76*G76</f>
        <v/>
      </c>
      <c r="I76" s="4" t="inlineStr">
        <is>
          <t>REF medyan 1,80 €/kg + pay (Varsayımlar)</t>
        </is>
      </c>
      <c r="J76" s="4" t="inlineStr">
        <is>
          <t>Mitaş teklifi bekleniyor (dikişli S355)</t>
        </is>
      </c>
    </row>
    <row r="77">
      <c r="A77" s="14" t="n"/>
      <c r="B77" s="14" t="inlineStr">
        <is>
          <t>2012.C</t>
        </is>
      </c>
      <c r="C77" s="4" t="inlineStr">
        <is>
          <t>T1-A Tipi Katener Direği (114 adet) ankraj bulonu M30 (somun+rondela HDG)</t>
        </is>
      </c>
      <c r="D77" s="14" t="inlineStr">
        <is>
          <t>adet</t>
        </is>
      </c>
      <c r="E77" s="22" t="n">
        <v>456</v>
      </c>
      <c r="F77" s="22" t="n">
        <v>456</v>
      </c>
      <c r="G77" s="23" t="n">
        <v>22</v>
      </c>
      <c r="H77" s="15">
        <f>F77*G77</f>
        <v/>
      </c>
      <c r="I77" s="4" t="inlineStr">
        <is>
          <t>TAHMİN</t>
        </is>
      </c>
      <c r="J77" s="4" t="inlineStr">
        <is>
          <t>Temel inşaat kapsamında</t>
        </is>
      </c>
    </row>
    <row r="78">
      <c r="A78" s="14" t="n"/>
      <c r="B78" s="14" t="inlineStr">
        <is>
          <t>2012.C</t>
        </is>
      </c>
      <c r="C78" s="4" t="inlineStr">
        <is>
          <t>T1-A Tipi Katener Direği (114 adet) dikim/montaj (vinç, şakül, tork)</t>
        </is>
      </c>
      <c r="D78" s="14" t="inlineStr">
        <is>
          <t>adet</t>
        </is>
      </c>
      <c r="E78" s="22" t="n">
        <v>114</v>
      </c>
      <c r="F78" s="22" t="n">
        <v>114</v>
      </c>
      <c r="G78" s="23" t="n">
        <v>300</v>
      </c>
      <c r="H78" s="15">
        <f>F78*G78</f>
        <v/>
      </c>
      <c r="I78" s="4" t="inlineStr">
        <is>
          <t>TAHMİN</t>
        </is>
      </c>
      <c r="J78" s="4" t="inlineStr"/>
    </row>
    <row r="79">
      <c r="A79" s="20" t="inlineStr">
        <is>
          <t>223</t>
        </is>
      </c>
      <c r="B79" s="20" t="inlineStr">
        <is>
          <t>2012.D</t>
        </is>
      </c>
      <c r="C79" s="20" t="inlineStr">
        <is>
          <t>T2-B Tipi Katener Direği (17 adet)</t>
        </is>
      </c>
      <c r="D79" s="20" t="n"/>
      <c r="E79" s="20" t="inlineStr">
        <is>
          <t>RFQ tutarı →</t>
        </is>
      </c>
      <c r="F79" s="21">
        <f>SUMPRODUCT(E80:E82,G80:G82)</f>
        <v/>
      </c>
      <c r="G79" s="20" t="n"/>
      <c r="H79" s="21">
        <f>SUM(H80:H82)</f>
        <v/>
      </c>
      <c r="I79" s="20" t="n"/>
      <c r="J79" s="20" t="n"/>
    </row>
    <row r="80">
      <c r="A80" s="14" t="n"/>
      <c r="B80" s="14" t="inlineStr">
        <is>
          <t>2012.D</t>
        </is>
      </c>
      <c r="C80" s="4" t="inlineStr">
        <is>
          <t>T2-B Tipi Katener Direği (17 adet) gövdesi – galvanizli çelik (imalat+galvaniz+dikim)</t>
        </is>
      </c>
      <c r="D80" s="14" t="inlineStr">
        <is>
          <t>kg</t>
        </is>
      </c>
      <c r="E80" s="22" t="n">
        <v>7293</v>
      </c>
      <c r="F80" s="22" t="n">
        <v>7293</v>
      </c>
      <c r="G80" s="23">
        <f>Varsayimlar!$B$13</f>
        <v/>
      </c>
      <c r="H80" s="15">
        <f>F80*G80</f>
        <v/>
      </c>
      <c r="I80" s="4" t="inlineStr">
        <is>
          <t>REF medyan 1,80 €/kg + pay (Varsayımlar)</t>
        </is>
      </c>
      <c r="J80" s="4" t="inlineStr">
        <is>
          <t>Mitaş teklifi bekleniyor (dikişli S355)</t>
        </is>
      </c>
    </row>
    <row r="81">
      <c r="A81" s="14" t="n"/>
      <c r="B81" s="14" t="inlineStr">
        <is>
          <t>2012.D</t>
        </is>
      </c>
      <c r="C81" s="4" t="inlineStr">
        <is>
          <t>T2-B Tipi Katener Direği (17 adet) ankraj bulonu M30 (somun+rondela HDG)</t>
        </is>
      </c>
      <c r="D81" s="14" t="inlineStr">
        <is>
          <t>adet</t>
        </is>
      </c>
      <c r="E81" s="22" t="n">
        <v>136</v>
      </c>
      <c r="F81" s="22" t="n">
        <v>136</v>
      </c>
      <c r="G81" s="23" t="n">
        <v>22</v>
      </c>
      <c r="H81" s="15">
        <f>F81*G81</f>
        <v/>
      </c>
      <c r="I81" s="4" t="inlineStr">
        <is>
          <t>TAHMİN</t>
        </is>
      </c>
      <c r="J81" s="4" t="inlineStr">
        <is>
          <t>Temel inşaat kapsamında</t>
        </is>
      </c>
    </row>
    <row r="82">
      <c r="A82" s="14" t="n"/>
      <c r="B82" s="14" t="inlineStr">
        <is>
          <t>2012.D</t>
        </is>
      </c>
      <c r="C82" s="4" t="inlineStr">
        <is>
          <t>T2-B Tipi Katener Direği (17 adet) dikim/montaj (vinç, şakül, tork)</t>
        </is>
      </c>
      <c r="D82" s="14" t="inlineStr">
        <is>
          <t>adet</t>
        </is>
      </c>
      <c r="E82" s="22" t="n">
        <v>17</v>
      </c>
      <c r="F82" s="22" t="n">
        <v>17</v>
      </c>
      <c r="G82" s="23" t="n">
        <v>300</v>
      </c>
      <c r="H82" s="15">
        <f>F82*G82</f>
        <v/>
      </c>
      <c r="I82" s="4" t="inlineStr">
        <is>
          <t>TAHMİN</t>
        </is>
      </c>
      <c r="J82" s="4" t="inlineStr"/>
    </row>
    <row r="83">
      <c r="A83" s="20" t="inlineStr">
        <is>
          <t>224</t>
        </is>
      </c>
      <c r="B83" s="20" t="inlineStr">
        <is>
          <t>2012.E</t>
        </is>
      </c>
      <c r="C83" s="20" t="inlineStr">
        <is>
          <t>T2-B1 Tipi Katener Direği (4 adet)</t>
        </is>
      </c>
      <c r="D83" s="20" t="n"/>
      <c r="E83" s="20" t="inlineStr">
        <is>
          <t>RFQ tutarı →</t>
        </is>
      </c>
      <c r="F83" s="21">
        <f>SUMPRODUCT(E84:E86,G84:G86)</f>
        <v/>
      </c>
      <c r="G83" s="20" t="n"/>
      <c r="H83" s="21">
        <f>SUM(H84:H86)</f>
        <v/>
      </c>
      <c r="I83" s="20" t="n"/>
      <c r="J83" s="20" t="n"/>
    </row>
    <row r="84">
      <c r="A84" s="14" t="n"/>
      <c r="B84" s="14" t="inlineStr">
        <is>
          <t>2012.E</t>
        </is>
      </c>
      <c r="C84" s="4" t="inlineStr">
        <is>
          <t>T2-B1 Tipi Katener Direği (4 adet) gövdesi – galvanizli çelik (imalat+galvaniz+dikim)</t>
        </is>
      </c>
      <c r="D84" s="14" t="inlineStr">
        <is>
          <t>kg</t>
        </is>
      </c>
      <c r="E84" s="22" t="n">
        <v>1452</v>
      </c>
      <c r="F84" s="22" t="n">
        <v>1452</v>
      </c>
      <c r="G84" s="23">
        <f>Varsayimlar!$B$13</f>
        <v/>
      </c>
      <c r="H84" s="15">
        <f>F84*G84</f>
        <v/>
      </c>
      <c r="I84" s="4" t="inlineStr">
        <is>
          <t>REF medyan 1,80 €/kg + pay (Varsayımlar)</t>
        </is>
      </c>
      <c r="J84" s="4" t="inlineStr">
        <is>
          <t>Mitaş teklifi bekleniyor (dikişli S355)</t>
        </is>
      </c>
    </row>
    <row r="85">
      <c r="A85" s="14" t="n"/>
      <c r="B85" s="14" t="inlineStr">
        <is>
          <t>2012.E</t>
        </is>
      </c>
      <c r="C85" s="4" t="inlineStr">
        <is>
          <t>T2-B1 Tipi Katener Direği (4 adet) ankraj bulonu M30 (somun+rondela HDG)</t>
        </is>
      </c>
      <c r="D85" s="14" t="inlineStr">
        <is>
          <t>adet</t>
        </is>
      </c>
      <c r="E85" s="22" t="n">
        <v>32</v>
      </c>
      <c r="F85" s="22" t="n">
        <v>32</v>
      </c>
      <c r="G85" s="23" t="n">
        <v>22</v>
      </c>
      <c r="H85" s="15">
        <f>F85*G85</f>
        <v/>
      </c>
      <c r="I85" s="4" t="inlineStr">
        <is>
          <t>TAHMİN</t>
        </is>
      </c>
      <c r="J85" s="4" t="inlineStr">
        <is>
          <t>Temel inşaat kapsamında</t>
        </is>
      </c>
    </row>
    <row r="86">
      <c r="A86" s="14" t="n"/>
      <c r="B86" s="14" t="inlineStr">
        <is>
          <t>2012.E</t>
        </is>
      </c>
      <c r="C86" s="4" t="inlineStr">
        <is>
          <t>T2-B1 Tipi Katener Direği (4 adet) dikim/montaj (vinç, şakül, tork)</t>
        </is>
      </c>
      <c r="D86" s="14" t="inlineStr">
        <is>
          <t>adet</t>
        </is>
      </c>
      <c r="E86" s="22" t="n">
        <v>4</v>
      </c>
      <c r="F86" s="22" t="n">
        <v>4</v>
      </c>
      <c r="G86" s="23" t="n">
        <v>300</v>
      </c>
      <c r="H86" s="15">
        <f>F86*G86</f>
        <v/>
      </c>
      <c r="I86" s="4" t="inlineStr">
        <is>
          <t>TAHMİN</t>
        </is>
      </c>
      <c r="J86" s="4" t="inlineStr"/>
    </row>
    <row r="87">
      <c r="A87" s="20" t="inlineStr">
        <is>
          <t>225</t>
        </is>
      </c>
      <c r="B87" s="20" t="inlineStr">
        <is>
          <t>2012.G</t>
        </is>
      </c>
      <c r="C87" s="20" t="inlineStr">
        <is>
          <t>T3-D Tipi Katener Direği (33 adet)</t>
        </is>
      </c>
      <c r="D87" s="20" t="n"/>
      <c r="E87" s="20" t="inlineStr">
        <is>
          <t>RFQ tutarı →</t>
        </is>
      </c>
      <c r="F87" s="21">
        <f>SUMPRODUCT(E88:E90,G88:G90)</f>
        <v/>
      </c>
      <c r="G87" s="20" t="n"/>
      <c r="H87" s="21">
        <f>SUM(H88:H90)</f>
        <v/>
      </c>
      <c r="I87" s="20" t="n"/>
      <c r="J87" s="20" t="n"/>
    </row>
    <row r="88">
      <c r="A88" s="14" t="n"/>
      <c r="B88" s="14" t="inlineStr">
        <is>
          <t>2012.G</t>
        </is>
      </c>
      <c r="C88" s="4" t="inlineStr">
        <is>
          <t>T3-D Tipi Katener Direği (33 adet) gövdesi – galvanizli çelik (imalat+galvaniz+dikim)</t>
        </is>
      </c>
      <c r="D88" s="14" t="inlineStr">
        <is>
          <t>kg</t>
        </is>
      </c>
      <c r="E88" s="22" t="n">
        <v>21912</v>
      </c>
      <c r="F88" s="22" t="n">
        <v>21912</v>
      </c>
      <c r="G88" s="23">
        <f>Varsayimlar!$B$13</f>
        <v/>
      </c>
      <c r="H88" s="15">
        <f>F88*G88</f>
        <v/>
      </c>
      <c r="I88" s="4" t="inlineStr">
        <is>
          <t>REF medyan 1,80 €/kg + pay (Varsayımlar)</t>
        </is>
      </c>
      <c r="J88" s="4" t="inlineStr">
        <is>
          <t>Mitaş teklifi bekleniyor (dikişli S355)</t>
        </is>
      </c>
    </row>
    <row r="89">
      <c r="A89" s="14" t="n"/>
      <c r="B89" s="14" t="inlineStr">
        <is>
          <t>2012.G</t>
        </is>
      </c>
      <c r="C89" s="4" t="inlineStr">
        <is>
          <t>T3-D Tipi Katener Direği (33 adet) ankraj bulonu M30 (somun+rondela HDG)</t>
        </is>
      </c>
      <c r="D89" s="14" t="inlineStr">
        <is>
          <t>adet</t>
        </is>
      </c>
      <c r="E89" s="22" t="n">
        <v>330</v>
      </c>
      <c r="F89" s="22" t="n">
        <v>330</v>
      </c>
      <c r="G89" s="23" t="n">
        <v>22</v>
      </c>
      <c r="H89" s="15">
        <f>F89*G89</f>
        <v/>
      </c>
      <c r="I89" s="4" t="inlineStr">
        <is>
          <t>TAHMİN</t>
        </is>
      </c>
      <c r="J89" s="4" t="inlineStr">
        <is>
          <t>Temel inşaat kapsamında</t>
        </is>
      </c>
    </row>
    <row r="90">
      <c r="A90" s="14" t="n"/>
      <c r="B90" s="14" t="inlineStr">
        <is>
          <t>2012.G</t>
        </is>
      </c>
      <c r="C90" s="4" t="inlineStr">
        <is>
          <t>T3-D Tipi Katener Direği (33 adet) dikim/montaj (vinç, şakül, tork)</t>
        </is>
      </c>
      <c r="D90" s="14" t="inlineStr">
        <is>
          <t>adet</t>
        </is>
      </c>
      <c r="E90" s="22" t="n">
        <v>33</v>
      </c>
      <c r="F90" s="22" t="n">
        <v>33</v>
      </c>
      <c r="G90" s="23" t="n">
        <v>300</v>
      </c>
      <c r="H90" s="15">
        <f>F90*G90</f>
        <v/>
      </c>
      <c r="I90" s="4" t="inlineStr">
        <is>
          <t>TAHMİN</t>
        </is>
      </c>
      <c r="J90" s="4" t="inlineStr"/>
    </row>
    <row r="91">
      <c r="A91" s="20" t="inlineStr">
        <is>
          <t>226</t>
        </is>
      </c>
      <c r="B91" s="20" t="inlineStr">
        <is>
          <t>2012.F</t>
        </is>
      </c>
      <c r="C91" s="20" t="inlineStr">
        <is>
          <t>T3-C Tipi Katener Direği (60 adet)</t>
        </is>
      </c>
      <c r="D91" s="20" t="n"/>
      <c r="E91" s="20" t="inlineStr">
        <is>
          <t>RFQ tutarı →</t>
        </is>
      </c>
      <c r="F91" s="21">
        <f>SUMPRODUCT(E92:E94,G92:G94)</f>
        <v/>
      </c>
      <c r="G91" s="20" t="n"/>
      <c r="H91" s="21">
        <f>SUM(H92:H94)</f>
        <v/>
      </c>
      <c r="I91" s="20" t="n"/>
      <c r="J91" s="20" t="n"/>
    </row>
    <row r="92">
      <c r="A92" s="14" t="n"/>
      <c r="B92" s="14" t="inlineStr">
        <is>
          <t>2012.F</t>
        </is>
      </c>
      <c r="C92" s="4" t="inlineStr">
        <is>
          <t>T3-C Tipi Katener Direği (60 adet) gövdesi – galvanizli çelik (imalat+galvaniz+dikim)</t>
        </is>
      </c>
      <c r="D92" s="14" t="inlineStr">
        <is>
          <t>kg</t>
        </is>
      </c>
      <c r="E92" s="22" t="n">
        <v>39840</v>
      </c>
      <c r="F92" s="22" t="n">
        <v>39840</v>
      </c>
      <c r="G92" s="23">
        <f>Varsayimlar!$B$13</f>
        <v/>
      </c>
      <c r="H92" s="15">
        <f>F92*G92</f>
        <v/>
      </c>
      <c r="I92" s="4" t="inlineStr">
        <is>
          <t>REF medyan 1,80 €/kg + pay (Varsayımlar)</t>
        </is>
      </c>
      <c r="J92" s="4" t="inlineStr">
        <is>
          <t>Mitaş teklifi bekleniyor (dikişli S355)</t>
        </is>
      </c>
    </row>
    <row r="93">
      <c r="A93" s="14" t="n"/>
      <c r="B93" s="14" t="inlineStr">
        <is>
          <t>2012.F</t>
        </is>
      </c>
      <c r="C93" s="4" t="inlineStr">
        <is>
          <t>T3-C Tipi Katener Direği (60 adet) ankraj bulonu M30 (somun+rondela HDG)</t>
        </is>
      </c>
      <c r="D93" s="14" t="inlineStr">
        <is>
          <t>adet</t>
        </is>
      </c>
      <c r="E93" s="22" t="n">
        <v>600</v>
      </c>
      <c r="F93" s="22" t="n">
        <v>600</v>
      </c>
      <c r="G93" s="23" t="n">
        <v>22</v>
      </c>
      <c r="H93" s="15">
        <f>F93*G93</f>
        <v/>
      </c>
      <c r="I93" s="4" t="inlineStr">
        <is>
          <t>TAHMİN</t>
        </is>
      </c>
      <c r="J93" s="4" t="inlineStr">
        <is>
          <t>Temel inşaat kapsamında</t>
        </is>
      </c>
    </row>
    <row r="94">
      <c r="A94" s="14" t="n"/>
      <c r="B94" s="14" t="inlineStr">
        <is>
          <t>2012.F</t>
        </is>
      </c>
      <c r="C94" s="4" t="inlineStr">
        <is>
          <t>T3-C Tipi Katener Direği (60 adet) dikim/montaj (vinç, şakül, tork)</t>
        </is>
      </c>
      <c r="D94" s="14" t="inlineStr">
        <is>
          <t>adet</t>
        </is>
      </c>
      <c r="E94" s="22" t="n">
        <v>60</v>
      </c>
      <c r="F94" s="22" t="n">
        <v>60</v>
      </c>
      <c r="G94" s="23" t="n">
        <v>300</v>
      </c>
      <c r="H94" s="15">
        <f>F94*G94</f>
        <v/>
      </c>
      <c r="I94" s="4" t="inlineStr">
        <is>
          <t>TAHMİN</t>
        </is>
      </c>
      <c r="J94" s="4" t="inlineStr"/>
    </row>
    <row r="96">
      <c r="C96" s="7" t="inlineStr">
        <is>
          <t>TOPLAM (idare cevaplarına göre düzeltilmiş)</t>
        </is>
      </c>
      <c r="H96" s="24">
        <f>H5+H42+H75+H79+H83+H87+H91</f>
        <v/>
      </c>
    </row>
    <row r="97">
      <c r="C97" s="7" t="inlineStr">
        <is>
          <t>Karşılaştırma: RFQ miktarlarıyla aynı birim fiyatlardan tutar</t>
        </is>
      </c>
      <c r="H97" s="24">
        <f>F5+F42+F75+F79+F83+F87+F91</f>
        <v/>
      </c>
    </row>
    <row r="98">
      <c r="C98" s="7" t="inlineStr">
        <is>
          <t>İdare cevaplarının net etkisi</t>
        </is>
      </c>
      <c r="H98" s="24">
        <f>H96-H97</f>
        <v/>
      </c>
    </row>
  </sheetData>
  <mergeCells count="1">
    <mergeCell ref="A2:J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0" customWidth="1" min="3" max="3"/>
    <col width="8" customWidth="1" min="4" max="4"/>
    <col width="13" customWidth="1" min="5" max="5"/>
    <col width="15" customWidth="1" min="6" max="6"/>
    <col width="15" customWidth="1" min="7" max="7"/>
    <col width="15" customWidth="1" min="8" max="8"/>
    <col width="34" customWidth="1" min="9" max="9"/>
    <col width="48" customWidth="1" min="10" max="10"/>
  </cols>
  <sheetData>
    <row r="1">
      <c r="A1" s="12" t="inlineStr">
        <is>
          <t>ELEKTRİFİKASYON (2) – CER GÜCÜ / ENERJİ TEMİNİ (5 TM, OG ring, TEİAŞ bağlantısı)</t>
        </is>
      </c>
    </row>
    <row r="2" ht="42" customHeight="1">
      <c r="A2" s="2" t="inlineStr">
        <is>
          <t>Birim fiyatlar EUR, KDV hariç, montaj+test+devreye alma dahil. Sarı: değiştirilebilir. Turuncu miktar: idare cevabı (05.10.2026) ile RFQ'dan farklılaşan kalem. Kaynak kodları: REF = EM_Butce_Tahmini referans BF (geçmiş teklifler, HICP ile Ağu-2026); TEKLİF = 2026 firma teklifi; TAHMİN = mühendislik tahmini (referans yok).</t>
        </is>
      </c>
    </row>
    <row r="4">
      <c r="A4" s="3" t="inlineStr">
        <is>
          <t>Sıra</t>
        </is>
      </c>
      <c r="B4" s="3" t="inlineStr">
        <is>
          <t>Poz</t>
        </is>
      </c>
      <c r="C4" s="3" t="inlineStr">
        <is>
          <t>Kalem / Alt kalem</t>
        </is>
      </c>
      <c r="D4" s="3" t="inlineStr">
        <is>
          <t>Birim</t>
        </is>
      </c>
      <c r="E4" s="3" t="inlineStr">
        <is>
          <t>Miktar (RFQ)</t>
        </is>
      </c>
      <c r="F4" s="3" t="inlineStr">
        <is>
          <t>Miktar (idare cevabına göre)</t>
        </is>
      </c>
      <c r="G4" s="3" t="inlineStr">
        <is>
          <t>Birim fiyat EUR (montaj dahil)</t>
        </is>
      </c>
      <c r="H4" s="3" t="inlineStr">
        <is>
          <t>Tutar EUR</t>
        </is>
      </c>
      <c r="I4" s="3" t="inlineStr">
        <is>
          <t>Fiyat kaynağı</t>
        </is>
      </c>
      <c r="J4" s="3" t="inlineStr">
        <is>
          <t>Düzeltme / not</t>
        </is>
      </c>
    </row>
    <row r="5">
      <c r="A5" s="20" t="inlineStr">
        <is>
          <t>169</t>
        </is>
      </c>
      <c r="B5" s="20" t="inlineStr">
        <is>
          <t>2001</t>
        </is>
      </c>
      <c r="C5" s="20" t="inlineStr">
        <is>
          <t>Güç Temini ve Cer Gücü Tasarımı</t>
        </is>
      </c>
      <c r="D5" s="20" t="n"/>
      <c r="E5" s="20" t="inlineStr">
        <is>
          <t>RFQ tutarı →</t>
        </is>
      </c>
      <c r="F5" s="21">
        <f>SUMPRODUCT(E6:E7,G6:G7)</f>
        <v/>
      </c>
      <c r="G5" s="20" t="n"/>
      <c r="H5" s="21">
        <f>SUM(H6:H7)</f>
        <v/>
      </c>
      <c r="I5" s="20" t="n"/>
      <c r="J5" s="20" t="n"/>
    </row>
    <row r="6">
      <c r="A6" s="14" t="n"/>
      <c r="B6" s="14" t="inlineStr">
        <is>
          <t>2001</t>
        </is>
      </c>
      <c r="C6" s="4" t="inlineStr">
        <is>
          <t>Uygulama projeleri (OG ring, TEİAŞ bağlantısı, 5 TM), cer gücü simülasyonu, kısa devre/selektivite, topraklama ve kaçak akım (EN 50122), kompanzasyon raporları, as-built</t>
        </is>
      </c>
      <c r="D6" s="14" t="inlineStr">
        <is>
          <t>set</t>
        </is>
      </c>
      <c r="E6" s="22" t="n">
        <v>1</v>
      </c>
      <c r="F6" s="22" t="n">
        <v>1</v>
      </c>
      <c r="G6" s="23" t="n">
        <v>150000</v>
      </c>
      <c r="H6" s="15">
        <f>F6*G6</f>
        <v/>
      </c>
      <c r="I6" s="4" t="inlineStr">
        <is>
          <t>REF (metro: 133.738–620.171; tramvay ölçeğine indirildi)</t>
        </is>
      </c>
      <c r="J6" s="4" t="inlineStr"/>
    </row>
    <row r="7">
      <c r="A7" s="14" t="n"/>
      <c r="B7" s="14" t="inlineStr">
        <is>
          <t>2001</t>
        </is>
      </c>
      <c r="C7" s="4" t="inlineStr">
        <is>
          <t>DEDAŞ/TEİAŞ bağlantı projesi onayı ve kurum masrafları</t>
        </is>
      </c>
      <c r="D7" s="14" t="inlineStr">
        <is>
          <t>set</t>
        </is>
      </c>
      <c r="E7" s="22" t="n">
        <v>1</v>
      </c>
      <c r="F7" s="22" t="n">
        <v>1</v>
      </c>
      <c r="G7" s="23" t="n">
        <v>40000</v>
      </c>
      <c r="H7" s="15">
        <f>F7*G7</f>
        <v/>
      </c>
      <c r="I7" s="4" t="inlineStr">
        <is>
          <t>TAHMİN</t>
        </is>
      </c>
      <c r="J7" s="4" t="inlineStr"/>
    </row>
    <row r="8">
      <c r="A8" s="20" t="inlineStr">
        <is>
          <t>170</t>
        </is>
      </c>
      <c r="B8" s="20" t="inlineStr">
        <is>
          <t>2002.A</t>
        </is>
      </c>
      <c r="C8" s="20" t="inlineStr">
        <is>
          <t>OG Ring Şebekesi 3×1×240/25 mm² 20,3/35 kV Al XLPE</t>
        </is>
      </c>
      <c r="D8" s="20" t="n"/>
      <c r="E8" s="20" t="inlineStr">
        <is>
          <t>RFQ tutarı →</t>
        </is>
      </c>
      <c r="F8" s="21">
        <f>SUMPRODUCT(E9:E15,G9:G15)</f>
        <v/>
      </c>
      <c r="G8" s="20" t="n"/>
      <c r="H8" s="21">
        <f>SUM(H9:H15)</f>
        <v/>
      </c>
      <c r="I8" s="20" t="n"/>
      <c r="J8" s="20" t="n"/>
    </row>
    <row r="9">
      <c r="A9" s="14" t="n"/>
      <c r="B9" s="14" t="inlineStr">
        <is>
          <t>2002.A</t>
        </is>
      </c>
      <c r="C9" s="4" t="inlineStr">
        <is>
          <t>YAXC7V-R (NA2XSY) 1×240/25 Al XLPE LSHF tek damar kablo – çekme dahil</t>
        </is>
      </c>
      <c r="D9" s="14" t="inlineStr">
        <is>
          <t>m</t>
        </is>
      </c>
      <c r="E9" s="22" t="n">
        <v>21000</v>
      </c>
      <c r="F9" s="25">
        <f>3*Varsayimlar!$B$12</f>
        <v/>
      </c>
      <c r="G9" s="23" t="n">
        <v>14</v>
      </c>
      <c r="H9" s="15">
        <f>F9*G9</f>
        <v/>
      </c>
      <c r="I9" s="4" t="inlineStr">
        <is>
          <t>REF (Prysmian 1×400 15 €/m; Haluk 1×150 11 €/m)</t>
        </is>
      </c>
      <c r="J9" s="4" t="inlineStr">
        <is>
          <t>İdare soru 21: güzergah 7.964 m</t>
        </is>
      </c>
    </row>
    <row r="10">
      <c r="A10" s="14" t="n"/>
      <c r="B10" s="14" t="inlineStr">
        <is>
          <t>2002.A</t>
        </is>
      </c>
      <c r="C10" s="4" t="inlineStr">
        <is>
          <t>36 kV 1×240 kablo başlığı</t>
        </is>
      </c>
      <c r="D10" s="14" t="inlineStr">
        <is>
          <t>adet</t>
        </is>
      </c>
      <c r="E10" s="22" t="n">
        <v>24</v>
      </c>
      <c r="F10" s="22" t="n">
        <v>24</v>
      </c>
      <c r="G10" s="23" t="n">
        <v>450</v>
      </c>
      <c r="H10" s="15">
        <f>F10*G10</f>
        <v/>
      </c>
      <c r="I10" s="4" t="inlineStr">
        <is>
          <t>TAHMİN</t>
        </is>
      </c>
      <c r="J10" s="4" t="inlineStr"/>
    </row>
    <row r="11">
      <c r="A11" s="14" t="n"/>
      <c r="B11" s="14" t="inlineStr">
        <is>
          <t>2002.A</t>
        </is>
      </c>
      <c r="C11" s="4" t="inlineStr">
        <is>
          <t>36 kV 1×240 ek mufu</t>
        </is>
      </c>
      <c r="D11" s="14" t="inlineStr">
        <is>
          <t>adet</t>
        </is>
      </c>
      <c r="E11" s="22" t="n">
        <v>33</v>
      </c>
      <c r="F11" s="25">
        <f>ROUND(33*Varsayimlar!$B$12/Varsayimlar!$B$11,0)</f>
        <v/>
      </c>
      <c r="G11" s="23" t="n">
        <v>400</v>
      </c>
      <c r="H11" s="15">
        <f>F11*G11</f>
        <v/>
      </c>
      <c r="I11" s="4" t="inlineStr">
        <is>
          <t>TAHMİN</t>
        </is>
      </c>
      <c r="J11" s="4" t="inlineStr">
        <is>
          <t>Güzergah oranında</t>
        </is>
      </c>
    </row>
    <row r="12">
      <c r="A12" s="14" t="n"/>
      <c r="B12" s="14" t="inlineStr">
        <is>
          <t>2002.A</t>
        </is>
      </c>
      <c r="C12" s="4" t="inlineStr">
        <is>
          <t>Trefoil kelepçe / kanal içi askı</t>
        </is>
      </c>
      <c r="D12" s="14" t="inlineStr">
        <is>
          <t>adet</t>
        </is>
      </c>
      <c r="E12" s="22" t="n">
        <v>6500</v>
      </c>
      <c r="F12" s="25">
        <f>ROUND(6500*Varsayimlar!$B$12/Varsayimlar!$B$11,0)</f>
        <v/>
      </c>
      <c r="G12" s="23" t="n">
        <v>6</v>
      </c>
      <c r="H12" s="15">
        <f>F12*G12</f>
        <v/>
      </c>
      <c r="I12" s="4" t="inlineStr">
        <is>
          <t>TAHMİN</t>
        </is>
      </c>
      <c r="J12" s="4" t="inlineStr">
        <is>
          <t>Güzergah oranında</t>
        </is>
      </c>
    </row>
    <row r="13">
      <c r="A13" s="14" t="n"/>
      <c r="B13" s="14" t="inlineStr">
        <is>
          <t>2002.A</t>
        </is>
      </c>
      <c r="C13" s="4" t="inlineStr">
        <is>
          <t>Yangın durdurucu (TM geçişleri)</t>
        </is>
      </c>
      <c r="D13" s="14" t="inlineStr">
        <is>
          <t>adet</t>
        </is>
      </c>
      <c r="E13" s="22" t="n">
        <v>10</v>
      </c>
      <c r="F13" s="22" t="n">
        <v>10</v>
      </c>
      <c r="G13" s="23" t="n">
        <v>200</v>
      </c>
      <c r="H13" s="15">
        <f>F13*G13</f>
        <v/>
      </c>
      <c r="I13" s="4" t="inlineStr">
        <is>
          <t>TAHMİN</t>
        </is>
      </c>
      <c r="J13" s="4" t="inlineStr"/>
    </row>
    <row r="14">
      <c r="A14" s="14" t="n"/>
      <c r="B14" s="14" t="inlineStr">
        <is>
          <t>2002.A</t>
        </is>
      </c>
      <c r="C14" s="4" t="inlineStr">
        <is>
          <t>Kablo etiket / güzergah markörü</t>
        </is>
      </c>
      <c r="D14" s="14" t="inlineStr">
        <is>
          <t>adet</t>
        </is>
      </c>
      <c r="E14" s="22" t="n">
        <v>140</v>
      </c>
      <c r="F14" s="25">
        <f>ROUND(140*Varsayimlar!$B$12/Varsayimlar!$B$11,0)</f>
        <v/>
      </c>
      <c r="G14" s="23" t="n">
        <v>15</v>
      </c>
      <c r="H14" s="15">
        <f>F14*G14</f>
        <v/>
      </c>
      <c r="I14" s="4" t="inlineStr">
        <is>
          <t>TAHMİN</t>
        </is>
      </c>
      <c r="J14" s="4" t="inlineStr"/>
    </row>
    <row r="15">
      <c r="A15" s="14" t="n"/>
      <c r="B15" s="14" t="inlineStr">
        <is>
          <t>2002.A</t>
        </is>
      </c>
      <c r="C15" s="4" t="inlineStr">
        <is>
          <t>OG kablo saha testleri (VLF, kılıf)</t>
        </is>
      </c>
      <c r="D15" s="14" t="inlineStr">
        <is>
          <t>set</t>
        </is>
      </c>
      <c r="E15" s="22" t="n">
        <v>4</v>
      </c>
      <c r="F15" s="22" t="n">
        <v>4</v>
      </c>
      <c r="G15" s="23" t="n">
        <v>3000</v>
      </c>
      <c r="H15" s="15">
        <f>F15*G15</f>
        <v/>
      </c>
      <c r="I15" s="4" t="inlineStr">
        <is>
          <t>TAHMİN</t>
        </is>
      </c>
      <c r="J15" s="4" t="inlineStr"/>
    </row>
    <row r="16">
      <c r="A16" s="20" t="inlineStr">
        <is>
          <t>171</t>
        </is>
      </c>
      <c r="B16" s="20" t="inlineStr">
        <is>
          <t>2002.B</t>
        </is>
      </c>
      <c r="C16" s="20" t="inlineStr">
        <is>
          <t>TEİAŞ Bağlantısı 2×4×(1×400+35) mm² 20,3/35 kV – transe dahil</t>
        </is>
      </c>
      <c r="D16" s="20" t="n"/>
      <c r="E16" s="20" t="inlineStr">
        <is>
          <t>RFQ tutarı →</t>
        </is>
      </c>
      <c r="F16" s="21">
        <f>SUMPRODUCT(E17:E30,G17:G30)</f>
        <v/>
      </c>
      <c r="G16" s="20" t="n"/>
      <c r="H16" s="21">
        <f>SUM(H17:H30)</f>
        <v/>
      </c>
      <c r="I16" s="20" t="n"/>
      <c r="J16" s="20" t="n"/>
    </row>
    <row r="17">
      <c r="A17" s="14" t="n"/>
      <c r="B17" s="14" t="inlineStr">
        <is>
          <t>2002.B</t>
        </is>
      </c>
      <c r="C17" s="4" t="inlineStr">
        <is>
          <t>YAXC7V-R 1×400/35 Al XLPE zırhlı LSHF – çekme dahil</t>
        </is>
      </c>
      <c r="D17" s="14" t="inlineStr">
        <is>
          <t>m</t>
        </is>
      </c>
      <c r="E17" s="22" t="n">
        <v>35424</v>
      </c>
      <c r="F17" s="22" t="n">
        <v>35424</v>
      </c>
      <c r="G17" s="23" t="n">
        <v>20</v>
      </c>
      <c r="H17" s="15">
        <f>F17*G17</f>
        <v/>
      </c>
      <c r="I17" s="4" t="inlineStr">
        <is>
          <t>REF (Prysmian 15 €/m malzeme) + çekme</t>
        </is>
      </c>
      <c r="J17" s="4" t="inlineStr">
        <is>
          <t>İdare: 8.856 m × 4 kablo – uyumlu</t>
        </is>
      </c>
    </row>
    <row r="18">
      <c r="A18" s="14" t="n"/>
      <c r="B18" s="14" t="inlineStr">
        <is>
          <t>2002.B</t>
        </is>
      </c>
      <c r="C18" s="4" t="inlineStr">
        <is>
          <t>36 kV 1×400 kablo başlığı</t>
        </is>
      </c>
      <c r="D18" s="14" t="inlineStr">
        <is>
          <t>adet</t>
        </is>
      </c>
      <c r="E18" s="22" t="n">
        <v>16</v>
      </c>
      <c r="F18" s="22" t="n">
        <v>16</v>
      </c>
      <c r="G18" s="23" t="n">
        <v>600</v>
      </c>
      <c r="H18" s="15">
        <f>F18*G18</f>
        <v/>
      </c>
      <c r="I18" s="4" t="inlineStr">
        <is>
          <t>TAHMİN</t>
        </is>
      </c>
      <c r="J18" s="4" t="inlineStr"/>
    </row>
    <row r="19">
      <c r="A19" s="14" t="n"/>
      <c r="B19" s="14" t="inlineStr">
        <is>
          <t>2002.B</t>
        </is>
      </c>
      <c r="C19" s="4" t="inlineStr">
        <is>
          <t>36 kV 1×400 ek mufu</t>
        </is>
      </c>
      <c r="D19" s="14" t="inlineStr">
        <is>
          <t>adet</t>
        </is>
      </c>
      <c r="E19" s="22" t="n">
        <v>68</v>
      </c>
      <c r="F19" s="22" t="n">
        <v>68</v>
      </c>
      <c r="G19" s="23" t="n">
        <v>550</v>
      </c>
      <c r="H19" s="15">
        <f>F19*G19</f>
        <v/>
      </c>
      <c r="I19" s="4" t="inlineStr">
        <is>
          <t>TAHMİN</t>
        </is>
      </c>
      <c r="J19" s="4" t="inlineStr"/>
    </row>
    <row r="20">
      <c r="A20" s="14" t="n"/>
      <c r="B20" s="14" t="inlineStr">
        <is>
          <t>2002.B</t>
        </is>
      </c>
      <c r="C20" s="4" t="inlineStr">
        <is>
          <t>Kablo kanalı kazısı 0,80×1,40 m</t>
        </is>
      </c>
      <c r="D20" s="14" t="inlineStr">
        <is>
          <t>m³</t>
        </is>
      </c>
      <c r="E20" s="22" t="n">
        <v>9919</v>
      </c>
      <c r="F20" s="22" t="n">
        <v>9919</v>
      </c>
      <c r="G20" s="23" t="n">
        <v>8</v>
      </c>
      <c r="H20" s="15">
        <f>F20*G20</f>
        <v/>
      </c>
      <c r="I20" s="4" t="inlineStr">
        <is>
          <t>TAHMİN</t>
        </is>
      </c>
      <c r="J20" s="4" t="inlineStr"/>
    </row>
    <row r="21">
      <c r="A21" s="14" t="n"/>
      <c r="B21" s="14" t="inlineStr">
        <is>
          <t>2002.B</t>
        </is>
      </c>
      <c r="C21" s="4" t="inlineStr">
        <is>
          <t>HDPE/koruge boru Ø160 (her damar ayrı)</t>
        </is>
      </c>
      <c r="D21" s="14" t="inlineStr">
        <is>
          <t>m</t>
        </is>
      </c>
      <c r="E21" s="22" t="n">
        <v>38966.4</v>
      </c>
      <c r="F21" s="22" t="n">
        <v>38966.4</v>
      </c>
      <c r="G21" s="23" t="n">
        <v>6</v>
      </c>
      <c r="H21" s="15">
        <f>F21*G21</f>
        <v/>
      </c>
      <c r="I21" s="4" t="inlineStr">
        <is>
          <t>TAHMİN</t>
        </is>
      </c>
      <c r="J21" s="4" t="inlineStr"/>
    </row>
    <row r="22">
      <c r="A22" s="14" t="n"/>
      <c r="B22" s="14" t="inlineStr">
        <is>
          <t>2002.B</t>
        </is>
      </c>
      <c r="C22" s="4" t="inlineStr">
        <is>
          <t>Yol geçişleri yedek boş boru Ø160</t>
        </is>
      </c>
      <c r="D22" s="14" t="inlineStr">
        <is>
          <t>m</t>
        </is>
      </c>
      <c r="E22" s="22" t="n">
        <v>4383.72</v>
      </c>
      <c r="F22" s="22" t="n">
        <v>4383.72</v>
      </c>
      <c r="G22" s="23" t="n">
        <v>6</v>
      </c>
      <c r="H22" s="15">
        <f>F22*G22</f>
        <v/>
      </c>
      <c r="I22" s="4" t="inlineStr">
        <is>
          <t>TAHMİN</t>
        </is>
      </c>
      <c r="J22" s="4" t="inlineStr"/>
    </row>
    <row r="23">
      <c r="A23" s="14" t="n"/>
      <c r="B23" s="14" t="inlineStr">
        <is>
          <t>2002.B</t>
        </is>
      </c>
      <c r="C23" s="4" t="inlineStr">
        <is>
          <t>Dolgu kumu</t>
        </is>
      </c>
      <c r="D23" s="14" t="inlineStr">
        <is>
          <t>m³</t>
        </is>
      </c>
      <c r="E23" s="22" t="n">
        <v>3542</v>
      </c>
      <c r="F23" s="22" t="n">
        <v>3542</v>
      </c>
      <c r="G23" s="23" t="n">
        <v>18</v>
      </c>
      <c r="H23" s="15">
        <f>F23*G23</f>
        <v/>
      </c>
      <c r="I23" s="4" t="inlineStr">
        <is>
          <t>TAHMİN</t>
        </is>
      </c>
      <c r="J23" s="4" t="inlineStr"/>
    </row>
    <row r="24">
      <c r="A24" s="14" t="n"/>
      <c r="B24" s="14" t="inlineStr">
        <is>
          <t>2002.B</t>
        </is>
      </c>
      <c r="C24" s="4" t="inlineStr">
        <is>
          <t>Harman tuğlası</t>
        </is>
      </c>
      <c r="D24" s="14" t="inlineStr">
        <is>
          <t>adet</t>
        </is>
      </c>
      <c r="E24" s="22" t="n">
        <v>44280</v>
      </c>
      <c r="F24" s="22" t="n">
        <v>44280</v>
      </c>
      <c r="G24" s="23" t="n">
        <v>0.25</v>
      </c>
      <c r="H24" s="15">
        <f>F24*G24</f>
        <v/>
      </c>
      <c r="I24" s="4" t="inlineStr">
        <is>
          <t>TAHMİN</t>
        </is>
      </c>
      <c r="J24" s="4" t="inlineStr"/>
    </row>
    <row r="25">
      <c r="A25" s="14" t="n"/>
      <c r="B25" s="14" t="inlineStr">
        <is>
          <t>2002.B</t>
        </is>
      </c>
      <c r="C25" s="4" t="inlineStr">
        <is>
          <t>Plastik ikaz bandı</t>
        </is>
      </c>
      <c r="D25" s="14" t="inlineStr">
        <is>
          <t>m</t>
        </is>
      </c>
      <c r="E25" s="22" t="n">
        <v>19483.2</v>
      </c>
      <c r="F25" s="22" t="n">
        <v>19483.2</v>
      </c>
      <c r="G25" s="23" t="n">
        <v>0.3</v>
      </c>
      <c r="H25" s="15">
        <f>F25*G25</f>
        <v/>
      </c>
      <c r="I25" s="4" t="inlineStr">
        <is>
          <t>TAHMİN</t>
        </is>
      </c>
      <c r="J25" s="4" t="inlineStr"/>
    </row>
    <row r="26">
      <c r="A26" s="14" t="n"/>
      <c r="B26" s="14" t="inlineStr">
        <is>
          <t>2002.B</t>
        </is>
      </c>
      <c r="C26" s="4" t="inlineStr">
        <is>
          <t>C14 koruma betonu</t>
        </is>
      </c>
      <c r="D26" s="14" t="inlineStr">
        <is>
          <t>m³</t>
        </is>
      </c>
      <c r="E26" s="22" t="n">
        <v>709</v>
      </c>
      <c r="F26" s="22" t="n">
        <v>709</v>
      </c>
      <c r="G26" s="23" t="n">
        <v>75</v>
      </c>
      <c r="H26" s="15">
        <f>F26*G26</f>
        <v/>
      </c>
      <c r="I26" s="4" t="inlineStr">
        <is>
          <t>TAHMİN</t>
        </is>
      </c>
      <c r="J26" s="4" t="inlineStr"/>
    </row>
    <row r="27">
      <c r="A27" s="14" t="n"/>
      <c r="B27" s="14" t="inlineStr">
        <is>
          <t>2002.B</t>
        </is>
      </c>
      <c r="C27" s="4" t="inlineStr">
        <is>
          <t>Yol/kaldırım kaplamasının eski haline getirilmesi</t>
        </is>
      </c>
      <c r="D27" s="14" t="inlineStr">
        <is>
          <t>m²</t>
        </is>
      </c>
      <c r="E27" s="22" t="n">
        <v>6200</v>
      </c>
      <c r="F27" s="22" t="n">
        <v>6200</v>
      </c>
      <c r="G27" s="23" t="n">
        <v>25</v>
      </c>
      <c r="H27" s="15">
        <f>F27*G27</f>
        <v/>
      </c>
      <c r="I27" s="4" t="inlineStr">
        <is>
          <t>TAHMİN</t>
        </is>
      </c>
      <c r="J27" s="4" t="inlineStr"/>
    </row>
    <row r="28">
      <c r="A28" s="14" t="n"/>
      <c r="B28" s="14" t="inlineStr">
        <is>
          <t>2002.B</t>
        </is>
      </c>
      <c r="C28" s="4" t="inlineStr">
        <is>
          <t>Kazı fazlası nakli</t>
        </is>
      </c>
      <c r="D28" s="14" t="inlineStr">
        <is>
          <t>m³</t>
        </is>
      </c>
      <c r="E28" s="22" t="n">
        <v>4430</v>
      </c>
      <c r="F28" s="22" t="n">
        <v>4430</v>
      </c>
      <c r="G28" s="23" t="n">
        <v>6</v>
      </c>
      <c r="H28" s="15">
        <f>F28*G28</f>
        <v/>
      </c>
      <c r="I28" s="4" t="inlineStr">
        <is>
          <t>TAHMİN</t>
        </is>
      </c>
      <c r="J28" s="4" t="inlineStr"/>
    </row>
    <row r="29">
      <c r="A29" s="14" t="n"/>
      <c r="B29" s="14" t="inlineStr">
        <is>
          <t>2002.B</t>
        </is>
      </c>
      <c r="C29" s="4" t="inlineStr">
        <is>
          <t>Güzergah işaret taşı</t>
        </is>
      </c>
      <c r="D29" s="14" t="inlineStr">
        <is>
          <t>adet</t>
        </is>
      </c>
      <c r="E29" s="22" t="n">
        <v>180</v>
      </c>
      <c r="F29" s="22" t="n">
        <v>180</v>
      </c>
      <c r="G29" s="23" t="n">
        <v>30</v>
      </c>
      <c r="H29" s="15">
        <f>F29*G29</f>
        <v/>
      </c>
      <c r="I29" s="4" t="inlineStr">
        <is>
          <t>TAHMİN</t>
        </is>
      </c>
      <c r="J29" s="4" t="inlineStr"/>
    </row>
    <row r="30">
      <c r="A30" s="14" t="n"/>
      <c r="B30" s="14" t="inlineStr">
        <is>
          <t>2002.B</t>
        </is>
      </c>
      <c r="C30" s="4" t="inlineStr">
        <is>
          <t>OG kablo saha testleri</t>
        </is>
      </c>
      <c r="D30" s="14" t="inlineStr">
        <is>
          <t>set</t>
        </is>
      </c>
      <c r="E30" s="22" t="n">
        <v>2</v>
      </c>
      <c r="F30" s="22" t="n">
        <v>2</v>
      </c>
      <c r="G30" s="23" t="n">
        <v>4000</v>
      </c>
      <c r="H30" s="15">
        <f>F30*G30</f>
        <v/>
      </c>
      <c r="I30" s="4" t="inlineStr">
        <is>
          <t>TAHMİN</t>
        </is>
      </c>
      <c r="J30" s="4" t="inlineStr"/>
    </row>
    <row r="31">
      <c r="A31" s="20" t="inlineStr">
        <is>
          <t>172</t>
        </is>
      </c>
      <c r="B31" s="20" t="inlineStr">
        <is>
          <t>2003</t>
        </is>
      </c>
      <c r="C31" s="20" t="inlineStr">
        <is>
          <t>Enerji Kalitesi ve Yönetimi Sistemi</t>
        </is>
      </c>
      <c r="D31" s="20" t="n"/>
      <c r="E31" s="20" t="inlineStr">
        <is>
          <t>RFQ tutarı →</t>
        </is>
      </c>
      <c r="F31" s="21">
        <f>SUMPRODUCT(E32:E42,G32:G42)</f>
        <v/>
      </c>
      <c r="G31" s="20" t="n"/>
      <c r="H31" s="21">
        <f>SUM(H32:H42)</f>
        <v/>
      </c>
      <c r="I31" s="20" t="n"/>
      <c r="J31" s="20" t="n"/>
    </row>
    <row r="32">
      <c r="A32" s="14" t="n"/>
      <c r="B32" s="14" t="inlineStr">
        <is>
          <t>2003</t>
        </is>
      </c>
      <c r="C32" s="4" t="inlineStr">
        <is>
          <t>AG tristörlü kompanzasyon kademesi 50 kVAr 690 V</t>
        </is>
      </c>
      <c r="D32" s="14" t="inlineStr">
        <is>
          <t>adet</t>
        </is>
      </c>
      <c r="E32" s="22" t="n">
        <v>12</v>
      </c>
      <c r="F32" s="22" t="n">
        <v>12</v>
      </c>
      <c r="G32" s="23" t="n">
        <v>1500</v>
      </c>
      <c r="H32" s="15">
        <f>F32*G32</f>
        <v/>
      </c>
      <c r="I32" s="4" t="inlineStr">
        <is>
          <t>TAHMİN</t>
        </is>
      </c>
      <c r="J32" s="4" t="inlineStr"/>
    </row>
    <row r="33">
      <c r="A33" s="14" t="n"/>
      <c r="B33" s="14" t="inlineStr">
        <is>
          <t>2003</t>
        </is>
      </c>
      <c r="C33" s="4" t="inlineStr">
        <is>
          <t>AG tristörlü kompanzasyon kademesi 25 kVAr 690 V</t>
        </is>
      </c>
      <c r="D33" s="14" t="inlineStr">
        <is>
          <t>adet</t>
        </is>
      </c>
      <c r="E33" s="22" t="n">
        <v>8</v>
      </c>
      <c r="F33" s="22" t="n">
        <v>8</v>
      </c>
      <c r="G33" s="23" t="n">
        <v>1000</v>
      </c>
      <c r="H33" s="15">
        <f>F33*G33</f>
        <v/>
      </c>
      <c r="I33" s="4" t="inlineStr">
        <is>
          <t>TAHMİN</t>
        </is>
      </c>
      <c r="J33" s="4" t="inlineStr"/>
    </row>
    <row r="34">
      <c r="A34" s="14" t="n"/>
      <c r="B34" s="14" t="inlineStr">
        <is>
          <t>2003</t>
        </is>
      </c>
      <c r="C34" s="4" t="inlineStr">
        <is>
          <t>Kompanzasyon panosu (röle, Modbus, fan) – her TM 1</t>
        </is>
      </c>
      <c r="D34" s="14" t="inlineStr">
        <is>
          <t>adet</t>
        </is>
      </c>
      <c r="E34" s="22" t="n">
        <v>5</v>
      </c>
      <c r="F34" s="22" t="n">
        <v>5</v>
      </c>
      <c r="G34" s="23" t="n">
        <v>6000</v>
      </c>
      <c r="H34" s="15">
        <f>F34*G34</f>
        <v/>
      </c>
      <c r="I34" s="4" t="inlineStr">
        <is>
          <t>TAHMİN</t>
        </is>
      </c>
      <c r="J34" s="4" t="inlineStr"/>
    </row>
    <row r="35">
      <c r="A35" s="14" t="n"/>
      <c r="B35" s="14" t="inlineStr">
        <is>
          <t>2003</t>
        </is>
      </c>
      <c r="C35" s="4" t="inlineStr">
        <is>
          <t>MCCB 3×250 A + besleme kablosu 3×70</t>
        </is>
      </c>
      <c r="D35" s="14" t="inlineStr">
        <is>
          <t>set</t>
        </is>
      </c>
      <c r="E35" s="22" t="n">
        <v>1</v>
      </c>
      <c r="F35" s="22" t="n">
        <v>1</v>
      </c>
      <c r="G35" s="23" t="n">
        <v>12300</v>
      </c>
      <c r="H35" s="15">
        <f>F35*G35</f>
        <v/>
      </c>
      <c r="I35" s="4" t="inlineStr">
        <is>
          <t>TAHMİN</t>
        </is>
      </c>
      <c r="J35" s="4" t="inlineStr">
        <is>
          <t>10 MCCB + 143 m kablo</t>
        </is>
      </c>
    </row>
    <row r="36">
      <c r="A36" s="14" t="n"/>
      <c r="B36" s="14" t="inlineStr">
        <is>
          <t>2003</t>
        </is>
      </c>
      <c r="C36" s="4" t="inlineStr">
        <is>
          <t>OG şönt reaktör sistemi (TM-4 çıkışı)</t>
        </is>
      </c>
      <c r="D36" s="14" t="inlineStr">
        <is>
          <t>set</t>
        </is>
      </c>
      <c r="E36" s="22" t="n">
        <v>1</v>
      </c>
      <c r="F36" s="22" t="n">
        <v>1</v>
      </c>
      <c r="G36" s="23" t="n">
        <v>60000</v>
      </c>
      <c r="H36" s="15">
        <f>F36*G36</f>
        <v/>
      </c>
      <c r="I36" s="4" t="inlineStr">
        <is>
          <t>TAHMİN</t>
        </is>
      </c>
      <c r="J36" s="4" t="inlineStr"/>
    </row>
    <row r="37">
      <c r="A37" s="14" t="n"/>
      <c r="B37" s="14" t="inlineStr">
        <is>
          <t>2003</t>
        </is>
      </c>
      <c r="C37" s="4" t="inlineStr">
        <is>
          <t>36 kV 630 A kesicili kompanzasyon fider hücresi</t>
        </is>
      </c>
      <c r="D37" s="14" t="inlineStr">
        <is>
          <t>adet</t>
        </is>
      </c>
      <c r="E37" s="22" t="n">
        <v>1</v>
      </c>
      <c r="F37" s="22" t="n">
        <v>1</v>
      </c>
      <c r="G37" s="23" t="n">
        <v>28000</v>
      </c>
      <c r="H37" s="15">
        <f>F37*G37</f>
        <v/>
      </c>
      <c r="I37" s="4" t="inlineStr">
        <is>
          <t>REF (36 kV kesicili hücre)</t>
        </is>
      </c>
      <c r="J37" s="4" t="inlineStr"/>
    </row>
    <row r="38">
      <c r="A38" s="14" t="n"/>
      <c r="B38" s="14" t="inlineStr">
        <is>
          <t>2003</t>
        </is>
      </c>
      <c r="C38" s="4" t="inlineStr">
        <is>
          <t>34,5/0,4 kV 630 kVA kuru tip kompanzasyon trafosu</t>
        </is>
      </c>
      <c r="D38" s="14" t="inlineStr">
        <is>
          <t>adet</t>
        </is>
      </c>
      <c r="E38" s="22" t="n">
        <v>1</v>
      </c>
      <c r="F38" s="22" t="n">
        <v>1</v>
      </c>
      <c r="G38" s="23" t="n">
        <v>18000</v>
      </c>
      <c r="H38" s="15">
        <f>F38*G38</f>
        <v/>
      </c>
      <c r="I38" s="4" t="inlineStr">
        <is>
          <t>REF (Aktif 630 kVA 22.231 Al)</t>
        </is>
      </c>
      <c r="J38" s="4" t="inlineStr"/>
    </row>
    <row r="39">
      <c r="A39" s="14" t="n"/>
      <c r="B39" s="14" t="inlineStr">
        <is>
          <t>2003</t>
        </is>
      </c>
      <c r="C39" s="4" t="inlineStr">
        <is>
          <t>Enerji kalite kaydedicisi Class A</t>
        </is>
      </c>
      <c r="D39" s="14" t="inlineStr">
        <is>
          <t>adet</t>
        </is>
      </c>
      <c r="E39" s="22" t="n">
        <v>5</v>
      </c>
      <c r="F39" s="22" t="n">
        <v>5</v>
      </c>
      <c r="G39" s="23" t="n">
        <v>4000</v>
      </c>
      <c r="H39" s="15">
        <f>F39*G39</f>
        <v/>
      </c>
      <c r="I39" s="4" t="inlineStr">
        <is>
          <t>TAHMİN</t>
        </is>
      </c>
      <c r="J39" s="4" t="inlineStr"/>
    </row>
    <row r="40">
      <c r="A40" s="14" t="n"/>
      <c r="B40" s="14" t="inlineStr">
        <is>
          <t>2003</t>
        </is>
      </c>
      <c r="C40" s="4" t="inlineStr">
        <is>
          <t>AG enerji analizörü + Modbus ağ geçidi</t>
        </is>
      </c>
      <c r="D40" s="14" t="inlineStr">
        <is>
          <t>set</t>
        </is>
      </c>
      <c r="E40" s="22" t="n">
        <v>1</v>
      </c>
      <c r="F40" s="22" t="n">
        <v>1</v>
      </c>
      <c r="G40" s="23" t="n">
        <v>12400</v>
      </c>
      <c r="H40" s="15">
        <f>F40*G40</f>
        <v/>
      </c>
      <c r="I40" s="4" t="inlineStr">
        <is>
          <t>TAHMİN</t>
        </is>
      </c>
      <c r="J40" s="4" t="inlineStr">
        <is>
          <t>6 analizör + 11 gateway</t>
        </is>
      </c>
    </row>
    <row r="41">
      <c r="A41" s="14" t="n"/>
      <c r="B41" s="14" t="inlineStr">
        <is>
          <t>2003</t>
        </is>
      </c>
      <c r="C41" s="4" t="inlineStr">
        <is>
          <t>Enerji yönetim yazılımı (ISO 50001) + TCC operatör</t>
        </is>
      </c>
      <c r="D41" s="14" t="inlineStr">
        <is>
          <t>set</t>
        </is>
      </c>
      <c r="E41" s="22" t="n">
        <v>1</v>
      </c>
      <c r="F41" s="22" t="n">
        <v>1</v>
      </c>
      <c r="G41" s="23" t="n">
        <v>25000</v>
      </c>
      <c r="H41" s="15">
        <f>F41*G41</f>
        <v/>
      </c>
      <c r="I41" s="4" t="inlineStr">
        <is>
          <t>TAHMİN</t>
        </is>
      </c>
      <c r="J41" s="4" t="inlineStr"/>
    </row>
    <row r="42">
      <c r="A42" s="14" t="n"/>
      <c r="B42" s="14" t="inlineStr">
        <is>
          <t>2003</t>
        </is>
      </c>
      <c r="C42" s="4" t="inlineStr">
        <is>
          <t>Haberleşme kabloları, harmonik ölçümleri, devreye alma, DEDAŞ raporu</t>
        </is>
      </c>
      <c r="D42" s="14" t="inlineStr">
        <is>
          <t>set</t>
        </is>
      </c>
      <c r="E42" s="22" t="n">
        <v>1</v>
      </c>
      <c r="F42" s="22" t="n">
        <v>1</v>
      </c>
      <c r="G42" s="23" t="n">
        <v>11500</v>
      </c>
      <c r="H42" s="15">
        <f>F42*G42</f>
        <v/>
      </c>
      <c r="I42" s="4" t="inlineStr">
        <is>
          <t>TAHMİN</t>
        </is>
      </c>
      <c r="J42" s="4" t="inlineStr"/>
    </row>
    <row r="43">
      <c r="A43" s="20" t="inlineStr">
        <is>
          <t>173</t>
        </is>
      </c>
      <c r="B43" s="20" t="inlineStr">
        <is>
          <t>2004.A</t>
        </is>
      </c>
      <c r="C43" s="20" t="inlineStr">
        <is>
          <t>Ring Giriş/Çıkış 34,5 kV Şalt Panosu (12 hücre)</t>
        </is>
      </c>
      <c r="D43" s="20" t="n"/>
      <c r="E43" s="20" t="inlineStr">
        <is>
          <t>RFQ tutarı →</t>
        </is>
      </c>
      <c r="F43" s="21">
        <f>SUMPRODUCT(E44:E44,G44:G44)</f>
        <v/>
      </c>
      <c r="G43" s="20" t="n"/>
      <c r="H43" s="21">
        <f>SUM(H44:H44)</f>
        <v/>
      </c>
      <c r="I43" s="20" t="n"/>
      <c r="J43" s="20" t="n"/>
    </row>
    <row r="44">
      <c r="A44" s="14" t="n"/>
      <c r="B44" s="14" t="inlineStr">
        <is>
          <t>2004.A</t>
        </is>
      </c>
      <c r="C44" s="4" t="inlineStr">
        <is>
          <t>36 kV 1250 A 25 kA SF6 kesicili hücre + AT + sayısal röle + ölçü + kilitleme + FAT/SAT</t>
        </is>
      </c>
      <c r="D44" s="14" t="inlineStr">
        <is>
          <t>adet</t>
        </is>
      </c>
      <c r="E44" s="22" t="n">
        <v>12</v>
      </c>
      <c r="F44" s="22" t="n">
        <v>12</v>
      </c>
      <c r="G44" s="23" t="n">
        <v>32000</v>
      </c>
      <c r="H44" s="15">
        <f>F44*G44</f>
        <v/>
      </c>
      <c r="I44" s="4" t="inlineStr">
        <is>
          <t>REF (Haluk LSC2B ring hücresi 30.518) + röle/test</t>
        </is>
      </c>
      <c r="J44" s="4" t="inlineStr"/>
    </row>
    <row r="45">
      <c r="A45" s="20" t="inlineStr">
        <is>
          <t>174</t>
        </is>
      </c>
      <c r="B45" s="20" t="inlineStr">
        <is>
          <t>2004.B</t>
        </is>
      </c>
      <c r="C45" s="20" t="inlineStr">
        <is>
          <t>Cer Trafo Besleme 34,5 kV Şalt Panosu (5 hücre)</t>
        </is>
      </c>
      <c r="D45" s="20" t="n"/>
      <c r="E45" s="20" t="inlineStr">
        <is>
          <t>RFQ tutarı →</t>
        </is>
      </c>
      <c r="F45" s="21">
        <f>SUMPRODUCT(E46:E48,G46:G48)</f>
        <v/>
      </c>
      <c r="G45" s="20" t="n"/>
      <c r="H45" s="21">
        <f>SUM(H46:H48)</f>
        <v/>
      </c>
      <c r="I45" s="20" t="n"/>
      <c r="J45" s="20" t="n"/>
    </row>
    <row r="46">
      <c r="A46" s="14" t="n"/>
      <c r="B46" s="14" t="inlineStr">
        <is>
          <t>2004.B</t>
        </is>
      </c>
      <c r="C46" s="4" t="inlineStr">
        <is>
          <t>36 kV kesicili trafo koruma hücresi + röle + analizör + DC kilitleme</t>
        </is>
      </c>
      <c r="D46" s="14" t="inlineStr">
        <is>
          <t>adet</t>
        </is>
      </c>
      <c r="E46" s="22" t="n">
        <v>5</v>
      </c>
      <c r="F46" s="22" t="n">
        <v>5</v>
      </c>
      <c r="G46" s="23" t="n">
        <v>29000</v>
      </c>
      <c r="H46" s="15">
        <f>F46*G46</f>
        <v/>
      </c>
      <c r="I46" s="4" t="inlineStr">
        <is>
          <t>REF (Haluk 26.130) + pay</t>
        </is>
      </c>
      <c r="J46" s="4" t="inlineStr"/>
    </row>
    <row r="47">
      <c r="A47" s="14" t="n"/>
      <c r="B47" s="14" t="inlineStr">
        <is>
          <t>2004.B</t>
        </is>
      </c>
      <c r="C47" s="4" t="inlineStr">
        <is>
          <t>OG bağlantı kablosu 3(1×95/16) Al – hücre/cer trafosu</t>
        </is>
      </c>
      <c r="D47" s="14" t="inlineStr">
        <is>
          <t>m</t>
        </is>
      </c>
      <c r="E47" s="22" t="n">
        <v>108</v>
      </c>
      <c r="F47" s="22" t="n">
        <v>108</v>
      </c>
      <c r="G47" s="23" t="n">
        <v>25</v>
      </c>
      <c r="H47" s="15">
        <f>F47*G47</f>
        <v/>
      </c>
      <c r="I47" s="4" t="inlineStr">
        <is>
          <t>TAHMİN</t>
        </is>
      </c>
      <c r="J47" s="4" t="inlineStr"/>
    </row>
    <row r="48">
      <c r="A48" s="14" t="n"/>
      <c r="B48" s="14" t="inlineStr">
        <is>
          <t>2004.B</t>
        </is>
      </c>
      <c r="C48" s="4" t="inlineStr">
        <is>
          <t>36 kV 1×95 kablo başlığı (büzüşmeli + geçmeli)</t>
        </is>
      </c>
      <c r="D48" s="14" t="inlineStr">
        <is>
          <t>adet</t>
        </is>
      </c>
      <c r="E48" s="22" t="n">
        <v>30</v>
      </c>
      <c r="F48" s="22" t="n">
        <v>30</v>
      </c>
      <c r="G48" s="23" t="n">
        <v>350</v>
      </c>
      <c r="H48" s="15">
        <f>F48*G48</f>
        <v/>
      </c>
      <c r="I48" s="4" t="inlineStr">
        <is>
          <t>TAHMİN</t>
        </is>
      </c>
      <c r="J48" s="4" t="inlineStr"/>
    </row>
    <row r="49">
      <c r="A49" s="20" t="inlineStr">
        <is>
          <t>175</t>
        </is>
      </c>
      <c r="B49" s="20" t="inlineStr">
        <is>
          <t>2004.C</t>
        </is>
      </c>
      <c r="C49" s="20" t="inlineStr">
        <is>
          <t>İç İhtiyaç Trafo Besleme 34,5 kV Şalt Panosu (6 hücre)</t>
        </is>
      </c>
      <c r="D49" s="20" t="n"/>
      <c r="E49" s="20" t="inlineStr">
        <is>
          <t>RFQ tutarı →</t>
        </is>
      </c>
      <c r="F49" s="21">
        <f>SUMPRODUCT(E50:E52,G50:G52)</f>
        <v/>
      </c>
      <c r="G49" s="20" t="n"/>
      <c r="H49" s="21">
        <f>SUM(H50:H52)</f>
        <v/>
      </c>
      <c r="I49" s="20" t="n"/>
      <c r="J49" s="20" t="n"/>
    </row>
    <row r="50">
      <c r="A50" s="14" t="n"/>
      <c r="B50" s="14" t="inlineStr">
        <is>
          <t>2004.C</t>
        </is>
      </c>
      <c r="C50" s="4" t="inlineStr">
        <is>
          <t>36 kV kesicili iç ihtiyaç trafo fider hücresi + röle</t>
        </is>
      </c>
      <c r="D50" s="14" t="inlineStr">
        <is>
          <t>adet</t>
        </is>
      </c>
      <c r="E50" s="22" t="n">
        <v>6</v>
      </c>
      <c r="F50" s="22" t="n">
        <v>6</v>
      </c>
      <c r="G50" s="23" t="n">
        <v>27000</v>
      </c>
      <c r="H50" s="15">
        <f>F50*G50</f>
        <v/>
      </c>
      <c r="I50" s="4" t="inlineStr">
        <is>
          <t>REF (Haluk 26.130) + pay</t>
        </is>
      </c>
      <c r="J50" s="4" t="inlineStr"/>
    </row>
    <row r="51">
      <c r="A51" s="14" t="n"/>
      <c r="B51" s="14" t="inlineStr">
        <is>
          <t>2004.C</t>
        </is>
      </c>
      <c r="C51" s="4" t="inlineStr">
        <is>
          <t>OG bağlantı kablosu 3(1×95/16) Al</t>
        </is>
      </c>
      <c r="D51" s="14" t="inlineStr">
        <is>
          <t>m</t>
        </is>
      </c>
      <c r="E51" s="22" t="n">
        <v>129</v>
      </c>
      <c r="F51" s="22" t="n">
        <v>129</v>
      </c>
      <c r="G51" s="23" t="n">
        <v>25</v>
      </c>
      <c r="H51" s="15">
        <f>F51*G51</f>
        <v/>
      </c>
      <c r="I51" s="4" t="inlineStr">
        <is>
          <t>TAHMİN</t>
        </is>
      </c>
      <c r="J51" s="4" t="inlineStr"/>
    </row>
    <row r="52">
      <c r="A52" s="14" t="n"/>
      <c r="B52" s="14" t="inlineStr">
        <is>
          <t>2004.C</t>
        </is>
      </c>
      <c r="C52" s="4" t="inlineStr">
        <is>
          <t>36 kV 1×95 kablo başlığı</t>
        </is>
      </c>
      <c r="D52" s="14" t="inlineStr">
        <is>
          <t>adet</t>
        </is>
      </c>
      <c r="E52" s="22" t="n">
        <v>36</v>
      </c>
      <c r="F52" s="22" t="n">
        <v>36</v>
      </c>
      <c r="G52" s="23" t="n">
        <v>350</v>
      </c>
      <c r="H52" s="15">
        <f>F52*G52</f>
        <v/>
      </c>
      <c r="I52" s="4" t="inlineStr">
        <is>
          <t>TAHMİN</t>
        </is>
      </c>
      <c r="J52" s="4" t="inlineStr"/>
    </row>
    <row r="53">
      <c r="A53" s="20" t="inlineStr">
        <is>
          <t>176</t>
        </is>
      </c>
      <c r="B53" s="20" t="inlineStr">
        <is>
          <t>2004.D</t>
        </is>
      </c>
      <c r="C53" s="20" t="inlineStr">
        <is>
          <t>Ölçü 34,5 kV Şalt Panosu</t>
        </is>
      </c>
      <c r="D53" s="20" t="n"/>
      <c r="E53" s="20" t="inlineStr">
        <is>
          <t>RFQ tutarı →</t>
        </is>
      </c>
      <c r="F53" s="21">
        <f>SUMPRODUCT(E54:E56,G54:G56)</f>
        <v/>
      </c>
      <c r="G53" s="20" t="n"/>
      <c r="H53" s="21">
        <f>SUM(H54:H56)</f>
        <v/>
      </c>
      <c r="I53" s="20" t="n"/>
      <c r="J53" s="20" t="n"/>
    </row>
    <row r="54">
      <c r="A54" s="14" t="n"/>
      <c r="B54" s="14" t="inlineStr">
        <is>
          <t>2004.D</t>
        </is>
      </c>
      <c r="C54" s="4" t="inlineStr">
        <is>
          <t>36 kV akım-gerilim ölçü hücresi (TEİAŞ girişli TM)</t>
        </is>
      </c>
      <c r="D54" s="14" t="inlineStr">
        <is>
          <t>adet</t>
        </is>
      </c>
      <c r="E54" s="22" t="n">
        <v>2</v>
      </c>
      <c r="F54" s="22" t="n">
        <v>2</v>
      </c>
      <c r="G54" s="23" t="n">
        <v>19254</v>
      </c>
      <c r="H54" s="15">
        <f>F54*G54</f>
        <v/>
      </c>
      <c r="I54" s="4" t="inlineStr">
        <is>
          <t>REF (Haluk)</t>
        </is>
      </c>
      <c r="J54" s="4" t="inlineStr"/>
    </row>
    <row r="55">
      <c r="A55" s="14" t="n"/>
      <c r="B55" s="14" t="inlineStr">
        <is>
          <t>2004.D</t>
        </is>
      </c>
      <c r="C55" s="4" t="inlineStr">
        <is>
          <t>36 kV bara gerilim ölçü (VT) hücresi</t>
        </is>
      </c>
      <c r="D55" s="14" t="inlineStr">
        <is>
          <t>adet</t>
        </is>
      </c>
      <c r="E55" s="22" t="n">
        <v>3</v>
      </c>
      <c r="F55" s="22" t="n">
        <v>3</v>
      </c>
      <c r="G55" s="23" t="n">
        <v>13534</v>
      </c>
      <c r="H55" s="15">
        <f>F55*G55</f>
        <v/>
      </c>
      <c r="I55" s="4" t="inlineStr">
        <is>
          <t>REF (Haluk; Aktif 10.831–12.623)</t>
        </is>
      </c>
      <c r="J55" s="4" t="inlineStr"/>
    </row>
    <row r="56">
      <c r="A56" s="14" t="n"/>
      <c r="B56" s="14" t="inlineStr">
        <is>
          <t>2004.D</t>
        </is>
      </c>
      <c r="C56" s="4" t="inlineStr">
        <is>
          <t>Elektronik sayaç cl 0,2S + sayaç panosu/modem</t>
        </is>
      </c>
      <c r="D56" s="14" t="inlineStr">
        <is>
          <t>set</t>
        </is>
      </c>
      <c r="E56" s="22" t="n">
        <v>1</v>
      </c>
      <c r="F56" s="22" t="n">
        <v>1</v>
      </c>
      <c r="G56" s="23" t="n">
        <v>9000</v>
      </c>
      <c r="H56" s="15">
        <f>F56*G56</f>
        <v/>
      </c>
      <c r="I56" s="4" t="inlineStr">
        <is>
          <t>TAHMİN</t>
        </is>
      </c>
      <c r="J56" s="4" t="inlineStr">
        <is>
          <t>4 sayaç + 2 pano</t>
        </is>
      </c>
    </row>
    <row r="57">
      <c r="A57" s="20" t="inlineStr">
        <is>
          <t>177</t>
        </is>
      </c>
      <c r="B57" s="20" t="inlineStr">
        <is>
          <t>2004.E</t>
        </is>
      </c>
      <c r="C57" s="20" t="inlineStr">
        <is>
          <t>TEİAŞ Giriş 34,5 kV Şalt Panosu (mevcut TM-4'te fider ilavesi)</t>
        </is>
      </c>
      <c r="D57" s="20" t="n"/>
      <c r="E57" s="20" t="inlineStr">
        <is>
          <t>RFQ tutarı →</t>
        </is>
      </c>
      <c r="F57" s="21">
        <f>SUMPRODUCT(E58:E58,G58:G58)</f>
        <v/>
      </c>
      <c r="G57" s="20" t="n"/>
      <c r="H57" s="21">
        <f>SUM(H58:H58)</f>
        <v/>
      </c>
      <c r="I57" s="20" t="n"/>
      <c r="J57" s="20" t="n"/>
    </row>
    <row r="58">
      <c r="A58" s="14" t="n"/>
      <c r="B58" s="14" t="inlineStr">
        <is>
          <t>2004.E</t>
        </is>
      </c>
      <c r="C58" s="4" t="inlineStr">
        <is>
          <t>36 kV kesicili fider hücresi ilavesi, bara uzatma, kurum izinleri</t>
        </is>
      </c>
      <c r="D58" s="14" t="inlineStr">
        <is>
          <t>set</t>
        </is>
      </c>
      <c r="E58" s="22" t="n">
        <v>2</v>
      </c>
      <c r="F58" s="22" t="n">
        <v>2</v>
      </c>
      <c r="G58" s="23" t="n">
        <v>45000</v>
      </c>
      <c r="H58" s="15">
        <f>F58*G58</f>
        <v/>
      </c>
      <c r="I58" s="4" t="inlineStr">
        <is>
          <t>REF (Haluk 39.293, MET 29.821) + pay</t>
        </is>
      </c>
      <c r="J58" s="4" t="inlineStr"/>
    </row>
    <row r="59">
      <c r="A59" s="20" t="inlineStr">
        <is>
          <t>178</t>
        </is>
      </c>
      <c r="B59" s="20" t="inlineStr">
        <is>
          <t>2005.A</t>
        </is>
      </c>
      <c r="C59" s="20" t="inlineStr">
        <is>
          <t>Hat TM İç İhtiyaç Trafosu 250 kVA (4 adet)</t>
        </is>
      </c>
      <c r="D59" s="20" t="n"/>
      <c r="E59" s="20" t="inlineStr">
        <is>
          <t>RFQ tutarı →</t>
        </is>
      </c>
      <c r="F59" s="21">
        <f>SUMPRODUCT(E60:E60,G60:G60)</f>
        <v/>
      </c>
      <c r="G59" s="20" t="n"/>
      <c r="H59" s="21">
        <f>SUM(H60:H60)</f>
        <v/>
      </c>
      <c r="I59" s="20" t="n"/>
      <c r="J59" s="20" t="n"/>
    </row>
    <row r="60">
      <c r="A60" s="14" t="n"/>
      <c r="B60" s="14" t="inlineStr">
        <is>
          <t>2005.A</t>
        </is>
      </c>
      <c r="C60" s="4" t="inlineStr">
        <is>
          <t>34,5/0,4 kV 250 kVA Dyn11 kuru tip trafo Cu/Cu, röle, kaide, test</t>
        </is>
      </c>
      <c r="D60" s="14" t="inlineStr">
        <is>
          <t>adet</t>
        </is>
      </c>
      <c r="E60" s="22" t="n">
        <v>4</v>
      </c>
      <c r="F60" s="22" t="n">
        <v>4</v>
      </c>
      <c r="G60" s="23" t="n">
        <v>16000</v>
      </c>
      <c r="H60" s="15">
        <f>F60*G60</f>
        <v/>
      </c>
      <c r="I60" s="4" t="inlineStr">
        <is>
          <t>TAHMİN (Al ref 4.625–7.264 yağlı/hermetik; kuru tip Cu)</t>
        </is>
      </c>
      <c r="J60" s="4" t="inlineStr">
        <is>
          <t>İdare: iç ihtiyaç trafoları Cu/Cu zorunlu</t>
        </is>
      </c>
    </row>
    <row r="61">
      <c r="A61" s="20" t="inlineStr">
        <is>
          <t>179</t>
        </is>
      </c>
      <c r="B61" s="20" t="inlineStr">
        <is>
          <t>2005.B</t>
        </is>
      </c>
      <c r="C61" s="20" t="inlineStr">
        <is>
          <t>Depo TM İç İhtiyaç Trafosu 2000 kVA (2 adet)</t>
        </is>
      </c>
      <c r="D61" s="20" t="n"/>
      <c r="E61" s="20" t="inlineStr">
        <is>
          <t>RFQ tutarı →</t>
        </is>
      </c>
      <c r="F61" s="21">
        <f>SUMPRODUCT(E62:E62,G62:G62)</f>
        <v/>
      </c>
      <c r="G61" s="20" t="n"/>
      <c r="H61" s="21">
        <f>SUM(H62:H62)</f>
        <v/>
      </c>
      <c r="I61" s="20" t="n"/>
      <c r="J61" s="20" t="n"/>
    </row>
    <row r="62">
      <c r="A62" s="14" t="n"/>
      <c r="B62" s="14" t="inlineStr">
        <is>
          <t>2005.B</t>
        </is>
      </c>
      <c r="C62" s="4" t="inlineStr">
        <is>
          <t>34,5/0,4 kV 2000 kVA Dyn11 kuru tip trafo Cu/Cu, fanlı, röle, test</t>
        </is>
      </c>
      <c r="D62" s="14" t="inlineStr">
        <is>
          <t>adet</t>
        </is>
      </c>
      <c r="E62" s="22" t="n">
        <v>2</v>
      </c>
      <c r="F62" s="22" t="n">
        <v>2</v>
      </c>
      <c r="G62" s="23" t="n">
        <v>42000</v>
      </c>
      <c r="H62" s="15">
        <f>F62*G62</f>
        <v/>
      </c>
      <c r="I62" s="4" t="inlineStr">
        <is>
          <t>REF (2×2000 kVA set 92.552–104.613) + Cu</t>
        </is>
      </c>
      <c r="J62" s="4" t="inlineStr">
        <is>
          <t>İdare: Cu/Cu zorunlu</t>
        </is>
      </c>
    </row>
    <row r="63">
      <c r="A63" s="20" t="inlineStr">
        <is>
          <t>187</t>
        </is>
      </c>
      <c r="B63" s="20" t="inlineStr">
        <is>
          <t>2006.H</t>
        </is>
      </c>
      <c r="C63" s="20" t="inlineStr">
        <is>
          <t>Hat Trafo Binaları AG Ana Dağıtım Panoları (4 set)</t>
        </is>
      </c>
      <c r="D63" s="20" t="n"/>
      <c r="E63" s="20" t="inlineStr">
        <is>
          <t>RFQ tutarı →</t>
        </is>
      </c>
      <c r="F63" s="21">
        <f>SUMPRODUCT(E64:E64,G64:G64)</f>
        <v/>
      </c>
      <c r="G63" s="20" t="n"/>
      <c r="H63" s="21">
        <f>SUM(H64:H64)</f>
        <v/>
      </c>
      <c r="I63" s="20" t="n"/>
      <c r="J63" s="20" t="n"/>
    </row>
    <row r="64">
      <c r="A64" s="14" t="n"/>
      <c r="B64" s="14" t="inlineStr">
        <is>
          <t>2006.H</t>
        </is>
      </c>
      <c r="C64" s="4" t="inlineStr">
        <is>
          <t>ADP/1 panosu (MCCB 320 A giriş, analizör, parafudr, istasyon/klima çıkışları) + UDP + montaj/test</t>
        </is>
      </c>
      <c r="D64" s="14" t="inlineStr">
        <is>
          <t>set</t>
        </is>
      </c>
      <c r="E64" s="22" t="n">
        <v>4</v>
      </c>
      <c r="F64" s="22" t="n">
        <v>4</v>
      </c>
      <c r="G64" s="23" t="n">
        <v>24000</v>
      </c>
      <c r="H64" s="15">
        <f>F64*G64</f>
        <v/>
      </c>
      <c r="I64" s="4" t="inlineStr">
        <is>
          <t>TAHMİN</t>
        </is>
      </c>
      <c r="J64" s="4" t="inlineStr"/>
    </row>
    <row r="65">
      <c r="A65" s="20" t="inlineStr">
        <is>
          <t>188</t>
        </is>
      </c>
      <c r="B65" s="20" t="inlineStr">
        <is>
          <t>2007.A</t>
        </is>
      </c>
      <c r="C65" s="20" t="inlineStr">
        <is>
          <t>Hat TM Cer Merkezi – 1×2,75 MVA (4 adet)</t>
        </is>
      </c>
      <c r="D65" s="20" t="n"/>
      <c r="E65" s="20" t="inlineStr">
        <is>
          <t>RFQ tutarı →</t>
        </is>
      </c>
      <c r="F65" s="21">
        <f>SUMPRODUCT(E66:E82,G66:G82)</f>
        <v/>
      </c>
      <c r="G65" s="20" t="n"/>
      <c r="H65" s="21">
        <f>SUM(H66:H82)</f>
        <v/>
      </c>
      <c r="I65" s="20" t="n"/>
      <c r="J65" s="20" t="n"/>
    </row>
    <row r="66">
      <c r="A66" s="14" t="n"/>
      <c r="B66" s="14" t="inlineStr">
        <is>
          <t>2007.A</t>
        </is>
      </c>
      <c r="C66" s="4" t="inlineStr">
        <is>
          <t>Cer trafosu 2750 kVA 34,5/0,6-0,6 kV Dy5-Dd0, dökme reçine, EN 50329</t>
        </is>
      </c>
      <c r="D66" s="14" t="inlineStr">
        <is>
          <t>adet</t>
        </is>
      </c>
      <c r="E66" s="22" t="n">
        <v>4</v>
      </c>
      <c r="F66" s="22" t="n">
        <v>4</v>
      </c>
      <c r="G66" s="23" t="n">
        <v>100000</v>
      </c>
      <c r="H66" s="15">
        <f>F66*G66</f>
        <v/>
      </c>
      <c r="I66" s="4" t="inlineStr">
        <is>
          <t>REF (3300 kVA: Aktif 97.981, ABB Al 93.263, ABB Cu/Cu 151.850)</t>
        </is>
      </c>
      <c r="J66" s="4" t="inlineStr">
        <is>
          <t>Best Transformer teklifi bekleniyor</t>
        </is>
      </c>
    </row>
    <row r="67">
      <c r="A67" s="14" t="n"/>
      <c r="B67" s="14" t="inlineStr">
        <is>
          <t>2007.A</t>
        </is>
      </c>
      <c r="C67" s="4" t="inlineStr">
        <is>
          <t>Trafo sıcaklık rölesi + sekonder toprak kaçağı koruması + izole kaide</t>
        </is>
      </c>
      <c r="D67" s="14" t="inlineStr">
        <is>
          <t>takım</t>
        </is>
      </c>
      <c r="E67" s="22" t="n">
        <v>4</v>
      </c>
      <c r="F67" s="22" t="n">
        <v>4</v>
      </c>
      <c r="G67" s="23" t="n">
        <v>3000</v>
      </c>
      <c r="H67" s="15">
        <f>F67*G67</f>
        <v/>
      </c>
      <c r="I67" s="4" t="inlineStr">
        <is>
          <t>TAHMİN</t>
        </is>
      </c>
      <c r="J67" s="4" t="inlineStr"/>
    </row>
    <row r="68">
      <c r="A68" s="14" t="n"/>
      <c r="B68" s="14" t="inlineStr">
        <is>
          <t>2007.A</t>
        </is>
      </c>
      <c r="C68" s="4" t="inlineStr">
        <is>
          <t>Doğrultucu 12 darbeli 2500 kW 750 V DC, Class VI</t>
        </is>
      </c>
      <c r="D68" s="14" t="inlineStr">
        <is>
          <t>adet</t>
        </is>
      </c>
      <c r="E68" s="22" t="n">
        <v>4</v>
      </c>
      <c r="F68" s="22" t="n">
        <v>4</v>
      </c>
      <c r="G68" s="23" t="n">
        <v>48000</v>
      </c>
      <c r="H68" s="15">
        <f>F68*G68</f>
        <v/>
      </c>
      <c r="I68" s="4" t="inlineStr">
        <is>
          <t>REF (ABB 37.927–49.610; Haluk 1,2 MW 35.975)</t>
        </is>
      </c>
      <c r="J68" s="4" t="inlineStr"/>
    </row>
    <row r="69">
      <c r="A69" s="14" t="n"/>
      <c r="B69" s="14" t="inlineStr">
        <is>
          <t>2007.A</t>
        </is>
      </c>
      <c r="C69" s="4" t="inlineStr">
        <is>
          <t>Trafo–doğrultucu AC kabloları 1×300 Cu 1,8/3 kV</t>
        </is>
      </c>
      <c r="D69" s="14" t="inlineStr">
        <is>
          <t>m</t>
        </is>
      </c>
      <c r="E69" s="22" t="n">
        <v>961</v>
      </c>
      <c r="F69" s="22" t="n">
        <v>961</v>
      </c>
      <c r="G69" s="23" t="n">
        <v>45</v>
      </c>
      <c r="H69" s="15">
        <f>F69*G69</f>
        <v/>
      </c>
      <c r="I69" s="4" t="inlineStr">
        <is>
          <t>TAHMİN</t>
        </is>
      </c>
      <c r="J69" s="4" t="inlineStr"/>
    </row>
    <row r="70">
      <c r="A70" s="14" t="n"/>
      <c r="B70" s="14" t="inlineStr">
        <is>
          <t>2007.A</t>
        </is>
      </c>
      <c r="C70" s="4" t="inlineStr">
        <is>
          <t>DC giriş (incoming) hücresi 6300 A</t>
        </is>
      </c>
      <c r="D70" s="14" t="inlineStr">
        <is>
          <t>adet</t>
        </is>
      </c>
      <c r="E70" s="22" t="n">
        <v>4</v>
      </c>
      <c r="F70" s="22" t="n">
        <v>4</v>
      </c>
      <c r="G70" s="23" t="n">
        <v>36500</v>
      </c>
      <c r="H70" s="15">
        <f>F70*G70</f>
        <v/>
      </c>
      <c r="I70" s="4" t="inlineStr">
        <is>
          <t>REF (Aktif 36.216–36.824)</t>
        </is>
      </c>
      <c r="J70" s="4" t="inlineStr"/>
    </row>
    <row r="71">
      <c r="A71" s="14" t="n"/>
      <c r="B71" s="14" t="inlineStr">
        <is>
          <t>2007.A</t>
        </is>
      </c>
      <c r="C71" s="4" t="inlineStr">
        <is>
          <t>DC fider hücresi HSCB 3600 A</t>
        </is>
      </c>
      <c r="D71" s="14" t="inlineStr">
        <is>
          <t>adet</t>
        </is>
      </c>
      <c r="E71" s="22" t="n">
        <v>16</v>
      </c>
      <c r="F71" s="22" t="n">
        <v>16</v>
      </c>
      <c r="G71" s="23" t="n">
        <v>40000</v>
      </c>
      <c r="H71" s="15">
        <f>F71*G71</f>
        <v/>
      </c>
      <c r="I71" s="4" t="inlineStr">
        <is>
          <t>REF (Haluk 44.641, MET 43.769, ABB 38.797, Aktif 37.456)</t>
        </is>
      </c>
      <c r="J71" s="4" t="inlineStr"/>
    </row>
    <row r="72">
      <c r="A72" s="14" t="n"/>
      <c r="B72" s="14" t="inlineStr">
        <is>
          <t>2007.A</t>
        </is>
      </c>
      <c r="C72" s="4" t="inlineStr">
        <is>
          <t>Negatif hücre (negatif bara, şönt, ayırıcı)</t>
        </is>
      </c>
      <c r="D72" s="14" t="inlineStr">
        <is>
          <t>adet</t>
        </is>
      </c>
      <c r="E72" s="22" t="n">
        <v>4</v>
      </c>
      <c r="F72" s="22" t="n">
        <v>4</v>
      </c>
      <c r="G72" s="23" t="n">
        <v>25000</v>
      </c>
      <c r="H72" s="15">
        <f>F72*G72</f>
        <v/>
      </c>
      <c r="I72" s="4" t="inlineStr">
        <is>
          <t>REF (Aktif 18.852–27.906, ABB 33.751)</t>
        </is>
      </c>
      <c r="J72" s="4" t="inlineStr"/>
    </row>
    <row r="73">
      <c r="A73" s="14" t="n"/>
      <c r="B73" s="14" t="inlineStr">
        <is>
          <t>2007.A</t>
        </is>
      </c>
      <c r="C73" s="4" t="inlineStr">
        <is>
          <t>Ray–toprak gerilim sınırlayıcı VLD panosu</t>
        </is>
      </c>
      <c r="D73" s="14" t="inlineStr">
        <is>
          <t>adet</t>
        </is>
      </c>
      <c r="E73" s="22" t="n">
        <v>4</v>
      </c>
      <c r="F73" s="22" t="n">
        <v>4</v>
      </c>
      <c r="G73" s="23" t="n">
        <v>20000</v>
      </c>
      <c r="H73" s="15">
        <f>F73*G73</f>
        <v/>
      </c>
      <c r="I73" s="4" t="inlineStr">
        <is>
          <t>REF (Haluk 13.818, Aktif 16.824–20.961)</t>
        </is>
      </c>
      <c r="J73" s="4" t="inlineStr"/>
    </row>
    <row r="74">
      <c r="A74" s="14" t="n"/>
      <c r="B74" s="14" t="inlineStr">
        <is>
          <t>2007.A</t>
        </is>
      </c>
      <c r="C74" s="4" t="inlineStr">
        <is>
          <t>Hat ayırıcı panosu (4 fider + 2 by-pass ayırıcı 4000 A)</t>
        </is>
      </c>
      <c r="D74" s="14" t="inlineStr">
        <is>
          <t>adet</t>
        </is>
      </c>
      <c r="E74" s="22" t="n">
        <v>4</v>
      </c>
      <c r="F74" s="22" t="n">
        <v>4</v>
      </c>
      <c r="G74" s="23" t="n">
        <v>45000</v>
      </c>
      <c r="H74" s="15">
        <f>F74*G74</f>
        <v/>
      </c>
      <c r="I74" s="4" t="inlineStr">
        <is>
          <t>TAHMİN (Aktif ayırıcı hücresi 36.123)</t>
        </is>
      </c>
      <c r="J74" s="4" t="inlineStr"/>
    </row>
    <row r="75">
      <c r="A75" s="14" t="n"/>
      <c r="B75" s="14" t="inlineStr">
        <is>
          <t>2007.A</t>
        </is>
      </c>
      <c r="C75" s="4" t="inlineStr">
        <is>
          <t>DC fider kabloları 1×300 Cu 1,8/3 kV</t>
        </is>
      </c>
      <c r="D75" s="14" t="inlineStr">
        <is>
          <t>m</t>
        </is>
      </c>
      <c r="E75" s="22" t="n">
        <v>687</v>
      </c>
      <c r="F75" s="22" t="n">
        <v>687</v>
      </c>
      <c r="G75" s="23" t="n">
        <v>45</v>
      </c>
      <c r="H75" s="15">
        <f>F75*G75</f>
        <v/>
      </c>
      <c r="I75" s="4" t="inlineStr">
        <is>
          <t>TAHMİN (ref. DC kablo 27–44 €/m)</t>
        </is>
      </c>
      <c r="J75" s="4" t="inlineStr"/>
    </row>
    <row r="76">
      <c r="A76" s="14" t="n"/>
      <c r="B76" s="14" t="inlineStr">
        <is>
          <t>2007.A</t>
        </is>
      </c>
      <c r="C76" s="4" t="inlineStr">
        <is>
          <t>Doğrultucu–DC şalt/negatif bağlantısı</t>
        </is>
      </c>
      <c r="D76" s="14" t="inlineStr">
        <is>
          <t>m</t>
        </is>
      </c>
      <c r="E76" s="22" t="n">
        <v>618</v>
      </c>
      <c r="F76" s="22" t="n">
        <v>618</v>
      </c>
      <c r="G76" s="23" t="n">
        <v>45</v>
      </c>
      <c r="H76" s="15">
        <f>F76*G76</f>
        <v/>
      </c>
      <c r="I76" s="4" t="inlineStr">
        <is>
          <t>TAHMİN</t>
        </is>
      </c>
      <c r="J76" s="4" t="inlineStr"/>
    </row>
    <row r="77">
      <c r="A77" s="14" t="n"/>
      <c r="B77" s="14" t="inlineStr">
        <is>
          <t>2007.A</t>
        </is>
      </c>
      <c r="C77" s="4" t="inlineStr">
        <is>
          <t>VLD bağlantı kabloları 1×300 + 1×50</t>
        </is>
      </c>
      <c r="D77" s="14" t="inlineStr">
        <is>
          <t>m</t>
        </is>
      </c>
      <c r="E77" s="22" t="n">
        <v>143</v>
      </c>
      <c r="F77" s="22" t="n">
        <v>143</v>
      </c>
      <c r="G77" s="23" t="n">
        <v>40</v>
      </c>
      <c r="H77" s="15">
        <f>F77*G77</f>
        <v/>
      </c>
      <c r="I77" s="4" t="inlineStr">
        <is>
          <t>TAHMİN</t>
        </is>
      </c>
      <c r="J77" s="4" t="inlineStr"/>
    </row>
    <row r="78">
      <c r="A78" s="14" t="n"/>
      <c r="B78" s="14" t="inlineStr">
        <is>
          <t>2007.A</t>
        </is>
      </c>
      <c r="C78" s="4" t="inlineStr">
        <is>
          <t>DC kablo pabuçları/başlıkları 300 mm²</t>
        </is>
      </c>
      <c r="D78" s="14" t="inlineStr">
        <is>
          <t>adet</t>
        </is>
      </c>
      <c r="E78" s="22" t="n">
        <v>479</v>
      </c>
      <c r="F78" s="22" t="n">
        <v>479</v>
      </c>
      <c r="G78" s="23" t="n">
        <v>25</v>
      </c>
      <c r="H78" s="15">
        <f>F78*G78</f>
        <v/>
      </c>
      <c r="I78" s="4" t="inlineStr">
        <is>
          <t>TAHMİN</t>
        </is>
      </c>
      <c r="J78" s="4" t="inlineStr"/>
    </row>
    <row r="79">
      <c r="A79" s="14" t="n"/>
      <c r="B79" s="14" t="inlineStr">
        <is>
          <t>2007.A</t>
        </is>
      </c>
      <c r="C79" s="4" t="inlineStr">
        <is>
          <t>DC şalt izole kaide + çerçeve kaçak koruması (64)</t>
        </is>
      </c>
      <c r="D79" s="14" t="inlineStr">
        <is>
          <t>takım</t>
        </is>
      </c>
      <c r="E79" s="22" t="n">
        <v>4</v>
      </c>
      <c r="F79" s="22" t="n">
        <v>4</v>
      </c>
      <c r="G79" s="23" t="n">
        <v>6000</v>
      </c>
      <c r="H79" s="15">
        <f>F79*G79</f>
        <v/>
      </c>
      <c r="I79" s="4" t="inlineStr">
        <is>
          <t>TAHMİN</t>
        </is>
      </c>
      <c r="J79" s="4" t="inlineStr"/>
    </row>
    <row r="80">
      <c r="A80" s="14" t="n"/>
      <c r="B80" s="14" t="inlineStr">
        <is>
          <t>2007.A</t>
        </is>
      </c>
      <c r="C80" s="4" t="inlineStr">
        <is>
          <t>OG–DC kilitleme (anahtar transfer) düzenekleri</t>
        </is>
      </c>
      <c r="D80" s="14" t="inlineStr">
        <is>
          <t>takım</t>
        </is>
      </c>
      <c r="E80" s="22" t="n">
        <v>4</v>
      </c>
      <c r="F80" s="22" t="n">
        <v>4</v>
      </c>
      <c r="G80" s="23" t="n">
        <v>4000</v>
      </c>
      <c r="H80" s="15">
        <f>F80*G80</f>
        <v/>
      </c>
      <c r="I80" s="4" t="inlineStr">
        <is>
          <t>TAHMİN</t>
        </is>
      </c>
      <c r="J80" s="4" t="inlineStr"/>
    </row>
    <row r="81">
      <c r="A81" s="14" t="n"/>
      <c r="B81" s="14" t="inlineStr">
        <is>
          <t>2007.A</t>
        </is>
      </c>
      <c r="C81" s="4" t="inlineStr">
        <is>
          <t>Kontrol-koruma, SCADA I/O, 110 V DC kontrol kabloları</t>
        </is>
      </c>
      <c r="D81" s="14" t="inlineStr">
        <is>
          <t>set</t>
        </is>
      </c>
      <c r="E81" s="22" t="n">
        <v>4</v>
      </c>
      <c r="F81" s="22" t="n">
        <v>4</v>
      </c>
      <c r="G81" s="23" t="n">
        <v>12000</v>
      </c>
      <c r="H81" s="15">
        <f>F81*G81</f>
        <v/>
      </c>
      <c r="I81" s="4" t="inlineStr">
        <is>
          <t>TAHMİN</t>
        </is>
      </c>
      <c r="J81" s="4" t="inlineStr"/>
    </row>
    <row r="82">
      <c r="A82" s="14" t="n"/>
      <c r="B82" s="14" t="inlineStr">
        <is>
          <t>2007.A</t>
        </is>
      </c>
      <c r="C82" s="4" t="inlineStr">
        <is>
          <t>FAT ve saha testleri, devreye alma, kısa devre testi</t>
        </is>
      </c>
      <c r="D82" s="14" t="inlineStr">
        <is>
          <t>set</t>
        </is>
      </c>
      <c r="E82" s="22" t="n">
        <v>4</v>
      </c>
      <c r="F82" s="22" t="n">
        <v>4</v>
      </c>
      <c r="G82" s="23" t="n">
        <v>25000</v>
      </c>
      <c r="H82" s="15">
        <f>F82*G82</f>
        <v/>
      </c>
      <c r="I82" s="4" t="inlineStr">
        <is>
          <t>TAHMİN</t>
        </is>
      </c>
      <c r="J82" s="4" t="inlineStr"/>
    </row>
    <row r="83">
      <c r="A83" s="20" t="inlineStr">
        <is>
          <t>189</t>
        </is>
      </c>
      <c r="B83" s="20" t="inlineStr">
        <is>
          <t>2007.B</t>
        </is>
      </c>
      <c r="C83" s="20" t="inlineStr">
        <is>
          <t>Depo TM Cer Merkezi – 1×2,75 MVA (1 adet)</t>
        </is>
      </c>
      <c r="D83" s="20" t="n"/>
      <c r="E83" s="20" t="inlineStr">
        <is>
          <t>RFQ tutarı →</t>
        </is>
      </c>
      <c r="F83" s="21">
        <f>SUMPRODUCT(E84:E100,G84:G100)</f>
        <v/>
      </c>
      <c r="G83" s="20" t="n"/>
      <c r="H83" s="21">
        <f>SUM(H84:H100)</f>
        <v/>
      </c>
      <c r="I83" s="20" t="n"/>
      <c r="J83" s="20" t="n"/>
    </row>
    <row r="84">
      <c r="A84" s="14" t="n"/>
      <c r="B84" s="14" t="inlineStr">
        <is>
          <t>2007.B</t>
        </is>
      </c>
      <c r="C84" s="4" t="inlineStr">
        <is>
          <t>Cer trafosu 2750 kVA 34,5/0,6-0,6 kV Dy5-Dd0, dökme reçine, EN 50329</t>
        </is>
      </c>
      <c r="D84" s="14" t="inlineStr">
        <is>
          <t>adet</t>
        </is>
      </c>
      <c r="E84" s="22" t="n">
        <v>1</v>
      </c>
      <c r="F84" s="22" t="n">
        <v>1</v>
      </c>
      <c r="G84" s="23" t="n">
        <v>100000</v>
      </c>
      <c r="H84" s="15">
        <f>F84*G84</f>
        <v/>
      </c>
      <c r="I84" s="4" t="inlineStr">
        <is>
          <t>REF (3300 kVA: Aktif 97.981, ABB Al 93.263, ABB Cu/Cu 151.850)</t>
        </is>
      </c>
      <c r="J84" s="4" t="inlineStr">
        <is>
          <t>Best Transformer teklifi bekleniyor</t>
        </is>
      </c>
    </row>
    <row r="85">
      <c r="A85" s="14" t="n"/>
      <c r="B85" s="14" t="inlineStr">
        <is>
          <t>2007.B</t>
        </is>
      </c>
      <c r="C85" s="4" t="inlineStr">
        <is>
          <t>Trafo sıcaklık rölesi + sekonder toprak kaçağı koruması + izole kaide</t>
        </is>
      </c>
      <c r="D85" s="14" t="inlineStr">
        <is>
          <t>takım</t>
        </is>
      </c>
      <c r="E85" s="22" t="n">
        <v>1</v>
      </c>
      <c r="F85" s="22" t="n">
        <v>1</v>
      </c>
      <c r="G85" s="23" t="n">
        <v>3000</v>
      </c>
      <c r="H85" s="15">
        <f>F85*G85</f>
        <v/>
      </c>
      <c r="I85" s="4" t="inlineStr">
        <is>
          <t>TAHMİN</t>
        </is>
      </c>
      <c r="J85" s="4" t="inlineStr"/>
    </row>
    <row r="86">
      <c r="A86" s="14" t="n"/>
      <c r="B86" s="14" t="inlineStr">
        <is>
          <t>2007.B</t>
        </is>
      </c>
      <c r="C86" s="4" t="inlineStr">
        <is>
          <t>Doğrultucu 12 darbeli 2500 kW 750 V DC, Class VI</t>
        </is>
      </c>
      <c r="D86" s="14" t="inlineStr">
        <is>
          <t>adet</t>
        </is>
      </c>
      <c r="E86" s="22" t="n">
        <v>1</v>
      </c>
      <c r="F86" s="22" t="n">
        <v>1</v>
      </c>
      <c r="G86" s="23" t="n">
        <v>48000</v>
      </c>
      <c r="H86" s="15">
        <f>F86*G86</f>
        <v/>
      </c>
      <c r="I86" s="4" t="inlineStr">
        <is>
          <t>REF (ABB 37.927–49.610; Haluk 1,2 MW 35.975)</t>
        </is>
      </c>
      <c r="J86" s="4" t="inlineStr"/>
    </row>
    <row r="87">
      <c r="A87" s="14" t="n"/>
      <c r="B87" s="14" t="inlineStr">
        <is>
          <t>2007.B</t>
        </is>
      </c>
      <c r="C87" s="4" t="inlineStr">
        <is>
          <t>Trafo–doğrultucu AC kabloları 1×300 Cu 1,8/3 kV</t>
        </is>
      </c>
      <c r="D87" s="14" t="inlineStr">
        <is>
          <t>m</t>
        </is>
      </c>
      <c r="E87" s="22" t="n">
        <v>241</v>
      </c>
      <c r="F87" s="22" t="n">
        <v>241</v>
      </c>
      <c r="G87" s="23" t="n">
        <v>45</v>
      </c>
      <c r="H87" s="15">
        <f>F87*G87</f>
        <v/>
      </c>
      <c r="I87" s="4" t="inlineStr">
        <is>
          <t>TAHMİN</t>
        </is>
      </c>
      <c r="J87" s="4" t="inlineStr"/>
    </row>
    <row r="88">
      <c r="A88" s="14" t="n"/>
      <c r="B88" s="14" t="inlineStr">
        <is>
          <t>2007.B</t>
        </is>
      </c>
      <c r="C88" s="4" t="inlineStr">
        <is>
          <t>DC giriş (incoming) hücresi 6300 A</t>
        </is>
      </c>
      <c r="D88" s="14" t="inlineStr">
        <is>
          <t>adet</t>
        </is>
      </c>
      <c r="E88" s="22" t="n">
        <v>1</v>
      </c>
      <c r="F88" s="22" t="n">
        <v>1</v>
      </c>
      <c r="G88" s="23" t="n">
        <v>36500</v>
      </c>
      <c r="H88" s="15">
        <f>F88*G88</f>
        <v/>
      </c>
      <c r="I88" s="4" t="inlineStr">
        <is>
          <t>REF (Aktif 36.216–36.824)</t>
        </is>
      </c>
      <c r="J88" s="4" t="inlineStr"/>
    </row>
    <row r="89">
      <c r="A89" s="14" t="n"/>
      <c r="B89" s="14" t="inlineStr">
        <is>
          <t>2007.B</t>
        </is>
      </c>
      <c r="C89" s="4" t="inlineStr">
        <is>
          <t>DC fider hücresi HSCB 3600 A</t>
        </is>
      </c>
      <c r="D89" s="14" t="inlineStr">
        <is>
          <t>adet</t>
        </is>
      </c>
      <c r="E89" s="22" t="n">
        <v>4</v>
      </c>
      <c r="F89" s="22" t="n">
        <v>4</v>
      </c>
      <c r="G89" s="23" t="n">
        <v>40000</v>
      </c>
      <c r="H89" s="15">
        <f>F89*G89</f>
        <v/>
      </c>
      <c r="I89" s="4" t="inlineStr">
        <is>
          <t>REF (Haluk 44.641, MET 43.769, ABB 38.797, Aktif 37.456)</t>
        </is>
      </c>
      <c r="J89" s="4" t="inlineStr"/>
    </row>
    <row r="90">
      <c r="A90" s="14" t="n"/>
      <c r="B90" s="14" t="inlineStr">
        <is>
          <t>2007.B</t>
        </is>
      </c>
      <c r="C90" s="4" t="inlineStr">
        <is>
          <t>Negatif hücre (negatif bara, şönt, ayırıcı)</t>
        </is>
      </c>
      <c r="D90" s="14" t="inlineStr">
        <is>
          <t>adet</t>
        </is>
      </c>
      <c r="E90" s="22" t="n">
        <v>1</v>
      </c>
      <c r="F90" s="22" t="n">
        <v>1</v>
      </c>
      <c r="G90" s="23" t="n">
        <v>25000</v>
      </c>
      <c r="H90" s="15">
        <f>F90*G90</f>
        <v/>
      </c>
      <c r="I90" s="4" t="inlineStr">
        <is>
          <t>REF (Aktif 18.852–27.906, ABB 33.751)</t>
        </is>
      </c>
      <c r="J90" s="4" t="inlineStr"/>
    </row>
    <row r="91">
      <c r="A91" s="14" t="n"/>
      <c r="B91" s="14" t="inlineStr">
        <is>
          <t>2007.B</t>
        </is>
      </c>
      <c r="C91" s="4" t="inlineStr">
        <is>
          <t>Ray–toprak gerilim sınırlayıcı VLD panosu</t>
        </is>
      </c>
      <c r="D91" s="14" t="inlineStr">
        <is>
          <t>adet</t>
        </is>
      </c>
      <c r="E91" s="22" t="n">
        <v>1</v>
      </c>
      <c r="F91" s="22" t="n">
        <v>1</v>
      </c>
      <c r="G91" s="23" t="n">
        <v>20000</v>
      </c>
      <c r="H91" s="15">
        <f>F91*G91</f>
        <v/>
      </c>
      <c r="I91" s="4" t="inlineStr">
        <is>
          <t>REF (Haluk 13.818, Aktif 16.824–20.961)</t>
        </is>
      </c>
      <c r="J91" s="4" t="inlineStr"/>
    </row>
    <row r="92">
      <c r="A92" s="14" t="n"/>
      <c r="B92" s="14" t="inlineStr">
        <is>
          <t>2007.B</t>
        </is>
      </c>
      <c r="C92" s="4" t="inlineStr">
        <is>
          <t>Hat ayırıcı panosu (4 fider + 2 by-pass ayırıcı 4000 A)</t>
        </is>
      </c>
      <c r="D92" s="14" t="inlineStr">
        <is>
          <t>adet</t>
        </is>
      </c>
      <c r="E92" s="22" t="n">
        <v>1</v>
      </c>
      <c r="F92" s="22" t="n">
        <v>1</v>
      </c>
      <c r="G92" s="23" t="n">
        <v>45000</v>
      </c>
      <c r="H92" s="15">
        <f>F92*G92</f>
        <v/>
      </c>
      <c r="I92" s="4" t="inlineStr">
        <is>
          <t>TAHMİN (Aktif ayırıcı hücresi 36.123)</t>
        </is>
      </c>
      <c r="J92" s="4" t="inlineStr"/>
    </row>
    <row r="93">
      <c r="A93" s="14" t="n"/>
      <c r="B93" s="14" t="inlineStr">
        <is>
          <t>2007.B</t>
        </is>
      </c>
      <c r="C93" s="4" t="inlineStr">
        <is>
          <t>DC fider kabloları 1×300 Cu 1,8/3 kV</t>
        </is>
      </c>
      <c r="D93" s="14" t="inlineStr">
        <is>
          <t>m</t>
        </is>
      </c>
      <c r="E93" s="22" t="n">
        <v>172</v>
      </c>
      <c r="F93" s="22" t="n">
        <v>172</v>
      </c>
      <c r="G93" s="23" t="n">
        <v>45</v>
      </c>
      <c r="H93" s="15">
        <f>F93*G93</f>
        <v/>
      </c>
      <c r="I93" s="4" t="inlineStr">
        <is>
          <t>TAHMİN (ref. DC kablo 27–44 €/m)</t>
        </is>
      </c>
      <c r="J93" s="4" t="inlineStr"/>
    </row>
    <row r="94">
      <c r="A94" s="14" t="n"/>
      <c r="B94" s="14" t="inlineStr">
        <is>
          <t>2007.B</t>
        </is>
      </c>
      <c r="C94" s="4" t="inlineStr">
        <is>
          <t>Doğrultucu–DC şalt/negatif bağlantısı</t>
        </is>
      </c>
      <c r="D94" s="14" t="inlineStr">
        <is>
          <t>m</t>
        </is>
      </c>
      <c r="E94" s="22" t="n">
        <v>155</v>
      </c>
      <c r="F94" s="22" t="n">
        <v>155</v>
      </c>
      <c r="G94" s="23" t="n">
        <v>45</v>
      </c>
      <c r="H94" s="15">
        <f>F94*G94</f>
        <v/>
      </c>
      <c r="I94" s="4" t="inlineStr">
        <is>
          <t>TAHMİN</t>
        </is>
      </c>
      <c r="J94" s="4" t="inlineStr"/>
    </row>
    <row r="95">
      <c r="A95" s="14" t="n"/>
      <c r="B95" s="14" t="inlineStr">
        <is>
          <t>2007.B</t>
        </is>
      </c>
      <c r="C95" s="4" t="inlineStr">
        <is>
          <t>VLD bağlantı kabloları 1×300 + 1×50</t>
        </is>
      </c>
      <c r="D95" s="14" t="inlineStr">
        <is>
          <t>m</t>
        </is>
      </c>
      <c r="E95" s="22" t="n">
        <v>36</v>
      </c>
      <c r="F95" s="22" t="n">
        <v>36</v>
      </c>
      <c r="G95" s="23" t="n">
        <v>40</v>
      </c>
      <c r="H95" s="15">
        <f>F95*G95</f>
        <v/>
      </c>
      <c r="I95" s="4" t="inlineStr">
        <is>
          <t>TAHMİN</t>
        </is>
      </c>
      <c r="J95" s="4" t="inlineStr"/>
    </row>
    <row r="96">
      <c r="A96" s="14" t="n"/>
      <c r="B96" s="14" t="inlineStr">
        <is>
          <t>2007.B</t>
        </is>
      </c>
      <c r="C96" s="4" t="inlineStr">
        <is>
          <t>DC kablo pabuçları/başlıkları 300 mm²</t>
        </is>
      </c>
      <c r="D96" s="14" t="inlineStr">
        <is>
          <t>adet</t>
        </is>
      </c>
      <c r="E96" s="22" t="n">
        <v>120</v>
      </c>
      <c r="F96" s="22" t="n">
        <v>120</v>
      </c>
      <c r="G96" s="23" t="n">
        <v>25</v>
      </c>
      <c r="H96" s="15">
        <f>F96*G96</f>
        <v/>
      </c>
      <c r="I96" s="4" t="inlineStr">
        <is>
          <t>TAHMİN</t>
        </is>
      </c>
      <c r="J96" s="4" t="inlineStr"/>
    </row>
    <row r="97">
      <c r="A97" s="14" t="n"/>
      <c r="B97" s="14" t="inlineStr">
        <is>
          <t>2007.B</t>
        </is>
      </c>
      <c r="C97" s="4" t="inlineStr">
        <is>
          <t>DC şalt izole kaide + çerçeve kaçak koruması (64)</t>
        </is>
      </c>
      <c r="D97" s="14" t="inlineStr">
        <is>
          <t>takım</t>
        </is>
      </c>
      <c r="E97" s="22" t="n">
        <v>1</v>
      </c>
      <c r="F97" s="22" t="n">
        <v>1</v>
      </c>
      <c r="G97" s="23" t="n">
        <v>6000</v>
      </c>
      <c r="H97" s="15">
        <f>F97*G97</f>
        <v/>
      </c>
      <c r="I97" s="4" t="inlineStr">
        <is>
          <t>TAHMİN</t>
        </is>
      </c>
      <c r="J97" s="4" t="inlineStr"/>
    </row>
    <row r="98">
      <c r="A98" s="14" t="n"/>
      <c r="B98" s="14" t="inlineStr">
        <is>
          <t>2007.B</t>
        </is>
      </c>
      <c r="C98" s="4" t="inlineStr">
        <is>
          <t>OG–DC kilitleme (anahtar transfer) düzenekleri</t>
        </is>
      </c>
      <c r="D98" s="14" t="inlineStr">
        <is>
          <t>takım</t>
        </is>
      </c>
      <c r="E98" s="22" t="n">
        <v>1</v>
      </c>
      <c r="F98" s="22" t="n">
        <v>1</v>
      </c>
      <c r="G98" s="23" t="n">
        <v>4000</v>
      </c>
      <c r="H98" s="15">
        <f>F98*G98</f>
        <v/>
      </c>
      <c r="I98" s="4" t="inlineStr">
        <is>
          <t>TAHMİN</t>
        </is>
      </c>
      <c r="J98" s="4" t="inlineStr"/>
    </row>
    <row r="99">
      <c r="A99" s="14" t="n"/>
      <c r="B99" s="14" t="inlineStr">
        <is>
          <t>2007.B</t>
        </is>
      </c>
      <c r="C99" s="4" t="inlineStr">
        <is>
          <t>Kontrol-koruma, SCADA I/O, 110 V DC kontrol kabloları</t>
        </is>
      </c>
      <c r="D99" s="14" t="inlineStr">
        <is>
          <t>set</t>
        </is>
      </c>
      <c r="E99" s="22" t="n">
        <v>1</v>
      </c>
      <c r="F99" s="22" t="n">
        <v>1</v>
      </c>
      <c r="G99" s="23" t="n">
        <v>12000</v>
      </c>
      <c r="H99" s="15">
        <f>F99*G99</f>
        <v/>
      </c>
      <c r="I99" s="4" t="inlineStr">
        <is>
          <t>TAHMİN</t>
        </is>
      </c>
      <c r="J99" s="4" t="inlineStr"/>
    </row>
    <row r="100">
      <c r="A100" s="14" t="n"/>
      <c r="B100" s="14" t="inlineStr">
        <is>
          <t>2007.B</t>
        </is>
      </c>
      <c r="C100" s="4" t="inlineStr">
        <is>
          <t>FAT ve saha testleri, devreye alma, kısa devre testi</t>
        </is>
      </c>
      <c r="D100" s="14" t="inlineStr">
        <is>
          <t>set</t>
        </is>
      </c>
      <c r="E100" s="22" t="n">
        <v>1</v>
      </c>
      <c r="F100" s="22" t="n">
        <v>1</v>
      </c>
      <c r="G100" s="23" t="n">
        <v>25000</v>
      </c>
      <c r="H100" s="15">
        <f>F100*G100</f>
        <v/>
      </c>
      <c r="I100" s="4" t="inlineStr">
        <is>
          <t>TAHMİN</t>
        </is>
      </c>
      <c r="J100" s="4" t="inlineStr"/>
    </row>
    <row r="101">
      <c r="A101" s="20" t="inlineStr">
        <is>
          <t>197</t>
        </is>
      </c>
      <c r="B101" s="20" t="inlineStr">
        <is>
          <t>2008.H</t>
        </is>
      </c>
      <c r="C101" s="20" t="inlineStr">
        <is>
          <t>Hat Trafo Binaları Topraklama Tesisatı (4 set)</t>
        </is>
      </c>
      <c r="D101" s="20" t="n"/>
      <c r="E101" s="20" t="inlineStr">
        <is>
          <t>RFQ tutarı →</t>
        </is>
      </c>
      <c r="F101" s="21">
        <f>SUMPRODUCT(E102:E106,G102:G106)</f>
        <v/>
      </c>
      <c r="G101" s="20" t="n"/>
      <c r="H101" s="21">
        <f>SUM(H102:H106)</f>
        <v/>
      </c>
      <c r="I101" s="20" t="n"/>
      <c r="J101" s="20" t="n"/>
    </row>
    <row r="102">
      <c r="A102" s="14" t="n"/>
      <c r="B102" s="14" t="inlineStr">
        <is>
          <t>2008.H</t>
        </is>
      </c>
      <c r="C102" s="4" t="inlineStr">
        <is>
          <t>Temel altı ağ 1×120 mm² çıplak Cu</t>
        </is>
      </c>
      <c r="D102" s="14" t="inlineStr">
        <is>
          <t>m</t>
        </is>
      </c>
      <c r="E102" s="22" t="n">
        <v>1019</v>
      </c>
      <c r="F102" s="22" t="n">
        <v>1019</v>
      </c>
      <c r="G102" s="23" t="n">
        <v>18</v>
      </c>
      <c r="H102" s="15">
        <f>F102*G102</f>
        <v/>
      </c>
      <c r="I102" s="4" t="inlineStr">
        <is>
          <t>TAHMİN</t>
        </is>
      </c>
      <c r="J102" s="4" t="inlineStr"/>
    </row>
    <row r="103">
      <c r="A103" s="14" t="n"/>
      <c r="B103" s="14" t="inlineStr">
        <is>
          <t>2008.H</t>
        </is>
      </c>
      <c r="C103" s="4" t="inlineStr">
        <is>
          <t>Bakır kazık elektrod Ø20×1,5 m</t>
        </is>
      </c>
      <c r="D103" s="14" t="inlineStr">
        <is>
          <t>adet</t>
        </is>
      </c>
      <c r="E103" s="22" t="n">
        <v>63</v>
      </c>
      <c r="F103" s="22" t="n">
        <v>63</v>
      </c>
      <c r="G103" s="23" t="n">
        <v>120</v>
      </c>
      <c r="H103" s="15">
        <f>F103*G103</f>
        <v/>
      </c>
      <c r="I103" s="4" t="inlineStr">
        <is>
          <t>TAHMİN</t>
        </is>
      </c>
      <c r="J103" s="4" t="inlineStr"/>
    </row>
    <row r="104">
      <c r="A104" s="14" t="n"/>
      <c r="B104" s="14" t="inlineStr">
        <is>
          <t>2008.H</t>
        </is>
      </c>
      <c r="C104" s="4" t="inlineStr">
        <is>
          <t>Bina içi şerit, bara, ekipman topraklama iletkenleri, klemensler</t>
        </is>
      </c>
      <c r="D104" s="14" t="inlineStr">
        <is>
          <t>set</t>
        </is>
      </c>
      <c r="E104" s="22" t="n">
        <v>1</v>
      </c>
      <c r="F104" s="22" t="n">
        <v>1</v>
      </c>
      <c r="G104" s="23" t="n">
        <v>10500</v>
      </c>
      <c r="H104" s="15">
        <f>F104*G104</f>
        <v/>
      </c>
      <c r="I104" s="4" t="inlineStr">
        <is>
          <t>TAHMİN</t>
        </is>
      </c>
      <c r="J104" s="4" t="inlineStr"/>
    </row>
    <row r="105">
      <c r="A105" s="14" t="n"/>
      <c r="B105" s="14" t="inlineStr">
        <is>
          <t>2008.H</t>
        </is>
      </c>
      <c r="C105" s="4" t="inlineStr">
        <is>
          <t>Egzotermik kaynak</t>
        </is>
      </c>
      <c r="D105" s="14" t="inlineStr">
        <is>
          <t>adet</t>
        </is>
      </c>
      <c r="E105" s="22" t="n">
        <v>120</v>
      </c>
      <c r="F105" s="22" t="n">
        <v>120</v>
      </c>
      <c r="G105" s="23" t="n">
        <v>25</v>
      </c>
      <c r="H105" s="15">
        <f>F105*G105</f>
        <v/>
      </c>
      <c r="I105" s="4" t="inlineStr">
        <is>
          <t>TAHMİN</t>
        </is>
      </c>
      <c r="J105" s="4" t="inlineStr"/>
    </row>
    <row r="106">
      <c r="A106" s="14" t="n"/>
      <c r="B106" s="14" t="inlineStr">
        <is>
          <t>2008.H</t>
        </is>
      </c>
      <c r="C106" s="4" t="inlineStr">
        <is>
          <t>Topraklama/adım-dokunma ölçümleri</t>
        </is>
      </c>
      <c r="D106" s="14" t="inlineStr">
        <is>
          <t>set</t>
        </is>
      </c>
      <c r="E106" s="22" t="n">
        <v>4</v>
      </c>
      <c r="F106" s="22" t="n">
        <v>4</v>
      </c>
      <c r="G106" s="23" t="n">
        <v>800</v>
      </c>
      <c r="H106" s="15">
        <f>F106*G106</f>
        <v/>
      </c>
      <c r="I106" s="4" t="inlineStr">
        <is>
          <t>TAHMİN</t>
        </is>
      </c>
      <c r="J106" s="4" t="inlineStr"/>
    </row>
    <row r="107">
      <c r="A107" s="20" t="inlineStr">
        <is>
          <t>200</t>
        </is>
      </c>
      <c r="B107" s="20" t="inlineStr">
        <is>
          <t>2009.A</t>
        </is>
      </c>
      <c r="C107" s="20" t="inlineStr">
        <is>
          <t>Hat TM 110 V DC Akü-Şarj (4 set)</t>
        </is>
      </c>
      <c r="D107" s="20" t="n"/>
      <c r="E107" s="20" t="inlineStr">
        <is>
          <t>RFQ tutarı →</t>
        </is>
      </c>
      <c r="F107" s="21">
        <f>SUMPRODUCT(E108:E108,G108:G108)</f>
        <v/>
      </c>
      <c r="G107" s="20" t="n"/>
      <c r="H107" s="21">
        <f>SUM(H108:H108)</f>
        <v/>
      </c>
      <c r="I107" s="20" t="n"/>
      <c r="J107" s="20" t="n"/>
    </row>
    <row r="108">
      <c r="A108" s="14" t="n"/>
      <c r="B108" s="14" t="inlineStr">
        <is>
          <t>2009.A</t>
        </is>
      </c>
      <c r="C108" s="4" t="inlineStr">
        <is>
          <t>110 V DC 160 Ah VRLA akü + 50 A şarj + DC dağıtım paneli + MCB + izolasyon izleme + test</t>
        </is>
      </c>
      <c r="D108" s="14" t="inlineStr">
        <is>
          <t>set</t>
        </is>
      </c>
      <c r="E108" s="22" t="n">
        <v>4</v>
      </c>
      <c r="F108" s="22" t="n">
        <v>4</v>
      </c>
      <c r="G108" s="23" t="n">
        <v>23000</v>
      </c>
      <c r="H108" s="15">
        <f>F108*G108</f>
        <v/>
      </c>
      <c r="I108" s="4" t="inlineStr">
        <is>
          <t>REF (İnform/Legrand redresör 19.596 + akü 13.023; Kocaeli 17.680)</t>
        </is>
      </c>
      <c r="J108" s="4" t="inlineStr"/>
    </row>
    <row r="109">
      <c r="A109" s="20" t="inlineStr">
        <is>
          <t>201</t>
        </is>
      </c>
      <c r="B109" s="20" t="inlineStr">
        <is>
          <t>2009.B</t>
        </is>
      </c>
      <c r="C109" s="20" t="inlineStr">
        <is>
          <t>Depo TM 110 V DC Akü-Şarj (1 set)</t>
        </is>
      </c>
      <c r="D109" s="20" t="n"/>
      <c r="E109" s="20" t="inlineStr">
        <is>
          <t>RFQ tutarı →</t>
        </is>
      </c>
      <c r="F109" s="21">
        <f>SUMPRODUCT(E110:E110,G110:G110)</f>
        <v/>
      </c>
      <c r="G109" s="20" t="n"/>
      <c r="H109" s="21">
        <f>SUM(H110:H110)</f>
        <v/>
      </c>
      <c r="I109" s="20" t="n"/>
      <c r="J109" s="20" t="n"/>
    </row>
    <row r="110">
      <c r="A110" s="14" t="n"/>
      <c r="B110" s="14" t="inlineStr">
        <is>
          <t>2009.B</t>
        </is>
      </c>
      <c r="C110" s="4" t="inlineStr">
        <is>
          <t>110 V DC 160 Ah VRLA akü + şarj + dağıtım paneli + test</t>
        </is>
      </c>
      <c r="D110" s="14" t="inlineStr">
        <is>
          <t>set</t>
        </is>
      </c>
      <c r="E110" s="22" t="n">
        <v>1</v>
      </c>
      <c r="F110" s="22" t="n">
        <v>1</v>
      </c>
      <c r="G110" s="23" t="n">
        <v>23000</v>
      </c>
      <c r="H110" s="15">
        <f>F110*G110</f>
        <v/>
      </c>
      <c r="I110" s="4" t="inlineStr">
        <is>
          <t>REF</t>
        </is>
      </c>
      <c r="J110" s="4" t="inlineStr"/>
    </row>
    <row r="111">
      <c r="A111" s="20" t="inlineStr">
        <is>
          <t>202-208</t>
        </is>
      </c>
      <c r="B111" s="20" t="inlineStr">
        <is>
          <t>2010.A-G</t>
        </is>
      </c>
      <c r="C111" s="20" t="inlineStr">
        <is>
          <t>İstasyon (6) ve Depo Kaçak Akım İzleme / Korozyon Kontrolü</t>
        </is>
      </c>
      <c r="D111" s="20" t="n"/>
      <c r="E111" s="20" t="inlineStr">
        <is>
          <t>RFQ tutarı →</t>
        </is>
      </c>
      <c r="F111" s="21">
        <f>SUMPRODUCT(E112:E113,G112:G113)</f>
        <v/>
      </c>
      <c r="G111" s="20" t="n"/>
      <c r="H111" s="21">
        <f>SUM(H112:H113)</f>
        <v/>
      </c>
      <c r="I111" s="20" t="n"/>
      <c r="J111" s="20" t="n"/>
    </row>
    <row r="112">
      <c r="A112" s="14" t="n"/>
      <c r="B112" s="14" t="inlineStr">
        <is>
          <t>2010.A-G</t>
        </is>
      </c>
      <c r="C112" s="4" t="inlineStr">
        <is>
          <t>İstasyon bölgesi: test kutuları, referans elektrot, donatı süreklilik, peron metal izolasyonu, ölçümler</t>
        </is>
      </c>
      <c r="D112" s="14" t="inlineStr">
        <is>
          <t>set</t>
        </is>
      </c>
      <c r="E112" s="22" t="n">
        <v>6</v>
      </c>
      <c r="F112" s="22" t="n">
        <v>6</v>
      </c>
      <c r="G112" s="23" t="n">
        <v>6000</v>
      </c>
      <c r="H112" s="15">
        <f>F112*G112</f>
        <v/>
      </c>
      <c r="I112" s="4" t="inlineStr">
        <is>
          <t>TAHMİN (REF 2010.B 2.958 kısmi)</t>
        </is>
      </c>
      <c r="J112" s="4" t="inlineStr"/>
    </row>
    <row r="113">
      <c r="A113" s="14" t="n"/>
      <c r="B113" s="14" t="inlineStr">
        <is>
          <t>2010.A-G</t>
        </is>
      </c>
      <c r="C113" s="4" t="inlineStr">
        <is>
          <t>Depo: izole ray eki, DC süreklilik kabloları, VLD arabirimi, test kutuları, ölçümler</t>
        </is>
      </c>
      <c r="D113" s="14" t="inlineStr">
        <is>
          <t>set</t>
        </is>
      </c>
      <c r="E113" s="22" t="n">
        <v>1</v>
      </c>
      <c r="F113" s="22" t="n">
        <v>1</v>
      </c>
      <c r="G113" s="23" t="n">
        <v>24346</v>
      </c>
      <c r="H113" s="15">
        <f>F113*G113</f>
        <v/>
      </c>
      <c r="I113" s="4" t="inlineStr">
        <is>
          <t>REF</t>
        </is>
      </c>
      <c r="J113" s="4" t="inlineStr"/>
    </row>
    <row r="114">
      <c r="A114" s="20" t="inlineStr">
        <is>
          <t>209</t>
        </is>
      </c>
      <c r="B114" s="20" t="inlineStr">
        <is>
          <t>2010.H</t>
        </is>
      </c>
      <c r="C114" s="20" t="inlineStr">
        <is>
          <t>Hat TM Kaçak Akım İzleme (4 set)</t>
        </is>
      </c>
      <c r="D114" s="20" t="n"/>
      <c r="E114" s="20" t="inlineStr">
        <is>
          <t>RFQ tutarı →</t>
        </is>
      </c>
      <c r="F114" s="21">
        <f>SUMPRODUCT(E115:E116,G115:G116)</f>
        <v/>
      </c>
      <c r="G114" s="20" t="n"/>
      <c r="H114" s="21">
        <f>SUM(H115:H116)</f>
        <v/>
      </c>
      <c r="I114" s="20" t="n"/>
      <c r="J114" s="20" t="n"/>
    </row>
    <row r="115">
      <c r="A115" s="14" t="n"/>
      <c r="B115" s="14" t="inlineStr">
        <is>
          <t>2010.H</t>
        </is>
      </c>
      <c r="C115" s="4" t="inlineStr">
        <is>
          <t>Ray potansiyeli/kaçak akım izleme ünitesi + drenaj panosu</t>
        </is>
      </c>
      <c r="D115" s="14" t="inlineStr">
        <is>
          <t>set</t>
        </is>
      </c>
      <c r="E115" s="22" t="n">
        <v>4</v>
      </c>
      <c r="F115" s="22" t="n">
        <v>4</v>
      </c>
      <c r="G115" s="23" t="n">
        <v>11000</v>
      </c>
      <c r="H115" s="15">
        <f>F115*G115</f>
        <v/>
      </c>
      <c r="I115" s="4" t="inlineStr">
        <is>
          <t>TAHMİN</t>
        </is>
      </c>
      <c r="J115" s="4" t="inlineStr"/>
    </row>
    <row r="116">
      <c r="A116" s="14" t="n"/>
      <c r="B116" s="14" t="inlineStr">
        <is>
          <t>2010.H</t>
        </is>
      </c>
      <c r="C116" s="4" t="inlineStr">
        <is>
          <t>Ölçüm/bağlantı kabloları, test kutuları, referans elektrot, devreye alma</t>
        </is>
      </c>
      <c r="D116" s="14" t="inlineStr">
        <is>
          <t>set</t>
        </is>
      </c>
      <c r="E116" s="22" t="n">
        <v>1</v>
      </c>
      <c r="F116" s="22" t="n">
        <v>1</v>
      </c>
      <c r="G116" s="23" t="n">
        <v>25000</v>
      </c>
      <c r="H116" s="15">
        <f>F116*G116</f>
        <v/>
      </c>
      <c r="I116" s="4" t="inlineStr">
        <is>
          <t>TAHMİN</t>
        </is>
      </c>
      <c r="J116" s="4" t="inlineStr"/>
    </row>
    <row r="117">
      <c r="A117" s="20" t="inlineStr">
        <is>
          <t>210</t>
        </is>
      </c>
      <c r="B117" s="20" t="inlineStr">
        <is>
          <t>2010.I</t>
        </is>
      </c>
      <c r="C117" s="20" t="inlineStr">
        <is>
          <t>Hatboyu ve Üst Geçit Kaçak Akım İzleme / Korozyon Kontrolü</t>
        </is>
      </c>
      <c r="D117" s="20" t="n"/>
      <c r="E117" s="20" t="inlineStr">
        <is>
          <t>RFQ tutarı →</t>
        </is>
      </c>
      <c r="F117" s="21">
        <f>SUMPRODUCT(E118:E118,G118:G118)</f>
        <v/>
      </c>
      <c r="G117" s="20" t="n"/>
      <c r="H117" s="21">
        <f>SUM(H118:H118)</f>
        <v/>
      </c>
      <c r="I117" s="20" t="n"/>
      <c r="J117" s="20" t="n"/>
    </row>
    <row r="118">
      <c r="A118" s="14" t="n"/>
      <c r="B118" s="14" t="inlineStr">
        <is>
          <t>2010.I</t>
        </is>
      </c>
      <c r="C118" s="4" t="inlineStr">
        <is>
          <t>Cross-bond, hatlar arası bağlantı, test kutuları, referans elektrotlar, merkezi yazılım, EN 50122-2 ölçümleri</t>
        </is>
      </c>
      <c r="D118" s="14" t="inlineStr">
        <is>
          <t>set</t>
        </is>
      </c>
      <c r="E118" s="22" t="n">
        <v>1</v>
      </c>
      <c r="F118" s="22" t="n">
        <v>1</v>
      </c>
      <c r="G118" s="23" t="n">
        <v>108713</v>
      </c>
      <c r="H118" s="15">
        <f>F118*G118</f>
        <v/>
      </c>
      <c r="I118" s="4" t="inlineStr">
        <is>
          <t>REF</t>
        </is>
      </c>
      <c r="J118" s="4" t="inlineStr"/>
    </row>
    <row r="119">
      <c r="A119" s="20" t="inlineStr">
        <is>
          <t>219</t>
        </is>
      </c>
      <c r="B119" s="20" t="inlineStr">
        <is>
          <t>2011.I</t>
        </is>
      </c>
      <c r="C119" s="20" t="inlineStr">
        <is>
          <t>Hat Trafo Binaları AG Kabloları ve Kablo Taşıma (4 set)</t>
        </is>
      </c>
      <c r="D119" s="20" t="n"/>
      <c r="E119" s="20" t="inlineStr">
        <is>
          <t>RFQ tutarı →</t>
        </is>
      </c>
      <c r="F119" s="21">
        <f>SUMPRODUCT(E120:E121,G120:G121)</f>
        <v/>
      </c>
      <c r="G119" s="20" t="n"/>
      <c r="H119" s="21">
        <f>SUM(H120:H121)</f>
        <v/>
      </c>
      <c r="I119" s="20" t="n"/>
      <c r="J119" s="20" t="n"/>
    </row>
    <row r="120">
      <c r="A120" s="14" t="n"/>
      <c r="B120" s="14" t="inlineStr">
        <is>
          <t>2011.I</t>
        </is>
      </c>
      <c r="C120" s="4" t="inlineStr">
        <is>
          <t>AG kabloları (N2XH 1×240, 4×6, 3×2,5, PE, 110 V DC)</t>
        </is>
      </c>
      <c r="D120" s="14" t="inlineStr">
        <is>
          <t>set</t>
        </is>
      </c>
      <c r="E120" s="22" t="n">
        <v>1</v>
      </c>
      <c r="F120" s="22" t="n">
        <v>1</v>
      </c>
      <c r="G120" s="23" t="n">
        <v>28000</v>
      </c>
      <c r="H120" s="15">
        <f>F120*G120</f>
        <v/>
      </c>
      <c r="I120" s="4" t="inlineStr">
        <is>
          <t>TAHMİN</t>
        </is>
      </c>
      <c r="J120" s="4" t="inlineStr"/>
    </row>
    <row r="121">
      <c r="A121" s="14" t="n"/>
      <c r="B121" s="14" t="inlineStr">
        <is>
          <t>2011.I</t>
        </is>
      </c>
      <c r="C121" s="4" t="inlineStr">
        <is>
          <t>Kablo tavası/merdiveni, tava topraklaması, HDPE, yangın durdurucu, test</t>
        </is>
      </c>
      <c r="D121" s="14" t="inlineStr">
        <is>
          <t>set</t>
        </is>
      </c>
      <c r="E121" s="22" t="n">
        <v>1</v>
      </c>
      <c r="F121" s="22" t="n">
        <v>1</v>
      </c>
      <c r="G121" s="23" t="n">
        <v>52000</v>
      </c>
      <c r="H121" s="15">
        <f>F121*G121</f>
        <v/>
      </c>
      <c r="I121" s="4" t="inlineStr">
        <is>
          <t>TAHMİN</t>
        </is>
      </c>
      <c r="J121" s="4" t="inlineStr"/>
    </row>
    <row r="122">
      <c r="A122" s="20" t="inlineStr">
        <is>
          <t>227</t>
        </is>
      </c>
      <c r="B122" s="20" t="inlineStr">
        <is>
          <t>2013.A</t>
        </is>
      </c>
      <c r="C122" s="20" t="inlineStr">
        <is>
          <t>Depo Trafo Binası Busbar (kablo bağlantısı)</t>
        </is>
      </c>
      <c r="D122" s="20" t="n"/>
      <c r="E122" s="20" t="inlineStr">
        <is>
          <t>RFQ tutarı →</t>
        </is>
      </c>
      <c r="F122" s="21">
        <f>SUMPRODUCT(E123:E123,G123:G123)</f>
        <v/>
      </c>
      <c r="G122" s="20" t="n"/>
      <c r="H122" s="21">
        <f>SUM(H123:H123)</f>
        <v/>
      </c>
      <c r="I122" s="20" t="n"/>
      <c r="J122" s="20" t="n"/>
    </row>
    <row r="123">
      <c r="A123" s="14" t="n"/>
      <c r="B123" s="14" t="inlineStr">
        <is>
          <t>2013.A</t>
        </is>
      </c>
      <c r="C123" s="4" t="inlineStr">
        <is>
          <t>N2XH 1×240 Cu + pabuç + bara/mesnet + merdiven + kelepçe + test</t>
        </is>
      </c>
      <c r="D123" s="14" t="inlineStr">
        <is>
          <t>set</t>
        </is>
      </c>
      <c r="E123" s="22" t="n">
        <v>1</v>
      </c>
      <c r="F123" s="22" t="n">
        <v>1</v>
      </c>
      <c r="G123" s="23" t="n">
        <v>44000</v>
      </c>
      <c r="H123" s="15">
        <f>F123*G123</f>
        <v/>
      </c>
      <c r="I123" s="4" t="inlineStr">
        <is>
          <t>TAHMİN (ref. busbar 15.151–55.516)</t>
        </is>
      </c>
      <c r="J123" s="4" t="inlineStr"/>
    </row>
    <row r="124">
      <c r="A124" s="20" t="inlineStr">
        <is>
          <t>329/331</t>
        </is>
      </c>
      <c r="B124" s="20" t="inlineStr">
        <is>
          <t>5002.G/I</t>
        </is>
      </c>
      <c r="C124" s="20" t="inlineStr">
        <is>
          <t>Trafo Merkezi UPS'leri (AG tesisat setlerinden ayrıştırıldı)</t>
        </is>
      </c>
      <c r="D124" s="20" t="n"/>
      <c r="E124" s="20" t="inlineStr">
        <is>
          <t>RFQ tutarı →</t>
        </is>
      </c>
      <c r="F124" s="21">
        <f>SUMPRODUCT(E125:E126,G125:G126)</f>
        <v/>
      </c>
      <c r="G124" s="20" t="n"/>
      <c r="H124" s="21">
        <f>SUM(H125:H126)</f>
        <v/>
      </c>
      <c r="I124" s="20" t="n"/>
      <c r="J124" s="20" t="n"/>
    </row>
    <row r="125">
      <c r="A125" s="14" t="n"/>
      <c r="B125" s="14" t="inlineStr">
        <is>
          <t>5002.G/I</t>
        </is>
      </c>
      <c r="C125" s="4" t="inlineStr">
        <is>
          <t>Depo TM UPS 20 kVA + 2 saat VRLA akü</t>
        </is>
      </c>
      <c r="D125" s="14" t="inlineStr">
        <is>
          <t>set</t>
        </is>
      </c>
      <c r="E125" s="22" t="n">
        <v>1</v>
      </c>
      <c r="F125" s="22" t="n">
        <v>1</v>
      </c>
      <c r="G125" s="23" t="n">
        <v>16000</v>
      </c>
      <c r="H125" s="15">
        <f>F125*G125</f>
        <v/>
      </c>
      <c r="I125" s="4" t="inlineStr">
        <is>
          <t>TAHMİN</t>
        </is>
      </c>
      <c r="J125" s="4" t="inlineStr">
        <is>
          <t>İdare: TM UPS 2 saat kalır</t>
        </is>
      </c>
    </row>
    <row r="126">
      <c r="A126" s="14" t="n"/>
      <c r="B126" s="14" t="inlineStr">
        <is>
          <t>5002.G/I</t>
        </is>
      </c>
      <c r="C126" s="4" t="inlineStr">
        <is>
          <t>Hat TM UPS 10 kVA + 2 saat VRLA akü</t>
        </is>
      </c>
      <c r="D126" s="14" t="inlineStr">
        <is>
          <t>set</t>
        </is>
      </c>
      <c r="E126" s="22" t="n">
        <v>4</v>
      </c>
      <c r="F126" s="22" t="n">
        <v>4</v>
      </c>
      <c r="G126" s="23" t="n">
        <v>10000</v>
      </c>
      <c r="H126" s="15">
        <f>F126*G126</f>
        <v/>
      </c>
      <c r="I126" s="4" t="inlineStr">
        <is>
          <t>TAHMİN</t>
        </is>
      </c>
      <c r="J126" s="4" t="inlineStr"/>
    </row>
    <row r="128">
      <c r="C128" s="7" t="inlineStr">
        <is>
          <t>TOPLAM (idare cevaplarına göre düzeltilmiş)</t>
        </is>
      </c>
      <c r="H128" s="24">
        <f>H5+H8+H16+H31+H43+H45+H49+H53+H57+H59+H61+H63+H65+H83+H101+H107+H109+H111+H114+H117+H119+H122+H124</f>
        <v/>
      </c>
    </row>
    <row r="129">
      <c r="C129" s="7" t="inlineStr">
        <is>
          <t>Karşılaştırma: RFQ miktarlarıyla aynı birim fiyatlardan tutar</t>
        </is>
      </c>
      <c r="H129" s="24">
        <f>F5+F8+F16+F31+F43+F45+F49+F53+F57+F59+F61+F63+F65+F83+F101+F107+F109+F111+F114+F117+F119+F122+F124</f>
        <v/>
      </c>
    </row>
    <row r="130">
      <c r="C130" s="7" t="inlineStr">
        <is>
          <t>İdare cevaplarının net etkisi</t>
        </is>
      </c>
      <c r="H130" s="24">
        <f>H128-H129</f>
        <v/>
      </c>
    </row>
  </sheetData>
  <mergeCells count="1">
    <mergeCell ref="A2:J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40" customWidth="1" min="4" max="4"/>
    <col width="55" customWidth="1" min="5" max="5"/>
    <col width="14" customWidth="1" min="6" max="6"/>
  </cols>
  <sheetData>
    <row r="1">
      <c r="A1" s="12" t="inlineStr">
        <is>
          <t>İDARE CEVAPLARI (05.10.2026) – BU BÜTÇEYE UYGULANAN DÜZELTMELER</t>
        </is>
      </c>
    </row>
    <row r="3">
      <c r="A3" s="13" t="inlineStr">
        <is>
          <t>No</t>
        </is>
      </c>
      <c r="B3" s="13" t="inlineStr">
        <is>
          <t>Konu</t>
        </is>
      </c>
      <c r="C3" s="13" t="inlineStr">
        <is>
          <t>RFQ kabulü</t>
        </is>
      </c>
      <c r="D3" s="13" t="inlineStr">
        <is>
          <t>İdare cevabı</t>
        </is>
      </c>
      <c r="E3" s="13" t="inlineStr">
        <is>
          <t>Bütçeye etkisi</t>
        </is>
      </c>
      <c r="F3" s="13" t="inlineStr">
        <is>
          <t>Sayfa</t>
        </is>
      </c>
    </row>
    <row r="4">
      <c r="A4" s="4" t="n">
        <v>1</v>
      </c>
      <c r="B4" s="4" t="inlineStr">
        <is>
          <t>Kavşak sinyal (229)</t>
        </is>
      </c>
      <c r="C4" s="4" t="inlineStr">
        <is>
          <t>TSKP + 64 trafik lambası + 64 direk + 2.695 m kablo dahil</t>
        </is>
      </c>
      <c r="D4" s="4" t="inlineStr">
        <is>
          <t>TSKP ve lambalar kapsam dışı; irtibat kablolaması kapsamda</t>
        </is>
      </c>
      <c r="E4" s="4" t="inlineStr">
        <is>
          <t>Düşüldü (TSP, lup, arayüz kablosu kalır)</t>
        </is>
      </c>
      <c r="F4" s="4" t="inlineStr">
        <is>
          <t>Sinyal</t>
        </is>
      </c>
    </row>
    <row r="5">
      <c r="A5" s="4" t="n">
        <v>2</v>
      </c>
      <c r="B5" s="4" t="inlineStr">
        <is>
          <t>Araç adedi (231, 233)</t>
        </is>
      </c>
      <c r="C5" s="4" t="inlineStr">
        <is>
          <t>15 araç</t>
        </is>
      </c>
      <c r="D5" s="4" t="inlineStr">
        <is>
          <t>14 araç; araçlar ayrı ihale</t>
        </is>
      </c>
      <c r="E5" s="4" t="inlineStr">
        <is>
          <t>Araç başı kalemler 14'e indirildi</t>
        </is>
      </c>
      <c r="F5" s="4" t="inlineStr">
        <is>
          <t>Sinyal</t>
        </is>
      </c>
    </row>
    <row r="6">
      <c r="A6" s="4" t="n">
        <v>3</v>
      </c>
      <c r="B6" s="4" t="inlineStr">
        <is>
          <t>Ana hat makasları</t>
        </is>
      </c>
      <c r="C6" s="4" t="inlineStr">
        <is>
          <t>12 motorlu + 4 manuel</t>
        </is>
      </c>
      <c r="D6" s="4" t="inlineStr">
        <is>
          <t>Tüm makaslar motorlu</t>
        </is>
      </c>
      <c r="E6" s="4" t="inlineStr">
        <is>
          <t>+4 motor, +çubuk seti, +1 SKP (temkinli); manuel kalemler sıfır</t>
        </is>
      </c>
      <c r="F6" s="4" t="inlineStr">
        <is>
          <t>Sinyal</t>
        </is>
      </c>
    </row>
    <row r="7">
      <c r="A7" s="4" t="n">
        <v>4</v>
      </c>
      <c r="B7" s="4" t="inlineStr">
        <is>
          <t>Depo makasları</t>
        </is>
      </c>
      <c r="C7" s="4" t="inlineStr">
        <is>
          <t>20 motorlu + 20 manuel</t>
        </is>
      </c>
      <c r="D7" s="4" t="inlineStr">
        <is>
          <t>Tamamı motorlu</t>
        </is>
      </c>
      <c r="E7" s="4" t="inlineStr">
        <is>
          <t>+20 motor, +20 lamba, +16 dedektör, kablolar ×2; manuel sıfır</t>
        </is>
      </c>
      <c r="F7" s="4" t="inlineStr">
        <is>
          <t>Sinyal</t>
        </is>
      </c>
    </row>
    <row r="8">
      <c r="A8" s="4" t="n">
        <v>6</v>
      </c>
      <c r="B8" s="4" t="inlineStr">
        <is>
          <t>Ana hat lentesi</t>
        </is>
      </c>
      <c r="C8" s="4" t="inlineStr">
        <is>
          <t>66 lente + 68 temel</t>
        </is>
      </c>
      <c r="D8" s="4" t="inlineStr">
        <is>
          <t>Kullanılmayacak</t>
        </is>
      </c>
      <c r="E8" s="4" t="inlineStr">
        <is>
          <t>Lente teçhizatı ve temelleri düşüldü</t>
        </is>
      </c>
      <c r="F8" s="4" t="inlineStr">
        <is>
          <t>Katener</t>
        </is>
      </c>
    </row>
    <row r="9">
      <c r="A9" s="4" t="n">
        <v>7</v>
      </c>
      <c r="B9" s="4" t="inlineStr">
        <is>
          <t>Depo direkleri</t>
        </is>
      </c>
      <c r="C9" s="4" t="inlineStr">
        <is>
          <t>221 setinde 77 direk + temeller</t>
        </is>
      </c>
      <c r="D9" s="4" t="inlineStr">
        <is>
          <t>Cetvel direk kalemleri + sıra 13</t>
        </is>
      </c>
      <c r="E9" s="4" t="inlineStr">
        <is>
          <t>Depo direk/temel kalemleri düşüldü (çift sayım)</t>
        </is>
      </c>
      <c r="F9" s="4" t="inlineStr">
        <is>
          <t>Katener</t>
        </is>
      </c>
    </row>
    <row r="10">
      <c r="A10" s="4" t="n">
        <v>11</v>
      </c>
      <c r="B10" s="4" t="inlineStr">
        <is>
          <t>İstasyon UPS</t>
        </is>
      </c>
      <c r="C10" s="4" t="inlineStr">
        <is>
          <t>2 saat</t>
        </is>
      </c>
      <c r="D10" s="4" t="inlineStr">
        <is>
          <t>İstasyon 20 dk; TM 2 saat</t>
        </is>
      </c>
      <c r="E10" s="4" t="inlineStr">
        <is>
          <t>Bu bütçede yalnız TM UPS'leri var (2 saat korundu)</t>
        </is>
      </c>
      <c r="F10" s="4" t="inlineStr">
        <is>
          <t>Cer_Guc</t>
        </is>
      </c>
    </row>
    <row r="11">
      <c r="A11" s="4" t="n">
        <v>17</v>
      </c>
      <c r="B11" s="4" t="inlineStr">
        <is>
          <t>Mevcut sistem entegrasyonu</t>
        </is>
      </c>
      <c r="C11" s="4" t="inlineStr">
        <is>
          <t>Dahil</t>
        </is>
      </c>
      <c r="D11" s="4" t="inlineStr">
        <is>
          <t>Mevcut sistem yok</t>
        </is>
      </c>
      <c r="E11" s="4" t="inlineStr">
        <is>
          <t>Düşüldü</t>
        </is>
      </c>
      <c r="F11" s="4" t="inlineStr">
        <is>
          <t>Sinyal</t>
        </is>
      </c>
    </row>
    <row r="12">
      <c r="A12" s="4" t="n">
        <v>18</v>
      </c>
      <c r="B12" s="4" t="inlineStr">
        <is>
          <t>Hat uzunluğu</t>
        </is>
      </c>
      <c r="C12" s="4" t="inlineStr">
        <is>
          <t>6,56 km</t>
        </is>
      </c>
      <c r="D12" s="4" t="inlineStr">
        <is>
          <t>6,44 km</t>
        </is>
      </c>
      <c r="E12" s="4" t="inlineStr">
        <is>
          <t>Hat boyu iletken/kablolar × 0,9817</t>
        </is>
      </c>
      <c r="F12" s="4" t="inlineStr">
        <is>
          <t>Katener, Sinyal</t>
        </is>
      </c>
    </row>
    <row r="13">
      <c r="A13" s="4" t="n">
        <v>21</v>
      </c>
      <c r="B13" s="4" t="inlineStr">
        <is>
          <t>OG ring (170)</t>
        </is>
      </c>
      <c r="C13" s="4" t="inlineStr">
        <is>
          <t>7.000 m</t>
        </is>
      </c>
      <c r="D13" s="4" t="inlineStr">
        <is>
          <t>Tüm kesitler 7.964 m</t>
        </is>
      </c>
      <c r="E13" s="4" t="inlineStr">
        <is>
          <t>Kablo, muf, kelepçe güzergah oranında artırıldı</t>
        </is>
      </c>
      <c r="F13" s="4" t="inlineStr">
        <is>
          <t>Cer_Guc</t>
        </is>
      </c>
    </row>
    <row r="14">
      <c r="A14" s="4" t="n">
        <v>22</v>
      </c>
      <c r="B14" s="4" t="inlineStr">
        <is>
          <t>TEİAŞ kablosu (171)</t>
        </is>
      </c>
      <c r="C14" s="4" t="inlineStr">
        <is>
          <t>4 kablo/güzergah, 35.424 m</t>
        </is>
      </c>
      <c r="D14" s="4" t="inlineStr">
        <is>
          <t>Aynı</t>
        </is>
      </c>
      <c r="E14" s="4" t="inlineStr">
        <is>
          <t>Değişiklik yok</t>
        </is>
      </c>
      <c r="F14" s="4" t="inlineStr">
        <is>
          <t>Cer_Guc</t>
        </is>
      </c>
    </row>
    <row r="15">
      <c r="A15" s="4" t="inlineStr">
        <is>
          <t>—</t>
        </is>
      </c>
      <c r="B15" s="4" t="inlineStr">
        <is>
          <t>İç ihtiyaç trafoları</t>
        </is>
      </c>
      <c r="C15" s="4" t="inlineStr">
        <is>
          <t>Belirtilmemişti</t>
        </is>
      </c>
      <c r="D15" s="4" t="inlineStr">
        <is>
          <t>Cu/Cu sargı zorunlu</t>
        </is>
      </c>
      <c r="E15" s="4" t="inlineStr">
        <is>
          <t>250 / 2000 kVA trafolar Cu/Cu fiyatlandı</t>
        </is>
      </c>
      <c r="F15" s="4" t="inlineStr">
        <is>
          <t>Cer_Guc</t>
        </is>
      </c>
    </row>
    <row r="16">
      <c r="A16" s="4" t="inlineStr">
        <is>
          <t>—</t>
        </is>
      </c>
      <c r="B16" s="4" t="inlineStr">
        <is>
          <t>Sıra 228</t>
        </is>
      </c>
      <c r="C16" s="4" t="inlineStr">
        <is>
          <t>Tasarım</t>
        </is>
      </c>
      <c r="D16" s="4" t="inlineStr">
        <is>
          <t>Yalnız tasarım; ekipman 229–232</t>
        </is>
      </c>
      <c r="E16" s="4" t="inlineStr">
        <is>
          <t>Uyumlu</t>
        </is>
      </c>
      <c r="F16" s="4" t="inlineStr">
        <is>
          <t>Sinyal</t>
        </is>
      </c>
    </row>
    <row r="17">
      <c r="A17" s="4" t="inlineStr">
        <is>
          <t>—</t>
        </is>
      </c>
      <c r="B17" s="4" t="inlineStr">
        <is>
          <t>Garanti / yedek parça</t>
        </is>
      </c>
      <c r="C17" s="4" t="inlineStr">
        <is>
          <t>—</t>
        </is>
      </c>
      <c r="D17" s="4" t="inlineStr">
        <is>
          <t>24 ay; 2 yıllık yedek parça sıra 384'ten</t>
        </is>
      </c>
      <c r="E17" s="4" t="inlineStr">
        <is>
          <t>Katener test kalemine yedek parça payı dahil; sinyal yedekleri sıra 384'te</t>
        </is>
      </c>
      <c r="F17" s="4" t="inlineStr">
        <is>
          <t>—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2026-10-06T11:02:07Z</dcterms:created>
  <dcterms:modified xmlns:dcterms="http://purl.org/dc/terms/" xmlns:xsi="http://www.w3.org/2001/XMLSchema-instance" xsi:type="dcterms:W3CDTF">2026-10-06T11:02:07Z</dcterms:modified>
</cp:coreProperties>
</file>