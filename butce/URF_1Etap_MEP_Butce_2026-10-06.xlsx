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zet" sheetId="1" state="visible" r:id="rId1"/>
    <sheet xmlns:r="http://schemas.openxmlformats.org/officeDocument/2006/relationships" name="Yontem" sheetId="2" state="visible" r:id="rId2"/>
    <sheet xmlns:r="http://schemas.openxmlformats.org/officeDocument/2006/relationships" name="Teklif_Degerlendirme" sheetId="3" state="visible" r:id="rId3"/>
    <sheet xmlns:r="http://schemas.openxmlformats.org/officeDocument/2006/relationships" name="Ihale_Geneli_Bilgi" sheetId="4" state="visible" r:id="rId4"/>
    <sheet xmlns:r="http://schemas.openxmlformats.org/officeDocument/2006/relationships" name="Elektrik_AG" sheetId="5" state="visible" r:id="rId5"/>
    <sheet xmlns:r="http://schemas.openxmlformats.org/officeDocument/2006/relationships" name="Haberlesme" sheetId="6" state="visible" r:id="rId6"/>
    <sheet xmlns:r="http://schemas.openxmlformats.org/officeDocument/2006/relationships" name="Mekanik" sheetId="7" state="visible" r:id="rId7"/>
    <sheet xmlns:r="http://schemas.openxmlformats.org/officeDocument/2006/relationships" name="Asansor" sheetId="8" state="visible" r:id="rId8"/>
    <sheet xmlns:r="http://schemas.openxmlformats.org/officeDocument/2006/relationships" name="Sinyal" sheetId="9" state="visible" r:id="rId9"/>
    <sheet xmlns:r="http://schemas.openxmlformats.org/officeDocument/2006/relationships" name="Cer_Guc" sheetId="10" state="visible" r:id="rId10"/>
    <sheet xmlns:r="http://schemas.openxmlformats.org/officeDocument/2006/relationships" name="Katener" sheetId="11" state="visible" r:id="rId11"/>
    <sheet xmlns:r="http://schemas.openxmlformats.org/officeDocument/2006/relationships" name="Emsal_Kaynaklari" sheetId="12" state="visible" r:id="rId12"/>
    <sheet xmlns:r="http://schemas.openxmlformats.org/officeDocument/2006/relationships" name="Teklifler" sheetId="13" state="visible" r:id="rId13"/>
    <sheet xmlns:r="http://schemas.openxmlformats.org/officeDocument/2006/relationships" name="Teklif_Durumu" sheetId="14" state="visible" r:id="rId14"/>
    <sheet xmlns:r="http://schemas.openxmlformats.org/officeDocument/2006/relationships" name="Idare_Duzeltme" sheetId="15" state="visible" r:id="rId15"/>
    <sheet xmlns:r="http://schemas.openxmlformats.org/officeDocument/2006/relationships" name="Varsayimlar" sheetId="16" state="visible" r:id="rId16"/>
  </sheets>
  <definedNames>
    <definedName name="_xlnm._FilterDatabase" localSheetId="4" hidden="1">'Elektrik_AG'!$A$4:$M$4</definedName>
    <definedName name="_xlnm._FilterDatabase" localSheetId="5" hidden="1">'Haberlesme'!$A$4:$M$4</definedName>
    <definedName name="_xlnm._FilterDatabase" localSheetId="6" hidden="1">'Mekanik'!$A$4:$M$4</definedName>
    <definedName name="_xlnm._FilterDatabase" localSheetId="7" hidden="1">'Asansor'!$A$4:$M$4</definedName>
    <definedName name="_xlnm._FilterDatabase" localSheetId="8" hidden="1">'Sinyal'!$A$4:$M$4</definedName>
    <definedName name="_xlnm._FilterDatabase" localSheetId="9" hidden="1">'Cer_Guc'!$A$4:$M$4</definedName>
    <definedName name="_xlnm._FilterDatabase" localSheetId="10" hidden="1">'Katener'!$A$4:$M$4</definedName>
    <definedName name="_xlnm._FilterDatabase" localSheetId="11" hidden="1">'Emsal_Kaynaklari'!$A$4:$N$1187</definedName>
  </definedNames>
  <calcPr calcId="124519" fullCalcOnLoad="1"/>
</workbook>
</file>

<file path=xl/styles.xml><?xml version="1.0" encoding="utf-8"?>
<styleSheet xmlns="http://schemas.openxmlformats.org/spreadsheetml/2006/main">
  <numFmts count="5">
    <numFmt numFmtId="164" formatCode="0.0000"/>
    <numFmt numFmtId="165" formatCode="#,##0;[Red]-#,##0"/>
    <numFmt numFmtId="166" formatCode="#,##0.##"/>
    <numFmt numFmtId="167" formatCode="+0%;-0%"/>
    <numFmt numFmtId="168" formatCode="0.0%"/>
  </numFmts>
  <fonts count="20">
    <font>
      <name val="Calibri"/>
      <family val="2"/>
      <color theme="1"/>
      <sz val="11"/>
      <scheme val="minor"/>
    </font>
    <font>
      <b val="1"/>
      <sz val="12"/>
    </font>
    <font>
      <b val="1"/>
      <color rgb="00FFFFFF"/>
    </font>
    <font>
      <b val="1"/>
      <sz val="13"/>
    </font>
    <font>
      <b val="1"/>
    </font>
    <font>
      <b val="1"/>
      <color rgb="001F4E78"/>
    </font>
    <font>
      <b val="1"/>
      <color rgb="001F4E78"/>
      <sz val="16"/>
    </font>
    <font>
      <b val="1"/>
      <color rgb="00FFFFFF"/>
      <sz val="12"/>
    </font>
    <font>
      <b val="1"/>
      <color rgb="00C55A11"/>
    </font>
    <font>
      <b val="1"/>
      <color rgb="001F4E78"/>
      <sz val="12"/>
    </font>
    <font>
      <name val="Arial"/>
      <b val="1"/>
      <sz val="13"/>
    </font>
    <font>
      <name val="Arial"/>
      <family val="2"/>
      <color theme="1"/>
      <sz val="11"/>
      <scheme val="minor"/>
    </font>
    <font>
      <name val="Arial"/>
      <b val="1"/>
      <color rgb="00FFFFFF"/>
      <sz val="10"/>
    </font>
    <font>
      <name val="Arial"/>
      <b val="1"/>
      <color rgb="00FFFFFF"/>
      <sz val="12"/>
    </font>
    <font>
      <name val="Arial"/>
      <b val="1"/>
      <sz val="10"/>
    </font>
    <font>
      <name val="Arial"/>
      <b val="1"/>
      <color rgb="001F4E78"/>
      <sz val="12"/>
    </font>
    <font>
      <name val="Arial"/>
      <b val="1"/>
      <sz val="12"/>
    </font>
    <font>
      <name val="Arial"/>
      <b val="1"/>
      <color rgb="00C55A11"/>
      <sz val="10"/>
    </font>
    <font>
      <name val="Arial"/>
      <b val="1"/>
      <color rgb="001F4E78"/>
      <sz val="16"/>
    </font>
    <font>
      <name val="Arial"/>
      <b val="1"/>
      <color rgb="001F4E78"/>
      <sz val="10"/>
    </font>
  </fonts>
  <fills count="11">
    <fill>
      <patternFill/>
    </fill>
    <fill>
      <patternFill patternType="gray125"/>
    </fill>
    <fill>
      <patternFill patternType="solid">
        <fgColor rgb="001F4E78"/>
      </patternFill>
    </fill>
    <fill>
      <patternFill patternType="solid">
        <fgColor rgb="00FFF2CC"/>
      </patternFill>
    </fill>
    <fill>
      <patternFill patternType="solid">
        <fgColor rgb="00DDEBF7"/>
      </patternFill>
    </fill>
    <fill>
      <patternFill patternType="solid">
        <fgColor rgb="00C6EFCE"/>
      </patternFill>
    </fill>
    <fill>
      <patternFill patternType="solid">
        <fgColor rgb="00C6E0B4"/>
      </patternFill>
    </fill>
    <fill>
      <patternFill patternType="solid">
        <fgColor rgb="00FFE699"/>
      </patternFill>
    </fill>
    <fill>
      <patternFill patternType="solid">
        <fgColor rgb="00EDEDED"/>
      </patternFill>
    </fill>
    <fill>
      <patternFill patternType="solid">
        <fgColor rgb="00FCE4D6"/>
      </patternFill>
    </fill>
    <fill>
      <patternFill patternType="solid">
        <fgColor rgb="00C55A1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7">
    <xf numFmtId="0" fontId="0" fillId="0" borderId="0" pivotButton="0" quotePrefix="0" xfId="0"/>
    <xf numFmtId="0" fontId="10" fillId="0" borderId="0" pivotButton="0" quotePrefix="0" xfId="0"/>
    <xf numFmtId="0" fontId="11" fillId="0" borderId="0" applyAlignment="1" pivotButton="0" quotePrefix="0" xfId="0">
      <alignment vertical="top" wrapText="1"/>
    </xf>
    <xf numFmtId="0" fontId="12" fillId="2" borderId="1" applyAlignment="1" pivotButton="0" quotePrefix="0" xfId="0">
      <alignment vertical="top" wrapText="1"/>
    </xf>
    <xf numFmtId="0" fontId="13" fillId="2" borderId="0" pivotButton="0" quotePrefix="0" xfId="0"/>
    <xf numFmtId="0" fontId="11" fillId="2" borderId="0" pivotButton="0" quotePrefix="0" xfId="0"/>
    <xf numFmtId="0" fontId="14" fillId="0" borderId="1" applyAlignment="1" pivotButton="0" quotePrefix="0" xfId="0">
      <alignment vertical="top" wrapText="1"/>
    </xf>
    <xf numFmtId="0" fontId="11" fillId="0" borderId="1" applyAlignment="1" pivotButton="0" quotePrefix="0" xfId="0">
      <alignment vertical="top" wrapText="1"/>
    </xf>
    <xf numFmtId="165" fontId="11" fillId="0" borderId="1" applyAlignment="1" pivotButton="0" quotePrefix="0" xfId="0">
      <alignment vertical="top" wrapText="1"/>
    </xf>
    <xf numFmtId="9" fontId="11" fillId="0" borderId="1" applyAlignment="1" pivotButton="0" quotePrefix="0" xfId="0">
      <alignment vertical="top" wrapText="1"/>
    </xf>
    <xf numFmtId="0" fontId="14" fillId="0" borderId="1" pivotButton="0" quotePrefix="0" xfId="0"/>
    <xf numFmtId="165" fontId="15" fillId="0" borderId="1" pivotButton="0" quotePrefix="0" xfId="0"/>
    <xf numFmtId="3" fontId="15" fillId="0" borderId="1" pivotButton="0" quotePrefix="0" xfId="0"/>
    <xf numFmtId="9" fontId="15" fillId="0" borderId="1" pivotButton="0" quotePrefix="0" xfId="0"/>
    <xf numFmtId="0" fontId="14" fillId="6" borderId="1" pivotButton="0" quotePrefix="0" xfId="0"/>
    <xf numFmtId="0" fontId="11" fillId="6" borderId="1" pivotButton="0" quotePrefix="0" xfId="0"/>
    <xf numFmtId="165" fontId="14" fillId="6" borderId="1" pivotButton="0" quotePrefix="0" xfId="0"/>
    <xf numFmtId="168" fontId="11" fillId="6" borderId="1" pivotButton="0" quotePrefix="0" xfId="0"/>
    <xf numFmtId="9" fontId="14" fillId="6" borderId="1" pivotButton="0" quotePrefix="0" xfId="0"/>
    <xf numFmtId="0" fontId="14" fillId="0" borderId="0" pivotButton="0" quotePrefix="0" xfId="0"/>
    <xf numFmtId="0" fontId="16" fillId="0" borderId="0" pivotButton="0" quotePrefix="0" xfId="0"/>
    <xf numFmtId="0" fontId="12" fillId="2" borderId="0" pivotButton="0" quotePrefix="0" xfId="0"/>
    <xf numFmtId="0" fontId="11" fillId="0" borderId="0" pivotButton="0" quotePrefix="0" xfId="0"/>
    <xf numFmtId="165" fontId="11" fillId="0" borderId="0" pivotButton="0" quotePrefix="0" xfId="0"/>
    <xf numFmtId="0" fontId="13" fillId="10" borderId="0" pivotButton="0" quotePrefix="0" xfId="0"/>
    <xf numFmtId="0" fontId="11" fillId="10" borderId="0" pivotButton="0" quotePrefix="0" xfId="0"/>
    <xf numFmtId="0" fontId="14" fillId="9" borderId="1" pivotButton="0" quotePrefix="0" xfId="0"/>
    <xf numFmtId="0" fontId="11" fillId="0" borderId="1" pivotButton="0" quotePrefix="0" xfId="0"/>
    <xf numFmtId="165" fontId="11" fillId="0" borderId="1" pivotButton="0" quotePrefix="0" xfId="0"/>
    <xf numFmtId="165" fontId="14" fillId="0" borderId="0" pivotButton="0" quotePrefix="0" xfId="0"/>
    <xf numFmtId="0" fontId="11" fillId="7" borderId="1" applyAlignment="1" pivotButton="0" quotePrefix="0" xfId="0">
      <alignment vertical="top" wrapText="1"/>
    </xf>
    <xf numFmtId="165" fontId="17" fillId="0" borderId="1" pivotButton="0" quotePrefix="0" xfId="0"/>
    <xf numFmtId="0" fontId="12" fillId="2" borderId="1" pivotButton="0" quotePrefix="0" xfId="0"/>
    <xf numFmtId="0" fontId="14" fillId="0" borderId="0" applyAlignment="1" pivotButton="0" quotePrefix="0" xfId="0">
      <alignment vertical="top" wrapText="1"/>
    </xf>
    <xf numFmtId="0" fontId="18" fillId="0" borderId="0" pivotButton="0" quotePrefix="0" xfId="0"/>
    <xf numFmtId="0" fontId="11" fillId="0" borderId="4" pivotButton="0" quotePrefix="0" xfId="0"/>
    <xf numFmtId="0" fontId="11" fillId="0" borderId="5" pivotButton="0" quotePrefix="0" xfId="0"/>
    <xf numFmtId="0" fontId="11" fillId="5" borderId="1" applyAlignment="1" pivotButton="0" quotePrefix="0" xfId="0">
      <alignment vertical="top" wrapText="1"/>
    </xf>
    <xf numFmtId="0" fontId="11" fillId="4" borderId="1" applyAlignment="1" pivotButton="0" quotePrefix="0" xfId="0">
      <alignment vertical="top" wrapText="1"/>
    </xf>
    <xf numFmtId="0" fontId="11" fillId="8" borderId="1" applyAlignment="1" pivotButton="0" quotePrefix="0" xfId="0">
      <alignment vertical="top" wrapText="1"/>
    </xf>
    <xf numFmtId="3" fontId="11" fillId="0" borderId="1" applyAlignment="1" pivotButton="0" quotePrefix="0" xfId="0">
      <alignment vertical="top" wrapText="1"/>
    </xf>
    <xf numFmtId="4" fontId="11" fillId="0" borderId="1" applyAlignment="1" pivotButton="0" quotePrefix="0" xfId="0">
      <alignment vertical="top" wrapText="1"/>
    </xf>
    <xf numFmtId="164" fontId="11" fillId="0" borderId="1" applyAlignment="1" pivotButton="0" quotePrefix="0" xfId="0">
      <alignment vertical="top" wrapText="1"/>
    </xf>
    <xf numFmtId="4" fontId="14" fillId="0" borderId="1" applyAlignment="1" pivotButton="0" quotePrefix="0" xfId="0">
      <alignment vertical="top" wrapText="1"/>
    </xf>
    <xf numFmtId="167" fontId="11" fillId="0" borderId="1" applyAlignment="1" pivotButton="0" quotePrefix="0" xfId="0">
      <alignment vertical="top" wrapText="1"/>
    </xf>
    <xf numFmtId="0" fontId="14" fillId="6" borderId="0" pivotButton="0" quotePrefix="0" xfId="0"/>
    <xf numFmtId="165" fontId="14" fillId="6" borderId="0" pivotButton="0" quotePrefix="0" xfId="0"/>
    <xf numFmtId="0" fontId="19" fillId="0" borderId="0" pivotButton="0" quotePrefix="0" xfId="0"/>
    <xf numFmtId="0" fontId="14" fillId="4" borderId="1" pivotButton="0" quotePrefix="0" xfId="0"/>
    <xf numFmtId="165" fontId="14" fillId="4" borderId="1" pivotButton="0" quotePrefix="0" xfId="0"/>
    <xf numFmtId="166" fontId="11" fillId="0" borderId="1" pivotButton="0" quotePrefix="0" xfId="0"/>
    <xf numFmtId="4" fontId="11" fillId="3" borderId="1" pivotButton="0" quotePrefix="0" xfId="0"/>
    <xf numFmtId="0" fontId="11" fillId="4" borderId="1" pivotButton="0" quotePrefix="0" xfId="0"/>
    <xf numFmtId="0" fontId="11" fillId="7" borderId="1" pivotButton="0" quotePrefix="0" xfId="0"/>
    <xf numFmtId="166" fontId="11" fillId="9" borderId="1" pivotButton="0" quotePrefix="0" xfId="0"/>
    <xf numFmtId="0" fontId="11" fillId="8" borderId="1" pivotButton="0" quotePrefix="0" xfId="0"/>
    <xf numFmtId="165" fontId="11" fillId="6" borderId="1" pivotButton="0" quotePrefix="0" xfId="0"/>
    <xf numFmtId="0" fontId="11" fillId="5" borderId="0" pivotButton="0" quotePrefix="0" xfId="0"/>
    <xf numFmtId="9" fontId="11" fillId="0" borderId="0" pivotButton="0" quotePrefix="0" xfId="0"/>
    <xf numFmtId="0" fontId="11" fillId="4" borderId="0" pivotButton="0" quotePrefix="0" xfId="0"/>
    <xf numFmtId="0" fontId="11" fillId="7" borderId="0" pivotButton="0" quotePrefix="0" xfId="0"/>
    <xf numFmtId="0" fontId="11" fillId="8" borderId="0" pivotButton="0" quotePrefix="0" xfId="0"/>
    <xf numFmtId="0" fontId="11" fillId="5" borderId="1" pivotButton="0" quotePrefix="0" xfId="0"/>
    <xf numFmtId="4" fontId="11" fillId="0" borderId="0" pivotButton="0" quotePrefix="0" xfId="0"/>
    <xf numFmtId="0" fontId="11" fillId="3" borderId="1" pivotButton="0" quotePrefix="0" xfId="0"/>
    <xf numFmtId="164" fontId="11" fillId="3" borderId="1" pivotButton="0" quotePrefix="0" xfId="0"/>
    <xf numFmtId="9" fontId="11"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Disiplin bazında bütçe ve fiyat kaynağı (EUR)</a:t>
            </a:r>
          </a:p>
        </rich>
      </tx>
    </title>
    <plotArea>
      <barChart>
        <barDir val="bar"/>
        <grouping val="stacked"/>
        <ser>
          <idx val="0"/>
          <order val="0"/>
          <tx>
            <strRef>
              <f>'Ozet'!P13</f>
            </strRef>
          </tx>
          <spPr>
            <a:solidFill xmlns:a="http://schemas.openxmlformats.org/drawingml/2006/main">
              <a:srgbClr val="70AD47"/>
            </a:solidFill>
            <a:ln xmlns:a="http://schemas.openxmlformats.org/drawingml/2006/main">
              <a:solidFill>
                <a:srgbClr val="70AD47"/>
              </a:solidFill>
              <a:prstDash val="solid"/>
            </a:ln>
          </spPr>
          <cat>
            <numRef>
              <f>'Ozet'!$O$14:$O$18</f>
            </numRef>
          </cat>
          <val>
            <numRef>
              <f>'Ozet'!$P$14:$P$18</f>
            </numRef>
          </val>
        </ser>
        <ser>
          <idx val="1"/>
          <order val="1"/>
          <tx>
            <strRef>
              <f>'Ozet'!Q13</f>
            </strRef>
          </tx>
          <spPr>
            <a:solidFill xmlns:a="http://schemas.openxmlformats.org/drawingml/2006/main">
              <a:srgbClr val="5B9BD5"/>
            </a:solidFill>
            <a:ln xmlns:a="http://schemas.openxmlformats.org/drawingml/2006/main">
              <a:solidFill>
                <a:srgbClr val="5B9BD5"/>
              </a:solidFill>
              <a:prstDash val="solid"/>
            </a:ln>
          </spPr>
          <cat>
            <numRef>
              <f>'Ozet'!$O$14:$O$18</f>
            </numRef>
          </cat>
          <val>
            <numRef>
              <f>'Ozet'!$Q$14:$Q$18</f>
            </numRef>
          </val>
        </ser>
        <ser>
          <idx val="2"/>
          <order val="2"/>
          <tx>
            <strRef>
              <f>'Ozet'!R13</f>
            </strRef>
          </tx>
          <spPr>
            <a:solidFill xmlns:a="http://schemas.openxmlformats.org/drawingml/2006/main">
              <a:srgbClr val="FFC000"/>
            </a:solidFill>
            <a:ln xmlns:a="http://schemas.openxmlformats.org/drawingml/2006/main">
              <a:solidFill>
                <a:srgbClr val="FFC000"/>
              </a:solidFill>
              <a:prstDash val="solid"/>
            </a:ln>
          </spPr>
          <cat>
            <numRef>
              <f>'Ozet'!$O$14:$O$18</f>
            </numRef>
          </cat>
          <val>
            <numRef>
              <f>'Ozet'!$R$14:$R$18</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EUR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Disiplin payları (önerilen bütçe)</a:t>
            </a:r>
          </a:p>
        </rich>
      </tx>
    </title>
    <plotArea>
      <pieChart>
        <varyColors val="1"/>
        <ser>
          <idx val="0"/>
          <order val="0"/>
          <tx>
            <strRef>
              <f>'Ozet'!E4</f>
            </strRef>
          </tx>
          <spPr>
            <a:ln xmlns:a="http://schemas.openxmlformats.org/drawingml/2006/main">
              <a:prstDash val="solid"/>
            </a:ln>
          </spPr>
          <cat>
            <numRef>
              <f>'Ozet'!$A$5:$A$9</f>
            </numRef>
          </cat>
          <val>
            <numRef>
              <f>'Ozet'!$E$5:$E$9</f>
            </numRef>
          </val>
        </ser>
        <dLbls>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14</col>
      <colOff>0</colOff>
      <row>19</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39</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F4E78"/>
    <outlinePr summaryBelow="1" summaryRight="1"/>
    <pageSetUpPr/>
  </sheetPr>
  <dimension ref="A1:R262"/>
  <sheetViews>
    <sheetView showGridLines="0" zoomScale="90" workbookViewId="0">
      <pane ySplit="4" topLeftCell="A5" activePane="bottomLeft" state="frozen"/>
      <selection pane="bottomLeft" activeCell="A1" sqref="A1"/>
    </sheetView>
  </sheetViews>
  <sheetFormatPr baseColWidth="8" defaultRowHeight="15"/>
  <cols>
    <col width="24" customWidth="1" min="1" max="1"/>
    <col width="48" customWidth="1" min="2" max="2"/>
    <col width="18" customWidth="1" min="3" max="3"/>
    <col width="16" customWidth="1" min="4" max="4"/>
    <col width="18" customWidth="1" min="5" max="5"/>
    <col width="16" customWidth="1" min="6" max="6"/>
    <col width="18" customWidth="1" min="7" max="7"/>
    <col width="10" customWidth="1" min="8" max="8"/>
    <col width="18" customWidth="1" min="9" max="9"/>
    <col width="18" customWidth="1" min="10" max="10"/>
    <col width="30" customWidth="1" min="11" max="11"/>
    <col width="16" customWidth="1" min="12" max="12"/>
    <col width="16" customWidth="1" min="13" max="13"/>
    <col width="30" customWidth="1" min="15" max="15"/>
    <col width="18" customWidth="1" min="16" max="16"/>
    <col width="18" customWidth="1" min="17" max="17"/>
    <col width="18" customWidth="1" min="18" max="18"/>
    <col width="4" customWidth="1" min="19" max="19"/>
  </cols>
  <sheetData>
    <row r="1">
      <c r="A1" s="1" t="inlineStr">
        <is>
          <t>ŞANLIURFA HRS 1. ETAP – MEP BÜTÇE ÇALIŞMASI (ELEKTRİK, MEKANİK, ASANSÖR, SİNYALİZASYON, ELEKTRİFİKASYON)</t>
        </is>
      </c>
    </row>
    <row r="2" ht="36" customHeight="1">
      <c r="A2" s="2" t="inlineStr">
        <is>
          <t>İKN 2026/1327584 • Teklif sahibi: ÖZVER İNŞAAT A.Ş. • Hazırlayan: MEP Center • 06.10.2026 • EUR, KDV hariç, montaj+test+devreye alma dahil (taşeron fiyatı), Şanlıurfa şantiye teslim. Miktarlar RFQ cetvelleri + idare cevapları (05.10.2026) ile düzeltilmiştir.</t>
        </is>
      </c>
    </row>
    <row r="3"/>
    <row r="4" ht="45" customHeight="1">
      <c r="A4" s="3" t="inlineStr">
        <is>
          <t>Disiplin</t>
        </is>
      </c>
      <c r="B4" s="3" t="inlineStr">
        <is>
          <t>Kapsam</t>
        </is>
      </c>
      <c r="C4" s="3" t="inlineStr">
        <is>
          <t>Kalem bazlı bütçe EUR</t>
        </is>
      </c>
      <c r="D4" s="3" t="inlineStr">
        <is>
          <t>Risk payı EUR</t>
        </is>
      </c>
      <c r="E4" s="3" t="inlineStr">
        <is>
          <t>Önerilen bütçe EUR</t>
        </is>
      </c>
      <c r="F4" s="3" t="inlineStr">
        <is>
          <t>Önerilen bütçe USD</t>
        </is>
      </c>
      <c r="G4" s="3" t="inlineStr">
        <is>
          <t>Önerilen bütçe TL</t>
        </is>
      </c>
      <c r="H4" s="3" t="inlineStr">
        <is>
          <t>Pay %</t>
        </is>
      </c>
      <c r="I4" s="3" t="inlineStr">
        <is>
          <t>RFQ cetvel miktarlarıyla (şişirmeli) EUR</t>
        </is>
      </c>
      <c r="J4" s="3" t="inlineStr">
        <is>
          <t>Referans / teklif kıyası EUR</t>
        </is>
      </c>
      <c r="K4" s="3" t="inlineStr">
        <is>
          <t>Teklife dayanan %</t>
        </is>
      </c>
      <c r="L4" s="3" t="inlineStr">
        <is>
          <t>Geçmiş teklif uyarlaması %</t>
        </is>
      </c>
      <c r="M4" s="3" t="inlineStr">
        <is>
          <t>Mühendislik tahmini %</t>
        </is>
      </c>
      <c r="O4" s="4" t="inlineStr">
        <is>
          <t>BÜTÇE GÖSTERGELERİ</t>
        </is>
      </c>
      <c r="P4" s="5" t="n"/>
      <c r="Q4" s="5" t="n"/>
    </row>
    <row r="5">
      <c r="A5" s="6" t="inlineStr">
        <is>
          <t>1 ELEKTRİK</t>
        </is>
      </c>
      <c r="B5" s="7" t="inlineStr">
        <is>
          <t>AG tesisat, aydınlatma, yangın ihbar, topraklama, kontrol-haberleşme, SCADA</t>
        </is>
      </c>
      <c r="C5" s="8">
        <f>SUMIF($A$15:$A$21,$A5,D$15:D$21)</f>
        <v/>
      </c>
      <c r="D5" s="8">
        <f>E5-C5</f>
        <v/>
      </c>
      <c r="E5" s="8">
        <f>SUMIF($A$15:$A$21,$A5,F$15:F$21)</f>
        <v/>
      </c>
      <c r="F5" s="8">
        <f>E5*Varsayimlar!$B$4</f>
        <v/>
      </c>
      <c r="G5" s="8">
        <f>E5*Varsayimlar!$B$5</f>
        <v/>
      </c>
      <c r="H5" s="9">
        <f>E5/$E$10</f>
        <v/>
      </c>
      <c r="I5" s="8">
        <f>SUMIF($A$15:$A$21,$A5,G$15:G$21)</f>
        <v/>
      </c>
      <c r="J5" s="8">
        <f>SUMIF($A$15:$A$21,$A5,H$15:H$21)</f>
        <v/>
      </c>
      <c r="K5" s="9">
        <f>IF(C5=0,0,SUMIF($A$15:$A$21,$A5,K$15:K$21)/C5)</f>
        <v/>
      </c>
      <c r="L5" s="9">
        <f>IF(C5=0,0,SUMIF($A$15:$A$21,$A5,L$15:L$21)/C5)</f>
        <v/>
      </c>
      <c r="M5" s="9">
        <f>IF(C5=0,0,SUMIF($A$15:$A$21,$A5,M$15:M$21)/C5)</f>
        <v/>
      </c>
      <c r="O5" s="10" t="inlineStr">
        <is>
          <t>TOPLAM MEP ÖNERİLEN BÜTÇE (EUR)</t>
        </is>
      </c>
      <c r="P5" s="11">
        <f>E10</f>
        <v/>
      </c>
    </row>
    <row r="6">
      <c r="A6" s="6" t="inlineStr">
        <is>
          <t>2 MEKANİK</t>
        </is>
      </c>
      <c r="B6" s="7" t="inlineStr">
        <is>
          <t>HVAC, yangın söndürme, drenaj, sıhhi tesisat, basınçlı hava</t>
        </is>
      </c>
      <c r="C6" s="8">
        <f>SUMIF($A$15:$A$21,$A6,D$15:D$21)</f>
        <v/>
      </c>
      <c r="D6" s="8">
        <f>E6-C6</f>
        <v/>
      </c>
      <c r="E6" s="8">
        <f>SUMIF($A$15:$A$21,$A6,F$15:F$21)</f>
        <v/>
      </c>
      <c r="F6" s="8">
        <f>E6*Varsayimlar!$B$4</f>
        <v/>
      </c>
      <c r="G6" s="8">
        <f>E6*Varsayimlar!$B$5</f>
        <v/>
      </c>
      <c r="H6" s="9">
        <f>E6/$E$10</f>
        <v/>
      </c>
      <c r="I6" s="8">
        <f>SUMIF($A$15:$A$21,$A6,G$15:G$21)</f>
        <v/>
      </c>
      <c r="J6" s="8">
        <f>SUMIF($A$15:$A$21,$A6,H$15:H$21)</f>
        <v/>
      </c>
      <c r="K6" s="9">
        <f>IF(C6=0,0,SUMIF($A$15:$A$21,$A6,K$15:K$21)/C6)</f>
        <v/>
      </c>
      <c r="L6" s="9">
        <f>IF(C6=0,0,SUMIF($A$15:$A$21,$A6,L$15:L$21)/C6)</f>
        <v/>
      </c>
      <c r="M6" s="9">
        <f>IF(C6=0,0,SUMIF($A$15:$A$21,$A6,M$15:M$21)/C6)</f>
        <v/>
      </c>
      <c r="O6" s="10" t="inlineStr">
        <is>
          <t>USD karşılığı</t>
        </is>
      </c>
      <c r="P6" s="11">
        <f>F10</f>
        <v/>
      </c>
    </row>
    <row r="7">
      <c r="A7" s="6" t="inlineStr">
        <is>
          <t>3 ASANSÖR</t>
        </is>
      </c>
      <c r="B7" s="7" t="inlineStr">
        <is>
          <t>13 asansör</t>
        </is>
      </c>
      <c r="C7" s="8">
        <f>SUMIF($A$15:$A$21,$A7,D$15:D$21)</f>
        <v/>
      </c>
      <c r="D7" s="8">
        <f>E7-C7</f>
        <v/>
      </c>
      <c r="E7" s="8">
        <f>SUMIF($A$15:$A$21,$A7,F$15:F$21)</f>
        <v/>
      </c>
      <c r="F7" s="8">
        <f>E7*Varsayimlar!$B$4</f>
        <v/>
      </c>
      <c r="G7" s="8">
        <f>E7*Varsayimlar!$B$5</f>
        <v/>
      </c>
      <c r="H7" s="9">
        <f>E7/$E$10</f>
        <v/>
      </c>
      <c r="I7" s="8">
        <f>SUMIF($A$15:$A$21,$A7,G$15:G$21)</f>
        <v/>
      </c>
      <c r="J7" s="8">
        <f>SUMIF($A$15:$A$21,$A7,H$15:H$21)</f>
        <v/>
      </c>
      <c r="K7" s="9">
        <f>IF(C7=0,0,SUMIF($A$15:$A$21,$A7,K$15:K$21)/C7)</f>
        <v/>
      </c>
      <c r="L7" s="9">
        <f>IF(C7=0,0,SUMIF($A$15:$A$21,$A7,L$15:L$21)/C7)</f>
        <v/>
      </c>
      <c r="M7" s="9">
        <f>IF(C7=0,0,SUMIF($A$15:$A$21,$A7,M$15:M$21)/C7)</f>
        <v/>
      </c>
      <c r="O7" s="10" t="inlineStr">
        <is>
          <t>TL karşılığı</t>
        </is>
      </c>
      <c r="P7" s="11">
        <f>G10</f>
        <v/>
      </c>
    </row>
    <row r="8">
      <c r="A8" s="6" t="inlineStr">
        <is>
          <t>4 SİNYALİZASYON</t>
        </is>
      </c>
      <c r="B8" s="7" t="inlineStr">
        <is>
          <t>Sinyalizasyon + araç takip (AVLS)</t>
        </is>
      </c>
      <c r="C8" s="8">
        <f>SUMIF($A$15:$A$21,$A8,D$15:D$21)</f>
        <v/>
      </c>
      <c r="D8" s="8">
        <f>E8-C8</f>
        <v/>
      </c>
      <c r="E8" s="8">
        <f>SUMIF($A$15:$A$21,$A8,F$15:F$21)</f>
        <v/>
      </c>
      <c r="F8" s="8">
        <f>E8*Varsayimlar!$B$4</f>
        <v/>
      </c>
      <c r="G8" s="8">
        <f>E8*Varsayimlar!$B$5</f>
        <v/>
      </c>
      <c r="H8" s="9">
        <f>E8/$E$10</f>
        <v/>
      </c>
      <c r="I8" s="8">
        <f>SUMIF($A$15:$A$21,$A8,G$15:G$21)</f>
        <v/>
      </c>
      <c r="J8" s="8">
        <f>SUMIF($A$15:$A$21,$A8,H$15:H$21)</f>
        <v/>
      </c>
      <c r="K8" s="9">
        <f>IF(C8=0,0,SUMIF($A$15:$A$21,$A8,K$15:K$21)/C8)</f>
        <v/>
      </c>
      <c r="L8" s="9">
        <f>IF(C8=0,0,SUMIF($A$15:$A$21,$A8,L$15:L$21)/C8)</f>
        <v/>
      </c>
      <c r="M8" s="9">
        <f>IF(C8=0,0,SUMIF($A$15:$A$21,$A8,M$15:M$21)/C8)</f>
        <v/>
      </c>
      <c r="O8" s="10" t="inlineStr">
        <is>
          <t>Fiyatlandırılan kalem sayısı</t>
        </is>
      </c>
      <c r="P8" s="12" t="n">
        <v>1625</v>
      </c>
    </row>
    <row r="9">
      <c r="A9" s="6" t="inlineStr">
        <is>
          <t>5 ELEKTRİFİKASYON</t>
        </is>
      </c>
      <c r="B9" s="7" t="inlineStr">
        <is>
          <t>Güç temini/cer gücü + katener</t>
        </is>
      </c>
      <c r="C9" s="8">
        <f>SUMIF($A$15:$A$21,$A9,D$15:D$21)</f>
        <v/>
      </c>
      <c r="D9" s="8">
        <f>E9-C9</f>
        <v/>
      </c>
      <c r="E9" s="8">
        <f>SUMIF($A$15:$A$21,$A9,F$15:F$21)</f>
        <v/>
      </c>
      <c r="F9" s="8">
        <f>E9*Varsayimlar!$B$4</f>
        <v/>
      </c>
      <c r="G9" s="8">
        <f>E9*Varsayimlar!$B$5</f>
        <v/>
      </c>
      <c r="H9" s="9">
        <f>E9/$E$10</f>
        <v/>
      </c>
      <c r="I9" s="8">
        <f>SUMIF($A$15:$A$21,$A9,G$15:G$21)</f>
        <v/>
      </c>
      <c r="J9" s="8">
        <f>SUMIF($A$15:$A$21,$A9,H$15:H$21)</f>
        <v/>
      </c>
      <c r="K9" s="9">
        <f>IF(C9=0,0,SUMIF($A$15:$A$21,$A9,K$15:K$21)/C9)</f>
        <v/>
      </c>
      <c r="L9" s="9">
        <f>IF(C9=0,0,SUMIF($A$15:$A$21,$A9,L$15:L$21)/C9)</f>
        <v/>
      </c>
      <c r="M9" s="9">
        <f>IF(C9=0,0,SUMIF($A$15:$A$21,$A9,M$15:M$21)/C9)</f>
        <v/>
      </c>
      <c r="O9" s="10" t="inlineStr">
        <is>
          <t>Teklif + geçmiş teklif emsaline dayanan pay</t>
        </is>
      </c>
      <c r="P9" s="13">
        <f>K10+L10</f>
        <v/>
      </c>
    </row>
    <row r="10">
      <c r="A10" s="14" t="inlineStr">
        <is>
          <t>TOPLAM MEP</t>
        </is>
      </c>
      <c r="B10" s="15" t="n"/>
      <c r="C10" s="16">
        <f>SUM(C5:C9)</f>
        <v/>
      </c>
      <c r="D10" s="16">
        <f>SUM(D5:D9)</f>
        <v/>
      </c>
      <c r="E10" s="16">
        <f>SUM(E5:E9)</f>
        <v/>
      </c>
      <c r="F10" s="16">
        <f>SUM(F5:F9)</f>
        <v/>
      </c>
      <c r="G10" s="16">
        <f>SUM(G5:G9)</f>
        <v/>
      </c>
      <c r="H10" s="17">
        <f>SUM(H5:H9)</f>
        <v/>
      </c>
      <c r="I10" s="16">
        <f>SUM(I5:I9)</f>
        <v/>
      </c>
      <c r="J10" s="16">
        <f>SUM(J5:J9)</f>
        <v/>
      </c>
      <c r="K10" s="18">
        <f>SUMPRODUCT(C5:C9,K5:K9)/C10</f>
        <v/>
      </c>
      <c r="L10" s="18">
        <f>SUMPRODUCT(C5:C9,L5:L9)/C10</f>
        <v/>
      </c>
      <c r="M10" s="18">
        <f>SUMPRODUCT(C5:C9,M5:M9)/C10</f>
        <v/>
      </c>
    </row>
    <row r="11"/>
    <row r="12">
      <c r="O12" s="19" t="inlineStr">
        <is>
          <t>Grafik verisi (EUR, risk hariç)</t>
        </is>
      </c>
    </row>
    <row r="13">
      <c r="A13" s="20" t="inlineStr">
        <is>
          <t>ALT KIRILIM (disiplin içi)</t>
        </is>
      </c>
      <c r="O13" s="21" t="inlineStr">
        <is>
          <t>Disiplin</t>
        </is>
      </c>
      <c r="P13" s="21" t="inlineStr">
        <is>
          <t>2026 teklif</t>
        </is>
      </c>
      <c r="Q13" s="21" t="inlineStr">
        <is>
          <t>Geçmiş teklif uyarlama</t>
        </is>
      </c>
      <c r="R13" s="21" t="inlineStr">
        <is>
          <t>Mühendislik tahmini</t>
        </is>
      </c>
    </row>
    <row r="14">
      <c r="A14" s="3" t="inlineStr">
        <is>
          <t>Disiplin</t>
        </is>
      </c>
      <c r="B14" s="3" t="inlineStr">
        <is>
          <t>Alt kalem</t>
        </is>
      </c>
      <c r="C14" s="3" t="inlineStr">
        <is>
          <t>Cetvel sıraları</t>
        </is>
      </c>
      <c r="D14" s="3" t="inlineStr">
        <is>
          <t>Kalem bazlı EUR</t>
        </is>
      </c>
      <c r="E14" s="3" t="inlineStr">
        <is>
          <t>Risk %</t>
        </is>
      </c>
      <c r="F14" s="3" t="inlineStr">
        <is>
          <t>Önerilen EUR</t>
        </is>
      </c>
      <c r="G14" s="3" t="inlineStr">
        <is>
          <t>RFQ miktarlarıyla EUR</t>
        </is>
      </c>
      <c r="H14" s="3" t="inlineStr">
        <is>
          <t>Kıyas EUR</t>
        </is>
      </c>
      <c r="I14" s="3" t="inlineStr">
        <is>
          <t>Kıyas kaynağı</t>
        </is>
      </c>
      <c r="J14" s="3" t="inlineStr">
        <is>
          <t>Açıklama</t>
        </is>
      </c>
      <c r="K14" s="3" t="inlineStr">
        <is>
          <t>2026 teklifine dayanan EUR</t>
        </is>
      </c>
      <c r="L14" s="3" t="inlineStr">
        <is>
          <t>Geçmiş teklif uyarlaması EUR</t>
        </is>
      </c>
      <c r="M14" s="3" t="inlineStr">
        <is>
          <t>Mühendislik tahmini EUR</t>
        </is>
      </c>
      <c r="O14" s="22" t="inlineStr">
        <is>
          <t>1 ELEKTRİK</t>
        </is>
      </c>
      <c r="P14" s="23">
        <f>SUMIF($A$15:$A$21,$O14,K$15:K$21)</f>
        <v/>
      </c>
      <c r="Q14" s="23">
        <f>SUMIF($A$15:$A$21,$O14,L$15:L$21)</f>
        <v/>
      </c>
      <c r="R14" s="23">
        <f>SUMIF($A$15:$A$21,$O14,M$15:M$21)</f>
        <v/>
      </c>
    </row>
    <row r="15">
      <c r="A15" s="7" t="inlineStr">
        <is>
          <t>1 ELEKTRİK</t>
        </is>
      </c>
      <c r="B15" s="7" t="inlineStr">
        <is>
          <t>AG dağıtım, AG kablolar, iç tesisat-aydınlatma, UPS, yangın ihbar, topraklama</t>
        </is>
      </c>
      <c r="C15" s="7" t="inlineStr">
        <is>
          <t>180–186, 190–196, 198–199, 211–218, 322–342</t>
        </is>
      </c>
      <c r="D15" s="8">
        <f>'Elektrik_AG'!$J$675</f>
        <v/>
      </c>
      <c r="E15" s="9">
        <f>Varsayimlar!$B$19</f>
        <v/>
      </c>
      <c r="F15" s="8">
        <f>D15*(1+E15)</f>
        <v/>
      </c>
      <c r="G15" s="8">
        <f>'Elektrik_AG'!$J$676</f>
        <v/>
      </c>
      <c r="H15" s="8" t="n"/>
      <c r="I15" s="7" t="inlineStr"/>
      <c r="J15" s="7" t="inlineStr">
        <is>
          <t>İstasyon/depo ADP, AG besleme kabloları, aydınlatma, UPS'ler, yangın ihbar</t>
        </is>
      </c>
      <c r="K15" s="8">
        <f>'Elektrik_AG'!$J$680</f>
        <v/>
      </c>
      <c r="L15" s="8">
        <f>'Elektrik_AG'!$J$681</f>
        <v/>
      </c>
      <c r="M15" s="8">
        <f>'Elektrik_AG'!$J$682</f>
        <v/>
      </c>
      <c r="O15" s="22" t="inlineStr">
        <is>
          <t>2 MEKANİK</t>
        </is>
      </c>
      <c r="P15" s="23">
        <f>SUMIF($A$15:$A$21,$O15,K$15:K$21)</f>
        <v/>
      </c>
      <c r="Q15" s="23">
        <f>SUMIF($A$15:$A$21,$O15,L$15:L$21)</f>
        <v/>
      </c>
      <c r="R15" s="23">
        <f>SUMIF($A$15:$A$21,$O15,M$15:M$21)</f>
        <v/>
      </c>
    </row>
    <row r="16">
      <c r="A16" s="7" t="inlineStr">
        <is>
          <t>1 ELEKTRİK</t>
        </is>
      </c>
      <c r="B16" s="7" t="inlineStr">
        <is>
          <t>Kontrol ve haberleşme (fiber, telefon, telsiz, anons, CCTV, saat, erişim, SCADA, YBS, turnike)</t>
        </is>
      </c>
      <c r="C16" s="7" t="inlineStr">
        <is>
          <t>236–321</t>
        </is>
      </c>
      <c r="D16" s="8">
        <f>'Haberlesme'!$J$543</f>
        <v/>
      </c>
      <c r="E16" s="9">
        <f>Varsayimlar!$B$20</f>
        <v/>
      </c>
      <c r="F16" s="8">
        <f>D16*(1+E16)</f>
        <v/>
      </c>
      <c r="G16" s="8">
        <f>'Haberlesme'!$J$544</f>
        <v/>
      </c>
      <c r="H16" s="8">
        <f>Teklifler!F14</f>
        <v/>
      </c>
      <c r="I16" s="7" t="inlineStr">
        <is>
          <t>Referans kalem bazlı</t>
        </is>
      </c>
      <c r="J16" s="7" t="inlineStr">
        <is>
          <t>ON Elektronik (saat+YBS) ve Teknomaks (CCTV) teklifleri ekte/bekleniyor</t>
        </is>
      </c>
      <c r="K16" s="8">
        <f>'Haberlesme'!$J$548</f>
        <v/>
      </c>
      <c r="L16" s="8">
        <f>'Haberlesme'!$J$549</f>
        <v/>
      </c>
      <c r="M16" s="8">
        <f>'Haberlesme'!$J$550</f>
        <v/>
      </c>
      <c r="O16" s="22" t="inlineStr">
        <is>
          <t>3 ASANSÖR</t>
        </is>
      </c>
      <c r="P16" s="23">
        <f>SUMIF($A$15:$A$21,$O16,K$15:K$21)</f>
        <v/>
      </c>
      <c r="Q16" s="23">
        <f>SUMIF($A$15:$A$21,$O16,L$15:L$21)</f>
        <v/>
      </c>
      <c r="R16" s="23">
        <f>SUMIF($A$15:$A$21,$O16,M$15:M$21)</f>
        <v/>
      </c>
    </row>
    <row r="17">
      <c r="A17" s="7" t="inlineStr">
        <is>
          <t>2 MEKANİK</t>
        </is>
      </c>
      <c r="B17" s="7" t="inlineStr">
        <is>
          <t>Isıtma-soğutma, havalandırma, yangın söndürme, drenaj, sıhhi tesisat, basınçlı hava</t>
        </is>
      </c>
      <c r="C17" s="7" t="inlineStr">
        <is>
          <t>159–168, 343–363</t>
        </is>
      </c>
      <c r="D17" s="8">
        <f>'Mekanik'!$J$321</f>
        <v/>
      </c>
      <c r="E17" s="9">
        <f>Varsayimlar!$B$18</f>
        <v/>
      </c>
      <c r="F17" s="8">
        <f>D17*(1+E17)</f>
        <v/>
      </c>
      <c r="G17" s="8">
        <f>'Mekanik'!$J$322</f>
        <v/>
      </c>
      <c r="H17" s="8" t="n"/>
      <c r="I17" s="7" t="inlineStr"/>
      <c r="J17" s="7" t="inlineStr">
        <is>
          <t>Asansör hariç (ayrı disiplin)</t>
        </is>
      </c>
      <c r="K17" s="8">
        <f>'Mekanik'!$J$326</f>
        <v/>
      </c>
      <c r="L17" s="8">
        <f>'Mekanik'!$J$327</f>
        <v/>
      </c>
      <c r="M17" s="8">
        <f>'Mekanik'!$J$328</f>
        <v/>
      </c>
      <c r="O17" s="22" t="inlineStr">
        <is>
          <t>4 SİNYALİZASYON</t>
        </is>
      </c>
      <c r="P17" s="23">
        <f>SUMIF($A$15:$A$21,$O17,K$15:K$21)</f>
        <v/>
      </c>
      <c r="Q17" s="23">
        <f>SUMIF($A$15:$A$21,$O17,L$15:L$21)</f>
        <v/>
      </c>
      <c r="R17" s="23">
        <f>SUMIF($A$15:$A$21,$O17,M$15:M$21)</f>
        <v/>
      </c>
    </row>
    <row r="18">
      <c r="A18" s="7" t="inlineStr">
        <is>
          <t>3 ASANSÖR</t>
        </is>
      </c>
      <c r="B18" s="7" t="inlineStr">
        <is>
          <t>13 asansör (12 üst geçit 1000 kg + 1 idari bina 800 kg)</t>
        </is>
      </c>
      <c r="C18" s="7" t="inlineStr">
        <is>
          <t>364–365</t>
        </is>
      </c>
      <c r="D18" s="8">
        <f>'Asansor'!$J$13</f>
        <v/>
      </c>
      <c r="E18" s="9">
        <f>Varsayimlar!$B$14</f>
        <v/>
      </c>
      <c r="F18" s="8">
        <f>D18*(1+E18)</f>
        <v/>
      </c>
      <c r="G18" s="8">
        <f>'Asansor'!$J$14</f>
        <v/>
      </c>
      <c r="H18" s="8">
        <f>MIN(Teklifler!F4:F6)</f>
        <v/>
      </c>
      <c r="I18" s="7" t="inlineStr">
        <is>
          <t>En düşük teklif (Emlift, sapmalı)</t>
        </is>
      </c>
      <c r="J18" s="7" t="inlineStr">
        <is>
          <t>3 teklifin medyanı (Schindler 480.000 USD, TK 414.200 EUR, Emlift 19,5 M TL); bakım hariç</t>
        </is>
      </c>
      <c r="K18" s="8">
        <f>'Asansor'!$J$18</f>
        <v/>
      </c>
      <c r="L18" s="8">
        <f>'Asansor'!$J$19</f>
        <v/>
      </c>
      <c r="M18" s="8">
        <f>'Asansor'!$J$20</f>
        <v/>
      </c>
      <c r="O18" s="22" t="inlineStr">
        <is>
          <t>5 ELEKTRİFİKASYON</t>
        </is>
      </c>
      <c r="P18" s="23">
        <f>SUMIF($A$15:$A$21,$O18,K$15:K$21)</f>
        <v/>
      </c>
      <c r="Q18" s="23">
        <f>SUMIF($A$15:$A$21,$O18,L$15:L$21)</f>
        <v/>
      </c>
      <c r="R18" s="23">
        <f>SUMIF($A$15:$A$21,$O18,M$15:M$21)</f>
        <v/>
      </c>
    </row>
    <row r="19">
      <c r="A19" s="7" t="inlineStr">
        <is>
          <t>4 SİNYALİZASYON</t>
        </is>
      </c>
      <c r="B19" s="7" t="inlineStr">
        <is>
          <t>Hat boyu + depo sinyalizasyon, araç üstü, merkez, araç takip (AVLS)</t>
        </is>
      </c>
      <c r="C19" s="7" t="inlineStr">
        <is>
          <t>228–235</t>
        </is>
      </c>
      <c r="D19" s="8">
        <f>'Sinyal'!$J$95</f>
        <v/>
      </c>
      <c r="E19" s="9">
        <f>Varsayimlar!$B$15</f>
        <v/>
      </c>
      <c r="F19" s="8">
        <f>D19*(1+E19)</f>
        <v/>
      </c>
      <c r="G19" s="8">
        <f>'Sinyal'!$J$96</f>
        <v/>
      </c>
      <c r="H19" s="8">
        <f>Teklifler!F8</f>
        <v/>
      </c>
      <c r="I19" s="7" t="inlineStr">
        <is>
          <t>Sistem bazlı ref. (makas başı)</t>
        </is>
      </c>
      <c r="J19" s="7" t="inlineStr">
        <is>
          <t>AVLS 233–235 Mukan Rail teklifiyle; Point Link 7,28 M€ kıyas dışı (Gmail'de bulunamadı)</t>
        </is>
      </c>
      <c r="K19" s="8">
        <f>'Sinyal'!$J$100</f>
        <v/>
      </c>
      <c r="L19" s="8">
        <f>'Sinyal'!$J$101</f>
        <v/>
      </c>
      <c r="M19" s="8">
        <f>'Sinyal'!$J$102</f>
        <v/>
      </c>
    </row>
    <row r="20">
      <c r="A20" s="7" t="inlineStr">
        <is>
          <t>5 ELEKTRİFİKASYON</t>
        </is>
      </c>
      <c r="B20" s="7" t="inlineStr">
        <is>
          <t>Güç temini ve cer gücü (OG ring, TEİAŞ bağlantısı, 34,5 kV hücreler, 5 cer TM, kaçak akım)</t>
        </is>
      </c>
      <c r="C20" s="7" t="inlineStr">
        <is>
          <t>169–179, 187–189, 197, 200–210, 219, 227</t>
        </is>
      </c>
      <c r="D20" s="8">
        <f>'Cer_Guc'!$J$125</f>
        <v/>
      </c>
      <c r="E20" s="9">
        <f>Varsayimlar!$B$17</f>
        <v/>
      </c>
      <c r="F20" s="8">
        <f>D20*(1+E20)</f>
        <v/>
      </c>
      <c r="G20" s="8">
        <f>'Cer_Guc'!$J$126</f>
        <v/>
      </c>
      <c r="H20" s="8">
        <f>Teklifler!F12</f>
        <v/>
      </c>
      <c r="I20" s="7" t="inlineStr">
        <is>
          <t>Sistem bazlı ref. (5 TM; yalnız OG+trafo+DC)</t>
        </is>
      </c>
      <c r="J20" s="7" t="inlineStr"/>
      <c r="K20" s="8">
        <f>'Cer_Guc'!$J$130</f>
        <v/>
      </c>
      <c r="L20" s="8">
        <f>'Cer_Guc'!$J$131</f>
        <v/>
      </c>
      <c r="M20" s="8">
        <f>'Cer_Guc'!$J$132</f>
        <v/>
      </c>
    </row>
    <row r="21">
      <c r="A21" s="7" t="inlineStr">
        <is>
          <t>5 ELEKTRİFİKASYON</t>
        </is>
      </c>
      <c r="B21" s="7" t="inlineStr">
        <is>
          <t>Katener (hat boyu, depo, direkler)</t>
        </is>
      </c>
      <c r="C21" s="7" t="inlineStr">
        <is>
          <t>220–226</t>
        </is>
      </c>
      <c r="D21" s="8">
        <f>'Katener'!$J$96</f>
        <v/>
      </c>
      <c r="E21" s="9">
        <f>Varsayimlar!$B$16</f>
        <v/>
      </c>
      <c r="F21" s="8">
        <f>D21*(1+E21)</f>
        <v/>
      </c>
      <c r="G21" s="8">
        <f>'Katener'!$J$97</f>
        <v/>
      </c>
      <c r="H21" s="8">
        <f>Teklifler!F10</f>
        <v/>
      </c>
      <c r="I21" s="7" t="inlineStr">
        <is>
          <t>Sistem bazlı ref. (km başı)</t>
        </is>
      </c>
      <c r="J21" s="7" t="inlineStr">
        <is>
          <t>Direk temelleri inşaatta; ana hatta lente yok</t>
        </is>
      </c>
      <c r="K21" s="8">
        <f>'Katener'!$J$101</f>
        <v/>
      </c>
      <c r="L21" s="8">
        <f>'Katener'!$J$102</f>
        <v/>
      </c>
      <c r="M21" s="8">
        <f>'Katener'!$J$103</f>
        <v/>
      </c>
    </row>
    <row r="22"/>
    <row r="23" ht="20" customHeight="1">
      <c r="A23" s="24" t="inlineStr">
        <is>
          <t>▶ KAPSAM DIŞI KALEMLER – İdare cevaplarıyla (05.10.2026) bütçeden düşülen kalemlerin RFQ'daki değeri</t>
        </is>
      </c>
      <c r="B23" s="25" t="n"/>
      <c r="C23" s="25" t="n"/>
      <c r="D23" s="25" t="n"/>
      <c r="E23" s="25" t="n"/>
      <c r="F23" s="25" t="n"/>
      <c r="G23" s="25" t="n"/>
      <c r="H23" s="25" t="n"/>
    </row>
    <row r="24">
      <c r="A24" s="26" t="inlineStr">
        <is>
          <t>Disiplin sayfası</t>
        </is>
      </c>
      <c r="B24" s="26" t="inlineStr">
        <is>
          <t>Düşülen başlıca kalemler</t>
        </is>
      </c>
      <c r="C24" s="26" t="inlineStr"/>
      <c r="D24" s="26" t="inlineStr"/>
      <c r="E24" s="26" t="inlineStr">
        <is>
          <t>RFQ birim fiyatlarıyla değer €</t>
        </is>
      </c>
    </row>
    <row r="25" ht="30" customHeight="1">
      <c r="A25" s="27" t="inlineStr">
        <is>
          <t>Sinyal</t>
        </is>
      </c>
      <c r="B25" s="7" t="inlineStr">
        <is>
          <t>Kavşak TSKP, trafik lambaları/direkleri/kabloları; manuel makas mekanizmaları; mevcut depo kontrol merkezi entegrasyonu</t>
        </is>
      </c>
      <c r="C25" s="27" t="n"/>
      <c r="D25" s="27" t="n"/>
      <c r="E25" s="28">
        <f>'Sinyal'!$J$103</f>
        <v/>
      </c>
    </row>
    <row r="26" ht="30" customHeight="1">
      <c r="A26" s="27" t="inlineStr">
        <is>
          <t>Katener</t>
        </is>
      </c>
      <c r="B26" s="7" t="inlineStr">
        <is>
          <t>Ana hat ankraj lentesi + 68 lente temeli; depo direkleri ve temelleri (cetvel direk kalemleriyle çift sayım)</t>
        </is>
      </c>
      <c r="C26" s="27" t="n"/>
      <c r="D26" s="27" t="n"/>
      <c r="E26" s="28">
        <f>'Katener'!$J$104</f>
        <v/>
      </c>
    </row>
    <row r="27" ht="30" customHeight="1">
      <c r="A27" s="27" t="inlineStr">
        <is>
          <t>Mekanik</t>
        </is>
      </c>
      <c r="B27" s="7" t="inlineStr">
        <is>
          <t>Güvenlik kabini splitleri (sıra 143 modüler kabin fiyatında)</t>
        </is>
      </c>
      <c r="C27" s="27" t="n"/>
      <c r="D27" s="27" t="n"/>
      <c r="E27" s="28">
        <f>'Mekanik'!$J$329</f>
        <v/>
      </c>
    </row>
    <row r="28" ht="30" customHeight="1">
      <c r="A28" s="27" t="inlineStr">
        <is>
          <t>Elektrik_AG</t>
        </is>
      </c>
      <c r="B28" s="7" t="inlineStr">
        <is>
          <t>Kavşak TSKP beslemeleri</t>
        </is>
      </c>
      <c r="C28" s="27" t="n"/>
      <c r="D28" s="27" t="n"/>
      <c r="E28" s="28">
        <f>'Elektrik_AG'!$J$683</f>
        <v/>
      </c>
    </row>
    <row r="29" ht="30" customHeight="1">
      <c r="A29" s="27" t="inlineStr">
        <is>
          <t>Haberlesme</t>
        </is>
      </c>
      <c r="B29" s="7" t="inlineStr">
        <is>
          <t>Mevcut sistem entegrasyonları (mevcut sistem yok)</t>
        </is>
      </c>
      <c r="C29" s="27" t="n"/>
      <c r="D29" s="27" t="n"/>
      <c r="E29" s="28">
        <f>'Haberlesme'!$J$551</f>
        <v/>
      </c>
    </row>
    <row r="30">
      <c r="A30" s="19" t="inlineStr">
        <is>
          <t>Toplam düşülen</t>
        </is>
      </c>
      <c r="E30" s="29">
        <f>SUM(E25:E29)</f>
        <v/>
      </c>
    </row>
    <row r="31" ht="28" customHeight="1">
      <c r="A31" s="2" t="inlineStr">
        <is>
          <t>Ayrıca RFQ'daki bilinçli metraj payları (%10 fire, dağıtık malzemede %30) bütçeden geri alınmıştır; etkisi: 'RFQ cetvel miktarlarıyla' sütunu − 'Kalem bazlı bütçe'.</t>
        </is>
      </c>
    </row>
    <row r="32"/>
    <row r="33" ht="20" customHeight="1">
      <c r="A33" s="24" t="inlineStr">
        <is>
          <t>▶ KAPSAM DIŞI EKİPMANLAR – Yüklenici kapsamındaki depo ekipmanları (MEP paketlerinde yok) – bilgi amaçlı tahmini bütçe</t>
        </is>
      </c>
      <c r="B33" s="25" t="n"/>
      <c r="C33" s="25" t="n"/>
      <c r="D33" s="25" t="n"/>
      <c r="E33" s="25" t="n"/>
      <c r="F33" s="25" t="n"/>
      <c r="G33" s="25" t="n"/>
      <c r="H33" s="25" t="n"/>
    </row>
    <row r="34">
      <c r="A34" s="26" t="inlineStr">
        <is>
          <t>Ekipman</t>
        </is>
      </c>
      <c r="B34" s="26" t="inlineStr">
        <is>
          <t>Açıklama</t>
        </is>
      </c>
      <c r="C34" s="26" t="inlineStr">
        <is>
          <t>Miktar</t>
        </is>
      </c>
      <c r="D34" s="26" t="inlineStr">
        <is>
          <t>Birim fiyat €</t>
        </is>
      </c>
      <c r="E34" s="26" t="inlineStr">
        <is>
          <t>Tutar €</t>
        </is>
      </c>
      <c r="F34" s="26" t="inlineStr">
        <is>
          <t>Fiyat türü</t>
        </is>
      </c>
    </row>
    <row r="35">
      <c r="A35" s="7" t="inlineStr">
        <is>
          <t>Köprülü vinç 7,5 t</t>
        </is>
      </c>
      <c r="B35" s="7" t="inlineStr">
        <is>
          <t>Atölye, ~20 m açıklık, ray+yürüyüş yolu, montaj dahil</t>
        </is>
      </c>
      <c r="C35" s="7" t="n">
        <v>1</v>
      </c>
      <c r="D35" s="8" t="n">
        <v>55000</v>
      </c>
      <c r="E35" s="8">
        <f>C35*D35</f>
        <v/>
      </c>
      <c r="F35" s="30" t="inlineStr">
        <is>
          <t>PİYASA TAHMİNİ (veritabanında emsal yok)</t>
        </is>
      </c>
    </row>
    <row r="36">
      <c r="A36" s="7" t="inlineStr">
        <is>
          <t>Köprülü vinç 1 t</t>
        </is>
      </c>
      <c r="B36" s="7" t="inlineStr">
        <is>
          <t>Atölye yardımcı vinç / monoray</t>
        </is>
      </c>
      <c r="C36" s="7" t="n">
        <v>1</v>
      </c>
      <c r="D36" s="8" t="n">
        <v>15000</v>
      </c>
      <c r="E36" s="8">
        <f>C36*D36</f>
        <v/>
      </c>
      <c r="F36" s="30" t="inlineStr">
        <is>
          <t>PİYASA TAHMİNİ (veritabanında emsal yok)</t>
        </is>
      </c>
    </row>
    <row r="37">
      <c r="A37" s="7" t="inlineStr">
        <is>
          <t>Araç kaldırma lifti 11 t</t>
        </is>
      </c>
      <c r="B37" s="7" t="inlineStr">
        <is>
          <t>Senkron kolon lift (10 + 2 yedek), kumanda dahil</t>
        </is>
      </c>
      <c r="C37" s="7" t="n">
        <v>12</v>
      </c>
      <c r="D37" s="8" t="n">
        <v>16000</v>
      </c>
      <c r="E37" s="8">
        <f>C37*D37</f>
        <v/>
      </c>
      <c r="F37" s="30" t="inlineStr">
        <is>
          <t>PİYASA TAHMİNİ (veritabanında emsal yok)</t>
        </is>
      </c>
    </row>
    <row r="38">
      <c r="A38" s="7" t="inlineStr">
        <is>
          <t>Katener bakım aracı</t>
        </is>
      </c>
      <c r="B38" s="7" t="inlineStr">
        <is>
          <t>Karayolu-demiryolu, kaldırma platformlu, ölçüm donanımlı</t>
        </is>
      </c>
      <c r="C38" s="7" t="n">
        <v>1</v>
      </c>
      <c r="D38" s="8" t="n">
        <v>650000</v>
      </c>
      <c r="E38" s="8">
        <f>C38*D38</f>
        <v/>
      </c>
      <c r="F38" s="30" t="inlineStr">
        <is>
          <t>PİYASA TAHMİNİ (veritabanında emsal yok)</t>
        </is>
      </c>
    </row>
    <row r="39">
      <c r="A39" s="7" t="inlineStr">
        <is>
          <t>Manevra aracı (shunter)</t>
        </is>
      </c>
      <c r="B39" s="7" t="inlineStr">
        <is>
          <t>Karayolu-demiryolu tip, tramvay çekebilir</t>
        </is>
      </c>
      <c r="C39" s="7" t="n">
        <v>1</v>
      </c>
      <c r="D39" s="8" t="n">
        <v>400000</v>
      </c>
      <c r="E39" s="8">
        <f>C39*D39</f>
        <v/>
      </c>
      <c r="F39" s="30" t="inlineStr">
        <is>
          <t>PİYASA TAHMİNİ (veritabanında emsal yok)</t>
        </is>
      </c>
    </row>
    <row r="40">
      <c r="A40" s="19" t="inlineStr">
        <is>
          <t>Toplam (bilgi)</t>
        </is>
      </c>
      <c r="E40" s="29">
        <f>SUM(E35:E39)</f>
        <v/>
      </c>
    </row>
    <row r="41" ht="28" customHeight="1">
      <c r="A41" s="2" t="inlineStr">
        <is>
          <t>İdare cevabı: depo ekipmanları (1 t + 7,5 t köprülü vinç, 12 × 11 t lift, katener bakım aracı, shunter vb.) yüklenici kapsamındadır; MEP teklif paketlerine dahil edilmemiştir. Rakamlar teklif alınana kadar mertebe göstergesidir.</t>
        </is>
      </c>
    </row>
    <row r="42"/>
    <row r="43" ht="20" customHeight="1">
      <c r="A43" s="24" t="inlineStr">
        <is>
          <t>▶ İHALE GENELİ – MEP DIŞI GELEN TEKLİF: RAYBA YAPI (demiryolu üstyapı) – MEP toplamına dahil değil</t>
        </is>
      </c>
      <c r="B43" s="25" t="n"/>
      <c r="C43" s="25" t="n"/>
      <c r="D43" s="25" t="n"/>
      <c r="E43" s="25" t="n"/>
      <c r="F43" s="25" t="n"/>
      <c r="G43" s="25" t="n"/>
      <c r="H43" s="25" t="n"/>
    </row>
    <row r="44">
      <c r="A44" s="26" t="inlineStr">
        <is>
          <t>Firma</t>
        </is>
      </c>
      <c r="B44" s="26" t="inlineStr">
        <is>
          <t>Teklif</t>
        </is>
      </c>
      <c r="C44" s="26" t="inlineStr"/>
      <c r="D44" s="26" t="inlineStr"/>
      <c r="E44" s="26" t="inlineStr">
        <is>
          <t>EUR</t>
        </is>
      </c>
      <c r="F44" s="26" t="inlineStr">
        <is>
          <t>USD</t>
        </is>
      </c>
      <c r="G44" s="26" t="inlineStr">
        <is>
          <t>TL</t>
        </is>
      </c>
    </row>
    <row r="45">
      <c r="A45" s="27" t="inlineStr">
        <is>
          <t>Rayba Yapı</t>
        </is>
      </c>
      <c r="B45" s="27" t="inlineStr">
        <is>
          <t>Demiryolu işleri (kauçuk esaslı bağlantılı doğrudan tespitli hat)</t>
        </is>
      </c>
      <c r="C45" s="27" t="n"/>
      <c r="D45" s="27" t="n"/>
      <c r="E45" s="31">
        <f>'Ihale_Geneli_Bilgi'!$J$22</f>
        <v/>
      </c>
      <c r="F45" s="31">
        <f>E45*Varsayimlar!$B$4</f>
        <v/>
      </c>
      <c r="G45" s="31">
        <f>E45*Varsayimlar!$B$5</f>
        <v/>
      </c>
    </row>
    <row r="46">
      <c r="A46" s="27" t="inlineStr">
        <is>
          <t>Rayba Yapı</t>
        </is>
      </c>
      <c r="B46" s="27" t="inlineStr">
        <is>
          <t>S-LINE kauçuk ray bağlantı sistemi (malzeme)</t>
        </is>
      </c>
      <c r="C46" s="27" t="n"/>
      <c r="D46" s="27" t="n"/>
      <c r="E46" s="31">
        <f>'Ihale_Geneli_Bilgi'!$J$23</f>
        <v/>
      </c>
      <c r="F46" s="31">
        <f>E46*Varsayimlar!$B$4</f>
        <v/>
      </c>
      <c r="G46" s="31">
        <f>E46*Varsayimlar!$B$5</f>
        <v/>
      </c>
    </row>
    <row r="47" ht="30" customHeight="1">
      <c r="A47" s="2" t="inlineStr">
        <is>
          <t>Rayba teklifi 42×R50 + 2×R100 makas + 3 kruvazman (= 56 makas) ile sinyal/katener makas kabulünü teyit ediyor. S-LINE kapsülleri hat döşeme fiyatında olabilir – çift sayım kontrolü; beton/donatı hariç. Ayrıntı: Ihale_Geneli_Bilgi.</t>
        </is>
      </c>
    </row>
    <row r="48"/>
    <row r="49"/>
    <row r="50">
      <c r="A50" s="20" t="inlineStr">
        <is>
          <t>CETVEL SIRASI BAZINDA DÖKÜM (risk payı hariç, EUR)</t>
        </is>
      </c>
    </row>
    <row r="51">
      <c r="A51" s="32" t="inlineStr">
        <is>
          <t>Disiplin</t>
        </is>
      </c>
      <c r="B51" s="32" t="inlineStr">
        <is>
          <t>Sıra</t>
        </is>
      </c>
      <c r="C51" s="32" t="inlineStr">
        <is>
          <t>Kalem</t>
        </is>
      </c>
      <c r="D51" s="32" t="inlineStr">
        <is>
          <t>Tutar EUR</t>
        </is>
      </c>
    </row>
    <row r="52">
      <c r="A52" s="27" t="inlineStr">
        <is>
          <t>1 Elektrik – AG/aydınlatma/yangın</t>
        </is>
      </c>
      <c r="B52" s="27" t="inlineStr">
        <is>
          <t>180</t>
        </is>
      </c>
      <c r="C52" s="27" t="inlineStr">
        <is>
          <t>Göbekli Tepe İstasyonu Ag Ana Dağıtım Panoları (400 V) (1 set)</t>
        </is>
      </c>
      <c r="D52" s="28">
        <f>'Elektrik_AG'!J5</f>
        <v/>
      </c>
    </row>
    <row r="53">
      <c r="A53" s="27" t="inlineStr">
        <is>
          <t>1 Elektrik – AG/aydınlatma/yangın</t>
        </is>
      </c>
      <c r="B53" s="27" t="inlineStr">
        <is>
          <t>181</t>
        </is>
      </c>
      <c r="C53" s="27" t="inlineStr">
        <is>
          <t>Hızmalı Köprüsü İstasyonu Ag Ana Dağıtım Panoları (400 V) (1 set)</t>
        </is>
      </c>
      <c r="D53" s="28">
        <f>'Elektrik_AG'!J14</f>
        <v/>
      </c>
    </row>
    <row r="54">
      <c r="A54" s="27" t="inlineStr">
        <is>
          <t>1 Elektrik – AG/aydınlatma/yangın</t>
        </is>
      </c>
      <c r="B54" s="27" t="inlineStr">
        <is>
          <t>182</t>
        </is>
      </c>
      <c r="C54" s="27" t="inlineStr">
        <is>
          <t>Balıklıgöl İstasyonu Ag Ana Dağıtım Panoları (400 V) (1 set)</t>
        </is>
      </c>
      <c r="D54" s="28">
        <f>'Elektrik_AG'!J22</f>
        <v/>
      </c>
    </row>
    <row r="55">
      <c r="A55" s="27" t="inlineStr">
        <is>
          <t>1 Elektrik – AG/aydınlatma/yangın</t>
        </is>
      </c>
      <c r="B55" s="27" t="inlineStr">
        <is>
          <t>183</t>
        </is>
      </c>
      <c r="C55" s="27" t="inlineStr">
        <is>
          <t>Eyüp Peygamber İstasyonu Ag Ana Dağıtım Panoları (400 V) (1 set)</t>
        </is>
      </c>
      <c r="D55" s="28">
        <f>'Elektrik_AG'!J30</f>
        <v/>
      </c>
    </row>
    <row r="56">
      <c r="A56" s="27" t="inlineStr">
        <is>
          <t>1 Elektrik – AG/aydınlatma/yangın</t>
        </is>
      </c>
      <c r="B56" s="27" t="inlineStr">
        <is>
          <t>184</t>
        </is>
      </c>
      <c r="C56" s="27" t="inlineStr">
        <is>
          <t>Rasathane İstasyonu Ag Ana Dağıtım Panoları (400 V) (1 set)</t>
        </is>
      </c>
      <c r="D56" s="28">
        <f>'Elektrik_AG'!J38</f>
        <v/>
      </c>
    </row>
    <row r="57">
      <c r="A57" s="27" t="inlineStr">
        <is>
          <t>1 Elektrik – AG/aydınlatma/yangın</t>
        </is>
      </c>
      <c r="B57" s="27" t="inlineStr">
        <is>
          <t>185</t>
        </is>
      </c>
      <c r="C57" s="27" t="inlineStr">
        <is>
          <t>Harran İstasyonu Ag Ana Dağıtım Panoları (400 V) (1 set)</t>
        </is>
      </c>
      <c r="D57" s="28">
        <f>'Elektrik_AG'!J46</f>
        <v/>
      </c>
    </row>
    <row r="58">
      <c r="A58" s="27" t="inlineStr">
        <is>
          <t>1 Elektrik – AG/aydınlatma/yangın</t>
        </is>
      </c>
      <c r="B58" s="27" t="inlineStr">
        <is>
          <t>186</t>
        </is>
      </c>
      <c r="C58" s="27" t="inlineStr">
        <is>
          <t>Depo Sahası ve Tesisleri Ag Ana Dağıtım Panoları (400 V) (1 set)</t>
        </is>
      </c>
      <c r="D58" s="28">
        <f>'Elektrik_AG'!J54</f>
        <v/>
      </c>
    </row>
    <row r="59">
      <c r="A59" s="27" t="inlineStr">
        <is>
          <t>1 Elektrik – AG/aydınlatma/yangın</t>
        </is>
      </c>
      <c r="B59" s="27" t="inlineStr">
        <is>
          <t>190</t>
        </is>
      </c>
      <c r="C59" s="27" t="inlineStr">
        <is>
          <t>Göbekli Tepe İstasyonu Topraklama Tesisatı (1 set)</t>
        </is>
      </c>
      <c r="D59" s="28">
        <f>'Elektrik_AG'!J71</f>
        <v/>
      </c>
    </row>
    <row r="60">
      <c r="A60" s="27" t="inlineStr">
        <is>
          <t>1 Elektrik – AG/aydınlatma/yangın</t>
        </is>
      </c>
      <c r="B60" s="27" t="inlineStr">
        <is>
          <t>191</t>
        </is>
      </c>
      <c r="C60" s="27" t="inlineStr">
        <is>
          <t>Hızmalı Köprüsü İstasyonu Topraklama Tesisatı (1 set)</t>
        </is>
      </c>
      <c r="D60" s="28">
        <f>'Elektrik_AG'!J80</f>
        <v/>
      </c>
    </row>
    <row r="61">
      <c r="A61" s="27" t="inlineStr">
        <is>
          <t>1 Elektrik – AG/aydınlatma/yangın</t>
        </is>
      </c>
      <c r="B61" s="27" t="inlineStr">
        <is>
          <t>192</t>
        </is>
      </c>
      <c r="C61" s="27" t="inlineStr">
        <is>
          <t>Balıklıgöl İstasyonu Topraklama Tesisatı (1 set)</t>
        </is>
      </c>
      <c r="D61" s="28">
        <f>'Elektrik_AG'!J89</f>
        <v/>
      </c>
    </row>
    <row r="62">
      <c r="A62" s="27" t="inlineStr">
        <is>
          <t>1 Elektrik – AG/aydınlatma/yangın</t>
        </is>
      </c>
      <c r="B62" s="27" t="inlineStr">
        <is>
          <t>193</t>
        </is>
      </c>
      <c r="C62" s="27" t="inlineStr">
        <is>
          <t>Eyüp Peygamber İstasyonu Topraklama Tesisatı (1 set)</t>
        </is>
      </c>
      <c r="D62" s="28">
        <f>'Elektrik_AG'!J98</f>
        <v/>
      </c>
    </row>
    <row r="63">
      <c r="A63" s="27" t="inlineStr">
        <is>
          <t>1 Elektrik – AG/aydınlatma/yangın</t>
        </is>
      </c>
      <c r="B63" s="27" t="inlineStr">
        <is>
          <t>194</t>
        </is>
      </c>
      <c r="C63" s="27" t="inlineStr">
        <is>
          <t>Rasathane İstasyonu Topraklama Tesisatı (1 set)</t>
        </is>
      </c>
      <c r="D63" s="28">
        <f>'Elektrik_AG'!J107</f>
        <v/>
      </c>
    </row>
    <row r="64">
      <c r="A64" s="27" t="inlineStr">
        <is>
          <t>1 Elektrik – AG/aydınlatma/yangın</t>
        </is>
      </c>
      <c r="B64" s="27" t="inlineStr">
        <is>
          <t>195</t>
        </is>
      </c>
      <c r="C64" s="27" t="inlineStr">
        <is>
          <t>Depo Sahası ve Topraklama Tesisatı (1 set)</t>
        </is>
      </c>
      <c r="D64" s="28">
        <f>'Elektrik_AG'!J116</f>
        <v/>
      </c>
    </row>
    <row r="65">
      <c r="A65" s="27" t="inlineStr">
        <is>
          <t>1 Elektrik – AG/aydınlatma/yangın</t>
        </is>
      </c>
      <c r="B65" s="27" t="inlineStr">
        <is>
          <t>196</t>
        </is>
      </c>
      <c r="C65" s="27" t="inlineStr">
        <is>
          <t>Harran İstasyonu Topraklama Tesisatı (1 set)</t>
        </is>
      </c>
      <c r="D65" s="28">
        <f>'Elektrik_AG'!J134</f>
        <v/>
      </c>
    </row>
    <row r="66">
      <c r="A66" s="27" t="inlineStr">
        <is>
          <t>1 Elektrik – AG/aydınlatma/yangın</t>
        </is>
      </c>
      <c r="B66" s="27" t="inlineStr">
        <is>
          <t>198</t>
        </is>
      </c>
      <c r="C66" s="27" t="inlineStr">
        <is>
          <t>Sanat Yapıları (Üst Geçit) Topraklama Tesisatı (4 set)</t>
        </is>
      </c>
      <c r="D66" s="28">
        <f>'Elektrik_AG'!J143</f>
        <v/>
      </c>
    </row>
    <row r="67">
      <c r="A67" s="27" t="inlineStr">
        <is>
          <t>1 Elektrik – AG/aydınlatma/yangın</t>
        </is>
      </c>
      <c r="B67" s="27" t="inlineStr">
        <is>
          <t>199</t>
        </is>
      </c>
      <c r="C67" s="27" t="inlineStr">
        <is>
          <t>Hat Boyu Topraklama Tesisatı (1 set)</t>
        </is>
      </c>
      <c r="D67" s="28">
        <f>'Elektrik_AG'!J151</f>
        <v/>
      </c>
    </row>
    <row r="68">
      <c r="A68" s="27" t="inlineStr">
        <is>
          <t>1 Elektrik – AG/aydınlatma/yangın</t>
        </is>
      </c>
      <c r="B68" s="27" t="inlineStr">
        <is>
          <t>211</t>
        </is>
      </c>
      <c r="C68" s="27" t="inlineStr">
        <is>
          <t>Göbekli Tepe İstasyonu Alçak Gerilim Besleme-Dağıtım Kabloları ve Kablo Taşıma Sistemleri (1 set)</t>
        </is>
      </c>
      <c r="D68" s="28">
        <f>'Elektrik_AG'!J159</f>
        <v/>
      </c>
    </row>
    <row r="69">
      <c r="A69" s="27" t="inlineStr">
        <is>
          <t>1 Elektrik – AG/aydınlatma/yangın</t>
        </is>
      </c>
      <c r="B69" s="27" t="inlineStr">
        <is>
          <t>212</t>
        </is>
      </c>
      <c r="C69" s="27" t="inlineStr">
        <is>
          <t>Hızmalı Köprüsü İstasyonu Alçak Gerilim Besleme-Dağıtım Kabloları ve Kablo Taşıma Sistemleri (1 set)</t>
        </is>
      </c>
      <c r="D69" s="28">
        <f>'Elektrik_AG'!J169</f>
        <v/>
      </c>
    </row>
    <row r="70">
      <c r="A70" s="27" t="inlineStr">
        <is>
          <t>1 Elektrik – AG/aydınlatma/yangın</t>
        </is>
      </c>
      <c r="B70" s="27" t="inlineStr">
        <is>
          <t>213</t>
        </is>
      </c>
      <c r="C70" s="27" t="inlineStr">
        <is>
          <t>Balıklıgöl İstasyonu Alçak Gerilim Besleme-Dağıtım Kabloları ve Kablo Taşıma Sistemleri (1 set)</t>
        </is>
      </c>
      <c r="D70" s="28">
        <f>'Elektrik_AG'!J182</f>
        <v/>
      </c>
    </row>
    <row r="71">
      <c r="A71" s="27" t="inlineStr">
        <is>
          <t>1 Elektrik – AG/aydınlatma/yangın</t>
        </is>
      </c>
      <c r="B71" s="27" t="inlineStr">
        <is>
          <t>214</t>
        </is>
      </c>
      <c r="C71" s="27" t="inlineStr">
        <is>
          <t>Eyüp Peygamber İstasyonu Alçak Gerilim Besleme-Dağıtım Kabloları ve Kablo Taşıma Sistemleri (1 set)</t>
        </is>
      </c>
      <c r="D71" s="28">
        <f>'Elektrik_AG'!J195</f>
        <v/>
      </c>
    </row>
    <row r="72">
      <c r="A72" s="27" t="inlineStr">
        <is>
          <t>1 Elektrik – AG/aydınlatma/yangın</t>
        </is>
      </c>
      <c r="B72" s="27" t="inlineStr">
        <is>
          <t>215</t>
        </is>
      </c>
      <c r="C72" s="27" t="inlineStr">
        <is>
          <t>Rasathane İstasyonu Alçak Gerilim Besleme-Dağıtım Kabloları ve Kablo Taşıma Sistemleri (1 set)</t>
        </is>
      </c>
      <c r="D72" s="28">
        <f>'Elektrik_AG'!J208</f>
        <v/>
      </c>
    </row>
    <row r="73">
      <c r="A73" s="27" t="inlineStr">
        <is>
          <t>1 Elektrik – AG/aydınlatma/yangın</t>
        </is>
      </c>
      <c r="B73" s="27" t="inlineStr">
        <is>
          <t>216</t>
        </is>
      </c>
      <c r="C73" s="27" t="inlineStr">
        <is>
          <t>Depo Sahası ve Tesisleri Alçak Gerilim Besleme-Dağıtım Kabloları ve Kablo Taşıma Sistemleri (1 set)</t>
        </is>
      </c>
      <c r="D73" s="28">
        <f>'Elektrik_AG'!J221</f>
        <v/>
      </c>
    </row>
    <row r="74">
      <c r="A74" s="27" t="inlineStr">
        <is>
          <t>1 Elektrik – AG/aydınlatma/yangın</t>
        </is>
      </c>
      <c r="B74" s="27" t="inlineStr">
        <is>
          <t>217</t>
        </is>
      </c>
      <c r="C74" s="27" t="inlineStr">
        <is>
          <t>Harran İstasyonu Alçak Gerilim Besleme-Dağıtım Kabloları ve Kablo Taşıma Sistemleri (1 set)</t>
        </is>
      </c>
      <c r="D74" s="28">
        <f>'Elektrik_AG'!J254</f>
        <v/>
      </c>
    </row>
    <row r="75">
      <c r="A75" s="27" t="inlineStr">
        <is>
          <t>1 Elektrik – AG/aydınlatma/yangın</t>
        </is>
      </c>
      <c r="B75" s="27" t="inlineStr">
        <is>
          <t>218</t>
        </is>
      </c>
      <c r="C75" s="27" t="inlineStr">
        <is>
          <t>Hat Boyu Alçak Gerilim Besleme-Dağıtım Kabloları ve Kablo Taşıma Sistemleri (1 set)</t>
        </is>
      </c>
      <c r="D75" s="28">
        <f>'Elektrik_AG'!J264</f>
        <v/>
      </c>
    </row>
    <row r="76">
      <c r="A76" s="27" t="inlineStr">
        <is>
          <t>1 Elektrik – AG/aydınlatma/yangın</t>
        </is>
      </c>
      <c r="B76" s="27" t="inlineStr">
        <is>
          <t>322</t>
        </is>
      </c>
      <c r="C76" s="27" t="inlineStr">
        <is>
          <t>Alçak Gerilim Tesisatı ve Aydınlatma Sistemi Tasarımı (1 set)</t>
        </is>
      </c>
      <c r="D76" s="28">
        <f>'Elektrik_AG'!J276</f>
        <v/>
      </c>
    </row>
    <row r="77">
      <c r="A77" s="27" t="inlineStr">
        <is>
          <t>1 Elektrik – AG/aydınlatma/yangın</t>
        </is>
      </c>
      <c r="B77" s="27" t="inlineStr">
        <is>
          <t>323</t>
        </is>
      </c>
      <c r="C77" s="27" t="inlineStr">
        <is>
          <t>Göbekli Tepe İstasyonu Alçak Gerilim Tesisatı ve Aydınlatma Sistemi (1 set)</t>
        </is>
      </c>
      <c r="D77" s="28">
        <f>'Elektrik_AG'!J285</f>
        <v/>
      </c>
    </row>
    <row r="78">
      <c r="A78" s="27" t="inlineStr">
        <is>
          <t>1 Elektrik – AG/aydınlatma/yangın</t>
        </is>
      </c>
      <c r="B78" s="27" t="inlineStr">
        <is>
          <t>324</t>
        </is>
      </c>
      <c r="C78" s="27" t="inlineStr">
        <is>
          <t>Hızmalı Köprüsü İstasyonu Alçak Gerilim Tesisatı ve Aydınlatma Sistemi (1 set)</t>
        </is>
      </c>
      <c r="D78" s="28">
        <f>'Elektrik_AG'!J305</f>
        <v/>
      </c>
    </row>
    <row r="79">
      <c r="A79" s="27" t="inlineStr">
        <is>
          <t>1 Elektrik – AG/aydınlatma/yangın</t>
        </is>
      </c>
      <c r="B79" s="27" t="inlineStr">
        <is>
          <t>325</t>
        </is>
      </c>
      <c r="C79" s="27" t="inlineStr">
        <is>
          <t>Balıklıgöl İstasyonu Alçak Gerilim Tesisatı ve Aydınlatma Sistemi (1 set)</t>
        </is>
      </c>
      <c r="D79" s="28">
        <f>'Elektrik_AG'!J326</f>
        <v/>
      </c>
    </row>
    <row r="80">
      <c r="A80" s="27" t="inlineStr">
        <is>
          <t>1 Elektrik – AG/aydınlatma/yangın</t>
        </is>
      </c>
      <c r="B80" s="27" t="inlineStr">
        <is>
          <t>326</t>
        </is>
      </c>
      <c r="C80" s="27" t="inlineStr">
        <is>
          <t>Eyüp Peygamber İstasyonu Alçak Gerilim Tesisatı ve Aydınlatma Sistemi (1 set)</t>
        </is>
      </c>
      <c r="D80" s="28">
        <f>'Elektrik_AG'!J347</f>
        <v/>
      </c>
    </row>
    <row r="81">
      <c r="A81" s="27" t="inlineStr">
        <is>
          <t>1 Elektrik – AG/aydınlatma/yangın</t>
        </is>
      </c>
      <c r="B81" s="27" t="inlineStr">
        <is>
          <t>327</t>
        </is>
      </c>
      <c r="C81" s="27" t="inlineStr">
        <is>
          <t>Rasathane İstasyonu Alçak Gerilim Tesisatı ve Aydınlatma Sistemi (1 set)</t>
        </is>
      </c>
      <c r="D81" s="28">
        <f>'Elektrik_AG'!J368</f>
        <v/>
      </c>
    </row>
    <row r="82">
      <c r="A82" s="27" t="inlineStr">
        <is>
          <t>1 Elektrik – AG/aydınlatma/yangın</t>
        </is>
      </c>
      <c r="B82" s="27" t="inlineStr">
        <is>
          <t>328</t>
        </is>
      </c>
      <c r="C82" s="27" t="inlineStr">
        <is>
          <t>Harran İstasyonu Alçak Gerilim Tesisatı ve Aydınlatma Sistemi (1 set)</t>
        </is>
      </c>
      <c r="D82" s="28">
        <f>'Elektrik_AG'!J389</f>
        <v/>
      </c>
    </row>
    <row r="83">
      <c r="A83" s="27" t="inlineStr">
        <is>
          <t>1 Elektrik – AG/aydınlatma/yangın</t>
        </is>
      </c>
      <c r="B83" s="27" t="inlineStr">
        <is>
          <t>329</t>
        </is>
      </c>
      <c r="C83" s="27" t="inlineStr">
        <is>
          <t>Depo Sahası ve Tesisleri Alçak Gerilim Tesisatı ve Aydınlatma Sistemi (1 set)</t>
        </is>
      </c>
      <c r="D83" s="28">
        <f>'Elektrik_AG'!J409</f>
        <v/>
      </c>
    </row>
    <row r="84">
      <c r="A84" s="27" t="inlineStr">
        <is>
          <t>1 Elektrik – AG/aydınlatma/yangın</t>
        </is>
      </c>
      <c r="B84" s="27" t="inlineStr">
        <is>
          <t>330</t>
        </is>
      </c>
      <c r="C84" s="27" t="inlineStr">
        <is>
          <t>Depo Çevre AG Tesisatı ve Aydınlatma Sistemi (1 set)</t>
        </is>
      </c>
      <c r="D84" s="28">
        <f>'Elektrik_AG'!J480</f>
        <v/>
      </c>
    </row>
    <row r="85">
      <c r="A85" s="27" t="inlineStr">
        <is>
          <t>1 Elektrik – AG/aydınlatma/yangın</t>
        </is>
      </c>
      <c r="B85" s="27" t="inlineStr">
        <is>
          <t>331</t>
        </is>
      </c>
      <c r="C85" s="27" t="inlineStr">
        <is>
          <t>Hat Trafo Binaları Alçak Gerilim Tesisatı ve Aydınlatma Sistemi (4 set)</t>
        </is>
      </c>
      <c r="D85" s="28">
        <f>'Elektrik_AG'!J490</f>
        <v/>
      </c>
    </row>
    <row r="86">
      <c r="A86" s="27" t="inlineStr">
        <is>
          <t>1 Elektrik – AG/aydınlatma/yangın</t>
        </is>
      </c>
      <c r="B86" s="27" t="inlineStr">
        <is>
          <t>332</t>
        </is>
      </c>
      <c r="C86" s="27" t="inlineStr">
        <is>
          <t>Hatboyu Ag Tesisatı ve Aydınlatma Sistemi (1 set)</t>
        </is>
      </c>
      <c r="D86" s="28">
        <f>'Elektrik_AG'!J505</f>
        <v/>
      </c>
    </row>
    <row r="87">
      <c r="A87" s="27" t="inlineStr">
        <is>
          <t>1 Elektrik – AG/aydınlatma/yangın</t>
        </is>
      </c>
      <c r="B87" s="27" t="inlineStr">
        <is>
          <t>333</t>
        </is>
      </c>
      <c r="C87" s="27" t="inlineStr">
        <is>
          <t>Yangın İhbar ve Kontrol Sistemi Tasarımı (1 set)</t>
        </is>
      </c>
      <c r="D87" s="28">
        <f>'Elektrik_AG'!J518</f>
        <v/>
      </c>
    </row>
    <row r="88">
      <c r="A88" s="27" t="inlineStr">
        <is>
          <t>1 Elektrik – AG/aydınlatma/yangın</t>
        </is>
      </c>
      <c r="B88" s="27" t="inlineStr">
        <is>
          <t>334</t>
        </is>
      </c>
      <c r="C88" s="27" t="inlineStr">
        <is>
          <t>Göbekli Tepe İstasyonu Yangın İhbar ve Kontrol Sistemi (1 set)</t>
        </is>
      </c>
      <c r="D88" s="28">
        <f>'Elektrik_AG'!J524</f>
        <v/>
      </c>
    </row>
    <row r="89">
      <c r="A89" s="27" t="inlineStr">
        <is>
          <t>1 Elektrik – AG/aydınlatma/yangın</t>
        </is>
      </c>
      <c r="B89" s="27" t="inlineStr">
        <is>
          <t>335</t>
        </is>
      </c>
      <c r="C89" s="27" t="inlineStr">
        <is>
          <t>Hızmalı Köprüsü İstasyonu Yangın İhbar ve Kontrol Sistemi (1 set)</t>
        </is>
      </c>
      <c r="D89" s="28">
        <f>'Elektrik_AG'!J538</f>
        <v/>
      </c>
    </row>
    <row r="90">
      <c r="A90" s="27" t="inlineStr">
        <is>
          <t>1 Elektrik – AG/aydınlatma/yangın</t>
        </is>
      </c>
      <c r="B90" s="27" t="inlineStr">
        <is>
          <t>336</t>
        </is>
      </c>
      <c r="C90" s="27" t="inlineStr">
        <is>
          <t>Balıklıgöl İstasyonu Yangın İhbar ve Kontrol Sistemi (1 set)</t>
        </is>
      </c>
      <c r="D90" s="28">
        <f>'Elektrik_AG'!J552</f>
        <v/>
      </c>
    </row>
    <row r="91">
      <c r="A91" s="27" t="inlineStr">
        <is>
          <t>1 Elektrik – AG/aydınlatma/yangın</t>
        </is>
      </c>
      <c r="B91" s="27" t="inlineStr">
        <is>
          <t>337</t>
        </is>
      </c>
      <c r="C91" s="27" t="inlineStr">
        <is>
          <t>Eyüp Peygamber İstasyonu Yangın İhbar ve Kontrol Sistemi (1 set)</t>
        </is>
      </c>
      <c r="D91" s="28">
        <f>'Elektrik_AG'!J566</f>
        <v/>
      </c>
    </row>
    <row r="92">
      <c r="A92" s="27" t="inlineStr">
        <is>
          <t>1 Elektrik – AG/aydınlatma/yangın</t>
        </is>
      </c>
      <c r="B92" s="27" t="inlineStr">
        <is>
          <t>338</t>
        </is>
      </c>
      <c r="C92" s="27" t="inlineStr">
        <is>
          <t>Rasathane İstasyonu Yangın İhbar ve Kontrol Sistemi (1 set)</t>
        </is>
      </c>
      <c r="D92" s="28">
        <f>'Elektrik_AG'!J580</f>
        <v/>
      </c>
    </row>
    <row r="93">
      <c r="A93" s="27" t="inlineStr">
        <is>
          <t>1 Elektrik – AG/aydınlatma/yangın</t>
        </is>
      </c>
      <c r="B93" s="27" t="inlineStr">
        <is>
          <t>339</t>
        </is>
      </c>
      <c r="C93" s="27" t="inlineStr">
        <is>
          <t>Harran İstasyonu Yangın İhbar ve Kontrol Sistemi (1 set)</t>
        </is>
      </c>
      <c r="D93" s="28">
        <f>'Elektrik_AG'!J594</f>
        <v/>
      </c>
    </row>
    <row r="94">
      <c r="A94" s="27" t="inlineStr">
        <is>
          <t>1 Elektrik – AG/aydınlatma/yangın</t>
        </is>
      </c>
      <c r="B94" s="27" t="inlineStr">
        <is>
          <t>340</t>
        </is>
      </c>
      <c r="C94" s="27" t="inlineStr">
        <is>
          <t>Depo Sahası ve Tesisleri Yangın İhbar ve Kontrol Sistemi (1 set)</t>
        </is>
      </c>
      <c r="D94" s="28">
        <f>'Elektrik_AG'!J608</f>
        <v/>
      </c>
    </row>
    <row r="95">
      <c r="A95" s="27" t="inlineStr">
        <is>
          <t>1 Elektrik – AG/aydınlatma/yangın</t>
        </is>
      </c>
      <c r="B95" s="27" t="inlineStr">
        <is>
          <t>341</t>
        </is>
      </c>
      <c r="C95" s="27" t="inlineStr">
        <is>
          <t>Hat Trafo Binaları Yangın İhbar ve Kontrol Sistemi (4 set)</t>
        </is>
      </c>
      <c r="D95" s="28">
        <f>'Elektrik_AG'!J654</f>
        <v/>
      </c>
    </row>
    <row r="96">
      <c r="A96" s="27" t="inlineStr">
        <is>
          <t>1 Elektrik – AG/aydınlatma/yangın</t>
        </is>
      </c>
      <c r="B96" s="27" t="inlineStr">
        <is>
          <t>342</t>
        </is>
      </c>
      <c r="C96" s="27" t="inlineStr">
        <is>
          <t>Yangın İhbar ve Kontrol Sistemi Merkezi Donanımı&amp;Yazılımı (1 set)</t>
        </is>
      </c>
      <c r="D96" s="28">
        <f>'Elektrik_AG'!J665</f>
        <v/>
      </c>
    </row>
    <row r="97">
      <c r="A97" s="27" t="inlineStr">
        <is>
          <t>1 Elektrik – haberleşme/SCADA</t>
        </is>
      </c>
      <c r="B97" s="27" t="inlineStr">
        <is>
          <t>236</t>
        </is>
      </c>
      <c r="C97" s="27" t="inlineStr">
        <is>
          <t>İletim Sistemi Tasarımı (1 set)</t>
        </is>
      </c>
      <c r="D97" s="28">
        <f>'Haberlesme'!J5</f>
        <v/>
      </c>
    </row>
    <row r="98">
      <c r="A98" s="27" t="inlineStr">
        <is>
          <t>1 Elektrik – haberleşme/SCADA</t>
        </is>
      </c>
      <c r="B98" s="27" t="inlineStr">
        <is>
          <t>237</t>
        </is>
      </c>
      <c r="C98" s="27" t="inlineStr">
        <is>
          <t>Göbekli Tepe İstasyonu İletim Sistemi (1 set)</t>
        </is>
      </c>
      <c r="D98" s="28">
        <f>'Haberlesme'!J8</f>
        <v/>
      </c>
    </row>
    <row r="99">
      <c r="A99" s="27" t="inlineStr">
        <is>
          <t>1 Elektrik – haberleşme/SCADA</t>
        </is>
      </c>
      <c r="B99" s="27" t="inlineStr">
        <is>
          <t>238</t>
        </is>
      </c>
      <c r="C99" s="27" t="inlineStr">
        <is>
          <t>Hızmalı Köprüsü İstasyonu İletim Sistemi (1 set)</t>
        </is>
      </c>
      <c r="D99" s="28">
        <f>'Haberlesme'!J20</f>
        <v/>
      </c>
    </row>
    <row r="100">
      <c r="A100" s="27" t="inlineStr">
        <is>
          <t>1 Elektrik – haberleşme/SCADA</t>
        </is>
      </c>
      <c r="B100" s="27" t="inlineStr">
        <is>
          <t>239</t>
        </is>
      </c>
      <c r="C100" s="27" t="inlineStr">
        <is>
          <t>Balıklıgöl İstasyonu İletim Sistemi (1 set)</t>
        </is>
      </c>
      <c r="D100" s="28">
        <f>'Haberlesme'!J31</f>
        <v/>
      </c>
    </row>
    <row r="101">
      <c r="A101" s="27" t="inlineStr">
        <is>
          <t>1 Elektrik – haberleşme/SCADA</t>
        </is>
      </c>
      <c r="B101" s="27" t="inlineStr">
        <is>
          <t>240</t>
        </is>
      </c>
      <c r="C101" s="27" t="inlineStr">
        <is>
          <t>Eyüp Peygamber İstasyonu İletim Sistemi (1 set)</t>
        </is>
      </c>
      <c r="D101" s="28">
        <f>'Haberlesme'!J42</f>
        <v/>
      </c>
    </row>
    <row r="102">
      <c r="A102" s="27" t="inlineStr">
        <is>
          <t>1 Elektrik – haberleşme/SCADA</t>
        </is>
      </c>
      <c r="B102" s="27" t="inlineStr">
        <is>
          <t>241</t>
        </is>
      </c>
      <c r="C102" s="27" t="inlineStr">
        <is>
          <t>Rasathane İstasyonu İletim Sistemi (1 set)</t>
        </is>
      </c>
      <c r="D102" s="28">
        <f>'Haberlesme'!J53</f>
        <v/>
      </c>
    </row>
    <row r="103">
      <c r="A103" s="27" t="inlineStr">
        <is>
          <t>1 Elektrik – haberleşme/SCADA</t>
        </is>
      </c>
      <c r="B103" s="27" t="inlineStr">
        <is>
          <t>242</t>
        </is>
      </c>
      <c r="C103" s="27" t="inlineStr">
        <is>
          <t>Harran İstasyonu İletim Sistemi (1 set)</t>
        </is>
      </c>
      <c r="D103" s="28">
        <f>'Haberlesme'!J64</f>
        <v/>
      </c>
    </row>
    <row r="104">
      <c r="A104" s="27" t="inlineStr">
        <is>
          <t>1 Elektrik – haberleşme/SCADA</t>
        </is>
      </c>
      <c r="B104" s="27" t="inlineStr">
        <is>
          <t>243</t>
        </is>
      </c>
      <c r="C104" s="27" t="inlineStr">
        <is>
          <t>Depo Sahası ve Tesisleri İletim Sistemi (1 set)</t>
        </is>
      </c>
      <c r="D104" s="28">
        <f>'Haberlesme'!J75</f>
        <v/>
      </c>
    </row>
    <row r="105">
      <c r="A105" s="27" t="inlineStr">
        <is>
          <t>1 Elektrik – haberleşme/SCADA</t>
        </is>
      </c>
      <c r="B105" s="27" t="inlineStr">
        <is>
          <t>244</t>
        </is>
      </c>
      <c r="C105" s="27" t="inlineStr">
        <is>
          <t>Hat Trafo Binaları İletim Sistemi (4 set)</t>
        </is>
      </c>
      <c r="D105" s="28">
        <f>'Haberlesme'!J85</f>
        <v/>
      </c>
    </row>
    <row r="106">
      <c r="A106" s="27" t="inlineStr">
        <is>
          <t>1 Elektrik – haberleşme/SCADA</t>
        </is>
      </c>
      <c r="B106" s="27" t="inlineStr">
        <is>
          <t>245</t>
        </is>
      </c>
      <c r="C106" s="27" t="inlineStr">
        <is>
          <t>Hatboyu İletim Sistemi (1 set)</t>
        </is>
      </c>
      <c r="D106" s="28">
        <f>'Haberlesme'!J92</f>
        <v/>
      </c>
    </row>
    <row r="107">
      <c r="A107" s="27" t="inlineStr">
        <is>
          <t>1 Elektrik – haberleşme/SCADA</t>
        </is>
      </c>
      <c r="B107" s="27" t="inlineStr">
        <is>
          <t>246</t>
        </is>
      </c>
      <c r="C107" s="27" t="inlineStr">
        <is>
          <t>İletim Sistemi Merkezi Donanımı&amp;Yazılımı (1 set)</t>
        </is>
      </c>
      <c r="D107" s="28">
        <f>'Haberlesme'!J98</f>
        <v/>
      </c>
    </row>
    <row r="108">
      <c r="A108" s="27" t="inlineStr">
        <is>
          <t>1 Elektrik – haberleşme/SCADA</t>
        </is>
      </c>
      <c r="B108" s="27" t="inlineStr">
        <is>
          <t>247</t>
        </is>
      </c>
      <c r="C108" s="27" t="inlineStr">
        <is>
          <t>Hatboyu Fiberoptik Ağı (1 set)</t>
        </is>
      </c>
      <c r="D108" s="28">
        <f>'Haberlesme'!J107</f>
        <v/>
      </c>
    </row>
    <row r="109">
      <c r="A109" s="27" t="inlineStr">
        <is>
          <t>1 Elektrik – haberleşme/SCADA</t>
        </is>
      </c>
      <c r="B109" s="27" t="inlineStr">
        <is>
          <t>248</t>
        </is>
      </c>
      <c r="C109" s="27" t="inlineStr">
        <is>
          <t>Telefon Sistemi Tasarımı (1 set)</t>
        </is>
      </c>
      <c r="D109" s="28">
        <f>'Haberlesme'!J114</f>
        <v/>
      </c>
    </row>
    <row r="110">
      <c r="A110" s="27" t="inlineStr">
        <is>
          <t>1 Elektrik – haberleşme/SCADA</t>
        </is>
      </c>
      <c r="B110" s="27" t="inlineStr">
        <is>
          <t>249</t>
        </is>
      </c>
      <c r="C110" s="27" t="inlineStr">
        <is>
          <t>Göbekli Tepe İstasyonu Telefon Sistemi (1 set)</t>
        </is>
      </c>
      <c r="D110" s="28">
        <f>'Haberlesme'!J117</f>
        <v/>
      </c>
    </row>
    <row r="111">
      <c r="A111" s="27" t="inlineStr">
        <is>
          <t>1 Elektrik – haberleşme/SCADA</t>
        </is>
      </c>
      <c r="B111" s="27" t="inlineStr">
        <is>
          <t>250</t>
        </is>
      </c>
      <c r="C111" s="27" t="inlineStr">
        <is>
          <t>Hızmalı Köprüsü İstasyonu Telefon Sistemi (1 set)</t>
        </is>
      </c>
      <c r="D111" s="28">
        <f>'Haberlesme'!J123</f>
        <v/>
      </c>
    </row>
    <row r="112">
      <c r="A112" s="27" t="inlineStr">
        <is>
          <t>1 Elektrik – haberleşme/SCADA</t>
        </is>
      </c>
      <c r="B112" s="27" t="inlineStr">
        <is>
          <t>251</t>
        </is>
      </c>
      <c r="C112" s="27" t="inlineStr">
        <is>
          <t>Balıklıgöl İstasyonu Telefon Sistemi (1 set)</t>
        </is>
      </c>
      <c r="D112" s="28">
        <f>'Haberlesme'!J129</f>
        <v/>
      </c>
    </row>
    <row r="113">
      <c r="A113" s="27" t="inlineStr">
        <is>
          <t>1 Elektrik – haberleşme/SCADA</t>
        </is>
      </c>
      <c r="B113" s="27" t="inlineStr">
        <is>
          <t>252</t>
        </is>
      </c>
      <c r="C113" s="27" t="inlineStr">
        <is>
          <t>Eyüp Peygamber İstasyonu Telefon Sistemi (1 set)</t>
        </is>
      </c>
      <c r="D113" s="28">
        <f>'Haberlesme'!J135</f>
        <v/>
      </c>
    </row>
    <row r="114">
      <c r="A114" s="27" t="inlineStr">
        <is>
          <t>1 Elektrik – haberleşme/SCADA</t>
        </is>
      </c>
      <c r="B114" s="27" t="inlineStr">
        <is>
          <t>253</t>
        </is>
      </c>
      <c r="C114" s="27" t="inlineStr">
        <is>
          <t>Rasathane İstasyonu Telefon Sistemi (1 set)</t>
        </is>
      </c>
      <c r="D114" s="28">
        <f>'Haberlesme'!J141</f>
        <v/>
      </c>
    </row>
    <row r="115">
      <c r="A115" s="27" t="inlineStr">
        <is>
          <t>1 Elektrik – haberleşme/SCADA</t>
        </is>
      </c>
      <c r="B115" s="27" t="inlineStr">
        <is>
          <t>254</t>
        </is>
      </c>
      <c r="C115" s="27" t="inlineStr">
        <is>
          <t>Harran İstasyonu Telefon Sistemi (1 set)</t>
        </is>
      </c>
      <c r="D115" s="28">
        <f>'Haberlesme'!J147</f>
        <v/>
      </c>
    </row>
    <row r="116">
      <c r="A116" s="27" t="inlineStr">
        <is>
          <t>1 Elektrik – haberleşme/SCADA</t>
        </is>
      </c>
      <c r="B116" s="27" t="inlineStr">
        <is>
          <t>255</t>
        </is>
      </c>
      <c r="C116" s="27" t="inlineStr">
        <is>
          <t>Depo Sahası ve Tesisleri Telefon Sistemi (1 set)</t>
        </is>
      </c>
      <c r="D116" s="28">
        <f>'Haberlesme'!J153</f>
        <v/>
      </c>
    </row>
    <row r="117">
      <c r="A117" s="27" t="inlineStr">
        <is>
          <t>1 Elektrik – haberleşme/SCADA</t>
        </is>
      </c>
      <c r="B117" s="27" t="inlineStr">
        <is>
          <t>256</t>
        </is>
      </c>
      <c r="C117" s="27" t="inlineStr">
        <is>
          <t>Hat Trafo Binaları Telefon Sistemi (4 set)</t>
        </is>
      </c>
      <c r="D117" s="28">
        <f>'Haberlesme'!J159</f>
        <v/>
      </c>
    </row>
    <row r="118">
      <c r="A118" s="27" t="inlineStr">
        <is>
          <t>1 Elektrik – haberleşme/SCADA</t>
        </is>
      </c>
      <c r="B118" s="27" t="inlineStr">
        <is>
          <t>257</t>
        </is>
      </c>
      <c r="C118" s="27" t="inlineStr">
        <is>
          <t>Telefon Sistemi Merkezi Donanımı&amp;Yazılımı (1 set)</t>
        </is>
      </c>
      <c r="D118" s="28">
        <f>'Haberlesme'!J163</f>
        <v/>
      </c>
    </row>
    <row r="119">
      <c r="A119" s="27" t="inlineStr">
        <is>
          <t>1 Elektrik – haberleşme/SCADA</t>
        </is>
      </c>
      <c r="B119" s="27" t="inlineStr">
        <is>
          <t>258</t>
        </is>
      </c>
      <c r="C119" s="27" t="inlineStr">
        <is>
          <t>Telsiz Sistemi Tasarımı (1 set)</t>
        </is>
      </c>
      <c r="D119" s="28">
        <f>'Haberlesme'!J169</f>
        <v/>
      </c>
    </row>
    <row r="120">
      <c r="A120" s="27" t="inlineStr">
        <is>
          <t>1 Elektrik – haberleşme/SCADA</t>
        </is>
      </c>
      <c r="B120" s="27" t="inlineStr">
        <is>
          <t>259</t>
        </is>
      </c>
      <c r="C120" s="27" t="inlineStr">
        <is>
          <t>Hat Boyu Telsiz Sistemi (1 set)</t>
        </is>
      </c>
      <c r="D120" s="28">
        <f>'Haberlesme'!J172</f>
        <v/>
      </c>
    </row>
    <row r="121">
      <c r="A121" s="27" t="inlineStr">
        <is>
          <t>1 Elektrik – haberleşme/SCADA</t>
        </is>
      </c>
      <c r="B121" s="27" t="inlineStr">
        <is>
          <t>260</t>
        </is>
      </c>
      <c r="C121" s="27" t="inlineStr">
        <is>
          <t>Telsiz Sistemi Merkezi Donanımı&amp;Yazılımı (1 set)</t>
        </is>
      </c>
      <c r="D121" s="28">
        <f>'Haberlesme'!J181</f>
        <v/>
      </c>
    </row>
    <row r="122">
      <c r="A122" s="27" t="inlineStr">
        <is>
          <t>1 Elektrik – haberleşme/SCADA</t>
        </is>
      </c>
      <c r="B122" s="27" t="inlineStr">
        <is>
          <t>261</t>
        </is>
      </c>
      <c r="C122" s="27" t="inlineStr">
        <is>
          <t>Anons Sistemi Tasarımı (1 set)</t>
        </is>
      </c>
      <c r="D122" s="28">
        <f>'Haberlesme'!J188</f>
        <v/>
      </c>
    </row>
    <row r="123">
      <c r="A123" s="27" t="inlineStr">
        <is>
          <t>1 Elektrik – haberleşme/SCADA</t>
        </is>
      </c>
      <c r="B123" s="27" t="inlineStr">
        <is>
          <t>262</t>
        </is>
      </c>
      <c r="C123" s="27" t="inlineStr">
        <is>
          <t>Göbekli Tepe İstasyonu Anons Sistemi (1 set)</t>
        </is>
      </c>
      <c r="D123" s="28">
        <f>'Haberlesme'!J191</f>
        <v/>
      </c>
    </row>
    <row r="124">
      <c r="A124" s="27" t="inlineStr">
        <is>
          <t>1 Elektrik – haberleşme/SCADA</t>
        </is>
      </c>
      <c r="B124" s="27" t="inlineStr">
        <is>
          <t>263</t>
        </is>
      </c>
      <c r="C124" s="27" t="inlineStr">
        <is>
          <t>Hızmalı Köprüsü İstasyonu Anons Sistemi (1 set)</t>
        </is>
      </c>
      <c r="D124" s="28">
        <f>'Haberlesme'!J197</f>
        <v/>
      </c>
    </row>
    <row r="125">
      <c r="A125" s="27" t="inlineStr">
        <is>
          <t>1 Elektrik – haberleşme/SCADA</t>
        </is>
      </c>
      <c r="B125" s="27" t="inlineStr">
        <is>
          <t>264</t>
        </is>
      </c>
      <c r="C125" s="27" t="inlineStr">
        <is>
          <t>Balıklıgöl İstasyonu Anons Sistemi (1 set)</t>
        </is>
      </c>
      <c r="D125" s="28">
        <f>'Haberlesme'!J203</f>
        <v/>
      </c>
    </row>
    <row r="126">
      <c r="A126" s="27" t="inlineStr">
        <is>
          <t>1 Elektrik – haberleşme/SCADA</t>
        </is>
      </c>
      <c r="B126" s="27" t="inlineStr">
        <is>
          <t>265</t>
        </is>
      </c>
      <c r="C126" s="27" t="inlineStr">
        <is>
          <t>Eyüp Peygamber İstasyonu Anons Sistemi (1 set)</t>
        </is>
      </c>
      <c r="D126" s="28">
        <f>'Haberlesme'!J209</f>
        <v/>
      </c>
    </row>
    <row r="127">
      <c r="A127" s="27" t="inlineStr">
        <is>
          <t>1 Elektrik – haberleşme/SCADA</t>
        </is>
      </c>
      <c r="B127" s="27" t="inlineStr">
        <is>
          <t>266</t>
        </is>
      </c>
      <c r="C127" s="27" t="inlineStr">
        <is>
          <t>Rasathane İstasyonu Anons Sistemi (1 set)</t>
        </is>
      </c>
      <c r="D127" s="28">
        <f>'Haberlesme'!J215</f>
        <v/>
      </c>
    </row>
    <row r="128">
      <c r="A128" s="27" t="inlineStr">
        <is>
          <t>1 Elektrik – haberleşme/SCADA</t>
        </is>
      </c>
      <c r="B128" s="27" t="inlineStr">
        <is>
          <t>267</t>
        </is>
      </c>
      <c r="C128" s="27" t="inlineStr">
        <is>
          <t>Harran İstasyonu Anons Sistemi (1 set)</t>
        </is>
      </c>
      <c r="D128" s="28">
        <f>'Haberlesme'!J221</f>
        <v/>
      </c>
    </row>
    <row r="129">
      <c r="A129" s="27" t="inlineStr">
        <is>
          <t>1 Elektrik – haberleşme/SCADA</t>
        </is>
      </c>
      <c r="B129" s="27" t="inlineStr">
        <is>
          <t>268</t>
        </is>
      </c>
      <c r="C129" s="27" t="inlineStr">
        <is>
          <t>Depo Sahası ve Tesisleri Anons Sistemi (1 set)</t>
        </is>
      </c>
      <c r="D129" s="28">
        <f>'Haberlesme'!J227</f>
        <v/>
      </c>
    </row>
    <row r="130">
      <c r="A130" s="27" t="inlineStr">
        <is>
          <t>1 Elektrik – haberleşme/SCADA</t>
        </is>
      </c>
      <c r="B130" s="27" t="inlineStr">
        <is>
          <t>269</t>
        </is>
      </c>
      <c r="C130" s="27" t="inlineStr">
        <is>
          <t>Anons Sistemi Merkez Donanımı&amp;Yazılımı (1 set)</t>
        </is>
      </c>
      <c r="D130" s="28">
        <f>'Haberlesme'!J237</f>
        <v/>
      </c>
    </row>
    <row r="131">
      <c r="A131" s="27" t="inlineStr">
        <is>
          <t>1 Elektrik – haberleşme/SCADA</t>
        </is>
      </c>
      <c r="B131" s="27" t="inlineStr">
        <is>
          <t>270</t>
        </is>
      </c>
      <c r="C131" s="27" t="inlineStr">
        <is>
          <t>Kapalı Devre Televizyon Sistemi (CCTV) Tasarımı (1 set)</t>
        </is>
      </c>
      <c r="D131" s="28">
        <f>'Haberlesme'!J242</f>
        <v/>
      </c>
    </row>
    <row r="132">
      <c r="A132" s="27" t="inlineStr">
        <is>
          <t>1 Elektrik – haberleşme/SCADA</t>
        </is>
      </c>
      <c r="B132" s="27" t="inlineStr">
        <is>
          <t>271</t>
        </is>
      </c>
      <c r="C132" s="27" t="inlineStr">
        <is>
          <t>Göbekli Tepe İstasyonu Kapalı Devre Televizyon Sistemi (CCTV) (1 set)</t>
        </is>
      </c>
      <c r="D132" s="28">
        <f>'Haberlesme'!J245</f>
        <v/>
      </c>
    </row>
    <row r="133">
      <c r="A133" s="27" t="inlineStr">
        <is>
          <t>1 Elektrik – haberleşme/SCADA</t>
        </is>
      </c>
      <c r="B133" s="27" t="inlineStr">
        <is>
          <t>272</t>
        </is>
      </c>
      <c r="C133" s="27" t="inlineStr">
        <is>
          <t>Hızmalı Köprüsü İstasyonu Kapalı Devre Televizyon Sistemi (CCTV) (1 set)</t>
        </is>
      </c>
      <c r="D133" s="28">
        <f>'Haberlesme'!J252</f>
        <v/>
      </c>
    </row>
    <row r="134">
      <c r="A134" s="27" t="inlineStr">
        <is>
          <t>1 Elektrik – haberleşme/SCADA</t>
        </is>
      </c>
      <c r="B134" s="27" t="inlineStr">
        <is>
          <t>273</t>
        </is>
      </c>
      <c r="C134" s="27" t="inlineStr">
        <is>
          <t>Balıklıgöl İstasyonu Kapalı Devre Televizyon Sistemi (CCTV) (1 set)</t>
        </is>
      </c>
      <c r="D134" s="28">
        <f>'Haberlesme'!J259</f>
        <v/>
      </c>
    </row>
    <row r="135">
      <c r="A135" s="27" t="inlineStr">
        <is>
          <t>1 Elektrik – haberleşme/SCADA</t>
        </is>
      </c>
      <c r="B135" s="27" t="inlineStr">
        <is>
          <t>274</t>
        </is>
      </c>
      <c r="C135" s="27" t="inlineStr">
        <is>
          <t>Eyüp Peygamber İstasyonu Kapalı Devre Televizyon Sistemi (CCTV) (1 set)</t>
        </is>
      </c>
      <c r="D135" s="28">
        <f>'Haberlesme'!J266</f>
        <v/>
      </c>
    </row>
    <row r="136">
      <c r="A136" s="27" t="inlineStr">
        <is>
          <t>1 Elektrik – haberleşme/SCADA</t>
        </is>
      </c>
      <c r="B136" s="27" t="inlineStr">
        <is>
          <t>275</t>
        </is>
      </c>
      <c r="C136" s="27" t="inlineStr">
        <is>
          <t>Rasathane İstasyonu Kapalı Devre Televizyon Sistemi (CCTV) (1 set)</t>
        </is>
      </c>
      <c r="D136" s="28">
        <f>'Haberlesme'!J273</f>
        <v/>
      </c>
    </row>
    <row r="137">
      <c r="A137" s="27" t="inlineStr">
        <is>
          <t>1 Elektrik – haberleşme/SCADA</t>
        </is>
      </c>
      <c r="B137" s="27" t="inlineStr">
        <is>
          <t>276</t>
        </is>
      </c>
      <c r="C137" s="27" t="inlineStr">
        <is>
          <t>Harran İstasyonu Kapalı Devre Televizyon Sistemi (CCTV) (1 set)</t>
        </is>
      </c>
      <c r="D137" s="28">
        <f>'Haberlesme'!J280</f>
        <v/>
      </c>
    </row>
    <row r="138">
      <c r="A138" s="27" t="inlineStr">
        <is>
          <t>1 Elektrik – haberleşme/SCADA</t>
        </is>
      </c>
      <c r="B138" s="27" t="inlineStr">
        <is>
          <t>277</t>
        </is>
      </c>
      <c r="C138" s="27" t="inlineStr">
        <is>
          <t>Depo Sahası ve Tesisleri Kapalı Devre Televizyon Sistemi (CCTV) (1 set)</t>
        </is>
      </c>
      <c r="D138" s="28">
        <f>'Haberlesme'!J287</f>
        <v/>
      </c>
    </row>
    <row r="139">
      <c r="A139" s="27" t="inlineStr">
        <is>
          <t>1 Elektrik – haberleşme/SCADA</t>
        </is>
      </c>
      <c r="B139" s="27" t="inlineStr">
        <is>
          <t>278</t>
        </is>
      </c>
      <c r="C139" s="27" t="inlineStr">
        <is>
          <t>Hat Trafo Binaları Kapalı Devre Televizyon Sistemi (CCTV) (4 set)</t>
        </is>
      </c>
      <c r="D139" s="28">
        <f>'Haberlesme'!J306</f>
        <v/>
      </c>
    </row>
    <row r="140">
      <c r="A140" s="27" t="inlineStr">
        <is>
          <t>1 Elektrik – haberleşme/SCADA</t>
        </is>
      </c>
      <c r="B140" s="27" t="inlineStr">
        <is>
          <t>279</t>
        </is>
      </c>
      <c r="C140" s="27" t="inlineStr">
        <is>
          <t>Hatboyu CCTV Sistemi (1 set)</t>
        </is>
      </c>
      <c r="D140" s="28">
        <f>'Haberlesme'!J310</f>
        <v/>
      </c>
    </row>
    <row r="141">
      <c r="A141" s="27" t="inlineStr">
        <is>
          <t>1 Elektrik – haberleşme/SCADA</t>
        </is>
      </c>
      <c r="B141" s="27" t="inlineStr">
        <is>
          <t>280</t>
        </is>
      </c>
      <c r="C141" s="27" t="inlineStr">
        <is>
          <t>CCTV Sistemi Merkezi Donanımı ve Yazılımı (1 set)</t>
        </is>
      </c>
      <c r="D141" s="28">
        <f>'Haberlesme'!J315</f>
        <v/>
      </c>
    </row>
    <row r="142">
      <c r="A142" s="27" t="inlineStr">
        <is>
          <t>1 Elektrik – haberleşme/SCADA</t>
        </is>
      </c>
      <c r="B142" s="27" t="inlineStr">
        <is>
          <t>281</t>
        </is>
      </c>
      <c r="C142" s="27" t="inlineStr">
        <is>
          <t>Saat Sistemi Tasarımı (1 set)</t>
        </is>
      </c>
      <c r="D142" s="28">
        <f>'Haberlesme'!J324</f>
        <v/>
      </c>
    </row>
    <row r="143">
      <c r="A143" s="27" t="inlineStr">
        <is>
          <t>1 Elektrik – haberleşme/SCADA</t>
        </is>
      </c>
      <c r="B143" s="27" t="inlineStr">
        <is>
          <t>282</t>
        </is>
      </c>
      <c r="C143" s="27" t="inlineStr">
        <is>
          <t>Göbekli Tepe İstasyonu Saat Sistemi (1 set)</t>
        </is>
      </c>
      <c r="D143" s="28">
        <f>'Haberlesme'!J327</f>
        <v/>
      </c>
    </row>
    <row r="144">
      <c r="A144" s="27" t="inlineStr">
        <is>
          <t>1 Elektrik – haberleşme/SCADA</t>
        </is>
      </c>
      <c r="B144" s="27" t="inlineStr">
        <is>
          <t>283</t>
        </is>
      </c>
      <c r="C144" s="27" t="inlineStr">
        <is>
          <t>Hızmalı Köprüsü İstasyonu Saat Sistemi (1 set)</t>
        </is>
      </c>
      <c r="D144" s="28">
        <f>'Haberlesme'!J331</f>
        <v/>
      </c>
    </row>
    <row r="145">
      <c r="A145" s="27" t="inlineStr">
        <is>
          <t>1 Elektrik – haberleşme/SCADA</t>
        </is>
      </c>
      <c r="B145" s="27" t="inlineStr">
        <is>
          <t>284</t>
        </is>
      </c>
      <c r="C145" s="27" t="inlineStr">
        <is>
          <t>Balıklıgöl İstasyonu Saat Sistemi (1 set)</t>
        </is>
      </c>
      <c r="D145" s="28">
        <f>'Haberlesme'!J335</f>
        <v/>
      </c>
    </row>
    <row r="146">
      <c r="A146" s="27" t="inlineStr">
        <is>
          <t>1 Elektrik – haberleşme/SCADA</t>
        </is>
      </c>
      <c r="B146" s="27" t="inlineStr">
        <is>
          <t>285</t>
        </is>
      </c>
      <c r="C146" s="27" t="inlineStr">
        <is>
          <t>Eyüp Peygamber İstasyonu Saat Sistemi (1 set)</t>
        </is>
      </c>
      <c r="D146" s="28">
        <f>'Haberlesme'!J339</f>
        <v/>
      </c>
    </row>
    <row r="147">
      <c r="A147" s="27" t="inlineStr">
        <is>
          <t>1 Elektrik – haberleşme/SCADA</t>
        </is>
      </c>
      <c r="B147" s="27" t="inlineStr">
        <is>
          <t>286</t>
        </is>
      </c>
      <c r="C147" s="27" t="inlineStr">
        <is>
          <t>Rasathane İstasyonu Saat Sistemi (1 set)</t>
        </is>
      </c>
      <c r="D147" s="28">
        <f>'Haberlesme'!J343</f>
        <v/>
      </c>
    </row>
    <row r="148">
      <c r="A148" s="27" t="inlineStr">
        <is>
          <t>1 Elektrik – haberleşme/SCADA</t>
        </is>
      </c>
      <c r="B148" s="27" t="inlineStr">
        <is>
          <t>287</t>
        </is>
      </c>
      <c r="C148" s="27" t="inlineStr">
        <is>
          <t>Harran İstasyonu Saat Sistemi (1 set)</t>
        </is>
      </c>
      <c r="D148" s="28">
        <f>'Haberlesme'!J347</f>
        <v/>
      </c>
    </row>
    <row r="149">
      <c r="A149" s="27" t="inlineStr">
        <is>
          <t>1 Elektrik – haberleşme/SCADA</t>
        </is>
      </c>
      <c r="B149" s="27" t="inlineStr">
        <is>
          <t>288</t>
        </is>
      </c>
      <c r="C149" s="27" t="inlineStr">
        <is>
          <t>Depo Sahası ve Tesisleri Saat Sistemi (4 set)</t>
        </is>
      </c>
      <c r="D149" s="28">
        <f>'Haberlesme'!J351</f>
        <v/>
      </c>
    </row>
    <row r="150">
      <c r="A150" s="27" t="inlineStr">
        <is>
          <t>1 Elektrik – haberleşme/SCADA</t>
        </is>
      </c>
      <c r="B150" s="27" t="inlineStr">
        <is>
          <t>289</t>
        </is>
      </c>
      <c r="C150" s="27" t="inlineStr">
        <is>
          <t>Saat Sistemi Merkez Donanımı&amp;Yazılımı (1 set)</t>
        </is>
      </c>
      <c r="D150" s="28">
        <f>'Haberlesme'!J357</f>
        <v/>
      </c>
    </row>
    <row r="151">
      <c r="A151" s="27" t="inlineStr">
        <is>
          <t>1 Elektrik – haberleşme/SCADA</t>
        </is>
      </c>
      <c r="B151" s="27" t="inlineStr">
        <is>
          <t>290</t>
        </is>
      </c>
      <c r="C151" s="27" t="inlineStr">
        <is>
          <t>Erişim Kontrol Sistemi Tasarımı (1 set)</t>
        </is>
      </c>
      <c r="D151" s="28">
        <f>'Haberlesme'!J361</f>
        <v/>
      </c>
    </row>
    <row r="152">
      <c r="A152" s="27" t="inlineStr">
        <is>
          <t>1 Elektrik – haberleşme/SCADA</t>
        </is>
      </c>
      <c r="B152" s="27" t="inlineStr">
        <is>
          <t>291</t>
        </is>
      </c>
      <c r="C152" s="27" t="inlineStr">
        <is>
          <t>Göbekli Tepe İstasyonu Erişim Kontrol Sistemi (1 set)</t>
        </is>
      </c>
      <c r="D152" s="28">
        <f>'Haberlesme'!J364</f>
        <v/>
      </c>
    </row>
    <row r="153">
      <c r="A153" s="27" t="inlineStr">
        <is>
          <t>1 Elektrik – haberleşme/SCADA</t>
        </is>
      </c>
      <c r="B153" s="27" t="inlineStr">
        <is>
          <t>292</t>
        </is>
      </c>
      <c r="C153" s="27" t="inlineStr">
        <is>
          <t>Hızmalı Köprüsü İstasyonu Erişim Kontrol Sistemi (1 set)</t>
        </is>
      </c>
      <c r="D153" s="28">
        <f>'Haberlesme'!J370</f>
        <v/>
      </c>
    </row>
    <row r="154">
      <c r="A154" s="27" t="inlineStr">
        <is>
          <t>1 Elektrik – haberleşme/SCADA</t>
        </is>
      </c>
      <c r="B154" s="27" t="inlineStr">
        <is>
          <t>293</t>
        </is>
      </c>
      <c r="C154" s="27" t="inlineStr">
        <is>
          <t>Balıklıgöl İstasyonu Erişim Kontrol Sistemi (1 set)</t>
        </is>
      </c>
      <c r="D154" s="28">
        <f>'Haberlesme'!J376</f>
        <v/>
      </c>
    </row>
    <row r="155">
      <c r="A155" s="27" t="inlineStr">
        <is>
          <t>1 Elektrik – haberleşme/SCADA</t>
        </is>
      </c>
      <c r="B155" s="27" t="inlineStr">
        <is>
          <t>294</t>
        </is>
      </c>
      <c r="C155" s="27" t="inlineStr">
        <is>
          <t>Eyüp Peygamber İstasyonu Erişim Kontrol Sistemi (1 set)</t>
        </is>
      </c>
      <c r="D155" s="28">
        <f>'Haberlesme'!J382</f>
        <v/>
      </c>
    </row>
    <row r="156">
      <c r="A156" s="27" t="inlineStr">
        <is>
          <t>1 Elektrik – haberleşme/SCADA</t>
        </is>
      </c>
      <c r="B156" s="27" t="inlineStr">
        <is>
          <t>295</t>
        </is>
      </c>
      <c r="C156" s="27" t="inlineStr">
        <is>
          <t>Rasathane İstasyonu Erişim Kontrol Sistemi (1 set)</t>
        </is>
      </c>
      <c r="D156" s="28">
        <f>'Haberlesme'!J388</f>
        <v/>
      </c>
    </row>
    <row r="157">
      <c r="A157" s="27" t="inlineStr">
        <is>
          <t>1 Elektrik – haberleşme/SCADA</t>
        </is>
      </c>
      <c r="B157" s="27" t="inlineStr">
        <is>
          <t>296</t>
        </is>
      </c>
      <c r="C157" s="27" t="inlineStr">
        <is>
          <t>Harran İstasyonu Erişim Kontrol Sistemi (1 set)</t>
        </is>
      </c>
      <c r="D157" s="28">
        <f>'Haberlesme'!J394</f>
        <v/>
      </c>
    </row>
    <row r="158">
      <c r="A158" s="27" t="inlineStr">
        <is>
          <t>1 Elektrik – haberleşme/SCADA</t>
        </is>
      </c>
      <c r="B158" s="27" t="inlineStr">
        <is>
          <t>297</t>
        </is>
      </c>
      <c r="C158" s="27" t="inlineStr">
        <is>
          <t>Depo Sahası ve Tesisleri Erişim Kontrol Sistemi (1 set)</t>
        </is>
      </c>
      <c r="D158" s="28">
        <f>'Haberlesme'!J400</f>
        <v/>
      </c>
    </row>
    <row r="159">
      <c r="A159" s="27" t="inlineStr">
        <is>
          <t>1 Elektrik – haberleşme/SCADA</t>
        </is>
      </c>
      <c r="B159" s="27" t="inlineStr">
        <is>
          <t>298</t>
        </is>
      </c>
      <c r="C159" s="27" t="inlineStr">
        <is>
          <t>Hat Trafo Binaları Erişim Kontrol Sistemi (4 set)</t>
        </is>
      </c>
      <c r="D159" s="28">
        <f>'Haberlesme'!J406</f>
        <v/>
      </c>
    </row>
    <row r="160">
      <c r="A160" s="27" t="inlineStr">
        <is>
          <t>1 Elektrik – haberleşme/SCADA</t>
        </is>
      </c>
      <c r="B160" s="27" t="inlineStr">
        <is>
          <t>299</t>
        </is>
      </c>
      <c r="C160" s="27" t="inlineStr">
        <is>
          <t>Erişim Kontrol Sistemi Merkezi Donanımı ve Yazılımı (1 set)</t>
        </is>
      </c>
      <c r="D160" s="28">
        <f>'Haberlesme'!J412</f>
        <v/>
      </c>
    </row>
    <row r="161">
      <c r="A161" s="27" t="inlineStr">
        <is>
          <t>1 Elektrik – haberleşme/SCADA</t>
        </is>
      </c>
      <c r="B161" s="27" t="inlineStr">
        <is>
          <t>300</t>
        </is>
      </c>
      <c r="C161" s="27" t="inlineStr">
        <is>
          <t>Sistem Kontrol ve Veri Toplama Sistemi (SCADA) Tasarımı (1 set)</t>
        </is>
      </c>
      <c r="D161" s="28">
        <f>'Haberlesme'!J416</f>
        <v/>
      </c>
    </row>
    <row r="162">
      <c r="A162" s="27" t="inlineStr">
        <is>
          <t>1 Elektrik – haberleşme/SCADA</t>
        </is>
      </c>
      <c r="B162" s="27" t="inlineStr">
        <is>
          <t>301</t>
        </is>
      </c>
      <c r="C162" s="27" t="inlineStr">
        <is>
          <t>Göbekli Tepe İstasyonu Sistem Kontrol ve Veri Toplama Sistemi (SCADA) (1 set)</t>
        </is>
      </c>
      <c r="D162" s="28">
        <f>'Haberlesme'!J419</f>
        <v/>
      </c>
    </row>
    <row r="163">
      <c r="A163" s="27" t="inlineStr">
        <is>
          <t>1 Elektrik – haberleşme/SCADA</t>
        </is>
      </c>
      <c r="B163" s="27" t="inlineStr">
        <is>
          <t>302</t>
        </is>
      </c>
      <c r="C163" s="27" t="inlineStr">
        <is>
          <t>Hızmalı Köprüsü İstasyonu Sistem Kontrol ve Veri Toplama Sistemi (SCADA) (1 set)</t>
        </is>
      </c>
      <c r="D163" s="28">
        <f>'Haberlesme'!J423</f>
        <v/>
      </c>
    </row>
    <row r="164">
      <c r="A164" s="27" t="inlineStr">
        <is>
          <t>1 Elektrik – haberleşme/SCADA</t>
        </is>
      </c>
      <c r="B164" s="27" t="inlineStr">
        <is>
          <t>303</t>
        </is>
      </c>
      <c r="C164" s="27" t="inlineStr">
        <is>
          <t>Balıklıgöl İstasyonu Sistem Kontrol ve Veri Toplama Sistemi (SCADA) (1 set)</t>
        </is>
      </c>
      <c r="D164" s="28">
        <f>'Haberlesme'!J427</f>
        <v/>
      </c>
    </row>
    <row r="165">
      <c r="A165" s="27" t="inlineStr">
        <is>
          <t>1 Elektrik – haberleşme/SCADA</t>
        </is>
      </c>
      <c r="B165" s="27" t="inlineStr">
        <is>
          <t>304</t>
        </is>
      </c>
      <c r="C165" s="27" t="inlineStr">
        <is>
          <t>Eyüp Peygamber İstasyonu Sistem Kontrol ve Veri Toplama Sistemi (SCADA) (1 set)</t>
        </is>
      </c>
      <c r="D165" s="28">
        <f>'Haberlesme'!J431</f>
        <v/>
      </c>
    </row>
    <row r="166">
      <c r="A166" s="27" t="inlineStr">
        <is>
          <t>1 Elektrik – haberleşme/SCADA</t>
        </is>
      </c>
      <c r="B166" s="27" t="inlineStr">
        <is>
          <t>305</t>
        </is>
      </c>
      <c r="C166" s="27" t="inlineStr">
        <is>
          <t>Rasathane İstasyonu Sistem Kontrol ve Veri Toplama Sistemi (SCADA) (1 set)</t>
        </is>
      </c>
      <c r="D166" s="28">
        <f>'Haberlesme'!J435</f>
        <v/>
      </c>
    </row>
    <row r="167">
      <c r="A167" s="27" t="inlineStr">
        <is>
          <t>1 Elektrik – haberleşme/SCADA</t>
        </is>
      </c>
      <c r="B167" s="27" t="inlineStr">
        <is>
          <t>306</t>
        </is>
      </c>
      <c r="C167" s="27" t="inlineStr">
        <is>
          <t>Harran İstasyonu Sistem Kontrol ve Veri Toplama Sistemi (SCADA) (1 set)</t>
        </is>
      </c>
      <c r="D167" s="28">
        <f>'Haberlesme'!J439</f>
        <v/>
      </c>
    </row>
    <row r="168">
      <c r="A168" s="27" t="inlineStr">
        <is>
          <t>1 Elektrik – haberleşme/SCADA</t>
        </is>
      </c>
      <c r="B168" s="27" t="inlineStr">
        <is>
          <t>307</t>
        </is>
      </c>
      <c r="C168" s="27" t="inlineStr">
        <is>
          <t>Depo Sahası ve Tesisleri Sistem Kontrol ve Veri Toplama Sistemi (SCADA) (1 set)</t>
        </is>
      </c>
      <c r="D168" s="28">
        <f>'Haberlesme'!J443</f>
        <v/>
      </c>
    </row>
    <row r="169">
      <c r="A169" s="27" t="inlineStr">
        <is>
          <t>1 Elektrik – haberleşme/SCADA</t>
        </is>
      </c>
      <c r="B169" s="27" t="inlineStr">
        <is>
          <t>308</t>
        </is>
      </c>
      <c r="C169" s="27" t="inlineStr">
        <is>
          <t>Hat Trafo Binaları Sistem Kontrol ve Veri Toplama Sistemi (SCADA) (4 set)</t>
        </is>
      </c>
      <c r="D169" s="28">
        <f>'Haberlesme'!J447</f>
        <v/>
      </c>
    </row>
    <row r="170">
      <c r="A170" s="27" t="inlineStr">
        <is>
          <t>1 Elektrik – haberleşme/SCADA</t>
        </is>
      </c>
      <c r="B170" s="27" t="inlineStr">
        <is>
          <t>309</t>
        </is>
      </c>
      <c r="C170" s="27" t="inlineStr">
        <is>
          <t>Sistem Kontrol ve Veri Toplama Sistemi (SCADA) Merkezi Donanımı&amp;Yazılımı (1 set)</t>
        </is>
      </c>
      <c r="D170" s="28">
        <f>'Haberlesme'!J450</f>
        <v/>
      </c>
    </row>
    <row r="171">
      <c r="A171" s="27" t="inlineStr">
        <is>
          <t>1 Elektrik – haberleşme/SCADA</t>
        </is>
      </c>
      <c r="B171" s="27" t="inlineStr">
        <is>
          <t>310</t>
        </is>
      </c>
      <c r="C171" s="27" t="inlineStr">
        <is>
          <t>Yolcu Bilgilendirme Sistemi Tasarımı (1 set)</t>
        </is>
      </c>
      <c r="D171" s="28">
        <f>'Haberlesme'!J461</f>
        <v/>
      </c>
    </row>
    <row r="172">
      <c r="A172" s="27" t="inlineStr">
        <is>
          <t>1 Elektrik – haberleşme/SCADA</t>
        </is>
      </c>
      <c r="B172" s="27" t="inlineStr">
        <is>
          <t>311</t>
        </is>
      </c>
      <c r="C172" s="27" t="inlineStr">
        <is>
          <t>Göbekli Tepe İstasyonu Yolcu Bilgilendirme Sistemi (1 set)</t>
        </is>
      </c>
      <c r="D172" s="28">
        <f>'Haberlesme'!J464</f>
        <v/>
      </c>
    </row>
    <row r="173">
      <c r="A173" s="27" t="inlineStr">
        <is>
          <t>1 Elektrik – haberleşme/SCADA</t>
        </is>
      </c>
      <c r="B173" s="27" t="inlineStr">
        <is>
          <t>312</t>
        </is>
      </c>
      <c r="C173" s="27" t="inlineStr">
        <is>
          <t>Hızmalı Köprüsü İstasyonu Yolcu Bilgilendirme Sistemi (1 set)</t>
        </is>
      </c>
      <c r="D173" s="28">
        <f>'Haberlesme'!J469</f>
        <v/>
      </c>
    </row>
    <row r="174">
      <c r="A174" s="27" t="inlineStr">
        <is>
          <t>1 Elektrik – haberleşme/SCADA</t>
        </is>
      </c>
      <c r="B174" s="27" t="inlineStr">
        <is>
          <t>313</t>
        </is>
      </c>
      <c r="C174" s="27" t="inlineStr">
        <is>
          <t>Balıklıgöl İstasyonu Yolcu Bilgilendirme Sistemi (1 set)</t>
        </is>
      </c>
      <c r="D174" s="28">
        <f>'Haberlesme'!J474</f>
        <v/>
      </c>
    </row>
    <row r="175">
      <c r="A175" s="27" t="inlineStr">
        <is>
          <t>1 Elektrik – haberleşme/SCADA</t>
        </is>
      </c>
      <c r="B175" s="27" t="inlineStr">
        <is>
          <t>314</t>
        </is>
      </c>
      <c r="C175" s="27" t="inlineStr">
        <is>
          <t>Eyüp Peygamber İstasyonu Yolcu Bilgilendirme Sistemi (1 set)</t>
        </is>
      </c>
      <c r="D175" s="28">
        <f>'Haberlesme'!J479</f>
        <v/>
      </c>
    </row>
    <row r="176">
      <c r="A176" s="27" t="inlineStr">
        <is>
          <t>1 Elektrik – haberleşme/SCADA</t>
        </is>
      </c>
      <c r="B176" s="27" t="inlineStr">
        <is>
          <t>315</t>
        </is>
      </c>
      <c r="C176" s="27" t="inlineStr">
        <is>
          <t>Rasathane İstasyonu Yolcu Bilgilendirme Sistemi (1 set)</t>
        </is>
      </c>
      <c r="D176" s="28">
        <f>'Haberlesme'!J484</f>
        <v/>
      </c>
    </row>
    <row r="177">
      <c r="A177" s="27" t="inlineStr">
        <is>
          <t>1 Elektrik – haberleşme/SCADA</t>
        </is>
      </c>
      <c r="B177" s="27" t="inlineStr">
        <is>
          <t>316</t>
        </is>
      </c>
      <c r="C177" s="27" t="inlineStr">
        <is>
          <t>Harran İstasyonu Yolcu Bilgilendirme Sistemi (1 set)</t>
        </is>
      </c>
      <c r="D177" s="28">
        <f>'Haberlesme'!J489</f>
        <v/>
      </c>
    </row>
    <row r="178">
      <c r="A178" s="27" t="inlineStr">
        <is>
          <t>1 Elektrik – haberleşme/SCADA</t>
        </is>
      </c>
      <c r="B178" s="27" t="inlineStr">
        <is>
          <t>317</t>
        </is>
      </c>
      <c r="C178" s="27" t="inlineStr">
        <is>
          <t>Yolcu Bilgilendirme Sistemi Merkez Donanımı&amp;Yazılımı (1 set)</t>
        </is>
      </c>
      <c r="D178" s="28">
        <f>'Haberlesme'!J494</f>
        <v/>
      </c>
    </row>
    <row r="179">
      <c r="A179" s="27" t="inlineStr">
        <is>
          <t>1 Elektrik – haberleşme/SCADA</t>
        </is>
      </c>
      <c r="B179" s="27" t="inlineStr">
        <is>
          <t>318</t>
        </is>
      </c>
      <c r="C179" s="27" t="inlineStr">
        <is>
          <t>Yolcu Geçiş Kontrol (Ücret Toplama) Sistemi Tasarımı (1 set)</t>
        </is>
      </c>
      <c r="D179" s="28">
        <f>'Haberlesme'!J499</f>
        <v/>
      </c>
    </row>
    <row r="180">
      <c r="A180" s="27" t="inlineStr">
        <is>
          <t>1 Elektrik – haberleşme/SCADA</t>
        </is>
      </c>
      <c r="B180" s="27" t="inlineStr">
        <is>
          <t>319</t>
        </is>
      </c>
      <c r="C180" s="27" t="inlineStr">
        <is>
          <t>Yolcu Geçiş Kontrol (Ücret Toplama) Sistemi Giriş/Çıkış Turnikesi (27 adet)</t>
        </is>
      </c>
      <c r="D180" s="28">
        <f>'Haberlesme'!J502</f>
        <v/>
      </c>
    </row>
    <row r="181">
      <c r="A181" s="27" t="inlineStr">
        <is>
          <t>1 Elektrik – haberleşme/SCADA</t>
        </is>
      </c>
      <c r="B181" s="27" t="inlineStr">
        <is>
          <t>320</t>
        </is>
      </c>
      <c r="C181" s="27" t="inlineStr">
        <is>
          <t>Yolcu Geçiş Kontrol (Ücret Toplama) Sistemi Engelli Geçiş Turnikesi (Validatörlü) (19 adet)</t>
        </is>
      </c>
      <c r="D181" s="28">
        <f>'Haberlesme'!J505</f>
        <v/>
      </c>
    </row>
    <row r="182">
      <c r="A182" s="27" t="inlineStr">
        <is>
          <t>1 Elektrik – haberleşme/SCADA</t>
        </is>
      </c>
      <c r="B182" s="27" t="inlineStr">
        <is>
          <t>321</t>
        </is>
      </c>
      <c r="C182" s="27" t="inlineStr">
        <is>
          <t>Yolcu Geçiş Kontrol (Ücret Toplama) Sistemi İstasyonlar Donanımı ve Yazılımı (1 set)</t>
        </is>
      </c>
      <c r="D182" s="28">
        <f>'Haberlesme'!J508</f>
        <v/>
      </c>
    </row>
    <row r="183">
      <c r="A183" s="27" t="inlineStr">
        <is>
          <t>2 Mekanik</t>
        </is>
      </c>
      <c r="B183" s="27" t="inlineStr">
        <is>
          <t>159</t>
        </is>
      </c>
      <c r="C183" s="27" t="inlineStr">
        <is>
          <t>Harran İstasyonu Isıtma Soğutma Sistemi (1 set)</t>
        </is>
      </c>
      <c r="D183" s="28">
        <f>'Mekanik'!J5</f>
        <v/>
      </c>
    </row>
    <row r="184">
      <c r="A184" s="27" t="inlineStr">
        <is>
          <t>2 Mekanik</t>
        </is>
      </c>
      <c r="B184" s="27" t="inlineStr">
        <is>
          <t>160</t>
        </is>
      </c>
      <c r="C184" s="27" t="inlineStr">
        <is>
          <t>Rasathane İstasyonu Isıtma Soğutma Sistemi (1 set)</t>
        </is>
      </c>
      <c r="D184" s="28">
        <f>'Mekanik'!J14</f>
        <v/>
      </c>
    </row>
    <row r="185">
      <c r="A185" s="27" t="inlineStr">
        <is>
          <t>2 Mekanik</t>
        </is>
      </c>
      <c r="B185" s="27" t="inlineStr">
        <is>
          <t>161</t>
        </is>
      </c>
      <c r="C185" s="27" t="inlineStr">
        <is>
          <t>Eyüp Peygamber İstasyonu Isıtma Soğutma Sistemi (1 set)</t>
        </is>
      </c>
      <c r="D185" s="28">
        <f>'Mekanik'!J23</f>
        <v/>
      </c>
    </row>
    <row r="186">
      <c r="A186" s="27" t="inlineStr">
        <is>
          <t>2 Mekanik</t>
        </is>
      </c>
      <c r="B186" s="27" t="inlineStr">
        <is>
          <t>162</t>
        </is>
      </c>
      <c r="C186" s="27" t="inlineStr">
        <is>
          <t>Balıklıgöl İstasyonu Isıtma Soğutma Sistemi (1 set)</t>
        </is>
      </c>
      <c r="D186" s="28">
        <f>'Mekanik'!J32</f>
        <v/>
      </c>
    </row>
    <row r="187">
      <c r="A187" s="27" t="inlineStr">
        <is>
          <t>2 Mekanik</t>
        </is>
      </c>
      <c r="B187" s="27" t="inlineStr">
        <is>
          <t>163</t>
        </is>
      </c>
      <c r="C187" s="27" t="inlineStr">
        <is>
          <t>Hızmalı Köprüsü İstasyonu Isıtma Soğutma Sistemi (1 set)</t>
        </is>
      </c>
      <c r="D187" s="28">
        <f>'Mekanik'!J41</f>
        <v/>
      </c>
    </row>
    <row r="188">
      <c r="A188" s="27" t="inlineStr">
        <is>
          <t>2 Mekanik</t>
        </is>
      </c>
      <c r="B188" s="27" t="inlineStr">
        <is>
          <t>164</t>
        </is>
      </c>
      <c r="C188" s="27" t="inlineStr">
        <is>
          <t>Göbeklitepe İstasyonu Isıtma Soğutma Sistemi (1 set)</t>
        </is>
      </c>
      <c r="D188" s="28">
        <f>'Mekanik'!J50</f>
        <v/>
      </c>
    </row>
    <row r="189">
      <c r="A189" s="27" t="inlineStr">
        <is>
          <t>2 Mekanik</t>
        </is>
      </c>
      <c r="B189" s="27" t="inlineStr">
        <is>
          <t>165</t>
        </is>
      </c>
      <c r="C189" s="27" t="inlineStr">
        <is>
          <t>Trafo Binaları Isıtma Soğutma Sistemi (4 set)</t>
        </is>
      </c>
      <c r="D189" s="28">
        <f>'Mekanik'!J59</f>
        <v/>
      </c>
    </row>
    <row r="190">
      <c r="A190" s="27" t="inlineStr">
        <is>
          <t>2 Mekanik</t>
        </is>
      </c>
      <c r="B190" s="27" t="inlineStr">
        <is>
          <t>166</t>
        </is>
      </c>
      <c r="C190" s="27" t="inlineStr">
        <is>
          <t>Depo-Kontrol Binaları Isıtma Soğutma Sistemi (1 set)</t>
        </is>
      </c>
      <c r="D190" s="28">
        <f>'Mekanik'!J72</f>
        <v/>
      </c>
    </row>
    <row r="191">
      <c r="A191" s="27" t="inlineStr">
        <is>
          <t>2 Mekanik</t>
        </is>
      </c>
      <c r="B191" s="27" t="inlineStr">
        <is>
          <t>167</t>
        </is>
      </c>
      <c r="C191" s="27" t="inlineStr">
        <is>
          <t>Trafo Binaları Havalandırma Sistemi (4 set)</t>
        </is>
      </c>
      <c r="D191" s="28">
        <f>'Mekanik'!J105</f>
        <v/>
      </c>
    </row>
    <row r="192">
      <c r="A192" s="27" t="inlineStr">
        <is>
          <t>2 Mekanik</t>
        </is>
      </c>
      <c r="B192" s="27" t="inlineStr">
        <is>
          <t>168</t>
        </is>
      </c>
      <c r="C192" s="27" t="inlineStr">
        <is>
          <t>Depo-Kontrol Binaları Havalandırma Sistemi (1 set)</t>
        </is>
      </c>
      <c r="D192" s="28">
        <f>'Mekanik'!J110</f>
        <v/>
      </c>
    </row>
    <row r="193">
      <c r="A193" s="27" t="inlineStr">
        <is>
          <t>2 Mekanik</t>
        </is>
      </c>
      <c r="B193" s="27" t="inlineStr">
        <is>
          <t>343</t>
        </is>
      </c>
      <c r="C193" s="27" t="inlineStr">
        <is>
          <t>Harran İstasyonu Yangından Kor. ve Yangınla Mücadele Sistemi (1 set)</t>
        </is>
      </c>
      <c r="D193" s="28">
        <f>'Mekanik'!J140</f>
        <v/>
      </c>
    </row>
    <row r="194">
      <c r="A194" s="27" t="inlineStr">
        <is>
          <t>2 Mekanik</t>
        </is>
      </c>
      <c r="B194" s="27" t="inlineStr">
        <is>
          <t>344</t>
        </is>
      </c>
      <c r="C194" s="27" t="inlineStr">
        <is>
          <t>Rasathane İstasyonu Yangından Kor. ve Yangınla Mücadele Sistemi (1 set)</t>
        </is>
      </c>
      <c r="D194" s="28">
        <f>'Mekanik'!J143</f>
        <v/>
      </c>
    </row>
    <row r="195">
      <c r="A195" s="27" t="inlineStr">
        <is>
          <t>2 Mekanik</t>
        </is>
      </c>
      <c r="B195" s="27" t="inlineStr">
        <is>
          <t>345</t>
        </is>
      </c>
      <c r="C195" s="27" t="inlineStr">
        <is>
          <t>Eyüp Peygamber İstasyonu Yangından Kor. ve Yangınla Mücadele Sistemi (1 set)</t>
        </is>
      </c>
      <c r="D195" s="28">
        <f>'Mekanik'!J146</f>
        <v/>
      </c>
    </row>
    <row r="196">
      <c r="A196" s="27" t="inlineStr">
        <is>
          <t>2 Mekanik</t>
        </is>
      </c>
      <c r="B196" s="27" t="inlineStr">
        <is>
          <t>346</t>
        </is>
      </c>
      <c r="C196" s="27" t="inlineStr">
        <is>
          <t>Balıklıgöl İstasyonu Yangından Kor. ve Yangınla Mücadele Sistemi (1 set)</t>
        </is>
      </c>
      <c r="D196" s="28">
        <f>'Mekanik'!J149</f>
        <v/>
      </c>
    </row>
    <row r="197">
      <c r="A197" s="27" t="inlineStr">
        <is>
          <t>2 Mekanik</t>
        </is>
      </c>
      <c r="B197" s="27" t="inlineStr">
        <is>
          <t>347</t>
        </is>
      </c>
      <c r="C197" s="27" t="inlineStr">
        <is>
          <t>Hızmalı Köprüsü İstasyonu Yangından Kor. ve Yangınla Mücadele Sistemi (1 set)</t>
        </is>
      </c>
      <c r="D197" s="28">
        <f>'Mekanik'!J152</f>
        <v/>
      </c>
    </row>
    <row r="198">
      <c r="A198" s="27" t="inlineStr">
        <is>
          <t>2 Mekanik</t>
        </is>
      </c>
      <c r="B198" s="27" t="inlineStr">
        <is>
          <t>348</t>
        </is>
      </c>
      <c r="C198" s="27" t="inlineStr">
        <is>
          <t>Göbeklitepe İstasyonu Yangından Kor. ve Yangınla Mücadele Sistemi (1 set)</t>
        </is>
      </c>
      <c r="D198" s="28">
        <f>'Mekanik'!J155</f>
        <v/>
      </c>
    </row>
    <row r="199">
      <c r="A199" s="27" t="inlineStr">
        <is>
          <t>2 Mekanik</t>
        </is>
      </c>
      <c r="B199" s="27" t="inlineStr">
        <is>
          <t>349</t>
        </is>
      </c>
      <c r="C199" s="27" t="inlineStr">
        <is>
          <t>Trafo Binaları Yangından Kor. ve Yangınla Mücadele Sistemi (4 set)</t>
        </is>
      </c>
      <c r="D199" s="28">
        <f>'Mekanik'!J158</f>
        <v/>
      </c>
    </row>
    <row r="200">
      <c r="A200" s="27" t="inlineStr">
        <is>
          <t>2 Mekanik</t>
        </is>
      </c>
      <c r="B200" s="27" t="inlineStr">
        <is>
          <t>350</t>
        </is>
      </c>
      <c r="C200" s="27" t="inlineStr">
        <is>
          <t>Depo-Kontrol Binaları Yangından Kor. ve Yangınla Mücadele Sistemi (1 set)</t>
        </is>
      </c>
      <c r="D200" s="28">
        <f>'Mekanik'!J160</f>
        <v/>
      </c>
    </row>
    <row r="201">
      <c r="A201" s="27" t="inlineStr">
        <is>
          <t>2 Mekanik</t>
        </is>
      </c>
      <c r="B201" s="27" t="inlineStr">
        <is>
          <t>351</t>
        </is>
      </c>
      <c r="C201" s="27" t="inlineStr">
        <is>
          <t>Harran İstasyonu Drenaj Sistemi (1 set)</t>
        </is>
      </c>
      <c r="D201" s="28">
        <f>'Mekanik'!J199</f>
        <v/>
      </c>
    </row>
    <row r="202">
      <c r="A202" s="27" t="inlineStr">
        <is>
          <t>2 Mekanik</t>
        </is>
      </c>
      <c r="B202" s="27" t="inlineStr">
        <is>
          <t>352</t>
        </is>
      </c>
      <c r="C202" s="27" t="inlineStr">
        <is>
          <t>Rasathane İstasyonu Drenaj Sistemi (1 set)</t>
        </is>
      </c>
      <c r="D202" s="28">
        <f>'Mekanik'!J204</f>
        <v/>
      </c>
    </row>
    <row r="203">
      <c r="A203" s="27" t="inlineStr">
        <is>
          <t>2 Mekanik</t>
        </is>
      </c>
      <c r="B203" s="27" t="inlineStr">
        <is>
          <t>353</t>
        </is>
      </c>
      <c r="C203" s="27" t="inlineStr">
        <is>
          <t>Eyüp Peygamber İstasyonu Drenaj Sistemi (1 set)</t>
        </is>
      </c>
      <c r="D203" s="28">
        <f>'Mekanik'!J209</f>
        <v/>
      </c>
    </row>
    <row r="204">
      <c r="A204" s="27" t="inlineStr">
        <is>
          <t>2 Mekanik</t>
        </is>
      </c>
      <c r="B204" s="27" t="inlineStr">
        <is>
          <t>354</t>
        </is>
      </c>
      <c r="C204" s="27" t="inlineStr">
        <is>
          <t>Balıklıgöl İstasyonu Drenaj Sistemi (1 set)</t>
        </is>
      </c>
      <c r="D204" s="28">
        <f>'Mekanik'!J214</f>
        <v/>
      </c>
    </row>
    <row r="205">
      <c r="A205" s="27" t="inlineStr">
        <is>
          <t>2 Mekanik</t>
        </is>
      </c>
      <c r="B205" s="27" t="inlineStr">
        <is>
          <t>355</t>
        </is>
      </c>
      <c r="C205" s="27" t="inlineStr">
        <is>
          <t>Hızmalı Köprüsü İstasyonu Drenaj Sistemi (1 set)</t>
        </is>
      </c>
      <c r="D205" s="28">
        <f>'Mekanik'!J219</f>
        <v/>
      </c>
    </row>
    <row r="206">
      <c r="A206" s="27" t="inlineStr">
        <is>
          <t>2 Mekanik</t>
        </is>
      </c>
      <c r="B206" s="27" t="inlineStr">
        <is>
          <t>356</t>
        </is>
      </c>
      <c r="C206" s="27" t="inlineStr">
        <is>
          <t>Göbeklitepe İstasyonu Drenaj Sistemi (1 set)</t>
        </is>
      </c>
      <c r="D206" s="28">
        <f>'Mekanik'!J224</f>
        <v/>
      </c>
    </row>
    <row r="207">
      <c r="A207" s="27" t="inlineStr">
        <is>
          <t>2 Mekanik</t>
        </is>
      </c>
      <c r="B207" s="27" t="inlineStr">
        <is>
          <t>357</t>
        </is>
      </c>
      <c r="C207" s="27" t="inlineStr">
        <is>
          <t>Trafo Binaları Drenaj Sistemi (4 set)</t>
        </is>
      </c>
      <c r="D207" s="28">
        <f>'Mekanik'!J228</f>
        <v/>
      </c>
    </row>
    <row r="208">
      <c r="A208" s="27" t="inlineStr">
        <is>
          <t>2 Mekanik</t>
        </is>
      </c>
      <c r="B208" s="27" t="inlineStr">
        <is>
          <t>358</t>
        </is>
      </c>
      <c r="C208" s="27" t="inlineStr">
        <is>
          <t>Depo-Kontrol Binaları Drenaj Sistemi (1 set)</t>
        </is>
      </c>
      <c r="D208" s="28">
        <f>'Mekanik'!J230</f>
        <v/>
      </c>
    </row>
    <row r="209">
      <c r="A209" s="27" t="inlineStr">
        <is>
          <t>2 Mekanik</t>
        </is>
      </c>
      <c r="B209" s="27" t="inlineStr">
        <is>
          <t>359</t>
        </is>
      </c>
      <c r="C209" s="27" t="inlineStr">
        <is>
          <t>Yaya Üst Geçidi Drenaj Sistemi (4 set)</t>
        </is>
      </c>
      <c r="D209" s="28">
        <f>'Mekanik'!J248</f>
        <v/>
      </c>
    </row>
    <row r="210">
      <c r="A210" s="27" t="inlineStr">
        <is>
          <t>2 Mekanik</t>
        </is>
      </c>
      <c r="B210" s="27" t="inlineStr">
        <is>
          <t>360</t>
        </is>
      </c>
      <c r="C210" s="27" t="inlineStr">
        <is>
          <t>Depo-Kontrol Binaları Kullanım Suyu ve Sıhhi Tesisat Sistemi (1 set)</t>
        </is>
      </c>
      <c r="D210" s="28">
        <f>'Mekanik'!J252</f>
        <v/>
      </c>
    </row>
    <row r="211">
      <c r="A211" s="27" t="inlineStr">
        <is>
          <t>2 Mekanik</t>
        </is>
      </c>
      <c r="B211" s="27" t="inlineStr">
        <is>
          <t>361</t>
        </is>
      </c>
      <c r="C211" s="27" t="inlineStr">
        <is>
          <t>Depo-Kontrol Binaları Kanalizasyon Sistemi (1 set)</t>
        </is>
      </c>
      <c r="D211" s="28">
        <f>'Mekanik'!J289</f>
        <v/>
      </c>
    </row>
    <row r="212">
      <c r="A212" s="27" t="inlineStr">
        <is>
          <t>2 Mekanik</t>
        </is>
      </c>
      <c r="B212" s="27" t="inlineStr">
        <is>
          <t>362</t>
        </is>
      </c>
      <c r="C212" s="27" t="inlineStr">
        <is>
          <t>Depo-Kontrol Binaları Basınçlı Hava Sistemi (1 set)</t>
        </is>
      </c>
      <c r="D212" s="28">
        <f>'Mekanik'!J302</f>
        <v/>
      </c>
    </row>
    <row r="213">
      <c r="A213" s="27" t="inlineStr">
        <is>
          <t>2 Mekanik</t>
        </is>
      </c>
      <c r="B213" s="27" t="inlineStr">
        <is>
          <t>363</t>
        </is>
      </c>
      <c r="C213" s="27" t="inlineStr">
        <is>
          <t>Depo-Kontrol Binaları Basınçlı Hava Sistemi Tasarımı (1 set)</t>
        </is>
      </c>
      <c r="D213" s="28">
        <f>'Mekanik'!J318</f>
        <v/>
      </c>
    </row>
    <row r="214">
      <c r="A214" s="27" t="inlineStr">
        <is>
          <t>3 Asansör</t>
        </is>
      </c>
      <c r="B214" s="27" t="inlineStr">
        <is>
          <t>364</t>
        </is>
      </c>
      <c r="C214" s="27" t="inlineStr">
        <is>
          <t>2 Duraklı 13 Kişilik Asansör (12 adet – 4 üst geçit × 3)</t>
        </is>
      </c>
      <c r="D214" s="28">
        <f>'Asansor'!J5</f>
        <v/>
      </c>
    </row>
    <row r="215">
      <c r="A215" s="27" t="inlineStr">
        <is>
          <t>3 Asansör</t>
        </is>
      </c>
      <c r="B215" s="27" t="inlineStr">
        <is>
          <t>365</t>
        </is>
      </c>
      <c r="C215" s="27" t="inlineStr">
        <is>
          <t>2 Duraklı 10 Kişilik 800 kg Asansör (D01 idari bina)</t>
        </is>
      </c>
      <c r="D215" s="28">
        <f>'Asansor'!J10</f>
        <v/>
      </c>
    </row>
    <row r="216">
      <c r="A216" s="27" t="inlineStr">
        <is>
          <t>4 Sinyalizasyon</t>
        </is>
      </c>
      <c r="B216" s="27" t="inlineStr">
        <is>
          <t>228</t>
        </is>
      </c>
      <c r="C216" s="27" t="inlineStr">
        <is>
          <t>Sinyalizasyon Sistemi Tasarımı</t>
        </is>
      </c>
      <c r="D216" s="28">
        <f>'Sinyal'!J5</f>
        <v/>
      </c>
    </row>
    <row r="217">
      <c r="A217" s="27" t="inlineStr">
        <is>
          <t>4 Sinyalizasyon</t>
        </is>
      </c>
      <c r="B217" s="27" t="inlineStr">
        <is>
          <t>229</t>
        </is>
      </c>
      <c r="C217" s="27" t="inlineStr">
        <is>
          <t>Hat Boyu Sinyalizasyon Sistemi</t>
        </is>
      </c>
      <c r="D217" s="28">
        <f>'Sinyal'!J7</f>
        <v/>
      </c>
    </row>
    <row r="218">
      <c r="A218" s="27" t="inlineStr">
        <is>
          <t>4 Sinyalizasyon</t>
        </is>
      </c>
      <c r="B218" s="27" t="inlineStr">
        <is>
          <t>230</t>
        </is>
      </c>
      <c r="C218" s="27" t="inlineStr">
        <is>
          <t>Depo Sahası ve Tesisleri Sinyalizasyon Sistemi</t>
        </is>
      </c>
      <c r="D218" s="28">
        <f>'Sinyal'!J47</f>
        <v/>
      </c>
    </row>
    <row r="219">
      <c r="A219" s="27" t="inlineStr">
        <is>
          <t>4 Sinyalizasyon</t>
        </is>
      </c>
      <c r="B219" s="27" t="inlineStr">
        <is>
          <t>231</t>
        </is>
      </c>
      <c r="C219" s="27" t="inlineStr">
        <is>
          <t>Araç Üstü Sinyalizasyon Sistemi</t>
        </is>
      </c>
      <c r="D219" s="28">
        <f>'Sinyal'!J66</f>
        <v/>
      </c>
    </row>
    <row r="220">
      <c r="A220" s="27" t="inlineStr">
        <is>
          <t>4 Sinyalizasyon</t>
        </is>
      </c>
      <c r="B220" s="27" t="inlineStr">
        <is>
          <t>232</t>
        </is>
      </c>
      <c r="C220" s="27" t="inlineStr">
        <is>
          <t>Sinyalizasyon Merkez Donanımı &amp; Sistem Yazılımları</t>
        </is>
      </c>
      <c r="D220" s="28">
        <f>'Sinyal'!J74</f>
        <v/>
      </c>
    </row>
    <row r="221">
      <c r="A221" s="27" t="inlineStr">
        <is>
          <t>4 Sinyalizasyon</t>
        </is>
      </c>
      <c r="B221" s="27" t="inlineStr">
        <is>
          <t>233</t>
        </is>
      </c>
      <c r="C221" s="27" t="inlineStr">
        <is>
          <t>Araç Takip Sistemi (AVLS) – araç üstü ve saha</t>
        </is>
      </c>
      <c r="D221" s="28">
        <f>'Sinyal'!J88</f>
        <v/>
      </c>
    </row>
    <row r="222">
      <c r="A222" s="27" t="inlineStr">
        <is>
          <t>4 Sinyalizasyon</t>
        </is>
      </c>
      <c r="B222" s="27" t="inlineStr">
        <is>
          <t>234</t>
        </is>
      </c>
      <c r="C222" s="27" t="inlineStr">
        <is>
          <t>Tramvay Araç Takip Sistemi Merkezi Donanımı ve Yazılımı</t>
        </is>
      </c>
      <c r="D222" s="28">
        <f>'Sinyal'!J90</f>
        <v/>
      </c>
    </row>
    <row r="223">
      <c r="A223" s="27" t="inlineStr">
        <is>
          <t>4 Sinyalizasyon</t>
        </is>
      </c>
      <c r="B223" s="27" t="inlineStr">
        <is>
          <t>235</t>
        </is>
      </c>
      <c r="C223" s="27" t="inlineStr">
        <is>
          <t>Araç Takip Sistemi Tasarımı</t>
        </is>
      </c>
      <c r="D223" s="28">
        <f>'Sinyal'!J92</f>
        <v/>
      </c>
    </row>
    <row r="224">
      <c r="A224" s="27" t="inlineStr">
        <is>
          <t>5 Elektrifikasyon – güç temini/cer</t>
        </is>
      </c>
      <c r="B224" s="27" t="inlineStr">
        <is>
          <t>169</t>
        </is>
      </c>
      <c r="C224" s="27" t="inlineStr">
        <is>
          <t>Güç Temini ve Cer Gücü Tasarımı</t>
        </is>
      </c>
      <c r="D224" s="28">
        <f>'Cer_Guc'!J5</f>
        <v/>
      </c>
    </row>
    <row r="225">
      <c r="A225" s="27" t="inlineStr">
        <is>
          <t>5 Elektrifikasyon – güç temini/cer</t>
        </is>
      </c>
      <c r="B225" s="27" t="inlineStr">
        <is>
          <t>170</t>
        </is>
      </c>
      <c r="C225" s="27" t="inlineStr">
        <is>
          <t>OG Ring Şebekesi 3×1×240/25 mm² 20,3/35 kV Al XLPE</t>
        </is>
      </c>
      <c r="D225" s="28">
        <f>'Cer_Guc'!J8</f>
        <v/>
      </c>
    </row>
    <row r="226">
      <c r="A226" s="27" t="inlineStr">
        <is>
          <t>5 Elektrifikasyon – güç temini/cer</t>
        </is>
      </c>
      <c r="B226" s="27" t="inlineStr">
        <is>
          <t>171</t>
        </is>
      </c>
      <c r="C226" s="27" t="inlineStr">
        <is>
          <t>TEİAŞ Bağlantısı 2×4×(1×400+35) mm² 20,3/35 kV – transe dahil</t>
        </is>
      </c>
      <c r="D226" s="28">
        <f>'Cer_Guc'!J16</f>
        <v/>
      </c>
    </row>
    <row r="227">
      <c r="A227" s="27" t="inlineStr">
        <is>
          <t>5 Elektrifikasyon – güç temini/cer</t>
        </is>
      </c>
      <c r="B227" s="27" t="inlineStr">
        <is>
          <t>172</t>
        </is>
      </c>
      <c r="C227" s="27" t="inlineStr">
        <is>
          <t>Enerji Kalitesi ve Yönetimi Sistemi</t>
        </is>
      </c>
      <c r="D227" s="28">
        <f>'Cer_Guc'!J31</f>
        <v/>
      </c>
    </row>
    <row r="228">
      <c r="A228" s="27" t="inlineStr">
        <is>
          <t>5 Elektrifikasyon – güç temini/cer</t>
        </is>
      </c>
      <c r="B228" s="27" t="inlineStr">
        <is>
          <t>173</t>
        </is>
      </c>
      <c r="C228" s="27" t="inlineStr">
        <is>
          <t>Ring Giriş/Çıkış 34,5 kV Şalt Panosu (12 hücre)</t>
        </is>
      </c>
      <c r="D228" s="28">
        <f>'Cer_Guc'!J43</f>
        <v/>
      </c>
    </row>
    <row r="229">
      <c r="A229" s="27" t="inlineStr">
        <is>
          <t>5 Elektrifikasyon – güç temini/cer</t>
        </is>
      </c>
      <c r="B229" s="27" t="inlineStr">
        <is>
          <t>174</t>
        </is>
      </c>
      <c r="C229" s="27" t="inlineStr">
        <is>
          <t>Cer Trafo Besleme 34,5 kV Şalt Panosu (5 hücre)</t>
        </is>
      </c>
      <c r="D229" s="28">
        <f>'Cer_Guc'!J45</f>
        <v/>
      </c>
    </row>
    <row r="230">
      <c r="A230" s="27" t="inlineStr">
        <is>
          <t>5 Elektrifikasyon – güç temini/cer</t>
        </is>
      </c>
      <c r="B230" s="27" t="inlineStr">
        <is>
          <t>175</t>
        </is>
      </c>
      <c r="C230" s="27" t="inlineStr">
        <is>
          <t>İç İhtiyaç Trafo Besleme 34,5 kV Şalt Panosu (6 hücre)</t>
        </is>
      </c>
      <c r="D230" s="28">
        <f>'Cer_Guc'!J49</f>
        <v/>
      </c>
    </row>
    <row r="231">
      <c r="A231" s="27" t="inlineStr">
        <is>
          <t>5 Elektrifikasyon – güç temini/cer</t>
        </is>
      </c>
      <c r="B231" s="27" t="inlineStr">
        <is>
          <t>176</t>
        </is>
      </c>
      <c r="C231" s="27" t="inlineStr">
        <is>
          <t>Ölçü 34,5 kV Şalt Panosu</t>
        </is>
      </c>
      <c r="D231" s="28">
        <f>'Cer_Guc'!J53</f>
        <v/>
      </c>
    </row>
    <row r="232">
      <c r="A232" s="27" t="inlineStr">
        <is>
          <t>5 Elektrifikasyon – güç temini/cer</t>
        </is>
      </c>
      <c r="B232" s="27" t="inlineStr">
        <is>
          <t>177</t>
        </is>
      </c>
      <c r="C232" s="27" t="inlineStr">
        <is>
          <t>TEİAŞ Giriş 34,5 kV Şalt Panosu (mevcut TM-4'te fider ilavesi)</t>
        </is>
      </c>
      <c r="D232" s="28">
        <f>'Cer_Guc'!J57</f>
        <v/>
      </c>
    </row>
    <row r="233">
      <c r="A233" s="27" t="inlineStr">
        <is>
          <t>5 Elektrifikasyon – güç temini/cer</t>
        </is>
      </c>
      <c r="B233" s="27" t="inlineStr">
        <is>
          <t>178</t>
        </is>
      </c>
      <c r="C233" s="27" t="inlineStr">
        <is>
          <t>Hat TM İç İhtiyaç Trafosu 250 kVA (4 adet)</t>
        </is>
      </c>
      <c r="D233" s="28">
        <f>'Cer_Guc'!J59</f>
        <v/>
      </c>
    </row>
    <row r="234">
      <c r="A234" s="27" t="inlineStr">
        <is>
          <t>5 Elektrifikasyon – güç temini/cer</t>
        </is>
      </c>
      <c r="B234" s="27" t="inlineStr">
        <is>
          <t>179</t>
        </is>
      </c>
      <c r="C234" s="27" t="inlineStr">
        <is>
          <t>Depo TM İç İhtiyaç Trafosu 2000 kVA (2 adet)</t>
        </is>
      </c>
      <c r="D234" s="28">
        <f>'Cer_Guc'!J61</f>
        <v/>
      </c>
    </row>
    <row r="235">
      <c r="A235" s="27" t="inlineStr">
        <is>
          <t>5 Elektrifikasyon – güç temini/cer</t>
        </is>
      </c>
      <c r="B235" s="27" t="inlineStr">
        <is>
          <t>187</t>
        </is>
      </c>
      <c r="C235" s="27" t="inlineStr">
        <is>
          <t>Hat Trafo Binaları AG Ana Dağıtım Panoları (4 set)</t>
        </is>
      </c>
      <c r="D235" s="28">
        <f>'Cer_Guc'!J63</f>
        <v/>
      </c>
    </row>
    <row r="236">
      <c r="A236" s="27" t="inlineStr">
        <is>
          <t>5 Elektrifikasyon – güç temini/cer</t>
        </is>
      </c>
      <c r="B236" s="27" t="inlineStr">
        <is>
          <t>188</t>
        </is>
      </c>
      <c r="C236" s="27" t="inlineStr">
        <is>
          <t>Hat TM Cer Merkezi – 1×2,75 MVA (4 adet)</t>
        </is>
      </c>
      <c r="D236" s="28">
        <f>'Cer_Guc'!J65</f>
        <v/>
      </c>
    </row>
    <row r="237">
      <c r="A237" s="27" t="inlineStr">
        <is>
          <t>5 Elektrifikasyon – güç temini/cer</t>
        </is>
      </c>
      <c r="B237" s="27" t="inlineStr">
        <is>
          <t>189</t>
        </is>
      </c>
      <c r="C237" s="27" t="inlineStr">
        <is>
          <t>Depo TM Cer Merkezi – 1×2,75 MVA (1 adet)</t>
        </is>
      </c>
      <c r="D237" s="28">
        <f>'Cer_Guc'!J83</f>
        <v/>
      </c>
    </row>
    <row r="238">
      <c r="A238" s="27" t="inlineStr">
        <is>
          <t>5 Elektrifikasyon – güç temini/cer</t>
        </is>
      </c>
      <c r="B238" s="27" t="inlineStr">
        <is>
          <t>197</t>
        </is>
      </c>
      <c r="C238" s="27" t="inlineStr">
        <is>
          <t>Hat Trafo Binaları Topraklama Tesisatı (4 set)</t>
        </is>
      </c>
      <c r="D238" s="28">
        <f>'Cer_Guc'!J101</f>
        <v/>
      </c>
    </row>
    <row r="239">
      <c r="A239" s="27" t="inlineStr">
        <is>
          <t>5 Elektrifikasyon – güç temini/cer</t>
        </is>
      </c>
      <c r="B239" s="27" t="inlineStr">
        <is>
          <t>200</t>
        </is>
      </c>
      <c r="C239" s="27" t="inlineStr">
        <is>
          <t>Hat TM 110 V DC Akü-Şarj (4 set)</t>
        </is>
      </c>
      <c r="D239" s="28">
        <f>'Cer_Guc'!J107</f>
        <v/>
      </c>
    </row>
    <row r="240">
      <c r="A240" s="27" t="inlineStr">
        <is>
          <t>5 Elektrifikasyon – güç temini/cer</t>
        </is>
      </c>
      <c r="B240" s="27" t="inlineStr">
        <is>
          <t>201</t>
        </is>
      </c>
      <c r="C240" s="27" t="inlineStr">
        <is>
          <t>Depo TM 110 V DC Akü-Şarj (1 set)</t>
        </is>
      </c>
      <c r="D240" s="28">
        <f>'Cer_Guc'!J109</f>
        <v/>
      </c>
    </row>
    <row r="241">
      <c r="A241" s="27" t="inlineStr">
        <is>
          <t>5 Elektrifikasyon – güç temini/cer</t>
        </is>
      </c>
      <c r="B241" s="27" t="inlineStr">
        <is>
          <t>202-208</t>
        </is>
      </c>
      <c r="C241" s="27" t="inlineStr">
        <is>
          <t>İstasyon (6) ve Depo Kaçak Akım İzleme / Korozyon Kontrolü</t>
        </is>
      </c>
      <c r="D241" s="28">
        <f>'Cer_Guc'!J111</f>
        <v/>
      </c>
    </row>
    <row r="242">
      <c r="A242" s="27" t="inlineStr">
        <is>
          <t>5 Elektrifikasyon – güç temini/cer</t>
        </is>
      </c>
      <c r="B242" s="27" t="inlineStr">
        <is>
          <t>209</t>
        </is>
      </c>
      <c r="C242" s="27" t="inlineStr">
        <is>
          <t>Hat TM Kaçak Akım İzleme (4 set)</t>
        </is>
      </c>
      <c r="D242" s="28">
        <f>'Cer_Guc'!J114</f>
        <v/>
      </c>
    </row>
    <row r="243">
      <c r="A243" s="27" t="inlineStr">
        <is>
          <t>5 Elektrifikasyon – güç temini/cer</t>
        </is>
      </c>
      <c r="B243" s="27" t="inlineStr">
        <is>
          <t>210</t>
        </is>
      </c>
      <c r="C243" s="27" t="inlineStr">
        <is>
          <t>Hatboyu ve Üst Geçit Kaçak Akım İzleme / Korozyon Kontrolü</t>
        </is>
      </c>
      <c r="D243" s="28">
        <f>'Cer_Guc'!J117</f>
        <v/>
      </c>
    </row>
    <row r="244">
      <c r="A244" s="27" t="inlineStr">
        <is>
          <t>5 Elektrifikasyon – güç temini/cer</t>
        </is>
      </c>
      <c r="B244" s="27" t="inlineStr">
        <is>
          <t>219</t>
        </is>
      </c>
      <c r="C244" s="27" t="inlineStr">
        <is>
          <t>Hat Trafo Binaları AG Kabloları ve Kablo Taşıma (4 set)</t>
        </is>
      </c>
      <c r="D244" s="28">
        <f>'Cer_Guc'!J119</f>
        <v/>
      </c>
    </row>
    <row r="245">
      <c r="A245" s="27" t="inlineStr">
        <is>
          <t>5 Elektrifikasyon – güç temini/cer</t>
        </is>
      </c>
      <c r="B245" s="27" t="inlineStr">
        <is>
          <t>227</t>
        </is>
      </c>
      <c r="C245" s="27" t="inlineStr">
        <is>
          <t>Depo Trafo Binası Busbar (kablo bağlantısı)</t>
        </is>
      </c>
      <c r="D245" s="28">
        <f>'Cer_Guc'!J122</f>
        <v/>
      </c>
    </row>
    <row r="246">
      <c r="A246" s="27" t="inlineStr">
        <is>
          <t>5 Elektrifikasyon – katener</t>
        </is>
      </c>
      <c r="B246" s="27" t="inlineStr">
        <is>
          <t>220</t>
        </is>
      </c>
      <c r="C246" s="27" t="inlineStr">
        <is>
          <t>Hat Boyu ve Depo Bağlantı Hatları Katener Sistemi</t>
        </is>
      </c>
      <c r="D246" s="28">
        <f>'Katener'!J5</f>
        <v/>
      </c>
    </row>
    <row r="247">
      <c r="A247" s="27" t="inlineStr">
        <is>
          <t>5 Elektrifikasyon – katener</t>
        </is>
      </c>
      <c r="B247" s="27" t="inlineStr">
        <is>
          <t>221</t>
        </is>
      </c>
      <c r="C247" s="27" t="inlineStr">
        <is>
          <t>Depo Sahası ve Tesisleri Katener Sistemi</t>
        </is>
      </c>
      <c r="D247" s="28">
        <f>'Katener'!J42</f>
        <v/>
      </c>
    </row>
    <row r="248">
      <c r="A248" s="27" t="inlineStr">
        <is>
          <t>5 Elektrifikasyon – katener</t>
        </is>
      </c>
      <c r="B248" s="27" t="inlineStr">
        <is>
          <t>222</t>
        </is>
      </c>
      <c r="C248" s="27" t="inlineStr">
        <is>
          <t>T1-A Tipi Katener Direği (114 adet)</t>
        </is>
      </c>
      <c r="D248" s="28">
        <f>'Katener'!J75</f>
        <v/>
      </c>
    </row>
    <row r="249">
      <c r="A249" s="27" t="inlineStr">
        <is>
          <t>5 Elektrifikasyon – katener</t>
        </is>
      </c>
      <c r="B249" s="27" t="inlineStr">
        <is>
          <t>223</t>
        </is>
      </c>
      <c r="C249" s="27" t="inlineStr">
        <is>
          <t>T2-B Tipi Katener Direği (17 adet)</t>
        </is>
      </c>
      <c r="D249" s="28">
        <f>'Katener'!J79</f>
        <v/>
      </c>
    </row>
    <row r="250">
      <c r="A250" s="27" t="inlineStr">
        <is>
          <t>5 Elektrifikasyon – katener</t>
        </is>
      </c>
      <c r="B250" s="27" t="inlineStr">
        <is>
          <t>224</t>
        </is>
      </c>
      <c r="C250" s="27" t="inlineStr">
        <is>
          <t>T2-B1 Tipi Katener Direği (4 adet)</t>
        </is>
      </c>
      <c r="D250" s="28">
        <f>'Katener'!J83</f>
        <v/>
      </c>
    </row>
    <row r="251">
      <c r="A251" s="27" t="inlineStr">
        <is>
          <t>5 Elektrifikasyon – katener</t>
        </is>
      </c>
      <c r="B251" s="27" t="inlineStr">
        <is>
          <t>225</t>
        </is>
      </c>
      <c r="C251" s="27" t="inlineStr">
        <is>
          <t>T3-D Tipi Katener Direği (33 adet)</t>
        </is>
      </c>
      <c r="D251" s="28">
        <f>'Katener'!J87</f>
        <v/>
      </c>
    </row>
    <row r="252">
      <c r="A252" s="27" t="inlineStr">
        <is>
          <t>5 Elektrifikasyon – katener</t>
        </is>
      </c>
      <c r="B252" s="27" t="inlineStr">
        <is>
          <t>226</t>
        </is>
      </c>
      <c r="C252" s="27" t="inlineStr">
        <is>
          <t>T3-C Tipi Katener Direği (60 adet)</t>
        </is>
      </c>
      <c r="D252" s="28">
        <f>'Katener'!J91</f>
        <v/>
      </c>
    </row>
    <row r="253"/>
    <row r="254"/>
    <row r="255" ht="15" customHeight="1">
      <c r="A255" s="33" t="inlineStr">
        <is>
          <t>NOTLAR</t>
        </is>
      </c>
    </row>
    <row r="256" ht="32" customHeight="1">
      <c r="A256" s="2" t="inlineStr">
        <is>
          <t>1. Kalem bazlı bütçe: RFQ cetvellerindeki alt kalemler × birim fiyat. Birim fiyat önceliği: 2026 teklifi &gt; geçmiş teklif referansı (EM_Butce_Tahmini, HICP ile Ağu-2026'ya taşınmış, tramvay/LRT öncelikli) &gt; mühendislik tahmini. Her satırda kaynak yazılıdır.</t>
        </is>
      </c>
    </row>
    <row r="257" ht="32" customHeight="1">
      <c r="A257" s="2" t="inlineStr">
        <is>
          <t>2. İdare cevaplarına göre düzeltmeler Idare_Duzeltme sayfasında; değişen miktarlar disiplin sayfalarında turuncu işaretlidir. 'RFQ miktarlarıyla' sütunu aynı birim fiyatlarla düzeltmesiz tutarı gösterir.</t>
        </is>
      </c>
    </row>
    <row r="258" ht="32" customHeight="1">
      <c r="A258" s="2" t="inlineStr">
        <is>
          <t>3. Risk payı, eksik teklif ve öngörü miktarları için Varsayımlar sayfasından değiştirilebilir. Önerilen bütçe = kalem bazlı × (1 + risk payı).</t>
        </is>
      </c>
    </row>
    <row r="259" ht="32" customHeight="1">
      <c r="A259" s="2" t="inlineStr">
        <is>
          <t>4. Kapsam dışı: katener direk temelleri (sıra 13, inşaat), depo ekipmanları (vinç, lift, katener bakım aracı – yüklenici), modüler kabinler ve kabin splitleri (sıra 143), asansör kuyusu; yürüyen merdiven ihalede yok. Kavşak TSKP/trafik lambaları kapsam dışı.</t>
        </is>
      </c>
    </row>
    <row r="260" ht="32" customHeight="1">
      <c r="A260" s="2" t="inlineStr">
        <is>
          <t>5. Sinyalizasyonda ayrı proje yoktur; miktarlar şematik paftalardan öngörülmüştür. Point Link/CASCO teklifi (7.281.784 € DAP, gümrük ve KDV hariç) kalem dökümü alınana kadar yalnız üst sınır göstergesidir.</t>
        </is>
      </c>
    </row>
    <row r="261" ht="32" customHeight="1">
      <c r="A261" s="2" t="inlineStr">
        <is>
          <t>6. Kur: EUR/USD ve EUR/TRY Varsayımlar sayfasındadır (Eylül 2026 sonu piyasa değerleri); teklif günü kuruyla güncellenmelidir.</t>
        </is>
      </c>
    </row>
    <row r="262" ht="32" customHeight="1">
      <c r="A262" s="2" t="inlineStr">
        <is>
          <t>7. Gelen yeni teklifler (Mitaş, Erbakır, DeSA, Best Transformer, Contirail vb.) ilgili satırın birim fiyatına yazılarak bütçe güncellenebilir.</t>
        </is>
      </c>
    </row>
  </sheetData>
  <mergeCells count="19">
    <mergeCell ref="A258:K258"/>
    <mergeCell ref="A261:K261"/>
    <mergeCell ref="A257:K257"/>
    <mergeCell ref="A260:K260"/>
    <mergeCell ref="B29:D29"/>
    <mergeCell ref="B28:D28"/>
    <mergeCell ref="A256:K256"/>
    <mergeCell ref="A41:H41"/>
    <mergeCell ref="A255:K255"/>
    <mergeCell ref="B45:D45"/>
    <mergeCell ref="A2:K2"/>
    <mergeCell ref="B26:D26"/>
    <mergeCell ref="A47:H47"/>
    <mergeCell ref="B25:D25"/>
    <mergeCell ref="A259:K259"/>
    <mergeCell ref="A262:K262"/>
    <mergeCell ref="B46:D46"/>
    <mergeCell ref="B27:D27"/>
    <mergeCell ref="A31:H31"/>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58"/>
  <sheetViews>
    <sheetView showGridLines="0" zoomScale="90" workbookViewId="0">
      <selection activeCell="A1" sqref="A1"/>
    </sheetView>
  </sheetViews>
  <sheetFormatPr baseColWidth="8" defaultRowHeight="15"/>
  <cols>
    <col width="4" customWidth="1" min="1" max="1"/>
    <col width="3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row r="2">
      <c r="B2" s="34" t="inlineStr">
        <is>
          <t>BİRİM FİYATLAR NASIL BELİRLENDİ? – YÖNTEM VE İZLENEBİLİRLİK</t>
        </is>
      </c>
    </row>
    <row r="3" ht="32" customHeight="1">
      <c r="B3" s="2" t="inlineStr">
        <is>
          <t>Bu bütçedeki her kalem, cetveldeki miktarı ve izlenebilir bir fiyat kaynağıyla birlikte verilmiştir. Aşağıda fiyatların hangi veriden, hangi kurallarla ve hangi düzeltmelerle türetildiği adım adım açıklanmıştır.</t>
        </is>
      </c>
    </row>
    <row r="4"/>
    <row r="5"/>
    <row r="6">
      <c r="B6" s="4" t="inlineStr">
        <is>
          <t>1. FİYAT ÖNCELİK SIRASI (her kalem için bu sırayla)</t>
        </is>
      </c>
      <c r="C6" s="5" t="n"/>
      <c r="D6" s="5" t="n"/>
      <c r="E6" s="5" t="n"/>
      <c r="F6" s="5" t="n"/>
      <c r="G6" s="5" t="n"/>
      <c r="H6" s="5" t="n"/>
      <c r="I6" s="5" t="n"/>
      <c r="J6" s="5" t="n"/>
      <c r="K6" s="5" t="n"/>
      <c r="L6" s="5" t="n"/>
    </row>
    <row r="7" ht="30" customHeight="1">
      <c r="B7" s="3" t="inlineStr">
        <is>
          <t>Öncelik</t>
        </is>
      </c>
      <c r="C7" s="3" t="inlineStr">
        <is>
          <t>Fiyat türü</t>
        </is>
      </c>
      <c r="D7" s="3" t="inlineStr">
        <is>
          <t>Açıklama</t>
        </is>
      </c>
      <c r="E7" s="3" t="inlineStr"/>
      <c r="F7" s="3" t="inlineStr"/>
      <c r="G7" s="3" t="inlineStr"/>
      <c r="H7" s="3" t="inlineStr">
        <is>
          <t>Renk</t>
        </is>
      </c>
    </row>
    <row r="8" ht="42" customHeight="1">
      <c r="B8" s="7" t="n">
        <v>1</v>
      </c>
      <c r="C8" s="7" t="inlineStr">
        <is>
          <t>2026 TEKLİF</t>
        </is>
      </c>
      <c r="D8" s="7" t="inlineStr">
        <is>
          <t>Bu ihale için 29.09–06.10.2026 arasında alınan firma teklifleri (Schindler, TK Elevator, Emlift, Mukan Rail, ON Elektronik). Teklif kalem fiyatı doğrudan kullanılır.</t>
        </is>
      </c>
      <c r="E8" s="35" t="n"/>
      <c r="F8" s="35" t="n"/>
      <c r="G8" s="36" t="n"/>
      <c r="H8" s="37" t="inlineStr">
        <is>
          <t>Yeşil</t>
        </is>
      </c>
    </row>
    <row r="9" ht="42" customHeight="1">
      <c r="B9" s="7" t="n">
        <v>2</v>
      </c>
      <c r="C9" s="7" t="inlineStr">
        <is>
          <t>GEÇMİŞ TEKLİF UYARLAMA</t>
        </is>
      </c>
      <c r="D9" s="7" t="inlineStr">
        <is>
          <t>Aynı tip/boyutta ekipman için geçmiş raylı sistem projelerinde alınmış gerçek teklifler (emsal). Kur ve enflasyonla 2026'ya taşınır; gerekirse montaj/boyut düzeltmesi yapılır.</t>
        </is>
      </c>
      <c r="E9" s="35" t="n"/>
      <c r="F9" s="35" t="n"/>
      <c r="G9" s="36" t="n"/>
      <c r="H9" s="38" t="inlineStr">
        <is>
          <t>Mavi</t>
        </is>
      </c>
    </row>
    <row r="10" ht="42" customHeight="1">
      <c r="B10" s="7" t="n">
        <v>3</v>
      </c>
      <c r="C10" s="7" t="inlineStr">
        <is>
          <t>MÜHENDİSLİK TAHMİNİ</t>
        </is>
      </c>
      <c r="D10" s="7" t="inlineStr">
        <is>
          <t>Veritabanında karşılaştırılabilir emsal bulunmayan kalemler (tasarım, test, yazılım, inşaat payları vb.). 2026 Türkiye piyasa bilgisiyle tahmin edilir; her satırda gerekçe yazılıdır.</t>
        </is>
      </c>
      <c r="E10" s="35" t="n"/>
      <c r="F10" s="35" t="n"/>
      <c r="G10" s="36" t="n"/>
      <c r="H10" s="30" t="inlineStr">
        <is>
          <t>Sarı</t>
        </is>
      </c>
    </row>
    <row r="11" ht="42" customHeight="1">
      <c r="B11" s="7" t="inlineStr">
        <is>
          <t>–</t>
        </is>
      </c>
      <c r="C11" s="7" t="inlineStr">
        <is>
          <t>KAPSAM DIŞI (0)</t>
        </is>
      </c>
      <c r="D11" s="7" t="inlineStr">
        <is>
          <t>İdare cevaplarıyla (05.10.2026) kapsam dışı kalan kalemler; miktar 0, bilgi için satırda bırakılmıştır.</t>
        </is>
      </c>
      <c r="E11" s="35" t="n"/>
      <c r="F11" s="35" t="n"/>
      <c r="G11" s="36" t="n"/>
      <c r="H11" s="39" t="inlineStr">
        <is>
          <t>Gri</t>
        </is>
      </c>
    </row>
    <row r="12"/>
    <row r="13">
      <c r="B13" s="4" t="inlineStr">
        <is>
          <t>2. GEÇMİŞ TEKLİF VERİTABANI</t>
        </is>
      </c>
      <c r="C13" s="5" t="n"/>
      <c r="D13" s="5" t="n"/>
      <c r="E13" s="5" t="n"/>
      <c r="F13" s="5" t="n"/>
      <c r="G13" s="5" t="n"/>
      <c r="H13" s="5" t="n"/>
      <c r="I13" s="5" t="n"/>
      <c r="J13" s="5" t="n"/>
      <c r="K13" s="5" t="n"/>
      <c r="L13" s="5" t="n"/>
    </row>
    <row r="14" ht="32" customHeight="1">
      <c r="B14" s="2" t="inlineStr">
        <is>
          <t>Kaynak: MEP Center proje arşivindeki raylı sistem projelerinin 'MALIYET / GELEN_TEKLIF' klasörlerinde bulunan tedarikçi teklifleri. Tekliflerdeki fiyat satırları tek tek okunmuş, her satır kaynak dosya yolu, firma, tarih, para birimi ve kapsamıyla (malzeme / malzeme+montaj) kaydedilmiştir.</t>
        </is>
      </c>
    </row>
    <row r="15" ht="30" customHeight="1">
      <c r="B15" s="3" t="inlineStr">
        <is>
          <t>Gösterge</t>
        </is>
      </c>
      <c r="C15" s="3" t="inlineStr">
        <is>
          <t>Veritabanı (tümü)</t>
        </is>
      </c>
      <c r="D15" s="3" t="inlineStr">
        <is>
          <t>Bu bütçede kullanılan emsaller</t>
        </is>
      </c>
    </row>
    <row r="16">
      <c r="B16" s="7" t="inlineStr">
        <is>
          <t>Fiyat satırı</t>
        </is>
      </c>
      <c r="C16" s="40" t="n">
        <v>6809</v>
      </c>
      <c r="D16" s="40">
        <f>COUNTA(Emsal_Kaynaklari!A5:A5000)</f>
        <v/>
      </c>
    </row>
    <row r="17">
      <c r="B17" s="7" t="inlineStr">
        <is>
          <t>Proje</t>
        </is>
      </c>
      <c r="C17" s="40" t="n">
        <v>42</v>
      </c>
      <c r="D17" s="40" t="n">
        <v>28</v>
      </c>
    </row>
    <row r="18">
      <c r="B18" s="7" t="inlineStr">
        <is>
          <t>Firma</t>
        </is>
      </c>
      <c r="C18" s="40" t="n">
        <v>222</v>
      </c>
      <c r="D18" s="40" t="n">
        <v>103</v>
      </c>
    </row>
    <row r="19">
      <c r="B19" s="7" t="inlineStr">
        <is>
          <t>Teklif yılları</t>
        </is>
      </c>
      <c r="C19" s="40" t="inlineStr">
        <is>
          <t>2008 – 2025</t>
        </is>
      </c>
      <c r="D19" s="40" t="inlineStr">
        <is>
          <t>ağırlıkla 2014 – 2025</t>
        </is>
      </c>
    </row>
    <row r="20">
      <c r="B20" s="7" t="inlineStr">
        <is>
          <t>Tramvay / LRT satırı</t>
        </is>
      </c>
      <c r="C20" s="40" t="n">
        <v>1352</v>
      </c>
      <c r="D20" s="40" t="n">
        <v>535</v>
      </c>
    </row>
    <row r="21">
      <c r="B21" s="7" t="inlineStr">
        <is>
          <t>Metro satırı</t>
        </is>
      </c>
      <c r="C21" s="40" t="n">
        <v>3273</v>
      </c>
      <c r="D21" s="40" t="n">
        <v>509</v>
      </c>
    </row>
    <row r="22">
      <c r="B22" s="7" t="inlineStr">
        <is>
          <t>Diğer (YHT, banliyö, anahat, bina)</t>
        </is>
      </c>
      <c r="C22" s="40" t="n">
        <v>2184</v>
      </c>
      <c r="D22" s="40" t="n">
        <v>139</v>
      </c>
    </row>
    <row r="23" ht="46" customHeight="1">
      <c r="B23" s="2" t="inlineStr">
        <is>
          <t>Başlıca tramvay/LRT referansları: Bursa T2 Kent Meydanı–Terminal (Haluk, MET, AKE, Delta, FER, AKT), İzmir Konak/Karşıyaka tramvayı (Siemens, Usluel, Hanning &amp; Kahl, CONTEC, Aktif, Netaş), Kocaeli tramvayı (Sekaray, Özgür Mak., Uluhanlar), Konya Alaaddin–Adliye (Hanning &amp; Kahl, ABB), Eminönü–Alibeyköy (Elektroline), Samsun LRT (Usluel, Balfour Beatty, Uskom). Metro referansları (İzmir Buca, Narlıdere, Kabataş–Mahmutbey, Kirazlı–Halkalı vb.) yalnız tramvay emsali yoksa ve ölçek düzeltmesiyle kullanılmıştır.</t>
        </is>
      </c>
    </row>
    <row r="24"/>
    <row r="25">
      <c r="B25" s="4" t="inlineStr">
        <is>
          <t>3. FİYATI 2026'YA TAŞIMA ZİNCİRİ</t>
        </is>
      </c>
      <c r="C25" s="5" t="n"/>
      <c r="D25" s="5" t="n"/>
      <c r="E25" s="5" t="n"/>
      <c r="F25" s="5" t="n"/>
      <c r="G25" s="5" t="n"/>
      <c r="H25" s="5" t="n"/>
      <c r="I25" s="5" t="n"/>
      <c r="J25" s="5" t="n"/>
      <c r="K25" s="5" t="n"/>
      <c r="L25" s="5" t="n"/>
    </row>
    <row r="26" ht="30" customHeight="1">
      <c r="B26" s="3" t="inlineStr">
        <is>
          <t>Adım</t>
        </is>
      </c>
      <c r="C26" s="3" t="inlineStr">
        <is>
          <t>İşlem</t>
        </is>
      </c>
      <c r="D26" s="3" t="inlineStr">
        <is>
          <t>Kaynak</t>
        </is>
      </c>
    </row>
    <row r="27" ht="30" customHeight="1">
      <c r="B27" s="7" t="inlineStr">
        <is>
          <t>1</t>
        </is>
      </c>
      <c r="C27" s="7" t="inlineStr">
        <is>
          <t>Orijinal birim fiyat (teklifteki para birimi ile)</t>
        </is>
      </c>
      <c r="D27" s="35" t="n"/>
      <c r="E27" s="35" t="n"/>
      <c r="F27" s="36" t="n"/>
    </row>
    <row r="28" ht="30" customHeight="1">
      <c r="B28" s="7" t="inlineStr">
        <is>
          <t>2</t>
        </is>
      </c>
      <c r="C28" s="7" t="inlineStr">
        <is>
          <t>EUR'ya çevirme: Fiyat ÷ teklif günündeki kur (TRY, USD → EUR)</t>
        </is>
      </c>
      <c r="D28" s="35" t="n"/>
      <c r="E28" s="35" t="n"/>
      <c r="F28" s="36" t="n"/>
    </row>
    <row r="29" ht="30" customHeight="1">
      <c r="B29" s="7" t="inlineStr">
        <is>
          <t>3</t>
        </is>
      </c>
      <c r="C29" s="7" t="inlineStr">
        <is>
          <t>Enflasyon eskalasyonu: × HICP(Ağu-2026) ÷ HICP(teklif ayı)</t>
        </is>
      </c>
      <c r="D29" s="35" t="n"/>
      <c r="E29" s="35" t="n"/>
      <c r="F29" s="36" t="n"/>
    </row>
    <row r="30" ht="30" customHeight="1">
      <c r="B30" s="7" t="inlineStr">
        <is>
          <t>4</t>
        </is>
      </c>
      <c r="C30" s="7" t="inlineStr">
        <is>
          <t>Kapsam düzeltmesi: yalnız malzeme ise montaj payı eklenir</t>
        </is>
      </c>
      <c r="D30" s="35" t="n"/>
      <c r="E30" s="35" t="n"/>
      <c r="F30" s="36" t="n"/>
    </row>
    <row r="31" ht="30" customHeight="1">
      <c r="B31" s="7" t="inlineStr">
        <is>
          <t>5</t>
        </is>
      </c>
      <c r="C31" s="7" t="inlineStr">
        <is>
          <t>Boyut/teknoloji düzeltmesi (kVA, kW, kesit, yaş)</t>
        </is>
      </c>
      <c r="D31" s="35" t="n"/>
      <c r="E31" s="35" t="n"/>
      <c r="F31" s="36" t="n"/>
    </row>
    <row r="32" ht="30" customHeight="1">
      <c r="B32" s="7" t="inlineStr">
        <is>
          <t>6</t>
        </is>
      </c>
      <c r="C32" s="7" t="inlineStr">
        <is>
          <t>Emsallerin medyanı alınır (≥2 emsal); tek emsalde mevcut tahminle %50 harmanlanır</t>
        </is>
      </c>
      <c r="D32" s="35" t="n"/>
      <c r="E32" s="35" t="n"/>
      <c r="F32" s="36" t="n"/>
    </row>
    <row r="33"/>
    <row r="34">
      <c r="B34" s="4" t="inlineStr">
        <is>
          <t>4. ÖRNEK HESAPLAR (canlı formül – hücreleri değiştirerek kontrol edilebilir)</t>
        </is>
      </c>
      <c r="C34" s="5" t="n"/>
      <c r="D34" s="5" t="n"/>
      <c r="E34" s="5" t="n"/>
      <c r="F34" s="5" t="n"/>
      <c r="G34" s="5" t="n"/>
      <c r="H34" s="5" t="n"/>
      <c r="I34" s="5" t="n"/>
      <c r="J34" s="5" t="n"/>
      <c r="K34" s="5" t="n"/>
      <c r="L34" s="5" t="n"/>
    </row>
    <row r="35" ht="32" customHeight="1">
      <c r="B35" s="3" t="inlineStr">
        <is>
          <t>Kalem</t>
        </is>
      </c>
      <c r="C35" s="3" t="inlineStr">
        <is>
          <t>Emsal (ID – proje – firma – tarih)</t>
        </is>
      </c>
      <c r="D35" s="3" t="inlineStr">
        <is>
          <t>Orijinal fiyat</t>
        </is>
      </c>
      <c r="E35" s="3" t="inlineStr">
        <is>
          <t>Para birimi</t>
        </is>
      </c>
      <c r="F35" s="3" t="inlineStr">
        <is>
          <t>Kur (1 EUR =)</t>
        </is>
      </c>
      <c r="G35" s="3" t="inlineStr">
        <is>
          <t>EUR (teklif günü)</t>
        </is>
      </c>
      <c r="H35" s="3" t="inlineStr">
        <is>
          <t>HICP teklif ayı</t>
        </is>
      </c>
      <c r="I35" s="3" t="inlineStr">
        <is>
          <t>HICP Ağu-2026</t>
        </is>
      </c>
      <c r="J35" s="3" t="inlineStr">
        <is>
          <t>Eskalasyon katsayısı</t>
        </is>
      </c>
      <c r="K35" s="3" t="inlineStr">
        <is>
          <t>EUR Ağu-2026</t>
        </is>
      </c>
      <c r="L35" s="3" t="inlineStr">
        <is>
          <t>Bütçe BF €</t>
        </is>
      </c>
    </row>
    <row r="36" ht="45" customHeight="1">
      <c r="B36" s="7" t="inlineStr">
        <is>
          <t>DC fider hücresi HSCB (Cer_Guc 188)</t>
        </is>
      </c>
      <c r="C36" s="7" t="inlineStr">
        <is>
          <t>R00877 – Bursa T2 Kent Meydanı–Terminal – Haluk Elektrik – 04.06.2015</t>
        </is>
      </c>
      <c r="D36" s="41" t="n">
        <v>102250</v>
      </c>
      <c r="E36" s="7" t="inlineStr">
        <is>
          <t>TRY</t>
        </is>
      </c>
      <c r="F36" s="42" t="n">
        <v>3.0377</v>
      </c>
      <c r="G36" s="41">
        <f>D36/F36</f>
        <v/>
      </c>
      <c r="H36" s="42" t="n">
        <v>100.72</v>
      </c>
      <c r="I36" s="42" t="n">
        <v>133.57723</v>
      </c>
      <c r="J36" s="42">
        <f>I36/H36</f>
        <v/>
      </c>
      <c r="K36" s="43">
        <f>G36*J36</f>
        <v/>
      </c>
      <c r="L36" s="7" t="inlineStr">
        <is>
          <t>Haluk 44.641 / MET 43.769 / Kocaeli 74.194 → medyan 44.641 €</t>
        </is>
      </c>
    </row>
    <row r="37" ht="45" customHeight="1">
      <c r="B37" s="7" t="inlineStr">
        <is>
          <t>Depo elektrikli makas motoru (Sinyal 230)</t>
        </is>
      </c>
      <c r="C37" s="7" t="inlineStr">
        <is>
          <t>R06521 – İzmir Konak tramvayı – Hanning &amp; Kahl – 11.02.2014</t>
        </is>
      </c>
      <c r="D37" s="41" t="n">
        <v>10920</v>
      </c>
      <c r="E37" s="7" t="inlineStr">
        <is>
          <t>EUR</t>
        </is>
      </c>
      <c r="F37" s="42" t="n">
        <v>1</v>
      </c>
      <c r="G37" s="41">
        <f>D37/F37</f>
        <v/>
      </c>
      <c r="H37" s="42" t="n">
        <v>99.14</v>
      </c>
      <c r="I37" s="42" t="n">
        <v>133.57723</v>
      </c>
      <c r="J37" s="42">
        <f>I37/H37</f>
        <v/>
      </c>
      <c r="K37" s="43">
        <f>G37*J37</f>
        <v/>
      </c>
      <c r="L37" s="7" t="inlineStr">
        <is>
          <t>H&amp;K 14.713 / CONTEC 15.090 / Elektroline 9.121 → medyan 14.713 + %8 montaj = 15.890 €</t>
        </is>
      </c>
    </row>
    <row r="38" ht="45" customHeight="1">
      <c r="B38" s="7" t="inlineStr">
        <is>
          <t>OG kablo 1×400 Al 36 kV (Cer_Guc 171)</t>
        </is>
      </c>
      <c r="C38" s="7" t="inlineStr">
        <is>
          <t>R00678 – İzmir Üçyol–Buca metrosu – Türk Prysmian – 03.05.2021</t>
        </is>
      </c>
      <c r="D38" s="41" t="n">
        <v>14.43</v>
      </c>
      <c r="E38" s="7" t="inlineStr">
        <is>
          <t>USD</t>
        </is>
      </c>
      <c r="F38" s="42" t="n">
        <v>1.2044</v>
      </c>
      <c r="G38" s="41">
        <f>D38/F38</f>
        <v/>
      </c>
      <c r="H38" s="42" t="n">
        <v>107.42</v>
      </c>
      <c r="I38" s="42" t="n">
        <v>133.57723</v>
      </c>
      <c r="J38" s="42">
        <f>I38/H38</f>
        <v/>
      </c>
      <c r="K38" s="43">
        <f>G38*J38</f>
        <v/>
      </c>
      <c r="L38" s="7" t="inlineStr">
        <is>
          <t>Prysmian 14,90 + 2 € çekme; Haluk 17,29; MET 19,14 → medyan 17,29 €/m</t>
        </is>
      </c>
    </row>
    <row r="39" ht="32" customHeight="1">
      <c r="B39" s="2" t="inlineStr">
        <is>
          <t>Örnek: Haluk'un 2015'teki 102.250 TL'lik DC fider hücresi, teklif günü kuru 3,0377 ile 33.660 €; Euro Bölgesi enflasyonu ile (×1,3262) Ağustos 2026'da 44.641 € eder. Aynı kalem için başka bağımsız tekliflerle birlikte medyan alınır; tek bir teklif bütçeyi belirlemez.</t>
        </is>
      </c>
    </row>
    <row r="40"/>
    <row r="41">
      <c r="B41" s="4" t="inlineStr">
        <is>
          <t>5. DÜZELTME KURALLARI</t>
        </is>
      </c>
      <c r="C41" s="5" t="n"/>
      <c r="D41" s="5" t="n"/>
      <c r="E41" s="5" t="n"/>
      <c r="F41" s="5" t="n"/>
      <c r="G41" s="5" t="n"/>
      <c r="H41" s="5" t="n"/>
      <c r="I41" s="5" t="n"/>
      <c r="J41" s="5" t="n"/>
      <c r="K41" s="5" t="n"/>
      <c r="L41" s="5" t="n"/>
    </row>
    <row r="42" ht="30" customHeight="1">
      <c r="B42" s="3" t="inlineStr">
        <is>
          <t>Durum</t>
        </is>
      </c>
      <c r="C42" s="3" t="inlineStr">
        <is>
          <t>Uygulanan düzeltme</t>
        </is>
      </c>
      <c r="D42" s="3" t="inlineStr">
        <is>
          <t>Gerekçe</t>
        </is>
      </c>
    </row>
    <row r="43" ht="32" customHeight="1">
      <c r="B43" s="7" t="inlineStr">
        <is>
          <t>Emsal yalnız malzeme (montaj hariç)</t>
        </is>
      </c>
      <c r="C43" s="7" t="inlineStr">
        <is>
          <t>Kablo +%25–35 · tava +%40 · armatür/dedektör +%30 · ekipman +%8–20 · elektronik +%5–15</t>
        </is>
      </c>
      <c r="D43" s="35" t="n"/>
      <c r="E43" s="35" t="n"/>
      <c r="F43" s="35" t="n"/>
      <c r="G43" s="36" t="n"/>
    </row>
    <row r="44" ht="32" customHeight="1">
      <c r="B44" s="7" t="inlineStr">
        <is>
          <t>Farklı güç/boyut</t>
        </is>
      </c>
      <c r="C44" s="7" t="inlineStr">
        <is>
          <t>Trafo kVA^0,6 · VRF kW^0,8 · kompresör debi^0,7 · kablo kesit/bakır ağırlığı oranı</t>
        </is>
      </c>
      <c r="D44" s="35" t="n"/>
      <c r="E44" s="35" t="n"/>
      <c r="F44" s="35" t="n"/>
      <c r="G44" s="36" t="n"/>
    </row>
    <row r="45" ht="32" customHeight="1">
      <c r="B45" s="7" t="inlineStr">
        <is>
          <t>Eski elektronik (CCTV, IT, sunucu)</t>
        </is>
      </c>
      <c r="C45" s="7" t="inlineStr">
        <is>
          <t>2014 öncesi ×0,4–0,5 · 2015 ×0,85</t>
        </is>
      </c>
      <c r="D45" s="35" t="n"/>
      <c r="E45" s="35" t="n"/>
      <c r="F45" s="35" t="n"/>
      <c r="G45" s="36" t="n"/>
    </row>
    <row r="46" ht="32" customHeight="1">
      <c r="B46" s="7" t="inlineStr">
        <is>
          <t>Bakır yoğun kalemler (2012–2015 emsal)</t>
        </is>
      </c>
      <c r="C46" s="7" t="inlineStr">
        <is>
          <t>+%15–30</t>
        </is>
      </c>
      <c r="D46" s="35" t="n"/>
      <c r="E46" s="35" t="n"/>
      <c r="F46" s="35" t="n"/>
      <c r="G46" s="36" t="n"/>
    </row>
    <row r="47" ht="32" customHeight="1">
      <c r="B47" s="7" t="inlineStr">
        <is>
          <t>Metro (1500 V DC, yeraltı) emsali</t>
        </is>
      </c>
      <c r="C47" s="7" t="inlineStr">
        <is>
          <t>Ölçek ve gerilim düzeltmesi, ancak tramvay emsali yoksa</t>
        </is>
      </c>
      <c r="D47" s="35" t="n"/>
      <c r="E47" s="35" t="n"/>
      <c r="F47" s="35" t="n"/>
      <c r="G47" s="36" t="n"/>
    </row>
    <row r="48" ht="32" customHeight="1">
      <c r="B48" s="7" t="inlineStr">
        <is>
          <t>Tek emsal</t>
        </is>
      </c>
      <c r="C48" s="7" t="inlineStr">
        <is>
          <t>Mevcut tahminle %50 harman ('REF-derin(1)')</t>
        </is>
      </c>
      <c r="D48" s="35" t="n"/>
      <c r="E48" s="35" t="n"/>
      <c r="F48" s="35" t="n"/>
      <c r="G48" s="36" t="n"/>
    </row>
    <row r="49" ht="32" customHeight="1">
      <c r="B49" s="7" t="inlineStr">
        <is>
          <t>İç maliyet / keşif (İDİS, MET keşfi vb.)</t>
        </is>
      </c>
      <c r="C49" s="7" t="inlineStr">
        <is>
          <t>Düşük ağırlık; gerçek tedarikçi teklifi varsa kullanılmaz</t>
        </is>
      </c>
      <c r="D49" s="35" t="n"/>
      <c r="E49" s="35" t="n"/>
      <c r="F49" s="35" t="n"/>
      <c r="G49" s="36" t="n"/>
    </row>
    <row r="50"/>
    <row r="51">
      <c r="B51" s="4" t="inlineStr">
        <is>
          <t>6. MİKTARLAR</t>
        </is>
      </c>
      <c r="C51" s="5" t="n"/>
      <c r="D51" s="5" t="n"/>
      <c r="E51" s="5" t="n"/>
      <c r="F51" s="5" t="n"/>
      <c r="G51" s="5" t="n"/>
      <c r="H51" s="5" t="n"/>
      <c r="I51" s="5" t="n"/>
      <c r="J51" s="5" t="n"/>
      <c r="K51" s="5" t="n"/>
      <c r="L51" s="5" t="n"/>
    </row>
    <row r="52" ht="58" customHeight="1">
      <c r="B52" s="2" t="inlineStr">
        <is>
          <t>Miktarlar idarenin birim fiyat cetveli, ihale projeleri ve şartnamelerden çıkarılan RFQ (teklif talebi) cetvellerinden alınmıştır. Tedarikçilere gönderilen cetvellerde bilinçli olarak yukarıdan tutulan metraj payları (uzunluklarda %10 fire; Mekanik/Elektrik set alt kalemlerinde dağıtık malzemeye %30) bu bütçede geri alınmıştır (Varsayımlar'da açılıp kapatılabilir). İdarenin 05.10.2026 tarihli açıklama cevapları uygulanmıştır (Idare_Duzeltme sayfası): 14 araç, tüm makaslar motorlu, ana hatta lente yok, kavşak TSKP kapsam dışı, hat 6,44 km, OG ring 7.964 m, fiber 24/8 core SM, istasyon UPS 20 dk vb.</t>
        </is>
      </c>
    </row>
    <row r="53"/>
    <row r="54">
      <c r="B54" s="4" t="inlineStr">
        <is>
          <t>7. KONTROLLER</t>
        </is>
      </c>
      <c r="C54" s="5" t="n"/>
      <c r="D54" s="5" t="n"/>
      <c r="E54" s="5" t="n"/>
      <c r="F54" s="5" t="n"/>
      <c r="G54" s="5" t="n"/>
      <c r="H54" s="5" t="n"/>
      <c r="I54" s="5" t="n"/>
      <c r="J54" s="5" t="n"/>
      <c r="K54" s="5" t="n"/>
      <c r="L54" s="5" t="n"/>
    </row>
    <row r="55" ht="62" customHeight="1">
      <c r="B55" s="2" t="inlineStr">
        <is>
          <t>• Her kalem tek tek eşleştirilmiş; emsal ID'leri ilgili satırın 'Fiyat kaynağı / emsal' sütununda ve Emsal_Kaynaklari sayfasında yer alır.  • Disiplin toplamları sistem bazlı ölçütlerle (hat-km, makas başı, TM başı) karşılaştırılmıştır (Ozet ve Teklifler).  • Gelen 2026 teklifleri bütçe karşılığıyla kıyaslanmıştır (Teklif_Degerlendirme): Asansör ±%16, AVLS +%3, saat/YBS ±%6 içinde.  • Tüm tutarlar formüllüdür; kur, risk payı ve metraj payı Varsayimlar sayfasından değiştirilebilir.</t>
        </is>
      </c>
    </row>
    <row r="56"/>
    <row r="57">
      <c r="B57" s="4" t="inlineStr">
        <is>
          <t>8. SINIRLAMALAR</t>
        </is>
      </c>
      <c r="C57" s="5" t="n"/>
      <c r="D57" s="5" t="n"/>
      <c r="E57" s="5" t="n"/>
      <c r="F57" s="5" t="n"/>
      <c r="G57" s="5" t="n"/>
      <c r="H57" s="5" t="n"/>
      <c r="I57" s="5" t="n"/>
      <c r="J57" s="5" t="n"/>
      <c r="K57" s="5" t="n"/>
      <c r="L57" s="5" t="n"/>
    </row>
    <row r="58" ht="32" customHeight="1">
      <c r="B58" s="2" t="inlineStr">
        <is>
          <t>Emsal bulunamayan kalemler (toplamın ~%20'si) mühendislik tahminidir; tedarikçi teklifleri geldikçe bu kalemler teklif fiyatına dönüştürülecektir. Euro Bölgesi enflasyonu Türkiye'deki yerel işçilik maliyet artışını tam yansıtmayabilir. Fiyatlar KDV, gümrük ve bakım hariçtir.</t>
        </is>
      </c>
    </row>
  </sheetData>
  <mergeCells count="37">
    <mergeCell ref="C49:G49"/>
    <mergeCell ref="D9:G9"/>
    <mergeCell ref="G28:L28"/>
    <mergeCell ref="D8:G8"/>
    <mergeCell ref="H43:L43"/>
    <mergeCell ref="B3:L3"/>
    <mergeCell ref="H44:L44"/>
    <mergeCell ref="C45:G45"/>
    <mergeCell ref="C32:F32"/>
    <mergeCell ref="C28:F28"/>
    <mergeCell ref="G30:L30"/>
    <mergeCell ref="B58:L58"/>
    <mergeCell ref="B52:L52"/>
    <mergeCell ref="C47:G47"/>
    <mergeCell ref="B39:L39"/>
    <mergeCell ref="H46:L46"/>
    <mergeCell ref="C44:G44"/>
    <mergeCell ref="C30:F30"/>
    <mergeCell ref="H49:L49"/>
    <mergeCell ref="D10:G10"/>
    <mergeCell ref="B14:L14"/>
    <mergeCell ref="B23:L23"/>
    <mergeCell ref="G29:L29"/>
    <mergeCell ref="C43:G43"/>
    <mergeCell ref="G32:L32"/>
    <mergeCell ref="H45:L45"/>
    <mergeCell ref="C46:G46"/>
    <mergeCell ref="C29:F29"/>
    <mergeCell ref="G31:L31"/>
    <mergeCell ref="D11:G11"/>
    <mergeCell ref="H47:L47"/>
    <mergeCell ref="C48:G48"/>
    <mergeCell ref="C31:F31"/>
    <mergeCell ref="G27:L27"/>
    <mergeCell ref="H48:L48"/>
    <mergeCell ref="B55:L55"/>
    <mergeCell ref="C27:F27"/>
  </mergeCells>
  <pageMargins left="0.75" right="0.75" top="1" bottom="1" header="0.5" footer="0.5"/>
  <pageSetup orientation="landscape" fitToWidth="1"/>
</worksheet>
</file>

<file path=xl/worksheets/sheet3.xml><?xml version="1.0" encoding="utf-8"?>
<worksheet xmlns="http://schemas.openxmlformats.org/spreadsheetml/2006/main">
  <sheetPr>
    <tabColor rgb="0070AD47"/>
    <outlinePr summaryBelow="1" summaryRight="1"/>
    <pageSetUpPr/>
  </sheetPr>
  <dimension ref="A1:N20"/>
  <sheetViews>
    <sheetView zoomScale="90" workbookViewId="0">
      <selection activeCell="A1" sqref="A1"/>
    </sheetView>
  </sheetViews>
  <sheetFormatPr baseColWidth="8" defaultRowHeight="15"/>
  <cols>
    <col width="18" customWidth="1" min="1" max="1"/>
    <col width="22" customWidth="1" min="2" max="2"/>
    <col width="11" customWidth="1" min="3" max="3"/>
    <col width="18" customWidth="1" min="4" max="4"/>
    <col width="13" customWidth="1" min="5" max="5"/>
    <col width="6" customWidth="1" min="6" max="6"/>
    <col width="13" customWidth="1" min="7" max="7"/>
    <col width="14" customWidth="1" min="8" max="8"/>
    <col width="8" customWidth="1" min="9" max="9"/>
    <col width="26" customWidth="1" min="10" max="10"/>
    <col width="38" customWidth="1" min="11" max="11"/>
    <col width="38" customWidth="1" min="12" max="12"/>
    <col width="22" customWidth="1" min="13" max="13"/>
    <col width="34" customWidth="1" min="14" max="14"/>
  </cols>
  <sheetData>
    <row r="1">
      <c r="A1" s="1" t="inlineStr">
        <is>
          <t>GELEN TEKLİFLERİN DEĞERLENDİRMESİ (06.10.2026 itibarıyla okunabilen teklifler)</t>
        </is>
      </c>
    </row>
    <row r="2" ht="30" customHeight="1">
      <c r="A2" s="2" t="inlineStr">
        <is>
          <t>Tutarlar KDV hariç. EUR karşılığı Varsayımlar sayfasındaki kurla. 'Bütçe karşılığı' = aynı kapsam için bu çalışmadaki kalem bazlı tutar (net metraj, idare cevaplarına göre). Fark = teklif / bütçe − 1.</t>
        </is>
      </c>
    </row>
    <row r="3"/>
    <row r="4" ht="32" customHeight="1">
      <c r="A4" s="3" t="inlineStr">
        <is>
          <t>Disiplin</t>
        </is>
      </c>
      <c r="B4" s="3" t="inlineStr">
        <is>
          <t>Firma</t>
        </is>
      </c>
      <c r="C4" s="3" t="inlineStr">
        <is>
          <t>Tarih</t>
        </is>
      </c>
      <c r="D4" s="3" t="inlineStr">
        <is>
          <t>Kapsam (cetvel sıra)</t>
        </is>
      </c>
      <c r="E4" s="3" t="inlineStr">
        <is>
          <t>Teklif tutarı</t>
        </is>
      </c>
      <c r="F4" s="3" t="inlineStr">
        <is>
          <t>PB</t>
        </is>
      </c>
      <c r="G4" s="3" t="inlineStr">
        <is>
          <t>Teklif EUR</t>
        </is>
      </c>
      <c r="H4" s="3" t="inlineStr">
        <is>
          <t>Bütçe karşılığı EUR</t>
        </is>
      </c>
      <c r="I4" s="3" t="inlineStr">
        <is>
          <t>Fark %</t>
        </is>
      </c>
      <c r="J4" s="3" t="inlineStr">
        <is>
          <t>Birim fiyat (EUR)</t>
        </is>
      </c>
      <c r="K4" s="3" t="inlineStr">
        <is>
          <t>Teknik uygunluk / sapmalar</t>
        </is>
      </c>
      <c r="L4" s="3" t="inlineStr">
        <is>
          <t>Ticari şartlar</t>
        </is>
      </c>
      <c r="M4" s="3" t="inlineStr">
        <is>
          <t>Bütçede kullanımı</t>
        </is>
      </c>
      <c r="N4" s="3" t="inlineStr">
        <is>
          <t>Değerlendirme</t>
        </is>
      </c>
    </row>
    <row r="5" ht="60" customHeight="1">
      <c r="A5" s="7" t="inlineStr">
        <is>
          <t>Asansör</t>
        </is>
      </c>
      <c r="B5" s="7" t="inlineStr">
        <is>
          <t>Schindler Türkeli</t>
        </is>
      </c>
      <c r="C5" s="7" t="inlineStr">
        <is>
          <t>01.10.2026</t>
        </is>
      </c>
      <c r="D5" s="7" t="inlineStr">
        <is>
          <t>364–365 (13 asansör)</t>
        </is>
      </c>
      <c r="E5" s="8" t="n">
        <v>480000</v>
      </c>
      <c r="F5" s="7" t="inlineStr">
        <is>
          <t>USD</t>
        </is>
      </c>
      <c r="G5" s="8">
        <f>E5/IF(F5="USD",Varsayimlar!$B$4,IF(F5="TRY",Varsayimlar!$B$5,1))</f>
        <v/>
      </c>
      <c r="H5" s="8">
        <f>'Asansor'!$J$13</f>
        <v/>
      </c>
      <c r="I5" s="44">
        <f>IF(H5=0,"",G5/H5-1)</f>
        <v/>
      </c>
      <c r="J5" s="7" t="inlineStr">
        <is>
          <t>1000 kg: 37.000 USD; 800 kg: 36.000 USD</t>
        </is>
      </c>
      <c r="K5" s="7" t="inlineStr">
        <is>
          <t>Şartnameye uygun beyan; bakım hariç</t>
        </is>
      </c>
      <c r="L5" s="7" t="inlineStr">
        <is>
          <t>Geçerlilik/ödeme Excel'de belirtilmemiş</t>
        </is>
      </c>
      <c r="M5" s="7" t="inlineStr">
        <is>
          <t>Medyan hesabına dahil</t>
        </is>
      </c>
      <c r="N5" s="7" t="inlineStr">
        <is>
          <t>En yüksek teklif; kapsam tam</t>
        </is>
      </c>
    </row>
    <row r="6" ht="60" customHeight="1">
      <c r="A6" s="7" t="inlineStr">
        <is>
          <t>Asansör</t>
        </is>
      </c>
      <c r="B6" s="7" t="inlineStr">
        <is>
          <t>TK Elevator</t>
        </is>
      </c>
      <c r="C6" s="7" t="inlineStr">
        <is>
          <t>02.10.2026</t>
        </is>
      </c>
      <c r="D6" s="7" t="inlineStr">
        <is>
          <t>364–365 (13 asansör)</t>
        </is>
      </c>
      <c r="E6" s="8" t="n">
        <v>414200</v>
      </c>
      <c r="F6" s="7" t="inlineStr">
        <is>
          <t>EUR</t>
        </is>
      </c>
      <c r="G6" s="8">
        <f>E6/IF(F6="USD",Varsayimlar!$B$4,IF(F6="TRY",Varsayimlar!$B$5,1))</f>
        <v/>
      </c>
      <c r="H6" s="8">
        <f>'Asansor'!$J$13</f>
        <v/>
      </c>
      <c r="I6" s="44">
        <f>IF(H6=0,"",G6/H6-1)</f>
        <v/>
      </c>
      <c r="J6" s="7" t="inlineStr">
        <is>
          <t>1000 kg: 32.000 (24.000 malz.+8.000 işç.); 800 kg: 30.200</t>
        </is>
      </c>
      <c r="K6" s="7" t="inlineStr">
        <is>
          <t>Antivandal CAT-2, dış ortam; kapı 900×2000 (talep 1100×2100); seyir 6 m (proje ~7,46 m)</t>
        </is>
      </c>
      <c r="L6" s="7" t="inlineStr">
        <is>
          <t>Geçerlilik 30 gün (talep 180); ödeme %50/%40/%10; teslim 8 ay; çelik işleri hariç; bakım 120 €/ay/adet</t>
        </is>
      </c>
      <c r="M6" s="7" t="inlineStr">
        <is>
          <t>Medyan = TK birim fiyatı (bütçe esası)</t>
        </is>
      </c>
      <c r="N6" s="7" t="inlineStr">
        <is>
          <t>Teknik olarak en uygun; geçerlilik süresi uzatılmalı, kapı ölçüsü teyit</t>
        </is>
      </c>
    </row>
    <row r="7" ht="60" customHeight="1">
      <c r="A7" s="7" t="inlineStr">
        <is>
          <t>Asansör</t>
        </is>
      </c>
      <c r="B7" s="7" t="inlineStr">
        <is>
          <t>Emlift</t>
        </is>
      </c>
      <c r="C7" s="7" t="inlineStr">
        <is>
          <t>05.10.2026</t>
        </is>
      </c>
      <c r="D7" s="7" t="inlineStr">
        <is>
          <t>364–365 (13 asansör)</t>
        </is>
      </c>
      <c r="E7" s="8" t="n">
        <v>19500000</v>
      </c>
      <c r="F7" s="7" t="inlineStr">
        <is>
          <t>TRY</t>
        </is>
      </c>
      <c r="G7" s="8">
        <f>E7/IF(F7="USD",Varsayimlar!$B$4,IF(F7="TRY",Varsayimlar!$B$5,1))</f>
        <v/>
      </c>
      <c r="H7" s="8">
        <f>'Asansor'!$J$13</f>
        <v/>
      </c>
      <c r="I7" s="44">
        <f>IF(H7=0,"",G7/H7-1)</f>
        <v/>
      </c>
      <c r="J7" s="7" t="inlineStr">
        <is>
          <t>1.500.000 TL/adet (≈26.700 €)</t>
        </is>
      </c>
      <c r="K7" s="7" t="inlineStr">
        <is>
          <t>Teknik föy başka işten kopya (15 m seyir, 135×145 kabin); antivandal/dış ortam yok; kapı 900×2000</t>
        </is>
      </c>
      <c r="L7" s="7" t="inlineStr">
        <is>
          <t>Geçerlilik ve ödeme şartı yok; kuyu aydınlatma, topraklama, MMO/belediye harçları hariç</t>
        </is>
      </c>
      <c r="M7" s="7" t="inlineStr">
        <is>
          <t>Medyan hesabına dahil (alt sınır)</t>
        </is>
      </c>
      <c r="N7" s="7" t="inlineStr">
        <is>
          <t>En düşük ama şartname sapmalı; teknik föy yenilenmeli</t>
        </is>
      </c>
    </row>
    <row r="8" ht="60" customHeight="1">
      <c r="A8" s="7" t="inlineStr">
        <is>
          <t>Sinyalizasyon – AVLS</t>
        </is>
      </c>
      <c r="B8" s="7" t="inlineStr">
        <is>
          <t>Mukan Rail</t>
        </is>
      </c>
      <c r="C8" s="7" t="inlineStr">
        <is>
          <t>06.10.2026</t>
        </is>
      </c>
      <c r="D8" s="7" t="inlineStr">
        <is>
          <t>233–235 (araç takip)</t>
        </is>
      </c>
      <c r="E8" s="8" t="n">
        <v>788000</v>
      </c>
      <c r="F8" s="7" t="inlineStr">
        <is>
          <t>EUR</t>
        </is>
      </c>
      <c r="G8" s="8">
        <f>E8/IF(F8="USD",Varsayimlar!$B$4,IF(F8="TRY",Varsayimlar!$B$5,1))</f>
        <v/>
      </c>
      <c r="H8" s="8">
        <f>'Sinyal'!J88+'Sinyal'!J90+'Sinyal'!J92</f>
        <v/>
      </c>
      <c r="I8" s="44">
        <f>IF(H8=0,"",G8/H8-1)</f>
        <v/>
      </c>
      <c r="J8" s="7" t="inlineStr">
        <is>
          <t>Araç başı 21.300; merkez 314.500 (yazılım+lisans 172.500); tasarım 154.000</t>
        </is>
      </c>
      <c r="K8" s="7" t="inlineStr">
        <is>
          <t>11 soruya verilen varsayımlar esas; 2 sunucu + NAS; konum güncelleme ≤3 sn</t>
        </is>
      </c>
      <c r="L8" s="7" t="inlineStr">
        <is>
          <t>Bütçesel; 180 gün; %20 avans/%70 hakediş/%10 kabul; kabin, UPS, omurga, işletme SIM, yedek parça hariç</t>
        </is>
      </c>
      <c r="M8" s="7" t="inlineStr">
        <is>
          <t>Bütçeye işlendi (233: 14 araç)</t>
        </is>
      </c>
      <c r="N8" s="7" t="inlineStr">
        <is>
          <t>Tek teklif; H&amp;K İzmir referansının ~2 katı – pazarlık payı var</t>
        </is>
      </c>
    </row>
    <row r="9" ht="60" customHeight="1">
      <c r="A9" s="7" t="inlineStr">
        <is>
          <t>Elektrik – saat sistemi</t>
        </is>
      </c>
      <c r="B9" s="7" t="inlineStr">
        <is>
          <t>ON Elektronik (RayON)</t>
        </is>
      </c>
      <c r="C9" s="7" t="inlineStr">
        <is>
          <t>06.10.2026</t>
        </is>
      </c>
      <c r="D9" s="7" t="inlineStr">
        <is>
          <t>281–289 (MSS)</t>
        </is>
      </c>
      <c r="E9" s="8" t="n">
        <v>81600</v>
      </c>
      <c r="F9" s="7" t="inlineStr">
        <is>
          <t>EUR</t>
        </is>
      </c>
      <c r="G9" s="8">
        <f>E9/IF(F9="USD",Varsayimlar!$B$4,IF(F9="TRY",Varsayimlar!$B$5,1))</f>
        <v/>
      </c>
      <c r="H9" s="8">
        <f>'Haberlesme'!J324+'Haberlesme'!J327+'Haberlesme'!J331+'Haberlesme'!J335+'Haberlesme'!J339+'Haberlesme'!J343+'Haberlesme'!J347+'Haberlesme'!J351+'Haberlesme'!J357</f>
        <v/>
      </c>
      <c r="I9" s="44">
        <f>IF(H9=0,"",G9/H9-1)</f>
        <v/>
      </c>
      <c r="J9" s="7" t="inlineStr">
        <is>
          <t>Peron saati 3.000; master saat (Mobatime) 4.500; duvar saati 850–1.500</t>
        </is>
      </c>
      <c r="K9" s="7" t="inlineStr">
        <is>
          <t>Üretici; şartnameye uygun beyan</t>
        </is>
      </c>
      <c r="L9" s="7" t="inlineStr">
        <is>
          <t>Kablolar ana yüklenicide (bütçede ayrıca var); geçerlilik belirtilmemiş</t>
        </is>
      </c>
      <c r="M9" s="7" t="inlineStr">
        <is>
          <t>Kalem kalem bütçeye işlendi</t>
        </is>
      </c>
      <c r="N9" s="7" t="inlineStr">
        <is>
          <t>Mevcut depo entegrasyonu (2.500) idare cevabıyla düşüldü</t>
        </is>
      </c>
    </row>
    <row r="10" ht="60" customHeight="1">
      <c r="A10" s="7" t="inlineStr">
        <is>
          <t>Elektrik – yolcu bilgilendirme</t>
        </is>
      </c>
      <c r="B10" s="7" t="inlineStr">
        <is>
          <t>ON Elektronik (RayON)</t>
        </is>
      </c>
      <c r="C10" s="7" t="inlineStr">
        <is>
          <t>06.10.2026</t>
        </is>
      </c>
      <c r="D10" s="7" t="inlineStr">
        <is>
          <t>310–317 (YBS)</t>
        </is>
      </c>
      <c r="E10" s="8" t="n">
        <v>171000</v>
      </c>
      <c r="F10" s="7" t="inlineStr">
        <is>
          <t>EUR</t>
        </is>
      </c>
      <c r="G10" s="8">
        <f>E10/IF(F10="USD",Varsayimlar!$B$4,IF(F10="TRY",Varsayimlar!$B$5,1))</f>
        <v/>
      </c>
      <c r="H10" s="8">
        <f>'Haberlesme'!J461+'Haberlesme'!J464+'Haberlesme'!J469+'Haberlesme'!J474+'Haberlesme'!J479+'Haberlesme'!J484+'Haberlesme'!J489+'Haberlesme'!J494</f>
        <v/>
      </c>
      <c r="I10" s="44">
        <f>IF(H10=0,"",G10/H10-1)</f>
        <v/>
      </c>
      <c r="J10" s="7" t="inlineStr">
        <is>
          <t>55" dış ortam ekran 3.500; askı 1.250; yazılım 25.000; tasarım+doküman 26.000</t>
        </is>
      </c>
      <c r="K10" s="7" t="inlineStr">
        <is>
          <t>Medya oynatıcı ekrana dahil</t>
        </is>
      </c>
      <c r="L10" s="7" t="inlineStr">
        <is>
          <t>Kablolar ana yüklenicide; geçerlilik belirtilmemiş</t>
        </is>
      </c>
      <c r="M10" s="7" t="inlineStr">
        <is>
          <t>Kalem kalem bütçeye işlendi</t>
        </is>
      </c>
      <c r="N10" s="7" t="inlineStr">
        <is>
          <t>Mevcut depo entegrasyonu (11.000) idare cevabıyla düşüldü</t>
        </is>
      </c>
    </row>
    <row r="11" ht="60" customHeight="1">
      <c r="A11" s="7" t="inlineStr">
        <is>
          <t>Sinyalizasyon (tümü)</t>
        </is>
      </c>
      <c r="B11" s="7" t="inlineStr">
        <is>
          <t>Point Link / CASCO (Çin)</t>
        </is>
      </c>
      <c r="C11" s="7" t="inlineStr">
        <is>
          <t>devir notu</t>
        </is>
      </c>
      <c r="D11" s="7" t="inlineStr">
        <is>
          <t>228–235</t>
        </is>
      </c>
      <c r="E11" s="8" t="n">
        <v>7281784</v>
      </c>
      <c r="F11" s="7" t="inlineStr">
        <is>
          <t>EUR</t>
        </is>
      </c>
      <c r="G11" s="8">
        <f>E11/IF(F11="USD",Varsayimlar!$B$4,IF(F11="TRY",Varsayimlar!$B$5,1))</f>
        <v/>
      </c>
      <c r="H11" s="8">
        <f>'Sinyal'!$J$95</f>
        <v/>
      </c>
      <c r="I11" s="44">
        <f>IF(H11=0,"",G11/H11-1)</f>
        <v/>
      </c>
      <c r="J11" s="7" t="inlineStr">
        <is>
          <t>Kalem dökümü yok</t>
        </is>
      </c>
      <c r="K11" s="7" t="inlineStr">
        <is>
          <t>Yanıt 'AI asistan Eva' imzalı; mail Gmail'de bulunamadı</t>
        </is>
      </c>
      <c r="L11" s="7" t="inlineStr">
        <is>
          <t>DAP şantiye; KDV ve gümrük hariç</t>
        </is>
      </c>
      <c r="M11" s="7" t="inlineStr">
        <is>
          <t>Kullanılmadı</t>
        </is>
      </c>
      <c r="N11" s="7" t="inlineStr">
        <is>
          <t>Bütçenin ~1,8 katı; dökümsüz – yalnız üst sınır göstergesi</t>
        </is>
      </c>
    </row>
    <row r="12" ht="45" customHeight="1">
      <c r="A12" s="27" t="inlineStr">
        <is>
          <t>Bilgi – MEP dışı</t>
        </is>
      </c>
      <c r="B12" s="7" t="inlineStr">
        <is>
          <t>Rayba Yapı (demiryolu üstyapı)</t>
        </is>
      </c>
      <c r="C12" s="7" t="inlineStr">
        <is>
          <t>02.10 / 05.10.2026</t>
        </is>
      </c>
      <c r="D12" s="7" t="inlineStr">
        <is>
          <t>Ray, makas, kruvazman; S-LINE bağlantı</t>
        </is>
      </c>
      <c r="E12" s="8" t="n">
        <v>19108311</v>
      </c>
      <c r="F12" s="7" t="inlineStr">
        <is>
          <t>EUR</t>
        </is>
      </c>
      <c r="G12" s="7" t="inlineStr"/>
      <c r="H12" s="7" t="inlineStr"/>
      <c r="I12" s="7" t="inlineStr"/>
      <c r="J12" s="7" t="inlineStr">
        <is>
          <t>42×R50 + 2×R100 makas + 3 kruvazman (= 56 makas, sinyal kabulüyle uyumlu); 17.231 m oluklu ray</t>
        </is>
      </c>
      <c r="K12" s="7" t="inlineStr">
        <is>
          <t>Beton/donatı hariç; 31.12.2026'ya kadar geçerli</t>
        </is>
      </c>
      <c r="L12" s="7" t="inlineStr"/>
      <c r="M12" s="7" t="inlineStr">
        <is>
          <t>MEP bütçesine dahil değil</t>
        </is>
      </c>
      <c r="N12" s="7" t="inlineStr">
        <is>
          <t>Makas adedi sinyalizasyon/katener metrajını teyit ediyor</t>
        </is>
      </c>
    </row>
    <row r="13"/>
    <row r="14">
      <c r="A14" s="19" t="inlineStr">
        <is>
          <t>TEKLİF DURUMU ÖZETİ (Gmail, 29.09–06.10.2026)</t>
        </is>
      </c>
    </row>
    <row r="15" ht="30" customHeight="1">
      <c r="A15" s="2" t="inlineStr">
        <is>
          <t>Elektrik: ON Elektronik saat (81.600 €) ve YBS (171.000 €) teklifleri işlendi. Teknomaks (CCTV) ve Lev Müh. (yangın ihbar) çalışıyor; Best Transformer (trafo) dönmedi. Alfanar, Tema, EVA, DC Group vermiyor (Alfanar'dan RMU bütçesi istendi).</t>
        </is>
      </c>
    </row>
    <row r="16" ht="30" customHeight="1">
      <c r="A16" s="2" t="inlineStr">
        <is>
          <t>Mekanik: Fiyatlı teklif yok. Ekura en geç 09.10 verecek; Protek (FM200) soru sordu. MET, Demta, Birleşim, Genç Müh. vermiyor.</t>
        </is>
      </c>
    </row>
    <row r="17" ht="30" customHeight="1">
      <c r="A17" s="2" t="inlineStr">
        <is>
          <t>Asansör: 3 teklif (Schindler, TK, Emlift). Edoux verecek; Adakon (Orona) ithal ürünle bütçe verecek; KONE dönmedi.</t>
        </is>
      </c>
    </row>
    <row r="18" ht="30" customHeight="1">
      <c r="A18" s="2" t="inlineStr">
        <is>
          <t>Sinyalizasyon: Mukan (AVLS) teklifi geldi. Hugotek ve İntetra dönecek; Alstom ve Savronik vermiyor (bütçe istendi); Hanning &amp; Kahl dönmedi.</t>
        </is>
      </c>
    </row>
    <row r="19" ht="30" customHeight="1">
      <c r="A19" s="2" t="inlineStr">
        <is>
          <t>Elektrifikasyon: Fiyatlı teklif yok. Mitaş (direk) verecek; DeSA (seksiyon izolatörü), Erbakır (iletken), Kambeton (beton direk) sorularına cevap verildi; Doruk ve KAM vermiyor.</t>
        </is>
      </c>
    </row>
    <row r="20" ht="30" customHeight="1">
      <c r="A20" s="2" t="inlineStr">
        <is>
          <t>Ulaşmayan adres: 26 (mailer-daemon). Ayrıntı: Teklif_Durumu sayfası.</t>
        </is>
      </c>
    </row>
  </sheetData>
  <mergeCells count="7">
    <mergeCell ref="A17:N17"/>
    <mergeCell ref="A18:N18"/>
    <mergeCell ref="A20:N20"/>
    <mergeCell ref="A16:N16"/>
    <mergeCell ref="A2:N2"/>
    <mergeCell ref="A15:N15"/>
    <mergeCell ref="A19:N19"/>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sheetPr>
  <dimension ref="A1:K26"/>
  <sheetViews>
    <sheetView zoomScale="90" workbookViewId="0">
      <selection activeCell="A1" sqref="A1"/>
    </sheetView>
  </sheetViews>
  <sheetFormatPr baseColWidth="8" defaultRowHeight="15"/>
  <cols>
    <col width="14" customWidth="1" min="1" max="1"/>
    <col width="34" customWidth="1" min="2" max="2"/>
    <col width="16" customWidth="1" min="3" max="3"/>
    <col width="5" customWidth="1" min="4" max="4"/>
    <col width="52" customWidth="1" min="5" max="5"/>
    <col width="9" customWidth="1" min="6" max="6"/>
    <col width="10" customWidth="1" min="7" max="7"/>
    <col width="12" customWidth="1" min="8" max="8"/>
    <col width="12" customWidth="1" min="9" max="9"/>
    <col width="14" customWidth="1" min="10" max="10"/>
    <col width="30" customWidth="1" min="11" max="11"/>
  </cols>
  <sheetData>
    <row r="1">
      <c r="A1" s="1" t="inlineStr">
        <is>
          <t>İHALE GENELİ – MEP DIŞI GELEN TEKLİFLER (bilgi amaçlı; MEP bütçesine dahil değildir)</t>
        </is>
      </c>
    </row>
    <row r="2" ht="48" customHeight="1">
      <c r="A2" s="2" t="inlineStr">
        <is>
          <t>Tutarlar EUR, KDV hariç. Rayba: demiryolu işleri teklifi beton ve donatı hariç; işlerin bölünmesi halinde birim fiyatlar değişebilir; 31.12.2026'ya kadar geçerli. S-LINE: malzeme teklifi, en az 15.000 hat-metre için geçerli, teslim Şanlıurfa, %25 avans/%75 teslimde. Not: 'S-LINE kauçuk kapsül' kalemi, demiryolu teklifindeki hat döşeme fiyatının içinde olabilir – çift sayım için ayrı alt toplam verilmiştir.</t>
        </is>
      </c>
    </row>
    <row r="3"/>
    <row r="4">
      <c r="A4" s="3" t="inlineStr">
        <is>
          <t>Firma</t>
        </is>
      </c>
      <c r="B4" s="3" t="inlineStr">
        <is>
          <t>Teklif</t>
        </is>
      </c>
      <c r="C4" s="3" t="inlineStr">
        <is>
          <t>Tarih</t>
        </is>
      </c>
      <c r="D4" s="3" t="inlineStr">
        <is>
          <t>No</t>
        </is>
      </c>
      <c r="E4" s="3" t="inlineStr">
        <is>
          <t>Kalem</t>
        </is>
      </c>
      <c r="F4" s="3" t="inlineStr">
        <is>
          <t>Birim</t>
        </is>
      </c>
      <c r="G4" s="3" t="inlineStr">
        <is>
          <t>Miktar</t>
        </is>
      </c>
      <c r="H4" s="3" t="inlineStr">
        <is>
          <t>Malzeme BF €</t>
        </is>
      </c>
      <c r="I4" s="3" t="inlineStr">
        <is>
          <t>İşçilik BF €</t>
        </is>
      </c>
      <c r="J4" s="3" t="inlineStr">
        <is>
          <t>Toplam €</t>
        </is>
      </c>
      <c r="K4" s="3" t="inlineStr">
        <is>
          <t>Not</t>
        </is>
      </c>
    </row>
    <row r="5">
      <c r="A5" s="7" t="inlineStr">
        <is>
          <t>Rayba Yapı</t>
        </is>
      </c>
      <c r="B5" s="7" t="inlineStr">
        <is>
          <t>Demiryolu işleri (kauçuk esaslı bağlantılı doğrudan tespitli hat)</t>
        </is>
      </c>
      <c r="C5" s="7" t="inlineStr">
        <is>
          <t>02.10.2026 (05.10 EUR teyidi)</t>
        </is>
      </c>
      <c r="D5" s="7" t="inlineStr">
        <is>
          <t>1</t>
        </is>
      </c>
      <c r="E5" s="7" t="inlineStr">
        <is>
          <t>1/6R50 tipi düz makas temini ve döşenmesi</t>
        </is>
      </c>
      <c r="F5" s="7" t="inlineStr">
        <is>
          <t>adet</t>
        </is>
      </c>
      <c r="G5" s="7" t="n">
        <v>42</v>
      </c>
      <c r="H5" s="41" t="n">
        <v>52850</v>
      </c>
      <c r="I5" s="41" t="n">
        <v>18500</v>
      </c>
      <c r="J5" s="8">
        <f>G5*(H5+N(I5))</f>
        <v/>
      </c>
      <c r="K5" s="7" t="inlineStr"/>
    </row>
    <row r="6">
      <c r="A6" s="7" t="inlineStr">
        <is>
          <t>Rayba Yapı</t>
        </is>
      </c>
      <c r="B6" s="7" t="inlineStr">
        <is>
          <t>Demiryolu işleri (kauçuk esaslı bağlantılı doğrudan tespitli hat)</t>
        </is>
      </c>
      <c r="C6" s="7" t="inlineStr">
        <is>
          <t>02.10.2026 (05.10 EUR teyidi)</t>
        </is>
      </c>
      <c r="D6" s="7" t="inlineStr">
        <is>
          <t>2</t>
        </is>
      </c>
      <c r="E6" s="7" t="inlineStr">
        <is>
          <t>1/6R100 tipi düz makas temini ve döşenmesi</t>
        </is>
      </c>
      <c r="F6" s="7" t="inlineStr">
        <is>
          <t>adet</t>
        </is>
      </c>
      <c r="G6" s="7" t="n">
        <v>2</v>
      </c>
      <c r="H6" s="41" t="n">
        <v>58300</v>
      </c>
      <c r="I6" s="41" t="n">
        <v>19950</v>
      </c>
      <c r="J6" s="8">
        <f>G6*(H6+N(I6))</f>
        <v/>
      </c>
      <c r="K6" s="7" t="inlineStr"/>
    </row>
    <row r="7">
      <c r="A7" s="7" t="inlineStr">
        <is>
          <t>Rayba Yapı</t>
        </is>
      </c>
      <c r="B7" s="7" t="inlineStr">
        <is>
          <t>Demiryolu işleri (kauçuk esaslı bağlantılı doğrudan tespitli hat)</t>
        </is>
      </c>
      <c r="C7" s="7" t="inlineStr">
        <is>
          <t>02.10.2026 (05.10 EUR teyidi)</t>
        </is>
      </c>
      <c r="D7" s="7" t="inlineStr">
        <is>
          <t>3</t>
        </is>
      </c>
      <c r="E7" s="7" t="inlineStr">
        <is>
          <t>Kruvazman 1/6R100 çapraz makas takımı (4 makas dahil)</t>
        </is>
      </c>
      <c r="F7" s="7" t="inlineStr">
        <is>
          <t>adet</t>
        </is>
      </c>
      <c r="G7" s="7" t="n">
        <v>2</v>
      </c>
      <c r="H7" s="41" t="n">
        <v>319600</v>
      </c>
      <c r="I7" s="41" t="n">
        <v>97500</v>
      </c>
      <c r="J7" s="8">
        <f>G7*(H7+N(I7))</f>
        <v/>
      </c>
      <c r="K7" s="7" t="inlineStr"/>
    </row>
    <row r="8">
      <c r="A8" s="7" t="inlineStr">
        <is>
          <t>Rayba Yapı</t>
        </is>
      </c>
      <c r="B8" s="7" t="inlineStr">
        <is>
          <t>Demiryolu işleri (kauçuk esaslı bağlantılı doğrudan tespitli hat)</t>
        </is>
      </c>
      <c r="C8" s="7" t="inlineStr">
        <is>
          <t>02.10.2026 (05.10 EUR teyidi)</t>
        </is>
      </c>
      <c r="D8" s="7" t="inlineStr">
        <is>
          <t>4</t>
        </is>
      </c>
      <c r="E8" s="7" t="inlineStr">
        <is>
          <t>Kruvazman 1/6R50 çapraz makas takımı (4 makas dahil)</t>
        </is>
      </c>
      <c r="F8" s="7" t="inlineStr">
        <is>
          <t>adet</t>
        </is>
      </c>
      <c r="G8" s="7" t="n">
        <v>1</v>
      </c>
      <c r="H8" s="41" t="n">
        <v>294900</v>
      </c>
      <c r="I8" s="41" t="n">
        <v>92500</v>
      </c>
      <c r="J8" s="8">
        <f>G8*(H8+N(I8))</f>
        <v/>
      </c>
      <c r="K8" s="7" t="inlineStr"/>
    </row>
    <row r="9">
      <c r="A9" s="7" t="inlineStr">
        <is>
          <t>Rayba Yapı</t>
        </is>
      </c>
      <c r="B9" s="7" t="inlineStr">
        <is>
          <t>Demiryolu işleri (kauçuk esaslı bağlantılı doğrudan tespitli hat)</t>
        </is>
      </c>
      <c r="C9" s="7" t="inlineStr">
        <is>
          <t>02.10.2026 (05.10 EUR teyidi)</t>
        </is>
      </c>
      <c r="D9" s="7" t="inlineStr">
        <is>
          <t>5</t>
        </is>
      </c>
      <c r="E9" s="7" t="inlineStr">
        <is>
          <t>Tabela ve işaretler</t>
        </is>
      </c>
      <c r="F9" s="7" t="inlineStr">
        <is>
          <t>set</t>
        </is>
      </c>
      <c r="G9" s="7" t="n">
        <v>1</v>
      </c>
      <c r="H9" s="41" t="n">
        <v>75000</v>
      </c>
      <c r="I9" s="41" t="n">
        <v>25000</v>
      </c>
      <c r="J9" s="8">
        <f>G9*(H9+N(I9))</f>
        <v/>
      </c>
      <c r="K9" s="7" t="inlineStr"/>
    </row>
    <row r="10">
      <c r="A10" s="7" t="inlineStr">
        <is>
          <t>Rayba Yapı</t>
        </is>
      </c>
      <c r="B10" s="7" t="inlineStr">
        <is>
          <t>Demiryolu işleri (kauçuk esaslı bağlantılı doğrudan tespitli hat)</t>
        </is>
      </c>
      <c r="C10" s="7" t="inlineStr">
        <is>
          <t>02.10.2026 (05.10 EUR teyidi)</t>
        </is>
      </c>
      <c r="D10" s="7" t="inlineStr">
        <is>
          <t>6</t>
        </is>
      </c>
      <c r="E10" s="7" t="inlineStr">
        <is>
          <t>59R2 (Ri59N) oluklu rayla doğrudan tespitli hat döşenmesi</t>
        </is>
      </c>
      <c r="F10" s="7" t="inlineStr">
        <is>
          <t>hat-metre</t>
        </is>
      </c>
      <c r="G10" s="7" t="n">
        <v>17231</v>
      </c>
      <c r="H10" s="41" t="n">
        <v>425</v>
      </c>
      <c r="I10" s="41" t="n">
        <v>215</v>
      </c>
      <c r="J10" s="8">
        <f>G10*(H10+N(I10))</f>
        <v/>
      </c>
      <c r="K10" s="7" t="inlineStr"/>
    </row>
    <row r="11">
      <c r="A11" s="7" t="inlineStr">
        <is>
          <t>Rayba Yapı</t>
        </is>
      </c>
      <c r="B11" s="7" t="inlineStr">
        <is>
          <t>Demiryolu işleri (kauçuk esaslı bağlantılı doğrudan tespitli hat)</t>
        </is>
      </c>
      <c r="C11" s="7" t="inlineStr">
        <is>
          <t>02.10.2026 (05.10 EUR teyidi)</t>
        </is>
      </c>
      <c r="D11" s="7" t="inlineStr">
        <is>
          <t>7</t>
        </is>
      </c>
      <c r="E11" s="7" t="inlineStr">
        <is>
          <t>49E1 (S49) tipi balastlı hat döşenmesi</t>
        </is>
      </c>
      <c r="F11" s="7" t="inlineStr">
        <is>
          <t>hat-metre</t>
        </is>
      </c>
      <c r="G11" s="7" t="n">
        <v>2960</v>
      </c>
      <c r="H11" s="41" t="n">
        <v>405</v>
      </c>
      <c r="I11" s="41" t="n">
        <v>195</v>
      </c>
      <c r="J11" s="8">
        <f>G11*(H11+N(I11))</f>
        <v/>
      </c>
      <c r="K11" s="7" t="inlineStr"/>
    </row>
    <row r="12">
      <c r="A12" s="7" t="inlineStr">
        <is>
          <t>Rayba Yapı</t>
        </is>
      </c>
      <c r="B12" s="7" t="inlineStr">
        <is>
          <t>Demiryolu işleri (kauçuk esaslı bağlantılı doğrudan tespitli hat)</t>
        </is>
      </c>
      <c r="C12" s="7" t="inlineStr">
        <is>
          <t>02.10.2026 (05.10 EUR teyidi)</t>
        </is>
      </c>
      <c r="D12" s="7" t="inlineStr">
        <is>
          <t>8</t>
        </is>
      </c>
      <c r="E12" s="7" t="inlineStr">
        <is>
          <t>Yol sonu bariyeri</t>
        </is>
      </c>
      <c r="F12" s="7" t="inlineStr">
        <is>
          <t>adet</t>
        </is>
      </c>
      <c r="G12" s="7" t="n">
        <v>4</v>
      </c>
      <c r="H12" s="41" t="n">
        <v>10250</v>
      </c>
      <c r="I12" s="41" t="n">
        <v>1250</v>
      </c>
      <c r="J12" s="8">
        <f>G12*(H12+N(I12))</f>
        <v/>
      </c>
      <c r="K12" s="7" t="inlineStr"/>
    </row>
    <row r="13">
      <c r="A13" s="7" t="inlineStr">
        <is>
          <t>Rayba Yapı</t>
        </is>
      </c>
      <c r="B13" s="7" t="inlineStr">
        <is>
          <t>Demiryolu işleri (kauçuk esaslı bağlantılı doğrudan tespitli hat)</t>
        </is>
      </c>
      <c r="C13" s="7" t="inlineStr">
        <is>
          <t>02.10.2026 (05.10 EUR teyidi)</t>
        </is>
      </c>
      <c r="D13" s="7" t="inlineStr">
        <is>
          <t>9</t>
        </is>
      </c>
      <c r="E13" s="7" t="inlineStr">
        <is>
          <t>Ray kenarı mastik dolgu</t>
        </is>
      </c>
      <c r="F13" s="7" t="inlineStr">
        <is>
          <t>m³</t>
        </is>
      </c>
      <c r="G13" s="7" t="n">
        <v>316.2</v>
      </c>
      <c r="H13" s="41" t="n">
        <v>50</v>
      </c>
      <c r="I13" s="41" t="n">
        <v>25</v>
      </c>
      <c r="J13" s="8">
        <f>G13*(H13+N(I13))</f>
        <v/>
      </c>
      <c r="K13" s="7" t="inlineStr"/>
    </row>
    <row r="14">
      <c r="A14" s="7" t="inlineStr">
        <is>
          <t>Rayba Yapı</t>
        </is>
      </c>
      <c r="B14" s="7" t="inlineStr">
        <is>
          <t>S-LINE kauçuk ray bağlantı sistemi (malzeme)</t>
        </is>
      </c>
      <c r="C14" s="7" t="inlineStr">
        <is>
          <t>05.10.2026</t>
        </is>
      </c>
      <c r="D14" s="7" t="inlineStr">
        <is>
          <t>1</t>
        </is>
      </c>
      <c r="E14" s="7" t="inlineStr">
        <is>
          <t>S-LINE kauçuk kapsüller (Ri59/60)</t>
        </is>
      </c>
      <c r="F14" s="7" t="inlineStr">
        <is>
          <t>hat-metre</t>
        </is>
      </c>
      <c r="G14" s="7" t="n">
        <v>17231</v>
      </c>
      <c r="H14" s="41" t="n">
        <v>76</v>
      </c>
      <c r="I14" s="41" t="inlineStr"/>
      <c r="J14" s="8">
        <f>G14*(H14+N(I14))</f>
        <v/>
      </c>
      <c r="K14" s="7" t="inlineStr"/>
    </row>
    <row r="15">
      <c r="A15" s="7" t="inlineStr">
        <is>
          <t>Rayba Yapı</t>
        </is>
      </c>
      <c r="B15" s="7" t="inlineStr">
        <is>
          <t>S-LINE kauçuk ray bağlantı sistemi (malzeme)</t>
        </is>
      </c>
      <c r="C15" s="7" t="inlineStr">
        <is>
          <t>05.10.2026</t>
        </is>
      </c>
      <c r="D15" s="7" t="inlineStr">
        <is>
          <t>2</t>
        </is>
      </c>
      <c r="E15" s="7" t="inlineStr">
        <is>
          <t>S-LINE kauçuk kapsüller – makas</t>
        </is>
      </c>
      <c r="F15" s="7" t="inlineStr">
        <is>
          <t>adet</t>
        </is>
      </c>
      <c r="G15" s="7" t="n">
        <v>59</v>
      </c>
      <c r="H15" s="41" t="n">
        <v>3050</v>
      </c>
      <c r="I15" s="41" t="inlineStr"/>
      <c r="J15" s="8">
        <f>G15*(H15+N(I15))</f>
        <v/>
      </c>
      <c r="K15" s="7" t="inlineStr"/>
    </row>
    <row r="16">
      <c r="A16" s="7" t="inlineStr">
        <is>
          <t>Rayba Yapı</t>
        </is>
      </c>
      <c r="B16" s="7" t="inlineStr">
        <is>
          <t>S-LINE kauçuk ray bağlantı sistemi (malzeme)</t>
        </is>
      </c>
      <c r="C16" s="7" t="inlineStr">
        <is>
          <t>05.10.2026</t>
        </is>
      </c>
      <c r="D16" s="7" t="inlineStr">
        <is>
          <t>3</t>
        </is>
      </c>
      <c r="E16" s="7" t="inlineStr">
        <is>
          <t>S-LINE montaj sehpası</t>
        </is>
      </c>
      <c r="F16" s="7" t="inlineStr">
        <is>
          <t>adet</t>
        </is>
      </c>
      <c r="G16" s="7" t="n">
        <v>120</v>
      </c>
      <c r="H16" s="41" t="n">
        <v>450</v>
      </c>
      <c r="I16" s="41" t="inlineStr"/>
      <c r="J16" s="8">
        <f>G16*(H16+N(I16))</f>
        <v/>
      </c>
      <c r="K16" s="7" t="inlineStr"/>
    </row>
    <row r="17">
      <c r="A17" s="7" t="inlineStr">
        <is>
          <t>Rayba Yapı</t>
        </is>
      </c>
      <c r="B17" s="7" t="inlineStr">
        <is>
          <t>S-LINE kauçuk ray bağlantı sistemi (malzeme)</t>
        </is>
      </c>
      <c r="C17" s="7" t="inlineStr">
        <is>
          <t>05.10.2026</t>
        </is>
      </c>
      <c r="D17" s="7" t="inlineStr">
        <is>
          <t>4</t>
        </is>
      </c>
      <c r="E17" s="7" t="inlineStr">
        <is>
          <t>U-profil</t>
        </is>
      </c>
      <c r="F17" s="7" t="inlineStr">
        <is>
          <t>adet</t>
        </is>
      </c>
      <c r="G17" s="7" t="n">
        <v>28000</v>
      </c>
      <c r="H17" s="41" t="n">
        <v>3</v>
      </c>
      <c r="I17" s="41" t="inlineStr"/>
      <c r="J17" s="8">
        <f>G17*(H17+N(I17))</f>
        <v/>
      </c>
      <c r="K17" s="7" t="inlineStr"/>
    </row>
    <row r="18">
      <c r="A18" s="7" t="inlineStr">
        <is>
          <t>Rayba Yapı</t>
        </is>
      </c>
      <c r="B18" s="7" t="inlineStr">
        <is>
          <t>S-LINE kauçuk ray bağlantı sistemi (malzeme)</t>
        </is>
      </c>
      <c r="C18" s="7" t="inlineStr">
        <is>
          <t>05.10.2026</t>
        </is>
      </c>
      <c r="D18" s="7" t="inlineStr">
        <is>
          <t>5</t>
        </is>
      </c>
      <c r="E18" s="7" t="inlineStr">
        <is>
          <t>Mastik yapıştırıcı (600 cc)</t>
        </is>
      </c>
      <c r="F18" s="7" t="inlineStr">
        <is>
          <t>adet</t>
        </is>
      </c>
      <c r="G18" s="7" t="n">
        <v>20500</v>
      </c>
      <c r="H18" s="41" t="n">
        <v>4.9</v>
      </c>
      <c r="I18" s="41" t="inlineStr"/>
      <c r="J18" s="8">
        <f>G18*(H18+N(I18))</f>
        <v/>
      </c>
      <c r="K18" s="7" t="inlineStr"/>
    </row>
    <row r="19">
      <c r="A19" s="7" t="inlineStr">
        <is>
          <t>Rayba Yapı</t>
        </is>
      </c>
      <c r="B19" s="7" t="inlineStr">
        <is>
          <t>S-LINE kauçuk ray bağlantı sistemi (malzeme)</t>
        </is>
      </c>
      <c r="C19" s="7" t="inlineStr">
        <is>
          <t>05.10.2026</t>
        </is>
      </c>
      <c r="D19" s="7" t="inlineStr">
        <is>
          <t>6</t>
        </is>
      </c>
      <c r="E19" s="7" t="inlineStr">
        <is>
          <t>Montaj kelepçesi ve kement</t>
        </is>
      </c>
      <c r="F19" s="7" t="inlineStr">
        <is>
          <t>metre</t>
        </is>
      </c>
      <c r="G19" s="7" t="n">
        <v>160000</v>
      </c>
      <c r="H19" s="41" t="n">
        <v>0.2</v>
      </c>
      <c r="I19" s="41" t="inlineStr"/>
      <c r="J19" s="8">
        <f>G19*(H19+N(I19))</f>
        <v/>
      </c>
      <c r="K19" s="7" t="inlineStr"/>
    </row>
    <row r="20"/>
    <row r="21">
      <c r="E21" s="19" t="inlineStr">
        <is>
          <t>ALT TOPLAMLAR</t>
        </is>
      </c>
    </row>
    <row r="22">
      <c r="E22" s="19" t="inlineStr">
        <is>
          <t>Demiryolu işleri (kauçuk esaslı bağlantılı doğrudan tespitli hat)</t>
        </is>
      </c>
      <c r="J22" s="29">
        <f>SUM(J5:J13)</f>
        <v/>
      </c>
    </row>
    <row r="23">
      <c r="E23" s="19" t="inlineStr">
        <is>
          <t>S-LINE kauçuk ray bağlantı sistemi (malzeme)</t>
        </is>
      </c>
      <c r="J23" s="29">
        <f>SUM(J14:J19)</f>
        <v/>
      </c>
    </row>
    <row r="24">
      <c r="E24" s="45" t="inlineStr">
        <is>
          <t>TOPLAM (iki teklif birlikte – çift sayım kontrol edilmeli)</t>
        </is>
      </c>
      <c r="J24" s="46">
        <f>'Ihale_Geneli_Bilgi'!$J$22+'Ihale_Geneli_Bilgi'!$J$23</f>
        <v/>
      </c>
    </row>
    <row r="25"/>
    <row r="26" ht="30" customHeight="1">
      <c r="A26" s="2" t="inlineStr">
        <is>
          <t>Diğer bilgi: Point Link / CASCO sinyalizasyon teklifi 7.281.784 € (DAP, KDV ve gümrük hariç, dökümsüz) – MEP sinyal bütçesinde kullanılmadı; Teklif_Degerlendirme sayfasında.</t>
        </is>
      </c>
    </row>
  </sheetData>
  <mergeCells count="2">
    <mergeCell ref="A2:K2"/>
    <mergeCell ref="A26:K26"/>
  </mergeCells>
  <pageMargins left="0.75" right="0.75" top="1" bottom="1" header="0.5" footer="0.5"/>
  <pageSetup orientation="landscape" fitToWidth="1"/>
</worksheet>
</file>

<file path=xl/worksheets/sheet5.xml><?xml version="1.0" encoding="utf-8"?>
<worksheet xmlns="http://schemas.openxmlformats.org/spreadsheetml/2006/main">
  <sheetPr>
    <tabColor rgb="00FFC000"/>
    <outlinePr summaryBelow="0" summaryRight="1"/>
    <pageSetUpPr/>
  </sheetPr>
  <dimension ref="A1:M683"/>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2" customWidth="1" min="3" max="3"/>
    <col width="7" customWidth="1" min="4" max="4"/>
    <col width="12" customWidth="1" min="5" max="5"/>
    <col width="12" customWidth="1" min="6" max="6"/>
    <col width="11" customWidth="1" min="7" max="7"/>
    <col width="12" customWidth="1" min="8" max="8"/>
    <col width="13" customWidth="1" min="9" max="9"/>
    <col width="14" customWidth="1" min="10" max="10"/>
    <col width="17" customWidth="1" min="11" max="11"/>
    <col width="55" customWidth="1" min="12" max="12"/>
    <col width="40" customWidth="1" min="13" max="13"/>
  </cols>
  <sheetData>
    <row r="1">
      <c r="A1" s="1" t="inlineStr">
        <is>
          <t>1 ELEKTRİK (A) – AG dağıtım, topraklama, AG kablolar, AG tesisat-aydınlatma, yangın ihbar</t>
        </is>
      </c>
    </row>
    <row r="2" ht="48" customHeight="1">
      <c r="A2" s="2" t="inlineStr">
        <is>
          <t>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is>
      </c>
    </row>
    <row r="3" ht="22" customHeight="1">
      <c r="A3" s="21" t="inlineStr">
        <is>
          <t>DİSİPLİN TOPLAMI →</t>
        </is>
      </c>
      <c r="C3" s="47">
        <f>"Kalem bazlı toplam: "&amp;TEXT(J675,"#,##0")&amp;" €   |   2026 teklif: "&amp;TEXT(K680,"0%")&amp;"   |   Geçmiş teklif uyarlaması: "&amp;TEXT(K681,"0%")&amp;"   |   Tahmin: "&amp;TEXT(K682,"0%")&amp;"   |   Kalem kalem görmek için sol kenardaki [+] / [1][2] düğmelerini kullanın"</f>
        <v/>
      </c>
    </row>
    <row r="4" ht="42" customHeight="1">
      <c r="A4" s="3" t="inlineStr">
        <is>
          <t>Sıra</t>
        </is>
      </c>
      <c r="B4" s="3" t="inlineStr">
        <is>
          <t>Poz</t>
        </is>
      </c>
      <c r="C4" s="3" t="inlineStr">
        <is>
          <t>Kalem / Alt kalem</t>
        </is>
      </c>
      <c r="D4" s="3" t="inlineStr">
        <is>
          <t>Birim</t>
        </is>
      </c>
      <c r="E4" s="3" t="inlineStr">
        <is>
          <t>Miktar (RFQ cetveli)</t>
        </is>
      </c>
      <c r="F4" s="3" t="inlineStr">
        <is>
          <t>Miktar (idare cevabına göre)</t>
        </is>
      </c>
      <c r="G4" s="3" t="inlineStr">
        <is>
          <t>Metraj payı geri alınan</t>
        </is>
      </c>
      <c r="H4" s="3" t="inlineStr">
        <is>
          <t>Net miktar (bütçe)</t>
        </is>
      </c>
      <c r="I4" s="3" t="inlineStr">
        <is>
          <t>Birim fiyat EUR (montaj dahil)</t>
        </is>
      </c>
      <c r="J4" s="3" t="inlineStr">
        <is>
          <t>Tutar EUR</t>
        </is>
      </c>
      <c r="K4" s="3" t="inlineStr">
        <is>
          <t>Fiyat türü</t>
        </is>
      </c>
      <c r="L4" s="3" t="inlineStr">
        <is>
          <t>Fiyat kaynağı / emsal (proje, firma, yıl, uyarlama)</t>
        </is>
      </c>
      <c r="M4" s="3" t="inlineStr">
        <is>
          <t>Not / düzeltme</t>
        </is>
      </c>
    </row>
    <row r="5">
      <c r="A5" s="48" t="inlineStr">
        <is>
          <t>180</t>
        </is>
      </c>
      <c r="B5" s="48" t="inlineStr">
        <is>
          <t>2006.A</t>
        </is>
      </c>
      <c r="C5" s="48" t="inlineStr">
        <is>
          <t>Göbekli Tepe İstasyonu Ag Ana Dağıtım Panoları (400 V) (1 set)</t>
        </is>
      </c>
      <c r="D5" s="48" t="n"/>
      <c r="E5" s="48" t="n"/>
      <c r="F5" s="48" t="n"/>
      <c r="G5" s="48" t="n"/>
      <c r="H5" s="48" t="inlineStr">
        <is>
          <t>RFQ tutarı →</t>
        </is>
      </c>
      <c r="I5" s="49">
        <f>SUMPRODUCT(E6:E13,I6:I13)</f>
        <v/>
      </c>
      <c r="J5" s="49">
        <f>SUM(J6:J13)</f>
        <v/>
      </c>
      <c r="K5" s="48" t="n"/>
      <c r="L5" s="48" t="n"/>
      <c r="M5" s="48" t="n"/>
    </row>
    <row r="6" outlineLevel="1">
      <c r="A6" s="27" t="n"/>
      <c r="B6" s="27" t="inlineStr">
        <is>
          <t>2006.A</t>
        </is>
      </c>
      <c r="C6" s="7" t="inlineStr">
        <is>
          <t>ADP panosu: metal mahfazalı, TS EN 61439, IP54, 20x5 Cu bara</t>
        </is>
      </c>
      <c r="D6" s="27" t="inlineStr">
        <is>
          <t>adet</t>
        </is>
      </c>
      <c r="E6" s="50" t="n">
        <v>1</v>
      </c>
      <c r="F6" s="50" t="n">
        <v>1</v>
      </c>
      <c r="G6" s="27" t="inlineStr">
        <is>
          <t>-</t>
        </is>
      </c>
      <c r="H6" s="50">
        <f>F6</f>
        <v/>
      </c>
      <c r="I6" s="51" t="n">
        <v>1891.54</v>
      </c>
      <c r="J6" s="28">
        <f>H6*I6</f>
        <v/>
      </c>
      <c r="K6" s="52" t="inlineStr">
        <is>
          <t>GEÇMİŞ TEKLİF UYARLAMA</t>
        </is>
      </c>
      <c r="L6" s="7" t="inlineStr">
        <is>
          <t>REF-derin – Bursa T2 MET 2015 saç pano 800 mm (M+İ) 2.162,86 +%15 Cu bara/IP54→2.487,29; Ankara-Sivas YHT Platin 2019 saç pano 61439 (M+İ) 1.644,82 +%15 Cu bara/IP54→1.891,54; Bursa T2 Haluk 2015 saç pano 800 mm (M+İ) 676,71 +%15 Cu bara/IP54→778,22 → medyan 1.891,54 [Emsal ID: R00985;R00484;R00917]</t>
        </is>
      </c>
      <c r="M6" s="7" t="inlineStr">
        <is>
          <t>Boş pano gövdesi+bara | İlk tahmin BF 2,200.00</t>
        </is>
      </c>
    </row>
    <row r="7" outlineLevel="1">
      <c r="A7" s="27" t="n"/>
      <c r="B7" s="27" t="inlineStr">
        <is>
          <t>2006.A</t>
        </is>
      </c>
      <c r="C7" s="7" t="inlineStr">
        <is>
          <t>Ana giriş TMŞ 3x50 A 10 kA + RCD-D 300 mA</t>
        </is>
      </c>
      <c r="D7" s="27" t="inlineStr">
        <is>
          <t>adet</t>
        </is>
      </c>
      <c r="E7" s="50" t="n">
        <v>1</v>
      </c>
      <c r="F7" s="50" t="n">
        <v>1</v>
      </c>
      <c r="G7" s="27" t="inlineStr">
        <is>
          <t>-</t>
        </is>
      </c>
      <c r="H7" s="50">
        <f>F7</f>
        <v/>
      </c>
      <c r="I7" s="51" t="n">
        <v>350</v>
      </c>
      <c r="J7" s="28">
        <f>H7*I7</f>
        <v/>
      </c>
      <c r="K7" s="53" t="inlineStr">
        <is>
          <t>MÜHENDİSLİK TAHMİNİ</t>
        </is>
      </c>
      <c r="L7" s="7" t="inlineStr">
        <is>
          <t>TAHMIN (emsal yok) – Emsal yok (veride AG kesici/TMŞ teklifi yok; R02784 MCB 1x6A 4,18 (M) kıyas dışı)</t>
        </is>
      </c>
      <c r="M7" s="7" t="inlineStr">
        <is>
          <t>TMŞ 50A+RCD-D</t>
        </is>
      </c>
    </row>
    <row r="8" outlineLevel="1">
      <c r="A8" s="27" t="n"/>
      <c r="B8" s="27" t="inlineStr">
        <is>
          <t>2006.A</t>
        </is>
      </c>
      <c r="C8" s="7" t="inlineStr">
        <is>
          <t>Çıkış TMŞ 3x32 A (APP-1, APP-2, SK-1, SK-2)</t>
        </is>
      </c>
      <c r="D8" s="27" t="inlineStr">
        <is>
          <t>adet</t>
        </is>
      </c>
      <c r="E8" s="50" t="n">
        <v>4</v>
      </c>
      <c r="F8" s="50" t="n">
        <v>4</v>
      </c>
      <c r="G8" s="27" t="inlineStr">
        <is>
          <t>-</t>
        </is>
      </c>
      <c r="H8" s="50">
        <f>F8</f>
        <v/>
      </c>
      <c r="I8" s="51" t="n">
        <v>130</v>
      </c>
      <c r="J8" s="28">
        <f>H8*I8</f>
        <v/>
      </c>
      <c r="K8" s="53" t="inlineStr">
        <is>
          <t>MÜHENDİSLİK TAHMİNİ</t>
        </is>
      </c>
      <c r="L8" s="7" t="inlineStr">
        <is>
          <t>TAHMIN (emsal yok) – Emsal yok (veride AG kesici/TMŞ teklifi yok; R02784 MCB 1x6A 4,18 (M) kıyas dışı)</t>
        </is>
      </c>
      <c r="M8" s="7" t="inlineStr">
        <is>
          <t>Çıkış TMŞ 32A montajlı</t>
        </is>
      </c>
    </row>
    <row r="9" outlineLevel="1">
      <c r="A9" s="27" t="n"/>
      <c r="B9" s="27" t="inlineStr">
        <is>
          <t>2006.A</t>
        </is>
      </c>
      <c r="C9" s="7" t="inlineStr">
        <is>
          <t>Çıkış TMŞ 3x40 A (2 yedek + UPS besleme)</t>
        </is>
      </c>
      <c r="D9" s="27" t="inlineStr">
        <is>
          <t>adet</t>
        </is>
      </c>
      <c r="E9" s="50" t="n">
        <v>3</v>
      </c>
      <c r="F9" s="50" t="n">
        <v>3</v>
      </c>
      <c r="G9" s="27" t="inlineStr">
        <is>
          <t>-</t>
        </is>
      </c>
      <c r="H9" s="50">
        <f>F9</f>
        <v/>
      </c>
      <c r="I9" s="51" t="n">
        <v>140</v>
      </c>
      <c r="J9" s="28">
        <f>H9*I9</f>
        <v/>
      </c>
      <c r="K9" s="53" t="inlineStr">
        <is>
          <t>MÜHENDİSLİK TAHMİNİ</t>
        </is>
      </c>
      <c r="L9" s="7" t="inlineStr">
        <is>
          <t>TAHMIN (emsal yok) – Emsal yok (veride AG kesici/TMŞ teklifi yok; R02784 MCB 1x6A 4,18 (M) kıyas dışı)</t>
        </is>
      </c>
      <c r="M9" s="7" t="inlineStr">
        <is>
          <t>Çıkış TMŞ 40A montajlı</t>
        </is>
      </c>
    </row>
    <row r="10" outlineLevel="1">
      <c r="A10" s="27" t="n"/>
      <c r="B10" s="27" t="inlineStr">
        <is>
          <t>2006.A</t>
        </is>
      </c>
      <c r="C10" s="7" t="inlineStr">
        <is>
          <t>UPS ana dağıtım panosu (UDP): giriş TMŞ 3x32 A, 20x5 Cu bara, UK1-UK2 TMŞ 3x32 A, UK3 AOS 1x10 A, UK4 TMŞ 1x10 A, UK5-UK7 TMŞ 3x25 A</t>
        </is>
      </c>
      <c r="D10" s="27" t="inlineStr">
        <is>
          <t>adet</t>
        </is>
      </c>
      <c r="E10" s="50" t="n">
        <v>1</v>
      </c>
      <c r="F10" s="50" t="n">
        <v>1</v>
      </c>
      <c r="G10" s="27" t="inlineStr">
        <is>
          <t>-</t>
        </is>
      </c>
      <c r="H10" s="50">
        <f>F10</f>
        <v/>
      </c>
      <c r="I10" s="51" t="n">
        <v>2000</v>
      </c>
      <c r="J10" s="28">
        <f>H10*I10</f>
        <v/>
      </c>
      <c r="K10" s="53" t="inlineStr">
        <is>
          <t>MÜHENDİSLİK TAHMİNİ</t>
        </is>
      </c>
      <c r="L10" s="7" t="inlineStr">
        <is>
          <t>TAHMIN (emsal yok) – Emsal yok (komple tali pano; İzmir Buca TEDAK 2021 tali pano ort. 3.010 € (M) metro/daha büyük, Bursa T2 "özel saç pano" yalnız gövde → kıyas dışı)</t>
        </is>
      </c>
      <c r="M10" s="7" t="inlineStr">
        <is>
          <t>UDP komple</t>
        </is>
      </c>
    </row>
    <row r="11" outlineLevel="1">
      <c r="A11" s="27" t="n"/>
      <c r="B11" s="27" t="inlineStr">
        <is>
          <t>2006.A</t>
        </is>
      </c>
      <c r="C11" s="7" t="inlineStr">
        <is>
          <t>UPS-1 / UPS-2 dağıtım panoları (peron başına, UK01-UK13 AOS 1x10/16 A + KAKŞ)</t>
        </is>
      </c>
      <c r="D11" s="27" t="inlineStr">
        <is>
          <t>adet</t>
        </is>
      </c>
      <c r="E11" s="50" t="n">
        <v>2</v>
      </c>
      <c r="F11" s="50" t="n">
        <v>2</v>
      </c>
      <c r="G11" s="27" t="inlineStr">
        <is>
          <t>-</t>
        </is>
      </c>
      <c r="H11" s="50">
        <f>F11</f>
        <v/>
      </c>
      <c r="I11" s="51" t="n">
        <v>1200</v>
      </c>
      <c r="J11" s="28">
        <f>H11*I11</f>
        <v/>
      </c>
      <c r="K11" s="53" t="inlineStr">
        <is>
          <t>MÜHENDİSLİK TAHMİNİ</t>
        </is>
      </c>
      <c r="L11" s="7" t="inlineStr">
        <is>
          <t>TAHMIN (emsal yok) – Emsal yok (komple tali pano; İzmir Buca TEDAK 2021 tali pano ort. 3.010 € (M) metro/daha büyük, Bursa T2 "özel saç pano" yalnız gövde → kıyas dışı)</t>
        </is>
      </c>
      <c r="M11" s="7" t="inlineStr">
        <is>
          <t>Peron UPS tali panosu</t>
        </is>
      </c>
    </row>
    <row r="12" outlineLevel="1">
      <c r="A12" s="27" t="n"/>
      <c r="B12" s="27" t="inlineStr">
        <is>
          <t>2006.A</t>
        </is>
      </c>
      <c r="C12" s="7" t="inlineStr">
        <is>
          <t>Parafudr Tip 1+2 (giriş)</t>
        </is>
      </c>
      <c r="D12" s="27" t="inlineStr">
        <is>
          <t>adet</t>
        </is>
      </c>
      <c r="E12" s="50" t="n">
        <v>1</v>
      </c>
      <c r="F12" s="50" t="n">
        <v>1</v>
      </c>
      <c r="G12" s="27" t="inlineStr">
        <is>
          <t>-</t>
        </is>
      </c>
      <c r="H12" s="50">
        <f>F12</f>
        <v/>
      </c>
      <c r="I12" s="51" t="n">
        <v>545.58</v>
      </c>
      <c r="J12" s="28">
        <f>H12*I12</f>
        <v/>
      </c>
      <c r="K12" s="52" t="inlineStr">
        <is>
          <t>GEÇMİŞ TEKLİF UYARLAMA</t>
        </is>
      </c>
      <c r="L12" s="7" t="inlineStr">
        <is>
          <t>REF-derin – Bursa T2 Haluk 2015 SPD B 3F+N (M+İ) 183,45 +%20 Tip1+2→220,15; Bursa T2 MET 2015 SPD B 3F+N (M+İ) 466,49 +%20 Tip1+2→559,79; Başkentray Desat 2012 SPD B 100 kA (M+İ) 454,65 +%20 Tip1+2→545,58 → medyan 545,58 [Emsal ID: R00920;R00987;R00517]</t>
        </is>
      </c>
      <c r="M12" s="7" t="inlineStr">
        <is>
          <t>SPD Tip1+2 | İlk tahmin BF 650.00</t>
        </is>
      </c>
    </row>
    <row r="13" outlineLevel="1">
      <c r="A13" s="27" t="n"/>
      <c r="B13" s="27" t="inlineStr">
        <is>
          <t>2006.A</t>
        </is>
      </c>
      <c r="C13" s="7" t="inlineStr">
        <is>
          <t>Pano montaj, iç kablaj, test</t>
        </is>
      </c>
      <c r="D13" s="27" t="inlineStr">
        <is>
          <t>set</t>
        </is>
      </c>
      <c r="E13" s="50" t="n">
        <v>1</v>
      </c>
      <c r="F13" s="50" t="n">
        <v>1</v>
      </c>
      <c r="G13" s="27" t="inlineStr">
        <is>
          <t>-</t>
        </is>
      </c>
      <c r="H13" s="50">
        <f>F13</f>
        <v/>
      </c>
      <c r="I13" s="51" t="n">
        <v>800</v>
      </c>
      <c r="J13" s="28">
        <f>H13*I13</f>
        <v/>
      </c>
      <c r="K13" s="53" t="inlineStr">
        <is>
          <t>MÜHENDİSLİK TAHMİNİ</t>
        </is>
      </c>
      <c r="L13" s="7" t="inlineStr">
        <is>
          <t>TAHMIN (emsal yok) – Emsal yok (götürü montaj/test)</t>
        </is>
      </c>
      <c r="M13" s="7" t="inlineStr">
        <is>
          <t>Montaj/test götürü</t>
        </is>
      </c>
    </row>
    <row r="14">
      <c r="A14" s="48" t="inlineStr">
        <is>
          <t>181</t>
        </is>
      </c>
      <c r="B14" s="48" t="inlineStr">
        <is>
          <t>2006.B</t>
        </is>
      </c>
      <c r="C14" s="48" t="inlineStr">
        <is>
          <t>Hızmalı Köprüsü İstasyonu Ag Ana Dağıtım Panoları (400 V) (1 set)</t>
        </is>
      </c>
      <c r="D14" s="48" t="n"/>
      <c r="E14" s="48" t="n"/>
      <c r="F14" s="48" t="n"/>
      <c r="G14" s="48" t="n"/>
      <c r="H14" s="48" t="inlineStr">
        <is>
          <t>RFQ tutarı →</t>
        </is>
      </c>
      <c r="I14" s="49">
        <f>SUMPRODUCT(E15:E21,I15:I21)</f>
        <v/>
      </c>
      <c r="J14" s="49">
        <f>SUM(J15:J21)</f>
        <v/>
      </c>
      <c r="K14" s="48" t="n"/>
      <c r="L14" s="48" t="n"/>
      <c r="M14" s="48" t="n"/>
    </row>
    <row r="15" outlineLevel="1">
      <c r="A15" s="27" t="n"/>
      <c r="B15" s="27" t="inlineStr">
        <is>
          <t>2006.B</t>
        </is>
      </c>
      <c r="C15" s="7" t="inlineStr">
        <is>
          <t>ADP panosu: metal mahfazalı, TS EN 61439-1/2, IP54, 20x5 Cu bara 3P+N+PE</t>
        </is>
      </c>
      <c r="D15" s="27" t="inlineStr">
        <is>
          <t>adet</t>
        </is>
      </c>
      <c r="E15" s="50" t="n">
        <v>1</v>
      </c>
      <c r="F15" s="50" t="n">
        <v>1</v>
      </c>
      <c r="G15" s="27" t="inlineStr">
        <is>
          <t>-</t>
        </is>
      </c>
      <c r="H15" s="50">
        <f>F15</f>
        <v/>
      </c>
      <c r="I15" s="51" t="n">
        <v>1891.54</v>
      </c>
      <c r="J15" s="28">
        <f>H15*I15</f>
        <v/>
      </c>
      <c r="K15" s="52" t="inlineStr">
        <is>
          <t>GEÇMİŞ TEKLİF UYARLAMA</t>
        </is>
      </c>
      <c r="L15" s="7" t="inlineStr">
        <is>
          <t>REF-derin – Bursa T2 MET 2015 saç pano 800 mm (M+İ) 2.162,86 +%15 Cu bara/IP54→2.487,29; Ankara-Sivas YHT Platin 2019 saç pano 61439 (M+İ) 1.644,82 +%15 Cu bara/IP54→1.891,54; Bursa T2 Haluk 2015 saç pano 800 mm (M+İ) 676,71 +%15 Cu bara/IP54→778,22 → medyan 1.891,54 [Emsal ID: R00985;R00484;R00917]</t>
        </is>
      </c>
      <c r="M15" s="7" t="inlineStr">
        <is>
          <t>Boş pano gövdesi+bara | İlk tahmin BF 2,500.00</t>
        </is>
      </c>
    </row>
    <row r="16" outlineLevel="1">
      <c r="A16" s="27" t="n"/>
      <c r="B16" s="27" t="inlineStr">
        <is>
          <t>2006.B</t>
        </is>
      </c>
      <c r="C16" s="7" t="inlineStr">
        <is>
          <t>Ana giriş TMŞ 3x125 A 10 kA + RCD-D 300 mA (toroid)</t>
        </is>
      </c>
      <c r="D16" s="27" t="inlineStr">
        <is>
          <t>adet</t>
        </is>
      </c>
      <c r="E16" s="50" t="n">
        <v>1</v>
      </c>
      <c r="F16" s="50" t="n">
        <v>1</v>
      </c>
      <c r="G16" s="27" t="inlineStr">
        <is>
          <t>-</t>
        </is>
      </c>
      <c r="H16" s="50">
        <f>F16</f>
        <v/>
      </c>
      <c r="I16" s="51" t="n">
        <v>550</v>
      </c>
      <c r="J16" s="28">
        <f>H16*I16</f>
        <v/>
      </c>
      <c r="K16" s="53" t="inlineStr">
        <is>
          <t>MÜHENDİSLİK TAHMİNİ</t>
        </is>
      </c>
      <c r="L16" s="7" t="inlineStr">
        <is>
          <t>TAHMIN (emsal yok) – Emsal yok (veride AG kesici/TMŞ teklifi yok; R02784 MCB 1x6A 4,18 (M) kıyas dışı)</t>
        </is>
      </c>
      <c r="M16" s="7" t="inlineStr">
        <is>
          <t>TMŞ 125A+RCD-D toroid</t>
        </is>
      </c>
    </row>
    <row r="17" outlineLevel="1">
      <c r="A17" s="27" t="n"/>
      <c r="B17" s="27" t="inlineStr">
        <is>
          <t>2006.B</t>
        </is>
      </c>
      <c r="C17" s="7" t="inlineStr">
        <is>
          <t>Çıkış TMŞ 3x32 A (APP, UPS, SK, YMP-01/02/03, ASP-01/02/03)</t>
        </is>
      </c>
      <c r="D17" s="27" t="inlineStr">
        <is>
          <t>adet</t>
        </is>
      </c>
      <c r="E17" s="50" t="n">
        <v>9</v>
      </c>
      <c r="F17" s="50" t="n">
        <v>9</v>
      </c>
      <c r="G17" s="27" t="inlineStr">
        <is>
          <t>-</t>
        </is>
      </c>
      <c r="H17" s="50">
        <f>F17</f>
        <v/>
      </c>
      <c r="I17" s="51" t="n">
        <v>130</v>
      </c>
      <c r="J17" s="28">
        <f>H17*I17</f>
        <v/>
      </c>
      <c r="K17" s="53" t="inlineStr">
        <is>
          <t>MÜHENDİSLİK TAHMİNİ</t>
        </is>
      </c>
      <c r="L17" s="7" t="inlineStr">
        <is>
          <t>TAHMIN (emsal yok) – Emsal yok (veride AG kesici/TMŞ teklifi yok; R02784 MCB 1x6A 4,18 (M) kıyas dışı)</t>
        </is>
      </c>
      <c r="M17" s="7" t="inlineStr">
        <is>
          <t>Çıkış TMŞ 32A montajlı</t>
        </is>
      </c>
    </row>
    <row r="18" outlineLevel="1">
      <c r="A18" s="27" t="n"/>
      <c r="B18" s="27" t="inlineStr">
        <is>
          <t>2006.B</t>
        </is>
      </c>
      <c r="C18" s="7" t="inlineStr">
        <is>
          <t>Çıkış TMŞ 3x40 A (yedek)</t>
        </is>
      </c>
      <c r="D18" s="27" t="inlineStr">
        <is>
          <t>adet</t>
        </is>
      </c>
      <c r="E18" s="50" t="n">
        <v>3</v>
      </c>
      <c r="F18" s="50" t="n">
        <v>3</v>
      </c>
      <c r="G18" s="27" t="inlineStr">
        <is>
          <t>-</t>
        </is>
      </c>
      <c r="H18" s="50">
        <f>F18</f>
        <v/>
      </c>
      <c r="I18" s="51" t="n">
        <v>140</v>
      </c>
      <c r="J18" s="28">
        <f>H18*I18</f>
        <v/>
      </c>
      <c r="K18" s="53" t="inlineStr">
        <is>
          <t>MÜHENDİSLİK TAHMİNİ</t>
        </is>
      </c>
      <c r="L18" s="7" t="inlineStr">
        <is>
          <t>TAHMIN (emsal yok) – Emsal yok (veride AG kesici/TMŞ teklifi yok; R02784 MCB 1x6A 4,18 (M) kıyas dışı)</t>
        </is>
      </c>
      <c r="M18" s="7" t="inlineStr">
        <is>
          <t>Çıkış TMŞ 40A montajlı</t>
        </is>
      </c>
    </row>
    <row r="19" outlineLevel="1">
      <c r="A19" s="27" t="n"/>
      <c r="B19" s="27" t="inlineStr">
        <is>
          <t>2006.B</t>
        </is>
      </c>
      <c r="C19" s="7" t="inlineStr">
        <is>
          <t>Parafudr Tip 1+2 3+N+PE (giriş)</t>
        </is>
      </c>
      <c r="D19" s="27" t="inlineStr">
        <is>
          <t>adet</t>
        </is>
      </c>
      <c r="E19" s="50" t="n">
        <v>1</v>
      </c>
      <c r="F19" s="50" t="n">
        <v>1</v>
      </c>
      <c r="G19" s="27" t="inlineStr">
        <is>
          <t>-</t>
        </is>
      </c>
      <c r="H19" s="50">
        <f>F19</f>
        <v/>
      </c>
      <c r="I19" s="51" t="n">
        <v>545.58</v>
      </c>
      <c r="J19" s="28">
        <f>H19*I19</f>
        <v/>
      </c>
      <c r="K19" s="52" t="inlineStr">
        <is>
          <t>GEÇMİŞ TEKLİF UYARLAMA</t>
        </is>
      </c>
      <c r="L19" s="7" t="inlineStr">
        <is>
          <t>REF-derin – Bursa T2 Haluk 2015 SPD B 3F+N (M+İ) 183,45 +%20 Tip1+2→220,15; Bursa T2 MET 2015 SPD B 3F+N (M+İ) 466,49 +%20 Tip1+2→559,79; Başkentray Desat 2012 SPD B 100 kA (M+İ) 454,65 +%20 Tip1+2→545,58 → medyan 545,58 [Emsal ID: R00920;R00987;R00517]</t>
        </is>
      </c>
      <c r="M19" s="7" t="inlineStr">
        <is>
          <t>SPD Tip1+2 | İlk tahmin BF 650.00</t>
        </is>
      </c>
    </row>
    <row r="20" outlineLevel="1">
      <c r="A20" s="27" t="n"/>
      <c r="B20" s="27" t="inlineStr">
        <is>
          <t>2006.B</t>
        </is>
      </c>
      <c r="C20" s="7" t="inlineStr">
        <is>
          <t>UPS ana dağıtım panosu (UPS çıkışı, UK01-UK12): giriş AOS 3x25 A, 2 x KAKŞ 4x25 A 30 mA, ~12 AOS 1x10/16 A, 4 yedek</t>
        </is>
      </c>
      <c r="D20" s="27" t="inlineStr">
        <is>
          <t>adet</t>
        </is>
      </c>
      <c r="E20" s="50" t="n">
        <v>1</v>
      </c>
      <c r="F20" s="50" t="n">
        <v>1</v>
      </c>
      <c r="G20" s="27" t="inlineStr">
        <is>
          <t>-</t>
        </is>
      </c>
      <c r="H20" s="50">
        <f>F20</f>
        <v/>
      </c>
      <c r="I20" s="51" t="n">
        <v>1800</v>
      </c>
      <c r="J20" s="28">
        <f>H20*I20</f>
        <v/>
      </c>
      <c r="K20" s="53" t="inlineStr">
        <is>
          <t>MÜHENDİSLİK TAHMİNİ</t>
        </is>
      </c>
      <c r="L20" s="7" t="inlineStr">
        <is>
          <t>TAHMIN (emsal yok) – Emsal yok (komple tali pano; İzmir Buca TEDAK 2021 tali pano ort. 3.010 € (M) metro/daha büyük, Bursa T2 "özel saç pano" yalnız gövde → kıyas dışı)</t>
        </is>
      </c>
      <c r="M20" s="7" t="inlineStr">
        <is>
          <t>UDP komple</t>
        </is>
      </c>
    </row>
    <row r="21" outlineLevel="1">
      <c r="A21" s="27" t="n"/>
      <c r="B21" s="27" t="inlineStr">
        <is>
          <t>2006.B</t>
        </is>
      </c>
      <c r="C21" s="7" t="inlineStr">
        <is>
          <t>Pano montaj/kaide, etiketleme, iç kablaj, test ve devreye alma</t>
        </is>
      </c>
      <c r="D21" s="27" t="inlineStr">
        <is>
          <t>set</t>
        </is>
      </c>
      <c r="E21" s="50" t="n">
        <v>1</v>
      </c>
      <c r="F21" s="50" t="n">
        <v>1</v>
      </c>
      <c r="G21" s="27" t="inlineStr">
        <is>
          <t>-</t>
        </is>
      </c>
      <c r="H21" s="50">
        <f>F21</f>
        <v/>
      </c>
      <c r="I21" s="51" t="n">
        <v>800</v>
      </c>
      <c r="J21" s="28">
        <f>H21*I21</f>
        <v/>
      </c>
      <c r="K21" s="53" t="inlineStr">
        <is>
          <t>MÜHENDİSLİK TAHMİNİ</t>
        </is>
      </c>
      <c r="L21" s="7" t="inlineStr">
        <is>
          <t>TAHMIN (emsal yok) – Emsal yok (götürü montaj/test)</t>
        </is>
      </c>
      <c r="M21" s="7" t="inlineStr">
        <is>
          <t>Montaj/test götürü</t>
        </is>
      </c>
    </row>
    <row r="22">
      <c r="A22" s="48" t="inlineStr">
        <is>
          <t>182</t>
        </is>
      </c>
      <c r="B22" s="48" t="inlineStr">
        <is>
          <t>2006.C</t>
        </is>
      </c>
      <c r="C22" s="48" t="inlineStr">
        <is>
          <t>Balıklıgöl İstasyonu Ag Ana Dağıtım Panoları (400 V) (1 set)</t>
        </is>
      </c>
      <c r="D22" s="48" t="n"/>
      <c r="E22" s="48" t="n"/>
      <c r="F22" s="48" t="n"/>
      <c r="G22" s="48" t="n"/>
      <c r="H22" s="48" t="inlineStr">
        <is>
          <t>RFQ tutarı →</t>
        </is>
      </c>
      <c r="I22" s="49">
        <f>SUMPRODUCT(E23:E29,I23:I29)</f>
        <v/>
      </c>
      <c r="J22" s="49">
        <f>SUM(J23:J29)</f>
        <v/>
      </c>
      <c r="K22" s="48" t="n"/>
      <c r="L22" s="48" t="n"/>
      <c r="M22" s="48" t="n"/>
    </row>
    <row r="23" outlineLevel="1">
      <c r="A23" s="27" t="n"/>
      <c r="B23" s="27" t="inlineStr">
        <is>
          <t>2006.C</t>
        </is>
      </c>
      <c r="C23" s="7" t="inlineStr">
        <is>
          <t>ADP panosu: metal mahfazalı, TS EN 61439-1/2, IP54, 20x5 Cu bara 3P+N+PE</t>
        </is>
      </c>
      <c r="D23" s="27" t="inlineStr">
        <is>
          <t>adet</t>
        </is>
      </c>
      <c r="E23" s="50" t="n">
        <v>1</v>
      </c>
      <c r="F23" s="50" t="n">
        <v>1</v>
      </c>
      <c r="G23" s="27" t="inlineStr">
        <is>
          <t>-</t>
        </is>
      </c>
      <c r="H23" s="50">
        <f>F23</f>
        <v/>
      </c>
      <c r="I23" s="51" t="n">
        <v>1891.54</v>
      </c>
      <c r="J23" s="28">
        <f>H23*I23</f>
        <v/>
      </c>
      <c r="K23" s="52" t="inlineStr">
        <is>
          <t>GEÇMİŞ TEKLİF UYARLAMA</t>
        </is>
      </c>
      <c r="L23" s="7" t="inlineStr">
        <is>
          <t>REF-derin – Bursa T2 MET 2015 saç pano 800 mm (M+İ) 2.162,86 +%15 Cu bara/IP54→2.487,29; Ankara-Sivas YHT Platin 2019 saç pano 61439 (M+İ) 1.644,82 +%15 Cu bara/IP54→1.891,54; Bursa T2 Haluk 2015 saç pano 800 mm (M+İ) 676,71 +%15 Cu bara/IP54→778,22 → medyan 1.891,54 [Emsal ID: R00985;R00484;R00917]</t>
        </is>
      </c>
      <c r="M23" s="7" t="inlineStr">
        <is>
          <t>Boş pano gövdesi+bara | İlk tahmin BF 2,500.00</t>
        </is>
      </c>
    </row>
    <row r="24" outlineLevel="1">
      <c r="A24" s="27" t="n"/>
      <c r="B24" s="27" t="inlineStr">
        <is>
          <t>2006.C</t>
        </is>
      </c>
      <c r="C24" s="7" t="inlineStr">
        <is>
          <t>Ana giriş TMŞ 3x125 A 10 kA + RCD-D 300 mA (toroid)</t>
        </is>
      </c>
      <c r="D24" s="27" t="inlineStr">
        <is>
          <t>adet</t>
        </is>
      </c>
      <c r="E24" s="50" t="n">
        <v>1</v>
      </c>
      <c r="F24" s="50" t="n">
        <v>1</v>
      </c>
      <c r="G24" s="27" t="inlineStr">
        <is>
          <t>-</t>
        </is>
      </c>
      <c r="H24" s="50">
        <f>F24</f>
        <v/>
      </c>
      <c r="I24" s="51" t="n">
        <v>550</v>
      </c>
      <c r="J24" s="28">
        <f>H24*I24</f>
        <v/>
      </c>
      <c r="K24" s="53" t="inlineStr">
        <is>
          <t>MÜHENDİSLİK TAHMİNİ</t>
        </is>
      </c>
      <c r="L24" s="7" t="inlineStr">
        <is>
          <t>TAHMIN (emsal yok) – Emsal yok (veride AG kesici/TMŞ teklifi yok; R02784 MCB 1x6A 4,18 (M) kıyas dışı)</t>
        </is>
      </c>
      <c r="M24" s="7" t="inlineStr">
        <is>
          <t>TMŞ 125A+RCD-D toroid</t>
        </is>
      </c>
    </row>
    <row r="25" outlineLevel="1">
      <c r="A25" s="27" t="n"/>
      <c r="B25" s="27" t="inlineStr">
        <is>
          <t>2006.C</t>
        </is>
      </c>
      <c r="C25" s="7" t="inlineStr">
        <is>
          <t>Çıkış TMŞ 3x32 A (APP, UPS, SK, YMP-01/02/03, ASP-01/02/03)</t>
        </is>
      </c>
      <c r="D25" s="27" t="inlineStr">
        <is>
          <t>adet</t>
        </is>
      </c>
      <c r="E25" s="50" t="n">
        <v>9</v>
      </c>
      <c r="F25" s="50" t="n">
        <v>9</v>
      </c>
      <c r="G25" s="27" t="inlineStr">
        <is>
          <t>-</t>
        </is>
      </c>
      <c r="H25" s="50">
        <f>F25</f>
        <v/>
      </c>
      <c r="I25" s="51" t="n">
        <v>130</v>
      </c>
      <c r="J25" s="28">
        <f>H25*I25</f>
        <v/>
      </c>
      <c r="K25" s="53" t="inlineStr">
        <is>
          <t>MÜHENDİSLİK TAHMİNİ</t>
        </is>
      </c>
      <c r="L25" s="7" t="inlineStr">
        <is>
          <t>TAHMIN (emsal yok) – Emsal yok (veride AG kesici/TMŞ teklifi yok; R02784 MCB 1x6A 4,18 (M) kıyas dışı)</t>
        </is>
      </c>
      <c r="M25" s="7" t="inlineStr">
        <is>
          <t>Çıkış TMŞ 32A montajlı</t>
        </is>
      </c>
    </row>
    <row r="26" outlineLevel="1">
      <c r="A26" s="27" t="n"/>
      <c r="B26" s="27" t="inlineStr">
        <is>
          <t>2006.C</t>
        </is>
      </c>
      <c r="C26" s="7" t="inlineStr">
        <is>
          <t>Çıkış TMŞ 3x40 A (yedek)</t>
        </is>
      </c>
      <c r="D26" s="27" t="inlineStr">
        <is>
          <t>adet</t>
        </is>
      </c>
      <c r="E26" s="50" t="n">
        <v>3</v>
      </c>
      <c r="F26" s="50" t="n">
        <v>3</v>
      </c>
      <c r="G26" s="27" t="inlineStr">
        <is>
          <t>-</t>
        </is>
      </c>
      <c r="H26" s="50">
        <f>F26</f>
        <v/>
      </c>
      <c r="I26" s="51" t="n">
        <v>140</v>
      </c>
      <c r="J26" s="28">
        <f>H26*I26</f>
        <v/>
      </c>
      <c r="K26" s="53" t="inlineStr">
        <is>
          <t>MÜHENDİSLİK TAHMİNİ</t>
        </is>
      </c>
      <c r="L26" s="7" t="inlineStr">
        <is>
          <t>TAHMIN (emsal yok) – Emsal yok (veride AG kesici/TMŞ teklifi yok; R02784 MCB 1x6A 4,18 (M) kıyas dışı)</t>
        </is>
      </c>
      <c r="M26" s="7" t="inlineStr">
        <is>
          <t>Çıkış TMŞ 40A montajlı</t>
        </is>
      </c>
    </row>
    <row r="27" outlineLevel="1">
      <c r="A27" s="27" t="n"/>
      <c r="B27" s="27" t="inlineStr">
        <is>
          <t>2006.C</t>
        </is>
      </c>
      <c r="C27" s="7" t="inlineStr">
        <is>
          <t>Parafudr Tip 1+2 3+N+PE (giriş)</t>
        </is>
      </c>
      <c r="D27" s="27" t="inlineStr">
        <is>
          <t>adet</t>
        </is>
      </c>
      <c r="E27" s="50" t="n">
        <v>1</v>
      </c>
      <c r="F27" s="50" t="n">
        <v>1</v>
      </c>
      <c r="G27" s="27" t="inlineStr">
        <is>
          <t>-</t>
        </is>
      </c>
      <c r="H27" s="50">
        <f>F27</f>
        <v/>
      </c>
      <c r="I27" s="51" t="n">
        <v>545.58</v>
      </c>
      <c r="J27" s="28">
        <f>H27*I27</f>
        <v/>
      </c>
      <c r="K27" s="52" t="inlineStr">
        <is>
          <t>GEÇMİŞ TEKLİF UYARLAMA</t>
        </is>
      </c>
      <c r="L27" s="7" t="inlineStr">
        <is>
          <t>REF-derin – Bursa T2 Haluk 2015 SPD B 3F+N (M+İ) 183,45 +%20 Tip1+2→220,15; Bursa T2 MET 2015 SPD B 3F+N (M+İ) 466,49 +%20 Tip1+2→559,79; Başkentray Desat 2012 SPD B 100 kA (M+İ) 454,65 +%20 Tip1+2→545,58 → medyan 545,58 [Emsal ID: R00920;R00987;R00517]</t>
        </is>
      </c>
      <c r="M27" s="7" t="inlineStr">
        <is>
          <t>SPD Tip1+2 | İlk tahmin BF 650.00</t>
        </is>
      </c>
    </row>
    <row r="28" outlineLevel="1">
      <c r="A28" s="27" t="n"/>
      <c r="B28" s="27" t="inlineStr">
        <is>
          <t>2006.C</t>
        </is>
      </c>
      <c r="C28" s="7" t="inlineStr">
        <is>
          <t>UPS ana dağıtım panosu (UPS çıkışı, UK01-UK12): giriş AOS 3x25 A, 2 x KAKŞ 4x25 A 30 mA, ~12 AOS 1x10/16 A, 4 yedek</t>
        </is>
      </c>
      <c r="D28" s="27" t="inlineStr">
        <is>
          <t>adet</t>
        </is>
      </c>
      <c r="E28" s="50" t="n">
        <v>1</v>
      </c>
      <c r="F28" s="50" t="n">
        <v>1</v>
      </c>
      <c r="G28" s="27" t="inlineStr">
        <is>
          <t>-</t>
        </is>
      </c>
      <c r="H28" s="50">
        <f>F28</f>
        <v/>
      </c>
      <c r="I28" s="51" t="n">
        <v>1800</v>
      </c>
      <c r="J28" s="28">
        <f>H28*I28</f>
        <v/>
      </c>
      <c r="K28" s="53" t="inlineStr">
        <is>
          <t>MÜHENDİSLİK TAHMİNİ</t>
        </is>
      </c>
      <c r="L28" s="7" t="inlineStr">
        <is>
          <t>TAHMIN (emsal yok) – Emsal yok (komple tali pano; İzmir Buca TEDAK 2021 tali pano ort. 3.010 € (M) metro/daha büyük, Bursa T2 "özel saç pano" yalnız gövde → kıyas dışı)</t>
        </is>
      </c>
      <c r="M28" s="7" t="inlineStr">
        <is>
          <t>UDP komple</t>
        </is>
      </c>
    </row>
    <row r="29" outlineLevel="1">
      <c r="A29" s="27" t="n"/>
      <c r="B29" s="27" t="inlineStr">
        <is>
          <t>2006.C</t>
        </is>
      </c>
      <c r="C29" s="7" t="inlineStr">
        <is>
          <t>Pano montaj/kaide, etiketleme, iç kablaj, test ve devreye alma</t>
        </is>
      </c>
      <c r="D29" s="27" t="inlineStr">
        <is>
          <t>set</t>
        </is>
      </c>
      <c r="E29" s="50" t="n">
        <v>1</v>
      </c>
      <c r="F29" s="50" t="n">
        <v>1</v>
      </c>
      <c r="G29" s="27" t="inlineStr">
        <is>
          <t>-</t>
        </is>
      </c>
      <c r="H29" s="50">
        <f>F29</f>
        <v/>
      </c>
      <c r="I29" s="51" t="n">
        <v>800</v>
      </c>
      <c r="J29" s="28">
        <f>H29*I29</f>
        <v/>
      </c>
      <c r="K29" s="53" t="inlineStr">
        <is>
          <t>MÜHENDİSLİK TAHMİNİ</t>
        </is>
      </c>
      <c r="L29" s="7" t="inlineStr">
        <is>
          <t>TAHMIN (emsal yok) – Emsal yok (götürü montaj/test)</t>
        </is>
      </c>
      <c r="M29" s="7" t="inlineStr">
        <is>
          <t>Montaj/test götürü</t>
        </is>
      </c>
    </row>
    <row r="30">
      <c r="A30" s="48" t="inlineStr">
        <is>
          <t>183</t>
        </is>
      </c>
      <c r="B30" s="48" t="inlineStr">
        <is>
          <t>2006.D</t>
        </is>
      </c>
      <c r="C30" s="48" t="inlineStr">
        <is>
          <t>Eyüp Peygamber İstasyonu Ag Ana Dağıtım Panoları (400 V) (1 set)</t>
        </is>
      </c>
      <c r="D30" s="48" t="n"/>
      <c r="E30" s="48" t="n"/>
      <c r="F30" s="48" t="n"/>
      <c r="G30" s="48" t="n"/>
      <c r="H30" s="48" t="inlineStr">
        <is>
          <t>RFQ tutarı →</t>
        </is>
      </c>
      <c r="I30" s="49">
        <f>SUMPRODUCT(E31:E37,I31:I37)</f>
        <v/>
      </c>
      <c r="J30" s="49">
        <f>SUM(J31:J37)</f>
        <v/>
      </c>
      <c r="K30" s="48" t="n"/>
      <c r="L30" s="48" t="n"/>
      <c r="M30" s="48" t="n"/>
    </row>
    <row r="31" outlineLevel="1">
      <c r="A31" s="27" t="n"/>
      <c r="B31" s="27" t="inlineStr">
        <is>
          <t>2006.D</t>
        </is>
      </c>
      <c r="C31" s="7" t="inlineStr">
        <is>
          <t>ADP panosu: metal mahfazalı, TS EN 61439-1/2, IP54, 20x5 Cu bara 3P+N+PE</t>
        </is>
      </c>
      <c r="D31" s="27" t="inlineStr">
        <is>
          <t>adet</t>
        </is>
      </c>
      <c r="E31" s="50" t="n">
        <v>1</v>
      </c>
      <c r="F31" s="50" t="n">
        <v>1</v>
      </c>
      <c r="G31" s="27" t="inlineStr">
        <is>
          <t>-</t>
        </is>
      </c>
      <c r="H31" s="50">
        <f>F31</f>
        <v/>
      </c>
      <c r="I31" s="51" t="n">
        <v>1891.54</v>
      </c>
      <c r="J31" s="28">
        <f>H31*I31</f>
        <v/>
      </c>
      <c r="K31" s="52" t="inlineStr">
        <is>
          <t>GEÇMİŞ TEKLİF UYARLAMA</t>
        </is>
      </c>
      <c r="L31" s="7" t="inlineStr">
        <is>
          <t>REF-derin – Bursa T2 MET 2015 saç pano 800 mm (M+İ) 2.162,86 +%15 Cu bara/IP54→2.487,29; Ankara-Sivas YHT Platin 2019 saç pano 61439 (M+İ) 1.644,82 +%15 Cu bara/IP54→1.891,54; Bursa T2 Haluk 2015 saç pano 800 mm (M+İ) 676,71 +%15 Cu bara/IP54→778,22 → medyan 1.891,54 [Emsal ID: R00985;R00484;R00917]</t>
        </is>
      </c>
      <c r="M31" s="7" t="inlineStr">
        <is>
          <t>Boş pano gövdesi+bara | İlk tahmin BF 2,500.00</t>
        </is>
      </c>
    </row>
    <row r="32" outlineLevel="1">
      <c r="A32" s="27" t="n"/>
      <c r="B32" s="27" t="inlineStr">
        <is>
          <t>2006.D</t>
        </is>
      </c>
      <c r="C32" s="7" t="inlineStr">
        <is>
          <t>Ana giriş TMŞ 3x125 A 10 kA + RCD-D 300 mA (toroid)</t>
        </is>
      </c>
      <c r="D32" s="27" t="inlineStr">
        <is>
          <t>adet</t>
        </is>
      </c>
      <c r="E32" s="50" t="n">
        <v>1</v>
      </c>
      <c r="F32" s="50" t="n">
        <v>1</v>
      </c>
      <c r="G32" s="27" t="inlineStr">
        <is>
          <t>-</t>
        </is>
      </c>
      <c r="H32" s="50">
        <f>F32</f>
        <v/>
      </c>
      <c r="I32" s="51" t="n">
        <v>550</v>
      </c>
      <c r="J32" s="28">
        <f>H32*I32</f>
        <v/>
      </c>
      <c r="K32" s="53" t="inlineStr">
        <is>
          <t>MÜHENDİSLİK TAHMİNİ</t>
        </is>
      </c>
      <c r="L32" s="7" t="inlineStr">
        <is>
          <t>TAHMIN (emsal yok) – Emsal yok (veride AG kesici/TMŞ teklifi yok; R02784 MCB 1x6A 4,18 (M) kıyas dışı)</t>
        </is>
      </c>
      <c r="M32" s="7" t="inlineStr">
        <is>
          <t>TMŞ 125A+RCD-D toroid</t>
        </is>
      </c>
    </row>
    <row r="33" outlineLevel="1">
      <c r="A33" s="27" t="n"/>
      <c r="B33" s="27" t="inlineStr">
        <is>
          <t>2006.D</t>
        </is>
      </c>
      <c r="C33" s="7" t="inlineStr">
        <is>
          <t>Çıkış TMŞ 3x32 A (APP, UPS, SK, YMP-01/02/03, ASP-01/02/03)</t>
        </is>
      </c>
      <c r="D33" s="27" t="inlineStr">
        <is>
          <t>adet</t>
        </is>
      </c>
      <c r="E33" s="50" t="n">
        <v>9</v>
      </c>
      <c r="F33" s="50" t="n">
        <v>9</v>
      </c>
      <c r="G33" s="27" t="inlineStr">
        <is>
          <t>-</t>
        </is>
      </c>
      <c r="H33" s="50">
        <f>F33</f>
        <v/>
      </c>
      <c r="I33" s="51" t="n">
        <v>130</v>
      </c>
      <c r="J33" s="28">
        <f>H33*I33</f>
        <v/>
      </c>
      <c r="K33" s="53" t="inlineStr">
        <is>
          <t>MÜHENDİSLİK TAHMİNİ</t>
        </is>
      </c>
      <c r="L33" s="7" t="inlineStr">
        <is>
          <t>TAHMIN (emsal yok) – Emsal yok (veride AG kesici/TMŞ teklifi yok; R02784 MCB 1x6A 4,18 (M) kıyas dışı)</t>
        </is>
      </c>
      <c r="M33" s="7" t="inlineStr">
        <is>
          <t>Çıkış TMŞ 32A montajlı</t>
        </is>
      </c>
    </row>
    <row r="34" outlineLevel="1">
      <c r="A34" s="27" t="n"/>
      <c r="B34" s="27" t="inlineStr">
        <is>
          <t>2006.D</t>
        </is>
      </c>
      <c r="C34" s="7" t="inlineStr">
        <is>
          <t>Çıkış TMŞ 3x40 A (yedek)</t>
        </is>
      </c>
      <c r="D34" s="27" t="inlineStr">
        <is>
          <t>adet</t>
        </is>
      </c>
      <c r="E34" s="50" t="n">
        <v>3</v>
      </c>
      <c r="F34" s="50" t="n">
        <v>3</v>
      </c>
      <c r="G34" s="27" t="inlineStr">
        <is>
          <t>-</t>
        </is>
      </c>
      <c r="H34" s="50">
        <f>F34</f>
        <v/>
      </c>
      <c r="I34" s="51" t="n">
        <v>140</v>
      </c>
      <c r="J34" s="28">
        <f>H34*I34</f>
        <v/>
      </c>
      <c r="K34" s="53" t="inlineStr">
        <is>
          <t>MÜHENDİSLİK TAHMİNİ</t>
        </is>
      </c>
      <c r="L34" s="7" t="inlineStr">
        <is>
          <t>TAHMIN (emsal yok) – Emsal yok (veride AG kesici/TMŞ teklifi yok; R02784 MCB 1x6A 4,18 (M) kıyas dışı)</t>
        </is>
      </c>
      <c r="M34" s="7" t="inlineStr">
        <is>
          <t>Çıkış TMŞ 40A montajlı</t>
        </is>
      </c>
    </row>
    <row r="35" outlineLevel="1">
      <c r="A35" s="27" t="n"/>
      <c r="B35" s="27" t="inlineStr">
        <is>
          <t>2006.D</t>
        </is>
      </c>
      <c r="C35" s="7" t="inlineStr">
        <is>
          <t>Parafudr Tip 1+2 3+N+PE (giriş)</t>
        </is>
      </c>
      <c r="D35" s="27" t="inlineStr">
        <is>
          <t>adet</t>
        </is>
      </c>
      <c r="E35" s="50" t="n">
        <v>1</v>
      </c>
      <c r="F35" s="50" t="n">
        <v>1</v>
      </c>
      <c r="G35" s="27" t="inlineStr">
        <is>
          <t>-</t>
        </is>
      </c>
      <c r="H35" s="50">
        <f>F35</f>
        <v/>
      </c>
      <c r="I35" s="51" t="n">
        <v>545.58</v>
      </c>
      <c r="J35" s="28">
        <f>H35*I35</f>
        <v/>
      </c>
      <c r="K35" s="52" t="inlineStr">
        <is>
          <t>GEÇMİŞ TEKLİF UYARLAMA</t>
        </is>
      </c>
      <c r="L35" s="7" t="inlineStr">
        <is>
          <t>REF-derin – Bursa T2 Haluk 2015 SPD B 3F+N (M+İ) 183,45 +%20 Tip1+2→220,15; Bursa T2 MET 2015 SPD B 3F+N (M+İ) 466,49 +%20 Tip1+2→559,79; Başkentray Desat 2012 SPD B 100 kA (M+İ) 454,65 +%20 Tip1+2→545,58 → medyan 545,58 [Emsal ID: R00920;R00987;R00517]</t>
        </is>
      </c>
      <c r="M35" s="7" t="inlineStr">
        <is>
          <t>SPD Tip1+2 | İlk tahmin BF 650.00</t>
        </is>
      </c>
    </row>
    <row r="36" outlineLevel="1">
      <c r="A36" s="27" t="n"/>
      <c r="B36" s="27" t="inlineStr">
        <is>
          <t>2006.D</t>
        </is>
      </c>
      <c r="C36" s="7" t="inlineStr">
        <is>
          <t>UPS ana dağıtım panosu (UPS çıkışı, UK01-UK12): giriş AOS 3x25 A, 2 x KAKŞ 4x25 A 30 mA, ~12 AOS 1x10/16 A, 4 yedek</t>
        </is>
      </c>
      <c r="D36" s="27" t="inlineStr">
        <is>
          <t>adet</t>
        </is>
      </c>
      <c r="E36" s="50" t="n">
        <v>1</v>
      </c>
      <c r="F36" s="50" t="n">
        <v>1</v>
      </c>
      <c r="G36" s="27" t="inlineStr">
        <is>
          <t>-</t>
        </is>
      </c>
      <c r="H36" s="50">
        <f>F36</f>
        <v/>
      </c>
      <c r="I36" s="51" t="n">
        <v>1800</v>
      </c>
      <c r="J36" s="28">
        <f>H36*I36</f>
        <v/>
      </c>
      <c r="K36" s="53" t="inlineStr">
        <is>
          <t>MÜHENDİSLİK TAHMİNİ</t>
        </is>
      </c>
      <c r="L36" s="7" t="inlineStr">
        <is>
          <t>TAHMIN (emsal yok) – Emsal yok (komple tali pano; İzmir Buca TEDAK 2021 tali pano ort. 3.010 € (M) metro/daha büyük, Bursa T2 "özel saç pano" yalnız gövde → kıyas dışı)</t>
        </is>
      </c>
      <c r="M36" s="7" t="inlineStr">
        <is>
          <t>UDP komple</t>
        </is>
      </c>
    </row>
    <row r="37" outlineLevel="1">
      <c r="A37" s="27" t="n"/>
      <c r="B37" s="27" t="inlineStr">
        <is>
          <t>2006.D</t>
        </is>
      </c>
      <c r="C37" s="7" t="inlineStr">
        <is>
          <t>Pano montaj/kaide, etiketleme, iç kablaj, test ve devreye alma</t>
        </is>
      </c>
      <c r="D37" s="27" t="inlineStr">
        <is>
          <t>set</t>
        </is>
      </c>
      <c r="E37" s="50" t="n">
        <v>1</v>
      </c>
      <c r="F37" s="50" t="n">
        <v>1</v>
      </c>
      <c r="G37" s="27" t="inlineStr">
        <is>
          <t>-</t>
        </is>
      </c>
      <c r="H37" s="50">
        <f>F37</f>
        <v/>
      </c>
      <c r="I37" s="51" t="n">
        <v>800</v>
      </c>
      <c r="J37" s="28">
        <f>H37*I37</f>
        <v/>
      </c>
      <c r="K37" s="53" t="inlineStr">
        <is>
          <t>MÜHENDİSLİK TAHMİNİ</t>
        </is>
      </c>
      <c r="L37" s="7" t="inlineStr">
        <is>
          <t>TAHMIN (emsal yok) – Emsal yok (götürü montaj/test)</t>
        </is>
      </c>
      <c r="M37" s="7" t="inlineStr">
        <is>
          <t>Montaj/test götürü</t>
        </is>
      </c>
    </row>
    <row r="38">
      <c r="A38" s="48" t="inlineStr">
        <is>
          <t>184</t>
        </is>
      </c>
      <c r="B38" s="48" t="inlineStr">
        <is>
          <t>2006.E</t>
        </is>
      </c>
      <c r="C38" s="48" t="inlineStr">
        <is>
          <t>Rasathane İstasyonu Ag Ana Dağıtım Panoları (400 V) (1 set)</t>
        </is>
      </c>
      <c r="D38" s="48" t="n"/>
      <c r="E38" s="48" t="n"/>
      <c r="F38" s="48" t="n"/>
      <c r="G38" s="48" t="n"/>
      <c r="H38" s="48" t="inlineStr">
        <is>
          <t>RFQ tutarı →</t>
        </is>
      </c>
      <c r="I38" s="49">
        <f>SUMPRODUCT(E39:E45,I39:I45)</f>
        <v/>
      </c>
      <c r="J38" s="49">
        <f>SUM(J39:J45)</f>
        <v/>
      </c>
      <c r="K38" s="48" t="n"/>
      <c r="L38" s="48" t="n"/>
      <c r="M38" s="48" t="n"/>
    </row>
    <row r="39" outlineLevel="1">
      <c r="A39" s="27" t="n"/>
      <c r="B39" s="27" t="inlineStr">
        <is>
          <t>2006.E</t>
        </is>
      </c>
      <c r="C39" s="7" t="inlineStr">
        <is>
          <t>ADP panosu: metal mahfazalı, TS EN 61439-1/2, IP54, 20x5 Cu bara 3P+N+PE</t>
        </is>
      </c>
      <c r="D39" s="27" t="inlineStr">
        <is>
          <t>adet</t>
        </is>
      </c>
      <c r="E39" s="50" t="n">
        <v>1</v>
      </c>
      <c r="F39" s="50" t="n">
        <v>1</v>
      </c>
      <c r="G39" s="27" t="inlineStr">
        <is>
          <t>-</t>
        </is>
      </c>
      <c r="H39" s="50">
        <f>F39</f>
        <v/>
      </c>
      <c r="I39" s="51" t="n">
        <v>1891.54</v>
      </c>
      <c r="J39" s="28">
        <f>H39*I39</f>
        <v/>
      </c>
      <c r="K39" s="52" t="inlineStr">
        <is>
          <t>GEÇMİŞ TEKLİF UYARLAMA</t>
        </is>
      </c>
      <c r="L39" s="7" t="inlineStr">
        <is>
          <t>REF-derin – Bursa T2 MET 2015 saç pano 800 mm (M+İ) 2.162,86 +%15 Cu bara/IP54→2.487,29; Ankara-Sivas YHT Platin 2019 saç pano 61439 (M+İ) 1.644,82 +%15 Cu bara/IP54→1.891,54; Bursa T2 Haluk 2015 saç pano 800 mm (M+İ) 676,71 +%15 Cu bara/IP54→778,22 → medyan 1.891,54 [Emsal ID: R00985;R00484;R00917]</t>
        </is>
      </c>
      <c r="M39" s="7" t="inlineStr">
        <is>
          <t>Boş pano gövdesi+bara | İlk tahmin BF 2,500.00</t>
        </is>
      </c>
    </row>
    <row r="40" outlineLevel="1">
      <c r="A40" s="27" t="n"/>
      <c r="B40" s="27" t="inlineStr">
        <is>
          <t>2006.E</t>
        </is>
      </c>
      <c r="C40" s="7" t="inlineStr">
        <is>
          <t>Ana giriş TMŞ 3x125 A 10 kA + RCD-D 300 mA (toroid)</t>
        </is>
      </c>
      <c r="D40" s="27" t="inlineStr">
        <is>
          <t>adet</t>
        </is>
      </c>
      <c r="E40" s="50" t="n">
        <v>1</v>
      </c>
      <c r="F40" s="50" t="n">
        <v>1</v>
      </c>
      <c r="G40" s="27" t="inlineStr">
        <is>
          <t>-</t>
        </is>
      </c>
      <c r="H40" s="50">
        <f>F40</f>
        <v/>
      </c>
      <c r="I40" s="51" t="n">
        <v>550</v>
      </c>
      <c r="J40" s="28">
        <f>H40*I40</f>
        <v/>
      </c>
      <c r="K40" s="53" t="inlineStr">
        <is>
          <t>MÜHENDİSLİK TAHMİNİ</t>
        </is>
      </c>
      <c r="L40" s="7" t="inlineStr">
        <is>
          <t>TAHMIN (emsal yok) – Emsal yok (veride AG kesici/TMŞ teklifi yok; R02784 MCB 1x6A 4,18 (M) kıyas dışı)</t>
        </is>
      </c>
      <c r="M40" s="7" t="inlineStr">
        <is>
          <t>TMŞ 125A+RCD-D toroid</t>
        </is>
      </c>
    </row>
    <row r="41" outlineLevel="1">
      <c r="A41" s="27" t="n"/>
      <c r="B41" s="27" t="inlineStr">
        <is>
          <t>2006.E</t>
        </is>
      </c>
      <c r="C41" s="7" t="inlineStr">
        <is>
          <t>Çıkış TMŞ 3x32 A (APP, UPS, SK, YMP-01/02/03, ASP-01/02/03)</t>
        </is>
      </c>
      <c r="D41" s="27" t="inlineStr">
        <is>
          <t>adet</t>
        </is>
      </c>
      <c r="E41" s="50" t="n">
        <v>9</v>
      </c>
      <c r="F41" s="50" t="n">
        <v>9</v>
      </c>
      <c r="G41" s="27" t="inlineStr">
        <is>
          <t>-</t>
        </is>
      </c>
      <c r="H41" s="50">
        <f>F41</f>
        <v/>
      </c>
      <c r="I41" s="51" t="n">
        <v>130</v>
      </c>
      <c r="J41" s="28">
        <f>H41*I41</f>
        <v/>
      </c>
      <c r="K41" s="53" t="inlineStr">
        <is>
          <t>MÜHENDİSLİK TAHMİNİ</t>
        </is>
      </c>
      <c r="L41" s="7" t="inlineStr">
        <is>
          <t>TAHMIN (emsal yok) – Emsal yok (veride AG kesici/TMŞ teklifi yok; R02784 MCB 1x6A 4,18 (M) kıyas dışı)</t>
        </is>
      </c>
      <c r="M41" s="7" t="inlineStr">
        <is>
          <t>Çıkış TMŞ 32A montajlı</t>
        </is>
      </c>
    </row>
    <row r="42" outlineLevel="1">
      <c r="A42" s="27" t="n"/>
      <c r="B42" s="27" t="inlineStr">
        <is>
          <t>2006.E</t>
        </is>
      </c>
      <c r="C42" s="7" t="inlineStr">
        <is>
          <t>Çıkış TMŞ 3x40 A (yedek)</t>
        </is>
      </c>
      <c r="D42" s="27" t="inlineStr">
        <is>
          <t>adet</t>
        </is>
      </c>
      <c r="E42" s="50" t="n">
        <v>3</v>
      </c>
      <c r="F42" s="50" t="n">
        <v>3</v>
      </c>
      <c r="G42" s="27" t="inlineStr">
        <is>
          <t>-</t>
        </is>
      </c>
      <c r="H42" s="50">
        <f>F42</f>
        <v/>
      </c>
      <c r="I42" s="51" t="n">
        <v>140</v>
      </c>
      <c r="J42" s="28">
        <f>H42*I42</f>
        <v/>
      </c>
      <c r="K42" s="53" t="inlineStr">
        <is>
          <t>MÜHENDİSLİK TAHMİNİ</t>
        </is>
      </c>
      <c r="L42" s="7" t="inlineStr">
        <is>
          <t>TAHMIN (emsal yok) – Emsal yok (veride AG kesici/TMŞ teklifi yok; R02784 MCB 1x6A 4,18 (M) kıyas dışı)</t>
        </is>
      </c>
      <c r="M42" s="7" t="inlineStr">
        <is>
          <t>Çıkış TMŞ 40A montajlı</t>
        </is>
      </c>
    </row>
    <row r="43" outlineLevel="1">
      <c r="A43" s="27" t="n"/>
      <c r="B43" s="27" t="inlineStr">
        <is>
          <t>2006.E</t>
        </is>
      </c>
      <c r="C43" s="7" t="inlineStr">
        <is>
          <t>Parafudr Tip 1+2 3+N+PE (giriş)</t>
        </is>
      </c>
      <c r="D43" s="27" t="inlineStr">
        <is>
          <t>adet</t>
        </is>
      </c>
      <c r="E43" s="50" t="n">
        <v>1</v>
      </c>
      <c r="F43" s="50" t="n">
        <v>1</v>
      </c>
      <c r="G43" s="27" t="inlineStr">
        <is>
          <t>-</t>
        </is>
      </c>
      <c r="H43" s="50">
        <f>F43</f>
        <v/>
      </c>
      <c r="I43" s="51" t="n">
        <v>545.58</v>
      </c>
      <c r="J43" s="28">
        <f>H43*I43</f>
        <v/>
      </c>
      <c r="K43" s="52" t="inlineStr">
        <is>
          <t>GEÇMİŞ TEKLİF UYARLAMA</t>
        </is>
      </c>
      <c r="L43" s="7" t="inlineStr">
        <is>
          <t>REF-derin – Bursa T2 Haluk 2015 SPD B 3F+N (M+İ) 183,45 +%20 Tip1+2→220,15; Bursa T2 MET 2015 SPD B 3F+N (M+İ) 466,49 +%20 Tip1+2→559,79; Başkentray Desat 2012 SPD B 100 kA (M+İ) 454,65 +%20 Tip1+2→545,58 → medyan 545,58 [Emsal ID: R00920;R00987;R00517]</t>
        </is>
      </c>
      <c r="M43" s="7" t="inlineStr">
        <is>
          <t>SPD Tip1+2 | İlk tahmin BF 650.00</t>
        </is>
      </c>
    </row>
    <row r="44" outlineLevel="1">
      <c r="A44" s="27" t="n"/>
      <c r="B44" s="27" t="inlineStr">
        <is>
          <t>2006.E</t>
        </is>
      </c>
      <c r="C44" s="7" t="inlineStr">
        <is>
          <t>UPS ana dağıtım panosu (UPS çıkışı, UK01-UK12): giriş AOS 3x25 A, 2 x KAKŞ 4x25 A 30 mA, ~12 AOS 1x10/16 A, 4 yedek</t>
        </is>
      </c>
      <c r="D44" s="27" t="inlineStr">
        <is>
          <t>adet</t>
        </is>
      </c>
      <c r="E44" s="50" t="n">
        <v>1</v>
      </c>
      <c r="F44" s="50" t="n">
        <v>1</v>
      </c>
      <c r="G44" s="27" t="inlineStr">
        <is>
          <t>-</t>
        </is>
      </c>
      <c r="H44" s="50">
        <f>F44</f>
        <v/>
      </c>
      <c r="I44" s="51" t="n">
        <v>1800</v>
      </c>
      <c r="J44" s="28">
        <f>H44*I44</f>
        <v/>
      </c>
      <c r="K44" s="53" t="inlineStr">
        <is>
          <t>MÜHENDİSLİK TAHMİNİ</t>
        </is>
      </c>
      <c r="L44" s="7" t="inlineStr">
        <is>
          <t>TAHMIN (emsal yok) – Emsal yok (komple tali pano; İzmir Buca TEDAK 2021 tali pano ort. 3.010 € (M) metro/daha büyük, Bursa T2 "özel saç pano" yalnız gövde → kıyas dışı)</t>
        </is>
      </c>
      <c r="M44" s="7" t="inlineStr">
        <is>
          <t>UDP komple</t>
        </is>
      </c>
    </row>
    <row r="45" outlineLevel="1">
      <c r="A45" s="27" t="n"/>
      <c r="B45" s="27" t="inlineStr">
        <is>
          <t>2006.E</t>
        </is>
      </c>
      <c r="C45" s="7" t="inlineStr">
        <is>
          <t>Pano montaj/kaide, etiketleme, iç kablaj, test ve devreye alma</t>
        </is>
      </c>
      <c r="D45" s="27" t="inlineStr">
        <is>
          <t>set</t>
        </is>
      </c>
      <c r="E45" s="50" t="n">
        <v>1</v>
      </c>
      <c r="F45" s="50" t="n">
        <v>1</v>
      </c>
      <c r="G45" s="27" t="inlineStr">
        <is>
          <t>-</t>
        </is>
      </c>
      <c r="H45" s="50">
        <f>F45</f>
        <v/>
      </c>
      <c r="I45" s="51" t="n">
        <v>800</v>
      </c>
      <c r="J45" s="28">
        <f>H45*I45</f>
        <v/>
      </c>
      <c r="K45" s="53" t="inlineStr">
        <is>
          <t>MÜHENDİSLİK TAHMİNİ</t>
        </is>
      </c>
      <c r="L45" s="7" t="inlineStr">
        <is>
          <t>TAHMIN (emsal yok) – Emsal yok (götürü montaj/test)</t>
        </is>
      </c>
      <c r="M45" s="7" t="inlineStr">
        <is>
          <t>Montaj/test götürü</t>
        </is>
      </c>
    </row>
    <row r="46">
      <c r="A46" s="48" t="inlineStr">
        <is>
          <t>185</t>
        </is>
      </c>
      <c r="B46" s="48" t="inlineStr">
        <is>
          <t>2006.F</t>
        </is>
      </c>
      <c r="C46" s="48" t="inlineStr">
        <is>
          <t>Harran İstasyonu Ag Ana Dağıtım Panoları (400 V) (1 set)</t>
        </is>
      </c>
      <c r="D46" s="48" t="n"/>
      <c r="E46" s="48" t="n"/>
      <c r="F46" s="48" t="n"/>
      <c r="G46" s="48" t="n"/>
      <c r="H46" s="48" t="inlineStr">
        <is>
          <t>RFQ tutarı →</t>
        </is>
      </c>
      <c r="I46" s="49">
        <f>SUMPRODUCT(E47:E53,I47:I53)</f>
        <v/>
      </c>
      <c r="J46" s="49">
        <f>SUM(J47:J53)</f>
        <v/>
      </c>
      <c r="K46" s="48" t="n"/>
      <c r="L46" s="48" t="n"/>
      <c r="M46" s="48" t="n"/>
    </row>
    <row r="47" outlineLevel="1">
      <c r="A47" s="27" t="n"/>
      <c r="B47" s="27" t="inlineStr">
        <is>
          <t>2006.F</t>
        </is>
      </c>
      <c r="C47" s="7" t="inlineStr">
        <is>
          <t>ADP panosu: metal mahfazalı, TS EN 61439, IP54, 20x5 Cu bara</t>
        </is>
      </c>
      <c r="D47" s="27" t="inlineStr">
        <is>
          <t>adet</t>
        </is>
      </c>
      <c r="E47" s="50" t="n">
        <v>1</v>
      </c>
      <c r="F47" s="50" t="n">
        <v>1</v>
      </c>
      <c r="G47" s="27" t="inlineStr">
        <is>
          <t>-</t>
        </is>
      </c>
      <c r="H47" s="50">
        <f>F47</f>
        <v/>
      </c>
      <c r="I47" s="51" t="n">
        <v>1891.54</v>
      </c>
      <c r="J47" s="28">
        <f>H47*I47</f>
        <v/>
      </c>
      <c r="K47" s="52" t="inlineStr">
        <is>
          <t>GEÇMİŞ TEKLİF UYARLAMA</t>
        </is>
      </c>
      <c r="L47" s="7" t="inlineStr">
        <is>
          <t>REF-derin – Bursa T2 MET 2015 saç pano 800 mm (M+İ) 2.162,86 +%15 Cu bara/IP54→2.487,29; Ankara-Sivas YHT Platin 2019 saç pano 61439 (M+İ) 1.644,82 +%15 Cu bara/IP54→1.891,54; Bursa T2 Haluk 2015 saç pano 800 mm (M+İ) 676,71 +%15 Cu bara/IP54→778,22 → medyan 1.891,54 [Emsal ID: R00985;R00484;R00917]</t>
        </is>
      </c>
      <c r="M47" s="7" t="inlineStr">
        <is>
          <t>Boş pano gövdesi+bara | İlk tahmin BF 2,000.00</t>
        </is>
      </c>
    </row>
    <row r="48" outlineLevel="1">
      <c r="A48" s="27" t="n"/>
      <c r="B48" s="27" t="inlineStr">
        <is>
          <t>2006.F</t>
        </is>
      </c>
      <c r="C48" s="7" t="inlineStr">
        <is>
          <t>Ana giriş TMŞ 3x63 A 10 kA + RCD-D 300 mA</t>
        </is>
      </c>
      <c r="D48" s="27" t="inlineStr">
        <is>
          <t>adet</t>
        </is>
      </c>
      <c r="E48" s="50" t="n">
        <v>1</v>
      </c>
      <c r="F48" s="50" t="n">
        <v>1</v>
      </c>
      <c r="G48" s="27" t="inlineStr">
        <is>
          <t>-</t>
        </is>
      </c>
      <c r="H48" s="50">
        <f>F48</f>
        <v/>
      </c>
      <c r="I48" s="51" t="n">
        <v>380</v>
      </c>
      <c r="J48" s="28">
        <f>H48*I48</f>
        <v/>
      </c>
      <c r="K48" s="53" t="inlineStr">
        <is>
          <t>MÜHENDİSLİK TAHMİNİ</t>
        </is>
      </c>
      <c r="L48" s="7" t="inlineStr">
        <is>
          <t>TAHMIN (emsal yok) – Emsal yok (veride AG kesici/TMŞ teklifi yok; R02784 MCB 1x6A 4,18 (M) kıyas dışı)</t>
        </is>
      </c>
      <c r="M48" s="7" t="inlineStr">
        <is>
          <t>TMŞ 63A+RCD-D</t>
        </is>
      </c>
    </row>
    <row r="49" outlineLevel="1">
      <c r="A49" s="27" t="n"/>
      <c r="B49" s="27" t="inlineStr">
        <is>
          <t>2006.F</t>
        </is>
      </c>
      <c r="C49" s="7" t="inlineStr">
        <is>
          <t>Çıkış TMŞ 3x32 A (APP, UPS, SK)</t>
        </is>
      </c>
      <c r="D49" s="27" t="inlineStr">
        <is>
          <t>adet</t>
        </is>
      </c>
      <c r="E49" s="50" t="n">
        <v>3</v>
      </c>
      <c r="F49" s="50" t="n">
        <v>3</v>
      </c>
      <c r="G49" s="27" t="inlineStr">
        <is>
          <t>-</t>
        </is>
      </c>
      <c r="H49" s="50">
        <f>F49</f>
        <v/>
      </c>
      <c r="I49" s="51" t="n">
        <v>130</v>
      </c>
      <c r="J49" s="28">
        <f>H49*I49</f>
        <v/>
      </c>
      <c r="K49" s="53" t="inlineStr">
        <is>
          <t>MÜHENDİSLİK TAHMİNİ</t>
        </is>
      </c>
      <c r="L49" s="7" t="inlineStr">
        <is>
          <t>TAHMIN (emsal yok) – Emsal yok (veride AG kesici/TMŞ teklifi yok; R02784 MCB 1x6A 4,18 (M) kıyas dışı)</t>
        </is>
      </c>
      <c r="M49" s="7" t="inlineStr">
        <is>
          <t>Çıkış TMŞ 32A montajlı</t>
        </is>
      </c>
    </row>
    <row r="50" outlineLevel="1">
      <c r="A50" s="27" t="n"/>
      <c r="B50" s="27" t="inlineStr">
        <is>
          <t>2006.F</t>
        </is>
      </c>
      <c r="C50" s="7" t="inlineStr">
        <is>
          <t>Çıkış TMŞ 3x40 A (yedek)</t>
        </is>
      </c>
      <c r="D50" s="27" t="inlineStr">
        <is>
          <t>adet</t>
        </is>
      </c>
      <c r="E50" s="50" t="n">
        <v>3</v>
      </c>
      <c r="F50" s="50" t="n">
        <v>3</v>
      </c>
      <c r="G50" s="27" t="inlineStr">
        <is>
          <t>-</t>
        </is>
      </c>
      <c r="H50" s="50">
        <f>F50</f>
        <v/>
      </c>
      <c r="I50" s="51" t="n">
        <v>140</v>
      </c>
      <c r="J50" s="28">
        <f>H50*I50</f>
        <v/>
      </c>
      <c r="K50" s="53" t="inlineStr">
        <is>
          <t>MÜHENDİSLİK TAHMİNİ</t>
        </is>
      </c>
      <c r="L50" s="7" t="inlineStr">
        <is>
          <t>TAHMIN (emsal yok) – Emsal yok (veride AG kesici/TMŞ teklifi yok; R02784 MCB 1x6A 4,18 (M) kıyas dışı)</t>
        </is>
      </c>
      <c r="M50" s="7" t="inlineStr">
        <is>
          <t>Çıkış TMŞ 40A montajlı</t>
        </is>
      </c>
    </row>
    <row r="51" outlineLevel="1">
      <c r="A51" s="27" t="n"/>
      <c r="B51" s="27" t="inlineStr">
        <is>
          <t>2006.F</t>
        </is>
      </c>
      <c r="C51" s="7" t="inlineStr">
        <is>
          <t>UPS ana dağıtım panosu (UK01-UK12, 9,55 kW)</t>
        </is>
      </c>
      <c r="D51" s="27" t="inlineStr">
        <is>
          <t>adet</t>
        </is>
      </c>
      <c r="E51" s="50" t="n">
        <v>1</v>
      </c>
      <c r="F51" s="50" t="n">
        <v>1</v>
      </c>
      <c r="G51" s="27" t="inlineStr">
        <is>
          <t>-</t>
        </is>
      </c>
      <c r="H51" s="50">
        <f>F51</f>
        <v/>
      </c>
      <c r="I51" s="51" t="n">
        <v>1600</v>
      </c>
      <c r="J51" s="28">
        <f>H51*I51</f>
        <v/>
      </c>
      <c r="K51" s="53" t="inlineStr">
        <is>
          <t>MÜHENDİSLİK TAHMİNİ</t>
        </is>
      </c>
      <c r="L51" s="7" t="inlineStr">
        <is>
          <t>TAHMIN (emsal yok) – Emsal yok (komple tali pano; İzmir Buca TEDAK 2021 tali pano ort. 3.010 € (M) metro/daha büyük, Bursa T2 "özel saç pano" yalnız gövde → kıyas dışı)</t>
        </is>
      </c>
      <c r="M51" s="7" t="inlineStr">
        <is>
          <t>UDP komple (küçük istasyon)</t>
        </is>
      </c>
    </row>
    <row r="52" outlineLevel="1">
      <c r="A52" s="27" t="n"/>
      <c r="B52" s="27" t="inlineStr">
        <is>
          <t>2006.F</t>
        </is>
      </c>
      <c r="C52" s="7" t="inlineStr">
        <is>
          <t>Parafudr Tip 1+2 (giriş)</t>
        </is>
      </c>
      <c r="D52" s="27" t="inlineStr">
        <is>
          <t>adet</t>
        </is>
      </c>
      <c r="E52" s="50" t="n">
        <v>1</v>
      </c>
      <c r="F52" s="50" t="n">
        <v>1</v>
      </c>
      <c r="G52" s="27" t="inlineStr">
        <is>
          <t>-</t>
        </is>
      </c>
      <c r="H52" s="50">
        <f>F52</f>
        <v/>
      </c>
      <c r="I52" s="51" t="n">
        <v>545.58</v>
      </c>
      <c r="J52" s="28">
        <f>H52*I52</f>
        <v/>
      </c>
      <c r="K52" s="52" t="inlineStr">
        <is>
          <t>GEÇMİŞ TEKLİF UYARLAMA</t>
        </is>
      </c>
      <c r="L52" s="7" t="inlineStr">
        <is>
          <t>REF-derin – Bursa T2 Haluk 2015 SPD B 3F+N (M+İ) 183,45 +%20 Tip1+2→220,15; Bursa T2 MET 2015 SPD B 3F+N (M+İ) 466,49 +%20 Tip1+2→559,79; Başkentray Desat 2012 SPD B 100 kA (M+İ) 454,65 +%20 Tip1+2→545,58 → medyan 545,58 [Emsal ID: R00920;R00987;R00517]</t>
        </is>
      </c>
      <c r="M52" s="7" t="inlineStr">
        <is>
          <t>SPD Tip1+2 | İlk tahmin BF 650.00</t>
        </is>
      </c>
    </row>
    <row r="53" outlineLevel="1">
      <c r="A53" s="27" t="n"/>
      <c r="B53" s="27" t="inlineStr">
        <is>
          <t>2006.F</t>
        </is>
      </c>
      <c r="C53" s="7" t="inlineStr">
        <is>
          <t>Pano montaj, iç kablaj, test</t>
        </is>
      </c>
      <c r="D53" s="27" t="inlineStr">
        <is>
          <t>set</t>
        </is>
      </c>
      <c r="E53" s="50" t="n">
        <v>1</v>
      </c>
      <c r="F53" s="50" t="n">
        <v>1</v>
      </c>
      <c r="G53" s="27" t="inlineStr">
        <is>
          <t>-</t>
        </is>
      </c>
      <c r="H53" s="50">
        <f>F53</f>
        <v/>
      </c>
      <c r="I53" s="51" t="n">
        <v>800</v>
      </c>
      <c r="J53" s="28">
        <f>H53*I53</f>
        <v/>
      </c>
      <c r="K53" s="53" t="inlineStr">
        <is>
          <t>MÜHENDİSLİK TAHMİNİ</t>
        </is>
      </c>
      <c r="L53" s="7" t="inlineStr">
        <is>
          <t>TAHMIN (emsal yok) – Emsal yok (götürü montaj/test)</t>
        </is>
      </c>
      <c r="M53" s="7" t="inlineStr">
        <is>
          <t>Montaj/test götürü</t>
        </is>
      </c>
    </row>
    <row r="54">
      <c r="A54" s="48" t="inlineStr">
        <is>
          <t>186</t>
        </is>
      </c>
      <c r="B54" s="48" t="inlineStr">
        <is>
          <t>2006.G</t>
        </is>
      </c>
      <c r="C54" s="48" t="inlineStr">
        <is>
          <t>Depo Sahası ve Tesisleri Ag Ana Dağıtım Panoları (400 V) (1 set)</t>
        </is>
      </c>
      <c r="D54" s="48" t="n"/>
      <c r="E54" s="48" t="n"/>
      <c r="F54" s="48" t="n"/>
      <c r="G54" s="48" t="n"/>
      <c r="H54" s="48" t="inlineStr">
        <is>
          <t>RFQ tutarı →</t>
        </is>
      </c>
      <c r="I54" s="49">
        <f>SUMPRODUCT(E55:E70,I55:I70)</f>
        <v/>
      </c>
      <c r="J54" s="49">
        <f>SUM(J55:J70)</f>
        <v/>
      </c>
      <c r="K54" s="48" t="n"/>
      <c r="L54" s="48" t="n"/>
      <c r="M54" s="48" t="n"/>
    </row>
    <row r="55" outlineLevel="1">
      <c r="A55" s="27" t="n"/>
      <c r="B55" s="27" t="inlineStr">
        <is>
          <t>2006.G</t>
        </is>
      </c>
      <c r="C55" s="7" t="inlineStr">
        <is>
          <t>T09 (depo trafo binası) ADP/13: 3200 A Cu bara, dikili tip form 3b/4, TS EN 61439</t>
        </is>
      </c>
      <c r="D55" s="27" t="inlineStr">
        <is>
          <t>adet</t>
        </is>
      </c>
      <c r="E55" s="50" t="n">
        <v>1</v>
      </c>
      <c r="F55" s="50" t="n">
        <v>1</v>
      </c>
      <c r="G55" s="27" t="inlineStr">
        <is>
          <t>-</t>
        </is>
      </c>
      <c r="H55" s="50">
        <f>F55</f>
        <v/>
      </c>
      <c r="I55" s="51" t="n">
        <v>34000</v>
      </c>
      <c r="J55" s="28">
        <f>H55*I55</f>
        <v/>
      </c>
      <c r="K55" s="52" t="inlineStr">
        <is>
          <t>GEÇMİŞ TEKLİF UYARLAMA</t>
        </is>
      </c>
      <c r="L55" s="7" t="inlineStr">
        <is>
          <t>REF-derin(1) – TEDAK 2021 İzmir Buca metro ADP Form4B 6,3 m 83.315 € (ACB dahil) → ~13,2 k€/m; 6 hücre ~4,8 m ≈ 63,5 k€ − 2 ACB 23 k€ = 40,5 k€; mevcut 28 k€ ile harmanlandı [Emsal ID: R00716;R00717]</t>
        </is>
      </c>
      <c r="M55" s="7" t="inlineStr">
        <is>
          <t>Form 3b/4 gövde+3200A bara (~6 hücre) | İlk tahmin BF 28,000.00</t>
        </is>
      </c>
    </row>
    <row r="56" outlineLevel="1">
      <c r="A56" s="27" t="n"/>
      <c r="B56" s="27" t="inlineStr">
        <is>
          <t>2006.G</t>
        </is>
      </c>
      <c r="C56" s="7" t="inlineStr">
        <is>
          <t>Açık tip motorlu hava devre kesici (ACB) 3x3200 A 40 kA (Q1, Q2 trafo girişleri, kuplaj/ATS kilitli)</t>
        </is>
      </c>
      <c r="D56" s="27" t="inlineStr">
        <is>
          <t>adet</t>
        </is>
      </c>
      <c r="E56" s="50" t="n">
        <v>2</v>
      </c>
      <c r="F56" s="50" t="n">
        <v>2</v>
      </c>
      <c r="G56" s="27" t="inlineStr">
        <is>
          <t>-</t>
        </is>
      </c>
      <c r="H56" s="50">
        <f>F56</f>
        <v/>
      </c>
      <c r="I56" s="51" t="n">
        <v>11500</v>
      </c>
      <c r="J56" s="28">
        <f>H56*I56</f>
        <v/>
      </c>
      <c r="K56" s="53" t="inlineStr">
        <is>
          <t>MÜHENDİSLİK TAHMİNİ</t>
        </is>
      </c>
      <c r="L56" s="7" t="inlineStr">
        <is>
          <t>TAHMIN (emsal yok) – 3200 A motorlu ACB için tekil teklif yok (ADP toplam fiyatlarına gömülü); 11.500 € 2026 piyasası için makul</t>
        </is>
      </c>
      <c r="M56" s="7" t="inlineStr">
        <is>
          <t>ACB 3200A motorlu</t>
        </is>
      </c>
    </row>
    <row r="57" outlineLevel="1">
      <c r="A57" s="27" t="n"/>
      <c r="B57" s="27" t="inlineStr">
        <is>
          <t>2006.G</t>
        </is>
      </c>
      <c r="C57" s="7" t="inlineStr">
        <is>
          <t>Akım trafosu 3200/5 A + enerji analizörü (Modbus)</t>
        </is>
      </c>
      <c r="D57" s="27" t="inlineStr">
        <is>
          <t>takım</t>
        </is>
      </c>
      <c r="E57" s="50" t="n">
        <v>2</v>
      </c>
      <c r="F57" s="50" t="n">
        <v>2</v>
      </c>
      <c r="G57" s="27" t="inlineStr">
        <is>
          <t>-</t>
        </is>
      </c>
      <c r="H57" s="50">
        <f>F57</f>
        <v/>
      </c>
      <c r="I57" s="51" t="n">
        <v>900</v>
      </c>
      <c r="J57" s="28">
        <f>H57*I57</f>
        <v/>
      </c>
      <c r="K57" s="53" t="inlineStr">
        <is>
          <t>MÜHENDİSLİK TAHMİNİ</t>
        </is>
      </c>
      <c r="L57" s="7" t="inlineStr">
        <is>
          <t>TAHMIN (emsal yok) – Emsal yok (veride AG kesici/TMŞ teklifi yok; R02784 MCB 1x6A 4,18 (M) kıyas dışı)</t>
        </is>
      </c>
      <c r="M57" s="7" t="inlineStr">
        <is>
          <t>AT+analizör</t>
        </is>
      </c>
    </row>
    <row r="58" outlineLevel="1">
      <c r="A58" s="27" t="n"/>
      <c r="B58" s="27" t="inlineStr">
        <is>
          <t>2006.G</t>
        </is>
      </c>
      <c r="C58" s="7" t="inlineStr">
        <is>
          <t>Parafudr B+C sınıfı 100 kA</t>
        </is>
      </c>
      <c r="D58" s="27" t="inlineStr">
        <is>
          <t>adet</t>
        </is>
      </c>
      <c r="E58" s="50" t="n">
        <v>1</v>
      </c>
      <c r="F58" s="50" t="n">
        <v>1</v>
      </c>
      <c r="G58" s="27" t="inlineStr">
        <is>
          <t>-</t>
        </is>
      </c>
      <c r="H58" s="50">
        <f>F58</f>
        <v/>
      </c>
      <c r="I58" s="51" t="n">
        <v>545.58</v>
      </c>
      <c r="J58" s="28">
        <f>H58*I58</f>
        <v/>
      </c>
      <c r="K58" s="52" t="inlineStr">
        <is>
          <t>GEÇMİŞ TEKLİF UYARLAMA</t>
        </is>
      </c>
      <c r="L58" s="7" t="inlineStr">
        <is>
          <t>REF-derin – Bursa T2 Haluk 2015 SPD B 3F+N (M+İ) 183,45 +%20 Tip1+2→220,15; Bursa T2 MET 2015 SPD B 3F+N (M+İ) 466,49 +%20 Tip1+2→559,79; Başkentray Desat 2012 SPD B 100 kA (M+İ) 454,65 +%20 Tip1+2→545,58 → medyan 545,58 [Emsal ID: R00920;R00987;R00517]</t>
        </is>
      </c>
      <c r="M58" s="7" t="inlineStr">
        <is>
          <t>SPD B+C 100kA | İlk tahmin BF 1,100.00</t>
        </is>
      </c>
    </row>
    <row r="59" outlineLevel="1">
      <c r="A59" s="27" t="n"/>
      <c r="B59" s="27" t="inlineStr">
        <is>
          <t>2006.G</t>
        </is>
      </c>
      <c r="C59" s="7" t="inlineStr">
        <is>
          <t>Çıkış kompakt şalter 3x1250 A 35 kA (Q5 → D01-ADP atölye)</t>
        </is>
      </c>
      <c r="D59" s="27" t="inlineStr">
        <is>
          <t>adet</t>
        </is>
      </c>
      <c r="E59" s="50" t="n">
        <v>1</v>
      </c>
      <c r="F59" s="50" t="n">
        <v>1</v>
      </c>
      <c r="G59" s="27" t="inlineStr">
        <is>
          <t>-</t>
        </is>
      </c>
      <c r="H59" s="50">
        <f>F59</f>
        <v/>
      </c>
      <c r="I59" s="51" t="n">
        <v>3800</v>
      </c>
      <c r="J59" s="28">
        <f>H59*I59</f>
        <v/>
      </c>
      <c r="K59" s="53" t="inlineStr">
        <is>
          <t>MÜHENDİSLİK TAHMİNİ</t>
        </is>
      </c>
      <c r="L59" s="7" t="inlineStr">
        <is>
          <t>TAHMIN (emsal yok) – Emsal yok (veride AG kesici/TMŞ teklifi yok; R02784 MCB 1x6A 4,18 (M) kıyas dışı)</t>
        </is>
      </c>
      <c r="M59" s="7" t="inlineStr">
        <is>
          <t>MCCB 1250A elektronik</t>
        </is>
      </c>
    </row>
    <row r="60" outlineLevel="1">
      <c r="A60" s="27" t="n"/>
      <c r="B60" s="27" t="inlineStr">
        <is>
          <t>2006.G</t>
        </is>
      </c>
      <c r="C60" s="7" t="inlineStr">
        <is>
          <t>Çıkış kompakt şalter 3x630 A 35 kA (Q4 → AJDP)</t>
        </is>
      </c>
      <c r="D60" s="27" t="inlineStr">
        <is>
          <t>adet</t>
        </is>
      </c>
      <c r="E60" s="50" t="n">
        <v>1</v>
      </c>
      <c r="F60" s="50" t="n">
        <v>1</v>
      </c>
      <c r="G60" s="27" t="inlineStr">
        <is>
          <t>-</t>
        </is>
      </c>
      <c r="H60" s="50">
        <f>F60</f>
        <v/>
      </c>
      <c r="I60" s="51" t="n">
        <v>1600</v>
      </c>
      <c r="J60" s="28">
        <f>H60*I60</f>
        <v/>
      </c>
      <c r="K60" s="53" t="inlineStr">
        <is>
          <t>MÜHENDİSLİK TAHMİNİ</t>
        </is>
      </c>
      <c r="L60" s="7" t="inlineStr">
        <is>
          <t>TAHMIN (emsal yok) – Emsal yok (veride AG kesici/TMŞ teklifi yok; R02784 MCB 1x6A 4,18 (M) kıyas dışı)</t>
        </is>
      </c>
      <c r="M60" s="7" t="inlineStr">
        <is>
          <t>MCCB 630A</t>
        </is>
      </c>
    </row>
    <row r="61" outlineLevel="1">
      <c r="A61" s="27" t="n"/>
      <c r="B61" s="27" t="inlineStr">
        <is>
          <t>2006.G</t>
        </is>
      </c>
      <c r="C61" s="7" t="inlineStr">
        <is>
          <t>Çıkış TMŞ 3x40 A (M1-M4 klima dış ünite TO SIMS + 2 yedek)</t>
        </is>
      </c>
      <c r="D61" s="27" t="inlineStr">
        <is>
          <t>adet</t>
        </is>
      </c>
      <c r="E61" s="50" t="n">
        <v>6</v>
      </c>
      <c r="F61" s="50" t="n">
        <v>6</v>
      </c>
      <c r="G61" s="27" t="inlineStr">
        <is>
          <t>-</t>
        </is>
      </c>
      <c r="H61" s="50">
        <f>F61</f>
        <v/>
      </c>
      <c r="I61" s="51" t="n">
        <v>140</v>
      </c>
      <c r="J61" s="28">
        <f>H61*I61</f>
        <v/>
      </c>
      <c r="K61" s="53" t="inlineStr">
        <is>
          <t>MÜHENDİSLİK TAHMİNİ</t>
        </is>
      </c>
      <c r="L61" s="7" t="inlineStr">
        <is>
          <t>TAHMIN (emsal yok) – Emsal yok (veride AG kesici/TMŞ teklifi yok; R02784 MCB 1x6A 4,18 (M) kıyas dışı)</t>
        </is>
      </c>
      <c r="M61" s="7" t="inlineStr">
        <is>
          <t>TMŞ 40A</t>
        </is>
      </c>
    </row>
    <row r="62" outlineLevel="1">
      <c r="A62" s="27" t="n"/>
      <c r="B62" s="27" t="inlineStr">
        <is>
          <t>2006.G</t>
        </is>
      </c>
      <c r="C62" s="7" t="inlineStr">
        <is>
          <t>Çıkış TMŞ 3x25/3x32 A (BCB, APP, D07 giriş kontrol APP)</t>
        </is>
      </c>
      <c r="D62" s="27" t="inlineStr">
        <is>
          <t>adet</t>
        </is>
      </c>
      <c r="E62" s="50" t="n">
        <v>3</v>
      </c>
      <c r="F62" s="50" t="n">
        <v>3</v>
      </c>
      <c r="G62" s="27" t="inlineStr">
        <is>
          <t>-</t>
        </is>
      </c>
      <c r="H62" s="50">
        <f>F62</f>
        <v/>
      </c>
      <c r="I62" s="51" t="n">
        <v>130</v>
      </c>
      <c r="J62" s="28">
        <f>H62*I62</f>
        <v/>
      </c>
      <c r="K62" s="53" t="inlineStr">
        <is>
          <t>MÜHENDİSLİK TAHMİNİ</t>
        </is>
      </c>
      <c r="L62" s="7" t="inlineStr">
        <is>
          <t>TAHMIN (emsal yok) – Emsal yok (veride AG kesici/TMŞ teklifi yok; R02784 MCB 1x6A 4,18 (M) kıyas dışı)</t>
        </is>
      </c>
      <c r="M62" s="7" t="inlineStr">
        <is>
          <t>TMŞ 25/32A</t>
        </is>
      </c>
    </row>
    <row r="63" outlineLevel="1">
      <c r="A63" s="27" t="n"/>
      <c r="B63" s="27" t="inlineStr">
        <is>
          <t>2006.G</t>
        </is>
      </c>
      <c r="C63" s="7" t="inlineStr">
        <is>
          <t>Çıkış MCB 2x16 A 10 kA (M5-M12 iç üniteler + 2 yedek)</t>
        </is>
      </c>
      <c r="D63" s="27" t="inlineStr">
        <is>
          <t>adet</t>
        </is>
      </c>
      <c r="E63" s="50" t="n">
        <v>10</v>
      </c>
      <c r="F63" s="50" t="n">
        <v>10</v>
      </c>
      <c r="G63" s="27" t="inlineStr">
        <is>
          <t>%30</t>
        </is>
      </c>
      <c r="H63" s="50">
        <f>F63/IF(Varsayimlar!$B$21=1,1.3,1)</f>
        <v/>
      </c>
      <c r="I63" s="51" t="n">
        <v>25</v>
      </c>
      <c r="J63" s="28">
        <f>H63*I63</f>
        <v/>
      </c>
      <c r="K63" s="53" t="inlineStr">
        <is>
          <t>MÜHENDİSLİK TAHMİNİ</t>
        </is>
      </c>
      <c r="L63" s="7" t="inlineStr">
        <is>
          <t>TAHMIN (emsal yok) – Emsal yok (veride AG kesici/TMŞ teklifi yok; R02784 MCB 1x6A 4,18 (M) kıyas dışı)</t>
        </is>
      </c>
      <c r="M63" s="7" t="inlineStr">
        <is>
          <t>MCB 2x16A</t>
        </is>
      </c>
    </row>
    <row r="64" outlineLevel="1">
      <c r="A64" s="27" t="n"/>
      <c r="B64" s="27" t="inlineStr">
        <is>
          <t>2006.G</t>
        </is>
      </c>
      <c r="C64" s="7" t="inlineStr">
        <is>
          <t>Su deposu ATS panosu (yangın pompaları D06-YPP-001/002 90 kW + D06-SDP-J1; şebeke/jeneratör)</t>
        </is>
      </c>
      <c r="D64" s="27" t="inlineStr">
        <is>
          <t>adet</t>
        </is>
      </c>
      <c r="E64" s="50" t="n">
        <v>1</v>
      </c>
      <c r="F64" s="50" t="n">
        <v>1</v>
      </c>
      <c r="G64" s="27" t="inlineStr">
        <is>
          <t>-</t>
        </is>
      </c>
      <c r="H64" s="50">
        <f>F64</f>
        <v/>
      </c>
      <c r="I64" s="51" t="n">
        <v>9000</v>
      </c>
      <c r="J64" s="28">
        <f>H64*I64</f>
        <v/>
      </c>
      <c r="K64" s="53" t="inlineStr">
        <is>
          <t>MÜHENDİSLİK TAHMİNİ</t>
        </is>
      </c>
      <c r="L64" s="7" t="inlineStr">
        <is>
          <t>TAHMIN (emsal yok) – UL/FM yangın pompası transfer switch refleri pompa başına 8,8–15,5 k€ (Arı Yangın 2013, MAS 2011); kalem UL/FM listeli değilse 9.000 € makul – UL/FM şartsa ~2x risk (işaretlendi) [Emsal ID: R05628;R06168;R05649]</t>
        </is>
      </c>
      <c r="M64" s="7" t="inlineStr">
        <is>
          <t>Yangın pompası ATS panosu</t>
        </is>
      </c>
    </row>
    <row r="65" outlineLevel="1">
      <c r="A65" s="27" t="n"/>
      <c r="B65" s="27" t="inlineStr">
        <is>
          <t>2006.G</t>
        </is>
      </c>
      <c r="C65" s="7" t="inlineStr">
        <is>
          <t>AJDP (acil/jeneratör dağıtım panosu): 630 A Cu bara, Q3 3x800 A 40 kA (jeneratör), Q7 3x630 A, 3x500 A (JDP), 4x50 A (UPS), 3x63 A, 3x32 A; elektronik sayaç + 3x800/5 A</t>
        </is>
      </c>
      <c r="D65" s="27" t="inlineStr">
        <is>
          <t>adet</t>
        </is>
      </c>
      <c r="E65" s="50" t="n">
        <v>1</v>
      </c>
      <c r="F65" s="50" t="n">
        <v>1</v>
      </c>
      <c r="G65" s="27" t="inlineStr">
        <is>
          <t>-</t>
        </is>
      </c>
      <c r="H65" s="50">
        <f>F65</f>
        <v/>
      </c>
      <c r="I65" s="51" t="n">
        <v>22000</v>
      </c>
      <c r="J65" s="28">
        <f>H65*I65</f>
        <v/>
      </c>
      <c r="K65" s="53" t="inlineStr">
        <is>
          <t>MÜHENDİSLİK TAHMİNİ</t>
        </is>
      </c>
      <c r="L65" s="7" t="inlineStr">
        <is>
          <t>TAHMIN (emsal yok) – 630 A AJDP için doğrudan emsal yok (Kocaeli tramvay TM AC panosu 11–12 k€ daha küçük kapsam); mevcut korundu</t>
        </is>
      </c>
      <c r="M65" s="7" t="inlineStr">
        <is>
          <t>AJDP 630A komple</t>
        </is>
      </c>
    </row>
    <row r="66" outlineLevel="1">
      <c r="A66" s="27" t="n"/>
      <c r="B66" s="27" t="inlineStr">
        <is>
          <t>2006.G</t>
        </is>
      </c>
      <c r="C66" s="7" t="inlineStr">
        <is>
          <t>T09(Depo)-UPS-001 dağıtım panosu: 40 A bara, 4x40 A giriş, 9 x AOS 2x20 A (GGP, YAP, RTU, HP, SKP-1..4, I&amp;LSKP)</t>
        </is>
      </c>
      <c r="D66" s="27" t="inlineStr">
        <is>
          <t>adet</t>
        </is>
      </c>
      <c r="E66" s="50" t="n">
        <v>1</v>
      </c>
      <c r="F66" s="50" t="n">
        <v>1</v>
      </c>
      <c r="G66" s="27" t="inlineStr">
        <is>
          <t>-</t>
        </is>
      </c>
      <c r="H66" s="50">
        <f>F66</f>
        <v/>
      </c>
      <c r="I66" s="51" t="n">
        <v>1500</v>
      </c>
      <c r="J66" s="28">
        <f>H66*I66</f>
        <v/>
      </c>
      <c r="K66" s="53" t="inlineStr">
        <is>
          <t>MÜHENDİSLİK TAHMİNİ</t>
        </is>
      </c>
      <c r="L66" s="7" t="inlineStr">
        <is>
          <t>TAHMIN (emsal yok) – Emsal yok (komple tali pano; İzmir Buca TEDAK 2021 tali pano ort. 3.010 € (M) metro/daha büyük, Bursa T2 "özel saç pano" yalnız gövde → kıyas dışı)</t>
        </is>
      </c>
      <c r="M66" s="7" t="inlineStr">
        <is>
          <t>Küçük UPS dağıtım panosu</t>
        </is>
      </c>
    </row>
    <row r="67" outlineLevel="1">
      <c r="A67" s="27" t="n"/>
      <c r="B67" s="27" t="inlineStr">
        <is>
          <t>2006.G</t>
        </is>
      </c>
      <c r="C67" s="7" t="inlineStr">
        <is>
          <t>D01-ADP atölye binası ana dağıtım panosu: 3x1250 A 35 kA giriş, 1250 A Cu bara, toroid kaçak akım rölesi 300 mA-30 A, B+C parafudr, enerji analizörü 1250/5 A, ~30 çıkış (3x25…3x630 A)</t>
        </is>
      </c>
      <c r="D67" s="27" t="inlineStr">
        <is>
          <t>adet</t>
        </is>
      </c>
      <c r="E67" s="50" t="n">
        <v>1</v>
      </c>
      <c r="F67" s="50" t="n">
        <v>1</v>
      </c>
      <c r="G67" s="27" t="inlineStr">
        <is>
          <t>-</t>
        </is>
      </c>
      <c r="H67" s="50">
        <f>F67</f>
        <v/>
      </c>
      <c r="I67" s="51" t="n">
        <v>35165</v>
      </c>
      <c r="J67" s="28">
        <f>H67*I67</f>
        <v/>
      </c>
      <c r="K67" s="52" t="inlineStr">
        <is>
          <t>GEÇMİŞ TEKLİF UYARLAMA</t>
        </is>
      </c>
      <c r="L67" s="7" t="inlineStr">
        <is>
          <t>REF-derin(1) – TEDAK 2021 İzmir Buca LVS-402 ADP 2. bölüm (3 m, Form4B) 32.331 €; 1250 A ADP ile benzer boy → mevcut 38.000 ile harmanlandı [Emsal ID: R00717]</t>
        </is>
      </c>
      <c r="M67" s="7" t="inlineStr">
        <is>
          <t>1250A ADP komple (çıkışlar dahil varsayım) | İlk tahmin BF 38,000.00</t>
        </is>
      </c>
    </row>
    <row r="68" outlineLevel="1">
      <c r="A68" s="27" t="n"/>
      <c r="B68" s="27" t="inlineStr">
        <is>
          <t>2006.G</t>
        </is>
      </c>
      <c r="C68" s="7" t="inlineStr">
        <is>
          <t>D01-JDP jeneratör dağıtım + D01-UDP (TCC UPS) dağıtım panoları, 2 x ATS panosu</t>
        </is>
      </c>
      <c r="D68" s="27" t="inlineStr">
        <is>
          <t>adet</t>
        </is>
      </c>
      <c r="E68" s="50" t="n">
        <v>4</v>
      </c>
      <c r="F68" s="50" t="n">
        <v>4</v>
      </c>
      <c r="G68" s="27" t="inlineStr">
        <is>
          <t>-</t>
        </is>
      </c>
      <c r="H68" s="50">
        <f>F68</f>
        <v/>
      </c>
      <c r="I68" s="51" t="n">
        <v>7177</v>
      </c>
      <c r="J68" s="28">
        <f>H68*I68</f>
        <v/>
      </c>
      <c r="K68" s="52" t="inlineStr">
        <is>
          <t>GEÇMİŞ TEKLİF UYARLAMA</t>
        </is>
      </c>
      <c r="L68" s="7" t="inlineStr">
        <is>
          <t>REF-derin(1) – TEDAK 2021 Buca UPS dağıtım panosu dikili Form4B 7.853 € → mevcut 6.500 ile harmanlandı [Emsal ID: R00719]</t>
        </is>
      </c>
      <c r="M68" s="7" t="inlineStr">
        <is>
          <t>JDP/UDP/ATS pano ortalaması | İlk tahmin BF 6,500.00</t>
        </is>
      </c>
    </row>
    <row r="69" outlineLevel="1">
      <c r="A69" s="27" t="n"/>
      <c r="B69" s="27" t="inlineStr">
        <is>
          <t>2006.G</t>
        </is>
      </c>
      <c r="C69" s="7" t="inlineStr">
        <is>
          <t>D03-ADP-001 vagon yıkama binası ana dağıtım panosu (102,9 kW)</t>
        </is>
      </c>
      <c r="D69" s="27" t="inlineStr">
        <is>
          <t>adet</t>
        </is>
      </c>
      <c r="E69" s="50" t="n">
        <v>1</v>
      </c>
      <c r="F69" s="50" t="n">
        <v>1</v>
      </c>
      <c r="G69" s="27" t="inlineStr">
        <is>
          <t>-</t>
        </is>
      </c>
      <c r="H69" s="50">
        <f>F69</f>
        <v/>
      </c>
      <c r="I69" s="51" t="n">
        <v>3400</v>
      </c>
      <c r="J69" s="28">
        <f>H69*I69</f>
        <v/>
      </c>
      <c r="K69" s="52" t="inlineStr">
        <is>
          <t>GEÇMİŞ TEKLİF UYARLAMA</t>
        </is>
      </c>
      <c r="L69" s="7" t="inlineStr">
        <is>
          <t>REF-derin – Bursa T2 Haluk 2015 250 kVA 3x400 A AG panosu 2.118 €, 400 kVA 3x630 A 2.685 €; Ankara-Sivas Platin 2019 250 kVA ADP 2.585 € → medyan 2.585 × eski TL işçilik düzeltmesi %30 → 3.400 € [Emsal ID: R00867;R00868;R00479]</t>
        </is>
      </c>
      <c r="M69" s="7" t="inlineStr">
        <is>
          <t>~200A ADP komple | İlk tahmin BF 6,000.00</t>
        </is>
      </c>
    </row>
    <row r="70" outlineLevel="1">
      <c r="A70" s="27" t="n"/>
      <c r="B70" s="27" t="inlineStr">
        <is>
          <t>2006.G</t>
        </is>
      </c>
      <c r="C70" s="7" t="inlineStr">
        <is>
          <t>Pano montajı, bara bağlantıları, test/devreye alma, SCADA I/O</t>
        </is>
      </c>
      <c r="D70" s="27" t="inlineStr">
        <is>
          <t>set</t>
        </is>
      </c>
      <c r="E70" s="50" t="n">
        <v>1</v>
      </c>
      <c r="F70" s="50" t="n">
        <v>1</v>
      </c>
      <c r="G70" s="27" t="inlineStr">
        <is>
          <t>-</t>
        </is>
      </c>
      <c r="H70" s="50">
        <f>F70</f>
        <v/>
      </c>
      <c r="I70" s="51" t="n">
        <v>6000</v>
      </c>
      <c r="J70" s="28">
        <f>H70*I70</f>
        <v/>
      </c>
      <c r="K70" s="53" t="inlineStr">
        <is>
          <t>MÜHENDİSLİK TAHMİNİ</t>
        </is>
      </c>
      <c r="L70" s="7" t="inlineStr">
        <is>
          <t>TAHMIN (emsal yok) – Montaj/test/SCADA I/O götürü – emsal yok</t>
        </is>
      </c>
      <c r="M70" s="7" t="inlineStr">
        <is>
          <t>Montaj/test/SCADA I/O</t>
        </is>
      </c>
    </row>
    <row r="71">
      <c r="A71" s="48" t="inlineStr">
        <is>
          <t>190</t>
        </is>
      </c>
      <c r="B71" s="48" t="inlineStr">
        <is>
          <t>2008.A</t>
        </is>
      </c>
      <c r="C71" s="48" t="inlineStr">
        <is>
          <t>Göbekli Tepe İstasyonu Topraklama Tesisatı (1 set)</t>
        </is>
      </c>
      <c r="D71" s="48" t="n"/>
      <c r="E71" s="48" t="n"/>
      <c r="F71" s="48" t="n"/>
      <c r="G71" s="48" t="n"/>
      <c r="H71" s="48" t="inlineStr">
        <is>
          <t>RFQ tutarı →</t>
        </is>
      </c>
      <c r="I71" s="49">
        <f>SUMPRODUCT(E72:E79,I72:I79)</f>
        <v/>
      </c>
      <c r="J71" s="49">
        <f>SUM(J72:J79)</f>
        <v/>
      </c>
      <c r="K71" s="48" t="n"/>
      <c r="L71" s="48" t="n"/>
      <c r="M71" s="48" t="n"/>
    </row>
    <row r="72" outlineLevel="1">
      <c r="A72" s="27" t="n"/>
      <c r="B72" s="27" t="inlineStr">
        <is>
          <t>2008.A</t>
        </is>
      </c>
      <c r="C72" s="7" t="inlineStr">
        <is>
          <t>Temel topraklama iletkeni 30x3,5 mm sıcak daldırma galvanizli çelik şerit (beton içinde, dik)</t>
        </is>
      </c>
      <c r="D72" s="27" t="inlineStr">
        <is>
          <t>m</t>
        </is>
      </c>
      <c r="E72" s="50" t="n">
        <v>498</v>
      </c>
      <c r="F72" s="50" t="n">
        <v>498</v>
      </c>
      <c r="G72" s="27" t="inlineStr">
        <is>
          <t>-</t>
        </is>
      </c>
      <c r="H72" s="50">
        <f>F72</f>
        <v/>
      </c>
      <c r="I72" s="51" t="n">
        <v>2.49</v>
      </c>
      <c r="J72" s="28">
        <f>H72*I72</f>
        <v/>
      </c>
      <c r="K72" s="52" t="inlineStr">
        <is>
          <t>GEÇMİŞ TEKLİF UYARLAMA</t>
        </is>
      </c>
      <c r="L72"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72" s="7" t="inlineStr">
        <is>
          <t>Galv. şerit 30x3,5 temel | İlk tahmin BF 6.00</t>
        </is>
      </c>
    </row>
    <row r="73" outlineLevel="1">
      <c r="A73" s="27" t="n"/>
      <c r="B73" s="27" t="inlineStr">
        <is>
          <t>2008.A</t>
        </is>
      </c>
      <c r="C73" s="7" t="inlineStr">
        <is>
          <t>Topraklama elektrodu SOM BAKIR Ø20 x 1,5 m (galvanizli köşebent yerine) + 40x40 muayene menholü (bir kısmında)</t>
        </is>
      </c>
      <c r="D73" s="27" t="inlineStr">
        <is>
          <t>adet</t>
        </is>
      </c>
      <c r="E73" s="50" t="n">
        <v>32</v>
      </c>
      <c r="F73" s="50" t="n">
        <v>32</v>
      </c>
      <c r="G73" s="27" t="inlineStr">
        <is>
          <t>-</t>
        </is>
      </c>
      <c r="H73" s="50">
        <f>F73</f>
        <v/>
      </c>
      <c r="I73" s="51" t="n">
        <v>77.90000000000001</v>
      </c>
      <c r="J73" s="28">
        <f>H73*I73</f>
        <v/>
      </c>
      <c r="K73" s="52" t="inlineStr">
        <is>
          <t>GEÇMİŞ TEKLİF UYARLAMA</t>
        </is>
      </c>
      <c r="L73" s="7" t="inlineStr">
        <is>
          <t>REF-derin – İzmir Buca M. ESCO 2021 Cu Ø20x3,5 m 119,71 (M) ×1,5/3,5 boy +%30 çakma→66,92; Bursa T2 Haluk 2015 Cu Ø20x3,5 m (M+İ) 152,81 ×1,5/3,5 boy→65,71; Bursa T2 MET 2015 Cu Ø20x3,5 m (M+İ) 168,23 ×1,5/3,5 boy→72,34 → medyan 66,92 + menhol payı (%20 adet × rogar 42,24 (M) +%30) = 77,90 [Emsal ID: R00793;R00916;R00984;R00796]</t>
        </is>
      </c>
      <c r="M73" s="7" t="inlineStr">
        <is>
          <t>İdare: galvaniz köşebent | İlk tahmin BF 55.00</t>
        </is>
      </c>
    </row>
    <row r="74" outlineLevel="1">
      <c r="A74" s="27" t="n"/>
      <c r="B74" s="27" t="inlineStr">
        <is>
          <t>2008.A</t>
        </is>
      </c>
      <c r="C74" s="7" t="inlineStr">
        <is>
          <t>Çelik kolon (peron saçağı) topraklama bağlantısı (şerit filizi + bağlantı parçası)</t>
        </is>
      </c>
      <c r="D74" s="27" t="inlineStr">
        <is>
          <t>adet</t>
        </is>
      </c>
      <c r="E74" s="50" t="n">
        <v>29</v>
      </c>
      <c r="F74" s="50" t="n">
        <v>29</v>
      </c>
      <c r="G74" s="27" t="inlineStr">
        <is>
          <t>-</t>
        </is>
      </c>
      <c r="H74" s="50">
        <f>F74</f>
        <v/>
      </c>
      <c r="I74" s="51" t="n">
        <v>25</v>
      </c>
      <c r="J74" s="28">
        <f>H74*I74</f>
        <v/>
      </c>
      <c r="K74" s="53" t="inlineStr">
        <is>
          <t>MÜHENDİSLİK TAHMİNİ</t>
        </is>
      </c>
      <c r="L74" s="7" t="inlineStr">
        <is>
          <t>TAHMIN (emsal yok) – Emsal yok (bağlantı/irtibat noktası; R00797 termo kaynak tozu 6,33 (M) yalnız sarf)</t>
        </is>
      </c>
      <c r="M74" s="7" t="inlineStr">
        <is>
          <t>Şerit filizi+bağlantı</t>
        </is>
      </c>
    </row>
    <row r="75" outlineLevel="1">
      <c r="A75" s="27" t="n"/>
      <c r="B75" s="27" t="inlineStr">
        <is>
          <t>2008.A</t>
        </is>
      </c>
      <c r="C75" s="7" t="inlineStr">
        <is>
          <t>Ark kaynaklı/egzotermik irtibat noktası ve çapraz galvaniz kroşe bağlantıları</t>
        </is>
      </c>
      <c r="D75" s="27" t="inlineStr">
        <is>
          <t>adet</t>
        </is>
      </c>
      <c r="E75" s="50" t="n">
        <v>69</v>
      </c>
      <c r="F75" s="50" t="n">
        <v>69</v>
      </c>
      <c r="G75" s="27" t="inlineStr">
        <is>
          <t>-</t>
        </is>
      </c>
      <c r="H75" s="50">
        <f>F75</f>
        <v/>
      </c>
      <c r="I75" s="51" t="n">
        <v>15</v>
      </c>
      <c r="J75" s="28">
        <f>H75*I75</f>
        <v/>
      </c>
      <c r="K75" s="53" t="inlineStr">
        <is>
          <t>MÜHENDİSLİK TAHMİNİ</t>
        </is>
      </c>
      <c r="L75" s="7" t="inlineStr">
        <is>
          <t>TAHMIN (emsal yok) – Emsal yok (bağlantı/irtibat noktası; R00797 termo kaynak tozu 6,33 (M) yalnız sarf)</t>
        </is>
      </c>
      <c r="M75" s="7" t="inlineStr">
        <is>
          <t>Kroşe/egzotermik ort.</t>
        </is>
      </c>
    </row>
    <row r="76" outlineLevel="1">
      <c r="A76" s="27" t="n"/>
      <c r="B76" s="27" t="inlineStr">
        <is>
          <t>2008.A</t>
        </is>
      </c>
      <c r="C76" s="7" t="inlineStr">
        <is>
          <t>Metal korkuluk/turnike bağlantısı 1x16 mm2 izoleli iletken (H07Z-R)</t>
        </is>
      </c>
      <c r="D76" s="27" t="inlineStr">
        <is>
          <t>m</t>
        </is>
      </c>
      <c r="E76" s="50" t="n">
        <v>69</v>
      </c>
      <c r="F76" s="50" t="n">
        <v>69</v>
      </c>
      <c r="G76" s="27" t="inlineStr">
        <is>
          <t>fire+%30</t>
        </is>
      </c>
      <c r="H76" s="50">
        <f>F76/IF(Varsayimlar!$B$21=1,1.43,1)</f>
        <v/>
      </c>
      <c r="I76" s="51" t="n">
        <v>2.37</v>
      </c>
      <c r="J76" s="28">
        <f>H76*I76</f>
        <v/>
      </c>
      <c r="K76" s="52" t="inlineStr">
        <is>
          <t>GEÇMİŞ TEKLİF UYARLAMA</t>
        </is>
      </c>
      <c r="L76" s="7" t="inlineStr">
        <is>
          <t>REF-derin – İzmir Buca M. Prysmian 2021 H07Z1-R 16 2,00 (M)+%30 montaj→2,60; Mersin M. Arkom 2021 NYAF-HF 16 1,64 (M)+%30 montaj→2,13 → medyan 2,37 [Emsal ID: R00690;R01109]</t>
        </is>
      </c>
      <c r="M76" s="7" t="inlineStr">
        <is>
          <t>H07Z-R 1x16 | İlk tahmin BF 3.50</t>
        </is>
      </c>
    </row>
    <row r="77" outlineLevel="1">
      <c r="A77" s="27" t="n"/>
      <c r="B77" s="27" t="inlineStr">
        <is>
          <t>2008.A</t>
        </is>
      </c>
      <c r="C77" s="7" t="inlineStr">
        <is>
          <t>Pano odası topraklama barası (bakır eş potansiyel bara 300x40x5 veya 40x10x400) + bağlantı</t>
        </is>
      </c>
      <c r="D77" s="27" t="inlineStr">
        <is>
          <t>adet</t>
        </is>
      </c>
      <c r="E77" s="50" t="n">
        <v>4</v>
      </c>
      <c r="F77" s="50" t="n">
        <v>4</v>
      </c>
      <c r="G77" s="27" t="inlineStr">
        <is>
          <t>-</t>
        </is>
      </c>
      <c r="H77" s="50">
        <f>F77</f>
        <v/>
      </c>
      <c r="I77" s="51" t="n">
        <v>57.4</v>
      </c>
      <c r="J77" s="28">
        <f>H77*I77</f>
        <v/>
      </c>
      <c r="K77" s="52" t="inlineStr">
        <is>
          <t>GEÇMİŞ TEKLİF UYARLAMA</t>
        </is>
      </c>
      <c r="L77" s="7" t="inlineStr">
        <is>
          <t>REF-derin – İzmir Buca M. ESCO 2021 60x5 Cu lama 2,5 m EP 77,99 (M) ×0,43 Cu ağırlık(40x10x400) +%40 montaj→46,95; Mersin M. Arkom 2021 EP barası 19,89 (M)+%40 montaj→27,85 → medyan 37,40 + 20 bağlantı iletkeni/pabuç (tahmin) = 57,40 [Emsal ID: R00798;R01108]</t>
        </is>
      </c>
      <c r="M77" s="7" t="inlineStr">
        <is>
          <t>Cu EP bara | İlk tahmin BF 120.00</t>
        </is>
      </c>
    </row>
    <row r="78" outlineLevel="1">
      <c r="A78" s="27" t="n"/>
      <c r="B78" s="27" t="inlineStr">
        <is>
          <t>2008.A</t>
        </is>
      </c>
      <c r="C78" s="7" t="inlineStr">
        <is>
          <t>Ekipman/pano topraklama iletkenleri (H07Z-R 16-25 mm2) ve bağlantı pabuçları</t>
        </is>
      </c>
      <c r="D78" s="27" t="inlineStr">
        <is>
          <t>m</t>
        </is>
      </c>
      <c r="E78" s="50" t="n">
        <v>58</v>
      </c>
      <c r="F78" s="50" t="n">
        <v>58</v>
      </c>
      <c r="G78" s="27" t="inlineStr">
        <is>
          <t>-</t>
        </is>
      </c>
      <c r="H78" s="50">
        <f>F78</f>
        <v/>
      </c>
      <c r="I78" s="51" t="n">
        <v>3.33</v>
      </c>
      <c r="J78" s="28">
        <f>H78*I78</f>
        <v/>
      </c>
      <c r="K78" s="52" t="inlineStr">
        <is>
          <t>GEÇMİŞ TEKLİF UYARLAMA</t>
        </is>
      </c>
      <c r="L78" s="7" t="inlineStr">
        <is>
          <t>REF-derin – İzmir Buca M. Prysmian 2021 H07Z1-R 16 2,00 (M)+%30, ×1,28 kesit(ort.20,5), +%10 pabuç→3,67; Mersin M. Arkom 2021 NYAF-HF 16 1,64 (M)+%30, ×1,28 kesit, +%10 pabuç→2,99 → medyan 3,33 [Emsal ID: R00690;R01109]</t>
        </is>
      </c>
      <c r="M78" s="7" t="inlineStr">
        <is>
          <t>H07Z-R 16-25+pabuç | İlk tahmin BF 4.50</t>
        </is>
      </c>
    </row>
    <row r="79" outlineLevel="1">
      <c r="A79" s="27" t="n"/>
      <c r="B79" s="27" t="inlineStr">
        <is>
          <t>2008.A</t>
        </is>
      </c>
      <c r="C79" s="7" t="inlineStr">
        <is>
          <t>Topraklama direnci ölçümü + süreklilik testi + fotoğraflı raporlama (beton öncesi)</t>
        </is>
      </c>
      <c r="D79" s="27" t="inlineStr">
        <is>
          <t>set</t>
        </is>
      </c>
      <c r="E79" s="50" t="n">
        <v>1</v>
      </c>
      <c r="F79" s="50" t="n">
        <v>1</v>
      </c>
      <c r="G79" s="27" t="inlineStr">
        <is>
          <t>-</t>
        </is>
      </c>
      <c r="H79" s="50">
        <f>F79</f>
        <v/>
      </c>
      <c r="I79" s="51" t="n">
        <v>600</v>
      </c>
      <c r="J79" s="28">
        <f>H79*I79</f>
        <v/>
      </c>
      <c r="K79" s="53" t="inlineStr">
        <is>
          <t>MÜHENDİSLİK TAHMİNİ</t>
        </is>
      </c>
      <c r="L79" s="7" t="inlineStr">
        <is>
          <t>TAHMIN (emsal yok) – Emsal yok (ölçüm/rapor götürü)</t>
        </is>
      </c>
      <c r="M79" s="7" t="inlineStr">
        <is>
          <t>Ölçüm/rapor</t>
        </is>
      </c>
    </row>
    <row r="80">
      <c r="A80" s="48" t="inlineStr">
        <is>
          <t>191</t>
        </is>
      </c>
      <c r="B80" s="48" t="inlineStr">
        <is>
          <t>2008.B</t>
        </is>
      </c>
      <c r="C80" s="48" t="inlineStr">
        <is>
          <t>Hızmalı Köprüsü İstasyonu Topraklama Tesisatı (1 set)</t>
        </is>
      </c>
      <c r="D80" s="48" t="n"/>
      <c r="E80" s="48" t="n"/>
      <c r="F80" s="48" t="n"/>
      <c r="G80" s="48" t="n"/>
      <c r="H80" s="48" t="inlineStr">
        <is>
          <t>RFQ tutarı →</t>
        </is>
      </c>
      <c r="I80" s="49">
        <f>SUMPRODUCT(E81:E88,I81:I88)</f>
        <v/>
      </c>
      <c r="J80" s="49">
        <f>SUM(J81:J88)</f>
        <v/>
      </c>
      <c r="K80" s="48" t="n"/>
      <c r="L80" s="48" t="n"/>
      <c r="M80" s="48" t="n"/>
    </row>
    <row r="81" outlineLevel="1">
      <c r="A81" s="27" t="n"/>
      <c r="B81" s="27" t="inlineStr">
        <is>
          <t>2008.B</t>
        </is>
      </c>
      <c r="C81" s="7" t="inlineStr">
        <is>
          <t>Temel topraklama iletkeni 30x3,5 mm sıcak daldırma galvanizli çelik şerit (beton içinde, dik)</t>
        </is>
      </c>
      <c r="D81" s="27" t="inlineStr">
        <is>
          <t>m</t>
        </is>
      </c>
      <c r="E81" s="50" t="n">
        <v>252</v>
      </c>
      <c r="F81" s="50" t="n">
        <v>252</v>
      </c>
      <c r="G81" s="27" t="inlineStr">
        <is>
          <t>-</t>
        </is>
      </c>
      <c r="H81" s="50">
        <f>F81</f>
        <v/>
      </c>
      <c r="I81" s="51" t="n">
        <v>2.49</v>
      </c>
      <c r="J81" s="28">
        <f>H81*I81</f>
        <v/>
      </c>
      <c r="K81" s="52" t="inlineStr">
        <is>
          <t>GEÇMİŞ TEKLİF UYARLAMA</t>
        </is>
      </c>
      <c r="L81"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81" s="7" t="inlineStr">
        <is>
          <t>Galv. şerit 30x3,5 temel | İlk tahmin BF 6.00</t>
        </is>
      </c>
    </row>
    <row r="82" outlineLevel="1">
      <c r="A82" s="27" t="n"/>
      <c r="B82" s="27" t="inlineStr">
        <is>
          <t>2008.B</t>
        </is>
      </c>
      <c r="C82" s="7" t="inlineStr">
        <is>
          <t>Topraklama elektrodu SOM BAKIR Ø20 x 1,5 m (galvanizli köşebent yerine) + 40x40 muayene menholü (bir kısmında)</t>
        </is>
      </c>
      <c r="D82" s="27" t="inlineStr">
        <is>
          <t>adet</t>
        </is>
      </c>
      <c r="E82" s="50" t="n">
        <v>16</v>
      </c>
      <c r="F82" s="50" t="n">
        <v>16</v>
      </c>
      <c r="G82" s="27" t="inlineStr">
        <is>
          <t>-</t>
        </is>
      </c>
      <c r="H82" s="50">
        <f>F82</f>
        <v/>
      </c>
      <c r="I82" s="51" t="n">
        <v>77.90000000000001</v>
      </c>
      <c r="J82" s="28">
        <f>H82*I82</f>
        <v/>
      </c>
      <c r="K82" s="52" t="inlineStr">
        <is>
          <t>GEÇMİŞ TEKLİF UYARLAMA</t>
        </is>
      </c>
      <c r="L82" s="7" t="inlineStr">
        <is>
          <t>REF-derin – İzmir Buca M. ESCO 2021 Cu Ø20x3,5 m 119,71 (M) ×1,5/3,5 boy +%30 çakma→66,92; Bursa T2 Haluk 2015 Cu Ø20x3,5 m (M+İ) 152,81 ×1,5/3,5 boy→65,71; Bursa T2 MET 2015 Cu Ø20x3,5 m (M+İ) 168,23 ×1,5/3,5 boy→72,34 → medyan 66,92 + menhol payı (%20 adet × rogar 42,24 (M) +%30) = 77,90 [Emsal ID: R00793;R00916;R00984;R00796]</t>
        </is>
      </c>
      <c r="M82" s="7" t="inlineStr">
        <is>
          <t>İdare: galvaniz köşebent | İlk tahmin BF 55.00</t>
        </is>
      </c>
    </row>
    <row r="83" outlineLevel="1">
      <c r="A83" s="27" t="n"/>
      <c r="B83" s="27" t="inlineStr">
        <is>
          <t>2008.B</t>
        </is>
      </c>
      <c r="C83" s="7" t="inlineStr">
        <is>
          <t>Çelik kolon (peron saçağı) topraklama bağlantısı (şerit filizi + bağlantı parçası)</t>
        </is>
      </c>
      <c r="D83" s="27" t="inlineStr">
        <is>
          <t>adet</t>
        </is>
      </c>
      <c r="E83" s="50" t="n">
        <v>15</v>
      </c>
      <c r="F83" s="50" t="n">
        <v>15</v>
      </c>
      <c r="G83" s="27" t="inlineStr">
        <is>
          <t>-</t>
        </is>
      </c>
      <c r="H83" s="50">
        <f>F83</f>
        <v/>
      </c>
      <c r="I83" s="51" t="n">
        <v>25</v>
      </c>
      <c r="J83" s="28">
        <f>H83*I83</f>
        <v/>
      </c>
      <c r="K83" s="53" t="inlineStr">
        <is>
          <t>MÜHENDİSLİK TAHMİNİ</t>
        </is>
      </c>
      <c r="L83" s="7" t="inlineStr">
        <is>
          <t>TAHMIN (emsal yok) – Emsal yok (bağlantı/irtibat noktası; R00797 termo kaynak tozu 6,33 (M) yalnız sarf)</t>
        </is>
      </c>
      <c r="M83" s="7" t="inlineStr">
        <is>
          <t>Şerit filizi+bağlantı</t>
        </is>
      </c>
    </row>
    <row r="84" outlineLevel="1">
      <c r="A84" s="27" t="n"/>
      <c r="B84" s="27" t="inlineStr">
        <is>
          <t>2008.B</t>
        </is>
      </c>
      <c r="C84" s="7" t="inlineStr">
        <is>
          <t>Ark kaynaklı/egzotermik irtibat noktası ve çapraz galvaniz kroşe bağlantıları</t>
        </is>
      </c>
      <c r="D84" s="27" t="inlineStr">
        <is>
          <t>adet</t>
        </is>
      </c>
      <c r="E84" s="50" t="n">
        <v>42</v>
      </c>
      <c r="F84" s="50" t="n">
        <v>42</v>
      </c>
      <c r="G84" s="27" t="inlineStr">
        <is>
          <t>-</t>
        </is>
      </c>
      <c r="H84" s="50">
        <f>F84</f>
        <v/>
      </c>
      <c r="I84" s="51" t="n">
        <v>15</v>
      </c>
      <c r="J84" s="28">
        <f>H84*I84</f>
        <v/>
      </c>
      <c r="K84" s="53" t="inlineStr">
        <is>
          <t>MÜHENDİSLİK TAHMİNİ</t>
        </is>
      </c>
      <c r="L84" s="7" t="inlineStr">
        <is>
          <t>TAHMIN (emsal yok) – Emsal yok (bağlantı/irtibat noktası; R00797 termo kaynak tozu 6,33 (M) yalnız sarf)</t>
        </is>
      </c>
      <c r="M84" s="7" t="inlineStr">
        <is>
          <t>Kroşe/egzotermik ort.</t>
        </is>
      </c>
    </row>
    <row r="85" outlineLevel="1">
      <c r="A85" s="27" t="n"/>
      <c r="B85" s="27" t="inlineStr">
        <is>
          <t>2008.B</t>
        </is>
      </c>
      <c r="C85" s="7" t="inlineStr">
        <is>
          <t>Metal korkuluk/turnike bağlantısı 1x16 mm2 izoleli iletken (H07Z-R)</t>
        </is>
      </c>
      <c r="D85" s="27" t="inlineStr">
        <is>
          <t>m</t>
        </is>
      </c>
      <c r="E85" s="50" t="n">
        <v>35</v>
      </c>
      <c r="F85" s="50" t="n">
        <v>35</v>
      </c>
      <c r="G85" s="27" t="inlineStr">
        <is>
          <t>fire+%30</t>
        </is>
      </c>
      <c r="H85" s="50">
        <f>F85/IF(Varsayimlar!$B$21=1,1.43,1)</f>
        <v/>
      </c>
      <c r="I85" s="51" t="n">
        <v>2.37</v>
      </c>
      <c r="J85" s="28">
        <f>H85*I85</f>
        <v/>
      </c>
      <c r="K85" s="52" t="inlineStr">
        <is>
          <t>GEÇMİŞ TEKLİF UYARLAMA</t>
        </is>
      </c>
      <c r="L85" s="7" t="inlineStr">
        <is>
          <t>REF-derin – İzmir Buca M. Prysmian 2021 H07Z1-R 16 2,00 (M)+%30 montaj→2,60; Mersin M. Arkom 2021 NYAF-HF 16 1,64 (M)+%30 montaj→2,13 → medyan 2,37 [Emsal ID: R00690;R01109]</t>
        </is>
      </c>
      <c r="M85" s="7" t="inlineStr">
        <is>
          <t>H07Z-R 1x16 | İlk tahmin BF 3.50</t>
        </is>
      </c>
    </row>
    <row r="86" outlineLevel="1">
      <c r="A86" s="27" t="n"/>
      <c r="B86" s="27" t="inlineStr">
        <is>
          <t>2008.B</t>
        </is>
      </c>
      <c r="C86" s="7" t="inlineStr">
        <is>
          <t>Pano odası topraklama barası (bakır eş potansiyel bara 300x40x5 veya 40x10x400) + bağlantı</t>
        </is>
      </c>
      <c r="D86" s="27" t="inlineStr">
        <is>
          <t>adet</t>
        </is>
      </c>
      <c r="E86" s="50" t="n">
        <v>3</v>
      </c>
      <c r="F86" s="50" t="n">
        <v>3</v>
      </c>
      <c r="G86" s="27" t="inlineStr">
        <is>
          <t>-</t>
        </is>
      </c>
      <c r="H86" s="50">
        <f>F86</f>
        <v/>
      </c>
      <c r="I86" s="51" t="n">
        <v>57.4</v>
      </c>
      <c r="J86" s="28">
        <f>H86*I86</f>
        <v/>
      </c>
      <c r="K86" s="52" t="inlineStr">
        <is>
          <t>GEÇMİŞ TEKLİF UYARLAMA</t>
        </is>
      </c>
      <c r="L86" s="7" t="inlineStr">
        <is>
          <t>REF-derin – İzmir Buca M. ESCO 2021 60x5 Cu lama 2,5 m EP 77,99 (M) ×0,43 Cu ağırlık(40x10x400) +%40 montaj→46,95; Mersin M. Arkom 2021 EP barası 19,89 (M)+%40 montaj→27,85 → medyan 37,40 + 20 bağlantı iletkeni/pabuç (tahmin) = 57,40 [Emsal ID: R00798;R01108]</t>
        </is>
      </c>
      <c r="M86" s="7" t="inlineStr">
        <is>
          <t>Cu EP bara | İlk tahmin BF 120.00</t>
        </is>
      </c>
    </row>
    <row r="87" outlineLevel="1">
      <c r="A87" s="27" t="n"/>
      <c r="B87" s="27" t="inlineStr">
        <is>
          <t>2008.B</t>
        </is>
      </c>
      <c r="C87" s="7" t="inlineStr">
        <is>
          <t>Ekipman/pano topraklama iletkenleri (H07Z-R 16-25 mm2) ve bağlantı pabuçları</t>
        </is>
      </c>
      <c r="D87" s="27" t="inlineStr">
        <is>
          <t>m</t>
        </is>
      </c>
      <c r="E87" s="50" t="n">
        <v>58</v>
      </c>
      <c r="F87" s="50" t="n">
        <v>58</v>
      </c>
      <c r="G87" s="27" t="inlineStr">
        <is>
          <t>-</t>
        </is>
      </c>
      <c r="H87" s="50">
        <f>F87</f>
        <v/>
      </c>
      <c r="I87" s="51" t="n">
        <v>3.33</v>
      </c>
      <c r="J87" s="28">
        <f>H87*I87</f>
        <v/>
      </c>
      <c r="K87" s="52" t="inlineStr">
        <is>
          <t>GEÇMİŞ TEKLİF UYARLAMA</t>
        </is>
      </c>
      <c r="L87" s="7" t="inlineStr">
        <is>
          <t>REF-derin – İzmir Buca M. Prysmian 2021 H07Z1-R 16 2,00 (M)+%30, ×1,28 kesit(ort.20,5), +%10 pabuç→3,67; Mersin M. Arkom 2021 NYAF-HF 16 1,64 (M)+%30, ×1,28 kesit, +%10 pabuç→2,99 → medyan 3,33 [Emsal ID: R00690;R01109]</t>
        </is>
      </c>
      <c r="M87" s="7" t="inlineStr">
        <is>
          <t>H07Z-R 16-25+pabuç | İlk tahmin BF 4.50</t>
        </is>
      </c>
    </row>
    <row r="88" outlineLevel="1">
      <c r="A88" s="27" t="n"/>
      <c r="B88" s="27" t="inlineStr">
        <is>
          <t>2008.B</t>
        </is>
      </c>
      <c r="C88" s="7" t="inlineStr">
        <is>
          <t>Topraklama direnci ölçümü + süreklilik testi + fotoğraflı raporlama (beton öncesi)</t>
        </is>
      </c>
      <c r="D88" s="27" t="inlineStr">
        <is>
          <t>set</t>
        </is>
      </c>
      <c r="E88" s="50" t="n">
        <v>1</v>
      </c>
      <c r="F88" s="50" t="n">
        <v>1</v>
      </c>
      <c r="G88" s="27" t="inlineStr">
        <is>
          <t>-</t>
        </is>
      </c>
      <c r="H88" s="50">
        <f>F88</f>
        <v/>
      </c>
      <c r="I88" s="51" t="n">
        <v>500</v>
      </c>
      <c r="J88" s="28">
        <f>H88*I88</f>
        <v/>
      </c>
      <c r="K88" s="53" t="inlineStr">
        <is>
          <t>MÜHENDİSLİK TAHMİNİ</t>
        </is>
      </c>
      <c r="L88" s="7" t="inlineStr">
        <is>
          <t>TAHMIN (emsal yok) – Emsal yok (ölçüm/rapor götürü)</t>
        </is>
      </c>
      <c r="M88" s="7" t="inlineStr">
        <is>
          <t>Ölçüm/rapor</t>
        </is>
      </c>
    </row>
    <row r="89">
      <c r="A89" s="48" t="inlineStr">
        <is>
          <t>192</t>
        </is>
      </c>
      <c r="B89" s="48" t="inlineStr">
        <is>
          <t>2008.C</t>
        </is>
      </c>
      <c r="C89" s="48" t="inlineStr">
        <is>
          <t>Balıklıgöl İstasyonu Topraklama Tesisatı (1 set)</t>
        </is>
      </c>
      <c r="D89" s="48" t="n"/>
      <c r="E89" s="48" t="n"/>
      <c r="F89" s="48" t="n"/>
      <c r="G89" s="48" t="n"/>
      <c r="H89" s="48" t="inlineStr">
        <is>
          <t>RFQ tutarı →</t>
        </is>
      </c>
      <c r="I89" s="49">
        <f>SUMPRODUCT(E90:E97,I90:I97)</f>
        <v/>
      </c>
      <c r="J89" s="49">
        <f>SUM(J90:J97)</f>
        <v/>
      </c>
      <c r="K89" s="48" t="n"/>
      <c r="L89" s="48" t="n"/>
      <c r="M89" s="48" t="n"/>
    </row>
    <row r="90" outlineLevel="1">
      <c r="A90" s="27" t="n"/>
      <c r="B90" s="27" t="inlineStr">
        <is>
          <t>2008.C</t>
        </is>
      </c>
      <c r="C90" s="7" t="inlineStr">
        <is>
          <t>Temel topraklama iletkeni 30x3,5 mm sıcak daldırma galvanizli çelik şerit (beton içinde, dik)</t>
        </is>
      </c>
      <c r="D90" s="27" t="inlineStr">
        <is>
          <t>m</t>
        </is>
      </c>
      <c r="E90" s="50" t="n">
        <v>252</v>
      </c>
      <c r="F90" s="50" t="n">
        <v>252</v>
      </c>
      <c r="G90" s="27" t="inlineStr">
        <is>
          <t>-</t>
        </is>
      </c>
      <c r="H90" s="50">
        <f>F90</f>
        <v/>
      </c>
      <c r="I90" s="51" t="n">
        <v>2.49</v>
      </c>
      <c r="J90" s="28">
        <f>H90*I90</f>
        <v/>
      </c>
      <c r="K90" s="52" t="inlineStr">
        <is>
          <t>GEÇMİŞ TEKLİF UYARLAMA</t>
        </is>
      </c>
      <c r="L90"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90" s="7" t="inlineStr">
        <is>
          <t>Galv. şerit 30x3,5 temel | İlk tahmin BF 6.00</t>
        </is>
      </c>
    </row>
    <row r="91" outlineLevel="1">
      <c r="A91" s="27" t="n"/>
      <c r="B91" s="27" t="inlineStr">
        <is>
          <t>2008.C</t>
        </is>
      </c>
      <c r="C91" s="7" t="inlineStr">
        <is>
          <t>Topraklama elektrodu SOM BAKIR Ø20 x 1,5 m (galvanizli köşebent yerine) + 40x40 muayene menholü (bir kısmında)</t>
        </is>
      </c>
      <c r="D91" s="27" t="inlineStr">
        <is>
          <t>adet</t>
        </is>
      </c>
      <c r="E91" s="50" t="n">
        <v>16</v>
      </c>
      <c r="F91" s="50" t="n">
        <v>16</v>
      </c>
      <c r="G91" s="27" t="inlineStr">
        <is>
          <t>-</t>
        </is>
      </c>
      <c r="H91" s="50">
        <f>F91</f>
        <v/>
      </c>
      <c r="I91" s="51" t="n">
        <v>77.90000000000001</v>
      </c>
      <c r="J91" s="28">
        <f>H91*I91</f>
        <v/>
      </c>
      <c r="K91" s="52" t="inlineStr">
        <is>
          <t>GEÇMİŞ TEKLİF UYARLAMA</t>
        </is>
      </c>
      <c r="L91" s="7" t="inlineStr">
        <is>
          <t>REF-derin – İzmir Buca M. ESCO 2021 Cu Ø20x3,5 m 119,71 (M) ×1,5/3,5 boy +%30 çakma→66,92; Bursa T2 Haluk 2015 Cu Ø20x3,5 m (M+İ) 152,81 ×1,5/3,5 boy→65,71; Bursa T2 MET 2015 Cu Ø20x3,5 m (M+İ) 168,23 ×1,5/3,5 boy→72,34 → medyan 66,92 + menhol payı (%20 adet × rogar 42,24 (M) +%30) = 77,90 [Emsal ID: R00793;R00916;R00984;R00796]</t>
        </is>
      </c>
      <c r="M91" s="7" t="inlineStr">
        <is>
          <t>İdare: galvaniz köşebent | İlk tahmin BF 55.00</t>
        </is>
      </c>
    </row>
    <row r="92" outlineLevel="1">
      <c r="A92" s="27" t="n"/>
      <c r="B92" s="27" t="inlineStr">
        <is>
          <t>2008.C</t>
        </is>
      </c>
      <c r="C92" s="7" t="inlineStr">
        <is>
          <t>Çelik kolon (peron saçağı) topraklama bağlantısı (şerit filizi + bağlantı parçası)</t>
        </is>
      </c>
      <c r="D92" s="27" t="inlineStr">
        <is>
          <t>adet</t>
        </is>
      </c>
      <c r="E92" s="50" t="n">
        <v>15</v>
      </c>
      <c r="F92" s="50" t="n">
        <v>15</v>
      </c>
      <c r="G92" s="27" t="inlineStr">
        <is>
          <t>-</t>
        </is>
      </c>
      <c r="H92" s="50">
        <f>F92</f>
        <v/>
      </c>
      <c r="I92" s="51" t="n">
        <v>25</v>
      </c>
      <c r="J92" s="28">
        <f>H92*I92</f>
        <v/>
      </c>
      <c r="K92" s="53" t="inlineStr">
        <is>
          <t>MÜHENDİSLİK TAHMİNİ</t>
        </is>
      </c>
      <c r="L92" s="7" t="inlineStr">
        <is>
          <t>TAHMIN (emsal yok) – Emsal yok (bağlantı/irtibat noktası; R00797 termo kaynak tozu 6,33 (M) yalnız sarf)</t>
        </is>
      </c>
      <c r="M92" s="7" t="inlineStr">
        <is>
          <t>Şerit filizi+bağlantı</t>
        </is>
      </c>
    </row>
    <row r="93" outlineLevel="1">
      <c r="A93" s="27" t="n"/>
      <c r="B93" s="27" t="inlineStr">
        <is>
          <t>2008.C</t>
        </is>
      </c>
      <c r="C93" s="7" t="inlineStr">
        <is>
          <t>Ark kaynaklı/egzotermik irtibat noktası ve çapraz galvaniz kroşe bağlantıları</t>
        </is>
      </c>
      <c r="D93" s="27" t="inlineStr">
        <is>
          <t>adet</t>
        </is>
      </c>
      <c r="E93" s="50" t="n">
        <v>42</v>
      </c>
      <c r="F93" s="50" t="n">
        <v>42</v>
      </c>
      <c r="G93" s="27" t="inlineStr">
        <is>
          <t>-</t>
        </is>
      </c>
      <c r="H93" s="50">
        <f>F93</f>
        <v/>
      </c>
      <c r="I93" s="51" t="n">
        <v>15</v>
      </c>
      <c r="J93" s="28">
        <f>H93*I93</f>
        <v/>
      </c>
      <c r="K93" s="53" t="inlineStr">
        <is>
          <t>MÜHENDİSLİK TAHMİNİ</t>
        </is>
      </c>
      <c r="L93" s="7" t="inlineStr">
        <is>
          <t>TAHMIN (emsal yok) – Emsal yok (bağlantı/irtibat noktası; R00797 termo kaynak tozu 6,33 (M) yalnız sarf)</t>
        </is>
      </c>
      <c r="M93" s="7" t="inlineStr">
        <is>
          <t>Kroşe/egzotermik ort.</t>
        </is>
      </c>
    </row>
    <row r="94" outlineLevel="1">
      <c r="A94" s="27" t="n"/>
      <c r="B94" s="27" t="inlineStr">
        <is>
          <t>2008.C</t>
        </is>
      </c>
      <c r="C94" s="7" t="inlineStr">
        <is>
          <t>Metal korkuluk/turnike bağlantısı 1x16 mm2 izoleli iletken (H07Z-R)</t>
        </is>
      </c>
      <c r="D94" s="27" t="inlineStr">
        <is>
          <t>m</t>
        </is>
      </c>
      <c r="E94" s="50" t="n">
        <v>35</v>
      </c>
      <c r="F94" s="50" t="n">
        <v>35</v>
      </c>
      <c r="G94" s="27" t="inlineStr">
        <is>
          <t>fire+%30</t>
        </is>
      </c>
      <c r="H94" s="50">
        <f>F94/IF(Varsayimlar!$B$21=1,1.43,1)</f>
        <v/>
      </c>
      <c r="I94" s="51" t="n">
        <v>2.37</v>
      </c>
      <c r="J94" s="28">
        <f>H94*I94</f>
        <v/>
      </c>
      <c r="K94" s="52" t="inlineStr">
        <is>
          <t>GEÇMİŞ TEKLİF UYARLAMA</t>
        </is>
      </c>
      <c r="L94" s="7" t="inlineStr">
        <is>
          <t>REF-derin – İzmir Buca M. Prysmian 2021 H07Z1-R 16 2,00 (M)+%30 montaj→2,60; Mersin M. Arkom 2021 NYAF-HF 16 1,64 (M)+%30 montaj→2,13 → medyan 2,37 [Emsal ID: R00690;R01109]</t>
        </is>
      </c>
      <c r="M94" s="7" t="inlineStr">
        <is>
          <t>H07Z-R 1x16 | İlk tahmin BF 3.50</t>
        </is>
      </c>
    </row>
    <row r="95" outlineLevel="1">
      <c r="A95" s="27" t="n"/>
      <c r="B95" s="27" t="inlineStr">
        <is>
          <t>2008.C</t>
        </is>
      </c>
      <c r="C95" s="7" t="inlineStr">
        <is>
          <t>Pano odası topraklama barası (bakır eş potansiyel bara 300x40x5 veya 40x10x400) + bağlantı</t>
        </is>
      </c>
      <c r="D95" s="27" t="inlineStr">
        <is>
          <t>adet</t>
        </is>
      </c>
      <c r="E95" s="50" t="n">
        <v>3</v>
      </c>
      <c r="F95" s="50" t="n">
        <v>3</v>
      </c>
      <c r="G95" s="27" t="inlineStr">
        <is>
          <t>-</t>
        </is>
      </c>
      <c r="H95" s="50">
        <f>F95</f>
        <v/>
      </c>
      <c r="I95" s="51" t="n">
        <v>57.4</v>
      </c>
      <c r="J95" s="28">
        <f>H95*I95</f>
        <v/>
      </c>
      <c r="K95" s="52" t="inlineStr">
        <is>
          <t>GEÇMİŞ TEKLİF UYARLAMA</t>
        </is>
      </c>
      <c r="L95" s="7" t="inlineStr">
        <is>
          <t>REF-derin – İzmir Buca M. ESCO 2021 60x5 Cu lama 2,5 m EP 77,99 (M) ×0,43 Cu ağırlık(40x10x400) +%40 montaj→46,95; Mersin M. Arkom 2021 EP barası 19,89 (M)+%40 montaj→27,85 → medyan 37,40 + 20 bağlantı iletkeni/pabuç (tahmin) = 57,40 [Emsal ID: R00798;R01108]</t>
        </is>
      </c>
      <c r="M95" s="7" t="inlineStr">
        <is>
          <t>Cu EP bara | İlk tahmin BF 120.00</t>
        </is>
      </c>
    </row>
    <row r="96" outlineLevel="1">
      <c r="A96" s="27" t="n"/>
      <c r="B96" s="27" t="inlineStr">
        <is>
          <t>2008.C</t>
        </is>
      </c>
      <c r="C96" s="7" t="inlineStr">
        <is>
          <t>Ekipman/pano topraklama iletkenleri (H07Z-R 16-25 mm2) ve bağlantı pabuçları</t>
        </is>
      </c>
      <c r="D96" s="27" t="inlineStr">
        <is>
          <t>m</t>
        </is>
      </c>
      <c r="E96" s="50" t="n">
        <v>58</v>
      </c>
      <c r="F96" s="50" t="n">
        <v>58</v>
      </c>
      <c r="G96" s="27" t="inlineStr">
        <is>
          <t>-</t>
        </is>
      </c>
      <c r="H96" s="50">
        <f>F96</f>
        <v/>
      </c>
      <c r="I96" s="51" t="n">
        <v>3.33</v>
      </c>
      <c r="J96" s="28">
        <f>H96*I96</f>
        <v/>
      </c>
      <c r="K96" s="52" t="inlineStr">
        <is>
          <t>GEÇMİŞ TEKLİF UYARLAMA</t>
        </is>
      </c>
      <c r="L96" s="7" t="inlineStr">
        <is>
          <t>REF-derin – İzmir Buca M. Prysmian 2021 H07Z1-R 16 2,00 (M)+%30, ×1,28 kesit(ort.20,5), +%10 pabuç→3,67; Mersin M. Arkom 2021 NYAF-HF 16 1,64 (M)+%30, ×1,28 kesit, +%10 pabuç→2,99 → medyan 3,33 [Emsal ID: R00690;R01109]</t>
        </is>
      </c>
      <c r="M96" s="7" t="inlineStr">
        <is>
          <t>H07Z-R 16-25+pabuç | İlk tahmin BF 4.50</t>
        </is>
      </c>
    </row>
    <row r="97" outlineLevel="1">
      <c r="A97" s="27" t="n"/>
      <c r="B97" s="27" t="inlineStr">
        <is>
          <t>2008.C</t>
        </is>
      </c>
      <c r="C97" s="7" t="inlineStr">
        <is>
          <t>Topraklama direnci ölçümü + süreklilik testi + fotoğraflı raporlama (beton öncesi)</t>
        </is>
      </c>
      <c r="D97" s="27" t="inlineStr">
        <is>
          <t>set</t>
        </is>
      </c>
      <c r="E97" s="50" t="n">
        <v>1</v>
      </c>
      <c r="F97" s="50" t="n">
        <v>1</v>
      </c>
      <c r="G97" s="27" t="inlineStr">
        <is>
          <t>-</t>
        </is>
      </c>
      <c r="H97" s="50">
        <f>F97</f>
        <v/>
      </c>
      <c r="I97" s="51" t="n">
        <v>500</v>
      </c>
      <c r="J97" s="28">
        <f>H97*I97</f>
        <v/>
      </c>
      <c r="K97" s="53" t="inlineStr">
        <is>
          <t>MÜHENDİSLİK TAHMİNİ</t>
        </is>
      </c>
      <c r="L97" s="7" t="inlineStr">
        <is>
          <t>TAHMIN (emsal yok) – Emsal yok (ölçüm/rapor götürü)</t>
        </is>
      </c>
      <c r="M97" s="7" t="inlineStr">
        <is>
          <t>Ölçüm/rapor</t>
        </is>
      </c>
    </row>
    <row r="98">
      <c r="A98" s="48" t="inlineStr">
        <is>
          <t>193</t>
        </is>
      </c>
      <c r="B98" s="48" t="inlineStr">
        <is>
          <t>2008.D</t>
        </is>
      </c>
      <c r="C98" s="48" t="inlineStr">
        <is>
          <t>Eyüp Peygamber İstasyonu Topraklama Tesisatı (1 set)</t>
        </is>
      </c>
      <c r="D98" s="48" t="n"/>
      <c r="E98" s="48" t="n"/>
      <c r="F98" s="48" t="n"/>
      <c r="G98" s="48" t="n"/>
      <c r="H98" s="48" t="inlineStr">
        <is>
          <t>RFQ tutarı →</t>
        </is>
      </c>
      <c r="I98" s="49">
        <f>SUMPRODUCT(E99:E106,I99:I106)</f>
        <v/>
      </c>
      <c r="J98" s="49">
        <f>SUM(J99:J106)</f>
        <v/>
      </c>
      <c r="K98" s="48" t="n"/>
      <c r="L98" s="48" t="n"/>
      <c r="M98" s="48" t="n"/>
    </row>
    <row r="99" outlineLevel="1">
      <c r="A99" s="27" t="n"/>
      <c r="B99" s="27" t="inlineStr">
        <is>
          <t>2008.D</t>
        </is>
      </c>
      <c r="C99" s="7" t="inlineStr">
        <is>
          <t>Temel topraklama iletkeni 30x3,5 mm sıcak daldırma galvanizli çelik şerit (beton içinde, dik)</t>
        </is>
      </c>
      <c r="D99" s="27" t="inlineStr">
        <is>
          <t>m</t>
        </is>
      </c>
      <c r="E99" s="50" t="n">
        <v>252</v>
      </c>
      <c r="F99" s="50" t="n">
        <v>252</v>
      </c>
      <c r="G99" s="27" t="inlineStr">
        <is>
          <t>-</t>
        </is>
      </c>
      <c r="H99" s="50">
        <f>F99</f>
        <v/>
      </c>
      <c r="I99" s="51" t="n">
        <v>2.49</v>
      </c>
      <c r="J99" s="28">
        <f>H99*I99</f>
        <v/>
      </c>
      <c r="K99" s="52" t="inlineStr">
        <is>
          <t>GEÇMİŞ TEKLİF UYARLAMA</t>
        </is>
      </c>
      <c r="L99"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99" s="7" t="inlineStr">
        <is>
          <t>Galv. şerit 30x3,5 temel | İlk tahmin BF 6.00</t>
        </is>
      </c>
    </row>
    <row r="100" outlineLevel="1">
      <c r="A100" s="27" t="n"/>
      <c r="B100" s="27" t="inlineStr">
        <is>
          <t>2008.D</t>
        </is>
      </c>
      <c r="C100" s="7" t="inlineStr">
        <is>
          <t>Topraklama elektrodu SOM BAKIR Ø20 x 1,5 m (galvanizli köşebent yerine) + 40x40 muayene menholü (bir kısmında)</t>
        </is>
      </c>
      <c r="D100" s="27" t="inlineStr">
        <is>
          <t>adet</t>
        </is>
      </c>
      <c r="E100" s="50" t="n">
        <v>16</v>
      </c>
      <c r="F100" s="50" t="n">
        <v>16</v>
      </c>
      <c r="G100" s="27" t="inlineStr">
        <is>
          <t>-</t>
        </is>
      </c>
      <c r="H100" s="50">
        <f>F100</f>
        <v/>
      </c>
      <c r="I100" s="51" t="n">
        <v>77.90000000000001</v>
      </c>
      <c r="J100" s="28">
        <f>H100*I100</f>
        <v/>
      </c>
      <c r="K100" s="52" t="inlineStr">
        <is>
          <t>GEÇMİŞ TEKLİF UYARLAMA</t>
        </is>
      </c>
      <c r="L100" s="7" t="inlineStr">
        <is>
          <t>REF-derin – İzmir Buca M. ESCO 2021 Cu Ø20x3,5 m 119,71 (M) ×1,5/3,5 boy +%30 çakma→66,92; Bursa T2 Haluk 2015 Cu Ø20x3,5 m (M+İ) 152,81 ×1,5/3,5 boy→65,71; Bursa T2 MET 2015 Cu Ø20x3,5 m (M+İ) 168,23 ×1,5/3,5 boy→72,34 → medyan 66,92 + menhol payı (%20 adet × rogar 42,24 (M) +%30) = 77,90 [Emsal ID: R00793;R00916;R00984;R00796]</t>
        </is>
      </c>
      <c r="M100" s="7" t="inlineStr">
        <is>
          <t>İdare: galvaniz köşebent | İlk tahmin BF 55.00</t>
        </is>
      </c>
    </row>
    <row r="101" outlineLevel="1">
      <c r="A101" s="27" t="n"/>
      <c r="B101" s="27" t="inlineStr">
        <is>
          <t>2008.D</t>
        </is>
      </c>
      <c r="C101" s="7" t="inlineStr">
        <is>
          <t>Çelik kolon (peron saçağı) topraklama bağlantısı (şerit filizi + bağlantı parçası)</t>
        </is>
      </c>
      <c r="D101" s="27" t="inlineStr">
        <is>
          <t>adet</t>
        </is>
      </c>
      <c r="E101" s="50" t="n">
        <v>15</v>
      </c>
      <c r="F101" s="50" t="n">
        <v>15</v>
      </c>
      <c r="G101" s="27" t="inlineStr">
        <is>
          <t>-</t>
        </is>
      </c>
      <c r="H101" s="50">
        <f>F101</f>
        <v/>
      </c>
      <c r="I101" s="51" t="n">
        <v>25</v>
      </c>
      <c r="J101" s="28">
        <f>H101*I101</f>
        <v/>
      </c>
      <c r="K101" s="53" t="inlineStr">
        <is>
          <t>MÜHENDİSLİK TAHMİNİ</t>
        </is>
      </c>
      <c r="L101" s="7" t="inlineStr">
        <is>
          <t>TAHMIN (emsal yok) – Emsal yok (bağlantı/irtibat noktası; R00797 termo kaynak tozu 6,33 (M) yalnız sarf)</t>
        </is>
      </c>
      <c r="M101" s="7" t="inlineStr">
        <is>
          <t>Şerit filizi+bağlantı</t>
        </is>
      </c>
    </row>
    <row r="102" outlineLevel="1">
      <c r="A102" s="27" t="n"/>
      <c r="B102" s="27" t="inlineStr">
        <is>
          <t>2008.D</t>
        </is>
      </c>
      <c r="C102" s="7" t="inlineStr">
        <is>
          <t>Ark kaynaklı/egzotermik irtibat noktası ve çapraz galvaniz kroşe bağlantıları</t>
        </is>
      </c>
      <c r="D102" s="27" t="inlineStr">
        <is>
          <t>adet</t>
        </is>
      </c>
      <c r="E102" s="50" t="n">
        <v>42</v>
      </c>
      <c r="F102" s="50" t="n">
        <v>42</v>
      </c>
      <c r="G102" s="27" t="inlineStr">
        <is>
          <t>-</t>
        </is>
      </c>
      <c r="H102" s="50">
        <f>F102</f>
        <v/>
      </c>
      <c r="I102" s="51" t="n">
        <v>15</v>
      </c>
      <c r="J102" s="28">
        <f>H102*I102</f>
        <v/>
      </c>
      <c r="K102" s="53" t="inlineStr">
        <is>
          <t>MÜHENDİSLİK TAHMİNİ</t>
        </is>
      </c>
      <c r="L102" s="7" t="inlineStr">
        <is>
          <t>TAHMIN (emsal yok) – Emsal yok (bağlantı/irtibat noktası; R00797 termo kaynak tozu 6,33 (M) yalnız sarf)</t>
        </is>
      </c>
      <c r="M102" s="7" t="inlineStr">
        <is>
          <t>Kroşe/egzotermik ort.</t>
        </is>
      </c>
    </row>
    <row r="103" outlineLevel="1">
      <c r="A103" s="27" t="n"/>
      <c r="B103" s="27" t="inlineStr">
        <is>
          <t>2008.D</t>
        </is>
      </c>
      <c r="C103" s="7" t="inlineStr">
        <is>
          <t>Metal korkuluk/turnike bağlantısı 1x16 mm2 izoleli iletken (H07Z-R)</t>
        </is>
      </c>
      <c r="D103" s="27" t="inlineStr">
        <is>
          <t>m</t>
        </is>
      </c>
      <c r="E103" s="50" t="n">
        <v>35</v>
      </c>
      <c r="F103" s="50" t="n">
        <v>35</v>
      </c>
      <c r="G103" s="27" t="inlineStr">
        <is>
          <t>fire+%30</t>
        </is>
      </c>
      <c r="H103" s="50">
        <f>F103/IF(Varsayimlar!$B$21=1,1.43,1)</f>
        <v/>
      </c>
      <c r="I103" s="51" t="n">
        <v>2.37</v>
      </c>
      <c r="J103" s="28">
        <f>H103*I103</f>
        <v/>
      </c>
      <c r="K103" s="52" t="inlineStr">
        <is>
          <t>GEÇMİŞ TEKLİF UYARLAMA</t>
        </is>
      </c>
      <c r="L103" s="7" t="inlineStr">
        <is>
          <t>REF-derin – İzmir Buca M. Prysmian 2021 H07Z1-R 16 2,00 (M)+%30 montaj→2,60; Mersin M. Arkom 2021 NYAF-HF 16 1,64 (M)+%30 montaj→2,13 → medyan 2,37 [Emsal ID: R00690;R01109]</t>
        </is>
      </c>
      <c r="M103" s="7" t="inlineStr">
        <is>
          <t>H07Z-R 1x16 | İlk tahmin BF 3.50</t>
        </is>
      </c>
    </row>
    <row r="104" outlineLevel="1">
      <c r="A104" s="27" t="n"/>
      <c r="B104" s="27" t="inlineStr">
        <is>
          <t>2008.D</t>
        </is>
      </c>
      <c r="C104" s="7" t="inlineStr">
        <is>
          <t>Pano odası topraklama barası (bakır eş potansiyel bara 300x40x5 veya 40x10x400) + bağlantı</t>
        </is>
      </c>
      <c r="D104" s="27" t="inlineStr">
        <is>
          <t>adet</t>
        </is>
      </c>
      <c r="E104" s="50" t="n">
        <v>3</v>
      </c>
      <c r="F104" s="50" t="n">
        <v>3</v>
      </c>
      <c r="G104" s="27" t="inlineStr">
        <is>
          <t>-</t>
        </is>
      </c>
      <c r="H104" s="50">
        <f>F104</f>
        <v/>
      </c>
      <c r="I104" s="51" t="n">
        <v>57.4</v>
      </c>
      <c r="J104" s="28">
        <f>H104*I104</f>
        <v/>
      </c>
      <c r="K104" s="52" t="inlineStr">
        <is>
          <t>GEÇMİŞ TEKLİF UYARLAMA</t>
        </is>
      </c>
      <c r="L104" s="7" t="inlineStr">
        <is>
          <t>REF-derin – İzmir Buca M. ESCO 2021 60x5 Cu lama 2,5 m EP 77,99 (M) ×0,43 Cu ağırlık(40x10x400) +%40 montaj→46,95; Mersin M. Arkom 2021 EP barası 19,89 (M)+%40 montaj→27,85 → medyan 37,40 + 20 bağlantı iletkeni/pabuç (tahmin) = 57,40 [Emsal ID: R00798;R01108]</t>
        </is>
      </c>
      <c r="M104" s="7" t="inlineStr">
        <is>
          <t>Cu EP bara | İlk tahmin BF 120.00</t>
        </is>
      </c>
    </row>
    <row r="105" outlineLevel="1">
      <c r="A105" s="27" t="n"/>
      <c r="B105" s="27" t="inlineStr">
        <is>
          <t>2008.D</t>
        </is>
      </c>
      <c r="C105" s="7" t="inlineStr">
        <is>
          <t>Ekipman/pano topraklama iletkenleri (H07Z-R 16-25 mm2) ve bağlantı pabuçları</t>
        </is>
      </c>
      <c r="D105" s="27" t="inlineStr">
        <is>
          <t>m</t>
        </is>
      </c>
      <c r="E105" s="50" t="n">
        <v>58</v>
      </c>
      <c r="F105" s="50" t="n">
        <v>58</v>
      </c>
      <c r="G105" s="27" t="inlineStr">
        <is>
          <t>-</t>
        </is>
      </c>
      <c r="H105" s="50">
        <f>F105</f>
        <v/>
      </c>
      <c r="I105" s="51" t="n">
        <v>3.33</v>
      </c>
      <c r="J105" s="28">
        <f>H105*I105</f>
        <v/>
      </c>
      <c r="K105" s="52" t="inlineStr">
        <is>
          <t>GEÇMİŞ TEKLİF UYARLAMA</t>
        </is>
      </c>
      <c r="L105" s="7" t="inlineStr">
        <is>
          <t>REF-derin – İzmir Buca M. Prysmian 2021 H07Z1-R 16 2,00 (M)+%30, ×1,28 kesit(ort.20,5), +%10 pabuç→3,67; Mersin M. Arkom 2021 NYAF-HF 16 1,64 (M)+%30, ×1,28 kesit, +%10 pabuç→2,99 → medyan 3,33 [Emsal ID: R00690;R01109]</t>
        </is>
      </c>
      <c r="M105" s="7" t="inlineStr">
        <is>
          <t>H07Z-R 16-25+pabuç | İlk tahmin BF 4.50</t>
        </is>
      </c>
    </row>
    <row r="106" outlineLevel="1">
      <c r="A106" s="27" t="n"/>
      <c r="B106" s="27" t="inlineStr">
        <is>
          <t>2008.D</t>
        </is>
      </c>
      <c r="C106" s="7" t="inlineStr">
        <is>
          <t>Topraklama direnci ölçümü + süreklilik testi + fotoğraflı raporlama (beton öncesi)</t>
        </is>
      </c>
      <c r="D106" s="27" t="inlineStr">
        <is>
          <t>set</t>
        </is>
      </c>
      <c r="E106" s="50" t="n">
        <v>1</v>
      </c>
      <c r="F106" s="50" t="n">
        <v>1</v>
      </c>
      <c r="G106" s="27" t="inlineStr">
        <is>
          <t>-</t>
        </is>
      </c>
      <c r="H106" s="50">
        <f>F106</f>
        <v/>
      </c>
      <c r="I106" s="51" t="n">
        <v>500</v>
      </c>
      <c r="J106" s="28">
        <f>H106*I106</f>
        <v/>
      </c>
      <c r="K106" s="53" t="inlineStr">
        <is>
          <t>MÜHENDİSLİK TAHMİNİ</t>
        </is>
      </c>
      <c r="L106" s="7" t="inlineStr">
        <is>
          <t>TAHMIN (emsal yok) – Emsal yok (ölçüm/rapor götürü)</t>
        </is>
      </c>
      <c r="M106" s="7" t="inlineStr">
        <is>
          <t>Ölçüm/rapor</t>
        </is>
      </c>
    </row>
    <row r="107">
      <c r="A107" s="48" t="inlineStr">
        <is>
          <t>194</t>
        </is>
      </c>
      <c r="B107" s="48" t="inlineStr">
        <is>
          <t>2008.E</t>
        </is>
      </c>
      <c r="C107" s="48" t="inlineStr">
        <is>
          <t>Rasathane İstasyonu Topraklama Tesisatı (1 set)</t>
        </is>
      </c>
      <c r="D107" s="48" t="n"/>
      <c r="E107" s="48" t="n"/>
      <c r="F107" s="48" t="n"/>
      <c r="G107" s="48" t="n"/>
      <c r="H107" s="48" t="inlineStr">
        <is>
          <t>RFQ tutarı →</t>
        </is>
      </c>
      <c r="I107" s="49">
        <f>SUMPRODUCT(E108:E115,I108:I115)</f>
        <v/>
      </c>
      <c r="J107" s="49">
        <f>SUM(J108:J115)</f>
        <v/>
      </c>
      <c r="K107" s="48" t="n"/>
      <c r="L107" s="48" t="n"/>
      <c r="M107" s="48" t="n"/>
    </row>
    <row r="108" outlineLevel="1">
      <c r="A108" s="27" t="n"/>
      <c r="B108" s="27" t="inlineStr">
        <is>
          <t>2008.E</t>
        </is>
      </c>
      <c r="C108" s="7" t="inlineStr">
        <is>
          <t>Temel topraklama iletkeni 30x3,5 mm sıcak daldırma galvanizli çelik şerit (beton içinde, dik)</t>
        </is>
      </c>
      <c r="D108" s="27" t="inlineStr">
        <is>
          <t>m</t>
        </is>
      </c>
      <c r="E108" s="50" t="n">
        <v>252</v>
      </c>
      <c r="F108" s="50" t="n">
        <v>252</v>
      </c>
      <c r="G108" s="27" t="inlineStr">
        <is>
          <t>-</t>
        </is>
      </c>
      <c r="H108" s="50">
        <f>F108</f>
        <v/>
      </c>
      <c r="I108" s="51" t="n">
        <v>2.49</v>
      </c>
      <c r="J108" s="28">
        <f>H108*I108</f>
        <v/>
      </c>
      <c r="K108" s="52" t="inlineStr">
        <is>
          <t>GEÇMİŞ TEKLİF UYARLAMA</t>
        </is>
      </c>
      <c r="L108"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108" s="7" t="inlineStr">
        <is>
          <t>Galv. şerit 30x3,5 temel | İlk tahmin BF 6.00</t>
        </is>
      </c>
    </row>
    <row r="109" outlineLevel="1">
      <c r="A109" s="27" t="n"/>
      <c r="B109" s="27" t="inlineStr">
        <is>
          <t>2008.E</t>
        </is>
      </c>
      <c r="C109" s="7" t="inlineStr">
        <is>
          <t>Topraklama elektrodu SOM BAKIR Ø20 x 1,5 m (galvanizli köşebent yerine) + 40x40 muayene menholü (bir kısmında)</t>
        </is>
      </c>
      <c r="D109" s="27" t="inlineStr">
        <is>
          <t>adet</t>
        </is>
      </c>
      <c r="E109" s="50" t="n">
        <v>16</v>
      </c>
      <c r="F109" s="50" t="n">
        <v>16</v>
      </c>
      <c r="G109" s="27" t="inlineStr">
        <is>
          <t>-</t>
        </is>
      </c>
      <c r="H109" s="50">
        <f>F109</f>
        <v/>
      </c>
      <c r="I109" s="51" t="n">
        <v>77.90000000000001</v>
      </c>
      <c r="J109" s="28">
        <f>H109*I109</f>
        <v/>
      </c>
      <c r="K109" s="52" t="inlineStr">
        <is>
          <t>GEÇMİŞ TEKLİF UYARLAMA</t>
        </is>
      </c>
      <c r="L109" s="7" t="inlineStr">
        <is>
          <t>REF-derin – İzmir Buca M. ESCO 2021 Cu Ø20x3,5 m 119,71 (M) ×1,5/3,5 boy +%30 çakma→66,92; Bursa T2 Haluk 2015 Cu Ø20x3,5 m (M+İ) 152,81 ×1,5/3,5 boy→65,71; Bursa T2 MET 2015 Cu Ø20x3,5 m (M+İ) 168,23 ×1,5/3,5 boy→72,34 → medyan 66,92 + menhol payı (%20 adet × rogar 42,24 (M) +%30) = 77,90 [Emsal ID: R00793;R00916;R00984;R00796]</t>
        </is>
      </c>
      <c r="M109" s="7" t="inlineStr">
        <is>
          <t>İdare: galvaniz köşebent | İlk tahmin BF 55.00</t>
        </is>
      </c>
    </row>
    <row r="110" outlineLevel="1">
      <c r="A110" s="27" t="n"/>
      <c r="B110" s="27" t="inlineStr">
        <is>
          <t>2008.E</t>
        </is>
      </c>
      <c r="C110" s="7" t="inlineStr">
        <is>
          <t>Çelik kolon (peron saçağı) topraklama bağlantısı (şerit filizi + bağlantı parçası)</t>
        </is>
      </c>
      <c r="D110" s="27" t="inlineStr">
        <is>
          <t>adet</t>
        </is>
      </c>
      <c r="E110" s="50" t="n">
        <v>15</v>
      </c>
      <c r="F110" s="50" t="n">
        <v>15</v>
      </c>
      <c r="G110" s="27" t="inlineStr">
        <is>
          <t>-</t>
        </is>
      </c>
      <c r="H110" s="50">
        <f>F110</f>
        <v/>
      </c>
      <c r="I110" s="51" t="n">
        <v>25</v>
      </c>
      <c r="J110" s="28">
        <f>H110*I110</f>
        <v/>
      </c>
      <c r="K110" s="53" t="inlineStr">
        <is>
          <t>MÜHENDİSLİK TAHMİNİ</t>
        </is>
      </c>
      <c r="L110" s="7" t="inlineStr">
        <is>
          <t>TAHMIN (emsal yok) – Emsal yok (bağlantı/irtibat noktası; R00797 termo kaynak tozu 6,33 (M) yalnız sarf)</t>
        </is>
      </c>
      <c r="M110" s="7" t="inlineStr">
        <is>
          <t>Şerit filizi+bağlantı</t>
        </is>
      </c>
    </row>
    <row r="111" outlineLevel="1">
      <c r="A111" s="27" t="n"/>
      <c r="B111" s="27" t="inlineStr">
        <is>
          <t>2008.E</t>
        </is>
      </c>
      <c r="C111" s="7" t="inlineStr">
        <is>
          <t>Ark kaynaklı/egzotermik irtibat noktası ve çapraz galvaniz kroşe bağlantıları</t>
        </is>
      </c>
      <c r="D111" s="27" t="inlineStr">
        <is>
          <t>adet</t>
        </is>
      </c>
      <c r="E111" s="50" t="n">
        <v>42</v>
      </c>
      <c r="F111" s="50" t="n">
        <v>42</v>
      </c>
      <c r="G111" s="27" t="inlineStr">
        <is>
          <t>-</t>
        </is>
      </c>
      <c r="H111" s="50">
        <f>F111</f>
        <v/>
      </c>
      <c r="I111" s="51" t="n">
        <v>15</v>
      </c>
      <c r="J111" s="28">
        <f>H111*I111</f>
        <v/>
      </c>
      <c r="K111" s="53" t="inlineStr">
        <is>
          <t>MÜHENDİSLİK TAHMİNİ</t>
        </is>
      </c>
      <c r="L111" s="7" t="inlineStr">
        <is>
          <t>TAHMIN (emsal yok) – Emsal yok (bağlantı/irtibat noktası; R00797 termo kaynak tozu 6,33 (M) yalnız sarf)</t>
        </is>
      </c>
      <c r="M111" s="7" t="inlineStr">
        <is>
          <t>Kroşe/egzotermik ort.</t>
        </is>
      </c>
    </row>
    <row r="112" outlineLevel="1">
      <c r="A112" s="27" t="n"/>
      <c r="B112" s="27" t="inlineStr">
        <is>
          <t>2008.E</t>
        </is>
      </c>
      <c r="C112" s="7" t="inlineStr">
        <is>
          <t>Metal korkuluk/turnike bağlantısı 1x16 mm2 izoleli iletken (H07Z-R)</t>
        </is>
      </c>
      <c r="D112" s="27" t="inlineStr">
        <is>
          <t>m</t>
        </is>
      </c>
      <c r="E112" s="50" t="n">
        <v>35</v>
      </c>
      <c r="F112" s="50" t="n">
        <v>35</v>
      </c>
      <c r="G112" s="27" t="inlineStr">
        <is>
          <t>fire+%30</t>
        </is>
      </c>
      <c r="H112" s="50">
        <f>F112/IF(Varsayimlar!$B$21=1,1.43,1)</f>
        <v/>
      </c>
      <c r="I112" s="51" t="n">
        <v>2.37</v>
      </c>
      <c r="J112" s="28">
        <f>H112*I112</f>
        <v/>
      </c>
      <c r="K112" s="52" t="inlineStr">
        <is>
          <t>GEÇMİŞ TEKLİF UYARLAMA</t>
        </is>
      </c>
      <c r="L112" s="7" t="inlineStr">
        <is>
          <t>REF-derin – İzmir Buca M. Prysmian 2021 H07Z1-R 16 2,00 (M)+%30 montaj→2,60; Mersin M. Arkom 2021 NYAF-HF 16 1,64 (M)+%30 montaj→2,13 → medyan 2,37 [Emsal ID: R00690;R01109]</t>
        </is>
      </c>
      <c r="M112" s="7" t="inlineStr">
        <is>
          <t>H07Z-R 1x16 | İlk tahmin BF 3.50</t>
        </is>
      </c>
    </row>
    <row r="113" outlineLevel="1">
      <c r="A113" s="27" t="n"/>
      <c r="B113" s="27" t="inlineStr">
        <is>
          <t>2008.E</t>
        </is>
      </c>
      <c r="C113" s="7" t="inlineStr">
        <is>
          <t>Pano odası topraklama barası (bakır eş potansiyel bara 300x40x5 veya 40x10x400) + bağlantı</t>
        </is>
      </c>
      <c r="D113" s="27" t="inlineStr">
        <is>
          <t>adet</t>
        </is>
      </c>
      <c r="E113" s="50" t="n">
        <v>3</v>
      </c>
      <c r="F113" s="50" t="n">
        <v>3</v>
      </c>
      <c r="G113" s="27" t="inlineStr">
        <is>
          <t>-</t>
        </is>
      </c>
      <c r="H113" s="50">
        <f>F113</f>
        <v/>
      </c>
      <c r="I113" s="51" t="n">
        <v>57.4</v>
      </c>
      <c r="J113" s="28">
        <f>H113*I113</f>
        <v/>
      </c>
      <c r="K113" s="52" t="inlineStr">
        <is>
          <t>GEÇMİŞ TEKLİF UYARLAMA</t>
        </is>
      </c>
      <c r="L113" s="7" t="inlineStr">
        <is>
          <t>REF-derin – İzmir Buca M. ESCO 2021 60x5 Cu lama 2,5 m EP 77,99 (M) ×0,43 Cu ağırlık(40x10x400) +%40 montaj→46,95; Mersin M. Arkom 2021 EP barası 19,89 (M)+%40 montaj→27,85 → medyan 37,40 + 20 bağlantı iletkeni/pabuç (tahmin) = 57,40 [Emsal ID: R00798;R01108]</t>
        </is>
      </c>
      <c r="M113" s="7" t="inlineStr">
        <is>
          <t>Cu EP bara | İlk tahmin BF 120.00</t>
        </is>
      </c>
    </row>
    <row r="114" outlineLevel="1">
      <c r="A114" s="27" t="n"/>
      <c r="B114" s="27" t="inlineStr">
        <is>
          <t>2008.E</t>
        </is>
      </c>
      <c r="C114" s="7" t="inlineStr">
        <is>
          <t>Ekipman/pano topraklama iletkenleri (H07Z-R 16-25 mm2) ve bağlantı pabuçları</t>
        </is>
      </c>
      <c r="D114" s="27" t="inlineStr">
        <is>
          <t>m</t>
        </is>
      </c>
      <c r="E114" s="50" t="n">
        <v>58</v>
      </c>
      <c r="F114" s="50" t="n">
        <v>58</v>
      </c>
      <c r="G114" s="27" t="inlineStr">
        <is>
          <t>-</t>
        </is>
      </c>
      <c r="H114" s="50">
        <f>F114</f>
        <v/>
      </c>
      <c r="I114" s="51" t="n">
        <v>3.33</v>
      </c>
      <c r="J114" s="28">
        <f>H114*I114</f>
        <v/>
      </c>
      <c r="K114" s="52" t="inlineStr">
        <is>
          <t>GEÇMİŞ TEKLİF UYARLAMA</t>
        </is>
      </c>
      <c r="L114" s="7" t="inlineStr">
        <is>
          <t>REF-derin – İzmir Buca M. Prysmian 2021 H07Z1-R 16 2,00 (M)+%30, ×1,28 kesit(ort.20,5), +%10 pabuç→3,67; Mersin M. Arkom 2021 NYAF-HF 16 1,64 (M)+%30, ×1,28 kesit, +%10 pabuç→2,99 → medyan 3,33 [Emsal ID: R00690;R01109]</t>
        </is>
      </c>
      <c r="M114" s="7" t="inlineStr">
        <is>
          <t>H07Z-R 16-25+pabuç | İlk tahmin BF 4.50</t>
        </is>
      </c>
    </row>
    <row r="115" outlineLevel="1">
      <c r="A115" s="27" t="n"/>
      <c r="B115" s="27" t="inlineStr">
        <is>
          <t>2008.E</t>
        </is>
      </c>
      <c r="C115" s="7" t="inlineStr">
        <is>
          <t>Topraklama direnci ölçümü + süreklilik testi + fotoğraflı raporlama (beton öncesi)</t>
        </is>
      </c>
      <c r="D115" s="27" t="inlineStr">
        <is>
          <t>set</t>
        </is>
      </c>
      <c r="E115" s="50" t="n">
        <v>1</v>
      </c>
      <c r="F115" s="50" t="n">
        <v>1</v>
      </c>
      <c r="G115" s="27" t="inlineStr">
        <is>
          <t>-</t>
        </is>
      </c>
      <c r="H115" s="50">
        <f>F115</f>
        <v/>
      </c>
      <c r="I115" s="51" t="n">
        <v>500</v>
      </c>
      <c r="J115" s="28">
        <f>H115*I115</f>
        <v/>
      </c>
      <c r="K115" s="53" t="inlineStr">
        <is>
          <t>MÜHENDİSLİK TAHMİNİ</t>
        </is>
      </c>
      <c r="L115" s="7" t="inlineStr">
        <is>
          <t>TAHMIN (emsal yok) – Emsal yok (ölçüm/rapor götürü)</t>
        </is>
      </c>
      <c r="M115" s="7" t="inlineStr">
        <is>
          <t>Ölçüm/rapor</t>
        </is>
      </c>
    </row>
    <row r="116">
      <c r="A116" s="48" t="inlineStr">
        <is>
          <t>195</t>
        </is>
      </c>
      <c r="B116" s="48" t="inlineStr">
        <is>
          <t>2008.G</t>
        </is>
      </c>
      <c r="C116" s="48" t="inlineStr">
        <is>
          <t>Depo Sahası ve Topraklama Tesisatı (1 set)</t>
        </is>
      </c>
      <c r="D116" s="48" t="n"/>
      <c r="E116" s="48" t="n"/>
      <c r="F116" s="48" t="n"/>
      <c r="G116" s="48" t="n"/>
      <c r="H116" s="48" t="inlineStr">
        <is>
          <t>RFQ tutarı →</t>
        </is>
      </c>
      <c r="I116" s="49">
        <f>SUMPRODUCT(E117:E133,I117:I133)</f>
        <v/>
      </c>
      <c r="J116" s="49">
        <f>SUM(J117:J133)</f>
        <v/>
      </c>
      <c r="K116" s="48" t="n"/>
      <c r="L116" s="48" t="n"/>
      <c r="M116" s="48" t="n"/>
    </row>
    <row r="117" outlineLevel="1">
      <c r="A117" s="27" t="n"/>
      <c r="B117" s="27" t="inlineStr">
        <is>
          <t>2008.G</t>
        </is>
      </c>
      <c r="C117" s="7" t="inlineStr">
        <is>
          <t>Depo trafo binası (T09) temel altı ağ 1x120 mm2 örgülü çıplak bakır</t>
        </is>
      </c>
      <c r="D117" s="27" t="inlineStr">
        <is>
          <t>m</t>
        </is>
      </c>
      <c r="E117" s="50" t="n">
        <v>195.47</v>
      </c>
      <c r="F117" s="50" t="n">
        <v>195.47</v>
      </c>
      <c r="G117" s="27" t="inlineStr">
        <is>
          <t>-</t>
        </is>
      </c>
      <c r="H117" s="50">
        <f>F117</f>
        <v/>
      </c>
      <c r="I117" s="51" t="n">
        <v>16.08</v>
      </c>
      <c r="J117" s="28">
        <f>H117*I117</f>
        <v/>
      </c>
      <c r="K117" s="52" t="inlineStr">
        <is>
          <t>GEÇMİŞ TEKLİF UYARLAMA</t>
        </is>
      </c>
      <c r="L117" s="7" t="inlineStr">
        <is>
          <t>REF-derin – İzmir Buca M. Kablo ür. 2021 120 mm2 örgülü Cu 12,56 (M)+%30 montaj→16,33; İzmir Buca M. ESCO 2021 120 mm2 örgülü Cu 12,37 (M)+%30 montaj→16,08; Mersin M. Arkom 2021 1x120 örgülü Cu €/kg 10,91 (M) 1,08 kg/m +%30→15,31 → medyan 16,08 [Emsal ID: R00725;R00792;R01107]</t>
        </is>
      </c>
      <c r="M117" s="7" t="inlineStr">
        <is>
          <t>Çıplak Cu 120 mm2 | İlk tahmin BF 22.00</t>
        </is>
      </c>
    </row>
    <row r="118" outlineLevel="1">
      <c r="A118" s="27" t="n"/>
      <c r="B118" s="27" t="inlineStr">
        <is>
          <t>2008.G</t>
        </is>
      </c>
      <c r="C118" s="7" t="inlineStr">
        <is>
          <t>T09 kazık elektrodu Ø20 x 1,5 m Cu + bağlantı klemensleri</t>
        </is>
      </c>
      <c r="D118" s="27" t="inlineStr">
        <is>
          <t>adet</t>
        </is>
      </c>
      <c r="E118" s="50" t="n">
        <v>16</v>
      </c>
      <c r="F118" s="50" t="n">
        <v>16</v>
      </c>
      <c r="G118" s="27" t="inlineStr">
        <is>
          <t>-</t>
        </is>
      </c>
      <c r="H118" s="50">
        <f>F118</f>
        <v/>
      </c>
      <c r="I118" s="51" t="n">
        <v>70.13</v>
      </c>
      <c r="J118" s="28">
        <f>H118*I118</f>
        <v/>
      </c>
      <c r="K118" s="52" t="inlineStr">
        <is>
          <t>GEÇMİŞ TEKLİF UYARLAMA</t>
        </is>
      </c>
      <c r="L118" s="7" t="inlineStr">
        <is>
          <t>REF-derin – İzmir Buca M. ESCO 2021 Cu Ø20x3,5 m 119,71 (M) ×1,5/3,5 boy +%30 çakma→66,92; Bursa T2 Haluk 2015 Cu Ø20x3,5 m (M+İ) 152,81 ×1,5/3,5 boy→65,71; Bursa T2 MET 2015 Cu Ø20x3,5 m (M+İ) 168,23 ×1,5/3,5 boy→72,34 → medyan 66,92 + 2 klemens (R00795 1,23 (M) +%30) = 70,13 [Emsal ID: R00793;R00916;R00984;R00795]</t>
        </is>
      </c>
      <c r="M118" s="7" t="inlineStr">
        <is>
          <t>Som Cu Ø20x1,5 m | İlk tahmin BF 110.00</t>
        </is>
      </c>
    </row>
    <row r="119" outlineLevel="1">
      <c r="A119" s="27" t="n"/>
      <c r="B119" s="27" t="inlineStr">
        <is>
          <t>2008.G</t>
        </is>
      </c>
      <c r="C119" s="7" t="inlineStr">
        <is>
          <t>T09 bina içi 30x3,5 galvanizli şerit (kolon içi bara çıkışları, A-B aks hatları)</t>
        </is>
      </c>
      <c r="D119" s="27" t="inlineStr">
        <is>
          <t>m</t>
        </is>
      </c>
      <c r="E119" s="50" t="n">
        <v>101</v>
      </c>
      <c r="F119" s="50" t="n">
        <v>101</v>
      </c>
      <c r="G119" s="27" t="inlineStr">
        <is>
          <t>fire %10</t>
        </is>
      </c>
      <c r="H119" s="50">
        <f>F119/IF(Varsayimlar!$B$21=1,1.1,1)</f>
        <v/>
      </c>
      <c r="I119" s="51" t="n">
        <v>2.49</v>
      </c>
      <c r="J119" s="28">
        <f>H119*I119</f>
        <v/>
      </c>
      <c r="K119" s="52" t="inlineStr">
        <is>
          <t>GEÇMİŞ TEKLİF UYARLAMA</t>
        </is>
      </c>
      <c r="L119"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119" s="7" t="inlineStr">
        <is>
          <t>Galv. şerit | İlk tahmin BF 6.00</t>
        </is>
      </c>
    </row>
    <row r="120" outlineLevel="1">
      <c r="A120" s="27" t="n"/>
      <c r="B120" s="27" t="inlineStr">
        <is>
          <t>2008.G</t>
        </is>
      </c>
      <c r="C120" s="7" t="inlineStr">
        <is>
          <t>Atölye+idari bina (D01) temel altı ağ 1x120 mm2 örgülü çıplak bakır (~18x8-18 m gözlü)</t>
        </is>
      </c>
      <c r="D120" s="27" t="inlineStr">
        <is>
          <t>m</t>
        </is>
      </c>
      <c r="E120" s="50" t="n">
        <v>699.05</v>
      </c>
      <c r="F120" s="50" t="n">
        <v>699.05</v>
      </c>
      <c r="G120" s="27" t="inlineStr">
        <is>
          <t>fire %10</t>
        </is>
      </c>
      <c r="H120" s="50">
        <f>F120/IF(Varsayimlar!$B$21=1,1.1,1)</f>
        <v/>
      </c>
      <c r="I120" s="51" t="n">
        <v>16.7</v>
      </c>
      <c r="J120" s="28">
        <f>H120*I120</f>
        <v/>
      </c>
      <c r="K120" s="52" t="inlineStr">
        <is>
          <t>GEÇMİŞ TEKLİF UYARLAMA</t>
        </is>
      </c>
      <c r="L120" s="7" t="inlineStr">
        <is>
          <t>REF-derin – 120 mm² örgülü Cu: Buca 2021 kablo üreticisi 12,6 €/m (M), ESCO 2021 12,4 €/m (M), Mezitli Arkom 2021 10,9 €/kg≈11,7 €/m (M) → +%35 serme/bağlantı işçiliği → medyan 16,7 €/m (LME Cu ~10 k$/t ile uyumlu) [Emsal ID: R00725;R00792;R01107]</t>
        </is>
      </c>
      <c r="M120" s="7" t="inlineStr">
        <is>
          <t>Çıplak Cu 120 mm2 | İlk tahmin BF 22.00</t>
        </is>
      </c>
    </row>
    <row r="121" outlineLevel="1">
      <c r="A121" s="27" t="n"/>
      <c r="B121" s="27" t="inlineStr">
        <is>
          <t>2008.G</t>
        </is>
      </c>
      <c r="C121" s="7" t="inlineStr">
        <is>
          <t>D01 Cu elektrot Ø20 x 3,5 m (bakır)</t>
        </is>
      </c>
      <c r="D121" s="27" t="inlineStr">
        <is>
          <t>adet</t>
        </is>
      </c>
      <c r="E121" s="50" t="n">
        <v>19</v>
      </c>
      <c r="F121" s="50" t="n">
        <v>19</v>
      </c>
      <c r="G121" s="27" t="inlineStr">
        <is>
          <t>-</t>
        </is>
      </c>
      <c r="H121" s="50">
        <f>F121</f>
        <v/>
      </c>
      <c r="I121" s="51" t="n">
        <v>155.62</v>
      </c>
      <c r="J121" s="28">
        <f>H121*I121</f>
        <v/>
      </c>
      <c r="K121" s="52" t="inlineStr">
        <is>
          <t>GEÇMİŞ TEKLİF UYARLAMA</t>
        </is>
      </c>
      <c r="L121" s="7" t="inlineStr">
        <is>
          <t>REF-derin – İzmir Buca M. ESCO 2021 Cu Ø20x3,5 m 119,71 (M)+%30 çakma→155,62; Bursa T2 Haluk 2015 Cu Ø20x3,5 m (M+İ) 152,81; Bursa T2 MET 2015 Cu Ø20x3,5 m (M+İ) 168,23 → medyan 155,62 [Emsal ID: R00793;R00916;R00984]</t>
        </is>
      </c>
      <c r="M121" s="7" t="inlineStr">
        <is>
          <t>Som Cu Ø20x3,5 m | İlk tahmin BF 220.00</t>
        </is>
      </c>
    </row>
    <row r="122" outlineLevel="1">
      <c r="A122" s="27" t="n"/>
      <c r="B122" s="27" t="inlineStr">
        <is>
          <t>2008.G</t>
        </is>
      </c>
      <c r="C122" s="7" t="inlineStr">
        <is>
          <t>D01 bina içi topraklama: 1x120 ana + 1x70 + H07Z-R 1x16 ekipman iletkenleri</t>
        </is>
      </c>
      <c r="D122" s="27" t="inlineStr">
        <is>
          <t>m</t>
        </is>
      </c>
      <c r="E122" s="50" t="n">
        <v>1287</v>
      </c>
      <c r="F122" s="50" t="n">
        <v>1287</v>
      </c>
      <c r="G122" s="27" t="inlineStr">
        <is>
          <t>fire+%30</t>
        </is>
      </c>
      <c r="H122" s="50">
        <f>F122/IF(Varsayimlar!$B$21=1,1.43,1)</f>
        <v/>
      </c>
      <c r="I122" s="51" t="n">
        <v>9</v>
      </c>
      <c r="J122" s="28">
        <f>H122*I122</f>
        <v/>
      </c>
      <c r="K122" s="53" t="inlineStr">
        <is>
          <t>MÜHENDİSLİK TAHMİNİ</t>
        </is>
      </c>
      <c r="L122" s="7" t="inlineStr">
        <is>
          <t>TAHMIN (emsal yok) – 120/70/16 karışık bina içi topraklama – karışım oranı belirsiz, ortalama 9 € makul</t>
        </is>
      </c>
      <c r="M122" s="7" t="inlineStr">
        <is>
          <t>120/70/16 karışık ort.</t>
        </is>
      </c>
    </row>
    <row r="123" outlineLevel="1">
      <c r="A123" s="27" t="n"/>
      <c r="B123" s="27" t="inlineStr">
        <is>
          <t>2008.G</t>
        </is>
      </c>
      <c r="C123" s="7" t="inlineStr">
        <is>
          <t>D01 bakır topraklama barası 40x10x400 + egzotermik bağlantılar</t>
        </is>
      </c>
      <c r="D123" s="27" t="inlineStr">
        <is>
          <t>adet</t>
        </is>
      </c>
      <c r="E123" s="50" t="n">
        <v>10</v>
      </c>
      <c r="F123" s="50" t="n">
        <v>10</v>
      </c>
      <c r="G123" s="27" t="inlineStr">
        <is>
          <t>-</t>
        </is>
      </c>
      <c r="H123" s="50">
        <f>F123</f>
        <v/>
      </c>
      <c r="I123" s="51" t="n">
        <v>87.40000000000001</v>
      </c>
      <c r="J123" s="28">
        <f>H123*I123</f>
        <v/>
      </c>
      <c r="K123" s="52" t="inlineStr">
        <is>
          <t>GEÇMİŞ TEKLİF UYARLAMA</t>
        </is>
      </c>
      <c r="L123" s="7" t="inlineStr">
        <is>
          <t>REF-derin – İzmir Buca M. ESCO 2021 60x5 Cu lama 2,5 m EP 77,99 (M) ×0,43 Cu ağırlık +%40 montaj→46,95; Mersin M. Arkom 2021 EP barası 19,89 (M)+%40 montaj→27,85 → medyan 37,40 + 20 bağlantı + 2×15 egzotermik (mevcut tahmin) = 87,40 [Emsal ID: R00798;R01108]</t>
        </is>
      </c>
      <c r="M123" s="7" t="inlineStr">
        <is>
          <t>Cu bara+egzotermik | İlk tahmin BF 180.00</t>
        </is>
      </c>
    </row>
    <row r="124" outlineLevel="1">
      <c r="A124" s="27" t="n"/>
      <c r="B124" s="27" t="inlineStr">
        <is>
          <t>2008.G</t>
        </is>
      </c>
      <c r="C124" s="7" t="inlineStr">
        <is>
          <t>D01 donatı ilave Ø16 + galvanizli şerit–donatı bağlantı kroşeleri</t>
        </is>
      </c>
      <c r="D124" s="27" t="inlineStr">
        <is>
          <t>adet</t>
        </is>
      </c>
      <c r="E124" s="50" t="n">
        <v>156</v>
      </c>
      <c r="F124" s="50" t="n">
        <v>156</v>
      </c>
      <c r="G124" s="27" t="inlineStr">
        <is>
          <t>-</t>
        </is>
      </c>
      <c r="H124" s="50">
        <f>F124</f>
        <v/>
      </c>
      <c r="I124" s="51" t="n">
        <v>12</v>
      </c>
      <c r="J124" s="28">
        <f>H124*I124</f>
        <v/>
      </c>
      <c r="K124" s="53" t="inlineStr">
        <is>
          <t>MÜHENDİSLİK TAHMİNİ</t>
        </is>
      </c>
      <c r="L124" s="7" t="inlineStr">
        <is>
          <t>TAHMIN (emsal yok) – Emsal yok (bağlantı/irtibat noktası; R00797 termo kaynak tozu 6,33 (M) yalnız sarf)</t>
        </is>
      </c>
      <c r="M124" s="7" t="inlineStr">
        <is>
          <t>Donatı/kroşe</t>
        </is>
      </c>
    </row>
    <row r="125" outlineLevel="1">
      <c r="A125" s="27" t="n"/>
      <c r="B125" s="27" t="inlineStr">
        <is>
          <t>2008.G</t>
        </is>
      </c>
      <c r="C125" s="7" t="inlineStr">
        <is>
          <t>Vagon yıkama (D03) temel topraklama 1x120 mm2 örgülü çıplak bakır (dış çevre + aks 1 hattı)</t>
        </is>
      </c>
      <c r="D125" s="27" t="inlineStr">
        <is>
          <t>m</t>
        </is>
      </c>
      <c r="E125" s="50" t="n">
        <v>234</v>
      </c>
      <c r="F125" s="50" t="n">
        <v>234</v>
      </c>
      <c r="G125" s="27" t="inlineStr">
        <is>
          <t>fire %10</t>
        </is>
      </c>
      <c r="H125" s="50">
        <f>F125/IF(Varsayimlar!$B$21=1,1.1,1)</f>
        <v/>
      </c>
      <c r="I125" s="51" t="n">
        <v>16.08</v>
      </c>
      <c r="J125" s="28">
        <f>H125*I125</f>
        <v/>
      </c>
      <c r="K125" s="52" t="inlineStr">
        <is>
          <t>GEÇMİŞ TEKLİF UYARLAMA</t>
        </is>
      </c>
      <c r="L125" s="7" t="inlineStr">
        <is>
          <t>REF-derin – İzmir Buca M. Kablo ür. 2021 120 mm2 örgülü Cu 12,56 (M)+%30 montaj→16,33; İzmir Buca M. ESCO 2021 120 mm2 örgülü Cu 12,37 (M)+%30 montaj→16,08; Mersin M. Arkom 2021 1x120 örgülü Cu €/kg 10,91 (M) 1,08 kg/m +%30→15,31 → medyan 16,08 [Emsal ID: R00725;R00792;R01107]</t>
        </is>
      </c>
      <c r="M125" s="7" t="inlineStr">
        <is>
          <t>Çıplak Cu 120 mm2 | İlk tahmin BF 22.00</t>
        </is>
      </c>
    </row>
    <row r="126" outlineLevel="1">
      <c r="A126" s="27" t="n"/>
      <c r="B126" s="27" t="inlineStr">
        <is>
          <t>2008.G</t>
        </is>
      </c>
      <c r="C126" s="7" t="inlineStr">
        <is>
          <t>Malzeme deposu (D05) temel altı ağ 1x120 mm2 örgülü çıplak bakır (3 yatay + 5 düşey + elektrot bağlantıları)</t>
        </is>
      </c>
      <c r="D126" s="27" t="inlineStr">
        <is>
          <t>m</t>
        </is>
      </c>
      <c r="E126" s="50" t="n">
        <v>210</v>
      </c>
      <c r="F126" s="50" t="n">
        <v>210</v>
      </c>
      <c r="G126" s="27" t="inlineStr">
        <is>
          <t>fire %10</t>
        </is>
      </c>
      <c r="H126" s="50">
        <f>F126/IF(Varsayimlar!$B$21=1,1.1,1)</f>
        <v/>
      </c>
      <c r="I126" s="51" t="n">
        <v>16.08</v>
      </c>
      <c r="J126" s="28">
        <f>H126*I126</f>
        <v/>
      </c>
      <c r="K126" s="52" t="inlineStr">
        <is>
          <t>GEÇMİŞ TEKLİF UYARLAMA</t>
        </is>
      </c>
      <c r="L126" s="7" t="inlineStr">
        <is>
          <t>REF-derin – İzmir Buca M. Kablo ür. 2021 120 mm2 örgülü Cu 12,56 (M)+%30 montaj→16,33; İzmir Buca M. ESCO 2021 120 mm2 örgülü Cu 12,37 (M)+%30 montaj→16,08; Mersin M. Arkom 2021 1x120 örgülü Cu €/kg 10,91 (M) 1,08 kg/m +%30→15,31 → medyan 16,08 [Emsal ID: R00725;R00792;R01107]</t>
        </is>
      </c>
      <c r="M126" s="7" t="inlineStr">
        <is>
          <t>Çıplak Cu 120 mm2 | İlk tahmin BF 22.00</t>
        </is>
      </c>
    </row>
    <row r="127" outlineLevel="1">
      <c r="A127" s="27" t="n"/>
      <c r="B127" s="27" t="inlineStr">
        <is>
          <t>2008.G</t>
        </is>
      </c>
      <c r="C127" s="7" t="inlineStr">
        <is>
          <t>Su deposu/pompa (D06) temel topraklama 1x120 mm2 örgülü çıplak bakır</t>
        </is>
      </c>
      <c r="D127" s="27" t="inlineStr">
        <is>
          <t>m</t>
        </is>
      </c>
      <c r="E127" s="50" t="n">
        <v>110.11</v>
      </c>
      <c r="F127" s="50" t="n">
        <v>110.11</v>
      </c>
      <c r="G127" s="27" t="inlineStr">
        <is>
          <t>-</t>
        </is>
      </c>
      <c r="H127" s="50">
        <f>F127</f>
        <v/>
      </c>
      <c r="I127" s="51" t="n">
        <v>16.08</v>
      </c>
      <c r="J127" s="28">
        <f>H127*I127</f>
        <v/>
      </c>
      <c r="K127" s="52" t="inlineStr">
        <is>
          <t>GEÇMİŞ TEKLİF UYARLAMA</t>
        </is>
      </c>
      <c r="L127" s="7" t="inlineStr">
        <is>
          <t>REF-derin – İzmir Buca M. Kablo ür. 2021 120 mm2 örgülü Cu 12,56 (M)+%30 montaj→16,33; İzmir Buca M. ESCO 2021 120 mm2 örgülü Cu 12,37 (M)+%30 montaj→16,08; Mersin M. Arkom 2021 1x120 örgülü Cu €/kg 10,91 (M) 1,08 kg/m +%30→15,31 → medyan 16,08 [Emsal ID: R00725;R00792;R01107]</t>
        </is>
      </c>
      <c r="M127" s="7" t="inlineStr">
        <is>
          <t>Çıplak Cu 120 mm2 | İlk tahmin BF 22.00</t>
        </is>
      </c>
    </row>
    <row r="128" outlineLevel="1">
      <c r="A128" s="27" t="n"/>
      <c r="B128" s="27" t="inlineStr">
        <is>
          <t>2008.G</t>
        </is>
      </c>
      <c r="C128" s="7" t="inlineStr">
        <is>
          <t>Giriş kontrol binası (D07) temel topraklama 30x3,5 galvanizli çelik şerit</t>
        </is>
      </c>
      <c r="D128" s="27" t="inlineStr">
        <is>
          <t>m</t>
        </is>
      </c>
      <c r="E128" s="50" t="n">
        <v>34</v>
      </c>
      <c r="F128" s="50" t="n">
        <v>34</v>
      </c>
      <c r="G128" s="27" t="inlineStr">
        <is>
          <t>fire %10</t>
        </is>
      </c>
      <c r="H128" s="50">
        <f>F128/IF(Varsayimlar!$B$21=1,1.1,1)</f>
        <v/>
      </c>
      <c r="I128" s="51" t="n">
        <v>2.49</v>
      </c>
      <c r="J128" s="28">
        <f>H128*I128</f>
        <v/>
      </c>
      <c r="K128" s="52" t="inlineStr">
        <is>
          <t>GEÇMİŞ TEKLİF UYARLAMA</t>
        </is>
      </c>
      <c r="L128"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128" s="7" t="inlineStr">
        <is>
          <t>Galv. şerit | İlk tahmin BF 6.00</t>
        </is>
      </c>
    </row>
    <row r="129" outlineLevel="1">
      <c r="A129" s="27" t="n"/>
      <c r="B129" s="27" t="inlineStr">
        <is>
          <t>2008.G</t>
        </is>
      </c>
      <c r="C129" s="7" t="inlineStr">
        <is>
          <t>Vagon yıkama (D03) bina içi topraklama 1x16 mm2 çıplak bakır (duvar dibi)</t>
        </is>
      </c>
      <c r="D129" s="27" t="inlineStr">
        <is>
          <t>m</t>
        </is>
      </c>
      <c r="E129" s="50" t="n">
        <v>158</v>
      </c>
      <c r="F129" s="50" t="n">
        <v>158</v>
      </c>
      <c r="G129" s="27" t="inlineStr">
        <is>
          <t>fire %10</t>
        </is>
      </c>
      <c r="H129" s="50">
        <f>F129/IF(Varsayimlar!$B$21=1,1.1,1)</f>
        <v/>
      </c>
      <c r="I129" s="51" t="n">
        <v>2.47</v>
      </c>
      <c r="J129" s="28">
        <f>H129*I129</f>
        <v/>
      </c>
      <c r="K129" s="52" t="inlineStr">
        <is>
          <t>GEÇMİŞ TEKLİF UYARLAMA</t>
        </is>
      </c>
      <c r="L129" s="7" t="inlineStr">
        <is>
          <t>REF-derin – Bursa T2 Haluk 2015 16 mm2 çıplak Cu (M+İ) 4,39; Bursa T2 MET 2015 16 mm2 çıplak Cu (M+İ) 2,47; İzmir Buca M. Kablo ür. 2021 16 mm2 örgülü Cu 1,72 (M)+%40 montaj/kroşe→2,41 → medyan 2,47 [Emsal ID: R00900;R00971;R00724]</t>
        </is>
      </c>
      <c r="M129" s="7" t="inlineStr">
        <is>
          <t>Çıplak Cu 16 | İlk tahmin BF 4.00</t>
        </is>
      </c>
    </row>
    <row r="130" outlineLevel="1">
      <c r="A130" s="27" t="n"/>
      <c r="B130" s="27" t="inlineStr">
        <is>
          <t>2008.G</t>
        </is>
      </c>
      <c r="C130" s="7" t="inlineStr">
        <is>
          <t>Yan binalar kazık elektrotları (Cu Ø20)</t>
        </is>
      </c>
      <c r="D130" s="27" t="inlineStr">
        <is>
          <t>adet</t>
        </is>
      </c>
      <c r="E130" s="50" t="n">
        <v>23</v>
      </c>
      <c r="F130" s="50" t="n">
        <v>23</v>
      </c>
      <c r="G130" s="27" t="inlineStr">
        <is>
          <t>-</t>
        </is>
      </c>
      <c r="H130" s="50">
        <f>F130</f>
        <v/>
      </c>
      <c r="I130" s="51" t="n">
        <v>66.92</v>
      </c>
      <c r="J130" s="28">
        <f>H130*I130</f>
        <v/>
      </c>
      <c r="K130" s="52" t="inlineStr">
        <is>
          <t>GEÇMİŞ TEKLİF UYARLAMA</t>
        </is>
      </c>
      <c r="L130" s="7" t="inlineStr">
        <is>
          <t>REF-derin – İzmir Buca M. ESCO 2021 Cu Ø20x3,5 m 119,71 (M) ×1,5/3,5 boy +%30 çakma→66,92; Bursa T2 Haluk 2015 Cu Ø20x3,5 m (M+İ) 152,81 ×1,5/3,5 boy→65,71; Bursa T2 MET 2015 Cu Ø20x3,5 m (M+İ) 168,23 ×1,5/3,5 boy→72,34 → medyan 66,92 [Emsal ID: R00793;R00916;R00984]</t>
        </is>
      </c>
      <c r="M130" s="7" t="inlineStr">
        <is>
          <t>Som Cu Ø20x1,5 m | İlk tahmin BF 110.00</t>
        </is>
      </c>
    </row>
    <row r="131" outlineLevel="1">
      <c r="A131" s="27" t="n"/>
      <c r="B131" s="27" t="inlineStr">
        <is>
          <t>2008.G</t>
        </is>
      </c>
      <c r="C131" s="7" t="inlineStr">
        <is>
          <t>Binalar arası topraklama irtibat hattı 1x120 mm2 Cu (saha, eş potansiyel)</t>
        </is>
      </c>
      <c r="D131" s="27" t="inlineStr">
        <is>
          <t>m</t>
        </is>
      </c>
      <c r="E131" s="50" t="n">
        <v>382</v>
      </c>
      <c r="F131" s="50" t="n">
        <v>382</v>
      </c>
      <c r="G131" s="27" t="inlineStr">
        <is>
          <t>fire %10</t>
        </is>
      </c>
      <c r="H131" s="50">
        <f>F131/IF(Varsayimlar!$B$21=1,1.1,1)</f>
        <v/>
      </c>
      <c r="I131" s="51" t="n">
        <v>16.7</v>
      </c>
      <c r="J131" s="28">
        <f>H131*I131</f>
        <v/>
      </c>
      <c r="K131" s="52" t="inlineStr">
        <is>
          <t>GEÇMİŞ TEKLİF UYARLAMA</t>
        </is>
      </c>
      <c r="L131" s="7" t="inlineStr">
        <is>
          <t>REF-derin – 120 mm² örgülü Cu: Buca 2021 kablo üreticisi 12,6 €/m (M), ESCO 2021 12,4 €/m (M), Mezitli Arkom 2021 10,9 €/kg≈11,7 €/m (M) → +%35 serme/bağlantı işçiliği → medyan 16,7 €/m (LME Cu ~10 k$/t ile uyumlu) [Emsal ID: R00725;R00792;R01107]</t>
        </is>
      </c>
      <c r="M131" s="7" t="inlineStr">
        <is>
          <t>Cu 120 (kazı hariç) | İlk tahmin BF 22.00</t>
        </is>
      </c>
    </row>
    <row r="132" outlineLevel="1">
      <c r="A132" s="27" t="n"/>
      <c r="B132" s="27" t="inlineStr">
        <is>
          <t>2008.G</t>
        </is>
      </c>
      <c r="C132" s="7" t="inlineStr">
        <is>
          <t>Depo sahası ray/metal yapı topraklaması (depo floating değil): 1x120 mm2 Cu bağlantı</t>
        </is>
      </c>
      <c r="D132" s="27" t="inlineStr">
        <is>
          <t>adet</t>
        </is>
      </c>
      <c r="E132" s="50" t="n">
        <v>52</v>
      </c>
      <c r="F132" s="50" t="n">
        <v>52</v>
      </c>
      <c r="G132" s="27" t="inlineStr">
        <is>
          <t>-</t>
        </is>
      </c>
      <c r="H132" s="50">
        <f>F132</f>
        <v/>
      </c>
      <c r="I132" s="51" t="n">
        <v>85</v>
      </c>
      <c r="J132" s="28">
        <f>H132*I132</f>
        <v/>
      </c>
      <c r="K132" s="53" t="inlineStr">
        <is>
          <t>MÜHENDİSLİK TAHMİNİ</t>
        </is>
      </c>
      <c r="L132" s="7" t="inlineStr">
        <is>
          <t>TAHMIN (emsal yok) – Emsal yok (bağlantı/irtibat noktası; R00797 termo kaynak tozu 6,33 (M) yalnız sarf)</t>
        </is>
      </c>
      <c r="M132" s="7" t="inlineStr">
        <is>
          <t>Cu 120 bağlantı noktası</t>
        </is>
      </c>
    </row>
    <row r="133" outlineLevel="1">
      <c r="A133" s="27" t="n"/>
      <c r="B133" s="27" t="inlineStr">
        <is>
          <t>2008.G</t>
        </is>
      </c>
      <c r="C133" s="7" t="inlineStr">
        <is>
          <t>Ölçümler/rapor</t>
        </is>
      </c>
      <c r="D133" s="27" t="inlineStr">
        <is>
          <t>set</t>
        </is>
      </c>
      <c r="E133" s="50" t="n">
        <v>1</v>
      </c>
      <c r="F133" s="50" t="n">
        <v>1</v>
      </c>
      <c r="G133" s="27" t="inlineStr">
        <is>
          <t>-</t>
        </is>
      </c>
      <c r="H133" s="50">
        <f>F133</f>
        <v/>
      </c>
      <c r="I133" s="51" t="n">
        <v>1500</v>
      </c>
      <c r="J133" s="28">
        <f>H133*I133</f>
        <v/>
      </c>
      <c r="K133" s="53" t="inlineStr">
        <is>
          <t>MÜHENDİSLİK TAHMİNİ</t>
        </is>
      </c>
      <c r="L133" s="7" t="inlineStr">
        <is>
          <t>TAHMIN (emsal yok) – Emsal yok (ölçüm/rapor götürü)</t>
        </is>
      </c>
      <c r="M133" s="7" t="inlineStr">
        <is>
          <t>Depo ölçüm/rapor</t>
        </is>
      </c>
    </row>
    <row r="134">
      <c r="A134" s="48" t="inlineStr">
        <is>
          <t>196</t>
        </is>
      </c>
      <c r="B134" s="48" t="inlineStr">
        <is>
          <t>2008.F</t>
        </is>
      </c>
      <c r="C134" s="48" t="inlineStr">
        <is>
          <t>Harran İstasyonu Topraklama Tesisatı (1 set)</t>
        </is>
      </c>
      <c r="D134" s="48" t="n"/>
      <c r="E134" s="48" t="n"/>
      <c r="F134" s="48" t="n"/>
      <c r="G134" s="48" t="n"/>
      <c r="H134" s="48" t="inlineStr">
        <is>
          <t>RFQ tutarı →</t>
        </is>
      </c>
      <c r="I134" s="49">
        <f>SUMPRODUCT(E135:E142,I135:I142)</f>
        <v/>
      </c>
      <c r="J134" s="49">
        <f>SUM(J135:J142)</f>
        <v/>
      </c>
      <c r="K134" s="48" t="n"/>
      <c r="L134" s="48" t="n"/>
      <c r="M134" s="48" t="n"/>
    </row>
    <row r="135" outlineLevel="1">
      <c r="A135" s="27" t="n"/>
      <c r="B135" s="27" t="inlineStr">
        <is>
          <t>2008.F</t>
        </is>
      </c>
      <c r="C135" s="7" t="inlineStr">
        <is>
          <t>Temel topraklama iletkeni 30x3,5 mm sıcak daldırma galvanizli çelik şerit (beton içinde, dik)</t>
        </is>
      </c>
      <c r="D135" s="27" t="inlineStr">
        <is>
          <t>m</t>
        </is>
      </c>
      <c r="E135" s="50" t="n">
        <v>168</v>
      </c>
      <c r="F135" s="50" t="n">
        <v>168</v>
      </c>
      <c r="G135" s="27" t="inlineStr">
        <is>
          <t>-</t>
        </is>
      </c>
      <c r="H135" s="50">
        <f>F135</f>
        <v/>
      </c>
      <c r="I135" s="51" t="n">
        <v>2.49</v>
      </c>
      <c r="J135" s="28">
        <f>H135*I135</f>
        <v/>
      </c>
      <c r="K135" s="52" t="inlineStr">
        <is>
          <t>GEÇMİŞ TEKLİF UYARLAMA</t>
        </is>
      </c>
      <c r="L135"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135" s="7" t="inlineStr">
        <is>
          <t>Galv. şerit 30x3,5 temel | İlk tahmin BF 6.00</t>
        </is>
      </c>
    </row>
    <row r="136" outlineLevel="1">
      <c r="A136" s="27" t="n"/>
      <c r="B136" s="27" t="inlineStr">
        <is>
          <t>2008.F</t>
        </is>
      </c>
      <c r="C136" s="7" t="inlineStr">
        <is>
          <t>Topraklama elektrodu SOM BAKIR Ø20 x 1,5 m (galvanizli köşebent yerine) + 40x40 muayene menholü (bir kısmında)</t>
        </is>
      </c>
      <c r="D136" s="27" t="inlineStr">
        <is>
          <t>adet</t>
        </is>
      </c>
      <c r="E136" s="50" t="n">
        <v>16</v>
      </c>
      <c r="F136" s="50" t="n">
        <v>16</v>
      </c>
      <c r="G136" s="27" t="inlineStr">
        <is>
          <t>-</t>
        </is>
      </c>
      <c r="H136" s="50">
        <f>F136</f>
        <v/>
      </c>
      <c r="I136" s="51" t="n">
        <v>77.90000000000001</v>
      </c>
      <c r="J136" s="28">
        <f>H136*I136</f>
        <v/>
      </c>
      <c r="K136" s="52" t="inlineStr">
        <is>
          <t>GEÇMİŞ TEKLİF UYARLAMA</t>
        </is>
      </c>
      <c r="L136" s="7" t="inlineStr">
        <is>
          <t>REF-derin – İzmir Buca M. ESCO 2021 Cu Ø20x3,5 m 119,71 (M) ×1,5/3,5 boy +%30 çakma→66,92; Bursa T2 Haluk 2015 Cu Ø20x3,5 m (M+İ) 152,81 ×1,5/3,5 boy→65,71; Bursa T2 MET 2015 Cu Ø20x3,5 m (M+İ) 168,23 ×1,5/3,5 boy→72,34 → medyan 66,92 + menhol payı (%20 adet × rogar 42,24 (M) +%30) = 77,90 [Emsal ID: R00793;R00916;R00984;R00796]</t>
        </is>
      </c>
      <c r="M136" s="7" t="inlineStr">
        <is>
          <t>İdare: galvaniz köşebent | İlk tahmin BF 55.00</t>
        </is>
      </c>
    </row>
    <row r="137" outlineLevel="1">
      <c r="A137" s="27" t="n"/>
      <c r="B137" s="27" t="inlineStr">
        <is>
          <t>2008.F</t>
        </is>
      </c>
      <c r="C137" s="7" t="inlineStr">
        <is>
          <t>Çelik kolon (peron saçağı) topraklama bağlantısı (şerit filizi + bağlantı parçası)</t>
        </is>
      </c>
      <c r="D137" s="27" t="inlineStr">
        <is>
          <t>adet</t>
        </is>
      </c>
      <c r="E137" s="50" t="n">
        <v>16</v>
      </c>
      <c r="F137" s="50" t="n">
        <v>16</v>
      </c>
      <c r="G137" s="27" t="inlineStr">
        <is>
          <t>-</t>
        </is>
      </c>
      <c r="H137" s="50">
        <f>F137</f>
        <v/>
      </c>
      <c r="I137" s="51" t="n">
        <v>25</v>
      </c>
      <c r="J137" s="28">
        <f>H137*I137</f>
        <v/>
      </c>
      <c r="K137" s="53" t="inlineStr">
        <is>
          <t>MÜHENDİSLİK TAHMİNİ</t>
        </is>
      </c>
      <c r="L137" s="7" t="inlineStr">
        <is>
          <t>TAHMIN (emsal yok) – Emsal yok (bağlantı/irtibat noktası; R00797 termo kaynak tozu 6,33 (M) yalnız sarf)</t>
        </is>
      </c>
      <c r="M137" s="7" t="inlineStr">
        <is>
          <t>Şerit filizi+bağlantı</t>
        </is>
      </c>
    </row>
    <row r="138" outlineLevel="1">
      <c r="A138" s="27" t="n"/>
      <c r="B138" s="27" t="inlineStr">
        <is>
          <t>2008.F</t>
        </is>
      </c>
      <c r="C138" s="7" t="inlineStr">
        <is>
          <t>Ark kaynaklı/egzotermik irtibat noktası ve çapraz galvaniz kroşe bağlantıları</t>
        </is>
      </c>
      <c r="D138" s="27" t="inlineStr">
        <is>
          <t>adet</t>
        </is>
      </c>
      <c r="E138" s="50" t="n">
        <v>36</v>
      </c>
      <c r="F138" s="50" t="n">
        <v>36</v>
      </c>
      <c r="G138" s="27" t="inlineStr">
        <is>
          <t>-</t>
        </is>
      </c>
      <c r="H138" s="50">
        <f>F138</f>
        <v/>
      </c>
      <c r="I138" s="51" t="n">
        <v>15</v>
      </c>
      <c r="J138" s="28">
        <f>H138*I138</f>
        <v/>
      </c>
      <c r="K138" s="53" t="inlineStr">
        <is>
          <t>MÜHENDİSLİK TAHMİNİ</t>
        </is>
      </c>
      <c r="L138" s="7" t="inlineStr">
        <is>
          <t>TAHMIN (emsal yok) – Emsal yok (bağlantı/irtibat noktası; R00797 termo kaynak tozu 6,33 (M) yalnız sarf)</t>
        </is>
      </c>
      <c r="M138" s="7" t="inlineStr">
        <is>
          <t>Kroşe/egzotermik ort.</t>
        </is>
      </c>
    </row>
    <row r="139" outlineLevel="1">
      <c r="A139" s="27" t="n"/>
      <c r="B139" s="27" t="inlineStr">
        <is>
          <t>2008.F</t>
        </is>
      </c>
      <c r="C139" s="7" t="inlineStr">
        <is>
          <t>Metal korkuluk/turnike bağlantısı 1x16 mm2 izoleli iletken (H07Z-R)</t>
        </is>
      </c>
      <c r="D139" s="27" t="inlineStr">
        <is>
          <t>m</t>
        </is>
      </c>
      <c r="E139" s="50" t="n">
        <v>35</v>
      </c>
      <c r="F139" s="50" t="n">
        <v>35</v>
      </c>
      <c r="G139" s="27" t="inlineStr">
        <is>
          <t>fire+%30</t>
        </is>
      </c>
      <c r="H139" s="50">
        <f>F139/IF(Varsayimlar!$B$21=1,1.43,1)</f>
        <v/>
      </c>
      <c r="I139" s="51" t="n">
        <v>2.37</v>
      </c>
      <c r="J139" s="28">
        <f>H139*I139</f>
        <v/>
      </c>
      <c r="K139" s="52" t="inlineStr">
        <is>
          <t>GEÇMİŞ TEKLİF UYARLAMA</t>
        </is>
      </c>
      <c r="L139" s="7" t="inlineStr">
        <is>
          <t>REF-derin – İzmir Buca M. Prysmian 2021 H07Z1-R 16 2,00 (M)+%30 montaj→2,60; Mersin M. Arkom 2021 NYAF-HF 16 1,64 (M)+%30 montaj→2,13 → medyan 2,37 [Emsal ID: R00690;R01109]</t>
        </is>
      </c>
      <c r="M139" s="7" t="inlineStr">
        <is>
          <t>H07Z-R 1x16 | İlk tahmin BF 3.50</t>
        </is>
      </c>
    </row>
    <row r="140" outlineLevel="1">
      <c r="A140" s="27" t="n"/>
      <c r="B140" s="27" t="inlineStr">
        <is>
          <t>2008.F</t>
        </is>
      </c>
      <c r="C140" s="7" t="inlineStr">
        <is>
          <t>Pano odası topraklama barası (bakır eş potansiyel bara 300x40x5 veya 40x10x400) + bağlantı</t>
        </is>
      </c>
      <c r="D140" s="27" t="inlineStr">
        <is>
          <t>adet</t>
        </is>
      </c>
      <c r="E140" s="50" t="n">
        <v>2</v>
      </c>
      <c r="F140" s="50" t="n">
        <v>2</v>
      </c>
      <c r="G140" s="27" t="inlineStr">
        <is>
          <t>-</t>
        </is>
      </c>
      <c r="H140" s="50">
        <f>F140</f>
        <v/>
      </c>
      <c r="I140" s="51" t="n">
        <v>57.4</v>
      </c>
      <c r="J140" s="28">
        <f>H140*I140</f>
        <v/>
      </c>
      <c r="K140" s="52" t="inlineStr">
        <is>
          <t>GEÇMİŞ TEKLİF UYARLAMA</t>
        </is>
      </c>
      <c r="L140" s="7" t="inlineStr">
        <is>
          <t>REF-derin – İzmir Buca M. ESCO 2021 60x5 Cu lama 2,5 m EP 77,99 (M) ×0,43 Cu ağırlık(40x10x400) +%40 montaj→46,95; Mersin M. Arkom 2021 EP barası 19,89 (M)+%40 montaj→27,85 → medyan 37,40 + 20 bağlantı iletkeni/pabuç (tahmin) = 57,40 [Emsal ID: R00798;R01108]</t>
        </is>
      </c>
      <c r="M140" s="7" t="inlineStr">
        <is>
          <t>Cu EP bara | İlk tahmin BF 120.00</t>
        </is>
      </c>
    </row>
    <row r="141" outlineLevel="1">
      <c r="A141" s="27" t="n"/>
      <c r="B141" s="27" t="inlineStr">
        <is>
          <t>2008.F</t>
        </is>
      </c>
      <c r="C141" s="7" t="inlineStr">
        <is>
          <t>Ekipman/pano topraklama iletkenleri (H07Z-R 16-25 mm2) ve bağlantı pabuçları</t>
        </is>
      </c>
      <c r="D141" s="27" t="inlineStr">
        <is>
          <t>m</t>
        </is>
      </c>
      <c r="E141" s="50" t="n">
        <v>58</v>
      </c>
      <c r="F141" s="50" t="n">
        <v>58</v>
      </c>
      <c r="G141" s="27" t="inlineStr">
        <is>
          <t>-</t>
        </is>
      </c>
      <c r="H141" s="50">
        <f>F141</f>
        <v/>
      </c>
      <c r="I141" s="51" t="n">
        <v>3.33</v>
      </c>
      <c r="J141" s="28">
        <f>H141*I141</f>
        <v/>
      </c>
      <c r="K141" s="52" t="inlineStr">
        <is>
          <t>GEÇMİŞ TEKLİF UYARLAMA</t>
        </is>
      </c>
      <c r="L141" s="7" t="inlineStr">
        <is>
          <t>REF-derin – İzmir Buca M. Prysmian 2021 H07Z1-R 16 2,00 (M)+%30, ×1,28 kesit(ort.20,5), +%10 pabuç→3,67; Mersin M. Arkom 2021 NYAF-HF 16 1,64 (M)+%30, ×1,28 kesit, +%10 pabuç→2,99 → medyan 3,33 [Emsal ID: R00690;R01109]</t>
        </is>
      </c>
      <c r="M141" s="7" t="inlineStr">
        <is>
          <t>H07Z-R 16-25+pabuç | İlk tahmin BF 4.50</t>
        </is>
      </c>
    </row>
    <row r="142" outlineLevel="1">
      <c r="A142" s="27" t="n"/>
      <c r="B142" s="27" t="inlineStr">
        <is>
          <t>2008.F</t>
        </is>
      </c>
      <c r="C142" s="7" t="inlineStr">
        <is>
          <t>Topraklama direnci ölçümü + süreklilik testi + fotoğraflı raporlama (beton öncesi)</t>
        </is>
      </c>
      <c r="D142" s="27" t="inlineStr">
        <is>
          <t>set</t>
        </is>
      </c>
      <c r="E142" s="50" t="n">
        <v>1</v>
      </c>
      <c r="F142" s="50" t="n">
        <v>1</v>
      </c>
      <c r="G142" s="27" t="inlineStr">
        <is>
          <t>-</t>
        </is>
      </c>
      <c r="H142" s="50">
        <f>F142</f>
        <v/>
      </c>
      <c r="I142" s="51" t="n">
        <v>500</v>
      </c>
      <c r="J142" s="28">
        <f>H142*I142</f>
        <v/>
      </c>
      <c r="K142" s="53" t="inlineStr">
        <is>
          <t>MÜHENDİSLİK TAHMİNİ</t>
        </is>
      </c>
      <c r="L142" s="7" t="inlineStr">
        <is>
          <t>TAHMIN (emsal yok) – Emsal yok (ölçüm/rapor götürü)</t>
        </is>
      </c>
      <c r="M142" s="7" t="inlineStr">
        <is>
          <t>Ölçüm/rapor</t>
        </is>
      </c>
    </row>
    <row r="143">
      <c r="A143" s="48" t="inlineStr">
        <is>
          <t>198</t>
        </is>
      </c>
      <c r="B143" s="48" t="inlineStr">
        <is>
          <t>2008.I</t>
        </is>
      </c>
      <c r="C143" s="48" t="inlineStr">
        <is>
          <t>Sanat Yapıları (Üst Geçit) Topraklama Tesisatı (4 set)</t>
        </is>
      </c>
      <c r="D143" s="48" t="n"/>
      <c r="E143" s="48" t="n"/>
      <c r="F143" s="48" t="n"/>
      <c r="G143" s="48" t="n"/>
      <c r="H143" s="48" t="inlineStr">
        <is>
          <t>RFQ tutarı →</t>
        </is>
      </c>
      <c r="I143" s="49">
        <f>SUMPRODUCT(E144:E150,I144:I150)</f>
        <v/>
      </c>
      <c r="J143" s="49">
        <f>SUM(J144:J150)</f>
        <v/>
      </c>
      <c r="K143" s="48" t="n"/>
      <c r="L143" s="48" t="n"/>
      <c r="M143" s="48" t="n"/>
    </row>
    <row r="144" outlineLevel="1">
      <c r="A144" s="27" t="n"/>
      <c r="B144" s="27" t="inlineStr">
        <is>
          <t>2008.I</t>
        </is>
      </c>
      <c r="C144" s="7" t="inlineStr">
        <is>
          <t>Üst geçit ayak temelleri topraklaması 30x3,5 galvanizli şerit (temel içi + istasyon ağına bağlantı)</t>
        </is>
      </c>
      <c r="D144" s="27" t="inlineStr">
        <is>
          <t>m</t>
        </is>
      </c>
      <c r="E144" s="50" t="n">
        <v>412</v>
      </c>
      <c r="F144" s="50" t="n">
        <v>412</v>
      </c>
      <c r="G144" s="27" t="inlineStr">
        <is>
          <t>fire %10</t>
        </is>
      </c>
      <c r="H144" s="50">
        <f>F144/IF(Varsayimlar!$B$21=1,1.1,1)</f>
        <v/>
      </c>
      <c r="I144" s="51" t="n">
        <v>2.49</v>
      </c>
      <c r="J144" s="28">
        <f>H144*I144</f>
        <v/>
      </c>
      <c r="K144" s="52" t="inlineStr">
        <is>
          <t>GEÇMİŞ TEKLİF UYARLAMA</t>
        </is>
      </c>
      <c r="L144"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144" s="7" t="inlineStr">
        <is>
          <t>Galv. şerit | İlk tahmin BF 6.00</t>
        </is>
      </c>
    </row>
    <row r="145" outlineLevel="1">
      <c r="A145" s="27" t="n"/>
      <c r="B145" s="27" t="inlineStr">
        <is>
          <t>2008.I</t>
        </is>
      </c>
      <c r="C145" s="7" t="inlineStr">
        <is>
          <t>Çelik taşıyıcı kolon bağlantıları (şerit filizi/bağlantı parçası)</t>
        </is>
      </c>
      <c r="D145" s="27" t="inlineStr">
        <is>
          <t>adet</t>
        </is>
      </c>
      <c r="E145" s="50" t="n">
        <v>63</v>
      </c>
      <c r="F145" s="50" t="n">
        <v>63</v>
      </c>
      <c r="G145" s="27" t="inlineStr">
        <is>
          <t>-</t>
        </is>
      </c>
      <c r="H145" s="50">
        <f>F145</f>
        <v/>
      </c>
      <c r="I145" s="51" t="n">
        <v>25</v>
      </c>
      <c r="J145" s="28">
        <f>H145*I145</f>
        <v/>
      </c>
      <c r="K145" s="53" t="inlineStr">
        <is>
          <t>MÜHENDİSLİK TAHMİNİ</t>
        </is>
      </c>
      <c r="L145" s="7" t="inlineStr">
        <is>
          <t>TAHMIN (emsal yok) – Emsal yok (bağlantı/irtibat noktası; R00797 termo kaynak tozu 6,33 (M) yalnız sarf)</t>
        </is>
      </c>
      <c r="M145" s="7" t="inlineStr">
        <is>
          <t>Şerit filizi</t>
        </is>
      </c>
    </row>
    <row r="146" outlineLevel="1">
      <c r="A146" s="27" t="n"/>
      <c r="B146" s="27" t="inlineStr">
        <is>
          <t>2008.I</t>
        </is>
      </c>
      <c r="C146" s="7" t="inlineStr">
        <is>
          <t>Korkuluk, yürüyen merdiven ve asansör şaseleri eş potansiyel bağlantı 1x16/1x25 H07Z-R</t>
        </is>
      </c>
      <c r="D146" s="27" t="inlineStr">
        <is>
          <t>m</t>
        </is>
      </c>
      <c r="E146" s="50" t="n">
        <v>264</v>
      </c>
      <c r="F146" s="50" t="n">
        <v>264</v>
      </c>
      <c r="G146" s="27" t="inlineStr">
        <is>
          <t>fire+%30</t>
        </is>
      </c>
      <c r="H146" s="50">
        <f>F146/IF(Varsayimlar!$B$21=1,1.43,1)</f>
        <v/>
      </c>
      <c r="I146" s="51" t="n">
        <v>3.33</v>
      </c>
      <c r="J146" s="28">
        <f>H146*I146</f>
        <v/>
      </c>
      <c r="K146" s="52" t="inlineStr">
        <is>
          <t>GEÇMİŞ TEKLİF UYARLAMA</t>
        </is>
      </c>
      <c r="L146" s="7" t="inlineStr">
        <is>
          <t>REF-derin – İzmir Buca M. Prysmian 2021 H07Z1-R 16 2,00 (M)+%30, ×1,28 kesit(ort.20,5), +%10 pabuç→3,67; Mersin M. Arkom 2021 NYAF-HF 16 1,64 (M)+%30, ×1,28 kesit, +%10 pabuç→2,99 → medyan 3,33 [Emsal ID: R00690;R01109]</t>
        </is>
      </c>
      <c r="M146" s="7" t="inlineStr">
        <is>
          <t>H07Z-R 16/25 | İlk tahmin BF 4.50</t>
        </is>
      </c>
    </row>
    <row r="147" outlineLevel="1">
      <c r="A147" s="27" t="n"/>
      <c r="B147" s="27" t="inlineStr">
        <is>
          <t>2008.I</t>
        </is>
      </c>
      <c r="C147" s="7" t="inlineStr">
        <is>
          <t>Eş potansiyel bara (asansör kuyuları/merdiven başları)</t>
        </is>
      </c>
      <c r="D147" s="27" t="inlineStr">
        <is>
          <t>adet</t>
        </is>
      </c>
      <c r="E147" s="50" t="n">
        <v>12</v>
      </c>
      <c r="F147" s="50" t="n">
        <v>12</v>
      </c>
      <c r="G147" s="27" t="inlineStr">
        <is>
          <t>%30</t>
        </is>
      </c>
      <c r="H147" s="50">
        <f>F147/IF(Varsayimlar!$B$21=1,1.3,1)</f>
        <v/>
      </c>
      <c r="I147" s="51" t="n">
        <v>57.4</v>
      </c>
      <c r="J147" s="28">
        <f>H147*I147</f>
        <v/>
      </c>
      <c r="K147" s="52" t="inlineStr">
        <is>
          <t>GEÇMİŞ TEKLİF UYARLAMA</t>
        </is>
      </c>
      <c r="L147" s="7" t="inlineStr">
        <is>
          <t>REF-derin – İzmir Buca M. ESCO 2021 60x5 Cu lama 2,5 m EP 77,99 (M) ×0,43 Cu ağırlık(40x10x400) +%40 montaj→46,95; Mersin M. Arkom 2021 EP barası 19,89 (M)+%40 montaj→27,85 → medyan 37,40 + 20 bağlantı iletkeni/pabuç (tahmin) = 57,40 [Emsal ID: R00798;R01108]</t>
        </is>
      </c>
      <c r="M147" s="7" t="inlineStr">
        <is>
          <t>Cu EP bara | İlk tahmin BF 120.00</t>
        </is>
      </c>
    </row>
    <row r="148" outlineLevel="1">
      <c r="A148" s="27" t="n"/>
      <c r="B148" s="27" t="inlineStr">
        <is>
          <t>2008.I</t>
        </is>
      </c>
      <c r="C148" s="7" t="inlineStr">
        <is>
          <t>Topraklama elektrodu som bakır Cu Ø20 x 1,5 m</t>
        </is>
      </c>
      <c r="D148" s="27" t="inlineStr">
        <is>
          <t>adet</t>
        </is>
      </c>
      <c r="E148" s="50" t="n">
        <v>16</v>
      </c>
      <c r="F148" s="50" t="n">
        <v>16</v>
      </c>
      <c r="G148" s="27" t="inlineStr">
        <is>
          <t>-</t>
        </is>
      </c>
      <c r="H148" s="50">
        <f>F148</f>
        <v/>
      </c>
      <c r="I148" s="51" t="n">
        <v>66.92</v>
      </c>
      <c r="J148" s="28">
        <f>H148*I148</f>
        <v/>
      </c>
      <c r="K148" s="52" t="inlineStr">
        <is>
          <t>GEÇMİŞ TEKLİF UYARLAMA</t>
        </is>
      </c>
      <c r="L148" s="7" t="inlineStr">
        <is>
          <t>REF-derin – İzmir Buca M. ESCO 2021 Cu Ø20x3,5 m 119,71 (M) ×1,5/3,5 boy +%30 çakma→66,92; Bursa T2 Haluk 2015 Cu Ø20x3,5 m (M+İ) 152,81 ×1,5/3,5 boy→65,71; Bursa T2 MET 2015 Cu Ø20x3,5 m (M+İ) 168,23 ×1,5/3,5 boy→72,34 → medyan 66,92 [Emsal ID: R00793;R00916;R00984]</t>
        </is>
      </c>
      <c r="M148" s="7" t="inlineStr">
        <is>
          <t>Üst geçit: Cu korundu (istasyon değil) | İlk tahmin BF 110.00</t>
        </is>
      </c>
    </row>
    <row r="149" outlineLevel="1">
      <c r="A149" s="27" t="n"/>
      <c r="B149" s="27" t="inlineStr">
        <is>
          <t>2008.I</t>
        </is>
      </c>
      <c r="C149" s="7" t="inlineStr">
        <is>
          <t>Katener bölgesi (EN 50122-1 OCL zone) metal kısımları için gerilim sınırlayıcı/izolasyon kontrol bağlantısı</t>
        </is>
      </c>
      <c r="D149" s="27" t="inlineStr">
        <is>
          <t>adet</t>
        </is>
      </c>
      <c r="E149" s="50" t="n">
        <v>4</v>
      </c>
      <c r="F149" s="50" t="n">
        <v>4</v>
      </c>
      <c r="G149" s="27" t="inlineStr">
        <is>
          <t>-</t>
        </is>
      </c>
      <c r="H149" s="50">
        <f>F149</f>
        <v/>
      </c>
      <c r="I149" s="51" t="n">
        <v>1500</v>
      </c>
      <c r="J149" s="28">
        <f>H149*I149</f>
        <v/>
      </c>
      <c r="K149" s="53" t="inlineStr">
        <is>
          <t>MÜHENDİSLİK TAHMİNİ</t>
        </is>
      </c>
      <c r="L149" s="7" t="inlineStr">
        <is>
          <t>TAHMIN (emsal yok) – Haluk 2015 ray potansiyeli sınırlama cihazı 13,8 k€ (cihazın kendisi) – kalem yalnız bağlantı, emsal değil [Emsal ID: R00896]</t>
        </is>
      </c>
      <c r="M149" s="7" t="inlineStr">
        <is>
          <t>VLD/EN 50122-1 bağlantı</t>
        </is>
      </c>
    </row>
    <row r="150" outlineLevel="1">
      <c r="A150" s="27" t="n"/>
      <c r="B150" s="27" t="inlineStr">
        <is>
          <t>2008.I</t>
        </is>
      </c>
      <c r="C150" s="7" t="inlineStr">
        <is>
          <t>Ölçümler</t>
        </is>
      </c>
      <c r="D150" s="27" t="inlineStr">
        <is>
          <t>set</t>
        </is>
      </c>
      <c r="E150" s="50" t="n">
        <v>4</v>
      </c>
      <c r="F150" s="50" t="n">
        <v>4</v>
      </c>
      <c r="G150" s="27" t="inlineStr">
        <is>
          <t>-</t>
        </is>
      </c>
      <c r="H150" s="50">
        <f>F150</f>
        <v/>
      </c>
      <c r="I150" s="51" t="n">
        <v>400</v>
      </c>
      <c r="J150" s="28">
        <f>H150*I150</f>
        <v/>
      </c>
      <c r="K150" s="53" t="inlineStr">
        <is>
          <t>MÜHENDİSLİK TAHMİNİ</t>
        </is>
      </c>
      <c r="L150" s="7" t="inlineStr">
        <is>
          <t>TAHMIN (emsal yok) – Emsal yok (ölçüm/rapor götürü)</t>
        </is>
      </c>
      <c r="M150" s="7" t="inlineStr">
        <is>
          <t>Geçit başı ölçüm</t>
        </is>
      </c>
    </row>
    <row r="151">
      <c r="A151" s="48" t="inlineStr">
        <is>
          <t>199</t>
        </is>
      </c>
      <c r="B151" s="48" t="inlineStr">
        <is>
          <t>2008.J</t>
        </is>
      </c>
      <c r="C151" s="48" t="inlineStr">
        <is>
          <t>Hat Boyu Topraklama Tesisatı (1 set)</t>
        </is>
      </c>
      <c r="D151" s="48" t="n"/>
      <c r="E151" s="48" t="n"/>
      <c r="F151" s="48" t="n"/>
      <c r="G151" s="48" t="n"/>
      <c r="H151" s="48" t="inlineStr">
        <is>
          <t>RFQ tutarı →</t>
        </is>
      </c>
      <c r="I151" s="49">
        <f>SUMPRODUCT(E152:E158,I152:I158)</f>
        <v/>
      </c>
      <c r="J151" s="49">
        <f>SUM(J152:J158)</f>
        <v/>
      </c>
      <c r="K151" s="48" t="n"/>
      <c r="L151" s="48" t="n"/>
      <c r="M151" s="48" t="n"/>
    </row>
    <row r="152" outlineLevel="1">
      <c r="A152" s="27" t="n"/>
      <c r="B152" s="27" t="inlineStr">
        <is>
          <t>2008.J</t>
        </is>
      </c>
      <c r="C152" s="7" t="inlineStr">
        <is>
          <t>Hatboyu kablo kanalı içinde 30x3,5 mm galvanizli çelik şerit (her iki yanda 1’er hat)</t>
        </is>
      </c>
      <c r="D152" s="27" t="inlineStr">
        <is>
          <t>m</t>
        </is>
      </c>
      <c r="E152" s="50" t="n">
        <v>20870</v>
      </c>
      <c r="F152" s="54" t="n">
        <v>20488.2</v>
      </c>
      <c r="G152" s="27" t="inlineStr">
        <is>
          <t>fire+%30</t>
        </is>
      </c>
      <c r="H152" s="50">
        <f>F152/IF(Varsayimlar!$B$21=1,1.43,1)</f>
        <v/>
      </c>
      <c r="I152" s="51" t="n">
        <v>2.73</v>
      </c>
      <c r="J152" s="28">
        <f>H152*I152</f>
        <v/>
      </c>
      <c r="K152" s="52" t="inlineStr">
        <is>
          <t>GEÇMİŞ TEKLİF UYARLAMA</t>
        </is>
      </c>
      <c r="L152" s="7" t="inlineStr">
        <is>
          <t>REF-derin – 30x3,5 galv. şerit: ESCO 2021 1,5 €/m (M) ve Arkom 2021 1,2 €/m (M) +%50 kanal içi serme → 2,25/1,8; Bursa T2 Haluk 2015 2,7 €/m (TL, işçilik +%20 → 3,2); Platin 2019 gömülü 4,6 → medyan 2,73 €/m (mevcut 5,5 çok yüksek) [Emsal ID: R00794;R01106;R00915;R00480]</t>
        </is>
      </c>
      <c r="M152" s="7" t="inlineStr">
        <is>
          <t>Galv. şerit kanal içi; 6,44 km | İlk tahmin BF 5.50</t>
        </is>
      </c>
    </row>
    <row r="153" outlineLevel="1">
      <c r="A153" s="27" t="n"/>
      <c r="B153" s="27" t="inlineStr">
        <is>
          <t>2008.J</t>
        </is>
      </c>
      <c r="C153" s="7" t="inlineStr">
        <is>
          <t>Katener direği topraklama bağlantısı (30x3,5 şerit filizi ~3 m + bağlantı klemensi)</t>
        </is>
      </c>
      <c r="D153" s="27" t="inlineStr">
        <is>
          <t>adet</t>
        </is>
      </c>
      <c r="E153" s="50" t="n">
        <v>297</v>
      </c>
      <c r="F153" s="50" t="n">
        <v>297</v>
      </c>
      <c r="G153" s="27" t="inlineStr">
        <is>
          <t>-</t>
        </is>
      </c>
      <c r="H153" s="50">
        <f>F153</f>
        <v/>
      </c>
      <c r="I153" s="51" t="n">
        <v>35</v>
      </c>
      <c r="J153" s="28">
        <f>H153*I153</f>
        <v/>
      </c>
      <c r="K153" s="53" t="inlineStr">
        <is>
          <t>MÜHENDİSLİK TAHMİNİ</t>
        </is>
      </c>
      <c r="L153" s="7" t="inlineStr">
        <is>
          <t>TAHMIN (emsal yok) – Direk filizi+klemens için emsal yok; 35 € biraz yüksek olabilir (~25–30 €)</t>
        </is>
      </c>
      <c r="M153" s="7" t="inlineStr">
        <is>
          <t>Direk bağlantısı</t>
        </is>
      </c>
    </row>
    <row r="154" outlineLevel="1">
      <c r="A154" s="27" t="n"/>
      <c r="B154" s="27" t="inlineStr">
        <is>
          <t>2008.J</t>
        </is>
      </c>
      <c r="C154" s="7" t="inlineStr">
        <is>
          <t>Direk bağlantı şeridi 30x3,5 galvaniz</t>
        </is>
      </c>
      <c r="D154" s="27" t="inlineStr">
        <is>
          <t>m</t>
        </is>
      </c>
      <c r="E154" s="50" t="n">
        <v>752.4</v>
      </c>
      <c r="F154" s="50" t="n">
        <v>752.4</v>
      </c>
      <c r="G154" s="27" t="inlineStr">
        <is>
          <t>fire %10</t>
        </is>
      </c>
      <c r="H154" s="50">
        <f>F154/IF(Varsayimlar!$B$21=1,1.1,1)</f>
        <v/>
      </c>
      <c r="I154" s="51" t="n">
        <v>2.49</v>
      </c>
      <c r="J154" s="28">
        <f>H154*I154</f>
        <v/>
      </c>
      <c r="K154" s="52" t="inlineStr">
        <is>
          <t>GEÇMİŞ TEKLİF UYARLAMA</t>
        </is>
      </c>
      <c r="L154" s="7" t="inlineStr">
        <is>
          <t>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is>
      </c>
      <c r="M154" s="7" t="inlineStr">
        <is>
          <t>Direk sayısına bağlı, uzunluk düzeltilmedi | İlk tahmin BF 6.00</t>
        </is>
      </c>
    </row>
    <row r="155" outlineLevel="1">
      <c r="A155" s="27" t="n"/>
      <c r="B155" s="27" t="inlineStr">
        <is>
          <t>2008.J</t>
        </is>
      </c>
      <c r="C155" s="7" t="inlineStr">
        <is>
          <t>Hatboyu ekipman (sinyal/makas kontrol dolapları, aydınlatma direk panoları, handhole) topraklama bağlantıları</t>
        </is>
      </c>
      <c r="D155" s="27" t="inlineStr">
        <is>
          <t>adet</t>
        </is>
      </c>
      <c r="E155" s="50" t="n">
        <v>80</v>
      </c>
      <c r="F155" s="50" t="n">
        <v>80</v>
      </c>
      <c r="G155" s="27" t="inlineStr">
        <is>
          <t>-</t>
        </is>
      </c>
      <c r="H155" s="50">
        <f>F155</f>
        <v/>
      </c>
      <c r="I155" s="51" t="n">
        <v>40</v>
      </c>
      <c r="J155" s="28">
        <f>H155*I155</f>
        <v/>
      </c>
      <c r="K155" s="53" t="inlineStr">
        <is>
          <t>MÜHENDİSLİK TAHMİNİ</t>
        </is>
      </c>
      <c r="L155" s="7" t="inlineStr">
        <is>
          <t>TAHMIN (emsal yok) – Emsal yok (bağlantı/irtibat noktası; R00797 termo kaynak tozu 6,33 (M) yalnız sarf)</t>
        </is>
      </c>
      <c r="M155" s="7" t="inlineStr">
        <is>
          <t>Ekipman bağlantısı</t>
        </is>
      </c>
    </row>
    <row r="156" outlineLevel="1">
      <c r="A156" s="27" t="n"/>
      <c r="B156" s="27" t="inlineStr">
        <is>
          <t>2008.J</t>
        </is>
      </c>
      <c r="C156" s="7" t="inlineStr">
        <is>
          <t>Şerit ek/düğüm noktaları (galvaniz çapraz kroşe / egzotermik)</t>
        </is>
      </c>
      <c r="D156" s="27" t="inlineStr">
        <is>
          <t>adet</t>
        </is>
      </c>
      <c r="E156" s="50" t="n">
        <v>380</v>
      </c>
      <c r="F156" s="50" t="n">
        <v>380</v>
      </c>
      <c r="G156" s="27" t="inlineStr">
        <is>
          <t>-</t>
        </is>
      </c>
      <c r="H156" s="50">
        <f>F156</f>
        <v/>
      </c>
      <c r="I156" s="51" t="n">
        <v>18</v>
      </c>
      <c r="J156" s="28">
        <f>H156*I156</f>
        <v/>
      </c>
      <c r="K156" s="53" t="inlineStr">
        <is>
          <t>MÜHENDİSLİK TAHMİNİ</t>
        </is>
      </c>
      <c r="L156" s="7" t="inlineStr">
        <is>
          <t>TAHMIN (emsal yok) – Kroşe/egzotermik ek için emsal yok</t>
        </is>
      </c>
      <c r="M156" s="7" t="inlineStr">
        <is>
          <t>Kroşe/egzotermik</t>
        </is>
      </c>
    </row>
    <row r="157" outlineLevel="1">
      <c r="A157" s="27" t="n"/>
      <c r="B157" s="27" t="inlineStr">
        <is>
          <t>2008.J</t>
        </is>
      </c>
      <c r="C157" s="7" t="inlineStr">
        <is>
          <t>Kazık elektrodu Cu Ø20 x 3 m (hatboyu, ~250 m’de bir, her iki şerit)</t>
        </is>
      </c>
      <c r="D157" s="27" t="inlineStr">
        <is>
          <t>adet</t>
        </is>
      </c>
      <c r="E157" s="50" t="n">
        <v>76</v>
      </c>
      <c r="F157" s="50" t="n">
        <v>76</v>
      </c>
      <c r="G157" s="27" t="inlineStr">
        <is>
          <t>-</t>
        </is>
      </c>
      <c r="H157" s="50">
        <f>F157</f>
        <v/>
      </c>
      <c r="I157" s="51" t="n">
        <v>130</v>
      </c>
      <c r="J157" s="28">
        <f>H157*I157</f>
        <v/>
      </c>
      <c r="K157" s="52" t="inlineStr">
        <is>
          <t>GEÇMİŞ TEKLİF UYARLAMA</t>
        </is>
      </c>
      <c r="L157" s="7" t="inlineStr">
        <is>
          <t>REF-derin – Ø20 som Cu elektrot 3,5 m: ESCO 2021 119,7 € (M)+%25=150; Bursa T2 Haluk 2015 152,8 €, MET 168,2 €; Başkentray Desat 150,8 € → medyan 151,7 € × 3,0/3,5 m boy → 130 € [Emsal ID: R00793;R00916;R00984;R00533]</t>
        </is>
      </c>
      <c r="M157" s="7" t="inlineStr">
        <is>
          <t>Som Cu Ø20x3 m (hatboyu) | İlk tahmin BF 190.00</t>
        </is>
      </c>
    </row>
    <row r="158" outlineLevel="1">
      <c r="A158" s="27" t="n"/>
      <c r="B158" s="27" t="inlineStr">
        <is>
          <t>2008.J</t>
        </is>
      </c>
      <c r="C158" s="7" t="inlineStr">
        <is>
          <t>Hatboyu topraklama sürekliliği ve direnç ölçümleri</t>
        </is>
      </c>
      <c r="D158" s="27" t="inlineStr">
        <is>
          <t>set</t>
        </is>
      </c>
      <c r="E158" s="50" t="n">
        <v>1</v>
      </c>
      <c r="F158" s="50" t="n">
        <v>1</v>
      </c>
      <c r="G158" s="27" t="inlineStr">
        <is>
          <t>-</t>
        </is>
      </c>
      <c r="H158" s="50">
        <f>F158</f>
        <v/>
      </c>
      <c r="I158" s="51" t="n">
        <v>3000</v>
      </c>
      <c r="J158" s="28">
        <f>H158*I158</f>
        <v/>
      </c>
      <c r="K158" s="53" t="inlineStr">
        <is>
          <t>MÜHENDİSLİK TAHMİNİ</t>
        </is>
      </c>
      <c r="L158" s="7" t="inlineStr">
        <is>
          <t>TAHMIN (emsal yok) – Emsal yok (ölçüm/rapor götürü)</t>
        </is>
      </c>
      <c r="M158" s="7" t="inlineStr">
        <is>
          <t>Hatboyu ölçümler</t>
        </is>
      </c>
    </row>
    <row r="159">
      <c r="A159" s="48" t="inlineStr">
        <is>
          <t>211</t>
        </is>
      </c>
      <c r="B159" s="48" t="inlineStr">
        <is>
          <t>2011.A</t>
        </is>
      </c>
      <c r="C159" s="48" t="inlineStr">
        <is>
          <t>Göbekli Tepe İstasyonu Alçak Gerilim Besleme-Dağıtım Kabloları ve Kablo Taşıma Sistemleri (1 set)</t>
        </is>
      </c>
      <c r="D159" s="48" t="n"/>
      <c r="E159" s="48" t="n"/>
      <c r="F159" s="48" t="n"/>
      <c r="G159" s="48" t="n"/>
      <c r="H159" s="48" t="inlineStr">
        <is>
          <t>RFQ tutarı →</t>
        </is>
      </c>
      <c r="I159" s="49">
        <f>SUMPRODUCT(E160:E168,I160:I168)</f>
        <v/>
      </c>
      <c r="J159" s="49">
        <f>SUM(J160:J168)</f>
        <v/>
      </c>
      <c r="K159" s="48" t="n"/>
      <c r="L159" s="48" t="n"/>
      <c r="M159" s="48" t="n"/>
    </row>
    <row r="160" outlineLevel="1">
      <c r="A160" s="27" t="n"/>
      <c r="B160" s="27" t="inlineStr">
        <is>
          <t>2011.A</t>
        </is>
      </c>
      <c r="C160" s="7" t="inlineStr">
        <is>
          <t>N2XH 4x6 mm2 (ADP→APP-1 5, APP-2 15, UPS 5+5, UDP→UPS-1 5, UPS-2 15, SKP21(SS-3) 200)</t>
        </is>
      </c>
      <c r="D160" s="27" t="inlineStr">
        <is>
          <t>m</t>
        </is>
      </c>
      <c r="E160" s="50" t="n">
        <v>275</v>
      </c>
      <c r="F160" s="50" t="n">
        <v>275</v>
      </c>
      <c r="G160" s="27" t="inlineStr">
        <is>
          <t>-</t>
        </is>
      </c>
      <c r="H160" s="50">
        <f>F160</f>
        <v/>
      </c>
      <c r="I160" s="51" t="n">
        <v>3.95</v>
      </c>
      <c r="J160" s="28">
        <f>H160*I160</f>
        <v/>
      </c>
      <c r="K160" s="52" t="inlineStr">
        <is>
          <t>GEÇMİŞ TEKLİF UYARLAMA</t>
        </is>
      </c>
      <c r="L160" s="7" t="inlineStr">
        <is>
          <t>REF-derin – İzmir Buca M. Prysmian 2021 4x6 3,59 (M)+%35 montaj→4,85; Bursa T2 Delta 2015 4x6 2,55 (M)+%35 montaj→3,45; Bursa T2 Haluk 2015 4x6 3,51; Bursa T2 MET 2015 4x6 4,40 → medyan 3,95 [Emsal ID: R00687;R00850;R00903;R00974]</t>
        </is>
      </c>
      <c r="M160" s="7" t="inlineStr">
        <is>
          <t>N2XH 4x6 | İlk tahmin BF 5.50</t>
        </is>
      </c>
    </row>
    <row r="161" outlineLevel="1">
      <c r="A161" s="27" t="n"/>
      <c r="B161" s="27" t="inlineStr">
        <is>
          <t>2011.A</t>
        </is>
      </c>
      <c r="C161" s="7" t="inlineStr">
        <is>
          <t>N2XH 4x2,5 mm2 (ADP→SK-1 25, SK-2 25)</t>
        </is>
      </c>
      <c r="D161" s="27" t="inlineStr">
        <is>
          <t>m</t>
        </is>
      </c>
      <c r="E161" s="50" t="n">
        <v>55</v>
      </c>
      <c r="F161" s="50" t="n">
        <v>55</v>
      </c>
      <c r="G161" s="27" t="inlineStr">
        <is>
          <t>fire %10</t>
        </is>
      </c>
      <c r="H161" s="50">
        <f>F161/IF(Varsayimlar!$B$21=1,1.1,1)</f>
        <v/>
      </c>
      <c r="I161" s="51" t="n">
        <v>2.21</v>
      </c>
      <c r="J161" s="28">
        <f>H161*I161</f>
        <v/>
      </c>
      <c r="K161" s="52" t="inlineStr">
        <is>
          <t>GEÇMİŞ TEKLİF UYARLAMA</t>
        </is>
      </c>
      <c r="L161" s="7" t="inlineStr">
        <is>
          <t>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is>
      </c>
      <c r="M161" s="7" t="inlineStr">
        <is>
          <t>N2XH 4x2,5 | İlk tahmin BF 3.20</t>
        </is>
      </c>
    </row>
    <row r="162" outlineLevel="1">
      <c r="A162" s="27" t="n"/>
      <c r="B162" s="27" t="inlineStr">
        <is>
          <t>2011.A</t>
        </is>
      </c>
      <c r="C162" s="7" t="inlineStr">
        <is>
          <t>N2XH 3x2,5 mm2 (UDP→kontrol panosu 5, AVLS 5)</t>
        </is>
      </c>
      <c r="D162" s="27" t="inlineStr">
        <is>
          <t>m</t>
        </is>
      </c>
      <c r="E162" s="50" t="n">
        <v>11</v>
      </c>
      <c r="F162" s="50" t="n">
        <v>11</v>
      </c>
      <c r="G162" s="27" t="inlineStr">
        <is>
          <t>-</t>
        </is>
      </c>
      <c r="H162" s="50">
        <f>F162</f>
        <v/>
      </c>
      <c r="I162" s="51" t="n">
        <v>1.83</v>
      </c>
      <c r="J162" s="28">
        <f>H162*I162</f>
        <v/>
      </c>
      <c r="K162" s="52" t="inlineStr">
        <is>
          <t>GEÇMİŞ TEKLİF UYARLAMA</t>
        </is>
      </c>
      <c r="L162" s="7" t="inlineStr">
        <is>
          <t>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is>
      </c>
      <c r="M162" s="7" t="inlineStr">
        <is>
          <t>N2XH 3x2,5 | İlk tahmin BF 2.50</t>
        </is>
      </c>
    </row>
    <row r="163" outlineLevel="1">
      <c r="A163" s="27" t="n"/>
      <c r="B163" s="27" t="inlineStr">
        <is>
          <t>2011.A</t>
        </is>
      </c>
      <c r="C163" s="7" t="inlineStr">
        <is>
          <t>N2XH 3x2,5 mm2 – UPS-1/UPS-2 panolarından sistem panolarına (turnike, yolcu bilg., biletmatik, haberleşme, AVLS, TSKP, SKP)</t>
        </is>
      </c>
      <c r="D163" s="27" t="inlineStr">
        <is>
          <t>m</t>
        </is>
      </c>
      <c r="E163" s="50" t="n">
        <v>814</v>
      </c>
      <c r="F163" s="54" t="n">
        <v>759.7</v>
      </c>
      <c r="G163" s="27" t="inlineStr">
        <is>
          <t>-</t>
        </is>
      </c>
      <c r="H163" s="50">
        <f>F163</f>
        <v/>
      </c>
      <c r="I163" s="51" t="n">
        <v>1.83</v>
      </c>
      <c r="J163" s="28">
        <f>H163*I163</f>
        <v/>
      </c>
      <c r="K163" s="52" t="inlineStr">
        <is>
          <t>GEÇMİŞ TEKLİF UYARLAMA</t>
        </is>
      </c>
      <c r="L163" s="7" t="inlineStr">
        <is>
          <t>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is>
      </c>
      <c r="M163" s="7" t="inlineStr">
        <is>
          <t>TSKP payı düşüldü (10/150 oransal) | İlk tahmin BF 2.50</t>
        </is>
      </c>
    </row>
    <row r="164" outlineLevel="1">
      <c r="A164" s="27" t="n"/>
      <c r="B164" s="27" t="inlineStr">
        <is>
          <t>2011.A</t>
        </is>
      </c>
      <c r="C164" s="7" t="inlineStr">
        <is>
          <t>Ø110 koruge (HDPE) elektrik borusu (2 kenar peron + hatlar altı geçiş)</t>
        </is>
      </c>
      <c r="D164" s="27" t="inlineStr">
        <is>
          <t>m</t>
        </is>
      </c>
      <c r="E164" s="50" t="n">
        <v>648</v>
      </c>
      <c r="F164" s="50" t="n">
        <v>648</v>
      </c>
      <c r="G164" s="27" t="inlineStr">
        <is>
          <t>fire+%30</t>
        </is>
      </c>
      <c r="H164" s="50">
        <f>F164/IF(Varsayimlar!$B$21=1,1.43,1)</f>
        <v/>
      </c>
      <c r="I164" s="51" t="n">
        <v>4.5</v>
      </c>
      <c r="J164" s="28">
        <f>H164*I164</f>
        <v/>
      </c>
      <c r="K164" s="53" t="inlineStr">
        <is>
          <t>MÜHENDİSLİK TAHMİNİ</t>
        </is>
      </c>
      <c r="L164" s="7" t="inlineStr">
        <is>
          <t>TAHMIN (emsal yok) – Emsal yok (çap belirtilen HDPE/çelik boru teklifi yok; R04035 HDPE muhafaza 3,53 / R01311 4,63 çap belirsiz)</t>
        </is>
      </c>
      <c r="M164" s="7" t="inlineStr">
        <is>
          <t>HDPE Ø110 (kazı hariç)</t>
        </is>
      </c>
    </row>
    <row r="165" outlineLevel="1">
      <c r="A165" s="27" t="n"/>
      <c r="B165" s="27" t="inlineStr">
        <is>
          <t>2011.A</t>
        </is>
      </c>
      <c r="C165" s="7" t="inlineStr">
        <is>
          <t>Kablo merdiveni 300 mm (pano odası) + delikli tava 100 mm</t>
        </is>
      </c>
      <c r="D165" s="27" t="inlineStr">
        <is>
          <t>m</t>
        </is>
      </c>
      <c r="E165" s="50" t="n">
        <v>43</v>
      </c>
      <c r="F165" s="50" t="n">
        <v>43</v>
      </c>
      <c r="G165" s="27" t="inlineStr">
        <is>
          <t>-</t>
        </is>
      </c>
      <c r="H165" s="50">
        <f>F165</f>
        <v/>
      </c>
      <c r="I165" s="51" t="n">
        <v>13.75</v>
      </c>
      <c r="J165" s="28">
        <f>H165*I165</f>
        <v/>
      </c>
      <c r="K165" s="52" t="inlineStr">
        <is>
          <t>GEÇMİŞ TEKLİF UYARLAMA</t>
        </is>
      </c>
      <c r="L165" s="7" t="inlineStr">
        <is>
          <t>REF-derin – Karışık kalem (merdiven/tava eşit pay): merdiven300=16,21 + tava100kapak=11,29 → 13,75. Emsaller: merdiven300 [R00805;R01103;R00853;R00935] 16,21 | tava100kapak [R00800;R01102;R00853;R00935] 11,29 [Emsal ID: R00805;R01103;R00853;R00935;R00800;R01102]</t>
        </is>
      </c>
      <c r="M165" s="7" t="inlineStr">
        <is>
          <t>Merdiven 300 + tava 100 karışık | İlk tahmin BF 20.00</t>
        </is>
      </c>
    </row>
    <row r="166" outlineLevel="1">
      <c r="A166" s="27" t="n"/>
      <c r="B166" s="27" t="inlineStr">
        <is>
          <t>2011.A</t>
        </is>
      </c>
      <c r="C166" s="7" t="inlineStr">
        <is>
          <t>Yangın durdurucu</t>
        </is>
      </c>
      <c r="D166" s="27" t="inlineStr">
        <is>
          <t>adet</t>
        </is>
      </c>
      <c r="E166" s="50" t="n">
        <v>8</v>
      </c>
      <c r="F166" s="50" t="n">
        <v>8</v>
      </c>
      <c r="G166" s="27" t="inlineStr">
        <is>
          <t>-</t>
        </is>
      </c>
      <c r="H166" s="50">
        <f>F166</f>
        <v/>
      </c>
      <c r="I166" s="51" t="n">
        <v>60</v>
      </c>
      <c r="J166" s="28">
        <f>H166*I166</f>
        <v/>
      </c>
      <c r="K166" s="53" t="inlineStr">
        <is>
          <t>MÜHENDİSLİK TAHMİNİ</t>
        </is>
      </c>
      <c r="L166" s="7" t="inlineStr">
        <is>
          <t>TAHMIN (emsal yok) – Emsal yok (yangın durdurucu/pabuç/test götürü)</t>
        </is>
      </c>
      <c r="M166" s="7" t="inlineStr">
        <is>
          <t>Yangın durdurucu</t>
        </is>
      </c>
    </row>
    <row r="167" outlineLevel="1">
      <c r="A167" s="27" t="n"/>
      <c r="B167" s="27" t="inlineStr">
        <is>
          <t>2011.A</t>
        </is>
      </c>
      <c r="C167" s="7" t="inlineStr">
        <is>
          <t>Pabuç/etiket/test</t>
        </is>
      </c>
      <c r="D167" s="27" t="inlineStr">
        <is>
          <t>set</t>
        </is>
      </c>
      <c r="E167" s="50" t="n">
        <v>1</v>
      </c>
      <c r="F167" s="50" t="n">
        <v>1</v>
      </c>
      <c r="G167" s="27" t="inlineStr">
        <is>
          <t>-</t>
        </is>
      </c>
      <c r="H167" s="50">
        <f>F167</f>
        <v/>
      </c>
      <c r="I167" s="51" t="n">
        <v>400</v>
      </c>
      <c r="J167" s="28">
        <f>H167*I167</f>
        <v/>
      </c>
      <c r="K167" s="53" t="inlineStr">
        <is>
          <t>MÜHENDİSLİK TAHMİNİ</t>
        </is>
      </c>
      <c r="L167" s="7" t="inlineStr">
        <is>
          <t>TAHMIN (emsal yok) – Emsal yok (yangın durdurucu/pabuç/test götürü)</t>
        </is>
      </c>
      <c r="M167" s="7" t="inlineStr">
        <is>
          <t>Götürü</t>
        </is>
      </c>
    </row>
    <row r="168" outlineLevel="1">
      <c r="A168" s="27" t="n"/>
      <c r="B168" s="27" t="inlineStr">
        <is>
          <t>2011.A</t>
        </is>
      </c>
      <c r="C168" s="7" t="inlineStr">
        <is>
          <t>Döşeme altı HDPE kablo koruma borusu (aydınlatma-priz besleme güzergâhı; ana Ø110 borulamadan ayrı)</t>
        </is>
      </c>
      <c r="D168" s="27" t="inlineStr">
        <is>
          <t>m</t>
        </is>
      </c>
      <c r="E168" s="50" t="n">
        <v>844</v>
      </c>
      <c r="F168" s="50" t="n">
        <v>844</v>
      </c>
      <c r="G168" s="27" t="inlineStr">
        <is>
          <t>fire+%30</t>
        </is>
      </c>
      <c r="H168" s="50">
        <f>F168/IF(Varsayimlar!$B$21=1,1.43,1)</f>
        <v/>
      </c>
      <c r="I168" s="51" t="n">
        <v>3</v>
      </c>
      <c r="J168" s="28">
        <f>H168*I168</f>
        <v/>
      </c>
      <c r="K168" s="53" t="inlineStr">
        <is>
          <t>MÜHENDİSLİK TAHMİNİ</t>
        </is>
      </c>
      <c r="L168" s="7" t="inlineStr">
        <is>
          <t>TAHMIN (emsal yok) – Emsal yok (çap belirtilen HDPE/çelik boru teklifi yok; R04035 HDPE muhafaza 3,53 / R01311 4,63 çap belirsiz)</t>
        </is>
      </c>
      <c r="M168" s="7" t="inlineStr">
        <is>
          <t>HDPE koruma borusu küçük çap</t>
        </is>
      </c>
    </row>
    <row r="169">
      <c r="A169" s="48" t="inlineStr">
        <is>
          <t>212</t>
        </is>
      </c>
      <c r="B169" s="48" t="inlineStr">
        <is>
          <t>2011.B</t>
        </is>
      </c>
      <c r="C169" s="48" t="inlineStr">
        <is>
          <t>Hızmalı Köprüsü İstasyonu Alçak Gerilim Besleme-Dağıtım Kabloları ve Kablo Taşıma Sistemleri (1 set)</t>
        </is>
      </c>
      <c r="D169" s="48" t="n"/>
      <c r="E169" s="48" t="n"/>
      <c r="F169" s="48" t="n"/>
      <c r="G169" s="48" t="n"/>
      <c r="H169" s="48" t="inlineStr">
        <is>
          <t>RFQ tutarı →</t>
        </is>
      </c>
      <c r="I169" s="49">
        <f>SUMPRODUCT(E170:E181,I170:I181)</f>
        <v/>
      </c>
      <c r="J169" s="49">
        <f>SUM(J170:J181)</f>
        <v/>
      </c>
      <c r="K169" s="48" t="n"/>
      <c r="L169" s="48" t="n"/>
      <c r="M169" s="48" t="n"/>
    </row>
    <row r="170" outlineLevel="1">
      <c r="A170" s="27" t="n"/>
      <c r="B170" s="27" t="inlineStr">
        <is>
          <t>2011.B</t>
        </is>
      </c>
      <c r="C170" s="7" t="inlineStr">
        <is>
          <t>N2XH 4x6 mm2 (ADP→APP, UPS, YMP-01/02/03, ASP-01/02/03)</t>
        </is>
      </c>
      <c r="D170" s="27" t="inlineStr">
        <is>
          <t>m</t>
        </is>
      </c>
      <c r="E170" s="50" t="n">
        <v>275</v>
      </c>
      <c r="F170" s="50" t="n">
        <v>275</v>
      </c>
      <c r="G170" s="27" t="inlineStr">
        <is>
          <t>-</t>
        </is>
      </c>
      <c r="H170" s="50">
        <f>F170</f>
        <v/>
      </c>
      <c r="I170" s="51" t="n">
        <v>3.95</v>
      </c>
      <c r="J170" s="28">
        <f>H170*I170</f>
        <v/>
      </c>
      <c r="K170" s="52" t="inlineStr">
        <is>
          <t>GEÇMİŞ TEKLİF UYARLAMA</t>
        </is>
      </c>
      <c r="L170" s="7" t="inlineStr">
        <is>
          <t>REF-derin – İzmir Buca M. Prysmian 2021 4x6 3,59 (M)+%35 montaj→4,85; Bursa T2 Delta 2015 4x6 2,55 (M)+%35 montaj→3,45; Bursa T2 Haluk 2015 4x6 3,51; Bursa T2 MET 2015 4x6 4,40 → medyan 3,95 [Emsal ID: R00687;R00850;R00903;R00974]</t>
        </is>
      </c>
      <c r="M170" s="7" t="inlineStr">
        <is>
          <t>N2XH 4x6 | İlk tahmin BF 5.50</t>
        </is>
      </c>
    </row>
    <row r="171" outlineLevel="1">
      <c r="A171" s="27" t="n"/>
      <c r="B171" s="27" t="inlineStr">
        <is>
          <t>2011.B</t>
        </is>
      </c>
      <c r="C171" s="7" t="inlineStr">
        <is>
          <t>N2XH 4x2,5 mm2 (ADP→SK)</t>
        </is>
      </c>
      <c r="D171" s="27" t="inlineStr">
        <is>
          <t>m</t>
        </is>
      </c>
      <c r="E171" s="50" t="n">
        <v>27.5</v>
      </c>
      <c r="F171" s="50" t="n">
        <v>27.5</v>
      </c>
      <c r="G171" s="27" t="inlineStr">
        <is>
          <t>fire %10</t>
        </is>
      </c>
      <c r="H171" s="50">
        <f>F171/IF(Varsayimlar!$B$21=1,1.1,1)</f>
        <v/>
      </c>
      <c r="I171" s="51" t="n">
        <v>2.21</v>
      </c>
      <c r="J171" s="28">
        <f>H171*I171</f>
        <v/>
      </c>
      <c r="K171" s="52" t="inlineStr">
        <is>
          <t>GEÇMİŞ TEKLİF UYARLAMA</t>
        </is>
      </c>
      <c r="L171" s="7" t="inlineStr">
        <is>
          <t>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is>
      </c>
      <c r="M171" s="7" t="inlineStr">
        <is>
          <t>N2XH 4x2,5 | İlk tahmin BF 3.20</t>
        </is>
      </c>
    </row>
    <row r="172" outlineLevel="1">
      <c r="A172" s="27" t="n"/>
      <c r="B172" s="27" t="inlineStr">
        <is>
          <t>2011.B</t>
        </is>
      </c>
      <c r="C172" s="7" t="inlineStr">
        <is>
          <t>N2XH 4x6+6 (UPS→UPS dağıtım panosu) / H07Z-R 1x6 PE</t>
        </is>
      </c>
      <c r="D172" s="27" t="inlineStr">
        <is>
          <t>m</t>
        </is>
      </c>
      <c r="E172" s="50" t="n">
        <v>22</v>
      </c>
      <c r="F172" s="50" t="n">
        <v>22</v>
      </c>
      <c r="G172" s="27" t="inlineStr">
        <is>
          <t>-</t>
        </is>
      </c>
      <c r="H172" s="50">
        <f>F172</f>
        <v/>
      </c>
      <c r="I172" s="51" t="n">
        <v>4.94</v>
      </c>
      <c r="J172" s="28">
        <f>H172*I172</f>
        <v/>
      </c>
      <c r="K172" s="52" t="inlineStr">
        <is>
          <t>GEÇMİŞ TEKLİF UYARLAMA</t>
        </is>
      </c>
      <c r="L172" s="7" t="inlineStr">
        <is>
          <t>REF-derin – İzmir Buca M. Prysmian 2021 4x6 3,59 (M)+%35, +%25 1x6 PE→6,06; Bursa T2 Delta 2015 4x6 2,55 (M)+%35, +%25 1x6 PE→4,31; Bursa T2 Haluk 2015 4x6 3,51 +%25 1x6 PE→4,38; Bursa T2 MET 2015 4x6 4,40 +%25 1x6 PE→5,50 → medyan 4,94 [Emsal ID: R00687;R00850;R00903;R00974]</t>
        </is>
      </c>
      <c r="M172" s="7" t="inlineStr">
        <is>
          <t>N2XH 4x6+6 + PE | İlk tahmin BF 7.00</t>
        </is>
      </c>
    </row>
    <row r="173" outlineLevel="1">
      <c r="A173" s="27" t="n"/>
      <c r="B173" s="27" t="inlineStr">
        <is>
          <t>2011.B</t>
        </is>
      </c>
      <c r="C173" s="7" t="inlineStr">
        <is>
          <t>N2XH 3x2,5 mm2 – UPS panosundan sistem panolarına besleme (turnike 25, yolcu bilg. 60, biletmatik 15, haberleşme 5, AVLS 10, TSKP 10, SKP 10, DU 15)</t>
        </is>
      </c>
      <c r="D173" s="27" t="inlineStr">
        <is>
          <t>m</t>
        </is>
      </c>
      <c r="E173" s="50" t="n">
        <v>319</v>
      </c>
      <c r="F173" s="54" t="n">
        <v>297.7</v>
      </c>
      <c r="G173" s="27" t="inlineStr">
        <is>
          <t>-</t>
        </is>
      </c>
      <c r="H173" s="50">
        <f>F173</f>
        <v/>
      </c>
      <c r="I173" s="51" t="n">
        <v>1.83</v>
      </c>
      <c r="J173" s="28">
        <f>H173*I173</f>
        <v/>
      </c>
      <c r="K173" s="52" t="inlineStr">
        <is>
          <t>GEÇMİŞ TEKLİF UYARLAMA</t>
        </is>
      </c>
      <c r="L173" s="7" t="inlineStr">
        <is>
          <t>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is>
      </c>
      <c r="M173" s="7" t="inlineStr">
        <is>
          <t>TSKP payı düşüldü (10/150 oransal) | İlk tahmin BF 2.50</t>
        </is>
      </c>
    </row>
    <row r="174" outlineLevel="1">
      <c r="A174" s="27" t="n"/>
      <c r="B174" s="27" t="inlineStr">
        <is>
          <t>2011.B</t>
        </is>
      </c>
      <c r="C174" s="7" t="inlineStr">
        <is>
          <t>N2XH 3x6 mm2 TSKP kavşak panosu beslemesi (kavşak ≥55 m ise)</t>
        </is>
      </c>
      <c r="D174" s="27" t="inlineStr">
        <is>
          <t>m</t>
        </is>
      </c>
      <c r="E174" s="50" t="n">
        <v>66</v>
      </c>
      <c r="F174" s="54" t="n">
        <v>0</v>
      </c>
      <c r="G174" s="27" t="inlineStr">
        <is>
          <t>-</t>
        </is>
      </c>
      <c r="H174" s="50">
        <f>F174</f>
        <v/>
      </c>
      <c r="I174" s="51" t="n">
        <v>2.96</v>
      </c>
      <c r="J174" s="28">
        <f>H174*I174</f>
        <v/>
      </c>
      <c r="K174" s="55" t="inlineStr">
        <is>
          <t>KAPSAM DIŞI (0)</t>
        </is>
      </c>
      <c r="L174" s="7" t="inlineStr">
        <is>
          <t>REF-derin – İzmir Buca M. Prysmian 2021 4x6 3,59 (M)+%35, ×3/4 damar→3,64; Bursa T2 Delta 2015 4x6 2,55 (M)+%35, ×3/4 damar→2,59; Bursa T2 Haluk 2015 4x6 3,51 ×3/4 damar→2,63; Bursa T2 MET 2015 4x6 4,40 ×3/4 damar→3,30 → medyan 2,96 [Emsal ID: R00687;R00850;R00903;R00974]</t>
        </is>
      </c>
      <c r="M174" s="7" t="inlineStr">
        <is>
          <t>İdare: TSKP kapsam dışı | İlk tahmin BF 4.50</t>
        </is>
      </c>
    </row>
    <row r="175" outlineLevel="1">
      <c r="A175" s="27" t="n"/>
      <c r="B175" s="27" t="inlineStr">
        <is>
          <t>2011.B</t>
        </is>
      </c>
      <c r="C175" s="7" t="inlineStr">
        <is>
          <t>Ø110 koruge (HDPE) elektrik borusu – peron/üst geçit borulama</t>
        </is>
      </c>
      <c r="D175" s="27" t="inlineStr">
        <is>
          <t>m</t>
        </is>
      </c>
      <c r="E175" s="50" t="n">
        <v>572</v>
      </c>
      <c r="F175" s="50" t="n">
        <v>572</v>
      </c>
      <c r="G175" s="27" t="inlineStr">
        <is>
          <t>fire+%30</t>
        </is>
      </c>
      <c r="H175" s="50">
        <f>F175/IF(Varsayimlar!$B$21=1,1.43,1)</f>
        <v/>
      </c>
      <c r="I175" s="51" t="n">
        <v>4.5</v>
      </c>
      <c r="J175" s="28">
        <f>H175*I175</f>
        <v/>
      </c>
      <c r="K175" s="53" t="inlineStr">
        <is>
          <t>MÜHENDİSLİK TAHMİNİ</t>
        </is>
      </c>
      <c r="L175" s="7" t="inlineStr">
        <is>
          <t>TAHMIN (emsal yok) – Emsal yok (çap belirtilen HDPE/çelik boru teklifi yok; R04035 HDPE muhafaza 3,53 / R01311 4,63 çap belirsiz)</t>
        </is>
      </c>
      <c r="M175" s="7" t="inlineStr">
        <is>
          <t>HDPE Ø110 (kazı hariç)</t>
        </is>
      </c>
    </row>
    <row r="176" outlineLevel="1">
      <c r="A176" s="27" t="n"/>
      <c r="B176" s="27" t="inlineStr">
        <is>
          <t>2011.B</t>
        </is>
      </c>
      <c r="C176" s="7" t="inlineStr">
        <is>
          <t>Galvanizli çelik kablo borusu / spiral (üst geçit ve saçak inişleri)</t>
        </is>
      </c>
      <c r="D176" s="27" t="inlineStr">
        <is>
          <t>m</t>
        </is>
      </c>
      <c r="E176" s="50" t="n">
        <v>58</v>
      </c>
      <c r="F176" s="50" t="n">
        <v>58</v>
      </c>
      <c r="G176" s="27" t="inlineStr">
        <is>
          <t>fire+%30</t>
        </is>
      </c>
      <c r="H176" s="50">
        <f>F176/IF(Varsayimlar!$B$21=1,1.43,1)</f>
        <v/>
      </c>
      <c r="I176" s="51" t="n">
        <v>9</v>
      </c>
      <c r="J176" s="28">
        <f>H176*I176</f>
        <v/>
      </c>
      <c r="K176" s="53" t="inlineStr">
        <is>
          <t>MÜHENDİSLİK TAHMİNİ</t>
        </is>
      </c>
      <c r="L176" s="7" t="inlineStr">
        <is>
          <t>TAHMIN (emsal yok) – Emsal yok (çap belirtilen HDPE/çelik boru teklifi yok; R04035 HDPE muhafaza 3,53 / R01311 4,63 çap belirsiz)</t>
        </is>
      </c>
      <c r="M176" s="7" t="inlineStr">
        <is>
          <t>Galv. boru/spiral</t>
        </is>
      </c>
    </row>
    <row r="177" outlineLevel="1">
      <c r="A177" s="27" t="n"/>
      <c r="B177" s="27" t="inlineStr">
        <is>
          <t>2011.B</t>
        </is>
      </c>
      <c r="C177" s="7" t="inlineStr">
        <is>
          <t>Kablo merdiveni 300 mm (ADP/pano odası, panolar arası) + askı/konsol</t>
        </is>
      </c>
      <c r="D177" s="27" t="inlineStr">
        <is>
          <t>m</t>
        </is>
      </c>
      <c r="E177" s="50" t="n">
        <v>22</v>
      </c>
      <c r="F177" s="50" t="n">
        <v>22</v>
      </c>
      <c r="G177" s="27" t="inlineStr">
        <is>
          <t>-</t>
        </is>
      </c>
      <c r="H177" s="50">
        <f>F177</f>
        <v/>
      </c>
      <c r="I177" s="51" t="n">
        <v>16.21</v>
      </c>
      <c r="J177" s="28">
        <f>H177*I177</f>
        <v/>
      </c>
      <c r="K177" s="52" t="inlineStr">
        <is>
          <t>GEÇMİŞ TEKLİF UYARLAMA</t>
        </is>
      </c>
      <c r="L177" s="7" t="inlineStr">
        <is>
          <t>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is>
      </c>
      <c r="M177" s="7" t="inlineStr">
        <is>
          <t>Merdiven 300 + askı | İlk tahmin BF 25.00</t>
        </is>
      </c>
    </row>
    <row r="178" outlineLevel="1">
      <c r="A178" s="27" t="n"/>
      <c r="B178" s="27" t="inlineStr">
        <is>
          <t>2011.B</t>
        </is>
      </c>
      <c r="C178" s="7" t="inlineStr">
        <is>
          <t>Delikli kablo tavası 100 mm + kapak (pano odası–peron geçişleri)</t>
        </is>
      </c>
      <c r="D178" s="27" t="inlineStr">
        <is>
          <t>m</t>
        </is>
      </c>
      <c r="E178" s="50" t="n">
        <v>29</v>
      </c>
      <c r="F178" s="50" t="n">
        <v>29</v>
      </c>
      <c r="G178" s="27" t="inlineStr">
        <is>
          <t>-</t>
        </is>
      </c>
      <c r="H178" s="50">
        <f>F178</f>
        <v/>
      </c>
      <c r="I178" s="51" t="n">
        <v>11.29</v>
      </c>
      <c r="J178" s="28">
        <f>H178*I178</f>
        <v/>
      </c>
      <c r="K178" s="52" t="inlineStr">
        <is>
          <t>GEÇMİŞ TEKLİF UYARLAMA</t>
        </is>
      </c>
      <c r="L178" s="7" t="inlineStr">
        <is>
          <t>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is>
      </c>
      <c r="M178" s="7" t="inlineStr">
        <is>
          <t>Tava 100 + kapak | İlk tahmin BF 14.00</t>
        </is>
      </c>
    </row>
    <row r="179" outlineLevel="1">
      <c r="A179" s="27" t="n"/>
      <c r="B179" s="27" t="inlineStr">
        <is>
          <t>2011.B</t>
        </is>
      </c>
      <c r="C179" s="7" t="inlineStr">
        <is>
          <t>Yangın durdurucu (duvar/döşeme geçişleri)</t>
        </is>
      </c>
      <c r="D179" s="27" t="inlineStr">
        <is>
          <t>adet</t>
        </is>
      </c>
      <c r="E179" s="50" t="n">
        <v>6</v>
      </c>
      <c r="F179" s="50" t="n">
        <v>6</v>
      </c>
      <c r="G179" s="27" t="inlineStr">
        <is>
          <t>-</t>
        </is>
      </c>
      <c r="H179" s="50">
        <f>F179</f>
        <v/>
      </c>
      <c r="I179" s="51" t="n">
        <v>60</v>
      </c>
      <c r="J179" s="28">
        <f>H179*I179</f>
        <v/>
      </c>
      <c r="K179" s="53" t="inlineStr">
        <is>
          <t>MÜHENDİSLİK TAHMİNİ</t>
        </is>
      </c>
      <c r="L179" s="7" t="inlineStr">
        <is>
          <t>TAHMIN (emsal yok) – Emsal yok (yangın durdurucu/pabuç/test götürü)</t>
        </is>
      </c>
      <c r="M179" s="7" t="inlineStr">
        <is>
          <t>Yangın durdurucu</t>
        </is>
      </c>
    </row>
    <row r="180" outlineLevel="1">
      <c r="A180" s="27" t="n"/>
      <c r="B180" s="27" t="inlineStr">
        <is>
          <t>2011.B</t>
        </is>
      </c>
      <c r="C180" s="7" t="inlineStr">
        <is>
          <t>Kablo başlık/pabuç, etiket, test (izolasyon ölçümü)</t>
        </is>
      </c>
      <c r="D180" s="27" t="inlineStr">
        <is>
          <t>set</t>
        </is>
      </c>
      <c r="E180" s="50" t="n">
        <v>1</v>
      </c>
      <c r="F180" s="50" t="n">
        <v>1</v>
      </c>
      <c r="G180" s="27" t="inlineStr">
        <is>
          <t>-</t>
        </is>
      </c>
      <c r="H180" s="50">
        <f>F180</f>
        <v/>
      </c>
      <c r="I180" s="51" t="n">
        <v>350</v>
      </c>
      <c r="J180" s="28">
        <f>H180*I180</f>
        <v/>
      </c>
      <c r="K180" s="53" t="inlineStr">
        <is>
          <t>MÜHENDİSLİK TAHMİNİ</t>
        </is>
      </c>
      <c r="L180" s="7" t="inlineStr">
        <is>
          <t>TAHMIN (emsal yok) – Emsal yok (ölçüm/rapor götürü)</t>
        </is>
      </c>
      <c r="M180" s="7" t="inlineStr">
        <is>
          <t>Götürü</t>
        </is>
      </c>
    </row>
    <row r="181" outlineLevel="1">
      <c r="A181" s="27" t="n"/>
      <c r="B181" s="27" t="inlineStr">
        <is>
          <t>2011.B</t>
        </is>
      </c>
      <c r="C181" s="7" t="inlineStr">
        <is>
          <t>Döşeme altı HDPE kablo koruma borusu (aydınlatma-priz besleme güzergâhı; ana Ø110 borulamadan ayrı)</t>
        </is>
      </c>
      <c r="D181" s="27" t="inlineStr">
        <is>
          <t>m</t>
        </is>
      </c>
      <c r="E181" s="50" t="n">
        <v>783</v>
      </c>
      <c r="F181" s="50" t="n">
        <v>783</v>
      </c>
      <c r="G181" s="27" t="inlineStr">
        <is>
          <t>fire+%30</t>
        </is>
      </c>
      <c r="H181" s="50">
        <f>F181/IF(Varsayimlar!$B$21=1,1.43,1)</f>
        <v/>
      </c>
      <c r="I181" s="51" t="n">
        <v>3</v>
      </c>
      <c r="J181" s="28">
        <f>H181*I181</f>
        <v/>
      </c>
      <c r="K181" s="53" t="inlineStr">
        <is>
          <t>MÜHENDİSLİK TAHMİNİ</t>
        </is>
      </c>
      <c r="L181" s="7" t="inlineStr">
        <is>
          <t>TAHMIN (emsal yok) – Emsal yok (çap belirtilen HDPE/çelik boru teklifi yok; R04035 HDPE muhafaza 3,53 / R01311 4,63 çap belirsiz)</t>
        </is>
      </c>
      <c r="M181" s="7" t="inlineStr">
        <is>
          <t>HDPE koruma borusu küçük çap</t>
        </is>
      </c>
    </row>
    <row r="182">
      <c r="A182" s="48" t="inlineStr">
        <is>
          <t>213</t>
        </is>
      </c>
      <c r="B182" s="48" t="inlineStr">
        <is>
          <t>2011.C</t>
        </is>
      </c>
      <c r="C182" s="48" t="inlineStr">
        <is>
          <t>Balıklıgöl İstasyonu Alçak Gerilim Besleme-Dağıtım Kabloları ve Kablo Taşıma Sistemleri (1 set)</t>
        </is>
      </c>
      <c r="D182" s="48" t="n"/>
      <c r="E182" s="48" t="n"/>
      <c r="F182" s="48" t="n"/>
      <c r="G182" s="48" t="n"/>
      <c r="H182" s="48" t="inlineStr">
        <is>
          <t>RFQ tutarı →</t>
        </is>
      </c>
      <c r="I182" s="49">
        <f>SUMPRODUCT(E183:E194,I183:I194)</f>
        <v/>
      </c>
      <c r="J182" s="49">
        <f>SUM(J183:J194)</f>
        <v/>
      </c>
      <c r="K182" s="48" t="n"/>
      <c r="L182" s="48" t="n"/>
      <c r="M182" s="48" t="n"/>
    </row>
    <row r="183" outlineLevel="1">
      <c r="A183" s="27" t="n"/>
      <c r="B183" s="27" t="inlineStr">
        <is>
          <t>2011.C</t>
        </is>
      </c>
      <c r="C183" s="7" t="inlineStr">
        <is>
          <t>N2XH 4x6 mm2 (ADP→APP, UPS, YMP-01/02/03, ASP-01/02/03)</t>
        </is>
      </c>
      <c r="D183" s="27" t="inlineStr">
        <is>
          <t>m</t>
        </is>
      </c>
      <c r="E183" s="50" t="n">
        <v>275</v>
      </c>
      <c r="F183" s="50" t="n">
        <v>275</v>
      </c>
      <c r="G183" s="27" t="inlineStr">
        <is>
          <t>-</t>
        </is>
      </c>
      <c r="H183" s="50">
        <f>F183</f>
        <v/>
      </c>
      <c r="I183" s="51" t="n">
        <v>3.95</v>
      </c>
      <c r="J183" s="28">
        <f>H183*I183</f>
        <v/>
      </c>
      <c r="K183" s="52" t="inlineStr">
        <is>
          <t>GEÇMİŞ TEKLİF UYARLAMA</t>
        </is>
      </c>
      <c r="L183" s="7" t="inlineStr">
        <is>
          <t>REF-derin – İzmir Buca M. Prysmian 2021 4x6 3,59 (M)+%35 montaj→4,85; Bursa T2 Delta 2015 4x6 2,55 (M)+%35 montaj→3,45; Bursa T2 Haluk 2015 4x6 3,51; Bursa T2 MET 2015 4x6 4,40 → medyan 3,95 [Emsal ID: R00687;R00850;R00903;R00974]</t>
        </is>
      </c>
      <c r="M183" s="7" t="inlineStr">
        <is>
          <t>N2XH 4x6 | İlk tahmin BF 5.50</t>
        </is>
      </c>
    </row>
    <row r="184" outlineLevel="1">
      <c r="A184" s="27" t="n"/>
      <c r="B184" s="27" t="inlineStr">
        <is>
          <t>2011.C</t>
        </is>
      </c>
      <c r="C184" s="7" t="inlineStr">
        <is>
          <t>N2XH 4x2,5 mm2 (ADP→SK)</t>
        </is>
      </c>
      <c r="D184" s="27" t="inlineStr">
        <is>
          <t>m</t>
        </is>
      </c>
      <c r="E184" s="50" t="n">
        <v>27.5</v>
      </c>
      <c r="F184" s="50" t="n">
        <v>27.5</v>
      </c>
      <c r="G184" s="27" t="inlineStr">
        <is>
          <t>fire %10</t>
        </is>
      </c>
      <c r="H184" s="50">
        <f>F184/IF(Varsayimlar!$B$21=1,1.1,1)</f>
        <v/>
      </c>
      <c r="I184" s="51" t="n">
        <v>2.21</v>
      </c>
      <c r="J184" s="28">
        <f>H184*I184</f>
        <v/>
      </c>
      <c r="K184" s="52" t="inlineStr">
        <is>
          <t>GEÇMİŞ TEKLİF UYARLAMA</t>
        </is>
      </c>
      <c r="L184" s="7" t="inlineStr">
        <is>
          <t>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is>
      </c>
      <c r="M184" s="7" t="inlineStr">
        <is>
          <t>N2XH 4x2,5 | İlk tahmin BF 3.20</t>
        </is>
      </c>
    </row>
    <row r="185" outlineLevel="1">
      <c r="A185" s="27" t="n"/>
      <c r="B185" s="27" t="inlineStr">
        <is>
          <t>2011.C</t>
        </is>
      </c>
      <c r="C185" s="7" t="inlineStr">
        <is>
          <t>N2XH 4x6+6 (UPS→UPS dağıtım panosu) / H07Z-R 1x6 PE</t>
        </is>
      </c>
      <c r="D185" s="27" t="inlineStr">
        <is>
          <t>m</t>
        </is>
      </c>
      <c r="E185" s="50" t="n">
        <v>22</v>
      </c>
      <c r="F185" s="50" t="n">
        <v>22</v>
      </c>
      <c r="G185" s="27" t="inlineStr">
        <is>
          <t>-</t>
        </is>
      </c>
      <c r="H185" s="50">
        <f>F185</f>
        <v/>
      </c>
      <c r="I185" s="51" t="n">
        <v>4.94</v>
      </c>
      <c r="J185" s="28">
        <f>H185*I185</f>
        <v/>
      </c>
      <c r="K185" s="52" t="inlineStr">
        <is>
          <t>GEÇMİŞ TEKLİF UYARLAMA</t>
        </is>
      </c>
      <c r="L185" s="7" t="inlineStr">
        <is>
          <t>REF-derin – İzmir Buca M. Prysmian 2021 4x6 3,59 (M)+%35, +%25 1x6 PE→6,06; Bursa T2 Delta 2015 4x6 2,55 (M)+%35, +%25 1x6 PE→4,31; Bursa T2 Haluk 2015 4x6 3,51 +%25 1x6 PE→4,38; Bursa T2 MET 2015 4x6 4,40 +%25 1x6 PE→5,50 → medyan 4,94 [Emsal ID: R00687;R00850;R00903;R00974]</t>
        </is>
      </c>
      <c r="M185" s="7" t="inlineStr">
        <is>
          <t>N2XH 4x6+6 + PE | İlk tahmin BF 7.00</t>
        </is>
      </c>
    </row>
    <row r="186" outlineLevel="1">
      <c r="A186" s="27" t="n"/>
      <c r="B186" s="27" t="inlineStr">
        <is>
          <t>2011.C</t>
        </is>
      </c>
      <c r="C186" s="7" t="inlineStr">
        <is>
          <t>N2XH 3x2,5 mm2 – UPS panosundan sistem panolarına besleme (turnike 25, yolcu bilg. 60, biletmatik 15, haberleşme 5, AVLS 10, TSKP 10, SKP 10, DU 15)</t>
        </is>
      </c>
      <c r="D186" s="27" t="inlineStr">
        <is>
          <t>m</t>
        </is>
      </c>
      <c r="E186" s="50" t="n">
        <v>319</v>
      </c>
      <c r="F186" s="54" t="n">
        <v>297.7</v>
      </c>
      <c r="G186" s="27" t="inlineStr">
        <is>
          <t>-</t>
        </is>
      </c>
      <c r="H186" s="50">
        <f>F186</f>
        <v/>
      </c>
      <c r="I186" s="51" t="n">
        <v>1.83</v>
      </c>
      <c r="J186" s="28">
        <f>H186*I186</f>
        <v/>
      </c>
      <c r="K186" s="52" t="inlineStr">
        <is>
          <t>GEÇMİŞ TEKLİF UYARLAMA</t>
        </is>
      </c>
      <c r="L186" s="7" t="inlineStr">
        <is>
          <t>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is>
      </c>
      <c r="M186" s="7" t="inlineStr">
        <is>
          <t>TSKP payı düşüldü (10/150 oransal) | İlk tahmin BF 2.50</t>
        </is>
      </c>
    </row>
    <row r="187" outlineLevel="1">
      <c r="A187" s="27" t="n"/>
      <c r="B187" s="27" t="inlineStr">
        <is>
          <t>2011.C</t>
        </is>
      </c>
      <c r="C187" s="7" t="inlineStr">
        <is>
          <t>N2XH 3x6 mm2 TSKP kavşak panosu beslemesi (kavşak ≥55 m ise)</t>
        </is>
      </c>
      <c r="D187" s="27" t="inlineStr">
        <is>
          <t>m</t>
        </is>
      </c>
      <c r="E187" s="50" t="n">
        <v>66</v>
      </c>
      <c r="F187" s="54" t="n">
        <v>0</v>
      </c>
      <c r="G187" s="27" t="inlineStr">
        <is>
          <t>-</t>
        </is>
      </c>
      <c r="H187" s="50">
        <f>F187</f>
        <v/>
      </c>
      <c r="I187" s="51" t="n">
        <v>2.96</v>
      </c>
      <c r="J187" s="28">
        <f>H187*I187</f>
        <v/>
      </c>
      <c r="K187" s="55" t="inlineStr">
        <is>
          <t>KAPSAM DIŞI (0)</t>
        </is>
      </c>
      <c r="L187" s="7" t="inlineStr">
        <is>
          <t>REF-derin – İzmir Buca M. Prysmian 2021 4x6 3,59 (M)+%35, ×3/4 damar→3,64; Bursa T2 Delta 2015 4x6 2,55 (M)+%35, ×3/4 damar→2,59; Bursa T2 Haluk 2015 4x6 3,51 ×3/4 damar→2,63; Bursa T2 MET 2015 4x6 4,40 ×3/4 damar→3,30 → medyan 2,96 [Emsal ID: R00687;R00850;R00903;R00974]</t>
        </is>
      </c>
      <c r="M187" s="7" t="inlineStr">
        <is>
          <t>İdare: TSKP kapsam dışı | İlk tahmin BF 4.50</t>
        </is>
      </c>
    </row>
    <row r="188" outlineLevel="1">
      <c r="A188" s="27" t="n"/>
      <c r="B188" s="27" t="inlineStr">
        <is>
          <t>2011.C</t>
        </is>
      </c>
      <c r="C188" s="7" t="inlineStr">
        <is>
          <t>Ø110 koruge (HDPE) elektrik borusu – peron/üst geçit borulama</t>
        </is>
      </c>
      <c r="D188" s="27" t="inlineStr">
        <is>
          <t>m</t>
        </is>
      </c>
      <c r="E188" s="50" t="n">
        <v>572</v>
      </c>
      <c r="F188" s="50" t="n">
        <v>572</v>
      </c>
      <c r="G188" s="27" t="inlineStr">
        <is>
          <t>fire+%30</t>
        </is>
      </c>
      <c r="H188" s="50">
        <f>F188/IF(Varsayimlar!$B$21=1,1.43,1)</f>
        <v/>
      </c>
      <c r="I188" s="51" t="n">
        <v>4.5</v>
      </c>
      <c r="J188" s="28">
        <f>H188*I188</f>
        <v/>
      </c>
      <c r="K188" s="53" t="inlineStr">
        <is>
          <t>MÜHENDİSLİK TAHMİNİ</t>
        </is>
      </c>
      <c r="L188" s="7" t="inlineStr">
        <is>
          <t>TAHMIN (emsal yok) – Emsal yok (çap belirtilen HDPE/çelik boru teklifi yok; R04035 HDPE muhafaza 3,53 / R01311 4,63 çap belirsiz)</t>
        </is>
      </c>
      <c r="M188" s="7" t="inlineStr">
        <is>
          <t>HDPE Ø110 (kazı hariç)</t>
        </is>
      </c>
    </row>
    <row r="189" outlineLevel="1">
      <c r="A189" s="27" t="n"/>
      <c r="B189" s="27" t="inlineStr">
        <is>
          <t>2011.C</t>
        </is>
      </c>
      <c r="C189" s="7" t="inlineStr">
        <is>
          <t>Galvanizli çelik kablo borusu / spiral (üst geçit ve saçak inişleri)</t>
        </is>
      </c>
      <c r="D189" s="27" t="inlineStr">
        <is>
          <t>m</t>
        </is>
      </c>
      <c r="E189" s="50" t="n">
        <v>58</v>
      </c>
      <c r="F189" s="50" t="n">
        <v>58</v>
      </c>
      <c r="G189" s="27" t="inlineStr">
        <is>
          <t>fire+%30</t>
        </is>
      </c>
      <c r="H189" s="50">
        <f>F189/IF(Varsayimlar!$B$21=1,1.43,1)</f>
        <v/>
      </c>
      <c r="I189" s="51" t="n">
        <v>9</v>
      </c>
      <c r="J189" s="28">
        <f>H189*I189</f>
        <v/>
      </c>
      <c r="K189" s="53" t="inlineStr">
        <is>
          <t>MÜHENDİSLİK TAHMİNİ</t>
        </is>
      </c>
      <c r="L189" s="7" t="inlineStr">
        <is>
          <t>TAHMIN (emsal yok) – Emsal yok (çap belirtilen HDPE/çelik boru teklifi yok; R04035 HDPE muhafaza 3,53 / R01311 4,63 çap belirsiz)</t>
        </is>
      </c>
      <c r="M189" s="7" t="inlineStr">
        <is>
          <t>Galv. boru/spiral</t>
        </is>
      </c>
    </row>
    <row r="190" outlineLevel="1">
      <c r="A190" s="27" t="n"/>
      <c r="B190" s="27" t="inlineStr">
        <is>
          <t>2011.C</t>
        </is>
      </c>
      <c r="C190" s="7" t="inlineStr">
        <is>
          <t>Kablo merdiveni 300 mm (ADP/pano odası, panolar arası) + askı/konsol</t>
        </is>
      </c>
      <c r="D190" s="27" t="inlineStr">
        <is>
          <t>m</t>
        </is>
      </c>
      <c r="E190" s="50" t="n">
        <v>22</v>
      </c>
      <c r="F190" s="50" t="n">
        <v>22</v>
      </c>
      <c r="G190" s="27" t="inlineStr">
        <is>
          <t>-</t>
        </is>
      </c>
      <c r="H190" s="50">
        <f>F190</f>
        <v/>
      </c>
      <c r="I190" s="51" t="n">
        <v>16.21</v>
      </c>
      <c r="J190" s="28">
        <f>H190*I190</f>
        <v/>
      </c>
      <c r="K190" s="52" t="inlineStr">
        <is>
          <t>GEÇMİŞ TEKLİF UYARLAMA</t>
        </is>
      </c>
      <c r="L190" s="7" t="inlineStr">
        <is>
          <t>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is>
      </c>
      <c r="M190" s="7" t="inlineStr">
        <is>
          <t>Merdiven 300 + askı | İlk tahmin BF 25.00</t>
        </is>
      </c>
    </row>
    <row r="191" outlineLevel="1">
      <c r="A191" s="27" t="n"/>
      <c r="B191" s="27" t="inlineStr">
        <is>
          <t>2011.C</t>
        </is>
      </c>
      <c r="C191" s="7" t="inlineStr">
        <is>
          <t>Delikli kablo tavası 100 mm + kapak (pano odası–peron geçişleri)</t>
        </is>
      </c>
      <c r="D191" s="27" t="inlineStr">
        <is>
          <t>m</t>
        </is>
      </c>
      <c r="E191" s="50" t="n">
        <v>29</v>
      </c>
      <c r="F191" s="50" t="n">
        <v>29</v>
      </c>
      <c r="G191" s="27" t="inlineStr">
        <is>
          <t>-</t>
        </is>
      </c>
      <c r="H191" s="50">
        <f>F191</f>
        <v/>
      </c>
      <c r="I191" s="51" t="n">
        <v>11.29</v>
      </c>
      <c r="J191" s="28">
        <f>H191*I191</f>
        <v/>
      </c>
      <c r="K191" s="52" t="inlineStr">
        <is>
          <t>GEÇMİŞ TEKLİF UYARLAMA</t>
        </is>
      </c>
      <c r="L191" s="7" t="inlineStr">
        <is>
          <t>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is>
      </c>
      <c r="M191" s="7" t="inlineStr">
        <is>
          <t>Tava 100 + kapak | İlk tahmin BF 14.00</t>
        </is>
      </c>
    </row>
    <row r="192" outlineLevel="1">
      <c r="A192" s="27" t="n"/>
      <c r="B192" s="27" t="inlineStr">
        <is>
          <t>2011.C</t>
        </is>
      </c>
      <c r="C192" s="7" t="inlineStr">
        <is>
          <t>Yangın durdurucu (duvar/döşeme geçişleri)</t>
        </is>
      </c>
      <c r="D192" s="27" t="inlineStr">
        <is>
          <t>adet</t>
        </is>
      </c>
      <c r="E192" s="50" t="n">
        <v>6</v>
      </c>
      <c r="F192" s="50" t="n">
        <v>6</v>
      </c>
      <c r="G192" s="27" t="inlineStr">
        <is>
          <t>-</t>
        </is>
      </c>
      <c r="H192" s="50">
        <f>F192</f>
        <v/>
      </c>
      <c r="I192" s="51" t="n">
        <v>60</v>
      </c>
      <c r="J192" s="28">
        <f>H192*I192</f>
        <v/>
      </c>
      <c r="K192" s="53" t="inlineStr">
        <is>
          <t>MÜHENDİSLİK TAHMİNİ</t>
        </is>
      </c>
      <c r="L192" s="7" t="inlineStr">
        <is>
          <t>TAHMIN (emsal yok) – Emsal yok (yangın durdurucu/pabuç/test götürü)</t>
        </is>
      </c>
      <c r="M192" s="7" t="inlineStr">
        <is>
          <t>Yangın durdurucu</t>
        </is>
      </c>
    </row>
    <row r="193" outlineLevel="1">
      <c r="A193" s="27" t="n"/>
      <c r="B193" s="27" t="inlineStr">
        <is>
          <t>2011.C</t>
        </is>
      </c>
      <c r="C193" s="7" t="inlineStr">
        <is>
          <t>Kablo başlık/pabuç, etiket, test (izolasyon ölçümü)</t>
        </is>
      </c>
      <c r="D193" s="27" t="inlineStr">
        <is>
          <t>set</t>
        </is>
      </c>
      <c r="E193" s="50" t="n">
        <v>1</v>
      </c>
      <c r="F193" s="50" t="n">
        <v>1</v>
      </c>
      <c r="G193" s="27" t="inlineStr">
        <is>
          <t>-</t>
        </is>
      </c>
      <c r="H193" s="50">
        <f>F193</f>
        <v/>
      </c>
      <c r="I193" s="51" t="n">
        <v>350</v>
      </c>
      <c r="J193" s="28">
        <f>H193*I193</f>
        <v/>
      </c>
      <c r="K193" s="53" t="inlineStr">
        <is>
          <t>MÜHENDİSLİK TAHMİNİ</t>
        </is>
      </c>
      <c r="L193" s="7" t="inlineStr">
        <is>
          <t>TAHMIN (emsal yok) – Emsal yok (ölçüm/rapor götürü)</t>
        </is>
      </c>
      <c r="M193" s="7" t="inlineStr">
        <is>
          <t>Götürü</t>
        </is>
      </c>
    </row>
    <row r="194" outlineLevel="1">
      <c r="A194" s="27" t="n"/>
      <c r="B194" s="27" t="inlineStr">
        <is>
          <t>2011.C</t>
        </is>
      </c>
      <c r="C194" s="7" t="inlineStr">
        <is>
          <t>Döşeme altı HDPE kablo koruma borusu (aydınlatma-priz besleme güzergâhı; ana Ø110 borulamadan ayrı)</t>
        </is>
      </c>
      <c r="D194" s="27" t="inlineStr">
        <is>
          <t>m</t>
        </is>
      </c>
      <c r="E194" s="50" t="n">
        <v>783</v>
      </c>
      <c r="F194" s="50" t="n">
        <v>783</v>
      </c>
      <c r="G194" s="27" t="inlineStr">
        <is>
          <t>fire+%30</t>
        </is>
      </c>
      <c r="H194" s="50">
        <f>F194/IF(Varsayimlar!$B$21=1,1.43,1)</f>
        <v/>
      </c>
      <c r="I194" s="51" t="n">
        <v>3</v>
      </c>
      <c r="J194" s="28">
        <f>H194*I194</f>
        <v/>
      </c>
      <c r="K194" s="53" t="inlineStr">
        <is>
          <t>MÜHENDİSLİK TAHMİNİ</t>
        </is>
      </c>
      <c r="L194" s="7" t="inlineStr">
        <is>
          <t>TAHMIN (emsal yok) – Emsal yok (çap belirtilen HDPE/çelik boru teklifi yok; R04035 HDPE muhafaza 3,53 / R01311 4,63 çap belirsiz)</t>
        </is>
      </c>
      <c r="M194" s="7" t="inlineStr">
        <is>
          <t>HDPE koruma borusu küçük çap</t>
        </is>
      </c>
    </row>
    <row r="195">
      <c r="A195" s="48" t="inlineStr">
        <is>
          <t>214</t>
        </is>
      </c>
      <c r="B195" s="48" t="inlineStr">
        <is>
          <t>2011.D</t>
        </is>
      </c>
      <c r="C195" s="48" t="inlineStr">
        <is>
          <t>Eyüp Peygamber İstasyonu Alçak Gerilim Besleme-Dağıtım Kabloları ve Kablo Taşıma Sistemleri (1 set)</t>
        </is>
      </c>
      <c r="D195" s="48" t="n"/>
      <c r="E195" s="48" t="n"/>
      <c r="F195" s="48" t="n"/>
      <c r="G195" s="48" t="n"/>
      <c r="H195" s="48" t="inlineStr">
        <is>
          <t>RFQ tutarı →</t>
        </is>
      </c>
      <c r="I195" s="49">
        <f>SUMPRODUCT(E196:E207,I196:I207)</f>
        <v/>
      </c>
      <c r="J195" s="49">
        <f>SUM(J196:J207)</f>
        <v/>
      </c>
      <c r="K195" s="48" t="n"/>
      <c r="L195" s="48" t="n"/>
      <c r="M195" s="48" t="n"/>
    </row>
    <row r="196" outlineLevel="1">
      <c r="A196" s="27" t="n"/>
      <c r="B196" s="27" t="inlineStr">
        <is>
          <t>2011.D</t>
        </is>
      </c>
      <c r="C196" s="7" t="inlineStr">
        <is>
          <t>N2XH 4x6 mm2 (ADP→APP, UPS, YMP-01/02/03, ASP-01/02/03)</t>
        </is>
      </c>
      <c r="D196" s="27" t="inlineStr">
        <is>
          <t>m</t>
        </is>
      </c>
      <c r="E196" s="50" t="n">
        <v>275</v>
      </c>
      <c r="F196" s="50" t="n">
        <v>275</v>
      </c>
      <c r="G196" s="27" t="inlineStr">
        <is>
          <t>-</t>
        </is>
      </c>
      <c r="H196" s="50">
        <f>F196</f>
        <v/>
      </c>
      <c r="I196" s="51" t="n">
        <v>3.95</v>
      </c>
      <c r="J196" s="28">
        <f>H196*I196</f>
        <v/>
      </c>
      <c r="K196" s="52" t="inlineStr">
        <is>
          <t>GEÇMİŞ TEKLİF UYARLAMA</t>
        </is>
      </c>
      <c r="L196" s="7" t="inlineStr">
        <is>
          <t>REF-derin – İzmir Buca M. Prysmian 2021 4x6 3,59 (M)+%35 montaj→4,85; Bursa T2 Delta 2015 4x6 2,55 (M)+%35 montaj→3,45; Bursa T2 Haluk 2015 4x6 3,51; Bursa T2 MET 2015 4x6 4,40 → medyan 3,95 [Emsal ID: R00687;R00850;R00903;R00974]</t>
        </is>
      </c>
      <c r="M196" s="7" t="inlineStr">
        <is>
          <t>N2XH 4x6 | İlk tahmin BF 5.50</t>
        </is>
      </c>
    </row>
    <row r="197" outlineLevel="1">
      <c r="A197" s="27" t="n"/>
      <c r="B197" s="27" t="inlineStr">
        <is>
          <t>2011.D</t>
        </is>
      </c>
      <c r="C197" s="7" t="inlineStr">
        <is>
          <t>N2XH 4x2,5 mm2 (ADP→SK)</t>
        </is>
      </c>
      <c r="D197" s="27" t="inlineStr">
        <is>
          <t>m</t>
        </is>
      </c>
      <c r="E197" s="50" t="n">
        <v>27.5</v>
      </c>
      <c r="F197" s="50" t="n">
        <v>27.5</v>
      </c>
      <c r="G197" s="27" t="inlineStr">
        <is>
          <t>fire %10</t>
        </is>
      </c>
      <c r="H197" s="50">
        <f>F197/IF(Varsayimlar!$B$21=1,1.1,1)</f>
        <v/>
      </c>
      <c r="I197" s="51" t="n">
        <v>2.21</v>
      </c>
      <c r="J197" s="28">
        <f>H197*I197</f>
        <v/>
      </c>
      <c r="K197" s="52" t="inlineStr">
        <is>
          <t>GEÇMİŞ TEKLİF UYARLAMA</t>
        </is>
      </c>
      <c r="L197" s="7" t="inlineStr">
        <is>
          <t>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is>
      </c>
      <c r="M197" s="7" t="inlineStr">
        <is>
          <t>N2XH 4x2,5 | İlk tahmin BF 3.20</t>
        </is>
      </c>
    </row>
    <row r="198" outlineLevel="1">
      <c r="A198" s="27" t="n"/>
      <c r="B198" s="27" t="inlineStr">
        <is>
          <t>2011.D</t>
        </is>
      </c>
      <c r="C198" s="7" t="inlineStr">
        <is>
          <t>N2XH 4x6+6 (UPS→UPS dağıtım panosu) / H07Z-R 1x6 PE</t>
        </is>
      </c>
      <c r="D198" s="27" t="inlineStr">
        <is>
          <t>m</t>
        </is>
      </c>
      <c r="E198" s="50" t="n">
        <v>22</v>
      </c>
      <c r="F198" s="50" t="n">
        <v>22</v>
      </c>
      <c r="G198" s="27" t="inlineStr">
        <is>
          <t>-</t>
        </is>
      </c>
      <c r="H198" s="50">
        <f>F198</f>
        <v/>
      </c>
      <c r="I198" s="51" t="n">
        <v>4.94</v>
      </c>
      <c r="J198" s="28">
        <f>H198*I198</f>
        <v/>
      </c>
      <c r="K198" s="52" t="inlineStr">
        <is>
          <t>GEÇMİŞ TEKLİF UYARLAMA</t>
        </is>
      </c>
      <c r="L198" s="7" t="inlineStr">
        <is>
          <t>REF-derin – İzmir Buca M. Prysmian 2021 4x6 3,59 (M)+%35, +%25 1x6 PE→6,06; Bursa T2 Delta 2015 4x6 2,55 (M)+%35, +%25 1x6 PE→4,31; Bursa T2 Haluk 2015 4x6 3,51 +%25 1x6 PE→4,38; Bursa T2 MET 2015 4x6 4,40 +%25 1x6 PE→5,50 → medyan 4,94 [Emsal ID: R00687;R00850;R00903;R00974]</t>
        </is>
      </c>
      <c r="M198" s="7" t="inlineStr">
        <is>
          <t>N2XH 4x6+6 + PE | İlk tahmin BF 7.00</t>
        </is>
      </c>
    </row>
    <row r="199" outlineLevel="1">
      <c r="A199" s="27" t="n"/>
      <c r="B199" s="27" t="inlineStr">
        <is>
          <t>2011.D</t>
        </is>
      </c>
      <c r="C199" s="7" t="inlineStr">
        <is>
          <t>N2XH 3x2,5 mm2 – UPS panosundan sistem panolarına besleme (turnike 25, yolcu bilg. 60, biletmatik 15, haberleşme 5, AVLS 10, TSKP 10, SKP 10, DU 15)</t>
        </is>
      </c>
      <c r="D199" s="27" t="inlineStr">
        <is>
          <t>m</t>
        </is>
      </c>
      <c r="E199" s="50" t="n">
        <v>319</v>
      </c>
      <c r="F199" s="54" t="n">
        <v>297.7</v>
      </c>
      <c r="G199" s="27" t="inlineStr">
        <is>
          <t>-</t>
        </is>
      </c>
      <c r="H199" s="50">
        <f>F199</f>
        <v/>
      </c>
      <c r="I199" s="51" t="n">
        <v>1.83</v>
      </c>
      <c r="J199" s="28">
        <f>H199*I199</f>
        <v/>
      </c>
      <c r="K199" s="52" t="inlineStr">
        <is>
          <t>GEÇMİŞ TEKLİF UYARLAMA</t>
        </is>
      </c>
      <c r="L199" s="7" t="inlineStr">
        <is>
          <t>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is>
      </c>
      <c r="M199" s="7" t="inlineStr">
        <is>
          <t>TSKP payı düşüldü (10/150 oransal) | İlk tahmin BF 2.50</t>
        </is>
      </c>
    </row>
    <row r="200" outlineLevel="1">
      <c r="A200" s="27" t="n"/>
      <c r="B200" s="27" t="inlineStr">
        <is>
          <t>2011.D</t>
        </is>
      </c>
      <c r="C200" s="7" t="inlineStr">
        <is>
          <t>N2XH 3x6 mm2 TSKP kavşak panosu beslemesi (kavşak ≥55 m ise)</t>
        </is>
      </c>
      <c r="D200" s="27" t="inlineStr">
        <is>
          <t>m</t>
        </is>
      </c>
      <c r="E200" s="50" t="n">
        <v>66</v>
      </c>
      <c r="F200" s="54" t="n">
        <v>0</v>
      </c>
      <c r="G200" s="27" t="inlineStr">
        <is>
          <t>-</t>
        </is>
      </c>
      <c r="H200" s="50">
        <f>F200</f>
        <v/>
      </c>
      <c r="I200" s="51" t="n">
        <v>2.96</v>
      </c>
      <c r="J200" s="28">
        <f>H200*I200</f>
        <v/>
      </c>
      <c r="K200" s="55" t="inlineStr">
        <is>
          <t>KAPSAM DIŞI (0)</t>
        </is>
      </c>
      <c r="L200" s="7" t="inlineStr">
        <is>
          <t>REF-derin – İzmir Buca M. Prysmian 2021 4x6 3,59 (M)+%35, ×3/4 damar→3,64; Bursa T2 Delta 2015 4x6 2,55 (M)+%35, ×3/4 damar→2,59; Bursa T2 Haluk 2015 4x6 3,51 ×3/4 damar→2,63; Bursa T2 MET 2015 4x6 4,40 ×3/4 damar→3,30 → medyan 2,96 [Emsal ID: R00687;R00850;R00903;R00974]</t>
        </is>
      </c>
      <c r="M200" s="7" t="inlineStr">
        <is>
          <t>İdare: TSKP kapsam dışı | İlk tahmin BF 4.50</t>
        </is>
      </c>
    </row>
    <row r="201" outlineLevel="1">
      <c r="A201" s="27" t="n"/>
      <c r="B201" s="27" t="inlineStr">
        <is>
          <t>2011.D</t>
        </is>
      </c>
      <c r="C201" s="7" t="inlineStr">
        <is>
          <t>Ø110 koruge (HDPE) elektrik borusu – peron/üst geçit borulama</t>
        </is>
      </c>
      <c r="D201" s="27" t="inlineStr">
        <is>
          <t>m</t>
        </is>
      </c>
      <c r="E201" s="50" t="n">
        <v>572</v>
      </c>
      <c r="F201" s="50" t="n">
        <v>572</v>
      </c>
      <c r="G201" s="27" t="inlineStr">
        <is>
          <t>fire+%30</t>
        </is>
      </c>
      <c r="H201" s="50">
        <f>F201/IF(Varsayimlar!$B$21=1,1.43,1)</f>
        <v/>
      </c>
      <c r="I201" s="51" t="n">
        <v>4.5</v>
      </c>
      <c r="J201" s="28">
        <f>H201*I201</f>
        <v/>
      </c>
      <c r="K201" s="53" t="inlineStr">
        <is>
          <t>MÜHENDİSLİK TAHMİNİ</t>
        </is>
      </c>
      <c r="L201" s="7" t="inlineStr">
        <is>
          <t>TAHMIN (emsal yok) – Emsal yok (çap belirtilen HDPE/çelik boru teklifi yok; R04035 HDPE muhafaza 3,53 / R01311 4,63 çap belirsiz)</t>
        </is>
      </c>
      <c r="M201" s="7" t="inlineStr">
        <is>
          <t>HDPE Ø110 (kazı hariç)</t>
        </is>
      </c>
    </row>
    <row r="202" outlineLevel="1">
      <c r="A202" s="27" t="n"/>
      <c r="B202" s="27" t="inlineStr">
        <is>
          <t>2011.D</t>
        </is>
      </c>
      <c r="C202" s="7" t="inlineStr">
        <is>
          <t>Galvanizli çelik kablo borusu / spiral (üst geçit ve saçak inişleri)</t>
        </is>
      </c>
      <c r="D202" s="27" t="inlineStr">
        <is>
          <t>m</t>
        </is>
      </c>
      <c r="E202" s="50" t="n">
        <v>58</v>
      </c>
      <c r="F202" s="50" t="n">
        <v>58</v>
      </c>
      <c r="G202" s="27" t="inlineStr">
        <is>
          <t>fire+%30</t>
        </is>
      </c>
      <c r="H202" s="50">
        <f>F202/IF(Varsayimlar!$B$21=1,1.43,1)</f>
        <v/>
      </c>
      <c r="I202" s="51" t="n">
        <v>9</v>
      </c>
      <c r="J202" s="28">
        <f>H202*I202</f>
        <v/>
      </c>
      <c r="K202" s="53" t="inlineStr">
        <is>
          <t>MÜHENDİSLİK TAHMİNİ</t>
        </is>
      </c>
      <c r="L202" s="7" t="inlineStr">
        <is>
          <t>TAHMIN (emsal yok) – Emsal yok (çap belirtilen HDPE/çelik boru teklifi yok; R04035 HDPE muhafaza 3,53 / R01311 4,63 çap belirsiz)</t>
        </is>
      </c>
      <c r="M202" s="7" t="inlineStr">
        <is>
          <t>Galv. boru/spiral</t>
        </is>
      </c>
    </row>
    <row r="203" outlineLevel="1">
      <c r="A203" s="27" t="n"/>
      <c r="B203" s="27" t="inlineStr">
        <is>
          <t>2011.D</t>
        </is>
      </c>
      <c r="C203" s="7" t="inlineStr">
        <is>
          <t>Kablo merdiveni 300 mm (ADP/pano odası, panolar arası) + askı/konsol</t>
        </is>
      </c>
      <c r="D203" s="27" t="inlineStr">
        <is>
          <t>m</t>
        </is>
      </c>
      <c r="E203" s="50" t="n">
        <v>22</v>
      </c>
      <c r="F203" s="50" t="n">
        <v>22</v>
      </c>
      <c r="G203" s="27" t="inlineStr">
        <is>
          <t>-</t>
        </is>
      </c>
      <c r="H203" s="50">
        <f>F203</f>
        <v/>
      </c>
      <c r="I203" s="51" t="n">
        <v>16.21</v>
      </c>
      <c r="J203" s="28">
        <f>H203*I203</f>
        <v/>
      </c>
      <c r="K203" s="52" t="inlineStr">
        <is>
          <t>GEÇMİŞ TEKLİF UYARLAMA</t>
        </is>
      </c>
      <c r="L203" s="7" t="inlineStr">
        <is>
          <t>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is>
      </c>
      <c r="M203" s="7" t="inlineStr">
        <is>
          <t>Merdiven 300 + askı | İlk tahmin BF 25.00</t>
        </is>
      </c>
    </row>
    <row r="204" outlineLevel="1">
      <c r="A204" s="27" t="n"/>
      <c r="B204" s="27" t="inlineStr">
        <is>
          <t>2011.D</t>
        </is>
      </c>
      <c r="C204" s="7" t="inlineStr">
        <is>
          <t>Delikli kablo tavası 100 mm + kapak (pano odası–peron geçişleri)</t>
        </is>
      </c>
      <c r="D204" s="27" t="inlineStr">
        <is>
          <t>m</t>
        </is>
      </c>
      <c r="E204" s="50" t="n">
        <v>29</v>
      </c>
      <c r="F204" s="50" t="n">
        <v>29</v>
      </c>
      <c r="G204" s="27" t="inlineStr">
        <is>
          <t>-</t>
        </is>
      </c>
      <c r="H204" s="50">
        <f>F204</f>
        <v/>
      </c>
      <c r="I204" s="51" t="n">
        <v>11.29</v>
      </c>
      <c r="J204" s="28">
        <f>H204*I204</f>
        <v/>
      </c>
      <c r="K204" s="52" t="inlineStr">
        <is>
          <t>GEÇMİŞ TEKLİF UYARLAMA</t>
        </is>
      </c>
      <c r="L204" s="7" t="inlineStr">
        <is>
          <t>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is>
      </c>
      <c r="M204" s="7" t="inlineStr">
        <is>
          <t>Tava 100 + kapak | İlk tahmin BF 14.00</t>
        </is>
      </c>
    </row>
    <row r="205" outlineLevel="1">
      <c r="A205" s="27" t="n"/>
      <c r="B205" s="27" t="inlineStr">
        <is>
          <t>2011.D</t>
        </is>
      </c>
      <c r="C205" s="7" t="inlineStr">
        <is>
          <t>Yangın durdurucu (duvar/döşeme geçişleri)</t>
        </is>
      </c>
      <c r="D205" s="27" t="inlineStr">
        <is>
          <t>adet</t>
        </is>
      </c>
      <c r="E205" s="50" t="n">
        <v>6</v>
      </c>
      <c r="F205" s="50" t="n">
        <v>6</v>
      </c>
      <c r="G205" s="27" t="inlineStr">
        <is>
          <t>-</t>
        </is>
      </c>
      <c r="H205" s="50">
        <f>F205</f>
        <v/>
      </c>
      <c r="I205" s="51" t="n">
        <v>60</v>
      </c>
      <c r="J205" s="28">
        <f>H205*I205</f>
        <v/>
      </c>
      <c r="K205" s="53" t="inlineStr">
        <is>
          <t>MÜHENDİSLİK TAHMİNİ</t>
        </is>
      </c>
      <c r="L205" s="7" t="inlineStr">
        <is>
          <t>TAHMIN (emsal yok) – Emsal yok (yangın durdurucu/pabuç/test götürü)</t>
        </is>
      </c>
      <c r="M205" s="7" t="inlineStr">
        <is>
          <t>Yangın durdurucu</t>
        </is>
      </c>
    </row>
    <row r="206" outlineLevel="1">
      <c r="A206" s="27" t="n"/>
      <c r="B206" s="27" t="inlineStr">
        <is>
          <t>2011.D</t>
        </is>
      </c>
      <c r="C206" s="7" t="inlineStr">
        <is>
          <t>Kablo başlık/pabuç, etiket, test (izolasyon ölçümü)</t>
        </is>
      </c>
      <c r="D206" s="27" t="inlineStr">
        <is>
          <t>set</t>
        </is>
      </c>
      <c r="E206" s="50" t="n">
        <v>1</v>
      </c>
      <c r="F206" s="50" t="n">
        <v>1</v>
      </c>
      <c r="G206" s="27" t="inlineStr">
        <is>
          <t>-</t>
        </is>
      </c>
      <c r="H206" s="50">
        <f>F206</f>
        <v/>
      </c>
      <c r="I206" s="51" t="n">
        <v>350</v>
      </c>
      <c r="J206" s="28">
        <f>H206*I206</f>
        <v/>
      </c>
      <c r="K206" s="53" t="inlineStr">
        <is>
          <t>MÜHENDİSLİK TAHMİNİ</t>
        </is>
      </c>
      <c r="L206" s="7" t="inlineStr">
        <is>
          <t>TAHMIN (emsal yok) – Emsal yok (ölçüm/rapor götürü)</t>
        </is>
      </c>
      <c r="M206" s="7" t="inlineStr">
        <is>
          <t>Götürü</t>
        </is>
      </c>
    </row>
    <row r="207" outlineLevel="1">
      <c r="A207" s="27" t="n"/>
      <c r="B207" s="27" t="inlineStr">
        <is>
          <t>2011.D</t>
        </is>
      </c>
      <c r="C207" s="7" t="inlineStr">
        <is>
          <t>Döşeme altı HDPE kablo koruma borusu (aydınlatma-priz besleme güzergâhı; ana Ø110 borulamadan ayrı)</t>
        </is>
      </c>
      <c r="D207" s="27" t="inlineStr">
        <is>
          <t>m</t>
        </is>
      </c>
      <c r="E207" s="50" t="n">
        <v>783</v>
      </c>
      <c r="F207" s="50" t="n">
        <v>783</v>
      </c>
      <c r="G207" s="27" t="inlineStr">
        <is>
          <t>fire+%30</t>
        </is>
      </c>
      <c r="H207" s="50">
        <f>F207/IF(Varsayimlar!$B$21=1,1.43,1)</f>
        <v/>
      </c>
      <c r="I207" s="51" t="n">
        <v>3</v>
      </c>
      <c r="J207" s="28">
        <f>H207*I207</f>
        <v/>
      </c>
      <c r="K207" s="53" t="inlineStr">
        <is>
          <t>MÜHENDİSLİK TAHMİNİ</t>
        </is>
      </c>
      <c r="L207" s="7" t="inlineStr">
        <is>
          <t>TAHMIN (emsal yok) – Emsal yok (çap belirtilen HDPE/çelik boru teklifi yok; R04035 HDPE muhafaza 3,53 / R01311 4,63 çap belirsiz)</t>
        </is>
      </c>
      <c r="M207" s="7" t="inlineStr">
        <is>
          <t>HDPE koruma borusu küçük çap</t>
        </is>
      </c>
    </row>
    <row r="208">
      <c r="A208" s="48" t="inlineStr">
        <is>
          <t>215</t>
        </is>
      </c>
      <c r="B208" s="48" t="inlineStr">
        <is>
          <t>2011.E</t>
        </is>
      </c>
      <c r="C208" s="48" t="inlineStr">
        <is>
          <t>Rasathane İstasyonu Alçak Gerilim Besleme-Dağıtım Kabloları ve Kablo Taşıma Sistemleri (1 set)</t>
        </is>
      </c>
      <c r="D208" s="48" t="n"/>
      <c r="E208" s="48" t="n"/>
      <c r="F208" s="48" t="n"/>
      <c r="G208" s="48" t="n"/>
      <c r="H208" s="48" t="inlineStr">
        <is>
          <t>RFQ tutarı →</t>
        </is>
      </c>
      <c r="I208" s="49">
        <f>SUMPRODUCT(E209:E220,I209:I220)</f>
        <v/>
      </c>
      <c r="J208" s="49">
        <f>SUM(J209:J220)</f>
        <v/>
      </c>
      <c r="K208" s="48" t="n"/>
      <c r="L208" s="48" t="n"/>
      <c r="M208" s="48" t="n"/>
    </row>
    <row r="209" outlineLevel="1">
      <c r="A209" s="27" t="n"/>
      <c r="B209" s="27" t="inlineStr">
        <is>
          <t>2011.E</t>
        </is>
      </c>
      <c r="C209" s="7" t="inlineStr">
        <is>
          <t>N2XH 4x6 mm2 (ADP→APP, UPS, YMP-01/02/03, ASP-01/02/03)</t>
        </is>
      </c>
      <c r="D209" s="27" t="inlineStr">
        <is>
          <t>m</t>
        </is>
      </c>
      <c r="E209" s="50" t="n">
        <v>275</v>
      </c>
      <c r="F209" s="50" t="n">
        <v>275</v>
      </c>
      <c r="G209" s="27" t="inlineStr">
        <is>
          <t>-</t>
        </is>
      </c>
      <c r="H209" s="50">
        <f>F209</f>
        <v/>
      </c>
      <c r="I209" s="51" t="n">
        <v>3.95</v>
      </c>
      <c r="J209" s="28">
        <f>H209*I209</f>
        <v/>
      </c>
      <c r="K209" s="52" t="inlineStr">
        <is>
          <t>GEÇMİŞ TEKLİF UYARLAMA</t>
        </is>
      </c>
      <c r="L209" s="7" t="inlineStr">
        <is>
          <t>REF-derin – İzmir Buca M. Prysmian 2021 4x6 3,59 (M)+%35 montaj→4,85; Bursa T2 Delta 2015 4x6 2,55 (M)+%35 montaj→3,45; Bursa T2 Haluk 2015 4x6 3,51; Bursa T2 MET 2015 4x6 4,40 → medyan 3,95 [Emsal ID: R00687;R00850;R00903;R00974]</t>
        </is>
      </c>
      <c r="M209" s="7" t="inlineStr">
        <is>
          <t>N2XH 4x6 | İlk tahmin BF 5.50</t>
        </is>
      </c>
    </row>
    <row r="210" outlineLevel="1">
      <c r="A210" s="27" t="n"/>
      <c r="B210" s="27" t="inlineStr">
        <is>
          <t>2011.E</t>
        </is>
      </c>
      <c r="C210" s="7" t="inlineStr">
        <is>
          <t>N2XH 4x2,5 mm2 (ADP→SK)</t>
        </is>
      </c>
      <c r="D210" s="27" t="inlineStr">
        <is>
          <t>m</t>
        </is>
      </c>
      <c r="E210" s="50" t="n">
        <v>27.5</v>
      </c>
      <c r="F210" s="50" t="n">
        <v>27.5</v>
      </c>
      <c r="G210" s="27" t="inlineStr">
        <is>
          <t>fire %10</t>
        </is>
      </c>
      <c r="H210" s="50">
        <f>F210/IF(Varsayimlar!$B$21=1,1.1,1)</f>
        <v/>
      </c>
      <c r="I210" s="51" t="n">
        <v>2.21</v>
      </c>
      <c r="J210" s="28">
        <f>H210*I210</f>
        <v/>
      </c>
      <c r="K210" s="52" t="inlineStr">
        <is>
          <t>GEÇMİŞ TEKLİF UYARLAMA</t>
        </is>
      </c>
      <c r="L210" s="7" t="inlineStr">
        <is>
          <t>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is>
      </c>
      <c r="M210" s="7" t="inlineStr">
        <is>
          <t>N2XH 4x2,5 | İlk tahmin BF 3.20</t>
        </is>
      </c>
    </row>
    <row r="211" outlineLevel="1">
      <c r="A211" s="27" t="n"/>
      <c r="B211" s="27" t="inlineStr">
        <is>
          <t>2011.E</t>
        </is>
      </c>
      <c r="C211" s="7" t="inlineStr">
        <is>
          <t>N2XH 4x6+6 (UPS→UPS dağıtım panosu) / H07Z-R 1x6 PE</t>
        </is>
      </c>
      <c r="D211" s="27" t="inlineStr">
        <is>
          <t>m</t>
        </is>
      </c>
      <c r="E211" s="50" t="n">
        <v>22</v>
      </c>
      <c r="F211" s="50" t="n">
        <v>22</v>
      </c>
      <c r="G211" s="27" t="inlineStr">
        <is>
          <t>-</t>
        </is>
      </c>
      <c r="H211" s="50">
        <f>F211</f>
        <v/>
      </c>
      <c r="I211" s="51" t="n">
        <v>4.94</v>
      </c>
      <c r="J211" s="28">
        <f>H211*I211</f>
        <v/>
      </c>
      <c r="K211" s="52" t="inlineStr">
        <is>
          <t>GEÇMİŞ TEKLİF UYARLAMA</t>
        </is>
      </c>
      <c r="L211" s="7" t="inlineStr">
        <is>
          <t>REF-derin – İzmir Buca M. Prysmian 2021 4x6 3,59 (M)+%35, +%25 1x6 PE→6,06; Bursa T2 Delta 2015 4x6 2,55 (M)+%35, +%25 1x6 PE→4,31; Bursa T2 Haluk 2015 4x6 3,51 +%25 1x6 PE→4,38; Bursa T2 MET 2015 4x6 4,40 +%25 1x6 PE→5,50 → medyan 4,94 [Emsal ID: R00687;R00850;R00903;R00974]</t>
        </is>
      </c>
      <c r="M211" s="7" t="inlineStr">
        <is>
          <t>N2XH 4x6+6 + PE | İlk tahmin BF 7.00</t>
        </is>
      </c>
    </row>
    <row r="212" outlineLevel="1">
      <c r="A212" s="27" t="n"/>
      <c r="B212" s="27" t="inlineStr">
        <is>
          <t>2011.E</t>
        </is>
      </c>
      <c r="C212" s="7" t="inlineStr">
        <is>
          <t>N2XH 3x2,5 mm2 – UPS panosundan sistem panolarına besleme (turnike 25, yolcu bilg. 60, biletmatik 15, haberleşme 5, AVLS 10, TSKP 10, SKP 10, DU 15)</t>
        </is>
      </c>
      <c r="D212" s="27" t="inlineStr">
        <is>
          <t>m</t>
        </is>
      </c>
      <c r="E212" s="50" t="n">
        <v>319</v>
      </c>
      <c r="F212" s="54" t="n">
        <v>297.7</v>
      </c>
      <c r="G212" s="27" t="inlineStr">
        <is>
          <t>-</t>
        </is>
      </c>
      <c r="H212" s="50">
        <f>F212</f>
        <v/>
      </c>
      <c r="I212" s="51" t="n">
        <v>1.83</v>
      </c>
      <c r="J212" s="28">
        <f>H212*I212</f>
        <v/>
      </c>
      <c r="K212" s="52" t="inlineStr">
        <is>
          <t>GEÇMİŞ TEKLİF UYARLAMA</t>
        </is>
      </c>
      <c r="L212" s="7" t="inlineStr">
        <is>
          <t>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is>
      </c>
      <c r="M212" s="7" t="inlineStr">
        <is>
          <t>TSKP payı düşüldü (10/150 oransal) | İlk tahmin BF 2.50</t>
        </is>
      </c>
    </row>
    <row r="213" outlineLevel="1">
      <c r="A213" s="27" t="n"/>
      <c r="B213" s="27" t="inlineStr">
        <is>
          <t>2011.E</t>
        </is>
      </c>
      <c r="C213" s="7" t="inlineStr">
        <is>
          <t>N2XH 3x6 mm2 TSKP kavşak panosu beslemesi (kavşak ≥55 m ise)</t>
        </is>
      </c>
      <c r="D213" s="27" t="inlineStr">
        <is>
          <t>m</t>
        </is>
      </c>
      <c r="E213" s="50" t="n">
        <v>66</v>
      </c>
      <c r="F213" s="54" t="n">
        <v>0</v>
      </c>
      <c r="G213" s="27" t="inlineStr">
        <is>
          <t>-</t>
        </is>
      </c>
      <c r="H213" s="50">
        <f>F213</f>
        <v/>
      </c>
      <c r="I213" s="51" t="n">
        <v>2.96</v>
      </c>
      <c r="J213" s="28">
        <f>H213*I213</f>
        <v/>
      </c>
      <c r="K213" s="55" t="inlineStr">
        <is>
          <t>KAPSAM DIŞI (0)</t>
        </is>
      </c>
      <c r="L213" s="7" t="inlineStr">
        <is>
          <t>REF-derin – İzmir Buca M. Prysmian 2021 4x6 3,59 (M)+%35, ×3/4 damar→3,64; Bursa T2 Delta 2015 4x6 2,55 (M)+%35, ×3/4 damar→2,59; Bursa T2 Haluk 2015 4x6 3,51 ×3/4 damar→2,63; Bursa T2 MET 2015 4x6 4,40 ×3/4 damar→3,30 → medyan 2,96 [Emsal ID: R00687;R00850;R00903;R00974]</t>
        </is>
      </c>
      <c r="M213" s="7" t="inlineStr">
        <is>
          <t>İdare: TSKP kapsam dışı | İlk tahmin BF 4.50</t>
        </is>
      </c>
    </row>
    <row r="214" outlineLevel="1">
      <c r="A214" s="27" t="n"/>
      <c r="B214" s="27" t="inlineStr">
        <is>
          <t>2011.E</t>
        </is>
      </c>
      <c r="C214" s="7" t="inlineStr">
        <is>
          <t>Ø110 koruge (HDPE) elektrik borusu – peron/üst geçit borulama</t>
        </is>
      </c>
      <c r="D214" s="27" t="inlineStr">
        <is>
          <t>m</t>
        </is>
      </c>
      <c r="E214" s="50" t="n">
        <v>572</v>
      </c>
      <c r="F214" s="50" t="n">
        <v>572</v>
      </c>
      <c r="G214" s="27" t="inlineStr">
        <is>
          <t>fire+%30</t>
        </is>
      </c>
      <c r="H214" s="50">
        <f>F214/IF(Varsayimlar!$B$21=1,1.43,1)</f>
        <v/>
      </c>
      <c r="I214" s="51" t="n">
        <v>4.5</v>
      </c>
      <c r="J214" s="28">
        <f>H214*I214</f>
        <v/>
      </c>
      <c r="K214" s="53" t="inlineStr">
        <is>
          <t>MÜHENDİSLİK TAHMİNİ</t>
        </is>
      </c>
      <c r="L214" s="7" t="inlineStr">
        <is>
          <t>TAHMIN (emsal yok) – Emsal yok (çap belirtilen HDPE/çelik boru teklifi yok; R04035 HDPE muhafaza 3,53 / R01311 4,63 çap belirsiz)</t>
        </is>
      </c>
      <c r="M214" s="7" t="inlineStr">
        <is>
          <t>HDPE Ø110 (kazı hariç)</t>
        </is>
      </c>
    </row>
    <row r="215" outlineLevel="1">
      <c r="A215" s="27" t="n"/>
      <c r="B215" s="27" t="inlineStr">
        <is>
          <t>2011.E</t>
        </is>
      </c>
      <c r="C215" s="7" t="inlineStr">
        <is>
          <t>Galvanizli çelik kablo borusu / spiral (üst geçit ve saçak inişleri)</t>
        </is>
      </c>
      <c r="D215" s="27" t="inlineStr">
        <is>
          <t>m</t>
        </is>
      </c>
      <c r="E215" s="50" t="n">
        <v>58</v>
      </c>
      <c r="F215" s="50" t="n">
        <v>58</v>
      </c>
      <c r="G215" s="27" t="inlineStr">
        <is>
          <t>fire+%30</t>
        </is>
      </c>
      <c r="H215" s="50">
        <f>F215/IF(Varsayimlar!$B$21=1,1.43,1)</f>
        <v/>
      </c>
      <c r="I215" s="51" t="n">
        <v>9</v>
      </c>
      <c r="J215" s="28">
        <f>H215*I215</f>
        <v/>
      </c>
      <c r="K215" s="53" t="inlineStr">
        <is>
          <t>MÜHENDİSLİK TAHMİNİ</t>
        </is>
      </c>
      <c r="L215" s="7" t="inlineStr">
        <is>
          <t>TAHMIN (emsal yok) – Emsal yok (çap belirtilen HDPE/çelik boru teklifi yok; R04035 HDPE muhafaza 3,53 / R01311 4,63 çap belirsiz)</t>
        </is>
      </c>
      <c r="M215" s="7" t="inlineStr">
        <is>
          <t>Galv. boru/spiral</t>
        </is>
      </c>
    </row>
    <row r="216" outlineLevel="1">
      <c r="A216" s="27" t="n"/>
      <c r="B216" s="27" t="inlineStr">
        <is>
          <t>2011.E</t>
        </is>
      </c>
      <c r="C216" s="7" t="inlineStr">
        <is>
          <t>Kablo merdiveni 300 mm (ADP/pano odası, panolar arası) + askı/konsol</t>
        </is>
      </c>
      <c r="D216" s="27" t="inlineStr">
        <is>
          <t>m</t>
        </is>
      </c>
      <c r="E216" s="50" t="n">
        <v>22</v>
      </c>
      <c r="F216" s="50" t="n">
        <v>22</v>
      </c>
      <c r="G216" s="27" t="inlineStr">
        <is>
          <t>-</t>
        </is>
      </c>
      <c r="H216" s="50">
        <f>F216</f>
        <v/>
      </c>
      <c r="I216" s="51" t="n">
        <v>16.21</v>
      </c>
      <c r="J216" s="28">
        <f>H216*I216</f>
        <v/>
      </c>
      <c r="K216" s="52" t="inlineStr">
        <is>
          <t>GEÇMİŞ TEKLİF UYARLAMA</t>
        </is>
      </c>
      <c r="L216" s="7" t="inlineStr">
        <is>
          <t>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is>
      </c>
      <c r="M216" s="7" t="inlineStr">
        <is>
          <t>Merdiven 300 + askı | İlk tahmin BF 25.00</t>
        </is>
      </c>
    </row>
    <row r="217" outlineLevel="1">
      <c r="A217" s="27" t="n"/>
      <c r="B217" s="27" t="inlineStr">
        <is>
          <t>2011.E</t>
        </is>
      </c>
      <c r="C217" s="7" t="inlineStr">
        <is>
          <t>Delikli kablo tavası 100 mm + kapak (pano odası–peron geçişleri)</t>
        </is>
      </c>
      <c r="D217" s="27" t="inlineStr">
        <is>
          <t>m</t>
        </is>
      </c>
      <c r="E217" s="50" t="n">
        <v>29</v>
      </c>
      <c r="F217" s="50" t="n">
        <v>29</v>
      </c>
      <c r="G217" s="27" t="inlineStr">
        <is>
          <t>-</t>
        </is>
      </c>
      <c r="H217" s="50">
        <f>F217</f>
        <v/>
      </c>
      <c r="I217" s="51" t="n">
        <v>11.29</v>
      </c>
      <c r="J217" s="28">
        <f>H217*I217</f>
        <v/>
      </c>
      <c r="K217" s="52" t="inlineStr">
        <is>
          <t>GEÇMİŞ TEKLİF UYARLAMA</t>
        </is>
      </c>
      <c r="L217" s="7" t="inlineStr">
        <is>
          <t>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is>
      </c>
      <c r="M217" s="7" t="inlineStr">
        <is>
          <t>Tava 100 + kapak | İlk tahmin BF 14.00</t>
        </is>
      </c>
    </row>
    <row r="218" outlineLevel="1">
      <c r="A218" s="27" t="n"/>
      <c r="B218" s="27" t="inlineStr">
        <is>
          <t>2011.E</t>
        </is>
      </c>
      <c r="C218" s="7" t="inlineStr">
        <is>
          <t>Yangın durdurucu (duvar/döşeme geçişleri)</t>
        </is>
      </c>
      <c r="D218" s="27" t="inlineStr">
        <is>
          <t>adet</t>
        </is>
      </c>
      <c r="E218" s="50" t="n">
        <v>6</v>
      </c>
      <c r="F218" s="50" t="n">
        <v>6</v>
      </c>
      <c r="G218" s="27" t="inlineStr">
        <is>
          <t>-</t>
        </is>
      </c>
      <c r="H218" s="50">
        <f>F218</f>
        <v/>
      </c>
      <c r="I218" s="51" t="n">
        <v>60</v>
      </c>
      <c r="J218" s="28">
        <f>H218*I218</f>
        <v/>
      </c>
      <c r="K218" s="53" t="inlineStr">
        <is>
          <t>MÜHENDİSLİK TAHMİNİ</t>
        </is>
      </c>
      <c r="L218" s="7" t="inlineStr">
        <is>
          <t>TAHMIN (emsal yok) – Emsal yok (yangın durdurucu/pabuç/test götürü)</t>
        </is>
      </c>
      <c r="M218" s="7" t="inlineStr">
        <is>
          <t>Yangın durdurucu</t>
        </is>
      </c>
    </row>
    <row r="219" outlineLevel="1">
      <c r="A219" s="27" t="n"/>
      <c r="B219" s="27" t="inlineStr">
        <is>
          <t>2011.E</t>
        </is>
      </c>
      <c r="C219" s="7" t="inlineStr">
        <is>
          <t>Kablo başlık/pabuç, etiket, test (izolasyon ölçümü)</t>
        </is>
      </c>
      <c r="D219" s="27" t="inlineStr">
        <is>
          <t>set</t>
        </is>
      </c>
      <c r="E219" s="50" t="n">
        <v>1</v>
      </c>
      <c r="F219" s="50" t="n">
        <v>1</v>
      </c>
      <c r="G219" s="27" t="inlineStr">
        <is>
          <t>-</t>
        </is>
      </c>
      <c r="H219" s="50">
        <f>F219</f>
        <v/>
      </c>
      <c r="I219" s="51" t="n">
        <v>350</v>
      </c>
      <c r="J219" s="28">
        <f>H219*I219</f>
        <v/>
      </c>
      <c r="K219" s="53" t="inlineStr">
        <is>
          <t>MÜHENDİSLİK TAHMİNİ</t>
        </is>
      </c>
      <c r="L219" s="7" t="inlineStr">
        <is>
          <t>TAHMIN (emsal yok) – Emsal yok (ölçüm/rapor götürü)</t>
        </is>
      </c>
      <c r="M219" s="7" t="inlineStr">
        <is>
          <t>Götürü</t>
        </is>
      </c>
    </row>
    <row r="220" outlineLevel="1">
      <c r="A220" s="27" t="n"/>
      <c r="B220" s="27" t="inlineStr">
        <is>
          <t>2011.E</t>
        </is>
      </c>
      <c r="C220" s="7" t="inlineStr">
        <is>
          <t>Döşeme altı HDPE kablo koruma borusu (aydınlatma-priz besleme güzergâhı; ana Ø110 borulamadan ayrı)</t>
        </is>
      </c>
      <c r="D220" s="27" t="inlineStr">
        <is>
          <t>m</t>
        </is>
      </c>
      <c r="E220" s="50" t="n">
        <v>783</v>
      </c>
      <c r="F220" s="50" t="n">
        <v>783</v>
      </c>
      <c r="G220" s="27" t="inlineStr">
        <is>
          <t>fire+%30</t>
        </is>
      </c>
      <c r="H220" s="50">
        <f>F220/IF(Varsayimlar!$B$21=1,1.43,1)</f>
        <v/>
      </c>
      <c r="I220" s="51" t="n">
        <v>3</v>
      </c>
      <c r="J220" s="28">
        <f>H220*I220</f>
        <v/>
      </c>
      <c r="K220" s="53" t="inlineStr">
        <is>
          <t>MÜHENDİSLİK TAHMİNİ</t>
        </is>
      </c>
      <c r="L220" s="7" t="inlineStr">
        <is>
          <t>TAHMIN (emsal yok) – Emsal yok (çap belirtilen HDPE/çelik boru teklifi yok; R04035 HDPE muhafaza 3,53 / R01311 4,63 çap belirsiz)</t>
        </is>
      </c>
      <c r="M220" s="7" t="inlineStr">
        <is>
          <t>HDPE koruma borusu küçük çap</t>
        </is>
      </c>
    </row>
    <row r="221">
      <c r="A221" s="48" t="inlineStr">
        <is>
          <t>216</t>
        </is>
      </c>
      <c r="B221" s="48" t="inlineStr">
        <is>
          <t>2011.G</t>
        </is>
      </c>
      <c r="C221" s="48" t="inlineStr">
        <is>
          <t>Depo Sahası ve Tesisleri Alçak Gerilim Besleme-Dağıtım Kabloları ve Kablo Taşıma Sistemleri (1 set)</t>
        </is>
      </c>
      <c r="D221" s="48" t="n"/>
      <c r="E221" s="48" t="n"/>
      <c r="F221" s="48" t="n"/>
      <c r="G221" s="48" t="n"/>
      <c r="H221" s="48" t="inlineStr">
        <is>
          <t>RFQ tutarı →</t>
        </is>
      </c>
      <c r="I221" s="49">
        <f>SUMPRODUCT(E222:E253,I222:I253)</f>
        <v/>
      </c>
      <c r="J221" s="49">
        <f>SUM(J222:J253)</f>
        <v/>
      </c>
      <c r="K221" s="48" t="n"/>
      <c r="L221" s="48" t="n"/>
      <c r="M221" s="48" t="n"/>
    </row>
    <row r="222" outlineLevel="1">
      <c r="A222" s="27" t="n"/>
      <c r="B222" s="27" t="inlineStr">
        <is>
          <t>2011.G</t>
        </is>
      </c>
      <c r="C222" s="7" t="inlineStr">
        <is>
          <t>N2XH 3x240/120 mm2</t>
        </is>
      </c>
      <c r="D222" s="27" t="inlineStr">
        <is>
          <t>m</t>
        </is>
      </c>
      <c r="E222" s="50" t="n">
        <v>852.5</v>
      </c>
      <c r="F222" s="50" t="n">
        <v>852.5</v>
      </c>
      <c r="G222" s="27" t="inlineStr">
        <is>
          <t>fire %10</t>
        </is>
      </c>
      <c r="H222" s="50">
        <f>F222/IF(Varsayimlar!$B$21=1,1.1,1)</f>
        <v/>
      </c>
      <c r="I222" s="51" t="n">
        <v>128</v>
      </c>
      <c r="J222" s="28">
        <f>H222*I222</f>
        <v/>
      </c>
      <c r="K222" s="52" t="inlineStr">
        <is>
          <t>GEÇMİŞ TEKLİF UYARLAMA</t>
        </is>
      </c>
      <c r="L222" s="7" t="inlineStr">
        <is>
          <t>REF-derin – Prysmian 2021 Buca N2XH 1x240 30,3 €/m, 3x70/35 31,2 €/m (M, LME Cu 9.990 $/t) → ~0,127 €/mm²·m × 840 mm² = 107 € + %20 çekme → 128 €/m [Emsal ID: R00682;R00726;R00689]</t>
        </is>
      </c>
      <c r="M222" s="7" t="inlineStr">
        <is>
          <t>N2XH 3x240/120 | İlk tahmin BF 125.00</t>
        </is>
      </c>
    </row>
    <row r="223" outlineLevel="1">
      <c r="A223" s="27" t="n"/>
      <c r="B223" s="27" t="inlineStr">
        <is>
          <t>2011.G</t>
        </is>
      </c>
      <c r="C223" s="7" t="inlineStr">
        <is>
          <t>N2XH 1x120 mm2 (T09→D01-ADP paralel PE)</t>
        </is>
      </c>
      <c r="D223" s="27" t="inlineStr">
        <is>
          <t>m</t>
        </is>
      </c>
      <c r="E223" s="50" t="n">
        <v>170.5</v>
      </c>
      <c r="F223" s="50" t="n">
        <v>170.5</v>
      </c>
      <c r="G223" s="27" t="inlineStr">
        <is>
          <t>fire %10</t>
        </is>
      </c>
      <c r="H223" s="50">
        <f>F223/IF(Varsayimlar!$B$21=1,1.1,1)</f>
        <v/>
      </c>
      <c r="I223" s="51" t="n">
        <v>18.79</v>
      </c>
      <c r="J223" s="28">
        <f>H223*I223</f>
        <v/>
      </c>
      <c r="K223" s="52" t="inlineStr">
        <is>
          <t>GEÇMİŞ TEKLİF UYARLAMA</t>
        </is>
      </c>
      <c r="L223" s="7" t="inlineStr">
        <is>
          <t>REF-derin – Bursa T2 Delta 2015 1x120 11,01 (M)+%25 montaj→13,76; İzmir Buca M. Prysmian 2021 1x95 12,01 (M)+%25, ×120/95→18,96; İzmir Buca M. Prysmian 2021 1x185 23,17 (M)+%25, ×120/185→18,79; İzmir Buca M. Prysmian 2021 1x240 30,32 (M)+%25, ×120/240→18,95; İzmir Buca M. Kablo ür. 2021 1x240 26,02 (M)+%25, ×120/240→16,26 → medyan 18,79 [Emsal ID: R00851;R00684;R00683;R00682;R00726]</t>
        </is>
      </c>
      <c r="M223" s="7" t="inlineStr">
        <is>
          <t>N2XH 1x120 | İlk tahmin BF 21.00</t>
        </is>
      </c>
    </row>
    <row r="224" outlineLevel="1">
      <c r="A224" s="27" t="n"/>
      <c r="B224" s="27" t="inlineStr">
        <is>
          <t>2011.G</t>
        </is>
      </c>
      <c r="C224" s="7" t="inlineStr">
        <is>
          <t>N2XH FE180 3x185/95 mm2 (AJDP→JDP)</t>
        </is>
      </c>
      <c r="D224" s="27" t="inlineStr">
        <is>
          <t>m</t>
        </is>
      </c>
      <c r="E224" s="50" t="n">
        <v>319</v>
      </c>
      <c r="F224" s="50" t="n">
        <v>319</v>
      </c>
      <c r="G224" s="27" t="inlineStr">
        <is>
          <t>fire %10</t>
        </is>
      </c>
      <c r="H224" s="50">
        <f>F224/IF(Varsayimlar!$B$21=1,1.1,1)</f>
        <v/>
      </c>
      <c r="I224" s="51" t="n">
        <v>124</v>
      </c>
      <c r="J224" s="28">
        <f>H224*I224</f>
        <v/>
      </c>
      <c r="K224" s="52" t="inlineStr">
        <is>
          <t>GEÇMİŞ TEKLİF UYARLAMA</t>
        </is>
      </c>
      <c r="L224" s="7" t="inlineStr">
        <is>
          <t>REF-derin – Prysmian 2021 N2XH 1x185 23,2 €/m (M) → 0,127 €/mm²×650 mm²=83 € × FE180 farkı 1,25 + %20 montaj → 124 €/m [Emsal ID: R00683;R00691;R00682]</t>
        </is>
      </c>
      <c r="M224" s="7" t="inlineStr">
        <is>
          <t>FE180 3x185/95 | İlk tahmin BF 115.00</t>
        </is>
      </c>
    </row>
    <row r="225" outlineLevel="1">
      <c r="A225" s="27" t="n"/>
      <c r="B225" s="27" t="inlineStr">
        <is>
          <t>2011.G</t>
        </is>
      </c>
      <c r="C225" s="7" t="inlineStr">
        <is>
          <t>N2XH FE180 1x185 mm2 + H07Z1 1x95 (jeneratör→AJDP)</t>
        </is>
      </c>
      <c r="D225" s="27" t="inlineStr">
        <is>
          <t>m</t>
        </is>
      </c>
      <c r="E225" s="50" t="n">
        <v>346.5</v>
      </c>
      <c r="F225" s="50" t="n">
        <v>346.5</v>
      </c>
      <c r="G225" s="27" t="inlineStr">
        <is>
          <t>fire %10</t>
        </is>
      </c>
      <c r="H225" s="50">
        <f>F225/IF(Varsayimlar!$B$21=1,1.1,1)</f>
        <v/>
      </c>
      <c r="I225" s="51" t="n">
        <v>47</v>
      </c>
      <c r="J225" s="28">
        <f>H225*I225</f>
        <v/>
      </c>
      <c r="K225" s="52" t="inlineStr">
        <is>
          <t>GEÇMİŞ TEKLİF UYARLAMA</t>
        </is>
      </c>
      <c r="L225" s="7" t="inlineStr">
        <is>
          <t>REF-derin – Prysmian 2021 N2XH 1x185 23,2 € ×1,25 (FE180) + 1x95 ~10 € → 39 € (M) + %20 montaj → 47 €/m [Emsal ID: R00683;R00684]</t>
        </is>
      </c>
      <c r="M225" s="7" t="inlineStr">
        <is>
          <t>FE180 1x185 + 1x95 | İlk tahmin BF 40.00</t>
        </is>
      </c>
    </row>
    <row r="226" outlineLevel="1">
      <c r="A226" s="27" t="n"/>
      <c r="B226" s="27" t="inlineStr">
        <is>
          <t>2011.G</t>
        </is>
      </c>
      <c r="C226" s="7" t="inlineStr">
        <is>
          <t>N2XH 3x150/70 mm2</t>
        </is>
      </c>
      <c r="D226" s="27" t="inlineStr">
        <is>
          <t>m</t>
        </is>
      </c>
      <c r="E226" s="50" t="n">
        <v>66</v>
      </c>
      <c r="F226" s="50" t="n">
        <v>66</v>
      </c>
      <c r="G226" s="27" t="inlineStr">
        <is>
          <t>fire %10</t>
        </is>
      </c>
      <c r="H226" s="50">
        <f>F226/IF(Varsayimlar!$B$21=1,1.1,1)</f>
        <v/>
      </c>
      <c r="I226" s="51" t="n">
        <v>82.13</v>
      </c>
      <c r="J226" s="28">
        <f>H226*I226</f>
        <v/>
      </c>
      <c r="K226" s="52" t="inlineStr">
        <is>
          <t>GEÇMİŞ TEKLİF UYARLAMA</t>
        </is>
      </c>
      <c r="L226" s="7" t="inlineStr">
        <is>
          <t>REF-derin – İzmir Buca M. Prysmian 2021 3x70/35 31,16 (M)+%25, ×520/245 Cu→82,67; İzmir Buca M. Prysmian 2021 1x95 12,01 (M)+%25, ×520/95 Cu→82,16; İzmir Buca M. Prysmian 2021 1x185 23,17 (M)+%25, ×520/185 Cu→81,40; İzmir Buca M. Prysmian 2021 1x240 30,32 (M)+%25, ×520/240 Cu→82,13; İzmir Buca M. Kablo ür. 2021 1x240 26,02 (M)+%25, ×520/240 Cu→70,47 → medyan 82,13 [Emsal ID: R00689;R00684;R00683;R00682;R00726]</t>
        </is>
      </c>
      <c r="M226" s="7" t="inlineStr">
        <is>
          <t>N2XH 3x150/70 | İlk tahmin BF 75.00</t>
        </is>
      </c>
    </row>
    <row r="227" outlineLevel="1">
      <c r="A227" s="27" t="n"/>
      <c r="B227" s="27" t="inlineStr">
        <is>
          <t>2011.G</t>
        </is>
      </c>
      <c r="C227" s="7" t="inlineStr">
        <is>
          <t>NYY 3x120/70 mm2</t>
        </is>
      </c>
      <c r="D227" s="27" t="inlineStr">
        <is>
          <t>m</t>
        </is>
      </c>
      <c r="E227" s="50" t="n">
        <v>374</v>
      </c>
      <c r="F227" s="50" t="n">
        <v>374</v>
      </c>
      <c r="G227" s="27" t="inlineStr">
        <is>
          <t>fire %10</t>
        </is>
      </c>
      <c r="H227" s="50">
        <f>F227/IF(Varsayimlar!$B$21=1,1.1,1)</f>
        <v/>
      </c>
      <c r="I227" s="51" t="n">
        <v>59</v>
      </c>
      <c r="J227" s="28">
        <f>H227*I227</f>
        <v/>
      </c>
      <c r="K227" s="52" t="inlineStr">
        <is>
          <t>GEÇMİŞ TEKLİF UYARLAMA</t>
        </is>
      </c>
      <c r="L227" s="7" t="inlineStr">
        <is>
          <t>REF-derin – Prysmian 2021 N2XH 3x70/35 31,2 €, 1x240 30,3 € (M) → 0,127 €/mm²×430 mm² ×0,9 (NYY/PVC) = 49 € + %20 → 59 €/m [Emsal ID: R00689;R00682]</t>
        </is>
      </c>
      <c r="M227" s="7" t="inlineStr">
        <is>
          <t>NYY 3x120/70 | İlk tahmin BF 58.00</t>
        </is>
      </c>
    </row>
    <row r="228" outlineLevel="1">
      <c r="A228" s="27" t="n"/>
      <c r="B228" s="27" t="inlineStr">
        <is>
          <t>2011.G</t>
        </is>
      </c>
      <c r="C228" s="7" t="inlineStr">
        <is>
          <t>N2XH 3x120/70 mm2</t>
        </is>
      </c>
      <c r="D228" s="27" t="inlineStr">
        <is>
          <t>m</t>
        </is>
      </c>
      <c r="E228" s="50" t="n">
        <v>101.2</v>
      </c>
      <c r="F228" s="50" t="n">
        <v>101.2</v>
      </c>
      <c r="G228" s="27" t="inlineStr">
        <is>
          <t>fire %10</t>
        </is>
      </c>
      <c r="H228" s="50">
        <f>F228/IF(Varsayimlar!$B$21=1,1.1,1)</f>
        <v/>
      </c>
      <c r="I228" s="51" t="n">
        <v>65.5</v>
      </c>
      <c r="J228" s="28">
        <f>H228*I228</f>
        <v/>
      </c>
      <c r="K228" s="52" t="inlineStr">
        <is>
          <t>GEÇMİŞ TEKLİF UYARLAMA</t>
        </is>
      </c>
      <c r="L228" s="7" t="inlineStr">
        <is>
          <t>REF-derin – Prysmian 2021 N2XH (M) 0,127 €/mm²×430 mm² = 54,6 € + %20 montaj → 65,5 €/m [Emsal ID: R00689;R00682]</t>
        </is>
      </c>
      <c r="M228" s="7" t="inlineStr">
        <is>
          <t>N2XH 3x120/70 | İlk tahmin BF 62.00</t>
        </is>
      </c>
    </row>
    <row r="229" outlineLevel="1">
      <c r="A229" s="27" t="n"/>
      <c r="B229" s="27" t="inlineStr">
        <is>
          <t>2011.G</t>
        </is>
      </c>
      <c r="C229" s="7" t="inlineStr">
        <is>
          <t>N2XH FE180 3x95/50 mm2 (su deposu yangın pompaları YPP-001/002)</t>
        </is>
      </c>
      <c r="D229" s="27" t="inlineStr">
        <is>
          <t>m</t>
        </is>
      </c>
      <c r="E229" s="50" t="n">
        <v>605</v>
      </c>
      <c r="F229" s="50" t="n">
        <v>605</v>
      </c>
      <c r="G229" s="27" t="inlineStr">
        <is>
          <t>-</t>
        </is>
      </c>
      <c r="H229" s="50">
        <f>F229</f>
        <v/>
      </c>
      <c r="I229" s="51" t="n">
        <v>63.8</v>
      </c>
      <c r="J229" s="28">
        <f>H229*I229</f>
        <v/>
      </c>
      <c r="K229" s="52" t="inlineStr">
        <is>
          <t>GEÇMİŞ TEKLİF UYARLAMA</t>
        </is>
      </c>
      <c r="L229" s="7" t="inlineStr">
        <is>
          <t>REF-derin – Prysmian 2021 N2XH 3x70/35 31,2 € (M) ölçekli 335 mm² = 42,5 € ×1,25 FE180 + %20 montaj → 63,8 €/m [Emsal ID: R00689;R00691]</t>
        </is>
      </c>
      <c r="M229" s="7" t="inlineStr">
        <is>
          <t>FE180 3x95/50 | İlk tahmin BF 58.00</t>
        </is>
      </c>
    </row>
    <row r="230" outlineLevel="1">
      <c r="A230" s="27" t="n"/>
      <c r="B230" s="27" t="inlineStr">
        <is>
          <t>2011.G</t>
        </is>
      </c>
      <c r="C230" s="7" t="inlineStr">
        <is>
          <t>N2XH 3x70/35 mm2</t>
        </is>
      </c>
      <c r="D230" s="27" t="inlineStr">
        <is>
          <t>m</t>
        </is>
      </c>
      <c r="E230" s="50" t="n">
        <v>126.5</v>
      </c>
      <c r="F230" s="50" t="n">
        <v>126.5</v>
      </c>
      <c r="G230" s="27" t="inlineStr">
        <is>
          <t>fire %10</t>
        </is>
      </c>
      <c r="H230" s="50">
        <f>F230/IF(Varsayimlar!$B$21=1,1.1,1)</f>
        <v/>
      </c>
      <c r="I230" s="51" t="n">
        <v>38.69</v>
      </c>
      <c r="J230" s="28">
        <f>H230*I230</f>
        <v/>
      </c>
      <c r="K230" s="52" t="inlineStr">
        <is>
          <t>GEÇMİŞ TEKLİF UYARLAMA</t>
        </is>
      </c>
      <c r="L230" s="7" t="inlineStr">
        <is>
          <t>REF-derin – İzmir Buca M. Prysmian 2021 3x70/35 31,16 (M)+%25, ×245/245 Cu→38,95; İzmir Buca M. Prysmian 2021 1x95 12,01 (M)+%25, ×245/95 Cu→38,71; İzmir Buca M. Prysmian 2021 1x185 23,17 (M)+%25, ×245/185 Cu→38,35; İzmir Buca M. Prysmian 2021 1x240 30,32 (M)+%25, ×245/240 Cu→38,69; İzmir Buca M. Kablo ür. 2021 1x240 26,02 (M)+%25, ×245/240 Cu→33,20 → medyan 38,69 [Emsal ID: R00689;R00684;R00683;R00682;R00726]</t>
        </is>
      </c>
      <c r="M230" s="7" t="inlineStr">
        <is>
          <t>N2XH 3x70/35 | İlk tahmin BF 36.00</t>
        </is>
      </c>
    </row>
    <row r="231" outlineLevel="1">
      <c r="A231" s="27" t="n"/>
      <c r="B231" s="27" t="inlineStr">
        <is>
          <t>2011.G</t>
        </is>
      </c>
      <c r="C231" s="7" t="inlineStr">
        <is>
          <t>N2XH 3x50/25 mm2</t>
        </is>
      </c>
      <c r="D231" s="27" t="inlineStr">
        <is>
          <t>m</t>
        </is>
      </c>
      <c r="E231" s="50" t="n">
        <v>115.5</v>
      </c>
      <c r="F231" s="50" t="n">
        <v>115.5</v>
      </c>
      <c r="G231" s="27" t="inlineStr">
        <is>
          <t>fire %10</t>
        </is>
      </c>
      <c r="H231" s="50">
        <f>F231/IF(Varsayimlar!$B$21=1,1.1,1)</f>
        <v/>
      </c>
      <c r="I231" s="51" t="n">
        <v>27.64</v>
      </c>
      <c r="J231" s="28">
        <f>H231*I231</f>
        <v/>
      </c>
      <c r="K231" s="52" t="inlineStr">
        <is>
          <t>GEÇMİŞ TEKLİF UYARLAMA</t>
        </is>
      </c>
      <c r="L231" s="7" t="inlineStr">
        <is>
          <t>REF-derin – İzmir Buca M. Prysmian 2021 3x70/35 31,16 (M)+%25, ×175/245 Cu→27,82; İzmir Buca M. Prysmian 2021 1x95 12,01 (M)+%25, ×175/95 Cu→27,65; İzmir Buca M. Prysmian 2021 1x185 23,17 (M)+%25, ×175/185 Cu→27,40; İzmir Buca M. Prysmian 2021 1x240 30,32 (M)+%25, ×175/240 Cu→27,64; İzmir Buca M. Kablo ür. 2021 1x240 26,02 (M)+%25, ×175/240 Cu→23,72 → medyan 27,64 [Emsal ID: R00689;R00684;R00683;R00682;R00726]</t>
        </is>
      </c>
      <c r="M231" s="7" t="inlineStr">
        <is>
          <t>N2XH 3x50/25 | İlk tahmin BF 27.00</t>
        </is>
      </c>
    </row>
    <row r="232" outlineLevel="1">
      <c r="A232" s="27" t="n"/>
      <c r="B232" s="27" t="inlineStr">
        <is>
          <t>2011.G</t>
        </is>
      </c>
      <c r="C232" s="7" t="inlineStr">
        <is>
          <t>N2XH 3x35/16 mm2</t>
        </is>
      </c>
      <c r="D232" s="27" t="inlineStr">
        <is>
          <t>m</t>
        </is>
      </c>
      <c r="E232" s="50" t="n">
        <v>27.5</v>
      </c>
      <c r="F232" s="50" t="n">
        <v>27.5</v>
      </c>
      <c r="G232" s="27" t="inlineStr">
        <is>
          <t>fire %10</t>
        </is>
      </c>
      <c r="H232" s="50">
        <f>F232/IF(Varsayimlar!$B$21=1,1.1,1)</f>
        <v/>
      </c>
      <c r="I232" s="51" t="n">
        <v>19.11</v>
      </c>
      <c r="J232" s="28">
        <f>H232*I232</f>
        <v/>
      </c>
      <c r="K232" s="52" t="inlineStr">
        <is>
          <t>GEÇMİŞ TEKLİF UYARLAMA</t>
        </is>
      </c>
      <c r="L232" s="7" t="inlineStr">
        <is>
          <t>REF-derin – İzmir Buca M. Prysmian 2021 3x70/35 31,16 (M)+%25, ×121/245 Cu→19,24; İzmir Buca M. Prysmian 2021 1x95 12,01 (M)+%25, ×121/95 Cu→19,12; İzmir Buca M. Prysmian 2021 1x185 23,17 (M)+%25, ×121/185 Cu→18,94; İzmir Buca M. Prysmian 2021 1x240 30,32 (M)+%25, ×121/240 Cu→19,11; İzmir Buca M. Kablo ür. 2021 1x240 26,02 (M)+%25, ×121/240 Cu→16,40 → medyan 19,11 [Emsal ID: R00689;R00684;R00683;R00682;R00726]</t>
        </is>
      </c>
      <c r="M232" s="7" t="inlineStr">
        <is>
          <t>N2XH 3x35/16 | İlk tahmin BF 21.00</t>
        </is>
      </c>
    </row>
    <row r="233" outlineLevel="1">
      <c r="A233" s="27" t="n"/>
      <c r="B233" s="27" t="inlineStr">
        <is>
          <t>2011.G</t>
        </is>
      </c>
      <c r="C233" s="7" t="inlineStr">
        <is>
          <t>N2XH 3x25/16 mm2 (N2XH 60 + FE180 28+30)</t>
        </is>
      </c>
      <c r="D233" s="27" t="inlineStr">
        <is>
          <t>m</t>
        </is>
      </c>
      <c r="E233" s="50" t="n">
        <v>129.8</v>
      </c>
      <c r="F233" s="50" t="n">
        <v>129.8</v>
      </c>
      <c r="G233" s="27" t="inlineStr">
        <is>
          <t>fire %10</t>
        </is>
      </c>
      <c r="H233" s="50">
        <f>F233/IF(Varsayimlar!$B$21=1,1.1,1)</f>
        <v/>
      </c>
      <c r="I233" s="51" t="n">
        <v>16.68</v>
      </c>
      <c r="J233" s="28">
        <f>H233*I233</f>
        <v/>
      </c>
      <c r="K233" s="52" t="inlineStr">
        <is>
          <t>GEÇMİŞ TEKLİF UYARLAMA</t>
        </is>
      </c>
      <c r="L233" s="7" t="inlineStr">
        <is>
          <t>REF-derin – İzmir Buca M. Prysmian 2021 3x70/35 31,16 (M)+%25, ×91/245 Cu, +%15 FE180 payı→16,64; İzmir Buca M. Prysmian 2021 4x16 8,51 (M)+%25, ×91/64 Cu, +%15 FE→17,39; Bursa T2 Haluk 2015 4x16 7,57 ×91/64 Cu, +%15 FE→12,38; Bursa T2 MET 2015 4x16 10,23 ×91/64 Cu, +%15 FE→16,73 → medyan 16,68 [Emsal ID: R00689;R00688;R00902;R00973]</t>
        </is>
      </c>
      <c r="M233" s="7" t="inlineStr">
        <is>
          <t>N2XH/FE180 3x25/16 | İlk tahmin BF 17.00</t>
        </is>
      </c>
    </row>
    <row r="234" outlineLevel="1">
      <c r="A234" s="27" t="n"/>
      <c r="B234" s="27" t="inlineStr">
        <is>
          <t>2011.G</t>
        </is>
      </c>
      <c r="C234" s="7" t="inlineStr">
        <is>
          <t>N2XH 4x16 mm2 (N2XH 564 + FE180 17)</t>
        </is>
      </c>
      <c r="D234" s="27" t="inlineStr">
        <is>
          <t>m</t>
        </is>
      </c>
      <c r="E234" s="50" t="n">
        <v>639.1</v>
      </c>
      <c r="F234" s="50" t="n">
        <v>639.1</v>
      </c>
      <c r="G234" s="27" t="inlineStr">
        <is>
          <t>fire %10</t>
        </is>
      </c>
      <c r="H234" s="50">
        <f>F234/IF(Varsayimlar!$B$21=1,1.1,1)</f>
        <v/>
      </c>
      <c r="I234" s="51" t="n">
        <v>10.2</v>
      </c>
      <c r="J234" s="28">
        <f>H234*I234</f>
        <v/>
      </c>
      <c r="K234" s="52" t="inlineStr">
        <is>
          <t>GEÇMİŞ TEKLİF UYARLAMA</t>
        </is>
      </c>
      <c r="L234" s="7" t="inlineStr">
        <is>
          <t>REF-derin – N2XH 4x16: Prysmian 2021 8,5 € (M)+%20=10,2; Bursa T2 Haluk 2015 7,6 €, MET 10,2 € (M+İ) → medyan 10,2 €/m [Emsal ID: R00688;R00902;R00973]</t>
        </is>
      </c>
      <c r="M234" s="7" t="inlineStr">
        <is>
          <t>N2XH 4x16 | İlk tahmin BF 11.50</t>
        </is>
      </c>
    </row>
    <row r="235" outlineLevel="1">
      <c r="A235" s="27" t="n"/>
      <c r="B235" s="27" t="inlineStr">
        <is>
          <t>2011.G</t>
        </is>
      </c>
      <c r="C235" s="7" t="inlineStr">
        <is>
          <t>NYY 4x16 mm2</t>
        </is>
      </c>
      <c r="D235" s="27" t="inlineStr">
        <is>
          <t>m</t>
        </is>
      </c>
      <c r="E235" s="50" t="n">
        <v>159.5</v>
      </c>
      <c r="F235" s="50" t="n">
        <v>159.5</v>
      </c>
      <c r="G235" s="27" t="inlineStr">
        <is>
          <t>fire %10</t>
        </is>
      </c>
      <c r="H235" s="50">
        <f>F235/IF(Varsayimlar!$B$21=1,1.1,1)</f>
        <v/>
      </c>
      <c r="I235" s="51" t="n">
        <v>10.23</v>
      </c>
      <c r="J235" s="28">
        <f>H235*I235</f>
        <v/>
      </c>
      <c r="K235" s="52" t="inlineStr">
        <is>
          <t>GEÇMİŞ TEKLİF UYARLAMA</t>
        </is>
      </c>
      <c r="L235" s="7" t="inlineStr">
        <is>
          <t>REF-derin – İzmir Buca M. Prysmian 2021 4x16 8,51 (M)+%25 montaj→10,63; Bursa T2 Haluk 2015 4x16 7,57; Bursa T2 MET 2015 4x16 10,23 → medyan 10,23 [Emsal ID: R00688;R00902;R00973]</t>
        </is>
      </c>
      <c r="M235" s="7" t="inlineStr">
        <is>
          <t>NYY 4x16 | İlk tahmin BF 10.50</t>
        </is>
      </c>
    </row>
    <row r="236" outlineLevel="1">
      <c r="A236" s="27" t="n"/>
      <c r="B236" s="27" t="inlineStr">
        <is>
          <t>2011.G</t>
        </is>
      </c>
      <c r="C236" s="7" t="inlineStr">
        <is>
          <t>NYY 4x10 mm2 (D00-AP çevre aydınlatma panoları 8 fider + SKP-3/4 makas besleme)</t>
        </is>
      </c>
      <c r="D236" s="27" t="inlineStr">
        <is>
          <t>m</t>
        </is>
      </c>
      <c r="E236" s="50" t="n">
        <v>2145</v>
      </c>
      <c r="F236" s="50" t="n">
        <v>2145</v>
      </c>
      <c r="G236" s="27" t="inlineStr">
        <is>
          <t>-</t>
        </is>
      </c>
      <c r="H236" s="50">
        <f>F236</f>
        <v/>
      </c>
      <c r="I236" s="51" t="n">
        <v>6</v>
      </c>
      <c r="J236" s="28">
        <f>H236*I236</f>
        <v/>
      </c>
      <c r="K236" s="52" t="inlineStr">
        <is>
          <t>GEÇMİŞ TEKLİF UYARLAMA</t>
        </is>
      </c>
      <c r="L236" s="7" t="inlineStr">
        <is>
          <t>REF-derin – Prysmian 2021 FE180 4x10 6,5 €, N2XH 4x16 8,5 € → N2XH/NYY 4x10 ≈5,0 € (M) + %20 → 6,0 €/m [Emsal ID: R00691;R00688]</t>
        </is>
      </c>
      <c r="M236" s="7" t="inlineStr">
        <is>
          <t>NYY 4x10 | İlk tahmin BF 7.50</t>
        </is>
      </c>
    </row>
    <row r="237" outlineLevel="1">
      <c r="A237" s="27" t="n"/>
      <c r="B237" s="27" t="inlineStr">
        <is>
          <t>2011.G</t>
        </is>
      </c>
      <c r="C237" s="7" t="inlineStr">
        <is>
          <t>N2XH 4x10 mm2 (N2XH 95+25 + FE180 25+60+92)</t>
        </is>
      </c>
      <c r="D237" s="27" t="inlineStr">
        <is>
          <t>m</t>
        </is>
      </c>
      <c r="E237" s="50" t="n">
        <v>326.7</v>
      </c>
      <c r="F237" s="50" t="n">
        <v>326.7</v>
      </c>
      <c r="G237" s="27" t="inlineStr">
        <is>
          <t>fire %10</t>
        </is>
      </c>
      <c r="H237" s="50">
        <f>F237/IF(Varsayimlar!$B$21=1,1.1,1)</f>
        <v/>
      </c>
      <c r="I237" s="51" t="n">
        <v>7.5</v>
      </c>
      <c r="J237" s="28">
        <f>H237*I237</f>
        <v/>
      </c>
      <c r="K237" s="52" t="inlineStr">
        <is>
          <t>GEÇMİŞ TEKLİF UYARLAMA</t>
        </is>
      </c>
      <c r="L237" s="7" t="inlineStr">
        <is>
          <t>REF-derin – İzmir Buca M. Prysmian 2021 FE180 4x10 6,45 (M)+%25 montaj→8,07; İzmir Buca M. Prysmian 2021 4x16 8,51 (M)+%25, ×0,65 Cu→6,91; Bursa T2 Haluk 2015 4x16 7,57 ×0,65 Cu→4,92; Bursa T2 MET 2015 4x16 10,23 ×0,65 Cu→6,65 → ağırlıklı %60 FE180 (8,07) + %40 N2XH medyan (6,65) = 7,50 [Emsal ID: R00691;R00688;R00902;R00973]</t>
        </is>
      </c>
      <c r="M237" s="7" t="inlineStr">
        <is>
          <t>N2XH/FE180 4x10 | İlk tahmin BF 8.50</t>
        </is>
      </c>
    </row>
    <row r="238" outlineLevel="1">
      <c r="A238" s="27" t="n"/>
      <c r="B238" s="27" t="inlineStr">
        <is>
          <t>2011.G</t>
        </is>
      </c>
      <c r="C238" s="7" t="inlineStr">
        <is>
          <t>N2XH 4x6 mm2 (N2XH 733 + FE180 367)</t>
        </is>
      </c>
      <c r="D238" s="27" t="inlineStr">
        <is>
          <t>m</t>
        </is>
      </c>
      <c r="E238" s="50" t="n">
        <v>1210</v>
      </c>
      <c r="F238" s="50" t="n">
        <v>1210</v>
      </c>
      <c r="G238" s="27" t="inlineStr">
        <is>
          <t>fire %10</t>
        </is>
      </c>
      <c r="H238" s="50">
        <f>F238/IF(Varsayimlar!$B$21=1,1.1,1)</f>
        <v/>
      </c>
      <c r="I238" s="51" t="n">
        <v>4.2</v>
      </c>
      <c r="J238" s="28">
        <f>H238*I238</f>
        <v/>
      </c>
      <c r="K238" s="52" t="inlineStr">
        <is>
          <t>GEÇMİŞ TEKLİF UYARLAMA</t>
        </is>
      </c>
      <c r="L238" s="7" t="inlineStr">
        <is>
          <t>REF-derin – N2XH 4x6: Prysmian 2021 3,6 € (M)+%20=4,3; Bursa T2 Haluk 2015 3,5 €, MET 4,4 €, Delta Tema 2,6 € (M)+%20=3,1 → medyan 3,9 € ×1,08 (1/3 FE180) → 4,2 €/m [Emsal ID: R00687;R00903;R00974;R00850]</t>
        </is>
      </c>
      <c r="M238" s="7" t="inlineStr">
        <is>
          <t>N2XH/FE180 4x6 | İlk tahmin BF 6.00</t>
        </is>
      </c>
    </row>
    <row r="239" outlineLevel="1">
      <c r="A239" s="27" t="n"/>
      <c r="B239" s="27" t="inlineStr">
        <is>
          <t>2011.G</t>
        </is>
      </c>
      <c r="C239" s="7" t="inlineStr">
        <is>
          <t>NYY 4x4 mm2 (SKP-1/2, I&amp;LSKP makas besleme)</t>
        </is>
      </c>
      <c r="D239" s="27" t="inlineStr">
        <is>
          <t>m</t>
        </is>
      </c>
      <c r="E239" s="50" t="n">
        <v>330</v>
      </c>
      <c r="F239" s="50" t="n">
        <v>330</v>
      </c>
      <c r="G239" s="27" t="inlineStr">
        <is>
          <t>fire %10</t>
        </is>
      </c>
      <c r="H239" s="50">
        <f>F239/IF(Varsayimlar!$B$21=1,1.1,1)</f>
        <v/>
      </c>
      <c r="I239" s="51" t="n">
        <v>3.33</v>
      </c>
      <c r="J239" s="28">
        <f>H239*I239</f>
        <v/>
      </c>
      <c r="K239" s="52" t="inlineStr">
        <is>
          <t>GEÇMİŞ TEKLİF UYARLAMA</t>
        </is>
      </c>
      <c r="L239" s="7" t="inlineStr">
        <is>
          <t>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is>
      </c>
      <c r="M239" s="7" t="inlineStr">
        <is>
          <t>NYY 4x4 | İlk tahmin BF 4.20</t>
        </is>
      </c>
    </row>
    <row r="240" outlineLevel="1">
      <c r="A240" s="27" t="n"/>
      <c r="B240" s="27" t="inlineStr">
        <is>
          <t>2011.G</t>
        </is>
      </c>
      <c r="C240" s="7" t="inlineStr">
        <is>
          <t>N2XH 3x2,5 mm2 (klima iç üniteler M5-M12, UPS U1-U4)</t>
        </is>
      </c>
      <c r="D240" s="27" t="inlineStr">
        <is>
          <t>m</t>
        </is>
      </c>
      <c r="E240" s="50" t="n">
        <v>292</v>
      </c>
      <c r="F240" s="50" t="n">
        <v>292</v>
      </c>
      <c r="G240" s="27" t="inlineStr">
        <is>
          <t>-</t>
        </is>
      </c>
      <c r="H240" s="50">
        <f>F240</f>
        <v/>
      </c>
      <c r="I240" s="51" t="n">
        <v>1.83</v>
      </c>
      <c r="J240" s="28">
        <f>H240*I240</f>
        <v/>
      </c>
      <c r="K240" s="52" t="inlineStr">
        <is>
          <t>GEÇMİŞ TEKLİF UYARLAMA</t>
        </is>
      </c>
      <c r="L240" s="7" t="inlineStr">
        <is>
          <t>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is>
      </c>
      <c r="M240" s="7" t="inlineStr">
        <is>
          <t>N2XH 3x2,5 | İlk tahmin BF 2.50</t>
        </is>
      </c>
    </row>
    <row r="241" outlineLevel="1">
      <c r="A241" s="27" t="n"/>
      <c r="B241" s="27" t="inlineStr">
        <is>
          <t>2011.G</t>
        </is>
      </c>
      <c r="C241" s="7" t="inlineStr">
        <is>
          <t>H07Z-R PE iletkenleri (16-120 mm2) fiderlerle birlikte</t>
        </is>
      </c>
      <c r="D241" s="27" t="inlineStr">
        <is>
          <t>m</t>
        </is>
      </c>
      <c r="E241" s="50" t="n">
        <v>2145</v>
      </c>
      <c r="F241" s="50" t="n">
        <v>2145</v>
      </c>
      <c r="G241" s="27" t="inlineStr">
        <is>
          <t>fire+%30</t>
        </is>
      </c>
      <c r="H241" s="50">
        <f>F241/IF(Varsayimlar!$B$21=1,1.43,1)</f>
        <v/>
      </c>
      <c r="I241" s="51" t="n">
        <v>6</v>
      </c>
      <c r="J241" s="28">
        <f>H241*I241</f>
        <v/>
      </c>
      <c r="K241" s="53" t="inlineStr">
        <is>
          <t>MÜHENDİSLİK TAHMİNİ</t>
        </is>
      </c>
      <c r="L241" s="7" t="inlineStr">
        <is>
          <t>TAHMIN (emsal yok) – H07Z-R PE 16–120 karışık – kesit dağılımı belirsiz, 6 € korundu</t>
        </is>
      </c>
      <c r="M241" s="7" t="inlineStr">
        <is>
          <t>PE 16-120 ort.</t>
        </is>
      </c>
    </row>
    <row r="242" outlineLevel="1">
      <c r="A242" s="27" t="n"/>
      <c r="B242" s="27" t="inlineStr">
        <is>
          <t>2011.G</t>
        </is>
      </c>
      <c r="C242" s="7" t="inlineStr">
        <is>
          <t>D02 trafo binası delikli kablo tavası 100 mm (KT-100)</t>
        </is>
      </c>
      <c r="D242" s="27" t="inlineStr">
        <is>
          <t>m</t>
        </is>
      </c>
      <c r="E242" s="50" t="n">
        <v>192</v>
      </c>
      <c r="F242" s="50" t="n">
        <v>192</v>
      </c>
      <c r="G242" s="27" t="inlineStr">
        <is>
          <t>-</t>
        </is>
      </c>
      <c r="H242" s="50">
        <f>F242</f>
        <v/>
      </c>
      <c r="I242" s="51" t="n">
        <v>8.359999999999999</v>
      </c>
      <c r="J242" s="28">
        <f>H242*I242</f>
        <v/>
      </c>
      <c r="K242" s="52" t="inlineStr">
        <is>
          <t>GEÇMİŞ TEKLİF UYARLAMA</t>
        </is>
      </c>
      <c r="L242" s="7" t="inlineStr">
        <is>
          <t>REF-derin – İzmir Buca M. EAE 2021 CTH100 tava 3,89 (M)+%40 montaj→5,45; Mersin M. Arkom 2021 100 mm tava 5,64 (M)+%40 montaj→7,89; Bursa T2 Haluk 2015 galv. tava €/kg 3,97 2,59 kg/m (100x60x1,5)→10,28; Bursa T2 MET 2015 galv. tava €/kg 3,41 2,59 kg/m→8,84 → medyan 8,36 [Emsal ID: R00800;R01102;R00853;R00935]</t>
        </is>
      </c>
      <c r="M242" s="7" t="inlineStr">
        <is>
          <t>Tava 100 | İlk tahmin BF 12.00</t>
        </is>
      </c>
    </row>
    <row r="243" outlineLevel="1">
      <c r="A243" s="27" t="n"/>
      <c r="B243" s="27" t="inlineStr">
        <is>
          <t>2011.G</t>
        </is>
      </c>
      <c r="C243" s="7" t="inlineStr">
        <is>
          <t>D02 trafo binası kablo merdiveni/tava 500 mm (KT-500)</t>
        </is>
      </c>
      <c r="D243" s="27" t="inlineStr">
        <is>
          <t>m</t>
        </is>
      </c>
      <c r="E243" s="50" t="n">
        <v>311</v>
      </c>
      <c r="F243" s="50" t="n">
        <v>311</v>
      </c>
      <c r="G243" s="27" t="inlineStr">
        <is>
          <t>-</t>
        </is>
      </c>
      <c r="H243" s="50">
        <f>F243</f>
        <v/>
      </c>
      <c r="I243" s="51" t="n">
        <v>30.8</v>
      </c>
      <c r="J243" s="28">
        <f>H243*I243</f>
        <v/>
      </c>
      <c r="K243" s="52" t="inlineStr">
        <is>
          <t>GEÇMİŞ TEKLİF UYARLAMA</t>
        </is>
      </c>
      <c r="L243" s="7" t="inlineStr">
        <is>
          <t>REF-derin – KT-500 tava: Buca EAE 2021 CTA 500 20,7 €/m (M), Mezitli Arkom 2021 400/600 tava 13,0/17,9 → 500≈15,5 €/m (M); medyan 18,1 × 1,7 (kapak/ek/askı + montaj) → 30,8 €/m [Emsal ID: R00803;R01104;R01105]</t>
        </is>
      </c>
      <c r="M243" s="7" t="inlineStr">
        <is>
          <t>Merdiven/tava 500 | İlk tahmin BF 38.00</t>
        </is>
      </c>
    </row>
    <row r="244" outlineLevel="1">
      <c r="A244" s="27" t="n"/>
      <c r="B244" s="27" t="inlineStr">
        <is>
          <t>2011.G</t>
        </is>
      </c>
      <c r="C244" s="7" t="inlineStr">
        <is>
          <t>Atölye+idari bina (D01) kablo tavaları KT-100/KT-200 (çoğu KT-200, çukurlarda h:-0,5 m, holde h:3,00/6,45 m) + askı/konsol</t>
        </is>
      </c>
      <c r="D244" s="27" t="inlineStr">
        <is>
          <t>m</t>
        </is>
      </c>
      <c r="E244" s="50" t="n">
        <v>2197</v>
      </c>
      <c r="F244" s="50" t="n">
        <v>2197</v>
      </c>
      <c r="G244" s="27" t="inlineStr">
        <is>
          <t>fire+%30</t>
        </is>
      </c>
      <c r="H244" s="50">
        <f>F244/IF(Varsayimlar!$B$21=1,1.43,1)</f>
        <v/>
      </c>
      <c r="I244" s="51" t="n">
        <v>15.3</v>
      </c>
      <c r="J244" s="28">
        <f>H244*I244</f>
        <v/>
      </c>
      <c r="K244" s="52" t="inlineStr">
        <is>
          <t>GEÇMİŞ TEKLİF UYARLAMA</t>
        </is>
      </c>
      <c r="L244" s="7" t="inlineStr">
        <is>
          <t>REF-derin – KT-200 tava: Buca EAE 2021 8,3 €/m, Mezitli Arkom 2021 8,1 €/m (M) → 8,2 × 1,7 (askı/konsol+montaj) × 1,1 (6,45 m yükseklik) → 15,3 €/m [Emsal ID: R00801;R01101;R00800;R01102]</t>
        </is>
      </c>
      <c r="M244" s="7" t="inlineStr">
        <is>
          <t>KT-100/200 + askı | İlk tahmin BF 17.00</t>
        </is>
      </c>
    </row>
    <row r="245" outlineLevel="1">
      <c r="A245" s="27" t="n"/>
      <c r="B245" s="27" t="inlineStr">
        <is>
          <t>2011.G</t>
        </is>
      </c>
      <c r="C245" s="7" t="inlineStr">
        <is>
          <t>Diğer depo binaları tavaları (D03, D05, D06)</t>
        </is>
      </c>
      <c r="D245" s="27" t="inlineStr">
        <is>
          <t>m</t>
        </is>
      </c>
      <c r="E245" s="50" t="n">
        <v>143</v>
      </c>
      <c r="F245" s="50" t="n">
        <v>143</v>
      </c>
      <c r="G245" s="27" t="inlineStr">
        <is>
          <t>fire+%30</t>
        </is>
      </c>
      <c r="H245" s="50">
        <f>F245/IF(Varsayimlar!$B$21=1,1.43,1)</f>
        <v/>
      </c>
      <c r="I245" s="51" t="n">
        <v>15</v>
      </c>
      <c r="J245" s="28">
        <f>H245*I245</f>
        <v/>
      </c>
      <c r="K245" s="53" t="inlineStr">
        <is>
          <t>MÜHENDİSLİK TAHMİNİ</t>
        </is>
      </c>
      <c r="L245" s="7" t="inlineStr">
        <is>
          <t>TAHMIN (emsal yok) – Emsal yok (tava genişliği belirsiz; kontrol: 100 mm tava REF ~8,4, kapaklı ~11,3 €/m)</t>
        </is>
      </c>
      <c r="M245" s="7" t="inlineStr">
        <is>
          <t>Tava ort.</t>
        </is>
      </c>
    </row>
    <row r="246" outlineLevel="1">
      <c r="A246" s="27" t="n"/>
      <c r="B246" s="27" t="inlineStr">
        <is>
          <t>2011.G</t>
        </is>
      </c>
      <c r="C246" s="7" t="inlineStr">
        <is>
          <t>Tava topraklama iletkeni 16 mm2 çıplak Cu (tava boyunca)</t>
        </is>
      </c>
      <c r="D246" s="27" t="inlineStr">
        <is>
          <t>m</t>
        </is>
      </c>
      <c r="E246" s="50" t="n">
        <v>2842</v>
      </c>
      <c r="F246" s="50" t="n">
        <v>2842</v>
      </c>
      <c r="G246" s="27" t="inlineStr">
        <is>
          <t>fire+%30</t>
        </is>
      </c>
      <c r="H246" s="50">
        <f>F246/IF(Varsayimlar!$B$21=1,1.43,1)</f>
        <v/>
      </c>
      <c r="I246" s="51" t="n">
        <v>3</v>
      </c>
      <c r="J246" s="28">
        <f>H246*I246</f>
        <v/>
      </c>
      <c r="K246" s="52" t="inlineStr">
        <is>
          <t>GEÇMİŞ TEKLİF UYARLAMA</t>
        </is>
      </c>
      <c r="L246" s="7" t="inlineStr">
        <is>
          <t>REF-derin – 16 mm² Cu: Buca 2021 örgülü 1,7 € (M)+%35=2,3; Bursa T2 Haluk 2015 4,4 €, MET 2,5 €; Başkentray Desat 3,0 €; Platin 2019 3,4 € → medyan 3,0 €/m [Emsal ID: R00724;R00900;R00971;R00518;R00485]</t>
        </is>
      </c>
      <c r="M246" s="7" t="inlineStr">
        <is>
          <t>Cu 16 çıplak | İlk tahmin BF 3.50</t>
        </is>
      </c>
    </row>
    <row r="247" outlineLevel="1">
      <c r="A247" s="27" t="n"/>
      <c r="B247" s="27" t="inlineStr">
        <is>
          <t>2011.G</t>
        </is>
      </c>
      <c r="C247" s="7" t="inlineStr">
        <is>
          <t>Saha dışı fiderler için HDPE koruge boru Ø110/160 (binalar arası)</t>
        </is>
      </c>
      <c r="D247" s="27" t="inlineStr">
        <is>
          <t>m</t>
        </is>
      </c>
      <c r="E247" s="50" t="n">
        <v>3575</v>
      </c>
      <c r="F247" s="50" t="n">
        <v>3575</v>
      </c>
      <c r="G247" s="27" t="inlineStr">
        <is>
          <t>fire+%30</t>
        </is>
      </c>
      <c r="H247" s="50">
        <f>F247/IF(Varsayimlar!$B$21=1,1.43,1)</f>
        <v/>
      </c>
      <c r="I247" s="51" t="n">
        <v>5.5</v>
      </c>
      <c r="J247" s="28">
        <f>H247*I247</f>
        <v/>
      </c>
      <c r="K247" s="53" t="inlineStr">
        <is>
          <t>MÜHENDİSLİK TAHMİNİ</t>
        </is>
      </c>
      <c r="L247" s="7" t="inlineStr">
        <is>
          <t>TAHMIN (emsal yok) – HDPE koruge Ø110/160: refler (AUS 2018 3,5 €/m, YM Çerkezköy 2018 4,6 €/m) çap belirtmiyor – mevcut 5,5 € Ø160 payı ile makul [Emsal ID: R04035;R01311]</t>
        </is>
      </c>
      <c r="M247" s="7" t="inlineStr">
        <is>
          <t>HDPE Ø110/160 (kazı hariç)</t>
        </is>
      </c>
    </row>
    <row r="248" outlineLevel="1">
      <c r="A248" s="27" t="n"/>
      <c r="B248" s="27" t="inlineStr">
        <is>
          <t>2011.G</t>
        </is>
      </c>
      <c r="C248" s="7" t="inlineStr">
        <is>
          <t>Yangın durdurucu, pabuç, etiket, testler</t>
        </is>
      </c>
      <c r="D248" s="27" t="inlineStr">
        <is>
          <t>set</t>
        </is>
      </c>
      <c r="E248" s="50" t="n">
        <v>1</v>
      </c>
      <c r="F248" s="50" t="n">
        <v>1</v>
      </c>
      <c r="G248" s="27" t="inlineStr">
        <is>
          <t>-</t>
        </is>
      </c>
      <c r="H248" s="50">
        <f>F248</f>
        <v/>
      </c>
      <c r="I248" s="51" t="n">
        <v>3500</v>
      </c>
      <c r="J248" s="28">
        <f>H248*I248</f>
        <v/>
      </c>
      <c r="K248" s="53" t="inlineStr">
        <is>
          <t>MÜHENDİSLİK TAHMİNİ</t>
        </is>
      </c>
      <c r="L248" s="7" t="inlineStr">
        <is>
          <t>TAHMIN (emsal yok) – Emsal yok (yangın durdurucu/pabuç/test götürü)</t>
        </is>
      </c>
      <c r="M248" s="7" t="inlineStr">
        <is>
          <t>Götürü depo</t>
        </is>
      </c>
    </row>
    <row r="249" outlineLevel="1">
      <c r="A249" s="27" t="n"/>
      <c r="B249" s="27" t="inlineStr">
        <is>
          <t>2011.G</t>
        </is>
      </c>
      <c r="C249" s="7" t="inlineStr">
        <is>
          <t>D01 sistem/ekipman besleme kabloları N2XH 4x4–4x16 (IMP, MBP, AKT/003, TCCP/ZDUP rack)</t>
        </is>
      </c>
      <c r="D249" s="27" t="inlineStr">
        <is>
          <t>m</t>
        </is>
      </c>
      <c r="E249" s="50" t="n">
        <v>510</v>
      </c>
      <c r="F249" s="50" t="n">
        <v>510</v>
      </c>
      <c r="G249" s="27" t="inlineStr">
        <is>
          <t>fire+%30</t>
        </is>
      </c>
      <c r="H249" s="50">
        <f>F249/IF(Varsayimlar!$B$21=1,1.43,1)</f>
        <v/>
      </c>
      <c r="I249" s="51" t="n">
        <v>6.63</v>
      </c>
      <c r="J249" s="28">
        <f>H249*I249</f>
        <v/>
      </c>
      <c r="K249" s="52" t="inlineStr">
        <is>
          <t>GEÇMİŞ TEKLİF UYARLAMA</t>
        </is>
      </c>
      <c r="L249" s="7" t="inlineStr">
        <is>
          <t>REF-derin(1) – Karışık kalem (kesit eşit dağılım varsayımı 4x4/4x6/4x10/4x16): N2XH4x4=3,33 + N2XH4x6=3,95 + 4x10mix=7,50 + N2XH4x16=10,23 → 6,25; dağılım belirsiz → mevcut 7,00 ile ort. = 6,63. Emsaller: N2XH4x4 [R00687;R00850;R00903;R00974;R01697;R02744] 3,33 | N2XH4x6 [R00687;R00850;R00903;R00974] 3,95 | 4x10mix [R00691;R00688;R00902;R00973] 7,50 | N2XH4x16 [R00688;R00902;R00973] 10,23 [Emsal ID: R00687;R00850;R00903;R00974;R01697;R02744;R00691;R00688;R00902;R00973]</t>
        </is>
      </c>
      <c r="M249" s="7" t="inlineStr">
        <is>
          <t>4x4-4x16 ort. | İlk tahmin BF 7.00</t>
        </is>
      </c>
    </row>
    <row r="250" outlineLevel="1">
      <c r="A250" s="27" t="n"/>
      <c r="B250" s="27" t="inlineStr">
        <is>
          <t>2011.G</t>
        </is>
      </c>
      <c r="C250" s="7" t="inlineStr">
        <is>
          <t>D01 linye kabloları için HF boru/spiral + buat (sıva altı/üstü)</t>
        </is>
      </c>
      <c r="D250" s="27" t="inlineStr">
        <is>
          <t>m</t>
        </is>
      </c>
      <c r="E250" s="50" t="n">
        <v>9328</v>
      </c>
      <c r="F250" s="50" t="n">
        <v>9328</v>
      </c>
      <c r="G250" s="27" t="inlineStr">
        <is>
          <t>fire+%30</t>
        </is>
      </c>
      <c r="H250" s="50">
        <f>F250/IF(Varsayimlar!$B$21=1,1.43,1)</f>
        <v/>
      </c>
      <c r="I250" s="51" t="n">
        <v>1.95</v>
      </c>
      <c r="J250" s="28">
        <f>H250*I250</f>
        <v/>
      </c>
      <c r="K250" s="52" t="inlineStr">
        <is>
          <t>GEÇMİŞ TEKLİF UYARLAMA</t>
        </is>
      </c>
      <c r="L250" s="7" t="inlineStr">
        <is>
          <t>REF-derin(1) – SAGE 2018 Q16 rijit boru aksesuarlı 1,7 €/m (M+İ) → mevcut 2,2 ile harmanlandı [Emsal ID: R03097]</t>
        </is>
      </c>
      <c r="M250" s="7" t="inlineStr">
        <is>
          <t>HF boru/spiral+buat | İlk tahmin BF 2.20</t>
        </is>
      </c>
    </row>
    <row r="251" outlineLevel="1">
      <c r="A251" s="27" t="n"/>
      <c r="B251" s="27" t="inlineStr">
        <is>
          <t>2011.G</t>
        </is>
      </c>
      <c r="C251" s="7" t="inlineStr">
        <is>
          <t>D06 pompa/fan/kompresör besleme kabloları (4x4, 3x10, 3x2,5)</t>
        </is>
      </c>
      <c r="D251" s="27" t="inlineStr">
        <is>
          <t>m</t>
        </is>
      </c>
      <c r="E251" s="50" t="n">
        <v>142</v>
      </c>
      <c r="F251" s="50" t="n">
        <v>142</v>
      </c>
      <c r="G251" s="27" t="inlineStr">
        <is>
          <t>-</t>
        </is>
      </c>
      <c r="H251" s="50">
        <f>F251</f>
        <v/>
      </c>
      <c r="I251" s="51" t="n">
        <v>4.18</v>
      </c>
      <c r="J251" s="28">
        <f>H251*I251</f>
        <v/>
      </c>
      <c r="K251" s="52" t="inlineStr">
        <is>
          <t>GEÇMİŞ TEKLİF UYARLAMA</t>
        </is>
      </c>
      <c r="L251" s="7" t="inlineStr">
        <is>
          <t>REF-derin(1) – Karışık kalem (eşit dağılım 4x4/3x10/3x2,5): N2XH4x4=3,33 + N2XH3x2.5=1,83 + 3x10=4,94 → 3,37; dağılım belirsiz → mevcut 5,00 ile ort. = 4,18. Emsaller: N2XH4x4 [R00687;R00850;R00903;R00974;R01697;R02744] 3,33 | N2XH3x2.5 [R00685;R00727;R00848;R00901;R00972;R01622;R01802;R01827] 1,83 | 3x10 [R00687;R00850;R00903;R00974] 4,94 [Emsal ID: R00687;R00850;R00903;R00974;R01697;R02744;R00685;R00727;R00848;R00901;R00972;R01622;R01802;R01827]</t>
        </is>
      </c>
      <c r="M251" s="7" t="inlineStr">
        <is>
          <t>Karışık kesit | İlk tahmin BF 5.00</t>
        </is>
      </c>
    </row>
    <row r="252" outlineLevel="1">
      <c r="A252" s="27" t="n"/>
      <c r="B252" s="27" t="inlineStr">
        <is>
          <t>2011.G</t>
        </is>
      </c>
      <c r="C252" s="7" t="inlineStr">
        <is>
          <t>D07 bariyer/klima/mekanik besleme kabloları M01-M05</t>
        </is>
      </c>
      <c r="D252" s="27" t="inlineStr">
        <is>
          <t>m</t>
        </is>
      </c>
      <c r="E252" s="50" t="n">
        <v>72</v>
      </c>
      <c r="F252" s="50" t="n">
        <v>72</v>
      </c>
      <c r="G252" s="27" t="inlineStr">
        <is>
          <t>fire+%30</t>
        </is>
      </c>
      <c r="H252" s="50">
        <f>F252/IF(Varsayimlar!$B$21=1,1.43,1)</f>
        <v/>
      </c>
      <c r="I252" s="51" t="n">
        <v>3.27</v>
      </c>
      <c r="J252" s="28">
        <f>H252*I252</f>
        <v/>
      </c>
      <c r="K252" s="52" t="inlineStr">
        <is>
          <t>GEÇMİŞ TEKLİF UYARLAMA</t>
        </is>
      </c>
      <c r="L252" s="7" t="inlineStr">
        <is>
          <t>REF-derin(1) – Karışık kalem (küçük kesit varsayımı 3x2,5/3x4/5x2,5): N2XH3x2.5=1,83 + N2XH3x4=3,13 + N2XH5x2.5=2,64 → 2,53; dağılım belirsiz → mevcut 4,00 ile ort. = 3,27. Emsaller: N2XH3x2.5 [R00685;R00727;R00848;R00901;R00972;R01622;R01802;R01827] 1,83 | N2XH3x4 [R01697;R02744] 3,13 | N2XH5x2.5 [R00686;R00849;R00904;R00975] 2,64 [Emsal ID: R00685;R00727;R00848;R00901;R00972;R01622;R01802;R01827;R01697;R02744;R00686;R00849;R00904;R00975]</t>
        </is>
      </c>
      <c r="M252" s="7" t="inlineStr">
        <is>
          <t>Küçük kesit | İlk tahmin BF 4.00</t>
        </is>
      </c>
    </row>
    <row r="253" outlineLevel="1">
      <c r="A253" s="27" t="n"/>
      <c r="B253" s="27" t="inlineStr">
        <is>
          <t>2011.G</t>
        </is>
      </c>
      <c r="C253" s="7" t="inlineStr">
        <is>
          <t>ÇAP101 besleme kablosu (D01 ADP→ÇAP101)</t>
        </is>
      </c>
      <c r="D253" s="27" t="inlineStr">
        <is>
          <t>m</t>
        </is>
      </c>
      <c r="E253" s="50" t="n">
        <v>72</v>
      </c>
      <c r="F253" s="50" t="n">
        <v>72</v>
      </c>
      <c r="G253" s="27" t="inlineStr">
        <is>
          <t>fire+%30</t>
        </is>
      </c>
      <c r="H253" s="50">
        <f>F253/IF(Varsayimlar!$B$21=1,1.43,1)</f>
        <v/>
      </c>
      <c r="I253" s="51" t="n">
        <v>15.94</v>
      </c>
      <c r="J253" s="28">
        <f>H253*I253</f>
        <v/>
      </c>
      <c r="K253" s="52" t="inlineStr">
        <is>
          <t>GEÇMİŞ TEKLİF UYARLAMA</t>
        </is>
      </c>
      <c r="L253" s="7" t="inlineStr">
        <is>
          <t>REF-derin – İzmir Buca M. Prysmian 2021 4x16 8,51 (M)+%25, ×100/64 Cu→16,62; Bursa T2 Haluk 2015 4x16 7,57 ×100/64 Cu→11,83; Bursa T2 MET 2015 4x16 10,23 ×100/64 Cu→15,99; İzmir Buca M. Prysmian 2021 3x70/35 31,16 (M)+%25, ×100/245 Cu→15,90 → medyan 15,94 [Emsal ID: R00688;R00902;R00973;R00689]</t>
        </is>
      </c>
      <c r="M253" s="7" t="inlineStr">
        <is>
          <t>Kesit belirsiz, ~4x25 varsayım | İlk tahmin BF 14.00</t>
        </is>
      </c>
    </row>
    <row r="254">
      <c r="A254" s="48" t="inlineStr">
        <is>
          <t>217</t>
        </is>
      </c>
      <c r="B254" s="48" t="inlineStr">
        <is>
          <t>2011.F</t>
        </is>
      </c>
      <c r="C254" s="48" t="inlineStr">
        <is>
          <t>Harran İstasyonu Alçak Gerilim Besleme-Dağıtım Kabloları ve Kablo Taşıma Sistemleri (1 set)</t>
        </is>
      </c>
      <c r="D254" s="48" t="n"/>
      <c r="E254" s="48" t="n"/>
      <c r="F254" s="48" t="n"/>
      <c r="G254" s="48" t="n"/>
      <c r="H254" s="48" t="inlineStr">
        <is>
          <t>RFQ tutarı →</t>
        </is>
      </c>
      <c r="I254" s="49">
        <f>SUMPRODUCT(E255:E263,I255:I263)</f>
        <v/>
      </c>
      <c r="J254" s="49">
        <f>SUM(J255:J263)</f>
        <v/>
      </c>
      <c r="K254" s="48" t="n"/>
      <c r="L254" s="48" t="n"/>
      <c r="M254" s="48" t="n"/>
    </row>
    <row r="255" outlineLevel="1">
      <c r="A255" s="27" t="n"/>
      <c r="B255" s="27" t="inlineStr">
        <is>
          <t>2011.F</t>
        </is>
      </c>
      <c r="C255" s="7" t="inlineStr">
        <is>
          <t>N2XH 4x6 mm2 (ADP→APP 10, UPS 10) + UPS→UPS panosu 4x6+6 10</t>
        </is>
      </c>
      <c r="D255" s="27" t="inlineStr">
        <is>
          <t>m</t>
        </is>
      </c>
      <c r="E255" s="50" t="n">
        <v>33</v>
      </c>
      <c r="F255" s="50" t="n">
        <v>33</v>
      </c>
      <c r="G255" s="27" t="inlineStr">
        <is>
          <t>-</t>
        </is>
      </c>
      <c r="H255" s="50">
        <f>F255</f>
        <v/>
      </c>
      <c r="I255" s="51" t="n">
        <v>4.25</v>
      </c>
      <c r="J255" s="28">
        <f>H255*I255</f>
        <v/>
      </c>
      <c r="K255" s="52" t="inlineStr">
        <is>
          <t>GEÇMİŞ TEKLİF UYARLAMA</t>
        </is>
      </c>
      <c r="L255" s="7" t="inlineStr">
        <is>
          <t>REF-derin – İzmir Buca M. Prysmian 2021 4x6 3,59 (M)+%35, ×1,075 (%30 4x6+6)→5,21; Bursa T2 Delta 2015 4x6 2,55 (M)+%35, ×1,075 (%30 4x6+6)→3,71; Bursa T2 Haluk 2015 4x6 3,51 ×1,075 (%30 4x6+6)→3,77; Bursa T2 MET 2015 4x6 4,40 ×1,075 (%30 4x6+6)→4,73 → medyan 4,25 [Emsal ID: R00687;R00850;R00903;R00974]</t>
        </is>
      </c>
      <c r="M255" s="7" t="inlineStr">
        <is>
          <t>4x6 + 4x6+6 karışık | İlk tahmin BF 5.80</t>
        </is>
      </c>
    </row>
    <row r="256" outlineLevel="1">
      <c r="A256" s="27" t="n"/>
      <c r="B256" s="27" t="inlineStr">
        <is>
          <t>2011.F</t>
        </is>
      </c>
      <c r="C256" s="7" t="inlineStr">
        <is>
          <t>N2XH 4x2,5 mm2 (ADP→SK 25)</t>
        </is>
      </c>
      <c r="D256" s="27" t="inlineStr">
        <is>
          <t>m</t>
        </is>
      </c>
      <c r="E256" s="50" t="n">
        <v>27.5</v>
      </c>
      <c r="F256" s="50" t="n">
        <v>27.5</v>
      </c>
      <c r="G256" s="27" t="inlineStr">
        <is>
          <t>fire %10</t>
        </is>
      </c>
      <c r="H256" s="50">
        <f>F256/IF(Varsayimlar!$B$21=1,1.1,1)</f>
        <v/>
      </c>
      <c r="I256" s="51" t="n">
        <v>2.21</v>
      </c>
      <c r="J256" s="28">
        <f>H256*I256</f>
        <v/>
      </c>
      <c r="K256" s="52" t="inlineStr">
        <is>
          <t>GEÇMİŞ TEKLİF UYARLAMA</t>
        </is>
      </c>
      <c r="L256" s="7" t="inlineStr">
        <is>
          <t>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is>
      </c>
      <c r="M256" s="7" t="inlineStr">
        <is>
          <t>N2XH 4x2,5 | İlk tahmin BF 3.20</t>
        </is>
      </c>
    </row>
    <row r="257" outlineLevel="1">
      <c r="A257" s="27" t="n"/>
      <c r="B257" s="27" t="inlineStr">
        <is>
          <t>2011.F</t>
        </is>
      </c>
      <c r="C257" s="7" t="inlineStr">
        <is>
          <t>N2XH 3x2,5 mm2 – UPS panosundan sistem panolarına</t>
        </is>
      </c>
      <c r="D257" s="27" t="inlineStr">
        <is>
          <t>m</t>
        </is>
      </c>
      <c r="E257" s="50" t="n">
        <v>319</v>
      </c>
      <c r="F257" s="54" t="n">
        <v>297.7</v>
      </c>
      <c r="G257" s="27" t="inlineStr">
        <is>
          <t>-</t>
        </is>
      </c>
      <c r="H257" s="50">
        <f>F257</f>
        <v/>
      </c>
      <c r="I257" s="51" t="n">
        <v>1.83</v>
      </c>
      <c r="J257" s="28">
        <f>H257*I257</f>
        <v/>
      </c>
      <c r="K257" s="52" t="inlineStr">
        <is>
          <t>GEÇMİŞ TEKLİF UYARLAMA</t>
        </is>
      </c>
      <c r="L257" s="7" t="inlineStr">
        <is>
          <t>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is>
      </c>
      <c r="M257" s="7" t="inlineStr">
        <is>
          <t>TSKP payı düşüldü (10/150 oransal) | İlk tahmin BF 2.50</t>
        </is>
      </c>
    </row>
    <row r="258" outlineLevel="1">
      <c r="A258" s="27" t="n"/>
      <c r="B258" s="27" t="inlineStr">
        <is>
          <t>2011.F</t>
        </is>
      </c>
      <c r="C258" s="7" t="inlineStr">
        <is>
          <t>N2XH 3x6 mm2 TSKP kavşak beslemesi</t>
        </is>
      </c>
      <c r="D258" s="27" t="inlineStr">
        <is>
          <t>m</t>
        </is>
      </c>
      <c r="E258" s="50" t="n">
        <v>66</v>
      </c>
      <c r="F258" s="54" t="n">
        <v>0</v>
      </c>
      <c r="G258" s="27" t="inlineStr">
        <is>
          <t>fire %10</t>
        </is>
      </c>
      <c r="H258" s="50">
        <f>F258/IF(Varsayimlar!$B$21=1,1.1,1)</f>
        <v/>
      </c>
      <c r="I258" s="51" t="n">
        <v>2.96</v>
      </c>
      <c r="J258" s="28">
        <f>H258*I258</f>
        <v/>
      </c>
      <c r="K258" s="55" t="inlineStr">
        <is>
          <t>KAPSAM DIŞI (0)</t>
        </is>
      </c>
      <c r="L258" s="7" t="inlineStr">
        <is>
          <t>REF-derin – İzmir Buca M. Prysmian 2021 4x6 3,59 (M)+%35, ×3/4 damar→3,64; Bursa T2 Delta 2015 4x6 2,55 (M)+%35, ×3/4 damar→2,59; Bursa T2 Haluk 2015 4x6 3,51 ×3/4 damar→2,63; Bursa T2 MET 2015 4x6 4,40 ×3/4 damar→3,30 → medyan 2,96 [Emsal ID: R00687;R00850;R00903;R00974]</t>
        </is>
      </c>
      <c r="M258" s="7" t="inlineStr">
        <is>
          <t>İdare: TSKP kapsam dışı | İlk tahmin BF 4.50</t>
        </is>
      </c>
    </row>
    <row r="259" outlineLevel="1">
      <c r="A259" s="27" t="n"/>
      <c r="B259" s="27" t="inlineStr">
        <is>
          <t>2011.F</t>
        </is>
      </c>
      <c r="C259" s="7" t="inlineStr">
        <is>
          <t>Ø110 koruge (HDPE) elektrik borusu</t>
        </is>
      </c>
      <c r="D259" s="27" t="inlineStr">
        <is>
          <t>m</t>
        </is>
      </c>
      <c r="E259" s="50" t="n">
        <v>439</v>
      </c>
      <c r="F259" s="50" t="n">
        <v>439</v>
      </c>
      <c r="G259" s="27" t="inlineStr">
        <is>
          <t>fire+%30</t>
        </is>
      </c>
      <c r="H259" s="50">
        <f>F259/IF(Varsayimlar!$B$21=1,1.43,1)</f>
        <v/>
      </c>
      <c r="I259" s="51" t="n">
        <v>4.5</v>
      </c>
      <c r="J259" s="28">
        <f>H259*I259</f>
        <v/>
      </c>
      <c r="K259" s="53" t="inlineStr">
        <is>
          <t>MÜHENDİSLİK TAHMİNİ</t>
        </is>
      </c>
      <c r="L259" s="7" t="inlineStr">
        <is>
          <t>TAHMIN (emsal yok) – Emsal yok (çap belirtilen HDPE/çelik boru teklifi yok; R04035 HDPE muhafaza 3,53 / R01311 4,63 çap belirsiz)</t>
        </is>
      </c>
      <c r="M259" s="7" t="inlineStr">
        <is>
          <t>HDPE Ø110 (kazı hariç)</t>
        </is>
      </c>
    </row>
    <row r="260" outlineLevel="1">
      <c r="A260" s="27" t="n"/>
      <c r="B260" s="27" t="inlineStr">
        <is>
          <t>2011.F</t>
        </is>
      </c>
      <c r="C260" s="7" t="inlineStr">
        <is>
          <t>Kablo merdiveni 300 mm + delikli tava 100 mm (pano odası)</t>
        </is>
      </c>
      <c r="D260" s="27" t="inlineStr">
        <is>
          <t>m</t>
        </is>
      </c>
      <c r="E260" s="50" t="n">
        <v>36</v>
      </c>
      <c r="F260" s="50" t="n">
        <v>36</v>
      </c>
      <c r="G260" s="27" t="inlineStr">
        <is>
          <t>-</t>
        </is>
      </c>
      <c r="H260" s="50">
        <f>F260</f>
        <v/>
      </c>
      <c r="I260" s="51" t="n">
        <v>13.75</v>
      </c>
      <c r="J260" s="28">
        <f>H260*I260</f>
        <v/>
      </c>
      <c r="K260" s="52" t="inlineStr">
        <is>
          <t>GEÇMİŞ TEKLİF UYARLAMA</t>
        </is>
      </c>
      <c r="L260" s="7" t="inlineStr">
        <is>
          <t>REF-derin – Karışık kalem (merdiven/tava eşit pay): merdiven300=16,21 + tava100kapak=11,29 → 13,75. Emsaller: merdiven300 [R00805;R01103;R00853;R00935] 16,21 | tava100kapak [R00800;R01102;R00853;R00935] 11,29 [Emsal ID: R00805;R01103;R00853;R00935;R00800;R01102]</t>
        </is>
      </c>
      <c r="M260" s="7" t="inlineStr">
        <is>
          <t>Merdiven 300 + tava 100 karışık | İlk tahmin BF 20.00</t>
        </is>
      </c>
    </row>
    <row r="261" outlineLevel="1">
      <c r="A261" s="27" t="n"/>
      <c r="B261" s="27" t="inlineStr">
        <is>
          <t>2011.F</t>
        </is>
      </c>
      <c r="C261" s="7" t="inlineStr">
        <is>
          <t>Yangın durdurucu</t>
        </is>
      </c>
      <c r="D261" s="27" t="inlineStr">
        <is>
          <t>adet</t>
        </is>
      </c>
      <c r="E261" s="50" t="n">
        <v>4</v>
      </c>
      <c r="F261" s="50" t="n">
        <v>4</v>
      </c>
      <c r="G261" s="27" t="inlineStr">
        <is>
          <t>-</t>
        </is>
      </c>
      <c r="H261" s="50">
        <f>F261</f>
        <v/>
      </c>
      <c r="I261" s="51" t="n">
        <v>60</v>
      </c>
      <c r="J261" s="28">
        <f>H261*I261</f>
        <v/>
      </c>
      <c r="K261" s="53" t="inlineStr">
        <is>
          <t>MÜHENDİSLİK TAHMİNİ</t>
        </is>
      </c>
      <c r="L261" s="7" t="inlineStr">
        <is>
          <t>TAHMIN (emsal yok) – Emsal yok (yangın durdurucu/pabuç/test götürü)</t>
        </is>
      </c>
      <c r="M261" s="7" t="inlineStr">
        <is>
          <t>Yangın durdurucu</t>
        </is>
      </c>
    </row>
    <row r="262" outlineLevel="1">
      <c r="A262" s="27" t="n"/>
      <c r="B262" s="27" t="inlineStr">
        <is>
          <t>2011.F</t>
        </is>
      </c>
      <c r="C262" s="7" t="inlineStr">
        <is>
          <t>Pabuç/etiket/test</t>
        </is>
      </c>
      <c r="D262" s="27" t="inlineStr">
        <is>
          <t>set</t>
        </is>
      </c>
      <c r="E262" s="50" t="n">
        <v>1</v>
      </c>
      <c r="F262" s="50" t="n">
        <v>1</v>
      </c>
      <c r="G262" s="27" t="inlineStr">
        <is>
          <t>-</t>
        </is>
      </c>
      <c r="H262" s="50">
        <f>F262</f>
        <v/>
      </c>
      <c r="I262" s="51" t="n">
        <v>300</v>
      </c>
      <c r="J262" s="28">
        <f>H262*I262</f>
        <v/>
      </c>
      <c r="K262" s="53" t="inlineStr">
        <is>
          <t>MÜHENDİSLİK TAHMİNİ</t>
        </is>
      </c>
      <c r="L262" s="7" t="inlineStr">
        <is>
          <t>TAHMIN (emsal yok) – Emsal yok (yangın durdurucu/pabuç/test götürü)</t>
        </is>
      </c>
      <c r="M262" s="7" t="inlineStr">
        <is>
          <t>Götürü</t>
        </is>
      </c>
    </row>
    <row r="263" outlineLevel="1">
      <c r="A263" s="27" t="n"/>
      <c r="B263" s="27" t="inlineStr">
        <is>
          <t>2011.F</t>
        </is>
      </c>
      <c r="C263" s="7" t="inlineStr">
        <is>
          <t>Döşeme altı HDPE kablo koruma borusu (aydınlatma-priz besleme güzergâhı; ana Ø110 borulamadan ayrı)</t>
        </is>
      </c>
      <c r="D263" s="27" t="inlineStr">
        <is>
          <t>m</t>
        </is>
      </c>
      <c r="E263" s="50" t="n">
        <v>466</v>
      </c>
      <c r="F263" s="50" t="n">
        <v>466</v>
      </c>
      <c r="G263" s="27" t="inlineStr">
        <is>
          <t>fire+%30</t>
        </is>
      </c>
      <c r="H263" s="50">
        <f>F263/IF(Varsayimlar!$B$21=1,1.43,1)</f>
        <v/>
      </c>
      <c r="I263" s="51" t="n">
        <v>3</v>
      </c>
      <c r="J263" s="28">
        <f>H263*I263</f>
        <v/>
      </c>
      <c r="K263" s="53" t="inlineStr">
        <is>
          <t>MÜHENDİSLİK TAHMİNİ</t>
        </is>
      </c>
      <c r="L263" s="7" t="inlineStr">
        <is>
          <t>TAHMIN (emsal yok) – Emsal yok (çap belirtilen HDPE/çelik boru teklifi yok; R04035 HDPE muhafaza 3,53 / R01311 4,63 çap belirsiz)</t>
        </is>
      </c>
      <c r="M263" s="7" t="inlineStr">
        <is>
          <t>HDPE koruma borusu küçük çap</t>
        </is>
      </c>
    </row>
    <row r="264">
      <c r="A264" s="48" t="inlineStr">
        <is>
          <t>218</t>
        </is>
      </c>
      <c r="B264" s="48" t="inlineStr">
        <is>
          <t>2011.H</t>
        </is>
      </c>
      <c r="C264" s="48" t="inlineStr">
        <is>
          <t>Hat Boyu Alçak Gerilim Besleme-Dağıtım Kabloları ve Kablo Taşıma Sistemleri (1 set)</t>
        </is>
      </c>
      <c r="D264" s="48" t="n"/>
      <c r="E264" s="48" t="n"/>
      <c r="F264" s="48" t="n"/>
      <c r="G264" s="48" t="n"/>
      <c r="H264" s="48" t="inlineStr">
        <is>
          <t>RFQ tutarı →</t>
        </is>
      </c>
      <c r="I264" s="49">
        <f>SUMPRODUCT(E265:E275,I265:I275)</f>
        <v/>
      </c>
      <c r="J264" s="49">
        <f>SUM(J265:J275)</f>
        <v/>
      </c>
      <c r="K264" s="48" t="n"/>
      <c r="L264" s="48" t="n"/>
      <c r="M264" s="48" t="n"/>
    </row>
    <row r="265" outlineLevel="1">
      <c r="A265" s="27" t="n"/>
      <c r="B265" s="27" t="inlineStr">
        <is>
          <t>2011.H</t>
        </is>
      </c>
      <c r="C265" s="7" t="inlineStr">
        <is>
          <t>NYY 3x185/95 mm2 (TR-06→Hızmalı Köprüsü 660 m, TR-07→Eyüp Peygamber 630 m)</t>
        </is>
      </c>
      <c r="D265" s="27" t="inlineStr">
        <is>
          <t>m</t>
        </is>
      </c>
      <c r="E265" s="50" t="n">
        <v>1419</v>
      </c>
      <c r="F265" s="54" t="n">
        <v>1393</v>
      </c>
      <c r="G265" s="27" t="inlineStr">
        <is>
          <t>fire %10</t>
        </is>
      </c>
      <c r="H265" s="50">
        <f>F265/IF(Varsayimlar!$B$21=1,1.1,1)</f>
        <v/>
      </c>
      <c r="I265" s="51" t="n">
        <v>85.40000000000001</v>
      </c>
      <c r="J265" s="28">
        <f>H265*I265</f>
        <v/>
      </c>
      <c r="K265" s="52" t="inlineStr">
        <is>
          <t>GEÇMİŞ TEKLİF UYARLAMA</t>
        </is>
      </c>
      <c r="L265" s="7" t="inlineStr">
        <is>
          <t>REF-derin – NYY 3x185/95: Prysmian 2021 N2XH 1x185 23,2 €, 3x70/35 31,2 € (M) → 0,127 €/mm²×650×0,9 = 74 € + %15 kanal içi serme → 85,4 €/m (mevcut 70 Cu içeriğine göre düşük: ~5,8 kg Cu/m) [Emsal ID: R00683;R00689]</t>
        </is>
      </c>
      <c r="M265" s="7" t="inlineStr">
        <is>
          <t>NYY 3x185/95; 6,44 km | İlk tahmin BF 70.00</t>
        </is>
      </c>
    </row>
    <row r="266" outlineLevel="1">
      <c r="A266" s="27" t="n"/>
      <c r="B266" s="27" t="inlineStr">
        <is>
          <t>2011.H</t>
        </is>
      </c>
      <c r="C266" s="7" t="inlineStr">
        <is>
          <t>NYY 3x120/70 mm2 (TR-8→Harran 1590 m)</t>
        </is>
      </c>
      <c r="D266" s="27" t="inlineStr">
        <is>
          <t>m</t>
        </is>
      </c>
      <c r="E266" s="50" t="n">
        <v>1749</v>
      </c>
      <c r="F266" s="54" t="n">
        <v>1717</v>
      </c>
      <c r="G266" s="27" t="inlineStr">
        <is>
          <t>fire %10</t>
        </is>
      </c>
      <c r="H266" s="50">
        <f>F266/IF(Varsayimlar!$B$21=1,1.1,1)</f>
        <v/>
      </c>
      <c r="I266" s="51" t="n">
        <v>56.5</v>
      </c>
      <c r="J266" s="28">
        <f>H266*I266</f>
        <v/>
      </c>
      <c r="K266" s="52" t="inlineStr">
        <is>
          <t>GEÇMİŞ TEKLİF UYARLAMA</t>
        </is>
      </c>
      <c r="L266" s="7" t="inlineStr">
        <is>
          <t>REF-derin – Prysmian 2021 (M) 0,127 €/mm²×430×0,9 = 49 € + %15 kanal içi → 56,5 €/m [Emsal ID: R00689;R00682]</t>
        </is>
      </c>
      <c r="M266" s="7" t="inlineStr">
        <is>
          <t>NYY 3x120/70; 6,44 km | İlk tahmin BF 50.00</t>
        </is>
      </c>
    </row>
    <row r="267" outlineLevel="1">
      <c r="A267" s="27" t="n"/>
      <c r="B267" s="27" t="inlineStr">
        <is>
          <t>2011.H</t>
        </is>
      </c>
      <c r="C267" s="7" t="inlineStr">
        <is>
          <t>NYY 3x95/50 mm2 (TR-06→Balıklıgöl 270 m, TR-8→Rasathane 390 m)</t>
        </is>
      </c>
      <c r="D267" s="27" t="inlineStr">
        <is>
          <t>m</t>
        </is>
      </c>
      <c r="E267" s="50" t="n">
        <v>726</v>
      </c>
      <c r="F267" s="54" t="n">
        <v>712.7</v>
      </c>
      <c r="G267" s="27" t="inlineStr">
        <is>
          <t>fire %10</t>
        </is>
      </c>
      <c r="H267" s="50">
        <f>F267/IF(Varsayimlar!$B$21=1,1.1,1)</f>
        <v/>
      </c>
      <c r="I267" s="51" t="n">
        <v>44</v>
      </c>
      <c r="J267" s="28">
        <f>H267*I267</f>
        <v/>
      </c>
      <c r="K267" s="52" t="inlineStr">
        <is>
          <t>GEÇMİŞ TEKLİF UYARLAMA</t>
        </is>
      </c>
      <c r="L267" s="7" t="inlineStr">
        <is>
          <t>REF-derin – Prysmian 2021 (M) 0,127 €/mm²×335×0,9 = 38,3 € + %15 → 44,0 €/m [Emsal ID: R00689;R00684]</t>
        </is>
      </c>
      <c r="M267" s="7" t="inlineStr">
        <is>
          <t>NYY 3x95/50; 6,44 km | İlk tahmin BF 42.00</t>
        </is>
      </c>
    </row>
    <row r="268" outlineLevel="1">
      <c r="A268" s="27" t="n"/>
      <c r="B268" s="27" t="inlineStr">
        <is>
          <t>2011.H</t>
        </is>
      </c>
      <c r="C268" s="7" t="inlineStr">
        <is>
          <t>NYY 3x70/35 mm2 (TR-05→Göbeklitepe 820 m)</t>
        </is>
      </c>
      <c r="D268" s="27" t="inlineStr">
        <is>
          <t>m</t>
        </is>
      </c>
      <c r="E268" s="50" t="n">
        <v>902</v>
      </c>
      <c r="F268" s="54" t="n">
        <v>885.5</v>
      </c>
      <c r="G268" s="27" t="inlineStr">
        <is>
          <t>fire %10</t>
        </is>
      </c>
      <c r="H268" s="50">
        <f>F268/IF(Varsayimlar!$B$21=1,1.1,1)</f>
        <v/>
      </c>
      <c r="I268" s="51" t="n">
        <v>32.3</v>
      </c>
      <c r="J268" s="28">
        <f>H268*I268</f>
        <v/>
      </c>
      <c r="K268" s="52" t="inlineStr">
        <is>
          <t>GEÇMİŞ TEKLİF UYARLAMA</t>
        </is>
      </c>
      <c r="L268" s="7" t="inlineStr">
        <is>
          <t>REF-derin – Prysmian 2021 Buca N2XH 3x70/35 31,2 €/m (M) ×0,9 NYY +%15 → 32,3 €/m (tek kesit ama aynı kesit; Cu bazlı diğer reflerle tutarlı) [Emsal ID: R00689]</t>
        </is>
      </c>
      <c r="M268" s="7" t="inlineStr">
        <is>
          <t>NYY 3x70/35; 6,44 km | İlk tahmin BF 33.00</t>
        </is>
      </c>
    </row>
    <row r="269" outlineLevel="1">
      <c r="A269" s="27" t="n"/>
      <c r="B269" s="27" t="inlineStr">
        <is>
          <t>2011.H</t>
        </is>
      </c>
      <c r="C269" s="7" t="inlineStr">
        <is>
          <t>N2XH-O 4x10 mm2 (TM UDP→makas kontrol panosu SKP-1, 634 m/TM)</t>
        </is>
      </c>
      <c r="D269" s="27" t="inlineStr">
        <is>
          <t>m</t>
        </is>
      </c>
      <c r="E269" s="50" t="n">
        <v>2789.6</v>
      </c>
      <c r="F269" s="54" t="n">
        <v>2738.6</v>
      </c>
      <c r="G269" s="27" t="inlineStr">
        <is>
          <t>-</t>
        </is>
      </c>
      <c r="H269" s="50">
        <f>F269</f>
        <v/>
      </c>
      <c r="I269" s="51" t="n">
        <v>7.25</v>
      </c>
      <c r="J269" s="28">
        <f>H269*I269</f>
        <v/>
      </c>
      <c r="K269" s="52" t="inlineStr">
        <is>
          <t>GEÇMİŞ TEKLİF UYARLAMA</t>
        </is>
      </c>
      <c r="L269" s="7" t="inlineStr">
        <is>
          <t>REF-derin(1) – Prysmian 2021 FE180 4x10 6,5 €/m (M) → N2XH 4x10 ≈5,2 + %15 = 6,0 €; mevcut 8,5 ile harmanlandı → 7,25 [Emsal ID: R00691]</t>
        </is>
      </c>
      <c r="M269" s="7" t="inlineStr">
        <is>
          <t>N2XH 4x10; 6,44 km | İlk tahmin BF 8.50</t>
        </is>
      </c>
    </row>
    <row r="270" outlineLevel="1">
      <c r="A270" s="27" t="n"/>
      <c r="B270" s="27" t="inlineStr">
        <is>
          <t>2011.H</t>
        </is>
      </c>
      <c r="C270" s="7" t="inlineStr">
        <is>
          <t>Kablo başlık/pabuç (NYY 70-185 mm2)</t>
        </is>
      </c>
      <c r="D270" s="27" t="inlineStr">
        <is>
          <t>adet</t>
        </is>
      </c>
      <c r="E270" s="50" t="n">
        <v>48</v>
      </c>
      <c r="F270" s="50" t="n">
        <v>48</v>
      </c>
      <c r="G270" s="27" t="inlineStr">
        <is>
          <t>%30</t>
        </is>
      </c>
      <c r="H270" s="50">
        <f>F270/IF(Varsayimlar!$B$21=1,1.3,1)</f>
        <v/>
      </c>
      <c r="I270" s="51" t="n">
        <v>35</v>
      </c>
      <c r="J270" s="28">
        <f>H270*I270</f>
        <v/>
      </c>
      <c r="K270" s="53" t="inlineStr">
        <is>
          <t>MÜHENDİSLİK TAHMİNİ</t>
        </is>
      </c>
      <c r="L270" s="7" t="inlineStr">
        <is>
          <t>TAHMIN (emsal yok) – Emsal yok (yangın durdurucu/pabuç/test götürü)</t>
        </is>
      </c>
      <c r="M270" s="7" t="inlineStr">
        <is>
          <t>Pabuç/başlık 70-185</t>
        </is>
      </c>
    </row>
    <row r="271" outlineLevel="1">
      <c r="A271" s="27" t="n"/>
      <c r="B271" s="27" t="inlineStr">
        <is>
          <t>2011.H</t>
        </is>
      </c>
      <c r="C271" s="7" t="inlineStr">
        <is>
          <t>Hatboyu kablo kanalı içi AG kablo konsolu/kelepçe (kanal duvarına)</t>
        </is>
      </c>
      <c r="D271" s="27" t="inlineStr">
        <is>
          <t>adet</t>
        </is>
      </c>
      <c r="E271" s="50" t="n">
        <v>5977</v>
      </c>
      <c r="F271" s="50" t="n">
        <v>5977</v>
      </c>
      <c r="G271" s="27" t="inlineStr">
        <is>
          <t>%30</t>
        </is>
      </c>
      <c r="H271" s="50">
        <f>F271/IF(Varsayimlar!$B$21=1,1.3,1)</f>
        <v/>
      </c>
      <c r="I271" s="51" t="n">
        <v>4</v>
      </c>
      <c r="J271" s="28">
        <f>H271*I271</f>
        <v/>
      </c>
      <c r="K271" s="53" t="inlineStr">
        <is>
          <t>MÜHENDİSLİK TAHMİNİ</t>
        </is>
      </c>
      <c r="L271" s="7" t="inlineStr">
        <is>
          <t>TAHMIN (emsal yok) – Kanal içi konsol/kelepçe – emsal yok</t>
        </is>
      </c>
      <c r="M271" s="7" t="inlineStr">
        <is>
          <t>Konsol/kelepçe</t>
        </is>
      </c>
    </row>
    <row r="272" outlineLevel="1">
      <c r="A272" s="27" t="n"/>
      <c r="B272" s="27" t="inlineStr">
        <is>
          <t>2011.H</t>
        </is>
      </c>
      <c r="C272" s="7" t="inlineStr">
        <is>
          <t>Yol/kavşak geçişleri HDPE boru Ø160 (AG fiderleri)</t>
        </is>
      </c>
      <c r="D272" s="27" t="inlineStr">
        <is>
          <t>m</t>
        </is>
      </c>
      <c r="E272" s="50" t="n">
        <v>858</v>
      </c>
      <c r="F272" s="54" t="n">
        <v>842.3</v>
      </c>
      <c r="G272" s="27" t="inlineStr">
        <is>
          <t>fire+%30</t>
        </is>
      </c>
      <c r="H272" s="50">
        <f>F272/IF(Varsayimlar!$B$21=1,1.43,1)</f>
        <v/>
      </c>
      <c r="I272" s="51" t="n">
        <v>8</v>
      </c>
      <c r="J272" s="28">
        <f>H272*I272</f>
        <v/>
      </c>
      <c r="K272" s="53" t="inlineStr">
        <is>
          <t>MÜHENDİSLİK TAHMİNİ</t>
        </is>
      </c>
      <c r="L272" s="7" t="inlineStr">
        <is>
          <t>TAHMIN (emsal yok) – Emsal yok (çap belirtilen HDPE/çelik boru teklifi yok; R04035 HDPE muhafaza 3,53 / R01311 4,63 çap belirsiz)</t>
        </is>
      </c>
      <c r="M272" s="7" t="inlineStr">
        <is>
          <t>HDPE Ø160 (kazı hariç); 6,44 km</t>
        </is>
      </c>
    </row>
    <row r="273" outlineLevel="1">
      <c r="A273" s="27" t="n"/>
      <c r="B273" s="27" t="inlineStr">
        <is>
          <t>2011.H</t>
        </is>
      </c>
      <c r="C273" s="7" t="inlineStr">
        <is>
          <t>Hatboyu aydınlatma kablo koruma borusu HDPE koruge (yol geçişleri + tranşe)</t>
        </is>
      </c>
      <c r="D273" s="27" t="inlineStr">
        <is>
          <t>m</t>
        </is>
      </c>
      <c r="E273" s="50" t="n">
        <v>20672</v>
      </c>
      <c r="F273" s="54" t="n">
        <v>20293.9</v>
      </c>
      <c r="G273" s="27" t="inlineStr">
        <is>
          <t>fire+%30</t>
        </is>
      </c>
      <c r="H273" s="50">
        <f>F273/IF(Varsayimlar!$B$21=1,1.43,1)</f>
        <v/>
      </c>
      <c r="I273" s="51" t="n">
        <v>3.5</v>
      </c>
      <c r="J273" s="28">
        <f>H273*I273</f>
        <v/>
      </c>
      <c r="K273" s="53" t="inlineStr">
        <is>
          <t>MÜHENDİSLİK TAHMİNİ</t>
        </is>
      </c>
      <c r="L273" s="7" t="inlineStr">
        <is>
          <t>TAHMIN (emsal yok) – HDPE koruge (hatboyu): AUS 2018 HDPE muhafaza borusu 3,5 €/m M+İ ile aynı – çap belirsiz, 3,5 € korundu [Emsal ID: R04035;R01311]</t>
        </is>
      </c>
      <c r="M273" s="7" t="inlineStr">
        <is>
          <t>HDPE koruge; 6,44 km</t>
        </is>
      </c>
    </row>
    <row r="274" outlineLevel="1">
      <c r="A274" s="27" t="n"/>
      <c r="B274" s="27" t="inlineStr">
        <is>
          <t>2011.H</t>
        </is>
      </c>
      <c r="C274" s="7" t="inlineStr">
        <is>
          <t>AP (aydınlatma) panoları beslemesi NYY 4x16 (mevcut DEDAŞ şebekesinden)</t>
        </is>
      </c>
      <c r="D274" s="27" t="inlineStr">
        <is>
          <t>m</t>
        </is>
      </c>
      <c r="E274" s="50" t="n">
        <v>363</v>
      </c>
      <c r="F274" s="54" t="n">
        <v>356.4</v>
      </c>
      <c r="G274" s="27" t="inlineStr">
        <is>
          <t>-</t>
        </is>
      </c>
      <c r="H274" s="50">
        <f>F274</f>
        <v/>
      </c>
      <c r="I274" s="51" t="n">
        <v>10.23</v>
      </c>
      <c r="J274" s="28">
        <f>H274*I274</f>
        <v/>
      </c>
      <c r="K274" s="52" t="inlineStr">
        <is>
          <t>GEÇMİŞ TEKLİF UYARLAMA</t>
        </is>
      </c>
      <c r="L274" s="7" t="inlineStr">
        <is>
          <t>REF-derin – İzmir Buca M. Prysmian 2021 4x16 8,51 (M)+%25 montaj→10,63; Bursa T2 Haluk 2015 4x16 7,57; Bursa T2 MET 2015 4x16 10,23 → medyan 10,23 [Emsal ID: R00688;R00902;R00973]</t>
        </is>
      </c>
      <c r="M274" s="7" t="inlineStr">
        <is>
          <t>NYY 4x16; 6,44 km | İlk tahmin BF 10.50</t>
        </is>
      </c>
    </row>
    <row r="275" outlineLevel="1">
      <c r="A275" s="27" t="n"/>
      <c r="B275" s="27" t="inlineStr">
        <is>
          <t>2011.H</t>
        </is>
      </c>
      <c r="C275" s="7" t="inlineStr">
        <is>
          <t>Gerilim düşümü doğrulaması ve kablo testleri</t>
        </is>
      </c>
      <c r="D275" s="27" t="inlineStr">
        <is>
          <t>set</t>
        </is>
      </c>
      <c r="E275" s="50" t="n">
        <v>1</v>
      </c>
      <c r="F275" s="50" t="n">
        <v>1</v>
      </c>
      <c r="G275" s="27" t="inlineStr">
        <is>
          <t>-</t>
        </is>
      </c>
      <c r="H275" s="50">
        <f>F275</f>
        <v/>
      </c>
      <c r="I275" s="51" t="n">
        <v>2500</v>
      </c>
      <c r="J275" s="28">
        <f>H275*I275</f>
        <v/>
      </c>
      <c r="K275" s="53" t="inlineStr">
        <is>
          <t>MÜHENDİSLİK TAHMİNİ</t>
        </is>
      </c>
      <c r="L275" s="7" t="inlineStr">
        <is>
          <t>TAHMIN (emsal yok) – Emsal yok (yangın durdurucu/pabuç/test götürü)</t>
        </is>
      </c>
      <c r="M275" s="7" t="inlineStr">
        <is>
          <t>Testler</t>
        </is>
      </c>
    </row>
    <row r="276">
      <c r="A276" s="48" t="inlineStr">
        <is>
          <t>322</t>
        </is>
      </c>
      <c r="B276" s="48" t="inlineStr">
        <is>
          <t>5001</t>
        </is>
      </c>
      <c r="C276" s="48" t="inlineStr">
        <is>
          <t>Alçak Gerilim Tesisatı ve Aydınlatma Sistemi Tasarımı (1 set)</t>
        </is>
      </c>
      <c r="D276" s="48" t="n"/>
      <c r="E276" s="48" t="n"/>
      <c r="F276" s="48" t="n"/>
      <c r="G276" s="48" t="n"/>
      <c r="H276" s="48" t="inlineStr">
        <is>
          <t>RFQ tutarı →</t>
        </is>
      </c>
      <c r="I276" s="49">
        <f>SUMPRODUCT(E277:E284,I277:I284)</f>
        <v/>
      </c>
      <c r="J276" s="49">
        <f>SUM(J277:J284)</f>
        <v/>
      </c>
      <c r="K276" s="48" t="n"/>
      <c r="L276" s="48" t="n"/>
      <c r="M276" s="48" t="n"/>
    </row>
    <row r="277" outlineLevel="1">
      <c r="A277" s="27" t="n"/>
      <c r="B277" s="27" t="inlineStr">
        <is>
          <t>5001</t>
        </is>
      </c>
      <c r="C277" s="7" t="inlineStr">
        <is>
          <t>İstasyon AG-aydınlatma uygulama projeleri (Tip1 Tip3 Tip4 – 6 istasyon adaptasyonu dahil)</t>
        </is>
      </c>
      <c r="D277" s="27" t="inlineStr">
        <is>
          <t>set</t>
        </is>
      </c>
      <c r="E277" s="50" t="n">
        <v>1</v>
      </c>
      <c r="F277" s="50" t="n">
        <v>1</v>
      </c>
      <c r="G277" s="27" t="inlineStr">
        <is>
          <t>-</t>
        </is>
      </c>
      <c r="H277" s="50">
        <f>F277</f>
        <v/>
      </c>
      <c r="I277" s="51" t="n">
        <v>18000</v>
      </c>
      <c r="J277" s="28">
        <f>H277*I277</f>
        <v/>
      </c>
      <c r="K277" s="53" t="inlineStr">
        <is>
          <t>MÜHENDİSLİK TAHMİNİ</t>
        </is>
      </c>
      <c r="L277" s="7" t="inlineStr">
        <is>
          <t>TAHMIN (emsal yok) – Elektrik uygulama projesi/hesap/as-built – tramvay ölçeğinde emsal yok (metro tasarım refleri ölçek dışı)</t>
        </is>
      </c>
      <c r="M277" s="7" t="inlineStr">
        <is>
          <t>Uygulama projesi</t>
        </is>
      </c>
    </row>
    <row r="278" outlineLevel="1">
      <c r="A278" s="27" t="n"/>
      <c r="B278" s="27" t="inlineStr">
        <is>
          <t>5001</t>
        </is>
      </c>
      <c r="C278" s="7" t="inlineStr">
        <is>
          <t>Depo sahası binaları AG-aydınlatma uygulama projeleri (D01 D02 D03 D05 D06 D07 + çevre aydınlatma)</t>
        </is>
      </c>
      <c r="D278" s="27" t="inlineStr">
        <is>
          <t>set</t>
        </is>
      </c>
      <c r="E278" s="50" t="n">
        <v>1</v>
      </c>
      <c r="F278" s="50" t="n">
        <v>1</v>
      </c>
      <c r="G278" s="27" t="inlineStr">
        <is>
          <t>-</t>
        </is>
      </c>
      <c r="H278" s="50">
        <f>F278</f>
        <v/>
      </c>
      <c r="I278" s="51" t="n">
        <v>22000</v>
      </c>
      <c r="J278" s="28">
        <f>H278*I278</f>
        <v/>
      </c>
      <c r="K278" s="53" t="inlineStr">
        <is>
          <t>MÜHENDİSLİK TAHMİNİ</t>
        </is>
      </c>
      <c r="L278" s="7" t="inlineStr">
        <is>
          <t>TAHMIN (emsal yok) – Elektrik uygulama projesi/hesap/as-built – tramvay ölçeğinde emsal yok (metro tasarım refleri ölçek dışı)</t>
        </is>
      </c>
      <c r="M278" s="7" t="inlineStr">
        <is>
          <t>Uygulama projesi</t>
        </is>
      </c>
    </row>
    <row r="279" outlineLevel="1">
      <c r="A279" s="27" t="n"/>
      <c r="B279" s="27" t="inlineStr">
        <is>
          <t>5001</t>
        </is>
      </c>
      <c r="C279" s="7" t="inlineStr">
        <is>
          <t>Hat trafo binaları (T00 tip ×4) AG-aydınlatma uygulama projeleri</t>
        </is>
      </c>
      <c r="D279" s="27" t="inlineStr">
        <is>
          <t>set</t>
        </is>
      </c>
      <c r="E279" s="50" t="n">
        <v>1</v>
      </c>
      <c r="F279" s="50" t="n">
        <v>1</v>
      </c>
      <c r="G279" s="27" t="inlineStr">
        <is>
          <t>-</t>
        </is>
      </c>
      <c r="H279" s="50">
        <f>F279</f>
        <v/>
      </c>
      <c r="I279" s="51" t="n">
        <v>6000</v>
      </c>
      <c r="J279" s="28">
        <f>H279*I279</f>
        <v/>
      </c>
      <c r="K279" s="53" t="inlineStr">
        <is>
          <t>MÜHENDİSLİK TAHMİNİ</t>
        </is>
      </c>
      <c r="L279" s="7" t="inlineStr">
        <is>
          <t>TAHMIN (emsal yok) – Elektrik uygulama projesi/hesap/as-built – tramvay ölçeğinde emsal yok (metro tasarım refleri ölçek dışı)</t>
        </is>
      </c>
      <c r="M279" s="7" t="inlineStr">
        <is>
          <t>Tip proje x4</t>
        </is>
      </c>
    </row>
    <row r="280" outlineLevel="1">
      <c r="A280" s="27" t="n"/>
      <c r="B280" s="27" t="inlineStr">
        <is>
          <t>5001</t>
        </is>
      </c>
      <c r="C280" s="7" t="inlineStr">
        <is>
          <t>Hatboyu aydınlatma uygulama projesi (yol aydınlatma planları + pano cetvelleri + TEDAŞ onayı)</t>
        </is>
      </c>
      <c r="D280" s="27" t="inlineStr">
        <is>
          <t>set</t>
        </is>
      </c>
      <c r="E280" s="50" t="n">
        <v>1</v>
      </c>
      <c r="F280" s="50" t="n">
        <v>1</v>
      </c>
      <c r="G280" s="27" t="inlineStr">
        <is>
          <t>-</t>
        </is>
      </c>
      <c r="H280" s="50">
        <f>F280</f>
        <v/>
      </c>
      <c r="I280" s="51" t="n">
        <v>12000</v>
      </c>
      <c r="J280" s="28">
        <f>H280*I280</f>
        <v/>
      </c>
      <c r="K280" s="53" t="inlineStr">
        <is>
          <t>MÜHENDİSLİK TAHMİNİ</t>
        </is>
      </c>
      <c r="L280" s="7" t="inlineStr">
        <is>
          <t>TAHMIN (emsal yok) – Elektrik uygulama projesi/hesap/as-built – tramvay ölçeğinde emsal yok (metro tasarım refleri ölçek dışı)</t>
        </is>
      </c>
      <c r="M280" s="7" t="inlineStr">
        <is>
          <t>Proje+TEDAŞ onayı</t>
        </is>
      </c>
    </row>
    <row r="281" outlineLevel="1">
      <c r="A281" s="27" t="n"/>
      <c r="B281" s="27" t="inlineStr">
        <is>
          <t>5001</t>
        </is>
      </c>
      <c r="C281" s="7" t="inlineStr">
        <is>
          <t>Aydınlatma hesapları (DIALux) + kablo kesit / gerilim düşümü / kısa devre / selektivite hesapları</t>
        </is>
      </c>
      <c r="D281" s="27" t="inlineStr">
        <is>
          <t>set</t>
        </is>
      </c>
      <c r="E281" s="50" t="n">
        <v>1</v>
      </c>
      <c r="F281" s="50" t="n">
        <v>1</v>
      </c>
      <c r="G281" s="27" t="inlineStr">
        <is>
          <t>-</t>
        </is>
      </c>
      <c r="H281" s="50">
        <f>F281</f>
        <v/>
      </c>
      <c r="I281" s="51" t="n">
        <v>6000</v>
      </c>
      <c r="J281" s="28">
        <f>H281*I281</f>
        <v/>
      </c>
      <c r="K281" s="53" t="inlineStr">
        <is>
          <t>MÜHENDİSLİK TAHMİNİ</t>
        </is>
      </c>
      <c r="L281" s="7" t="inlineStr">
        <is>
          <t>TAHMIN (emsal yok) – Elektrik uygulama projesi/hesap/as-built – tramvay ölçeğinde emsal yok (metro tasarım refleri ölçek dışı)</t>
        </is>
      </c>
      <c r="M281" s="7" t="inlineStr">
        <is>
          <t>Hesaplar</t>
        </is>
      </c>
    </row>
    <row r="282" outlineLevel="1">
      <c r="A282" s="27" t="n"/>
      <c r="B282" s="27" t="inlineStr">
        <is>
          <t>5001</t>
        </is>
      </c>
      <c r="C282" s="7" t="inlineStr">
        <is>
          <t>Topraklama ve yıldırımdan korunma hesap raporları (istasyon depo trafo)</t>
        </is>
      </c>
      <c r="D282" s="27" t="inlineStr">
        <is>
          <t>set</t>
        </is>
      </c>
      <c r="E282" s="50" t="n">
        <v>1</v>
      </c>
      <c r="F282" s="50" t="n">
        <v>1</v>
      </c>
      <c r="G282" s="27" t="inlineStr">
        <is>
          <t>-</t>
        </is>
      </c>
      <c r="H282" s="50">
        <f>F282</f>
        <v/>
      </c>
      <c r="I282" s="51" t="n">
        <v>4000</v>
      </c>
      <c r="J282" s="28">
        <f>H282*I282</f>
        <v/>
      </c>
      <c r="K282" s="53" t="inlineStr">
        <is>
          <t>MÜHENDİSLİK TAHMİNİ</t>
        </is>
      </c>
      <c r="L282" s="7" t="inlineStr">
        <is>
          <t>TAHMIN (emsal yok) – Emsal yok (mühendislik/doküman)</t>
        </is>
      </c>
      <c r="M282" s="7" t="inlineStr">
        <is>
          <t>Hesap raporları</t>
        </is>
      </c>
    </row>
    <row r="283" outlineLevel="1">
      <c r="A283" s="27" t="n"/>
      <c r="B283" s="27" t="inlineStr">
        <is>
          <t>5001</t>
        </is>
      </c>
      <c r="C283" s="7" t="inlineStr">
        <is>
          <t>UPS ve akü kapasite hesapları (IEEE 485) + tali pano imalat projeleri onayı</t>
        </is>
      </c>
      <c r="D283" s="27" t="inlineStr">
        <is>
          <t>set</t>
        </is>
      </c>
      <c r="E283" s="50" t="n">
        <v>1</v>
      </c>
      <c r="F283" s="50" t="n">
        <v>1</v>
      </c>
      <c r="G283" s="27" t="inlineStr">
        <is>
          <t>-</t>
        </is>
      </c>
      <c r="H283" s="50">
        <f>F283</f>
        <v/>
      </c>
      <c r="I283" s="51" t="n">
        <v>3000</v>
      </c>
      <c r="J283" s="28">
        <f>H283*I283</f>
        <v/>
      </c>
      <c r="K283" s="53" t="inlineStr">
        <is>
          <t>MÜHENDİSLİK TAHMİNİ</t>
        </is>
      </c>
      <c r="L283" s="7" t="inlineStr">
        <is>
          <t>TAHMIN (emsal yok) – Emsal yok (mühendislik/doküman)</t>
        </is>
      </c>
      <c r="M283" s="7" t="inlineStr">
        <is>
          <t>Hesap+onay</t>
        </is>
      </c>
    </row>
    <row r="284" outlineLevel="1">
      <c r="A284" s="27" t="n"/>
      <c r="B284" s="27" t="inlineStr">
        <is>
          <t>5001</t>
        </is>
      </c>
      <c r="C284" s="7" t="inlineStr">
        <is>
          <t>As-built projeler ve işletme-bakım dokümantasyonu</t>
        </is>
      </c>
      <c r="D284" s="27" t="inlineStr">
        <is>
          <t>set</t>
        </is>
      </c>
      <c r="E284" s="50" t="n">
        <v>1</v>
      </c>
      <c r="F284" s="50" t="n">
        <v>1</v>
      </c>
      <c r="G284" s="27" t="inlineStr">
        <is>
          <t>-</t>
        </is>
      </c>
      <c r="H284" s="50">
        <f>F284</f>
        <v/>
      </c>
      <c r="I284" s="51" t="n">
        <v>8000</v>
      </c>
      <c r="J284" s="28">
        <f>H284*I284</f>
        <v/>
      </c>
      <c r="K284" s="53" t="inlineStr">
        <is>
          <t>MÜHENDİSLİK TAHMİNİ</t>
        </is>
      </c>
      <c r="L284" s="7" t="inlineStr">
        <is>
          <t>TAHMIN (emsal yok) – Elektrik uygulama projesi/hesap/as-built – tramvay ölçeğinde emsal yok (metro tasarım refleri ölçek dışı)</t>
        </is>
      </c>
      <c r="M284" s="7" t="inlineStr">
        <is>
          <t>As-built+O&amp;M</t>
        </is>
      </c>
    </row>
    <row r="285">
      <c r="A285" s="48" t="inlineStr">
        <is>
          <t>323</t>
        </is>
      </c>
      <c r="B285" s="48" t="inlineStr">
        <is>
          <t>5002.A</t>
        </is>
      </c>
      <c r="C285" s="48" t="inlineStr">
        <is>
          <t>Göbekli Tepe İstasyonu Alçak Gerilim Tesisatı ve Aydınlatma Sistemi (1 set)</t>
        </is>
      </c>
      <c r="D285" s="48" t="n"/>
      <c r="E285" s="48" t="n"/>
      <c r="F285" s="48" t="n"/>
      <c r="G285" s="48" t="n"/>
      <c r="H285" s="48" t="inlineStr">
        <is>
          <t>RFQ tutarı →</t>
        </is>
      </c>
      <c r="I285" s="49">
        <f>SUMPRODUCT(E286:E304,I286:I304)</f>
        <v/>
      </c>
      <c r="J285" s="49">
        <f>SUM(J286:J304)</f>
        <v/>
      </c>
      <c r="K285" s="48" t="n"/>
      <c r="L285" s="48" t="n"/>
      <c r="M285" s="48" t="n"/>
    </row>
    <row r="286" outlineLevel="1">
      <c r="A286" s="27" t="n"/>
      <c r="B286" s="27" t="inlineStr">
        <is>
          <t>5002.A</t>
        </is>
      </c>
      <c r="C286" s="7" t="inlineStr">
        <is>
          <t>66W LED direk üstü aydınlatma armatürü (IP65/66 peron)</t>
        </is>
      </c>
      <c r="D286" s="27" t="inlineStr">
        <is>
          <t>adet</t>
        </is>
      </c>
      <c r="E286" s="50" t="n">
        <v>32</v>
      </c>
      <c r="F286" s="50" t="n">
        <v>32</v>
      </c>
      <c r="G286" s="27" t="inlineStr">
        <is>
          <t>%30</t>
        </is>
      </c>
      <c r="H286" s="50">
        <f>F286/IF(Varsayimlar!$B$21=1,1.3,1)</f>
        <v/>
      </c>
      <c r="I286" s="51" t="n">
        <v>267</v>
      </c>
      <c r="J286" s="28">
        <f>H286*I286</f>
        <v/>
      </c>
      <c r="K286" s="52" t="inlineStr">
        <is>
          <t>GEÇMİŞ TEKLİF UYARLAMA</t>
        </is>
      </c>
      <c r="L286" s="7" t="inlineStr">
        <is>
          <t>REF-derin(1) – Ankara-Sivas Platin 2019 LED projektör ≤100 W 274,8 € (poz 742.455, montajlı) → mevcut 260 ile harmanlandı [Emsal ID: R00490]</t>
        </is>
      </c>
      <c r="M286" s="7" t="inlineStr">
        <is>
          <t>LED 66W direk üstü | İlk tahmin BF 260.00</t>
        </is>
      </c>
    </row>
    <row r="287" outlineLevel="1">
      <c r="A287" s="27" t="n"/>
      <c r="B287" s="27" t="inlineStr">
        <is>
          <t>5002.A</t>
        </is>
      </c>
      <c r="C287" s="7" t="inlineStr">
        <is>
          <t>Peron aydınlatma direği h=3,5 m galvaniz çift kollu (ankraj dahil – temel inşai)</t>
        </is>
      </c>
      <c r="D287" s="27" t="inlineStr">
        <is>
          <t>adet</t>
        </is>
      </c>
      <c r="E287" s="50" t="n">
        <v>12</v>
      </c>
      <c r="F287" s="50" t="n">
        <v>12</v>
      </c>
      <c r="G287" s="27" t="inlineStr">
        <is>
          <t>-</t>
        </is>
      </c>
      <c r="H287" s="50">
        <f>F287</f>
        <v/>
      </c>
      <c r="I287" s="51" t="n">
        <v>550</v>
      </c>
      <c r="J287" s="28">
        <f>H287*I287</f>
        <v/>
      </c>
      <c r="K287" s="53" t="inlineStr">
        <is>
          <t>MÜHENDİSLİK TAHMİNİ</t>
        </is>
      </c>
      <c r="L287" s="7" t="inlineStr">
        <is>
          <t>TAHMIN (emsal yok) – 3,5 m çift kollu peron direği: kg bazlı (Haluk 2,5 €/kg) ~250–350 € çıkar; dekoratif/mimari şartname olabileceğinden 550 korundu – biraz yüksek [Emsal ID: R00852]</t>
        </is>
      </c>
      <c r="M287" s="7" t="inlineStr">
        <is>
          <t>Direk 3,5 m (temel inşai)</t>
        </is>
      </c>
    </row>
    <row r="288" outlineLevel="1">
      <c r="A288" s="27" t="n"/>
      <c r="B288" s="27" t="inlineStr">
        <is>
          <t>5002.A</t>
        </is>
      </c>
      <c r="C288" s="7" t="inlineStr">
        <is>
          <t>66W LED projektör (IP66)</t>
        </is>
      </c>
      <c r="D288" s="27" t="inlineStr">
        <is>
          <t>adet</t>
        </is>
      </c>
      <c r="E288" s="50" t="n">
        <v>6</v>
      </c>
      <c r="F288" s="50" t="n">
        <v>6</v>
      </c>
      <c r="G288" s="27" t="inlineStr">
        <is>
          <t>-</t>
        </is>
      </c>
      <c r="H288" s="50">
        <f>F288</f>
        <v/>
      </c>
      <c r="I288" s="51" t="n">
        <v>227.4</v>
      </c>
      <c r="J288" s="28">
        <f>H288*I288</f>
        <v/>
      </c>
      <c r="K288" s="52" t="inlineStr">
        <is>
          <t>GEÇMİŞ TEKLİF UYARLAMA</t>
        </is>
      </c>
      <c r="L288" s="7" t="inlineStr">
        <is>
          <t>REF-derin(1) – Ankara-Sivas YHT Platin 2019 LED prj ≤100W (M+İ) 274,81 → emsal 274,81 ; tek emsal → mevcut 180,00 ile ort. = 227,40 [Emsal ID: R00490]</t>
        </is>
      </c>
      <c r="M288" s="7" t="inlineStr">
        <is>
          <t>LED projektör | İlk tahmin BF 180.00</t>
        </is>
      </c>
    </row>
    <row r="289" outlineLevel="1">
      <c r="A289" s="27" t="n"/>
      <c r="B289" s="27" t="inlineStr">
        <is>
          <t>5002.A</t>
        </is>
      </c>
      <c r="C289" s="7" t="inlineStr">
        <is>
          <t>30W IP65 LED lineer armatür (peron kanopi kenarı)</t>
        </is>
      </c>
      <c r="D289" s="27" t="inlineStr">
        <is>
          <t>adet</t>
        </is>
      </c>
      <c r="E289" s="50" t="n">
        <v>50</v>
      </c>
      <c r="F289" s="50" t="n">
        <v>50</v>
      </c>
      <c r="G289" s="27" t="inlineStr">
        <is>
          <t>%30</t>
        </is>
      </c>
      <c r="H289" s="50">
        <f>F289/IF(Varsayimlar!$B$21=1,1.3,1)</f>
        <v/>
      </c>
      <c r="I289" s="51" t="n">
        <v>68.64</v>
      </c>
      <c r="J289" s="28">
        <f>H289*I289</f>
        <v/>
      </c>
      <c r="K289" s="52" t="inlineStr">
        <is>
          <t>GEÇMİŞ TEKLİF UYARLAMA</t>
        </is>
      </c>
      <c r="L289"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289" s="7" t="inlineStr">
        <is>
          <t>LED 30W IP65 | İlk tahmin BF 75.00</t>
        </is>
      </c>
    </row>
    <row r="290" outlineLevel="1">
      <c r="A290" s="27" t="n"/>
      <c r="B290" s="27" t="inlineStr">
        <is>
          <t>5002.A</t>
        </is>
      </c>
      <c r="C290" s="7" t="inlineStr">
        <is>
          <t>30W IP65 LED turnike üzeri kanopi armatürü (UPS hattı)</t>
        </is>
      </c>
      <c r="D290" s="27" t="inlineStr">
        <is>
          <t>adet</t>
        </is>
      </c>
      <c r="E290" s="50" t="n">
        <v>6</v>
      </c>
      <c r="F290" s="50" t="n">
        <v>6</v>
      </c>
      <c r="G290" s="27" t="inlineStr">
        <is>
          <t>-</t>
        </is>
      </c>
      <c r="H290" s="50">
        <f>F290</f>
        <v/>
      </c>
      <c r="I290" s="51" t="n">
        <v>68.64</v>
      </c>
      <c r="J290" s="28">
        <f>H290*I290</f>
        <v/>
      </c>
      <c r="K290" s="52" t="inlineStr">
        <is>
          <t>GEÇMİŞ TEKLİF UYARLAMA</t>
        </is>
      </c>
      <c r="L290"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290" s="7" t="inlineStr">
        <is>
          <t>LED 30W IP65 | İlk tahmin BF 75.00</t>
        </is>
      </c>
    </row>
    <row r="291" outlineLevel="1">
      <c r="A291" s="27" t="n"/>
      <c r="B291" s="27" t="inlineStr">
        <is>
          <t>5002.A</t>
        </is>
      </c>
      <c r="C291" s="7" t="inlineStr">
        <is>
          <t>36W IP65 LED armatür (pano odası + güvenlik kabini)</t>
        </is>
      </c>
      <c r="D291" s="27" t="inlineStr">
        <is>
          <t>adet</t>
        </is>
      </c>
      <c r="E291" s="50" t="n">
        <v>8</v>
      </c>
      <c r="F291" s="50" t="n">
        <v>8</v>
      </c>
      <c r="G291" s="27" t="inlineStr">
        <is>
          <t>-</t>
        </is>
      </c>
      <c r="H291" s="50">
        <f>F291</f>
        <v/>
      </c>
      <c r="I291" s="51" t="n">
        <v>80.23999999999999</v>
      </c>
      <c r="J291" s="28">
        <f>H291*I291</f>
        <v/>
      </c>
      <c r="K291" s="52" t="inlineStr">
        <is>
          <t>GEÇMİŞ TEKLİF UYARLAMA</t>
        </is>
      </c>
      <c r="L291" s="7" t="inlineStr">
        <is>
          <t>REF-derin – İzmir Buca M. Signify 2021 LED38 IP65 etanj 32,28 (M)+%30 montaj→41,96; Bursa T2 Haluk 2015 41W IP65 etanj (M+İ) 123,99; Bursa T2 MET 2015 41W IP65 etanj (M+İ) 80,24 → medyan 80,24 [Emsal ID: R00665;R00921;R00988]</t>
        </is>
      </c>
      <c r="M291" s="7" t="inlineStr">
        <is>
          <t>LED 36W IP65 | İlk tahmin BF 70.00</t>
        </is>
      </c>
    </row>
    <row r="292" outlineLevel="1">
      <c r="A292" s="27" t="n"/>
      <c r="B292" s="27" t="inlineStr">
        <is>
          <t>5002.A</t>
        </is>
      </c>
      <c r="C292" s="7" t="inlineStr">
        <is>
          <t>100W kubbe/kanopi acil aydınlatma armatürü – projede aydınlatma ucu (UPS)</t>
        </is>
      </c>
      <c r="D292" s="27" t="inlineStr">
        <is>
          <t>adet</t>
        </is>
      </c>
      <c r="E292" s="50" t="n">
        <v>26</v>
      </c>
      <c r="F292" s="50" t="n">
        <v>26</v>
      </c>
      <c r="G292" s="27" t="inlineStr">
        <is>
          <t>-</t>
        </is>
      </c>
      <c r="H292" s="50">
        <f>F292</f>
        <v/>
      </c>
      <c r="I292" s="51" t="n">
        <v>247</v>
      </c>
      <c r="J292" s="28">
        <f>H292*I292</f>
        <v/>
      </c>
      <c r="K292" s="52" t="inlineStr">
        <is>
          <t>GEÇMİŞ TEKLİF UYARLAMA</t>
        </is>
      </c>
      <c r="L292" s="7" t="inlineStr">
        <is>
          <t>REF-derin(1) – Platin 2019 LED projektör ≤100 W 274,8 € (montajlı) → mevcut 220 ile harmanlandı [Emsal ID: R00490]</t>
        </is>
      </c>
      <c r="M292" s="7" t="inlineStr">
        <is>
          <t>LED 100W kanopi | İlk tahmin BF 220.00</t>
        </is>
      </c>
    </row>
    <row r="293" outlineLevel="1">
      <c r="A293" s="27" t="n"/>
      <c r="B293" s="27" t="inlineStr">
        <is>
          <t>5002.A</t>
        </is>
      </c>
      <c r="C293" s="7" t="inlineStr">
        <is>
          <t>Totem iç aydınlatması besleme ucu (500W)</t>
        </is>
      </c>
      <c r="D293" s="27" t="inlineStr">
        <is>
          <t>adet</t>
        </is>
      </c>
      <c r="E293" s="50" t="n">
        <v>2</v>
      </c>
      <c r="F293" s="50" t="n">
        <v>2</v>
      </c>
      <c r="G293" s="27" t="inlineStr">
        <is>
          <t>-</t>
        </is>
      </c>
      <c r="H293" s="50">
        <f>F293</f>
        <v/>
      </c>
      <c r="I293" s="51" t="n">
        <v>60</v>
      </c>
      <c r="J293" s="28">
        <f>H293*I293</f>
        <v/>
      </c>
      <c r="K293" s="53" t="inlineStr">
        <is>
          <t>MÜHENDİSLİK TAHMİNİ</t>
        </is>
      </c>
      <c r="L293" s="7" t="inlineStr">
        <is>
          <t>TAHMIN (emsal yok) – Emsal yok (cihaz bazında; Bursa T2/Başkentray "priz sortisi" 25-91 € kablo dahil → kıyas dışı)</t>
        </is>
      </c>
      <c r="M293" s="7" t="inlineStr">
        <is>
          <t>Besleme ucu</t>
        </is>
      </c>
    </row>
    <row r="294" outlineLevel="1">
      <c r="A294" s="27" t="n"/>
      <c r="B294" s="27" t="inlineStr">
        <is>
          <t>5002.A</t>
        </is>
      </c>
      <c r="C294" s="7" t="inlineStr">
        <is>
          <t>Ortam korumalı (IP55) adi aydınlatma anahtarı</t>
        </is>
      </c>
      <c r="D294" s="27" t="inlineStr">
        <is>
          <t>adet</t>
        </is>
      </c>
      <c r="E294" s="50" t="n">
        <v>8</v>
      </c>
      <c r="F294" s="50" t="n">
        <v>8</v>
      </c>
      <c r="G294" s="27" t="inlineStr">
        <is>
          <t>-</t>
        </is>
      </c>
      <c r="H294" s="50">
        <f>F294</f>
        <v/>
      </c>
      <c r="I294" s="51" t="n">
        <v>16</v>
      </c>
      <c r="J294" s="28">
        <f>H294*I294</f>
        <v/>
      </c>
      <c r="K294" s="53" t="inlineStr">
        <is>
          <t>MÜHENDİSLİK TAHMİNİ</t>
        </is>
      </c>
      <c r="L294" s="7" t="inlineStr">
        <is>
          <t>TAHMIN (emsal yok) – Emsal yok (cihaz bazında; Bursa T2/Başkentray "priz sortisi" 25-91 € kablo dahil → kıyas dışı)</t>
        </is>
      </c>
      <c r="M294" s="7" t="inlineStr">
        <is>
          <t>Anahtar IP55</t>
        </is>
      </c>
    </row>
    <row r="295" outlineLevel="1">
      <c r="A295" s="27" t="n"/>
      <c r="B295" s="27" t="inlineStr">
        <is>
          <t>5002.A</t>
        </is>
      </c>
      <c r="C295" s="7" t="inlineStr">
        <is>
          <t>Harici aydınlatma astronomik zaman rölesi + kontaktör grubu (APP içinde)</t>
        </is>
      </c>
      <c r="D295" s="27" t="inlineStr">
        <is>
          <t>takım</t>
        </is>
      </c>
      <c r="E295" s="50" t="n">
        <v>2</v>
      </c>
      <c r="F295" s="50" t="n">
        <v>2</v>
      </c>
      <c r="G295" s="27" t="inlineStr">
        <is>
          <t>-</t>
        </is>
      </c>
      <c r="H295" s="50">
        <f>F295</f>
        <v/>
      </c>
      <c r="I295" s="51" t="n">
        <v>161.12</v>
      </c>
      <c r="J295" s="28">
        <f>H295*I295</f>
        <v/>
      </c>
      <c r="K295" s="52" t="inlineStr">
        <is>
          <t>GEÇMİŞ TEKLİF UYARLAMA</t>
        </is>
      </c>
      <c r="L295" s="7" t="inlineStr">
        <is>
          <t>REF-derin – Bursa T2 Haluk 2015 astronomik röle (M+İ) 89,90; Bursa T2 MET 2015 astronomik röle (M+İ) 52,34 → medyan 71,12 + 90 kontaktör grubu (tahmin) = 161,12 [Emsal ID: R00872;R00949]</t>
        </is>
      </c>
      <c r="M295" s="7" t="inlineStr">
        <is>
          <t>Astronomik röle+kontaktör | İlk tahmin BF 250.00</t>
        </is>
      </c>
    </row>
    <row r="296" outlineLevel="1">
      <c r="A296" s="27" t="n"/>
      <c r="B296" s="27" t="inlineStr">
        <is>
          <t>5002.A</t>
        </is>
      </c>
      <c r="C296" s="7" t="inlineStr">
        <is>
          <t>Monofaze etanj/gömme topraklı priz (16A)</t>
        </is>
      </c>
      <c r="D296" s="27" t="inlineStr">
        <is>
          <t>adet</t>
        </is>
      </c>
      <c r="E296" s="50" t="n">
        <v>16</v>
      </c>
      <c r="F296" s="50" t="n">
        <v>16</v>
      </c>
      <c r="G296" s="27" t="inlineStr">
        <is>
          <t>%30</t>
        </is>
      </c>
      <c r="H296" s="50">
        <f>F296/IF(Varsayimlar!$B$21=1,1.3,1)</f>
        <v/>
      </c>
      <c r="I296" s="51" t="n">
        <v>18</v>
      </c>
      <c r="J296" s="28">
        <f>H296*I296</f>
        <v/>
      </c>
      <c r="K296" s="53" t="inlineStr">
        <is>
          <t>MÜHENDİSLİK TAHMİNİ</t>
        </is>
      </c>
      <c r="L296" s="7" t="inlineStr">
        <is>
          <t>TAHMIN (emsal yok) – Emsal yok (cihaz bazında; Bursa T2/Başkentray "priz sortisi" 25-91 € kablo dahil → kıyas dışı)</t>
        </is>
      </c>
      <c r="M296" s="7" t="inlineStr">
        <is>
          <t>Priz 16A</t>
        </is>
      </c>
    </row>
    <row r="297" outlineLevel="1">
      <c r="A297" s="27" t="n"/>
      <c r="B297" s="27" t="inlineStr">
        <is>
          <t>5002.A</t>
        </is>
      </c>
      <c r="C297" s="7" t="inlineStr">
        <is>
          <t>APP aydınlatma-priz tali panosu (IP65 dahili/harici 3F 25A giriş 8-10 çıkış KAKS 30mA)</t>
        </is>
      </c>
      <c r="D297" s="27" t="inlineStr">
        <is>
          <t>adet</t>
        </is>
      </c>
      <c r="E297" s="50" t="n">
        <v>2</v>
      </c>
      <c r="F297" s="50" t="n">
        <v>2</v>
      </c>
      <c r="G297" s="27" t="inlineStr">
        <is>
          <t>-</t>
        </is>
      </c>
      <c r="H297" s="50">
        <f>F297</f>
        <v/>
      </c>
      <c r="I297" s="51" t="n">
        <v>1200</v>
      </c>
      <c r="J297" s="28">
        <f>H297*I297</f>
        <v/>
      </c>
      <c r="K297" s="53" t="inlineStr">
        <is>
          <t>MÜHENDİSLİK TAHMİNİ</t>
        </is>
      </c>
      <c r="L297" s="7" t="inlineStr">
        <is>
          <t>TAHMIN (emsal yok) – Emsal yok (komple tali pano; İzmir Buca TEDAK 2021 tali pano ort. 3.010 € (M) metro/daha büyük, Bursa T2 "özel saç pano" yalnız gövde → kıyas dışı)</t>
        </is>
      </c>
      <c r="M297" s="7" t="inlineStr">
        <is>
          <t>APP panosu</t>
        </is>
      </c>
    </row>
    <row r="298" outlineLevel="1">
      <c r="A298" s="27" t="n"/>
      <c r="B298" s="27" t="inlineStr">
        <is>
          <t>5002.A</t>
        </is>
      </c>
      <c r="C298" s="7" t="inlineStr">
        <is>
          <t>UPP UPS'ten beslenen aydınlatma-priz/UPS dağıtım panosu (12-13 çıkış RCBO)</t>
        </is>
      </c>
      <c r="D298" s="27" t="inlineStr">
        <is>
          <t>adet</t>
        </is>
      </c>
      <c r="E298" s="50" t="n">
        <v>2</v>
      </c>
      <c r="F298" s="50" t="n">
        <v>2</v>
      </c>
      <c r="G298" s="27" t="inlineStr">
        <is>
          <t>-</t>
        </is>
      </c>
      <c r="H298" s="50">
        <f>F298</f>
        <v/>
      </c>
      <c r="I298" s="51" t="n">
        <v>1500</v>
      </c>
      <c r="J298" s="28">
        <f>H298*I298</f>
        <v/>
      </c>
      <c r="K298" s="53" t="inlineStr">
        <is>
          <t>MÜHENDİSLİK TAHMİNİ</t>
        </is>
      </c>
      <c r="L298" s="7" t="inlineStr">
        <is>
          <t>TAHMIN (emsal yok) – Emsal yok (komple tali pano; İzmir Buca TEDAK 2021 tali pano ort. 3.010 € (M) metro/daha büyük, Bursa T2 "özel saç pano" yalnız gövde → kıyas dışı)</t>
        </is>
      </c>
      <c r="M298" s="7" t="inlineStr">
        <is>
          <t>UPP panosu</t>
        </is>
      </c>
    </row>
    <row r="299" outlineLevel="1">
      <c r="A299" s="27" t="n"/>
      <c r="B299" s="27" t="inlineStr">
        <is>
          <t>5002.A</t>
        </is>
      </c>
      <c r="C299" s="7" t="inlineStr">
        <is>
          <t>SK sigorta kutusu (güvenlik kabini 3F 25A 6 çıkış)</t>
        </is>
      </c>
      <c r="D299" s="27" t="inlineStr">
        <is>
          <t>adet</t>
        </is>
      </c>
      <c r="E299" s="50" t="n">
        <v>2</v>
      </c>
      <c r="F299" s="50" t="n">
        <v>2</v>
      </c>
      <c r="G299" s="27" t="inlineStr">
        <is>
          <t>-</t>
        </is>
      </c>
      <c r="H299" s="50">
        <f>F299</f>
        <v/>
      </c>
      <c r="I299" s="51" t="n">
        <v>350</v>
      </c>
      <c r="J299" s="28">
        <f>H299*I299</f>
        <v/>
      </c>
      <c r="K299" s="53" t="inlineStr">
        <is>
          <t>MÜHENDİSLİK TAHMİNİ</t>
        </is>
      </c>
      <c r="L299" s="7" t="inlineStr">
        <is>
          <t>TAHMIN (emsal yok) – Emsal yok (komple tali pano; İzmir Buca TEDAK 2021 tali pano ort. 3.010 € (M) metro/daha büyük, Bursa T2 "özel saç pano" yalnız gövde → kıyas dışı)</t>
        </is>
      </c>
      <c r="M299" s="7" t="inlineStr">
        <is>
          <t>SK kutusu</t>
        </is>
      </c>
    </row>
    <row r="300" outlineLevel="1">
      <c r="A300" s="27" t="n"/>
      <c r="B300" s="27" t="inlineStr">
        <is>
          <t>5002.A</t>
        </is>
      </c>
      <c r="C300" s="7" t="inlineStr">
        <is>
          <t>UPS 10 kVA 3F/3F online IGBT + manuel by-pass</t>
        </is>
      </c>
      <c r="D300" s="27" t="inlineStr">
        <is>
          <t>adet</t>
        </is>
      </c>
      <c r="E300" s="50" t="n">
        <v>2</v>
      </c>
      <c r="F300" s="50" t="n">
        <v>2</v>
      </c>
      <c r="G300" s="27" t="inlineStr">
        <is>
          <t>-</t>
        </is>
      </c>
      <c r="H300" s="50">
        <f>F300</f>
        <v/>
      </c>
      <c r="I300" s="51" t="n">
        <v>5000</v>
      </c>
      <c r="J300" s="28">
        <f>H300*I300</f>
        <v/>
      </c>
      <c r="K300" s="52" t="inlineStr">
        <is>
          <t>GEÇMİŞ TEKLİF UYARLAMA</t>
        </is>
      </c>
      <c r="L300" s="7" t="inlineStr">
        <is>
          <t>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is>
      </c>
      <c r="M300" s="7" t="inlineStr">
        <is>
          <t>UPS 10 kVA montaj+devreye alma | İlk tahmin BF 5,300.00</t>
        </is>
      </c>
    </row>
    <row r="301" outlineLevel="1">
      <c r="A301" s="27" t="n"/>
      <c r="B301" s="27" t="inlineStr">
        <is>
          <t>5002.A</t>
        </is>
      </c>
      <c r="C301" s="7" t="inlineStr">
        <is>
          <t>UPS akü grubu VRLA 2 saat otonomi (10 kVA tam yük) – 32×12V 100Ah blok (384 V DC) + akü kabini</t>
        </is>
      </c>
      <c r="D301" s="27" t="inlineStr">
        <is>
          <t>takım</t>
        </is>
      </c>
      <c r="E301" s="50" t="n">
        <v>2</v>
      </c>
      <c r="F301" s="50" t="n">
        <v>2</v>
      </c>
      <c r="G301" s="27" t="inlineStr">
        <is>
          <t>-</t>
        </is>
      </c>
      <c r="H301" s="50">
        <f>F301</f>
        <v/>
      </c>
      <c r="I301" s="51" t="n">
        <v>3150</v>
      </c>
      <c r="J301" s="28">
        <f>H301*I301</f>
        <v/>
      </c>
      <c r="K301" s="53" t="inlineStr">
        <is>
          <t>MÜHENDİSLİK TAHMİNİ</t>
        </is>
      </c>
      <c r="L301" s="7" t="inlineStr">
        <is>
          <t>TAHMIN (emsal yok) – Akü: Cesa 2021 12V105Ah 341 €/blok, Uskom 2018 12V150Ah 571 €/blok yangın/telekom panelinde tekil alım (aşırı); 2026 blok bazlı (12V-33Ah ~75 €) hesap mevcut ile uyumlu [Emsal ID: R01952;R01745]</t>
        </is>
      </c>
      <c r="M301" s="7" t="inlineStr">
        <is>
          <t>İdare: istasyon UPS 20 dk (32x12V ~33Ah)</t>
        </is>
      </c>
    </row>
    <row r="302" outlineLevel="1">
      <c r="A302" s="27" t="n"/>
      <c r="B302" s="27" t="inlineStr">
        <is>
          <t>5002.A</t>
        </is>
      </c>
      <c r="C302" s="7" t="inlineStr">
        <is>
          <t>N2XH 3x2,5 mm² aydınlatma-priz linye + sorti kablosu</t>
        </is>
      </c>
      <c r="D302" s="27" t="inlineStr">
        <is>
          <t>m</t>
        </is>
      </c>
      <c r="E302" s="50" t="n">
        <v>1759</v>
      </c>
      <c r="F302" s="50" t="n">
        <v>1759</v>
      </c>
      <c r="G302" s="27" t="inlineStr">
        <is>
          <t>fire+%30</t>
        </is>
      </c>
      <c r="H302" s="50">
        <f>F302/IF(Varsayimlar!$B$21=1,1.43,1)</f>
        <v/>
      </c>
      <c r="I302" s="51" t="n">
        <v>1.96</v>
      </c>
      <c r="J302" s="28">
        <f>H302*I302</f>
        <v/>
      </c>
      <c r="K302" s="52" t="inlineStr">
        <is>
          <t>GEÇMİŞ TEKLİF UYARLAMA</t>
        </is>
      </c>
      <c r="L302"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302" s="7" t="inlineStr">
        <is>
          <t>Linye+sorti | İlk tahmin BF 2.60</t>
        </is>
      </c>
    </row>
    <row r="303" outlineLevel="1">
      <c r="A303" s="27" t="n"/>
      <c r="B303" s="27" t="inlineStr">
        <is>
          <t>5002.A</t>
        </is>
      </c>
      <c r="C303" s="7" t="inlineStr">
        <is>
          <t>N2XH 5x2,5 mm² lineer armatür linyesi</t>
        </is>
      </c>
      <c r="D303" s="27" t="inlineStr">
        <is>
          <t>m</t>
        </is>
      </c>
      <c r="E303" s="50" t="n">
        <v>327</v>
      </c>
      <c r="F303" s="50" t="n">
        <v>327</v>
      </c>
      <c r="G303" s="27" t="inlineStr">
        <is>
          <t>fire+%30</t>
        </is>
      </c>
      <c r="H303" s="50">
        <f>F303/IF(Varsayimlar!$B$21=1,1.43,1)</f>
        <v/>
      </c>
      <c r="I303" s="51" t="n">
        <v>2.64</v>
      </c>
      <c r="J303" s="28">
        <f>H303*I303</f>
        <v/>
      </c>
      <c r="K303" s="52" t="inlineStr">
        <is>
          <t>GEÇMİŞ TEKLİF UYARLAMA</t>
        </is>
      </c>
      <c r="L303" s="7" t="inlineStr">
        <is>
          <t>REF-derin – İzmir Buca M. Prysmian 2021 5x2,5 2,02 (M)+%35 montaj→2,73; Bursa T2 Delta 2015 5x2,5 1,57 (M)+%35 montaj→2,12; Bursa T2 Haluk 2015 5x2,5 2,54; Bursa T2 MET 2015 5x2,5 2,78 → medyan 2,64 [Emsal ID: R00686;R00849;R00904;R00975]</t>
        </is>
      </c>
      <c r="M303" s="7" t="inlineStr">
        <is>
          <t>Linye | İlk tahmin BF 3.50</t>
        </is>
      </c>
    </row>
    <row r="304" outlineLevel="1">
      <c r="A304" s="27" t="n"/>
      <c r="B304" s="27" t="inlineStr">
        <is>
          <t>5002.A</t>
        </is>
      </c>
      <c r="C304" s="7" t="inlineStr">
        <is>
          <t>Isı büzüşmeli kablo ek/sorti seti + buat (IP66) – yerden armatür beslemeleri</t>
        </is>
      </c>
      <c r="D304" s="27" t="inlineStr">
        <is>
          <t>adet</t>
        </is>
      </c>
      <c r="E304" s="50" t="n">
        <v>91</v>
      </c>
      <c r="F304" s="50" t="n">
        <v>91</v>
      </c>
      <c r="G304" s="27" t="inlineStr">
        <is>
          <t>%30</t>
        </is>
      </c>
      <c r="H304" s="50">
        <f>F304/IF(Varsayimlar!$B$21=1,1.3,1)</f>
        <v/>
      </c>
      <c r="I304" s="51" t="n">
        <v>25</v>
      </c>
      <c r="J304" s="28">
        <f>H304*I304</f>
        <v/>
      </c>
      <c r="K304" s="53" t="inlineStr">
        <is>
          <t>MÜHENDİSLİK TAHMİNİ</t>
        </is>
      </c>
      <c r="L304" s="7" t="inlineStr">
        <is>
          <t>TAHMIN (emsal yok) – Emsal yok (cihaz bazında; Bursa T2/Başkentray "priz sortisi" 25-91 € kablo dahil → kıyas dışı)</t>
        </is>
      </c>
      <c r="M304" s="7" t="inlineStr">
        <is>
          <t>Ek seti+buat</t>
        </is>
      </c>
    </row>
    <row r="305">
      <c r="A305" s="48" t="inlineStr">
        <is>
          <t>324</t>
        </is>
      </c>
      <c r="B305" s="48" t="inlineStr">
        <is>
          <t>5002.B</t>
        </is>
      </c>
      <c r="C305" s="48" t="inlineStr">
        <is>
          <t>Hızmalı Köprüsü İstasyonu Alçak Gerilim Tesisatı ve Aydınlatma Sistemi (1 set)</t>
        </is>
      </c>
      <c r="D305" s="48" t="n"/>
      <c r="E305" s="48" t="n"/>
      <c r="F305" s="48" t="n"/>
      <c r="G305" s="48" t="n"/>
      <c r="H305" s="48" t="inlineStr">
        <is>
          <t>RFQ tutarı →</t>
        </is>
      </c>
      <c r="I305" s="49">
        <f>SUMPRODUCT(E306:E325,I306:I325)</f>
        <v/>
      </c>
      <c r="J305" s="49">
        <f>SUM(J306:J325)</f>
        <v/>
      </c>
      <c r="K305" s="48" t="n"/>
      <c r="L305" s="48" t="n"/>
      <c r="M305" s="48" t="n"/>
    </row>
    <row r="306" outlineLevel="1">
      <c r="A306" s="27" t="n"/>
      <c r="B306" s="27" t="inlineStr">
        <is>
          <t>5002.B</t>
        </is>
      </c>
      <c r="C306" s="7" t="inlineStr">
        <is>
          <t>66W LED direk üstü aydınlatma armatürü (IP65/66 peron)</t>
        </is>
      </c>
      <c r="D306" s="27" t="inlineStr">
        <is>
          <t>adet</t>
        </is>
      </c>
      <c r="E306" s="50" t="n">
        <v>16</v>
      </c>
      <c r="F306" s="50" t="n">
        <v>16</v>
      </c>
      <c r="G306" s="27" t="inlineStr">
        <is>
          <t>%30</t>
        </is>
      </c>
      <c r="H306" s="50">
        <f>F306/IF(Varsayimlar!$B$21=1,1.3,1)</f>
        <v/>
      </c>
      <c r="I306" s="51" t="n">
        <v>260</v>
      </c>
      <c r="J306" s="28">
        <f>H306*I306</f>
        <v/>
      </c>
      <c r="K306" s="53" t="inlineStr">
        <is>
          <t>MÜHENDİSLİK TAHMİNİ</t>
        </is>
      </c>
      <c r="L306" s="7" t="inlineStr">
        <is>
          <t>TAHMIN (emsal yok) – Emsal yok (direk üstü peron armatürü; R00490 LED prj ≤100W 274,81 farklı tip)</t>
        </is>
      </c>
      <c r="M306" s="7" t="inlineStr">
        <is>
          <t>LED 66W direk üstü</t>
        </is>
      </c>
    </row>
    <row r="307" outlineLevel="1">
      <c r="A307" s="27" t="n"/>
      <c r="B307" s="27" t="inlineStr">
        <is>
          <t>5002.B</t>
        </is>
      </c>
      <c r="C307" s="7" t="inlineStr">
        <is>
          <t>Peron aydınlatma direği h=3,5 m galvaniz çift kollu (ankraj dahil – temel inşai)</t>
        </is>
      </c>
      <c r="D307" s="27" t="inlineStr">
        <is>
          <t>adet</t>
        </is>
      </c>
      <c r="E307" s="50" t="n">
        <v>6</v>
      </c>
      <c r="F307" s="50" t="n">
        <v>6</v>
      </c>
      <c r="G307" s="27" t="inlineStr">
        <is>
          <t>-</t>
        </is>
      </c>
      <c r="H307" s="50">
        <f>F307</f>
        <v/>
      </c>
      <c r="I307" s="51" t="n">
        <v>389.24</v>
      </c>
      <c r="J307" s="28">
        <f>H307*I307</f>
        <v/>
      </c>
      <c r="K307" s="52" t="inlineStr">
        <is>
          <t>GEÇMİŞ TEKLİF UYARLAMA</t>
        </is>
      </c>
      <c r="L307" s="7" t="inlineStr">
        <is>
          <t>REF-derin(1) – Bursa T2 Haluk 2015 poligon direk €/kg (M+İ) 2,48 ×70 kg, +%15 ankraj→199,63; Bursa T2 MET 2015 poligon direk €/kg (M+İ) 3,20 ×70 kg, +%15 ankraj→257,35 → medyan 228,49 ; emsal ağırlık/tip varsayımına bağlı (tek emsal sayıldı) → mevcut 550,00 ile ort. = 389,24 [Emsal ID: R00852;R00934]</t>
        </is>
      </c>
      <c r="M307" s="7" t="inlineStr">
        <is>
          <t>Direk 3,5 m (temel inşai) | İlk tahmin BF 550.00</t>
        </is>
      </c>
    </row>
    <row r="308" outlineLevel="1">
      <c r="A308" s="27" t="n"/>
      <c r="B308" s="27" t="inlineStr">
        <is>
          <t>5002.B</t>
        </is>
      </c>
      <c r="C308" s="7" t="inlineStr">
        <is>
          <t>66W LED projektör (IP66)</t>
        </is>
      </c>
      <c r="D308" s="27" t="inlineStr">
        <is>
          <t>adet</t>
        </is>
      </c>
      <c r="E308" s="50" t="n">
        <v>3</v>
      </c>
      <c r="F308" s="50" t="n">
        <v>3</v>
      </c>
      <c r="G308" s="27" t="inlineStr">
        <is>
          <t>-</t>
        </is>
      </c>
      <c r="H308" s="50">
        <f>F308</f>
        <v/>
      </c>
      <c r="I308" s="51" t="n">
        <v>227.4</v>
      </c>
      <c r="J308" s="28">
        <f>H308*I308</f>
        <v/>
      </c>
      <c r="K308" s="52" t="inlineStr">
        <is>
          <t>GEÇMİŞ TEKLİF UYARLAMA</t>
        </is>
      </c>
      <c r="L308" s="7" t="inlineStr">
        <is>
          <t>REF-derin(1) – Ankara-Sivas YHT Platin 2019 LED prj ≤100W (M+İ) 274,81 → emsal 274,81 ; tek emsal → mevcut 180,00 ile ort. = 227,40 [Emsal ID: R00490]</t>
        </is>
      </c>
      <c r="M308" s="7" t="inlineStr">
        <is>
          <t>LED projektör | İlk tahmin BF 180.00</t>
        </is>
      </c>
    </row>
    <row r="309" outlineLevel="1">
      <c r="A309" s="27" t="n"/>
      <c r="B309" s="27" t="inlineStr">
        <is>
          <t>5002.B</t>
        </is>
      </c>
      <c r="C309" s="7" t="inlineStr">
        <is>
          <t>30W IP65 LED lineer armatür (peron kanopi kenarı)</t>
        </is>
      </c>
      <c r="D309" s="27" t="inlineStr">
        <is>
          <t>adet</t>
        </is>
      </c>
      <c r="E309" s="50" t="n">
        <v>50</v>
      </c>
      <c r="F309" s="50" t="n">
        <v>50</v>
      </c>
      <c r="G309" s="27" t="inlineStr">
        <is>
          <t>%30</t>
        </is>
      </c>
      <c r="H309" s="50">
        <f>F309/IF(Varsayimlar!$B$21=1,1.3,1)</f>
        <v/>
      </c>
      <c r="I309" s="51" t="n">
        <v>68.64</v>
      </c>
      <c r="J309" s="28">
        <f>H309*I309</f>
        <v/>
      </c>
      <c r="K309" s="52" t="inlineStr">
        <is>
          <t>GEÇMİŞ TEKLİF UYARLAMA</t>
        </is>
      </c>
      <c r="L309"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09" s="7" t="inlineStr">
        <is>
          <t>LED 30W IP65 | İlk tahmin BF 75.00</t>
        </is>
      </c>
    </row>
    <row r="310" outlineLevel="1">
      <c r="A310" s="27" t="n"/>
      <c r="B310" s="27" t="inlineStr">
        <is>
          <t>5002.B</t>
        </is>
      </c>
      <c r="C310" s="7" t="inlineStr">
        <is>
          <t>30W IP65 LED turnike üzeri kanopi armatürü (UPS hattı)</t>
        </is>
      </c>
      <c r="D310" s="27" t="inlineStr">
        <is>
          <t>adet</t>
        </is>
      </c>
      <c r="E310" s="50" t="n">
        <v>3</v>
      </c>
      <c r="F310" s="50" t="n">
        <v>3</v>
      </c>
      <c r="G310" s="27" t="inlineStr">
        <is>
          <t>-</t>
        </is>
      </c>
      <c r="H310" s="50">
        <f>F310</f>
        <v/>
      </c>
      <c r="I310" s="51" t="n">
        <v>68.64</v>
      </c>
      <c r="J310" s="28">
        <f>H310*I310</f>
        <v/>
      </c>
      <c r="K310" s="52" t="inlineStr">
        <is>
          <t>GEÇMİŞ TEKLİF UYARLAMA</t>
        </is>
      </c>
      <c r="L310"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10" s="7" t="inlineStr">
        <is>
          <t>LED 30W IP65 | İlk tahmin BF 75.00</t>
        </is>
      </c>
    </row>
    <row r="311" outlineLevel="1">
      <c r="A311" s="27" t="n"/>
      <c r="B311" s="27" t="inlineStr">
        <is>
          <t>5002.B</t>
        </is>
      </c>
      <c r="C311" s="7" t="inlineStr">
        <is>
          <t>36W IP65 LED armatür (pano odası + güvenlik kabini)</t>
        </is>
      </c>
      <c r="D311" s="27" t="inlineStr">
        <is>
          <t>adet</t>
        </is>
      </c>
      <c r="E311" s="50" t="n">
        <v>4</v>
      </c>
      <c r="F311" s="50" t="n">
        <v>4</v>
      </c>
      <c r="G311" s="27" t="inlineStr">
        <is>
          <t>-</t>
        </is>
      </c>
      <c r="H311" s="50">
        <f>F311</f>
        <v/>
      </c>
      <c r="I311" s="51" t="n">
        <v>80.23999999999999</v>
      </c>
      <c r="J311" s="28">
        <f>H311*I311</f>
        <v/>
      </c>
      <c r="K311" s="52" t="inlineStr">
        <is>
          <t>GEÇMİŞ TEKLİF UYARLAMA</t>
        </is>
      </c>
      <c r="L311" s="7" t="inlineStr">
        <is>
          <t>REF-derin – İzmir Buca M. Signify 2021 LED38 IP65 etanj 32,28 (M)+%30 montaj→41,96; Bursa T2 Haluk 2015 41W IP65 etanj (M+İ) 123,99; Bursa T2 MET 2015 41W IP65 etanj (M+İ) 80,24 → medyan 80,24 [Emsal ID: R00665;R00921;R00988]</t>
        </is>
      </c>
      <c r="M311" s="7" t="inlineStr">
        <is>
          <t>LED 36W IP65 | İlk tahmin BF 70.00</t>
        </is>
      </c>
    </row>
    <row r="312" outlineLevel="1">
      <c r="A312" s="27" t="n"/>
      <c r="B312" s="27" t="inlineStr">
        <is>
          <t>5002.B</t>
        </is>
      </c>
      <c r="C312" s="7" t="inlineStr">
        <is>
          <t>100W kubbe/kanopi acil aydınlatma armatürü – projede aydınlatma ucu (UPS)</t>
        </is>
      </c>
      <c r="D312" s="27" t="inlineStr">
        <is>
          <t>adet</t>
        </is>
      </c>
      <c r="E312" s="50" t="n">
        <v>13</v>
      </c>
      <c r="F312" s="50" t="n">
        <v>13</v>
      </c>
      <c r="G312" s="27" t="inlineStr">
        <is>
          <t>-</t>
        </is>
      </c>
      <c r="H312" s="50">
        <f>F312</f>
        <v/>
      </c>
      <c r="I312" s="51" t="n">
        <v>220</v>
      </c>
      <c r="J312" s="28">
        <f>H312*I312</f>
        <v/>
      </c>
      <c r="K312" s="53" t="inlineStr">
        <is>
          <t>MÜHENDİSLİK TAHMİNİ</t>
        </is>
      </c>
      <c r="L312" s="7" t="inlineStr">
        <is>
          <t>TAHMIN (emsal yok) – Emsal yok (100W kanopi acil armatür; projektör refi farklı tip)</t>
        </is>
      </c>
      <c r="M312" s="7" t="inlineStr">
        <is>
          <t>LED 100W kanopi</t>
        </is>
      </c>
    </row>
    <row r="313" outlineLevel="1">
      <c r="A313" s="27" t="n"/>
      <c r="B313" s="27" t="inlineStr">
        <is>
          <t>5002.B</t>
        </is>
      </c>
      <c r="C313" s="7" t="inlineStr">
        <is>
          <t>Totem iç aydınlatması besleme ucu (500W)</t>
        </is>
      </c>
      <c r="D313" s="27" t="inlineStr">
        <is>
          <t>adet</t>
        </is>
      </c>
      <c r="E313" s="50" t="n">
        <v>1</v>
      </c>
      <c r="F313" s="50" t="n">
        <v>1</v>
      </c>
      <c r="G313" s="27" t="inlineStr">
        <is>
          <t>-</t>
        </is>
      </c>
      <c r="H313" s="50">
        <f>F313</f>
        <v/>
      </c>
      <c r="I313" s="51" t="n">
        <v>60</v>
      </c>
      <c r="J313" s="28">
        <f>H313*I313</f>
        <v/>
      </c>
      <c r="K313" s="53" t="inlineStr">
        <is>
          <t>MÜHENDİSLİK TAHMİNİ</t>
        </is>
      </c>
      <c r="L313" s="7" t="inlineStr">
        <is>
          <t>TAHMIN (emsal yok) – Emsal yok (cihaz bazında; Bursa T2/Başkentray "priz sortisi" 25-91 € kablo dahil → kıyas dışı)</t>
        </is>
      </c>
      <c r="M313" s="7" t="inlineStr">
        <is>
          <t>Besleme ucu</t>
        </is>
      </c>
    </row>
    <row r="314" outlineLevel="1">
      <c r="A314" s="27" t="n"/>
      <c r="B314" s="27" t="inlineStr">
        <is>
          <t>5002.B</t>
        </is>
      </c>
      <c r="C314" s="7" t="inlineStr">
        <is>
          <t>66W LED armatür – üst geçit / yürüyen merdiven bölgesi</t>
        </is>
      </c>
      <c r="D314" s="27" t="inlineStr">
        <is>
          <t>adet</t>
        </is>
      </c>
      <c r="E314" s="50" t="n">
        <v>26</v>
      </c>
      <c r="F314" s="50" t="n">
        <v>26</v>
      </c>
      <c r="G314" s="27" t="inlineStr">
        <is>
          <t>%30</t>
        </is>
      </c>
      <c r="H314" s="50">
        <f>F314/IF(Varsayimlar!$B$21=1,1.3,1)</f>
        <v/>
      </c>
      <c r="I314" s="51" t="n">
        <v>117.12</v>
      </c>
      <c r="J314" s="28">
        <f>H314*I314</f>
        <v/>
      </c>
      <c r="K314" s="52" t="inlineStr">
        <is>
          <t>GEÇMİŞ TEKLİF UYARLAMA</t>
        </is>
      </c>
      <c r="L314" s="7" t="inlineStr">
        <is>
          <t>REF-derin(1) – İzmir Buca M. Signify 2021 LED70 IP65 etanj 64,80 (M)+%30 montaj→84,24 → emsal 84,24 ; tek emsal → mevcut 150,00 ile ort. = 117,12 [Emsal ID: R00666]</t>
        </is>
      </c>
      <c r="M314" s="7" t="inlineStr">
        <is>
          <t>LED 66W | İlk tahmin BF 150.00</t>
        </is>
      </c>
    </row>
    <row r="315" outlineLevel="1">
      <c r="A315" s="27" t="n"/>
      <c r="B315" s="27" t="inlineStr">
        <is>
          <t>5002.B</t>
        </is>
      </c>
      <c r="C315" s="7" t="inlineStr">
        <is>
          <t>Ortam korumalı (IP55) adi aydınlatma anahtarı</t>
        </is>
      </c>
      <c r="D315" s="27" t="inlineStr">
        <is>
          <t>adet</t>
        </is>
      </c>
      <c r="E315" s="50" t="n">
        <v>4</v>
      </c>
      <c r="F315" s="50" t="n">
        <v>4</v>
      </c>
      <c r="G315" s="27" t="inlineStr">
        <is>
          <t>-</t>
        </is>
      </c>
      <c r="H315" s="50">
        <f>F315</f>
        <v/>
      </c>
      <c r="I315" s="51" t="n">
        <v>16</v>
      </c>
      <c r="J315" s="28">
        <f>H315*I315</f>
        <v/>
      </c>
      <c r="K315" s="53" t="inlineStr">
        <is>
          <t>MÜHENDİSLİK TAHMİNİ</t>
        </is>
      </c>
      <c r="L315" s="7" t="inlineStr">
        <is>
          <t>TAHMIN (emsal yok) – Emsal yok (cihaz bazında; Bursa T2/Başkentray "priz sortisi" 25-91 € kablo dahil → kıyas dışı)</t>
        </is>
      </c>
      <c r="M315" s="7" t="inlineStr">
        <is>
          <t>Anahtar IP55</t>
        </is>
      </c>
    </row>
    <row r="316" outlineLevel="1">
      <c r="A316" s="27" t="n"/>
      <c r="B316" s="27" t="inlineStr">
        <is>
          <t>5002.B</t>
        </is>
      </c>
      <c r="C316" s="7" t="inlineStr">
        <is>
          <t>Harici aydınlatma astronomik zaman rölesi + kontaktör grubu (APP içinde)</t>
        </is>
      </c>
      <c r="D316" s="27" t="inlineStr">
        <is>
          <t>takım</t>
        </is>
      </c>
      <c r="E316" s="50" t="n">
        <v>1</v>
      </c>
      <c r="F316" s="50" t="n">
        <v>1</v>
      </c>
      <c r="G316" s="27" t="inlineStr">
        <is>
          <t>-</t>
        </is>
      </c>
      <c r="H316" s="50">
        <f>F316</f>
        <v/>
      </c>
      <c r="I316" s="51" t="n">
        <v>161.12</v>
      </c>
      <c r="J316" s="28">
        <f>H316*I316</f>
        <v/>
      </c>
      <c r="K316" s="52" t="inlineStr">
        <is>
          <t>GEÇMİŞ TEKLİF UYARLAMA</t>
        </is>
      </c>
      <c r="L316" s="7" t="inlineStr">
        <is>
          <t>REF-derin – Bursa T2 Haluk 2015 astronomik röle (M+İ) 89,90; Bursa T2 MET 2015 astronomik röle (M+İ) 52,34 → medyan 71,12 + 90 kontaktör grubu (tahmin) = 161,12 [Emsal ID: R00872;R00949]</t>
        </is>
      </c>
      <c r="M316" s="7" t="inlineStr">
        <is>
          <t>Astronomik röle+kontaktör | İlk tahmin BF 250.00</t>
        </is>
      </c>
    </row>
    <row r="317" outlineLevel="1">
      <c r="A317" s="27" t="n"/>
      <c r="B317" s="27" t="inlineStr">
        <is>
          <t>5002.B</t>
        </is>
      </c>
      <c r="C317" s="7" t="inlineStr">
        <is>
          <t>Monofaze etanj/gömme topraklı priz (16A)</t>
        </is>
      </c>
      <c r="D317" s="27" t="inlineStr">
        <is>
          <t>adet</t>
        </is>
      </c>
      <c r="E317" s="50" t="n">
        <v>8</v>
      </c>
      <c r="F317" s="50" t="n">
        <v>8</v>
      </c>
      <c r="G317" s="27" t="inlineStr">
        <is>
          <t>%30</t>
        </is>
      </c>
      <c r="H317" s="50">
        <f>F317/IF(Varsayimlar!$B$21=1,1.3,1)</f>
        <v/>
      </c>
      <c r="I317" s="51" t="n">
        <v>18</v>
      </c>
      <c r="J317" s="28">
        <f>H317*I317</f>
        <v/>
      </c>
      <c r="K317" s="53" t="inlineStr">
        <is>
          <t>MÜHENDİSLİK TAHMİNİ</t>
        </is>
      </c>
      <c r="L317" s="7" t="inlineStr">
        <is>
          <t>TAHMIN (emsal yok) – Emsal yok (cihaz bazında; Bursa T2/Başkentray "priz sortisi" 25-91 € kablo dahil → kıyas dışı)</t>
        </is>
      </c>
      <c r="M317" s="7" t="inlineStr">
        <is>
          <t>Priz 16A</t>
        </is>
      </c>
    </row>
    <row r="318" outlineLevel="1">
      <c r="A318" s="27" t="n"/>
      <c r="B318" s="27" t="inlineStr">
        <is>
          <t>5002.B</t>
        </is>
      </c>
      <c r="C318" s="7" t="inlineStr">
        <is>
          <t>APP aydınlatma-priz tali panosu (IP65 dahili/harici 3F 25A giriş 8-10 çıkış KAKS 30mA)</t>
        </is>
      </c>
      <c r="D318" s="27" t="inlineStr">
        <is>
          <t>adet</t>
        </is>
      </c>
      <c r="E318" s="50" t="n">
        <v>1</v>
      </c>
      <c r="F318" s="50" t="n">
        <v>1</v>
      </c>
      <c r="G318" s="27" t="inlineStr">
        <is>
          <t>-</t>
        </is>
      </c>
      <c r="H318" s="50">
        <f>F318</f>
        <v/>
      </c>
      <c r="I318" s="51" t="n">
        <v>1200</v>
      </c>
      <c r="J318" s="28">
        <f>H318*I318</f>
        <v/>
      </c>
      <c r="K318" s="53" t="inlineStr">
        <is>
          <t>MÜHENDİSLİK TAHMİNİ</t>
        </is>
      </c>
      <c r="L318" s="7" t="inlineStr">
        <is>
          <t>TAHMIN (emsal yok) – Emsal yok (komple tali pano; İzmir Buca TEDAK 2021 tali pano ort. 3.010 € (M) metro/daha büyük, Bursa T2 "özel saç pano" yalnız gövde → kıyas dışı)</t>
        </is>
      </c>
      <c r="M318" s="7" t="inlineStr">
        <is>
          <t>APP panosu</t>
        </is>
      </c>
    </row>
    <row r="319" outlineLevel="1">
      <c r="A319" s="27" t="n"/>
      <c r="B319" s="27" t="inlineStr">
        <is>
          <t>5002.B</t>
        </is>
      </c>
      <c r="C319" s="7" t="inlineStr">
        <is>
          <t>UPP UPS'ten beslenen aydınlatma-priz/UPS dağıtım panosu (12-13 çıkış RCBO)</t>
        </is>
      </c>
      <c r="D319" s="27" t="inlineStr">
        <is>
          <t>adet</t>
        </is>
      </c>
      <c r="E319" s="50" t="n">
        <v>1</v>
      </c>
      <c r="F319" s="50" t="n">
        <v>1</v>
      </c>
      <c r="G319" s="27" t="inlineStr">
        <is>
          <t>-</t>
        </is>
      </c>
      <c r="H319" s="50">
        <f>F319</f>
        <v/>
      </c>
      <c r="I319" s="51" t="n">
        <v>1500</v>
      </c>
      <c r="J319" s="28">
        <f>H319*I319</f>
        <v/>
      </c>
      <c r="K319" s="53" t="inlineStr">
        <is>
          <t>MÜHENDİSLİK TAHMİNİ</t>
        </is>
      </c>
      <c r="L319" s="7" t="inlineStr">
        <is>
          <t>TAHMIN (emsal yok) – Emsal yok (komple tali pano; İzmir Buca TEDAK 2021 tali pano ort. 3.010 € (M) metro/daha büyük, Bursa T2 "özel saç pano" yalnız gövde → kıyas dışı)</t>
        </is>
      </c>
      <c r="M319" s="7" t="inlineStr">
        <is>
          <t>UPP panosu</t>
        </is>
      </c>
    </row>
    <row r="320" outlineLevel="1">
      <c r="A320" s="27" t="n"/>
      <c r="B320" s="27" t="inlineStr">
        <is>
          <t>5002.B</t>
        </is>
      </c>
      <c r="C320" s="7" t="inlineStr">
        <is>
          <t>SK sigorta kutusu (güvenlik kabini 3F 25A 6 çıkış)</t>
        </is>
      </c>
      <c r="D320" s="27" t="inlineStr">
        <is>
          <t>adet</t>
        </is>
      </c>
      <c r="E320" s="50" t="n">
        <v>1</v>
      </c>
      <c r="F320" s="50" t="n">
        <v>1</v>
      </c>
      <c r="G320" s="27" t="inlineStr">
        <is>
          <t>-</t>
        </is>
      </c>
      <c r="H320" s="50">
        <f>F320</f>
        <v/>
      </c>
      <c r="I320" s="51" t="n">
        <v>350</v>
      </c>
      <c r="J320" s="28">
        <f>H320*I320</f>
        <v/>
      </c>
      <c r="K320" s="53" t="inlineStr">
        <is>
          <t>MÜHENDİSLİK TAHMİNİ</t>
        </is>
      </c>
      <c r="L320" s="7" t="inlineStr">
        <is>
          <t>TAHMIN (emsal yok) – Emsal yok (komple tali pano; İzmir Buca TEDAK 2021 tali pano ort. 3.010 € (M) metro/daha büyük, Bursa T2 "özel saç pano" yalnız gövde → kıyas dışı)</t>
        </is>
      </c>
      <c r="M320" s="7" t="inlineStr">
        <is>
          <t>SK kutusu</t>
        </is>
      </c>
    </row>
    <row r="321" outlineLevel="1">
      <c r="A321" s="27" t="n"/>
      <c r="B321" s="27" t="inlineStr">
        <is>
          <t>5002.B</t>
        </is>
      </c>
      <c r="C321" s="7" t="inlineStr">
        <is>
          <t>UPS 10 kVA 3F/3F online IGBT + manuel by-pass</t>
        </is>
      </c>
      <c r="D321" s="27" t="inlineStr">
        <is>
          <t>adet</t>
        </is>
      </c>
      <c r="E321" s="50" t="n">
        <v>1</v>
      </c>
      <c r="F321" s="50" t="n">
        <v>1</v>
      </c>
      <c r="G321" s="27" t="inlineStr">
        <is>
          <t>-</t>
        </is>
      </c>
      <c r="H321" s="50">
        <f>F321</f>
        <v/>
      </c>
      <c r="I321" s="51" t="n">
        <v>5000</v>
      </c>
      <c r="J321" s="28">
        <f>H321*I321</f>
        <v/>
      </c>
      <c r="K321" s="52" t="inlineStr">
        <is>
          <t>GEÇMİŞ TEKLİF UYARLAMA</t>
        </is>
      </c>
      <c r="L321" s="7" t="inlineStr">
        <is>
          <t>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is>
      </c>
      <c r="M321" s="7" t="inlineStr">
        <is>
          <t>UPS 10 kVA montaj+devreye alma | İlk tahmin BF 5,300.00</t>
        </is>
      </c>
    </row>
    <row r="322" outlineLevel="1">
      <c r="A322" s="27" t="n"/>
      <c r="B322" s="27" t="inlineStr">
        <is>
          <t>5002.B</t>
        </is>
      </c>
      <c r="C322" s="7" t="inlineStr">
        <is>
          <t>UPS akü grubu VRLA 2 saat otonomi (10 kVA tam yük) – 32×12V 100Ah blok (384 V DC) + akü kabini</t>
        </is>
      </c>
      <c r="D322" s="27" t="inlineStr">
        <is>
          <t>takım</t>
        </is>
      </c>
      <c r="E322" s="50" t="n">
        <v>1</v>
      </c>
      <c r="F322" s="50" t="n">
        <v>1</v>
      </c>
      <c r="G322" s="27" t="inlineStr">
        <is>
          <t>-</t>
        </is>
      </c>
      <c r="H322" s="50">
        <f>F322</f>
        <v/>
      </c>
      <c r="I322" s="51" t="n">
        <v>3150</v>
      </c>
      <c r="J322" s="28">
        <f>H322*I322</f>
        <v/>
      </c>
      <c r="K322" s="53" t="inlineStr">
        <is>
          <t>MÜHENDİSLİK TAHMİNİ</t>
        </is>
      </c>
      <c r="L322" s="7" t="inlineStr">
        <is>
          <t>TAHMIN (emsal yok) – Emsal yok (akü refleri 12V 105-150Ah blok: R01952 340,68 / R02124 250,16 (M); 100Ah×32 tam kapasite ~8-11 bin €; fiyat İdare 20 dk ~33Ah kapsamına göre — kalem metni ile not çelişkili, kontrol edilmeli)</t>
        </is>
      </c>
      <c r="M322" s="7" t="inlineStr">
        <is>
          <t>İdare: istasyon UPS 20 dk (32x12V ~33Ah)</t>
        </is>
      </c>
    </row>
    <row r="323" outlineLevel="1">
      <c r="A323" s="27" t="n"/>
      <c r="B323" s="27" t="inlineStr">
        <is>
          <t>5002.B</t>
        </is>
      </c>
      <c r="C323" s="7" t="inlineStr">
        <is>
          <t>N2XH 3x2,5 mm² aydınlatma-priz linye + sorti kablosu</t>
        </is>
      </c>
      <c r="D323" s="27" t="inlineStr">
        <is>
          <t>m</t>
        </is>
      </c>
      <c r="E323" s="50" t="n">
        <v>1066</v>
      </c>
      <c r="F323" s="50" t="n">
        <v>1066</v>
      </c>
      <c r="G323" s="27" t="inlineStr">
        <is>
          <t>fire+%30</t>
        </is>
      </c>
      <c r="H323" s="50">
        <f>F323/IF(Varsayimlar!$B$21=1,1.43,1)</f>
        <v/>
      </c>
      <c r="I323" s="51" t="n">
        <v>1.96</v>
      </c>
      <c r="J323" s="28">
        <f>H323*I323</f>
        <v/>
      </c>
      <c r="K323" s="52" t="inlineStr">
        <is>
          <t>GEÇMİŞ TEKLİF UYARLAMA</t>
        </is>
      </c>
      <c r="L323"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323" s="7" t="inlineStr">
        <is>
          <t>Linye+sorti | İlk tahmin BF 2.60</t>
        </is>
      </c>
    </row>
    <row r="324" outlineLevel="1">
      <c r="A324" s="27" t="n"/>
      <c r="B324" s="27" t="inlineStr">
        <is>
          <t>5002.B</t>
        </is>
      </c>
      <c r="C324" s="7" t="inlineStr">
        <is>
          <t>N2XH 5x2,5 mm² lineer armatür linyesi</t>
        </is>
      </c>
      <c r="D324" s="27" t="inlineStr">
        <is>
          <t>m</t>
        </is>
      </c>
      <c r="E324" s="50" t="n">
        <v>327</v>
      </c>
      <c r="F324" s="50" t="n">
        <v>327</v>
      </c>
      <c r="G324" s="27" t="inlineStr">
        <is>
          <t>fire+%30</t>
        </is>
      </c>
      <c r="H324" s="50">
        <f>F324/IF(Varsayimlar!$B$21=1,1.43,1)</f>
        <v/>
      </c>
      <c r="I324" s="51" t="n">
        <v>2.64</v>
      </c>
      <c r="J324" s="28">
        <f>H324*I324</f>
        <v/>
      </c>
      <c r="K324" s="52" t="inlineStr">
        <is>
          <t>GEÇMİŞ TEKLİF UYARLAMA</t>
        </is>
      </c>
      <c r="L324" s="7" t="inlineStr">
        <is>
          <t>REF-derin – İzmir Buca M. Prysmian 2021 5x2,5 2,02 (M)+%35 montaj→2,73; Bursa T2 Delta 2015 5x2,5 1,57 (M)+%35 montaj→2,12; Bursa T2 Haluk 2015 5x2,5 2,54; Bursa T2 MET 2015 5x2,5 2,78 → medyan 2,64 [Emsal ID: R00686;R00849;R00904;R00975]</t>
        </is>
      </c>
      <c r="M324" s="7" t="inlineStr">
        <is>
          <t>Linye | İlk tahmin BF 3.50</t>
        </is>
      </c>
    </row>
    <row r="325" outlineLevel="1">
      <c r="A325" s="27" t="n"/>
      <c r="B325" s="27" t="inlineStr">
        <is>
          <t>5002.B</t>
        </is>
      </c>
      <c r="C325" s="7" t="inlineStr">
        <is>
          <t>Isı büzüşmeli kablo ek/sorti seti + buat (IP66) – yerden armatür beslemeleri</t>
        </is>
      </c>
      <c r="D325" s="27" t="inlineStr">
        <is>
          <t>adet</t>
        </is>
      </c>
      <c r="E325" s="50" t="n">
        <v>71</v>
      </c>
      <c r="F325" s="50" t="n">
        <v>71</v>
      </c>
      <c r="G325" s="27" t="inlineStr">
        <is>
          <t>%30</t>
        </is>
      </c>
      <c r="H325" s="50">
        <f>F325/IF(Varsayimlar!$B$21=1,1.3,1)</f>
        <v/>
      </c>
      <c r="I325" s="51" t="n">
        <v>25</v>
      </c>
      <c r="J325" s="28">
        <f>H325*I325</f>
        <v/>
      </c>
      <c r="K325" s="53" t="inlineStr">
        <is>
          <t>MÜHENDİSLİK TAHMİNİ</t>
        </is>
      </c>
      <c r="L325" s="7" t="inlineStr">
        <is>
          <t>TAHMIN (emsal yok) – Emsal yok (cihaz bazında; Bursa T2/Başkentray "priz sortisi" 25-91 € kablo dahil → kıyas dışı)</t>
        </is>
      </c>
      <c r="M325" s="7" t="inlineStr">
        <is>
          <t>Ek seti+buat</t>
        </is>
      </c>
    </row>
    <row r="326">
      <c r="A326" s="48" t="inlineStr">
        <is>
          <t>325</t>
        </is>
      </c>
      <c r="B326" s="48" t="inlineStr">
        <is>
          <t>5002.C</t>
        </is>
      </c>
      <c r="C326" s="48" t="inlineStr">
        <is>
          <t>Balıklıgöl İstasyonu Alçak Gerilim Tesisatı ve Aydınlatma Sistemi (1 set)</t>
        </is>
      </c>
      <c r="D326" s="48" t="n"/>
      <c r="E326" s="48" t="n"/>
      <c r="F326" s="48" t="n"/>
      <c r="G326" s="48" t="n"/>
      <c r="H326" s="48" t="inlineStr">
        <is>
          <t>RFQ tutarı →</t>
        </is>
      </c>
      <c r="I326" s="49">
        <f>SUMPRODUCT(E327:E346,I327:I346)</f>
        <v/>
      </c>
      <c r="J326" s="49">
        <f>SUM(J327:J346)</f>
        <v/>
      </c>
      <c r="K326" s="48" t="n"/>
      <c r="L326" s="48" t="n"/>
      <c r="M326" s="48" t="n"/>
    </row>
    <row r="327" outlineLevel="1">
      <c r="A327" s="27" t="n"/>
      <c r="B327" s="27" t="inlineStr">
        <is>
          <t>5002.C</t>
        </is>
      </c>
      <c r="C327" s="7" t="inlineStr">
        <is>
          <t>66W LED direk üstü aydınlatma armatürü (IP65/66 peron)</t>
        </is>
      </c>
      <c r="D327" s="27" t="inlineStr">
        <is>
          <t>adet</t>
        </is>
      </c>
      <c r="E327" s="50" t="n">
        <v>16</v>
      </c>
      <c r="F327" s="50" t="n">
        <v>16</v>
      </c>
      <c r="G327" s="27" t="inlineStr">
        <is>
          <t>%30</t>
        </is>
      </c>
      <c r="H327" s="50">
        <f>F327/IF(Varsayimlar!$B$21=1,1.3,1)</f>
        <v/>
      </c>
      <c r="I327" s="51" t="n">
        <v>260</v>
      </c>
      <c r="J327" s="28">
        <f>H327*I327</f>
        <v/>
      </c>
      <c r="K327" s="53" t="inlineStr">
        <is>
          <t>MÜHENDİSLİK TAHMİNİ</t>
        </is>
      </c>
      <c r="L327" s="7" t="inlineStr">
        <is>
          <t>TAHMIN (emsal yok) – Emsal yok (direk üstü peron armatürü; R00490 LED prj ≤100W 274,81 farklı tip)</t>
        </is>
      </c>
      <c r="M327" s="7" t="inlineStr">
        <is>
          <t>LED 66W direk üstü</t>
        </is>
      </c>
    </row>
    <row r="328" outlineLevel="1">
      <c r="A328" s="27" t="n"/>
      <c r="B328" s="27" t="inlineStr">
        <is>
          <t>5002.C</t>
        </is>
      </c>
      <c r="C328" s="7" t="inlineStr">
        <is>
          <t>Peron aydınlatma direği h=3,5 m galvaniz çift kollu (ankraj dahil – temel inşai)</t>
        </is>
      </c>
      <c r="D328" s="27" t="inlineStr">
        <is>
          <t>adet</t>
        </is>
      </c>
      <c r="E328" s="50" t="n">
        <v>6</v>
      </c>
      <c r="F328" s="50" t="n">
        <v>6</v>
      </c>
      <c r="G328" s="27" t="inlineStr">
        <is>
          <t>-</t>
        </is>
      </c>
      <c r="H328" s="50">
        <f>F328</f>
        <v/>
      </c>
      <c r="I328" s="51" t="n">
        <v>389.24</v>
      </c>
      <c r="J328" s="28">
        <f>H328*I328</f>
        <v/>
      </c>
      <c r="K328" s="52" t="inlineStr">
        <is>
          <t>GEÇMİŞ TEKLİF UYARLAMA</t>
        </is>
      </c>
      <c r="L328" s="7" t="inlineStr">
        <is>
          <t>REF-derin(1) – Bursa T2 Haluk 2015 poligon direk €/kg (M+İ) 2,48 ×70 kg, +%15 ankraj→199,63; Bursa T2 MET 2015 poligon direk €/kg (M+İ) 3,20 ×70 kg, +%15 ankraj→257,35 → medyan 228,49 ; emsal ağırlık/tip varsayımına bağlı (tek emsal sayıldı) → mevcut 550,00 ile ort. = 389,24 [Emsal ID: R00852;R00934]</t>
        </is>
      </c>
      <c r="M328" s="7" t="inlineStr">
        <is>
          <t>Direk 3,5 m (temel inşai) | İlk tahmin BF 550.00</t>
        </is>
      </c>
    </row>
    <row r="329" outlineLevel="1">
      <c r="A329" s="27" t="n"/>
      <c r="B329" s="27" t="inlineStr">
        <is>
          <t>5002.C</t>
        </is>
      </c>
      <c r="C329" s="7" t="inlineStr">
        <is>
          <t>66W LED projektör (IP66)</t>
        </is>
      </c>
      <c r="D329" s="27" t="inlineStr">
        <is>
          <t>adet</t>
        </is>
      </c>
      <c r="E329" s="50" t="n">
        <v>3</v>
      </c>
      <c r="F329" s="50" t="n">
        <v>3</v>
      </c>
      <c r="G329" s="27" t="inlineStr">
        <is>
          <t>-</t>
        </is>
      </c>
      <c r="H329" s="50">
        <f>F329</f>
        <v/>
      </c>
      <c r="I329" s="51" t="n">
        <v>227.4</v>
      </c>
      <c r="J329" s="28">
        <f>H329*I329</f>
        <v/>
      </c>
      <c r="K329" s="52" t="inlineStr">
        <is>
          <t>GEÇMİŞ TEKLİF UYARLAMA</t>
        </is>
      </c>
      <c r="L329" s="7" t="inlineStr">
        <is>
          <t>REF-derin(1) – Ankara-Sivas YHT Platin 2019 LED prj ≤100W (M+İ) 274,81 → emsal 274,81 ; tek emsal → mevcut 180,00 ile ort. = 227,40 [Emsal ID: R00490]</t>
        </is>
      </c>
      <c r="M329" s="7" t="inlineStr">
        <is>
          <t>LED projektör | İlk tahmin BF 180.00</t>
        </is>
      </c>
    </row>
    <row r="330" outlineLevel="1">
      <c r="A330" s="27" t="n"/>
      <c r="B330" s="27" t="inlineStr">
        <is>
          <t>5002.C</t>
        </is>
      </c>
      <c r="C330" s="7" t="inlineStr">
        <is>
          <t>30W IP65 LED lineer armatür (peron kanopi kenarı)</t>
        </is>
      </c>
      <c r="D330" s="27" t="inlineStr">
        <is>
          <t>adet</t>
        </is>
      </c>
      <c r="E330" s="50" t="n">
        <v>50</v>
      </c>
      <c r="F330" s="50" t="n">
        <v>50</v>
      </c>
      <c r="G330" s="27" t="inlineStr">
        <is>
          <t>%30</t>
        </is>
      </c>
      <c r="H330" s="50">
        <f>F330/IF(Varsayimlar!$B$21=1,1.3,1)</f>
        <v/>
      </c>
      <c r="I330" s="51" t="n">
        <v>68.64</v>
      </c>
      <c r="J330" s="28">
        <f>H330*I330</f>
        <v/>
      </c>
      <c r="K330" s="52" t="inlineStr">
        <is>
          <t>GEÇMİŞ TEKLİF UYARLAMA</t>
        </is>
      </c>
      <c r="L330"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30" s="7" t="inlineStr">
        <is>
          <t>LED 30W IP65 | İlk tahmin BF 75.00</t>
        </is>
      </c>
    </row>
    <row r="331" outlineLevel="1">
      <c r="A331" s="27" t="n"/>
      <c r="B331" s="27" t="inlineStr">
        <is>
          <t>5002.C</t>
        </is>
      </c>
      <c r="C331" s="7" t="inlineStr">
        <is>
          <t>30W IP65 LED turnike üzeri kanopi armatürü (UPS hattı)</t>
        </is>
      </c>
      <c r="D331" s="27" t="inlineStr">
        <is>
          <t>adet</t>
        </is>
      </c>
      <c r="E331" s="50" t="n">
        <v>3</v>
      </c>
      <c r="F331" s="50" t="n">
        <v>3</v>
      </c>
      <c r="G331" s="27" t="inlineStr">
        <is>
          <t>-</t>
        </is>
      </c>
      <c r="H331" s="50">
        <f>F331</f>
        <v/>
      </c>
      <c r="I331" s="51" t="n">
        <v>68.64</v>
      </c>
      <c r="J331" s="28">
        <f>H331*I331</f>
        <v/>
      </c>
      <c r="K331" s="52" t="inlineStr">
        <is>
          <t>GEÇMİŞ TEKLİF UYARLAMA</t>
        </is>
      </c>
      <c r="L331"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31" s="7" t="inlineStr">
        <is>
          <t>LED 30W IP65 | İlk tahmin BF 75.00</t>
        </is>
      </c>
    </row>
    <row r="332" outlineLevel="1">
      <c r="A332" s="27" t="n"/>
      <c r="B332" s="27" t="inlineStr">
        <is>
          <t>5002.C</t>
        </is>
      </c>
      <c r="C332" s="7" t="inlineStr">
        <is>
          <t>36W IP65 LED armatür (pano odası + güvenlik kabini)</t>
        </is>
      </c>
      <c r="D332" s="27" t="inlineStr">
        <is>
          <t>adet</t>
        </is>
      </c>
      <c r="E332" s="50" t="n">
        <v>4</v>
      </c>
      <c r="F332" s="50" t="n">
        <v>4</v>
      </c>
      <c r="G332" s="27" t="inlineStr">
        <is>
          <t>-</t>
        </is>
      </c>
      <c r="H332" s="50">
        <f>F332</f>
        <v/>
      </c>
      <c r="I332" s="51" t="n">
        <v>80.23999999999999</v>
      </c>
      <c r="J332" s="28">
        <f>H332*I332</f>
        <v/>
      </c>
      <c r="K332" s="52" t="inlineStr">
        <is>
          <t>GEÇMİŞ TEKLİF UYARLAMA</t>
        </is>
      </c>
      <c r="L332" s="7" t="inlineStr">
        <is>
          <t>REF-derin – İzmir Buca M. Signify 2021 LED38 IP65 etanj 32,28 (M)+%30 montaj→41,96; Bursa T2 Haluk 2015 41W IP65 etanj (M+İ) 123,99; Bursa T2 MET 2015 41W IP65 etanj (M+İ) 80,24 → medyan 80,24 [Emsal ID: R00665;R00921;R00988]</t>
        </is>
      </c>
      <c r="M332" s="7" t="inlineStr">
        <is>
          <t>LED 36W IP65 | İlk tahmin BF 70.00</t>
        </is>
      </c>
    </row>
    <row r="333" outlineLevel="1">
      <c r="A333" s="27" t="n"/>
      <c r="B333" s="27" t="inlineStr">
        <is>
          <t>5002.C</t>
        </is>
      </c>
      <c r="C333" s="7" t="inlineStr">
        <is>
          <t>100W kubbe/kanopi acil aydınlatma armatürü – projede aydınlatma ucu (UPS)</t>
        </is>
      </c>
      <c r="D333" s="27" t="inlineStr">
        <is>
          <t>adet</t>
        </is>
      </c>
      <c r="E333" s="50" t="n">
        <v>13</v>
      </c>
      <c r="F333" s="50" t="n">
        <v>13</v>
      </c>
      <c r="G333" s="27" t="inlineStr">
        <is>
          <t>-</t>
        </is>
      </c>
      <c r="H333" s="50">
        <f>F333</f>
        <v/>
      </c>
      <c r="I333" s="51" t="n">
        <v>220</v>
      </c>
      <c r="J333" s="28">
        <f>H333*I333</f>
        <v/>
      </c>
      <c r="K333" s="53" t="inlineStr">
        <is>
          <t>MÜHENDİSLİK TAHMİNİ</t>
        </is>
      </c>
      <c r="L333" s="7" t="inlineStr">
        <is>
          <t>TAHMIN (emsal yok) – Emsal yok (100W kanopi acil armatür; projektör refi farklı tip)</t>
        </is>
      </c>
      <c r="M333" s="7" t="inlineStr">
        <is>
          <t>LED 100W kanopi</t>
        </is>
      </c>
    </row>
    <row r="334" outlineLevel="1">
      <c r="A334" s="27" t="n"/>
      <c r="B334" s="27" t="inlineStr">
        <is>
          <t>5002.C</t>
        </is>
      </c>
      <c r="C334" s="7" t="inlineStr">
        <is>
          <t>Totem iç aydınlatması besleme ucu (500W)</t>
        </is>
      </c>
      <c r="D334" s="27" t="inlineStr">
        <is>
          <t>adet</t>
        </is>
      </c>
      <c r="E334" s="50" t="n">
        <v>1</v>
      </c>
      <c r="F334" s="50" t="n">
        <v>1</v>
      </c>
      <c r="G334" s="27" t="inlineStr">
        <is>
          <t>-</t>
        </is>
      </c>
      <c r="H334" s="50">
        <f>F334</f>
        <v/>
      </c>
      <c r="I334" s="51" t="n">
        <v>60</v>
      </c>
      <c r="J334" s="28">
        <f>H334*I334</f>
        <v/>
      </c>
      <c r="K334" s="53" t="inlineStr">
        <is>
          <t>MÜHENDİSLİK TAHMİNİ</t>
        </is>
      </c>
      <c r="L334" s="7" t="inlineStr">
        <is>
          <t>TAHMIN (emsal yok) – Emsal yok (cihaz bazında; Bursa T2/Başkentray "priz sortisi" 25-91 € kablo dahil → kıyas dışı)</t>
        </is>
      </c>
      <c r="M334" s="7" t="inlineStr">
        <is>
          <t>Besleme ucu</t>
        </is>
      </c>
    </row>
    <row r="335" outlineLevel="1">
      <c r="A335" s="27" t="n"/>
      <c r="B335" s="27" t="inlineStr">
        <is>
          <t>5002.C</t>
        </is>
      </c>
      <c r="C335" s="7" t="inlineStr">
        <is>
          <t>66W LED armatür – üst geçit / yürüyen merdiven bölgesi</t>
        </is>
      </c>
      <c r="D335" s="27" t="inlineStr">
        <is>
          <t>adet</t>
        </is>
      </c>
      <c r="E335" s="50" t="n">
        <v>26</v>
      </c>
      <c r="F335" s="50" t="n">
        <v>26</v>
      </c>
      <c r="G335" s="27" t="inlineStr">
        <is>
          <t>%30</t>
        </is>
      </c>
      <c r="H335" s="50">
        <f>F335/IF(Varsayimlar!$B$21=1,1.3,1)</f>
        <v/>
      </c>
      <c r="I335" s="51" t="n">
        <v>117.12</v>
      </c>
      <c r="J335" s="28">
        <f>H335*I335</f>
        <v/>
      </c>
      <c r="K335" s="52" t="inlineStr">
        <is>
          <t>GEÇMİŞ TEKLİF UYARLAMA</t>
        </is>
      </c>
      <c r="L335" s="7" t="inlineStr">
        <is>
          <t>REF-derin(1) – İzmir Buca M. Signify 2021 LED70 IP65 etanj 64,80 (M)+%30 montaj→84,24 → emsal 84,24 ; tek emsal → mevcut 150,00 ile ort. = 117,12 [Emsal ID: R00666]</t>
        </is>
      </c>
      <c r="M335" s="7" t="inlineStr">
        <is>
          <t>LED 66W | İlk tahmin BF 150.00</t>
        </is>
      </c>
    </row>
    <row r="336" outlineLevel="1">
      <c r="A336" s="27" t="n"/>
      <c r="B336" s="27" t="inlineStr">
        <is>
          <t>5002.C</t>
        </is>
      </c>
      <c r="C336" s="7" t="inlineStr">
        <is>
          <t>Ortam korumalı (IP55) adi aydınlatma anahtarı</t>
        </is>
      </c>
      <c r="D336" s="27" t="inlineStr">
        <is>
          <t>adet</t>
        </is>
      </c>
      <c r="E336" s="50" t="n">
        <v>4</v>
      </c>
      <c r="F336" s="50" t="n">
        <v>4</v>
      </c>
      <c r="G336" s="27" t="inlineStr">
        <is>
          <t>-</t>
        </is>
      </c>
      <c r="H336" s="50">
        <f>F336</f>
        <v/>
      </c>
      <c r="I336" s="51" t="n">
        <v>16</v>
      </c>
      <c r="J336" s="28">
        <f>H336*I336</f>
        <v/>
      </c>
      <c r="K336" s="53" t="inlineStr">
        <is>
          <t>MÜHENDİSLİK TAHMİNİ</t>
        </is>
      </c>
      <c r="L336" s="7" t="inlineStr">
        <is>
          <t>TAHMIN (emsal yok) – Emsal yok (cihaz bazında; Bursa T2/Başkentray "priz sortisi" 25-91 € kablo dahil → kıyas dışı)</t>
        </is>
      </c>
      <c r="M336" s="7" t="inlineStr">
        <is>
          <t>Anahtar IP55</t>
        </is>
      </c>
    </row>
    <row r="337" outlineLevel="1">
      <c r="A337" s="27" t="n"/>
      <c r="B337" s="27" t="inlineStr">
        <is>
          <t>5002.C</t>
        </is>
      </c>
      <c r="C337" s="7" t="inlineStr">
        <is>
          <t>Harici aydınlatma astronomik zaman rölesi + kontaktör grubu (APP içinde)</t>
        </is>
      </c>
      <c r="D337" s="27" t="inlineStr">
        <is>
          <t>takım</t>
        </is>
      </c>
      <c r="E337" s="50" t="n">
        <v>1</v>
      </c>
      <c r="F337" s="50" t="n">
        <v>1</v>
      </c>
      <c r="G337" s="27" t="inlineStr">
        <is>
          <t>-</t>
        </is>
      </c>
      <c r="H337" s="50">
        <f>F337</f>
        <v/>
      </c>
      <c r="I337" s="51" t="n">
        <v>161.12</v>
      </c>
      <c r="J337" s="28">
        <f>H337*I337</f>
        <v/>
      </c>
      <c r="K337" s="52" t="inlineStr">
        <is>
          <t>GEÇMİŞ TEKLİF UYARLAMA</t>
        </is>
      </c>
      <c r="L337" s="7" t="inlineStr">
        <is>
          <t>REF-derin – Bursa T2 Haluk 2015 astronomik röle (M+İ) 89,90; Bursa T2 MET 2015 astronomik röle (M+İ) 52,34 → medyan 71,12 + 90 kontaktör grubu (tahmin) = 161,12 [Emsal ID: R00872;R00949]</t>
        </is>
      </c>
      <c r="M337" s="7" t="inlineStr">
        <is>
          <t>Astronomik röle+kontaktör | İlk tahmin BF 250.00</t>
        </is>
      </c>
    </row>
    <row r="338" outlineLevel="1">
      <c r="A338" s="27" t="n"/>
      <c r="B338" s="27" t="inlineStr">
        <is>
          <t>5002.C</t>
        </is>
      </c>
      <c r="C338" s="7" t="inlineStr">
        <is>
          <t>Monofaze etanj/gömme topraklı priz (16A)</t>
        </is>
      </c>
      <c r="D338" s="27" t="inlineStr">
        <is>
          <t>adet</t>
        </is>
      </c>
      <c r="E338" s="50" t="n">
        <v>8</v>
      </c>
      <c r="F338" s="50" t="n">
        <v>8</v>
      </c>
      <c r="G338" s="27" t="inlineStr">
        <is>
          <t>%30</t>
        </is>
      </c>
      <c r="H338" s="50">
        <f>F338/IF(Varsayimlar!$B$21=1,1.3,1)</f>
        <v/>
      </c>
      <c r="I338" s="51" t="n">
        <v>18</v>
      </c>
      <c r="J338" s="28">
        <f>H338*I338</f>
        <v/>
      </c>
      <c r="K338" s="53" t="inlineStr">
        <is>
          <t>MÜHENDİSLİK TAHMİNİ</t>
        </is>
      </c>
      <c r="L338" s="7" t="inlineStr">
        <is>
          <t>TAHMIN (emsal yok) – Emsal yok (cihaz bazında; Bursa T2/Başkentray "priz sortisi" 25-91 € kablo dahil → kıyas dışı)</t>
        </is>
      </c>
      <c r="M338" s="7" t="inlineStr">
        <is>
          <t>Priz 16A</t>
        </is>
      </c>
    </row>
    <row r="339" outlineLevel="1">
      <c r="A339" s="27" t="n"/>
      <c r="B339" s="27" t="inlineStr">
        <is>
          <t>5002.C</t>
        </is>
      </c>
      <c r="C339" s="7" t="inlineStr">
        <is>
          <t>APP aydınlatma-priz tali panosu (IP65 dahili/harici 3F 25A giriş 8-10 çıkış KAKS 30mA)</t>
        </is>
      </c>
      <c r="D339" s="27" t="inlineStr">
        <is>
          <t>adet</t>
        </is>
      </c>
      <c r="E339" s="50" t="n">
        <v>1</v>
      </c>
      <c r="F339" s="50" t="n">
        <v>1</v>
      </c>
      <c r="G339" s="27" t="inlineStr">
        <is>
          <t>-</t>
        </is>
      </c>
      <c r="H339" s="50">
        <f>F339</f>
        <v/>
      </c>
      <c r="I339" s="51" t="n">
        <v>1200</v>
      </c>
      <c r="J339" s="28">
        <f>H339*I339</f>
        <v/>
      </c>
      <c r="K339" s="53" t="inlineStr">
        <is>
          <t>MÜHENDİSLİK TAHMİNİ</t>
        </is>
      </c>
      <c r="L339" s="7" t="inlineStr">
        <is>
          <t>TAHMIN (emsal yok) – Emsal yok (komple tali pano; İzmir Buca TEDAK 2021 tali pano ort. 3.010 € (M) metro/daha büyük, Bursa T2 "özel saç pano" yalnız gövde → kıyas dışı)</t>
        </is>
      </c>
      <c r="M339" s="7" t="inlineStr">
        <is>
          <t>APP panosu</t>
        </is>
      </c>
    </row>
    <row r="340" outlineLevel="1">
      <c r="A340" s="27" t="n"/>
      <c r="B340" s="27" t="inlineStr">
        <is>
          <t>5002.C</t>
        </is>
      </c>
      <c r="C340" s="7" t="inlineStr">
        <is>
          <t>UPP UPS'ten beslenen aydınlatma-priz/UPS dağıtım panosu (12-13 çıkış RCBO)</t>
        </is>
      </c>
      <c r="D340" s="27" t="inlineStr">
        <is>
          <t>adet</t>
        </is>
      </c>
      <c r="E340" s="50" t="n">
        <v>1</v>
      </c>
      <c r="F340" s="50" t="n">
        <v>1</v>
      </c>
      <c r="G340" s="27" t="inlineStr">
        <is>
          <t>-</t>
        </is>
      </c>
      <c r="H340" s="50">
        <f>F340</f>
        <v/>
      </c>
      <c r="I340" s="51" t="n">
        <v>1500</v>
      </c>
      <c r="J340" s="28">
        <f>H340*I340</f>
        <v/>
      </c>
      <c r="K340" s="53" t="inlineStr">
        <is>
          <t>MÜHENDİSLİK TAHMİNİ</t>
        </is>
      </c>
      <c r="L340" s="7" t="inlineStr">
        <is>
          <t>TAHMIN (emsal yok) – Emsal yok (komple tali pano; İzmir Buca TEDAK 2021 tali pano ort. 3.010 € (M) metro/daha büyük, Bursa T2 "özel saç pano" yalnız gövde → kıyas dışı)</t>
        </is>
      </c>
      <c r="M340" s="7" t="inlineStr">
        <is>
          <t>UPP panosu</t>
        </is>
      </c>
    </row>
    <row r="341" outlineLevel="1">
      <c r="A341" s="27" t="n"/>
      <c r="B341" s="27" t="inlineStr">
        <is>
          <t>5002.C</t>
        </is>
      </c>
      <c r="C341" s="7" t="inlineStr">
        <is>
          <t>SK sigorta kutusu (güvenlik kabini 3F 25A 6 çıkış)</t>
        </is>
      </c>
      <c r="D341" s="27" t="inlineStr">
        <is>
          <t>adet</t>
        </is>
      </c>
      <c r="E341" s="50" t="n">
        <v>1</v>
      </c>
      <c r="F341" s="50" t="n">
        <v>1</v>
      </c>
      <c r="G341" s="27" t="inlineStr">
        <is>
          <t>-</t>
        </is>
      </c>
      <c r="H341" s="50">
        <f>F341</f>
        <v/>
      </c>
      <c r="I341" s="51" t="n">
        <v>350</v>
      </c>
      <c r="J341" s="28">
        <f>H341*I341</f>
        <v/>
      </c>
      <c r="K341" s="53" t="inlineStr">
        <is>
          <t>MÜHENDİSLİK TAHMİNİ</t>
        </is>
      </c>
      <c r="L341" s="7" t="inlineStr">
        <is>
          <t>TAHMIN (emsal yok) – Emsal yok (komple tali pano; İzmir Buca TEDAK 2021 tali pano ort. 3.010 € (M) metro/daha büyük, Bursa T2 "özel saç pano" yalnız gövde → kıyas dışı)</t>
        </is>
      </c>
      <c r="M341" s="7" t="inlineStr">
        <is>
          <t>SK kutusu</t>
        </is>
      </c>
    </row>
    <row r="342" outlineLevel="1">
      <c r="A342" s="27" t="n"/>
      <c r="B342" s="27" t="inlineStr">
        <is>
          <t>5002.C</t>
        </is>
      </c>
      <c r="C342" s="7" t="inlineStr">
        <is>
          <t>UPS 10 kVA 3F/3F online IGBT + manuel by-pass</t>
        </is>
      </c>
      <c r="D342" s="27" t="inlineStr">
        <is>
          <t>adet</t>
        </is>
      </c>
      <c r="E342" s="50" t="n">
        <v>1</v>
      </c>
      <c r="F342" s="50" t="n">
        <v>1</v>
      </c>
      <c r="G342" s="27" t="inlineStr">
        <is>
          <t>-</t>
        </is>
      </c>
      <c r="H342" s="50">
        <f>F342</f>
        <v/>
      </c>
      <c r="I342" s="51" t="n">
        <v>5000</v>
      </c>
      <c r="J342" s="28">
        <f>H342*I342</f>
        <v/>
      </c>
      <c r="K342" s="52" t="inlineStr">
        <is>
          <t>GEÇMİŞ TEKLİF UYARLAMA</t>
        </is>
      </c>
      <c r="L342" s="7" t="inlineStr">
        <is>
          <t>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is>
      </c>
      <c r="M342" s="7" t="inlineStr">
        <is>
          <t>UPS 10 kVA montaj+devreye alma | İlk tahmin BF 5,300.00</t>
        </is>
      </c>
    </row>
    <row r="343" outlineLevel="1">
      <c r="A343" s="27" t="n"/>
      <c r="B343" s="27" t="inlineStr">
        <is>
          <t>5002.C</t>
        </is>
      </c>
      <c r="C343" s="7" t="inlineStr">
        <is>
          <t>UPS akü grubu VRLA 2 saat otonomi (10 kVA tam yük) – 32×12V 100Ah blok (384 V DC) + akü kabini</t>
        </is>
      </c>
      <c r="D343" s="27" t="inlineStr">
        <is>
          <t>takım</t>
        </is>
      </c>
      <c r="E343" s="50" t="n">
        <v>1</v>
      </c>
      <c r="F343" s="50" t="n">
        <v>1</v>
      </c>
      <c r="G343" s="27" t="inlineStr">
        <is>
          <t>-</t>
        </is>
      </c>
      <c r="H343" s="50">
        <f>F343</f>
        <v/>
      </c>
      <c r="I343" s="51" t="n">
        <v>3150</v>
      </c>
      <c r="J343" s="28">
        <f>H343*I343</f>
        <v/>
      </c>
      <c r="K343" s="53" t="inlineStr">
        <is>
          <t>MÜHENDİSLİK TAHMİNİ</t>
        </is>
      </c>
      <c r="L343" s="7" t="inlineStr">
        <is>
          <t>TAHMIN (emsal yok) – Emsal yok (akü refleri 12V 105-150Ah blok: R01952 340,68 / R02124 250,16 (M); 100Ah×32 tam kapasite ~8-11 bin €; fiyat İdare 20 dk ~33Ah kapsamına göre — kalem metni ile not çelişkili, kontrol edilmeli)</t>
        </is>
      </c>
      <c r="M343" s="7" t="inlineStr">
        <is>
          <t>İdare: istasyon UPS 20 dk (32x12V ~33Ah)</t>
        </is>
      </c>
    </row>
    <row r="344" outlineLevel="1">
      <c r="A344" s="27" t="n"/>
      <c r="B344" s="27" t="inlineStr">
        <is>
          <t>5002.C</t>
        </is>
      </c>
      <c r="C344" s="7" t="inlineStr">
        <is>
          <t>N2XH 3x2,5 mm² aydınlatma-priz linye + sorti kablosu</t>
        </is>
      </c>
      <c r="D344" s="27" t="inlineStr">
        <is>
          <t>m</t>
        </is>
      </c>
      <c r="E344" s="50" t="n">
        <v>1066</v>
      </c>
      <c r="F344" s="50" t="n">
        <v>1066</v>
      </c>
      <c r="G344" s="27" t="inlineStr">
        <is>
          <t>fire+%30</t>
        </is>
      </c>
      <c r="H344" s="50">
        <f>F344/IF(Varsayimlar!$B$21=1,1.43,1)</f>
        <v/>
      </c>
      <c r="I344" s="51" t="n">
        <v>1.96</v>
      </c>
      <c r="J344" s="28">
        <f>H344*I344</f>
        <v/>
      </c>
      <c r="K344" s="52" t="inlineStr">
        <is>
          <t>GEÇMİŞ TEKLİF UYARLAMA</t>
        </is>
      </c>
      <c r="L344"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344" s="7" t="inlineStr">
        <is>
          <t>Linye+sorti | İlk tahmin BF 2.60</t>
        </is>
      </c>
    </row>
    <row r="345" outlineLevel="1">
      <c r="A345" s="27" t="n"/>
      <c r="B345" s="27" t="inlineStr">
        <is>
          <t>5002.C</t>
        </is>
      </c>
      <c r="C345" s="7" t="inlineStr">
        <is>
          <t>N2XH 5x2,5 mm² lineer armatür linyesi</t>
        </is>
      </c>
      <c r="D345" s="27" t="inlineStr">
        <is>
          <t>m</t>
        </is>
      </c>
      <c r="E345" s="50" t="n">
        <v>327</v>
      </c>
      <c r="F345" s="50" t="n">
        <v>327</v>
      </c>
      <c r="G345" s="27" t="inlineStr">
        <is>
          <t>fire+%30</t>
        </is>
      </c>
      <c r="H345" s="50">
        <f>F345/IF(Varsayimlar!$B$21=1,1.43,1)</f>
        <v/>
      </c>
      <c r="I345" s="51" t="n">
        <v>2.64</v>
      </c>
      <c r="J345" s="28">
        <f>H345*I345</f>
        <v/>
      </c>
      <c r="K345" s="52" t="inlineStr">
        <is>
          <t>GEÇMİŞ TEKLİF UYARLAMA</t>
        </is>
      </c>
      <c r="L345" s="7" t="inlineStr">
        <is>
          <t>REF-derin – İzmir Buca M. Prysmian 2021 5x2,5 2,02 (M)+%35 montaj→2,73; Bursa T2 Delta 2015 5x2,5 1,57 (M)+%35 montaj→2,12; Bursa T2 Haluk 2015 5x2,5 2,54; Bursa T2 MET 2015 5x2,5 2,78 → medyan 2,64 [Emsal ID: R00686;R00849;R00904;R00975]</t>
        </is>
      </c>
      <c r="M345" s="7" t="inlineStr">
        <is>
          <t>Linye | İlk tahmin BF 3.50</t>
        </is>
      </c>
    </row>
    <row r="346" outlineLevel="1">
      <c r="A346" s="27" t="n"/>
      <c r="B346" s="27" t="inlineStr">
        <is>
          <t>5002.C</t>
        </is>
      </c>
      <c r="C346" s="7" t="inlineStr">
        <is>
          <t>Isı büzüşmeli kablo ek/sorti seti + buat (IP66) – yerden armatür beslemeleri</t>
        </is>
      </c>
      <c r="D346" s="27" t="inlineStr">
        <is>
          <t>adet</t>
        </is>
      </c>
      <c r="E346" s="50" t="n">
        <v>71</v>
      </c>
      <c r="F346" s="50" t="n">
        <v>71</v>
      </c>
      <c r="G346" s="27" t="inlineStr">
        <is>
          <t>%30</t>
        </is>
      </c>
      <c r="H346" s="50">
        <f>F346/IF(Varsayimlar!$B$21=1,1.3,1)</f>
        <v/>
      </c>
      <c r="I346" s="51" t="n">
        <v>25</v>
      </c>
      <c r="J346" s="28">
        <f>H346*I346</f>
        <v/>
      </c>
      <c r="K346" s="53" t="inlineStr">
        <is>
          <t>MÜHENDİSLİK TAHMİNİ</t>
        </is>
      </c>
      <c r="L346" s="7" t="inlineStr">
        <is>
          <t>TAHMIN (emsal yok) – Emsal yok (cihaz bazında; Bursa T2/Başkentray "priz sortisi" 25-91 € kablo dahil → kıyas dışı)</t>
        </is>
      </c>
      <c r="M346" s="7" t="inlineStr">
        <is>
          <t>Ek seti+buat</t>
        </is>
      </c>
    </row>
    <row r="347">
      <c r="A347" s="48" t="inlineStr">
        <is>
          <t>326</t>
        </is>
      </c>
      <c r="B347" s="48" t="inlineStr">
        <is>
          <t>5002.D</t>
        </is>
      </c>
      <c r="C347" s="48" t="inlineStr">
        <is>
          <t>Eyüp Peygamber İstasyonu Alçak Gerilim Tesisatı ve Aydınlatma Sistemi (1 set)</t>
        </is>
      </c>
      <c r="D347" s="48" t="n"/>
      <c r="E347" s="48" t="n"/>
      <c r="F347" s="48" t="n"/>
      <c r="G347" s="48" t="n"/>
      <c r="H347" s="48" t="inlineStr">
        <is>
          <t>RFQ tutarı →</t>
        </is>
      </c>
      <c r="I347" s="49">
        <f>SUMPRODUCT(E348:E367,I348:I367)</f>
        <v/>
      </c>
      <c r="J347" s="49">
        <f>SUM(J348:J367)</f>
        <v/>
      </c>
      <c r="K347" s="48" t="n"/>
      <c r="L347" s="48" t="n"/>
      <c r="M347" s="48" t="n"/>
    </row>
    <row r="348" outlineLevel="1">
      <c r="A348" s="27" t="n"/>
      <c r="B348" s="27" t="inlineStr">
        <is>
          <t>5002.D</t>
        </is>
      </c>
      <c r="C348" s="7" t="inlineStr">
        <is>
          <t>66W LED direk üstü aydınlatma armatürü (IP65/66 peron)</t>
        </is>
      </c>
      <c r="D348" s="27" t="inlineStr">
        <is>
          <t>adet</t>
        </is>
      </c>
      <c r="E348" s="50" t="n">
        <v>16</v>
      </c>
      <c r="F348" s="50" t="n">
        <v>16</v>
      </c>
      <c r="G348" s="27" t="inlineStr">
        <is>
          <t>%30</t>
        </is>
      </c>
      <c r="H348" s="50">
        <f>F348/IF(Varsayimlar!$B$21=1,1.3,1)</f>
        <v/>
      </c>
      <c r="I348" s="51" t="n">
        <v>260</v>
      </c>
      <c r="J348" s="28">
        <f>H348*I348</f>
        <v/>
      </c>
      <c r="K348" s="53" t="inlineStr">
        <is>
          <t>MÜHENDİSLİK TAHMİNİ</t>
        </is>
      </c>
      <c r="L348" s="7" t="inlineStr">
        <is>
          <t>TAHMIN (emsal yok) – Emsal yok (direk üstü peron armatürü; R00490 LED prj ≤100W 274,81 farklı tip)</t>
        </is>
      </c>
      <c r="M348" s="7" t="inlineStr">
        <is>
          <t>LED 66W direk üstü</t>
        </is>
      </c>
    </row>
    <row r="349" outlineLevel="1">
      <c r="A349" s="27" t="n"/>
      <c r="B349" s="27" t="inlineStr">
        <is>
          <t>5002.D</t>
        </is>
      </c>
      <c r="C349" s="7" t="inlineStr">
        <is>
          <t>Peron aydınlatma direği h=3,5 m galvaniz çift kollu (ankraj dahil – temel inşai)</t>
        </is>
      </c>
      <c r="D349" s="27" t="inlineStr">
        <is>
          <t>adet</t>
        </is>
      </c>
      <c r="E349" s="50" t="n">
        <v>6</v>
      </c>
      <c r="F349" s="50" t="n">
        <v>6</v>
      </c>
      <c r="G349" s="27" t="inlineStr">
        <is>
          <t>-</t>
        </is>
      </c>
      <c r="H349" s="50">
        <f>F349</f>
        <v/>
      </c>
      <c r="I349" s="51" t="n">
        <v>389.24</v>
      </c>
      <c r="J349" s="28">
        <f>H349*I349</f>
        <v/>
      </c>
      <c r="K349" s="52" t="inlineStr">
        <is>
          <t>GEÇMİŞ TEKLİF UYARLAMA</t>
        </is>
      </c>
      <c r="L349" s="7" t="inlineStr">
        <is>
          <t>REF-derin(1) – Bursa T2 Haluk 2015 poligon direk €/kg (M+İ) 2,48 ×70 kg, +%15 ankraj→199,63; Bursa T2 MET 2015 poligon direk €/kg (M+İ) 3,20 ×70 kg, +%15 ankraj→257,35 → medyan 228,49 ; emsal ağırlık/tip varsayımına bağlı (tek emsal sayıldı) → mevcut 550,00 ile ort. = 389,24 [Emsal ID: R00852;R00934]</t>
        </is>
      </c>
      <c r="M349" s="7" t="inlineStr">
        <is>
          <t>Direk 3,5 m (temel inşai) | İlk tahmin BF 550.00</t>
        </is>
      </c>
    </row>
    <row r="350" outlineLevel="1">
      <c r="A350" s="27" t="n"/>
      <c r="B350" s="27" t="inlineStr">
        <is>
          <t>5002.D</t>
        </is>
      </c>
      <c r="C350" s="7" t="inlineStr">
        <is>
          <t>66W LED projektör (IP66)</t>
        </is>
      </c>
      <c r="D350" s="27" t="inlineStr">
        <is>
          <t>adet</t>
        </is>
      </c>
      <c r="E350" s="50" t="n">
        <v>3</v>
      </c>
      <c r="F350" s="50" t="n">
        <v>3</v>
      </c>
      <c r="G350" s="27" t="inlineStr">
        <is>
          <t>-</t>
        </is>
      </c>
      <c r="H350" s="50">
        <f>F350</f>
        <v/>
      </c>
      <c r="I350" s="51" t="n">
        <v>227.4</v>
      </c>
      <c r="J350" s="28">
        <f>H350*I350</f>
        <v/>
      </c>
      <c r="K350" s="52" t="inlineStr">
        <is>
          <t>GEÇMİŞ TEKLİF UYARLAMA</t>
        </is>
      </c>
      <c r="L350" s="7" t="inlineStr">
        <is>
          <t>REF-derin(1) – Ankara-Sivas YHT Platin 2019 LED prj ≤100W (M+İ) 274,81 → emsal 274,81 ; tek emsal → mevcut 180,00 ile ort. = 227,40 [Emsal ID: R00490]</t>
        </is>
      </c>
      <c r="M350" s="7" t="inlineStr">
        <is>
          <t>LED projektör | İlk tahmin BF 180.00</t>
        </is>
      </c>
    </row>
    <row r="351" outlineLevel="1">
      <c r="A351" s="27" t="n"/>
      <c r="B351" s="27" t="inlineStr">
        <is>
          <t>5002.D</t>
        </is>
      </c>
      <c r="C351" s="7" t="inlineStr">
        <is>
          <t>30W IP65 LED lineer armatür (peron kanopi kenarı)</t>
        </is>
      </c>
      <c r="D351" s="27" t="inlineStr">
        <is>
          <t>adet</t>
        </is>
      </c>
      <c r="E351" s="50" t="n">
        <v>50</v>
      </c>
      <c r="F351" s="50" t="n">
        <v>50</v>
      </c>
      <c r="G351" s="27" t="inlineStr">
        <is>
          <t>%30</t>
        </is>
      </c>
      <c r="H351" s="50">
        <f>F351/IF(Varsayimlar!$B$21=1,1.3,1)</f>
        <v/>
      </c>
      <c r="I351" s="51" t="n">
        <v>68.64</v>
      </c>
      <c r="J351" s="28">
        <f>H351*I351</f>
        <v/>
      </c>
      <c r="K351" s="52" t="inlineStr">
        <is>
          <t>GEÇMİŞ TEKLİF UYARLAMA</t>
        </is>
      </c>
      <c r="L351"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51" s="7" t="inlineStr">
        <is>
          <t>LED 30W IP65 | İlk tahmin BF 75.00</t>
        </is>
      </c>
    </row>
    <row r="352" outlineLevel="1">
      <c r="A352" s="27" t="n"/>
      <c r="B352" s="27" t="inlineStr">
        <is>
          <t>5002.D</t>
        </is>
      </c>
      <c r="C352" s="7" t="inlineStr">
        <is>
          <t>30W IP65 LED turnike üzeri kanopi armatürü (UPS hattı)</t>
        </is>
      </c>
      <c r="D352" s="27" t="inlineStr">
        <is>
          <t>adet</t>
        </is>
      </c>
      <c r="E352" s="50" t="n">
        <v>3</v>
      </c>
      <c r="F352" s="50" t="n">
        <v>3</v>
      </c>
      <c r="G352" s="27" t="inlineStr">
        <is>
          <t>-</t>
        </is>
      </c>
      <c r="H352" s="50">
        <f>F352</f>
        <v/>
      </c>
      <c r="I352" s="51" t="n">
        <v>68.64</v>
      </c>
      <c r="J352" s="28">
        <f>H352*I352</f>
        <v/>
      </c>
      <c r="K352" s="52" t="inlineStr">
        <is>
          <t>GEÇMİŞ TEKLİF UYARLAMA</t>
        </is>
      </c>
      <c r="L352"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52" s="7" t="inlineStr">
        <is>
          <t>LED 30W IP65 | İlk tahmin BF 75.00</t>
        </is>
      </c>
    </row>
    <row r="353" outlineLevel="1">
      <c r="A353" s="27" t="n"/>
      <c r="B353" s="27" t="inlineStr">
        <is>
          <t>5002.D</t>
        </is>
      </c>
      <c r="C353" s="7" t="inlineStr">
        <is>
          <t>36W IP65 LED armatür (pano odası + güvenlik kabini)</t>
        </is>
      </c>
      <c r="D353" s="27" t="inlineStr">
        <is>
          <t>adet</t>
        </is>
      </c>
      <c r="E353" s="50" t="n">
        <v>4</v>
      </c>
      <c r="F353" s="50" t="n">
        <v>4</v>
      </c>
      <c r="G353" s="27" t="inlineStr">
        <is>
          <t>-</t>
        </is>
      </c>
      <c r="H353" s="50">
        <f>F353</f>
        <v/>
      </c>
      <c r="I353" s="51" t="n">
        <v>80.23999999999999</v>
      </c>
      <c r="J353" s="28">
        <f>H353*I353</f>
        <v/>
      </c>
      <c r="K353" s="52" t="inlineStr">
        <is>
          <t>GEÇMİŞ TEKLİF UYARLAMA</t>
        </is>
      </c>
      <c r="L353" s="7" t="inlineStr">
        <is>
          <t>REF-derin – İzmir Buca M. Signify 2021 LED38 IP65 etanj 32,28 (M)+%30 montaj→41,96; Bursa T2 Haluk 2015 41W IP65 etanj (M+İ) 123,99; Bursa T2 MET 2015 41W IP65 etanj (M+İ) 80,24 → medyan 80,24 [Emsal ID: R00665;R00921;R00988]</t>
        </is>
      </c>
      <c r="M353" s="7" t="inlineStr">
        <is>
          <t>LED 36W IP65 | İlk tahmin BF 70.00</t>
        </is>
      </c>
    </row>
    <row r="354" outlineLevel="1">
      <c r="A354" s="27" t="n"/>
      <c r="B354" s="27" t="inlineStr">
        <is>
          <t>5002.D</t>
        </is>
      </c>
      <c r="C354" s="7" t="inlineStr">
        <is>
          <t>100W kubbe/kanopi acil aydınlatma armatürü – projede aydınlatma ucu (UPS)</t>
        </is>
      </c>
      <c r="D354" s="27" t="inlineStr">
        <is>
          <t>adet</t>
        </is>
      </c>
      <c r="E354" s="50" t="n">
        <v>13</v>
      </c>
      <c r="F354" s="50" t="n">
        <v>13</v>
      </c>
      <c r="G354" s="27" t="inlineStr">
        <is>
          <t>-</t>
        </is>
      </c>
      <c r="H354" s="50">
        <f>F354</f>
        <v/>
      </c>
      <c r="I354" s="51" t="n">
        <v>220</v>
      </c>
      <c r="J354" s="28">
        <f>H354*I354</f>
        <v/>
      </c>
      <c r="K354" s="53" t="inlineStr">
        <is>
          <t>MÜHENDİSLİK TAHMİNİ</t>
        </is>
      </c>
      <c r="L354" s="7" t="inlineStr">
        <is>
          <t>TAHMIN (emsal yok) – Emsal yok (100W kanopi acil armatür; projektör refi farklı tip)</t>
        </is>
      </c>
      <c r="M354" s="7" t="inlineStr">
        <is>
          <t>LED 100W kanopi</t>
        </is>
      </c>
    </row>
    <row r="355" outlineLevel="1">
      <c r="A355" s="27" t="n"/>
      <c r="B355" s="27" t="inlineStr">
        <is>
          <t>5002.D</t>
        </is>
      </c>
      <c r="C355" s="7" t="inlineStr">
        <is>
          <t>Totem iç aydınlatması besleme ucu (500W)</t>
        </is>
      </c>
      <c r="D355" s="27" t="inlineStr">
        <is>
          <t>adet</t>
        </is>
      </c>
      <c r="E355" s="50" t="n">
        <v>1</v>
      </c>
      <c r="F355" s="50" t="n">
        <v>1</v>
      </c>
      <c r="G355" s="27" t="inlineStr">
        <is>
          <t>-</t>
        </is>
      </c>
      <c r="H355" s="50">
        <f>F355</f>
        <v/>
      </c>
      <c r="I355" s="51" t="n">
        <v>60</v>
      </c>
      <c r="J355" s="28">
        <f>H355*I355</f>
        <v/>
      </c>
      <c r="K355" s="53" t="inlineStr">
        <is>
          <t>MÜHENDİSLİK TAHMİNİ</t>
        </is>
      </c>
      <c r="L355" s="7" t="inlineStr">
        <is>
          <t>TAHMIN (emsal yok) – Emsal yok (cihaz bazında; Bursa T2/Başkentray "priz sortisi" 25-91 € kablo dahil → kıyas dışı)</t>
        </is>
      </c>
      <c r="M355" s="7" t="inlineStr">
        <is>
          <t>Besleme ucu</t>
        </is>
      </c>
    </row>
    <row r="356" outlineLevel="1">
      <c r="A356" s="27" t="n"/>
      <c r="B356" s="27" t="inlineStr">
        <is>
          <t>5002.D</t>
        </is>
      </c>
      <c r="C356" s="7" t="inlineStr">
        <is>
          <t>66W LED armatür – üst geçit / yürüyen merdiven bölgesi</t>
        </is>
      </c>
      <c r="D356" s="27" t="inlineStr">
        <is>
          <t>adet</t>
        </is>
      </c>
      <c r="E356" s="50" t="n">
        <v>26</v>
      </c>
      <c r="F356" s="50" t="n">
        <v>26</v>
      </c>
      <c r="G356" s="27" t="inlineStr">
        <is>
          <t>%30</t>
        </is>
      </c>
      <c r="H356" s="50">
        <f>F356/IF(Varsayimlar!$B$21=1,1.3,1)</f>
        <v/>
      </c>
      <c r="I356" s="51" t="n">
        <v>117.12</v>
      </c>
      <c r="J356" s="28">
        <f>H356*I356</f>
        <v/>
      </c>
      <c r="K356" s="52" t="inlineStr">
        <is>
          <t>GEÇMİŞ TEKLİF UYARLAMA</t>
        </is>
      </c>
      <c r="L356" s="7" t="inlineStr">
        <is>
          <t>REF-derin(1) – İzmir Buca M. Signify 2021 LED70 IP65 etanj 64,80 (M)+%30 montaj→84,24 → emsal 84,24 ; tek emsal → mevcut 150,00 ile ort. = 117,12 [Emsal ID: R00666]</t>
        </is>
      </c>
      <c r="M356" s="7" t="inlineStr">
        <is>
          <t>LED 66W | İlk tahmin BF 150.00</t>
        </is>
      </c>
    </row>
    <row r="357" outlineLevel="1">
      <c r="A357" s="27" t="n"/>
      <c r="B357" s="27" t="inlineStr">
        <is>
          <t>5002.D</t>
        </is>
      </c>
      <c r="C357" s="7" t="inlineStr">
        <is>
          <t>Ortam korumalı (IP55) adi aydınlatma anahtarı</t>
        </is>
      </c>
      <c r="D357" s="27" t="inlineStr">
        <is>
          <t>adet</t>
        </is>
      </c>
      <c r="E357" s="50" t="n">
        <v>4</v>
      </c>
      <c r="F357" s="50" t="n">
        <v>4</v>
      </c>
      <c r="G357" s="27" t="inlineStr">
        <is>
          <t>-</t>
        </is>
      </c>
      <c r="H357" s="50">
        <f>F357</f>
        <v/>
      </c>
      <c r="I357" s="51" t="n">
        <v>16</v>
      </c>
      <c r="J357" s="28">
        <f>H357*I357</f>
        <v/>
      </c>
      <c r="K357" s="53" t="inlineStr">
        <is>
          <t>MÜHENDİSLİK TAHMİNİ</t>
        </is>
      </c>
      <c r="L357" s="7" t="inlineStr">
        <is>
          <t>TAHMIN (emsal yok) – Emsal yok (cihaz bazında; Bursa T2/Başkentray "priz sortisi" 25-91 € kablo dahil → kıyas dışı)</t>
        </is>
      </c>
      <c r="M357" s="7" t="inlineStr">
        <is>
          <t>Anahtar IP55</t>
        </is>
      </c>
    </row>
    <row r="358" outlineLevel="1">
      <c r="A358" s="27" t="n"/>
      <c r="B358" s="27" t="inlineStr">
        <is>
          <t>5002.D</t>
        </is>
      </c>
      <c r="C358" s="7" t="inlineStr">
        <is>
          <t>Harici aydınlatma astronomik zaman rölesi + kontaktör grubu (APP içinde)</t>
        </is>
      </c>
      <c r="D358" s="27" t="inlineStr">
        <is>
          <t>takım</t>
        </is>
      </c>
      <c r="E358" s="50" t="n">
        <v>1</v>
      </c>
      <c r="F358" s="50" t="n">
        <v>1</v>
      </c>
      <c r="G358" s="27" t="inlineStr">
        <is>
          <t>-</t>
        </is>
      </c>
      <c r="H358" s="50">
        <f>F358</f>
        <v/>
      </c>
      <c r="I358" s="51" t="n">
        <v>161.12</v>
      </c>
      <c r="J358" s="28">
        <f>H358*I358</f>
        <v/>
      </c>
      <c r="K358" s="52" t="inlineStr">
        <is>
          <t>GEÇMİŞ TEKLİF UYARLAMA</t>
        </is>
      </c>
      <c r="L358" s="7" t="inlineStr">
        <is>
          <t>REF-derin – Bursa T2 Haluk 2015 astronomik röle (M+İ) 89,90; Bursa T2 MET 2015 astronomik röle (M+İ) 52,34 → medyan 71,12 + 90 kontaktör grubu (tahmin) = 161,12 [Emsal ID: R00872;R00949]</t>
        </is>
      </c>
      <c r="M358" s="7" t="inlineStr">
        <is>
          <t>Astronomik röle+kontaktör | İlk tahmin BF 250.00</t>
        </is>
      </c>
    </row>
    <row r="359" outlineLevel="1">
      <c r="A359" s="27" t="n"/>
      <c r="B359" s="27" t="inlineStr">
        <is>
          <t>5002.D</t>
        </is>
      </c>
      <c r="C359" s="7" t="inlineStr">
        <is>
          <t>Monofaze etanj/gömme topraklı priz (16A)</t>
        </is>
      </c>
      <c r="D359" s="27" t="inlineStr">
        <is>
          <t>adet</t>
        </is>
      </c>
      <c r="E359" s="50" t="n">
        <v>8</v>
      </c>
      <c r="F359" s="50" t="n">
        <v>8</v>
      </c>
      <c r="G359" s="27" t="inlineStr">
        <is>
          <t>%30</t>
        </is>
      </c>
      <c r="H359" s="50">
        <f>F359/IF(Varsayimlar!$B$21=1,1.3,1)</f>
        <v/>
      </c>
      <c r="I359" s="51" t="n">
        <v>18</v>
      </c>
      <c r="J359" s="28">
        <f>H359*I359</f>
        <v/>
      </c>
      <c r="K359" s="53" t="inlineStr">
        <is>
          <t>MÜHENDİSLİK TAHMİNİ</t>
        </is>
      </c>
      <c r="L359" s="7" t="inlineStr">
        <is>
          <t>TAHMIN (emsal yok) – Emsal yok (cihaz bazında; Bursa T2/Başkentray "priz sortisi" 25-91 € kablo dahil → kıyas dışı)</t>
        </is>
      </c>
      <c r="M359" s="7" t="inlineStr">
        <is>
          <t>Priz 16A</t>
        </is>
      </c>
    </row>
    <row r="360" outlineLevel="1">
      <c r="A360" s="27" t="n"/>
      <c r="B360" s="27" t="inlineStr">
        <is>
          <t>5002.D</t>
        </is>
      </c>
      <c r="C360" s="7" t="inlineStr">
        <is>
          <t>APP aydınlatma-priz tali panosu (IP65 dahili/harici 3F 25A giriş 8-10 çıkış KAKS 30mA)</t>
        </is>
      </c>
      <c r="D360" s="27" t="inlineStr">
        <is>
          <t>adet</t>
        </is>
      </c>
      <c r="E360" s="50" t="n">
        <v>1</v>
      </c>
      <c r="F360" s="50" t="n">
        <v>1</v>
      </c>
      <c r="G360" s="27" t="inlineStr">
        <is>
          <t>-</t>
        </is>
      </c>
      <c r="H360" s="50">
        <f>F360</f>
        <v/>
      </c>
      <c r="I360" s="51" t="n">
        <v>1200</v>
      </c>
      <c r="J360" s="28">
        <f>H360*I360</f>
        <v/>
      </c>
      <c r="K360" s="53" t="inlineStr">
        <is>
          <t>MÜHENDİSLİK TAHMİNİ</t>
        </is>
      </c>
      <c r="L360" s="7" t="inlineStr">
        <is>
          <t>TAHMIN (emsal yok) – Emsal yok (komple tali pano; İzmir Buca TEDAK 2021 tali pano ort. 3.010 € (M) metro/daha büyük, Bursa T2 "özel saç pano" yalnız gövde → kıyas dışı)</t>
        </is>
      </c>
      <c r="M360" s="7" t="inlineStr">
        <is>
          <t>APP panosu</t>
        </is>
      </c>
    </row>
    <row r="361" outlineLevel="1">
      <c r="A361" s="27" t="n"/>
      <c r="B361" s="27" t="inlineStr">
        <is>
          <t>5002.D</t>
        </is>
      </c>
      <c r="C361" s="7" t="inlineStr">
        <is>
          <t>UPP UPS'ten beslenen aydınlatma-priz/UPS dağıtım panosu (12-13 çıkış RCBO)</t>
        </is>
      </c>
      <c r="D361" s="27" t="inlineStr">
        <is>
          <t>adet</t>
        </is>
      </c>
      <c r="E361" s="50" t="n">
        <v>1</v>
      </c>
      <c r="F361" s="50" t="n">
        <v>1</v>
      </c>
      <c r="G361" s="27" t="inlineStr">
        <is>
          <t>-</t>
        </is>
      </c>
      <c r="H361" s="50">
        <f>F361</f>
        <v/>
      </c>
      <c r="I361" s="51" t="n">
        <v>1500</v>
      </c>
      <c r="J361" s="28">
        <f>H361*I361</f>
        <v/>
      </c>
      <c r="K361" s="53" t="inlineStr">
        <is>
          <t>MÜHENDİSLİK TAHMİNİ</t>
        </is>
      </c>
      <c r="L361" s="7" t="inlineStr">
        <is>
          <t>TAHMIN (emsal yok) – Emsal yok (komple tali pano; İzmir Buca TEDAK 2021 tali pano ort. 3.010 € (M) metro/daha büyük, Bursa T2 "özel saç pano" yalnız gövde → kıyas dışı)</t>
        </is>
      </c>
      <c r="M361" s="7" t="inlineStr">
        <is>
          <t>UPP panosu</t>
        </is>
      </c>
    </row>
    <row r="362" outlineLevel="1">
      <c r="A362" s="27" t="n"/>
      <c r="B362" s="27" t="inlineStr">
        <is>
          <t>5002.D</t>
        </is>
      </c>
      <c r="C362" s="7" t="inlineStr">
        <is>
          <t>SK sigorta kutusu (güvenlik kabini 3F 25A 6 çıkış)</t>
        </is>
      </c>
      <c r="D362" s="27" t="inlineStr">
        <is>
          <t>adet</t>
        </is>
      </c>
      <c r="E362" s="50" t="n">
        <v>1</v>
      </c>
      <c r="F362" s="50" t="n">
        <v>1</v>
      </c>
      <c r="G362" s="27" t="inlineStr">
        <is>
          <t>-</t>
        </is>
      </c>
      <c r="H362" s="50">
        <f>F362</f>
        <v/>
      </c>
      <c r="I362" s="51" t="n">
        <v>350</v>
      </c>
      <c r="J362" s="28">
        <f>H362*I362</f>
        <v/>
      </c>
      <c r="K362" s="53" t="inlineStr">
        <is>
          <t>MÜHENDİSLİK TAHMİNİ</t>
        </is>
      </c>
      <c r="L362" s="7" t="inlineStr">
        <is>
          <t>TAHMIN (emsal yok) – Emsal yok (komple tali pano; İzmir Buca TEDAK 2021 tali pano ort. 3.010 € (M) metro/daha büyük, Bursa T2 "özel saç pano" yalnız gövde → kıyas dışı)</t>
        </is>
      </c>
      <c r="M362" s="7" t="inlineStr">
        <is>
          <t>SK kutusu</t>
        </is>
      </c>
    </row>
    <row r="363" outlineLevel="1">
      <c r="A363" s="27" t="n"/>
      <c r="B363" s="27" t="inlineStr">
        <is>
          <t>5002.D</t>
        </is>
      </c>
      <c r="C363" s="7" t="inlineStr">
        <is>
          <t>UPS 10 kVA 3F/3F online IGBT + manuel by-pass</t>
        </is>
      </c>
      <c r="D363" s="27" t="inlineStr">
        <is>
          <t>adet</t>
        </is>
      </c>
      <c r="E363" s="50" t="n">
        <v>1</v>
      </c>
      <c r="F363" s="50" t="n">
        <v>1</v>
      </c>
      <c r="G363" s="27" t="inlineStr">
        <is>
          <t>-</t>
        </is>
      </c>
      <c r="H363" s="50">
        <f>F363</f>
        <v/>
      </c>
      <c r="I363" s="51" t="n">
        <v>5000</v>
      </c>
      <c r="J363" s="28">
        <f>H363*I363</f>
        <v/>
      </c>
      <c r="K363" s="52" t="inlineStr">
        <is>
          <t>GEÇMİŞ TEKLİF UYARLAMA</t>
        </is>
      </c>
      <c r="L363" s="7" t="inlineStr">
        <is>
          <t>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is>
      </c>
      <c r="M363" s="7" t="inlineStr">
        <is>
          <t>UPS 10 kVA montaj+devreye alma | İlk tahmin BF 5,300.00</t>
        </is>
      </c>
    </row>
    <row r="364" outlineLevel="1">
      <c r="A364" s="27" t="n"/>
      <c r="B364" s="27" t="inlineStr">
        <is>
          <t>5002.D</t>
        </is>
      </c>
      <c r="C364" s="7" t="inlineStr">
        <is>
          <t>UPS akü grubu VRLA 2 saat otonomi (10 kVA tam yük) – 32×12V 100Ah blok (384 V DC) + akü kabini</t>
        </is>
      </c>
      <c r="D364" s="27" t="inlineStr">
        <is>
          <t>takım</t>
        </is>
      </c>
      <c r="E364" s="50" t="n">
        <v>1</v>
      </c>
      <c r="F364" s="50" t="n">
        <v>1</v>
      </c>
      <c r="G364" s="27" t="inlineStr">
        <is>
          <t>-</t>
        </is>
      </c>
      <c r="H364" s="50">
        <f>F364</f>
        <v/>
      </c>
      <c r="I364" s="51" t="n">
        <v>3150</v>
      </c>
      <c r="J364" s="28">
        <f>H364*I364</f>
        <v/>
      </c>
      <c r="K364" s="53" t="inlineStr">
        <is>
          <t>MÜHENDİSLİK TAHMİNİ</t>
        </is>
      </c>
      <c r="L364" s="7" t="inlineStr">
        <is>
          <t>TAHMIN (emsal yok) – Emsal yok (akü refleri 12V 105-150Ah blok: R01952 340,68 / R02124 250,16 (M); 100Ah×32 tam kapasite ~8-11 bin €; fiyat İdare 20 dk ~33Ah kapsamına göre — kalem metni ile not çelişkili, kontrol edilmeli)</t>
        </is>
      </c>
      <c r="M364" s="7" t="inlineStr">
        <is>
          <t>İdare: istasyon UPS 20 dk (32x12V ~33Ah)</t>
        </is>
      </c>
    </row>
    <row r="365" outlineLevel="1">
      <c r="A365" s="27" t="n"/>
      <c r="B365" s="27" t="inlineStr">
        <is>
          <t>5002.D</t>
        </is>
      </c>
      <c r="C365" s="7" t="inlineStr">
        <is>
          <t>N2XH 3x2,5 mm² aydınlatma-priz linye + sorti kablosu</t>
        </is>
      </c>
      <c r="D365" s="27" t="inlineStr">
        <is>
          <t>m</t>
        </is>
      </c>
      <c r="E365" s="50" t="n">
        <v>1066</v>
      </c>
      <c r="F365" s="50" t="n">
        <v>1066</v>
      </c>
      <c r="G365" s="27" t="inlineStr">
        <is>
          <t>fire+%30</t>
        </is>
      </c>
      <c r="H365" s="50">
        <f>F365/IF(Varsayimlar!$B$21=1,1.43,1)</f>
        <v/>
      </c>
      <c r="I365" s="51" t="n">
        <v>1.96</v>
      </c>
      <c r="J365" s="28">
        <f>H365*I365</f>
        <v/>
      </c>
      <c r="K365" s="52" t="inlineStr">
        <is>
          <t>GEÇMİŞ TEKLİF UYARLAMA</t>
        </is>
      </c>
      <c r="L365"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365" s="7" t="inlineStr">
        <is>
          <t>Linye+sorti | İlk tahmin BF 2.60</t>
        </is>
      </c>
    </row>
    <row r="366" outlineLevel="1">
      <c r="A366" s="27" t="n"/>
      <c r="B366" s="27" t="inlineStr">
        <is>
          <t>5002.D</t>
        </is>
      </c>
      <c r="C366" s="7" t="inlineStr">
        <is>
          <t>N2XH 5x2,5 mm² lineer armatür linyesi</t>
        </is>
      </c>
      <c r="D366" s="27" t="inlineStr">
        <is>
          <t>m</t>
        </is>
      </c>
      <c r="E366" s="50" t="n">
        <v>327</v>
      </c>
      <c r="F366" s="50" t="n">
        <v>327</v>
      </c>
      <c r="G366" s="27" t="inlineStr">
        <is>
          <t>fire+%30</t>
        </is>
      </c>
      <c r="H366" s="50">
        <f>F366/IF(Varsayimlar!$B$21=1,1.43,1)</f>
        <v/>
      </c>
      <c r="I366" s="51" t="n">
        <v>2.64</v>
      </c>
      <c r="J366" s="28">
        <f>H366*I366</f>
        <v/>
      </c>
      <c r="K366" s="52" t="inlineStr">
        <is>
          <t>GEÇMİŞ TEKLİF UYARLAMA</t>
        </is>
      </c>
      <c r="L366" s="7" t="inlineStr">
        <is>
          <t>REF-derin – İzmir Buca M. Prysmian 2021 5x2,5 2,02 (M)+%35 montaj→2,73; Bursa T2 Delta 2015 5x2,5 1,57 (M)+%35 montaj→2,12; Bursa T2 Haluk 2015 5x2,5 2,54; Bursa T2 MET 2015 5x2,5 2,78 → medyan 2,64 [Emsal ID: R00686;R00849;R00904;R00975]</t>
        </is>
      </c>
      <c r="M366" s="7" t="inlineStr">
        <is>
          <t>Linye | İlk tahmin BF 3.50</t>
        </is>
      </c>
    </row>
    <row r="367" outlineLevel="1">
      <c r="A367" s="27" t="n"/>
      <c r="B367" s="27" t="inlineStr">
        <is>
          <t>5002.D</t>
        </is>
      </c>
      <c r="C367" s="7" t="inlineStr">
        <is>
          <t>Isı büzüşmeli kablo ek/sorti seti + buat (IP66) – yerden armatür beslemeleri</t>
        </is>
      </c>
      <c r="D367" s="27" t="inlineStr">
        <is>
          <t>adet</t>
        </is>
      </c>
      <c r="E367" s="50" t="n">
        <v>71</v>
      </c>
      <c r="F367" s="50" t="n">
        <v>71</v>
      </c>
      <c r="G367" s="27" t="inlineStr">
        <is>
          <t>%30</t>
        </is>
      </c>
      <c r="H367" s="50">
        <f>F367/IF(Varsayimlar!$B$21=1,1.3,1)</f>
        <v/>
      </c>
      <c r="I367" s="51" t="n">
        <v>25</v>
      </c>
      <c r="J367" s="28">
        <f>H367*I367</f>
        <v/>
      </c>
      <c r="K367" s="53" t="inlineStr">
        <is>
          <t>MÜHENDİSLİK TAHMİNİ</t>
        </is>
      </c>
      <c r="L367" s="7" t="inlineStr">
        <is>
          <t>TAHMIN (emsal yok) – Emsal yok (cihaz bazında; Bursa T2/Başkentray "priz sortisi" 25-91 € kablo dahil → kıyas dışı)</t>
        </is>
      </c>
      <c r="M367" s="7" t="inlineStr">
        <is>
          <t>Ek seti+buat</t>
        </is>
      </c>
    </row>
    <row r="368">
      <c r="A368" s="48" t="inlineStr">
        <is>
          <t>327</t>
        </is>
      </c>
      <c r="B368" s="48" t="inlineStr">
        <is>
          <t>5002.E</t>
        </is>
      </c>
      <c r="C368" s="48" t="inlineStr">
        <is>
          <t>Rasathane İstasyonu Alçak Gerilim Tesisatı ve Aydınlatma Sistemi (1 set)</t>
        </is>
      </c>
      <c r="D368" s="48" t="n"/>
      <c r="E368" s="48" t="n"/>
      <c r="F368" s="48" t="n"/>
      <c r="G368" s="48" t="n"/>
      <c r="H368" s="48" t="inlineStr">
        <is>
          <t>RFQ tutarı →</t>
        </is>
      </c>
      <c r="I368" s="49">
        <f>SUMPRODUCT(E369:E388,I369:I388)</f>
        <v/>
      </c>
      <c r="J368" s="49">
        <f>SUM(J369:J388)</f>
        <v/>
      </c>
      <c r="K368" s="48" t="n"/>
      <c r="L368" s="48" t="n"/>
      <c r="M368" s="48" t="n"/>
    </row>
    <row r="369" outlineLevel="1">
      <c r="A369" s="27" t="n"/>
      <c r="B369" s="27" t="inlineStr">
        <is>
          <t>5002.E</t>
        </is>
      </c>
      <c r="C369" s="7" t="inlineStr">
        <is>
          <t>66W LED direk üstü aydınlatma armatürü (IP65/66 peron)</t>
        </is>
      </c>
      <c r="D369" s="27" t="inlineStr">
        <is>
          <t>adet</t>
        </is>
      </c>
      <c r="E369" s="50" t="n">
        <v>16</v>
      </c>
      <c r="F369" s="50" t="n">
        <v>16</v>
      </c>
      <c r="G369" s="27" t="inlineStr">
        <is>
          <t>%30</t>
        </is>
      </c>
      <c r="H369" s="50">
        <f>F369/IF(Varsayimlar!$B$21=1,1.3,1)</f>
        <v/>
      </c>
      <c r="I369" s="51" t="n">
        <v>260</v>
      </c>
      <c r="J369" s="28">
        <f>H369*I369</f>
        <v/>
      </c>
      <c r="K369" s="53" t="inlineStr">
        <is>
          <t>MÜHENDİSLİK TAHMİNİ</t>
        </is>
      </c>
      <c r="L369" s="7" t="inlineStr">
        <is>
          <t>TAHMIN (emsal yok) – Emsal yok (direk üstü peron armatürü; R00490 LED prj ≤100W 274,81 farklı tip)</t>
        </is>
      </c>
      <c r="M369" s="7" t="inlineStr">
        <is>
          <t>LED 66W direk üstü</t>
        </is>
      </c>
    </row>
    <row r="370" outlineLevel="1">
      <c r="A370" s="27" t="n"/>
      <c r="B370" s="27" t="inlineStr">
        <is>
          <t>5002.E</t>
        </is>
      </c>
      <c r="C370" s="7" t="inlineStr">
        <is>
          <t>Peron aydınlatma direği h=3,5 m galvaniz çift kollu (ankraj dahil – temel inşai)</t>
        </is>
      </c>
      <c r="D370" s="27" t="inlineStr">
        <is>
          <t>adet</t>
        </is>
      </c>
      <c r="E370" s="50" t="n">
        <v>6</v>
      </c>
      <c r="F370" s="50" t="n">
        <v>6</v>
      </c>
      <c r="G370" s="27" t="inlineStr">
        <is>
          <t>-</t>
        </is>
      </c>
      <c r="H370" s="50">
        <f>F370</f>
        <v/>
      </c>
      <c r="I370" s="51" t="n">
        <v>389.24</v>
      </c>
      <c r="J370" s="28">
        <f>H370*I370</f>
        <v/>
      </c>
      <c r="K370" s="52" t="inlineStr">
        <is>
          <t>GEÇMİŞ TEKLİF UYARLAMA</t>
        </is>
      </c>
      <c r="L370" s="7" t="inlineStr">
        <is>
          <t>REF-derin(1) – Bursa T2 Haluk 2015 poligon direk €/kg (M+İ) 2,48 ×70 kg, +%15 ankraj→199,63; Bursa T2 MET 2015 poligon direk €/kg (M+İ) 3,20 ×70 kg, +%15 ankraj→257,35 → medyan 228,49 ; emsal ağırlık/tip varsayımına bağlı (tek emsal sayıldı) → mevcut 550,00 ile ort. = 389,24 [Emsal ID: R00852;R00934]</t>
        </is>
      </c>
      <c r="M370" s="7" t="inlineStr">
        <is>
          <t>Direk 3,5 m (temel inşai) | İlk tahmin BF 550.00</t>
        </is>
      </c>
    </row>
    <row r="371" outlineLevel="1">
      <c r="A371" s="27" t="n"/>
      <c r="B371" s="27" t="inlineStr">
        <is>
          <t>5002.E</t>
        </is>
      </c>
      <c r="C371" s="7" t="inlineStr">
        <is>
          <t>66W LED projektör (IP66)</t>
        </is>
      </c>
      <c r="D371" s="27" t="inlineStr">
        <is>
          <t>adet</t>
        </is>
      </c>
      <c r="E371" s="50" t="n">
        <v>3</v>
      </c>
      <c r="F371" s="50" t="n">
        <v>3</v>
      </c>
      <c r="G371" s="27" t="inlineStr">
        <is>
          <t>-</t>
        </is>
      </c>
      <c r="H371" s="50">
        <f>F371</f>
        <v/>
      </c>
      <c r="I371" s="51" t="n">
        <v>227.4</v>
      </c>
      <c r="J371" s="28">
        <f>H371*I371</f>
        <v/>
      </c>
      <c r="K371" s="52" t="inlineStr">
        <is>
          <t>GEÇMİŞ TEKLİF UYARLAMA</t>
        </is>
      </c>
      <c r="L371" s="7" t="inlineStr">
        <is>
          <t>REF-derin(1) – Ankara-Sivas YHT Platin 2019 LED prj ≤100W (M+İ) 274,81 → emsal 274,81 ; tek emsal → mevcut 180,00 ile ort. = 227,40 [Emsal ID: R00490]</t>
        </is>
      </c>
      <c r="M371" s="7" t="inlineStr">
        <is>
          <t>LED projektör | İlk tahmin BF 180.00</t>
        </is>
      </c>
    </row>
    <row r="372" outlineLevel="1">
      <c r="A372" s="27" t="n"/>
      <c r="B372" s="27" t="inlineStr">
        <is>
          <t>5002.E</t>
        </is>
      </c>
      <c r="C372" s="7" t="inlineStr">
        <is>
          <t>30W IP65 LED lineer armatür (peron kanopi kenarı)</t>
        </is>
      </c>
      <c r="D372" s="27" t="inlineStr">
        <is>
          <t>adet</t>
        </is>
      </c>
      <c r="E372" s="50" t="n">
        <v>50</v>
      </c>
      <c r="F372" s="50" t="n">
        <v>50</v>
      </c>
      <c r="G372" s="27" t="inlineStr">
        <is>
          <t>%30</t>
        </is>
      </c>
      <c r="H372" s="50">
        <f>F372/IF(Varsayimlar!$B$21=1,1.3,1)</f>
        <v/>
      </c>
      <c r="I372" s="51" t="n">
        <v>68.64</v>
      </c>
      <c r="J372" s="28">
        <f>H372*I372</f>
        <v/>
      </c>
      <c r="K372" s="52" t="inlineStr">
        <is>
          <t>GEÇMİŞ TEKLİF UYARLAMA</t>
        </is>
      </c>
      <c r="L372"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72" s="7" t="inlineStr">
        <is>
          <t>LED 30W IP65 | İlk tahmin BF 75.00</t>
        </is>
      </c>
    </row>
    <row r="373" outlineLevel="1">
      <c r="A373" s="27" t="n"/>
      <c r="B373" s="27" t="inlineStr">
        <is>
          <t>5002.E</t>
        </is>
      </c>
      <c r="C373" s="7" t="inlineStr">
        <is>
          <t>30W IP65 LED turnike üzeri kanopi armatürü (UPS hattı)</t>
        </is>
      </c>
      <c r="D373" s="27" t="inlineStr">
        <is>
          <t>adet</t>
        </is>
      </c>
      <c r="E373" s="50" t="n">
        <v>3</v>
      </c>
      <c r="F373" s="50" t="n">
        <v>3</v>
      </c>
      <c r="G373" s="27" t="inlineStr">
        <is>
          <t>-</t>
        </is>
      </c>
      <c r="H373" s="50">
        <f>F373</f>
        <v/>
      </c>
      <c r="I373" s="51" t="n">
        <v>68.64</v>
      </c>
      <c r="J373" s="28">
        <f>H373*I373</f>
        <v/>
      </c>
      <c r="K373" s="52" t="inlineStr">
        <is>
          <t>GEÇMİŞ TEKLİF UYARLAMA</t>
        </is>
      </c>
      <c r="L373"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73" s="7" t="inlineStr">
        <is>
          <t>LED 30W IP65 | İlk tahmin BF 75.00</t>
        </is>
      </c>
    </row>
    <row r="374" outlineLevel="1">
      <c r="A374" s="27" t="n"/>
      <c r="B374" s="27" t="inlineStr">
        <is>
          <t>5002.E</t>
        </is>
      </c>
      <c r="C374" s="7" t="inlineStr">
        <is>
          <t>36W IP65 LED armatür (pano odası + güvenlik kabini)</t>
        </is>
      </c>
      <c r="D374" s="27" t="inlineStr">
        <is>
          <t>adet</t>
        </is>
      </c>
      <c r="E374" s="50" t="n">
        <v>4</v>
      </c>
      <c r="F374" s="50" t="n">
        <v>4</v>
      </c>
      <c r="G374" s="27" t="inlineStr">
        <is>
          <t>-</t>
        </is>
      </c>
      <c r="H374" s="50">
        <f>F374</f>
        <v/>
      </c>
      <c r="I374" s="51" t="n">
        <v>80.23999999999999</v>
      </c>
      <c r="J374" s="28">
        <f>H374*I374</f>
        <v/>
      </c>
      <c r="K374" s="52" t="inlineStr">
        <is>
          <t>GEÇMİŞ TEKLİF UYARLAMA</t>
        </is>
      </c>
      <c r="L374" s="7" t="inlineStr">
        <is>
          <t>REF-derin – İzmir Buca M. Signify 2021 LED38 IP65 etanj 32,28 (M)+%30 montaj→41,96; Bursa T2 Haluk 2015 41W IP65 etanj (M+İ) 123,99; Bursa T2 MET 2015 41W IP65 etanj (M+İ) 80,24 → medyan 80,24 [Emsal ID: R00665;R00921;R00988]</t>
        </is>
      </c>
      <c r="M374" s="7" t="inlineStr">
        <is>
          <t>LED 36W IP65 | İlk tahmin BF 70.00</t>
        </is>
      </c>
    </row>
    <row r="375" outlineLevel="1">
      <c r="A375" s="27" t="n"/>
      <c r="B375" s="27" t="inlineStr">
        <is>
          <t>5002.E</t>
        </is>
      </c>
      <c r="C375" s="7" t="inlineStr">
        <is>
          <t>100W kubbe/kanopi acil aydınlatma armatürü – projede aydınlatma ucu (UPS)</t>
        </is>
      </c>
      <c r="D375" s="27" t="inlineStr">
        <is>
          <t>adet</t>
        </is>
      </c>
      <c r="E375" s="50" t="n">
        <v>13</v>
      </c>
      <c r="F375" s="50" t="n">
        <v>13</v>
      </c>
      <c r="G375" s="27" t="inlineStr">
        <is>
          <t>-</t>
        </is>
      </c>
      <c r="H375" s="50">
        <f>F375</f>
        <v/>
      </c>
      <c r="I375" s="51" t="n">
        <v>220</v>
      </c>
      <c r="J375" s="28">
        <f>H375*I375</f>
        <v/>
      </c>
      <c r="K375" s="53" t="inlineStr">
        <is>
          <t>MÜHENDİSLİK TAHMİNİ</t>
        </is>
      </c>
      <c r="L375" s="7" t="inlineStr">
        <is>
          <t>TAHMIN (emsal yok) – Emsal yok (100W kanopi acil armatür; projektör refi farklı tip)</t>
        </is>
      </c>
      <c r="M375" s="7" t="inlineStr">
        <is>
          <t>LED 100W kanopi</t>
        </is>
      </c>
    </row>
    <row r="376" outlineLevel="1">
      <c r="A376" s="27" t="n"/>
      <c r="B376" s="27" t="inlineStr">
        <is>
          <t>5002.E</t>
        </is>
      </c>
      <c r="C376" s="7" t="inlineStr">
        <is>
          <t>Totem iç aydınlatması besleme ucu (500W)</t>
        </is>
      </c>
      <c r="D376" s="27" t="inlineStr">
        <is>
          <t>adet</t>
        </is>
      </c>
      <c r="E376" s="50" t="n">
        <v>1</v>
      </c>
      <c r="F376" s="50" t="n">
        <v>1</v>
      </c>
      <c r="G376" s="27" t="inlineStr">
        <is>
          <t>-</t>
        </is>
      </c>
      <c r="H376" s="50">
        <f>F376</f>
        <v/>
      </c>
      <c r="I376" s="51" t="n">
        <v>60</v>
      </c>
      <c r="J376" s="28">
        <f>H376*I376</f>
        <v/>
      </c>
      <c r="K376" s="53" t="inlineStr">
        <is>
          <t>MÜHENDİSLİK TAHMİNİ</t>
        </is>
      </c>
      <c r="L376" s="7" t="inlineStr">
        <is>
          <t>TAHMIN (emsal yok) – Emsal yok (cihaz bazında; Bursa T2/Başkentray "priz sortisi" 25-91 € kablo dahil → kıyas dışı)</t>
        </is>
      </c>
      <c r="M376" s="7" t="inlineStr">
        <is>
          <t>Besleme ucu</t>
        </is>
      </c>
    </row>
    <row r="377" outlineLevel="1">
      <c r="A377" s="27" t="n"/>
      <c r="B377" s="27" t="inlineStr">
        <is>
          <t>5002.E</t>
        </is>
      </c>
      <c r="C377" s="7" t="inlineStr">
        <is>
          <t>66W LED armatür – üst geçit / yürüyen merdiven bölgesi</t>
        </is>
      </c>
      <c r="D377" s="27" t="inlineStr">
        <is>
          <t>adet</t>
        </is>
      </c>
      <c r="E377" s="50" t="n">
        <v>26</v>
      </c>
      <c r="F377" s="50" t="n">
        <v>26</v>
      </c>
      <c r="G377" s="27" t="inlineStr">
        <is>
          <t>%30</t>
        </is>
      </c>
      <c r="H377" s="50">
        <f>F377/IF(Varsayimlar!$B$21=1,1.3,1)</f>
        <v/>
      </c>
      <c r="I377" s="51" t="n">
        <v>117.12</v>
      </c>
      <c r="J377" s="28">
        <f>H377*I377</f>
        <v/>
      </c>
      <c r="K377" s="52" t="inlineStr">
        <is>
          <t>GEÇMİŞ TEKLİF UYARLAMA</t>
        </is>
      </c>
      <c r="L377" s="7" t="inlineStr">
        <is>
          <t>REF-derin(1) – İzmir Buca M. Signify 2021 LED70 IP65 etanj 64,80 (M)+%30 montaj→84,24 → emsal 84,24 ; tek emsal → mevcut 150,00 ile ort. = 117,12 [Emsal ID: R00666]</t>
        </is>
      </c>
      <c r="M377" s="7" t="inlineStr">
        <is>
          <t>LED 66W | İlk tahmin BF 150.00</t>
        </is>
      </c>
    </row>
    <row r="378" outlineLevel="1">
      <c r="A378" s="27" t="n"/>
      <c r="B378" s="27" t="inlineStr">
        <is>
          <t>5002.E</t>
        </is>
      </c>
      <c r="C378" s="7" t="inlineStr">
        <is>
          <t>Ortam korumalı (IP55) adi aydınlatma anahtarı</t>
        </is>
      </c>
      <c r="D378" s="27" t="inlineStr">
        <is>
          <t>adet</t>
        </is>
      </c>
      <c r="E378" s="50" t="n">
        <v>4</v>
      </c>
      <c r="F378" s="50" t="n">
        <v>4</v>
      </c>
      <c r="G378" s="27" t="inlineStr">
        <is>
          <t>-</t>
        </is>
      </c>
      <c r="H378" s="50">
        <f>F378</f>
        <v/>
      </c>
      <c r="I378" s="51" t="n">
        <v>16</v>
      </c>
      <c r="J378" s="28">
        <f>H378*I378</f>
        <v/>
      </c>
      <c r="K378" s="53" t="inlineStr">
        <is>
          <t>MÜHENDİSLİK TAHMİNİ</t>
        </is>
      </c>
      <c r="L378" s="7" t="inlineStr">
        <is>
          <t>TAHMIN (emsal yok) – Emsal yok (cihaz bazında; Bursa T2/Başkentray "priz sortisi" 25-91 € kablo dahil → kıyas dışı)</t>
        </is>
      </c>
      <c r="M378" s="7" t="inlineStr">
        <is>
          <t>Anahtar IP55</t>
        </is>
      </c>
    </row>
    <row r="379" outlineLevel="1">
      <c r="A379" s="27" t="n"/>
      <c r="B379" s="27" t="inlineStr">
        <is>
          <t>5002.E</t>
        </is>
      </c>
      <c r="C379" s="7" t="inlineStr">
        <is>
          <t>Harici aydınlatma astronomik zaman rölesi + kontaktör grubu (APP içinde)</t>
        </is>
      </c>
      <c r="D379" s="27" t="inlineStr">
        <is>
          <t>takım</t>
        </is>
      </c>
      <c r="E379" s="50" t="n">
        <v>1</v>
      </c>
      <c r="F379" s="50" t="n">
        <v>1</v>
      </c>
      <c r="G379" s="27" t="inlineStr">
        <is>
          <t>-</t>
        </is>
      </c>
      <c r="H379" s="50">
        <f>F379</f>
        <v/>
      </c>
      <c r="I379" s="51" t="n">
        <v>161.12</v>
      </c>
      <c r="J379" s="28">
        <f>H379*I379</f>
        <v/>
      </c>
      <c r="K379" s="52" t="inlineStr">
        <is>
          <t>GEÇMİŞ TEKLİF UYARLAMA</t>
        </is>
      </c>
      <c r="L379" s="7" t="inlineStr">
        <is>
          <t>REF-derin – Bursa T2 Haluk 2015 astronomik röle (M+İ) 89,90; Bursa T2 MET 2015 astronomik röle (M+İ) 52,34 → medyan 71,12 + 90 kontaktör grubu (tahmin) = 161,12 [Emsal ID: R00872;R00949]</t>
        </is>
      </c>
      <c r="M379" s="7" t="inlineStr">
        <is>
          <t>Astronomik röle+kontaktör | İlk tahmin BF 250.00</t>
        </is>
      </c>
    </row>
    <row r="380" outlineLevel="1">
      <c r="A380" s="27" t="n"/>
      <c r="B380" s="27" t="inlineStr">
        <is>
          <t>5002.E</t>
        </is>
      </c>
      <c r="C380" s="7" t="inlineStr">
        <is>
          <t>Monofaze etanj/gömme topraklı priz (16A)</t>
        </is>
      </c>
      <c r="D380" s="27" t="inlineStr">
        <is>
          <t>adet</t>
        </is>
      </c>
      <c r="E380" s="50" t="n">
        <v>8</v>
      </c>
      <c r="F380" s="50" t="n">
        <v>8</v>
      </c>
      <c r="G380" s="27" t="inlineStr">
        <is>
          <t>%30</t>
        </is>
      </c>
      <c r="H380" s="50">
        <f>F380/IF(Varsayimlar!$B$21=1,1.3,1)</f>
        <v/>
      </c>
      <c r="I380" s="51" t="n">
        <v>18</v>
      </c>
      <c r="J380" s="28">
        <f>H380*I380</f>
        <v/>
      </c>
      <c r="K380" s="53" t="inlineStr">
        <is>
          <t>MÜHENDİSLİK TAHMİNİ</t>
        </is>
      </c>
      <c r="L380" s="7" t="inlineStr">
        <is>
          <t>TAHMIN (emsal yok) – Emsal yok (cihaz bazında; Bursa T2/Başkentray "priz sortisi" 25-91 € kablo dahil → kıyas dışı)</t>
        </is>
      </c>
      <c r="M380" s="7" t="inlineStr">
        <is>
          <t>Priz 16A</t>
        </is>
      </c>
    </row>
    <row r="381" outlineLevel="1">
      <c r="A381" s="27" t="n"/>
      <c r="B381" s="27" t="inlineStr">
        <is>
          <t>5002.E</t>
        </is>
      </c>
      <c r="C381" s="7" t="inlineStr">
        <is>
          <t>APP aydınlatma-priz tali panosu (IP65 dahili/harici 3F 25A giriş 8-10 çıkış KAKS 30mA)</t>
        </is>
      </c>
      <c r="D381" s="27" t="inlineStr">
        <is>
          <t>adet</t>
        </is>
      </c>
      <c r="E381" s="50" t="n">
        <v>1</v>
      </c>
      <c r="F381" s="50" t="n">
        <v>1</v>
      </c>
      <c r="G381" s="27" t="inlineStr">
        <is>
          <t>-</t>
        </is>
      </c>
      <c r="H381" s="50">
        <f>F381</f>
        <v/>
      </c>
      <c r="I381" s="51" t="n">
        <v>1200</v>
      </c>
      <c r="J381" s="28">
        <f>H381*I381</f>
        <v/>
      </c>
      <c r="K381" s="53" t="inlineStr">
        <is>
          <t>MÜHENDİSLİK TAHMİNİ</t>
        </is>
      </c>
      <c r="L381" s="7" t="inlineStr">
        <is>
          <t>TAHMIN (emsal yok) – Emsal yok (komple tali pano; İzmir Buca TEDAK 2021 tali pano ort. 3.010 € (M) metro/daha büyük, Bursa T2 "özel saç pano" yalnız gövde → kıyas dışı)</t>
        </is>
      </c>
      <c r="M381" s="7" t="inlineStr">
        <is>
          <t>APP panosu</t>
        </is>
      </c>
    </row>
    <row r="382" outlineLevel="1">
      <c r="A382" s="27" t="n"/>
      <c r="B382" s="27" t="inlineStr">
        <is>
          <t>5002.E</t>
        </is>
      </c>
      <c r="C382" s="7" t="inlineStr">
        <is>
          <t>UPP UPS'ten beslenen aydınlatma-priz/UPS dağıtım panosu (12-13 çıkış RCBO)</t>
        </is>
      </c>
      <c r="D382" s="27" t="inlineStr">
        <is>
          <t>adet</t>
        </is>
      </c>
      <c r="E382" s="50" t="n">
        <v>1</v>
      </c>
      <c r="F382" s="50" t="n">
        <v>1</v>
      </c>
      <c r="G382" s="27" t="inlineStr">
        <is>
          <t>-</t>
        </is>
      </c>
      <c r="H382" s="50">
        <f>F382</f>
        <v/>
      </c>
      <c r="I382" s="51" t="n">
        <v>1500</v>
      </c>
      <c r="J382" s="28">
        <f>H382*I382</f>
        <v/>
      </c>
      <c r="K382" s="53" t="inlineStr">
        <is>
          <t>MÜHENDİSLİK TAHMİNİ</t>
        </is>
      </c>
      <c r="L382" s="7" t="inlineStr">
        <is>
          <t>TAHMIN (emsal yok) – Emsal yok (komple tali pano; İzmir Buca TEDAK 2021 tali pano ort. 3.010 € (M) metro/daha büyük, Bursa T2 "özel saç pano" yalnız gövde → kıyas dışı)</t>
        </is>
      </c>
      <c r="M382" s="7" t="inlineStr">
        <is>
          <t>UPP panosu</t>
        </is>
      </c>
    </row>
    <row r="383" outlineLevel="1">
      <c r="A383" s="27" t="n"/>
      <c r="B383" s="27" t="inlineStr">
        <is>
          <t>5002.E</t>
        </is>
      </c>
      <c r="C383" s="7" t="inlineStr">
        <is>
          <t>SK sigorta kutusu (güvenlik kabini 3F 25A 6 çıkış)</t>
        </is>
      </c>
      <c r="D383" s="27" t="inlineStr">
        <is>
          <t>adet</t>
        </is>
      </c>
      <c r="E383" s="50" t="n">
        <v>1</v>
      </c>
      <c r="F383" s="50" t="n">
        <v>1</v>
      </c>
      <c r="G383" s="27" t="inlineStr">
        <is>
          <t>-</t>
        </is>
      </c>
      <c r="H383" s="50">
        <f>F383</f>
        <v/>
      </c>
      <c r="I383" s="51" t="n">
        <v>350</v>
      </c>
      <c r="J383" s="28">
        <f>H383*I383</f>
        <v/>
      </c>
      <c r="K383" s="53" t="inlineStr">
        <is>
          <t>MÜHENDİSLİK TAHMİNİ</t>
        </is>
      </c>
      <c r="L383" s="7" t="inlineStr">
        <is>
          <t>TAHMIN (emsal yok) – Emsal yok (komple tali pano; İzmir Buca TEDAK 2021 tali pano ort. 3.010 € (M) metro/daha büyük, Bursa T2 "özel saç pano" yalnız gövde → kıyas dışı)</t>
        </is>
      </c>
      <c r="M383" s="7" t="inlineStr">
        <is>
          <t>SK kutusu</t>
        </is>
      </c>
    </row>
    <row r="384" outlineLevel="1">
      <c r="A384" s="27" t="n"/>
      <c r="B384" s="27" t="inlineStr">
        <is>
          <t>5002.E</t>
        </is>
      </c>
      <c r="C384" s="7" t="inlineStr">
        <is>
          <t>UPS 10 kVA 3F/3F online IGBT + manuel by-pass</t>
        </is>
      </c>
      <c r="D384" s="27" t="inlineStr">
        <is>
          <t>adet</t>
        </is>
      </c>
      <c r="E384" s="50" t="n">
        <v>1</v>
      </c>
      <c r="F384" s="50" t="n">
        <v>1</v>
      </c>
      <c r="G384" s="27" t="inlineStr">
        <is>
          <t>-</t>
        </is>
      </c>
      <c r="H384" s="50">
        <f>F384</f>
        <v/>
      </c>
      <c r="I384" s="51" t="n">
        <v>5000</v>
      </c>
      <c r="J384" s="28">
        <f>H384*I384</f>
        <v/>
      </c>
      <c r="K384" s="52" t="inlineStr">
        <is>
          <t>GEÇMİŞ TEKLİF UYARLAMA</t>
        </is>
      </c>
      <c r="L384" s="7" t="inlineStr">
        <is>
          <t>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is>
      </c>
      <c r="M384" s="7" t="inlineStr">
        <is>
          <t>UPS 10 kVA montaj+devreye alma | İlk tahmin BF 5,300.00</t>
        </is>
      </c>
    </row>
    <row r="385" outlineLevel="1">
      <c r="A385" s="27" t="n"/>
      <c r="B385" s="27" t="inlineStr">
        <is>
          <t>5002.E</t>
        </is>
      </c>
      <c r="C385" s="7" t="inlineStr">
        <is>
          <t>UPS akü grubu VRLA 2 saat otonomi (10 kVA tam yük) – 32×12V 100Ah blok (384 V DC) + akü kabini</t>
        </is>
      </c>
      <c r="D385" s="27" t="inlineStr">
        <is>
          <t>takım</t>
        </is>
      </c>
      <c r="E385" s="50" t="n">
        <v>1</v>
      </c>
      <c r="F385" s="50" t="n">
        <v>1</v>
      </c>
      <c r="G385" s="27" t="inlineStr">
        <is>
          <t>-</t>
        </is>
      </c>
      <c r="H385" s="50">
        <f>F385</f>
        <v/>
      </c>
      <c r="I385" s="51" t="n">
        <v>3150</v>
      </c>
      <c r="J385" s="28">
        <f>H385*I385</f>
        <v/>
      </c>
      <c r="K385" s="53" t="inlineStr">
        <is>
          <t>MÜHENDİSLİK TAHMİNİ</t>
        </is>
      </c>
      <c r="L385" s="7" t="inlineStr">
        <is>
          <t>TAHMIN (emsal yok) – Emsal yok (akü refleri 12V 105-150Ah blok: R01952 340,68 / R02124 250,16 (M); 100Ah×32 tam kapasite ~8-11 bin €; fiyat İdare 20 dk ~33Ah kapsamına göre — kalem metni ile not çelişkili, kontrol edilmeli)</t>
        </is>
      </c>
      <c r="M385" s="7" t="inlineStr">
        <is>
          <t>İdare: istasyon UPS 20 dk (32x12V ~33Ah)</t>
        </is>
      </c>
    </row>
    <row r="386" outlineLevel="1">
      <c r="A386" s="27" t="n"/>
      <c r="B386" s="27" t="inlineStr">
        <is>
          <t>5002.E</t>
        </is>
      </c>
      <c r="C386" s="7" t="inlineStr">
        <is>
          <t>N2XH 3x2,5 mm² aydınlatma-priz linye + sorti kablosu</t>
        </is>
      </c>
      <c r="D386" s="27" t="inlineStr">
        <is>
          <t>m</t>
        </is>
      </c>
      <c r="E386" s="50" t="n">
        <v>1066</v>
      </c>
      <c r="F386" s="50" t="n">
        <v>1066</v>
      </c>
      <c r="G386" s="27" t="inlineStr">
        <is>
          <t>fire+%30</t>
        </is>
      </c>
      <c r="H386" s="50">
        <f>F386/IF(Varsayimlar!$B$21=1,1.43,1)</f>
        <v/>
      </c>
      <c r="I386" s="51" t="n">
        <v>1.96</v>
      </c>
      <c r="J386" s="28">
        <f>H386*I386</f>
        <v/>
      </c>
      <c r="K386" s="52" t="inlineStr">
        <is>
          <t>GEÇMİŞ TEKLİF UYARLAMA</t>
        </is>
      </c>
      <c r="L386"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386" s="7" t="inlineStr">
        <is>
          <t>Linye+sorti | İlk tahmin BF 2.60</t>
        </is>
      </c>
    </row>
    <row r="387" outlineLevel="1">
      <c r="A387" s="27" t="n"/>
      <c r="B387" s="27" t="inlineStr">
        <is>
          <t>5002.E</t>
        </is>
      </c>
      <c r="C387" s="7" t="inlineStr">
        <is>
          <t>N2XH 5x2,5 mm² lineer armatür linyesi</t>
        </is>
      </c>
      <c r="D387" s="27" t="inlineStr">
        <is>
          <t>m</t>
        </is>
      </c>
      <c r="E387" s="50" t="n">
        <v>327</v>
      </c>
      <c r="F387" s="50" t="n">
        <v>327</v>
      </c>
      <c r="G387" s="27" t="inlineStr">
        <is>
          <t>fire+%30</t>
        </is>
      </c>
      <c r="H387" s="50">
        <f>F387/IF(Varsayimlar!$B$21=1,1.43,1)</f>
        <v/>
      </c>
      <c r="I387" s="51" t="n">
        <v>2.64</v>
      </c>
      <c r="J387" s="28">
        <f>H387*I387</f>
        <v/>
      </c>
      <c r="K387" s="52" t="inlineStr">
        <is>
          <t>GEÇMİŞ TEKLİF UYARLAMA</t>
        </is>
      </c>
      <c r="L387" s="7" t="inlineStr">
        <is>
          <t>REF-derin – İzmir Buca M. Prysmian 2021 5x2,5 2,02 (M)+%35 montaj→2,73; Bursa T2 Delta 2015 5x2,5 1,57 (M)+%35 montaj→2,12; Bursa T2 Haluk 2015 5x2,5 2,54; Bursa T2 MET 2015 5x2,5 2,78 → medyan 2,64 [Emsal ID: R00686;R00849;R00904;R00975]</t>
        </is>
      </c>
      <c r="M387" s="7" t="inlineStr">
        <is>
          <t>Linye | İlk tahmin BF 3.50</t>
        </is>
      </c>
    </row>
    <row r="388" outlineLevel="1">
      <c r="A388" s="27" t="n"/>
      <c r="B388" s="27" t="inlineStr">
        <is>
          <t>5002.E</t>
        </is>
      </c>
      <c r="C388" s="7" t="inlineStr">
        <is>
          <t>Isı büzüşmeli kablo ek/sorti seti + buat (IP66) – yerden armatür beslemeleri</t>
        </is>
      </c>
      <c r="D388" s="27" t="inlineStr">
        <is>
          <t>adet</t>
        </is>
      </c>
      <c r="E388" s="50" t="n">
        <v>71</v>
      </c>
      <c r="F388" s="50" t="n">
        <v>71</v>
      </c>
      <c r="G388" s="27" t="inlineStr">
        <is>
          <t>%30</t>
        </is>
      </c>
      <c r="H388" s="50">
        <f>F388/IF(Varsayimlar!$B$21=1,1.3,1)</f>
        <v/>
      </c>
      <c r="I388" s="51" t="n">
        <v>25</v>
      </c>
      <c r="J388" s="28">
        <f>H388*I388</f>
        <v/>
      </c>
      <c r="K388" s="53" t="inlineStr">
        <is>
          <t>MÜHENDİSLİK TAHMİNİ</t>
        </is>
      </c>
      <c r="L388" s="7" t="inlineStr">
        <is>
          <t>TAHMIN (emsal yok) – Emsal yok (cihaz bazında; Bursa T2/Başkentray "priz sortisi" 25-91 € kablo dahil → kıyas dışı)</t>
        </is>
      </c>
      <c r="M388" s="7" t="inlineStr">
        <is>
          <t>Ek seti+buat</t>
        </is>
      </c>
    </row>
    <row r="389">
      <c r="A389" s="48" t="inlineStr">
        <is>
          <t>328</t>
        </is>
      </c>
      <c r="B389" s="48" t="inlineStr">
        <is>
          <t>5002.F</t>
        </is>
      </c>
      <c r="C389" s="48" t="inlineStr">
        <is>
          <t>Harran İstasyonu Alçak Gerilim Tesisatı ve Aydınlatma Sistemi (1 set)</t>
        </is>
      </c>
      <c r="D389" s="48" t="n"/>
      <c r="E389" s="48" t="n"/>
      <c r="F389" s="48" t="n"/>
      <c r="G389" s="48" t="n"/>
      <c r="H389" s="48" t="inlineStr">
        <is>
          <t>RFQ tutarı →</t>
        </is>
      </c>
      <c r="I389" s="49">
        <f>SUMPRODUCT(E390:E408,I390:I408)</f>
        <v/>
      </c>
      <c r="J389" s="49">
        <f>SUM(J390:J408)</f>
        <v/>
      </c>
      <c r="K389" s="48" t="n"/>
      <c r="L389" s="48" t="n"/>
      <c r="M389" s="48" t="n"/>
    </row>
    <row r="390" outlineLevel="1">
      <c r="A390" s="27" t="n"/>
      <c r="B390" s="27" t="inlineStr">
        <is>
          <t>5002.F</t>
        </is>
      </c>
      <c r="C390" s="7" t="inlineStr">
        <is>
          <t>66W LED direk üstü aydınlatma armatürü (IP65/66 peron)</t>
        </is>
      </c>
      <c r="D390" s="27" t="inlineStr">
        <is>
          <t>adet</t>
        </is>
      </c>
      <c r="E390" s="50" t="n">
        <v>16</v>
      </c>
      <c r="F390" s="50" t="n">
        <v>16</v>
      </c>
      <c r="G390" s="27" t="inlineStr">
        <is>
          <t>%30</t>
        </is>
      </c>
      <c r="H390" s="50">
        <f>F390/IF(Varsayimlar!$B$21=1,1.3,1)</f>
        <v/>
      </c>
      <c r="I390" s="51" t="n">
        <v>260</v>
      </c>
      <c r="J390" s="28">
        <f>H390*I390</f>
        <v/>
      </c>
      <c r="K390" s="53" t="inlineStr">
        <is>
          <t>MÜHENDİSLİK TAHMİNİ</t>
        </is>
      </c>
      <c r="L390" s="7" t="inlineStr">
        <is>
          <t>TAHMIN (emsal yok) – Emsal yok (direk üstü peron armatürü; R00490 LED prj ≤100W 274,81 farklı tip)</t>
        </is>
      </c>
      <c r="M390" s="7" t="inlineStr">
        <is>
          <t>LED 66W direk üstü</t>
        </is>
      </c>
    </row>
    <row r="391" outlineLevel="1">
      <c r="A391" s="27" t="n"/>
      <c r="B391" s="27" t="inlineStr">
        <is>
          <t>5002.F</t>
        </is>
      </c>
      <c r="C391" s="7" t="inlineStr">
        <is>
          <t>Peron aydınlatma direği h=3,5 m galvaniz çift kollu (ankraj dahil – temel inşai)</t>
        </is>
      </c>
      <c r="D391" s="27" t="inlineStr">
        <is>
          <t>adet</t>
        </is>
      </c>
      <c r="E391" s="50" t="n">
        <v>6</v>
      </c>
      <c r="F391" s="50" t="n">
        <v>6</v>
      </c>
      <c r="G391" s="27" t="inlineStr">
        <is>
          <t>-</t>
        </is>
      </c>
      <c r="H391" s="50">
        <f>F391</f>
        <v/>
      </c>
      <c r="I391" s="51" t="n">
        <v>389.24</v>
      </c>
      <c r="J391" s="28">
        <f>H391*I391</f>
        <v/>
      </c>
      <c r="K391" s="52" t="inlineStr">
        <is>
          <t>GEÇMİŞ TEKLİF UYARLAMA</t>
        </is>
      </c>
      <c r="L391" s="7" t="inlineStr">
        <is>
          <t>REF-derin(1) – Bursa T2 Haluk 2015 poligon direk €/kg (M+İ) 2,48 ×70 kg, +%15 ankraj→199,63; Bursa T2 MET 2015 poligon direk €/kg (M+İ) 3,20 ×70 kg, +%15 ankraj→257,35 → medyan 228,49 ; emsal ağırlık/tip varsayımına bağlı (tek emsal sayıldı) → mevcut 550,00 ile ort. = 389,24 [Emsal ID: R00852;R00934]</t>
        </is>
      </c>
      <c r="M391" s="7" t="inlineStr">
        <is>
          <t>Direk 3,5 m (temel inşai) | İlk tahmin BF 550.00</t>
        </is>
      </c>
    </row>
    <row r="392" outlineLevel="1">
      <c r="A392" s="27" t="n"/>
      <c r="B392" s="27" t="inlineStr">
        <is>
          <t>5002.F</t>
        </is>
      </c>
      <c r="C392" s="7" t="inlineStr">
        <is>
          <t>66W LED projektör (IP66)</t>
        </is>
      </c>
      <c r="D392" s="27" t="inlineStr">
        <is>
          <t>adet</t>
        </is>
      </c>
      <c r="E392" s="50" t="n">
        <v>3</v>
      </c>
      <c r="F392" s="50" t="n">
        <v>3</v>
      </c>
      <c r="G392" s="27" t="inlineStr">
        <is>
          <t>-</t>
        </is>
      </c>
      <c r="H392" s="50">
        <f>F392</f>
        <v/>
      </c>
      <c r="I392" s="51" t="n">
        <v>227.4</v>
      </c>
      <c r="J392" s="28">
        <f>H392*I392</f>
        <v/>
      </c>
      <c r="K392" s="52" t="inlineStr">
        <is>
          <t>GEÇMİŞ TEKLİF UYARLAMA</t>
        </is>
      </c>
      <c r="L392" s="7" t="inlineStr">
        <is>
          <t>REF-derin(1) – Ankara-Sivas YHT Platin 2019 LED prj ≤100W (M+İ) 274,81 → emsal 274,81 ; tek emsal → mevcut 180,00 ile ort. = 227,40 [Emsal ID: R00490]</t>
        </is>
      </c>
      <c r="M392" s="7" t="inlineStr">
        <is>
          <t>LED projektör | İlk tahmin BF 180.00</t>
        </is>
      </c>
    </row>
    <row r="393" outlineLevel="1">
      <c r="A393" s="27" t="n"/>
      <c r="B393" s="27" t="inlineStr">
        <is>
          <t>5002.F</t>
        </is>
      </c>
      <c r="C393" s="7" t="inlineStr">
        <is>
          <t>30W IP65 LED lineer armatür (peron kanopi kenarı)</t>
        </is>
      </c>
      <c r="D393" s="27" t="inlineStr">
        <is>
          <t>adet</t>
        </is>
      </c>
      <c r="E393" s="50" t="n">
        <v>50</v>
      </c>
      <c r="F393" s="50" t="n">
        <v>50</v>
      </c>
      <c r="G393" s="27" t="inlineStr">
        <is>
          <t>%30</t>
        </is>
      </c>
      <c r="H393" s="50">
        <f>F393/IF(Varsayimlar!$B$21=1,1.3,1)</f>
        <v/>
      </c>
      <c r="I393" s="51" t="n">
        <v>68.64</v>
      </c>
      <c r="J393" s="28">
        <f>H393*I393</f>
        <v/>
      </c>
      <c r="K393" s="52" t="inlineStr">
        <is>
          <t>GEÇMİŞ TEKLİF UYARLAMA</t>
        </is>
      </c>
      <c r="L393"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93" s="7" t="inlineStr">
        <is>
          <t>LED 30W IP65 | İlk tahmin BF 75.00</t>
        </is>
      </c>
    </row>
    <row r="394" outlineLevel="1">
      <c r="A394" s="27" t="n"/>
      <c r="B394" s="27" t="inlineStr">
        <is>
          <t>5002.F</t>
        </is>
      </c>
      <c r="C394" s="7" t="inlineStr">
        <is>
          <t>30W IP65 LED turnike üzeri kanopi armatürü (UPS hattı)</t>
        </is>
      </c>
      <c r="D394" s="27" t="inlineStr">
        <is>
          <t>adet</t>
        </is>
      </c>
      <c r="E394" s="50" t="n">
        <v>3</v>
      </c>
      <c r="F394" s="50" t="n">
        <v>3</v>
      </c>
      <c r="G394" s="27" t="inlineStr">
        <is>
          <t>-</t>
        </is>
      </c>
      <c r="H394" s="50">
        <f>F394</f>
        <v/>
      </c>
      <c r="I394" s="51" t="n">
        <v>68.64</v>
      </c>
      <c r="J394" s="28">
        <f>H394*I394</f>
        <v/>
      </c>
      <c r="K394" s="52" t="inlineStr">
        <is>
          <t>GEÇMİŞ TEKLİF UYARLAMA</t>
        </is>
      </c>
      <c r="L394"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394" s="7" t="inlineStr">
        <is>
          <t>LED 30W IP65 | İlk tahmin BF 75.00</t>
        </is>
      </c>
    </row>
    <row r="395" outlineLevel="1">
      <c r="A395" s="27" t="n"/>
      <c r="B395" s="27" t="inlineStr">
        <is>
          <t>5002.F</t>
        </is>
      </c>
      <c r="C395" s="7" t="inlineStr">
        <is>
          <t>36W IP65 LED armatür (pano odası + güvenlik kabini)</t>
        </is>
      </c>
      <c r="D395" s="27" t="inlineStr">
        <is>
          <t>adet</t>
        </is>
      </c>
      <c r="E395" s="50" t="n">
        <v>4</v>
      </c>
      <c r="F395" s="50" t="n">
        <v>4</v>
      </c>
      <c r="G395" s="27" t="inlineStr">
        <is>
          <t>-</t>
        </is>
      </c>
      <c r="H395" s="50">
        <f>F395</f>
        <v/>
      </c>
      <c r="I395" s="51" t="n">
        <v>80.23999999999999</v>
      </c>
      <c r="J395" s="28">
        <f>H395*I395</f>
        <v/>
      </c>
      <c r="K395" s="52" t="inlineStr">
        <is>
          <t>GEÇMİŞ TEKLİF UYARLAMA</t>
        </is>
      </c>
      <c r="L395" s="7" t="inlineStr">
        <is>
          <t>REF-derin – İzmir Buca M. Signify 2021 LED38 IP65 etanj 32,28 (M)+%30 montaj→41,96; Bursa T2 Haluk 2015 41W IP65 etanj (M+İ) 123,99; Bursa T2 MET 2015 41W IP65 etanj (M+İ) 80,24 → medyan 80,24 [Emsal ID: R00665;R00921;R00988]</t>
        </is>
      </c>
      <c r="M395" s="7" t="inlineStr">
        <is>
          <t>LED 36W IP65 | İlk tahmin BF 70.00</t>
        </is>
      </c>
    </row>
    <row r="396" outlineLevel="1">
      <c r="A396" s="27" t="n"/>
      <c r="B396" s="27" t="inlineStr">
        <is>
          <t>5002.F</t>
        </is>
      </c>
      <c r="C396" s="7" t="inlineStr">
        <is>
          <t>100W kubbe/kanopi acil aydınlatma armatürü – projede aydınlatma ucu (UPS)</t>
        </is>
      </c>
      <c r="D396" s="27" t="inlineStr">
        <is>
          <t>adet</t>
        </is>
      </c>
      <c r="E396" s="50" t="n">
        <v>13</v>
      </c>
      <c r="F396" s="50" t="n">
        <v>13</v>
      </c>
      <c r="G396" s="27" t="inlineStr">
        <is>
          <t>-</t>
        </is>
      </c>
      <c r="H396" s="50">
        <f>F396</f>
        <v/>
      </c>
      <c r="I396" s="51" t="n">
        <v>220</v>
      </c>
      <c r="J396" s="28">
        <f>H396*I396</f>
        <v/>
      </c>
      <c r="K396" s="53" t="inlineStr">
        <is>
          <t>MÜHENDİSLİK TAHMİNİ</t>
        </is>
      </c>
      <c r="L396" s="7" t="inlineStr">
        <is>
          <t>TAHMIN (emsal yok) – Emsal yok (100W kanopi acil armatür; projektör refi farklı tip)</t>
        </is>
      </c>
      <c r="M396" s="7" t="inlineStr">
        <is>
          <t>LED 100W kanopi</t>
        </is>
      </c>
    </row>
    <row r="397" outlineLevel="1">
      <c r="A397" s="27" t="n"/>
      <c r="B397" s="27" t="inlineStr">
        <is>
          <t>5002.F</t>
        </is>
      </c>
      <c r="C397" s="7" t="inlineStr">
        <is>
          <t>Totem iç aydınlatması besleme ucu (500W)</t>
        </is>
      </c>
      <c r="D397" s="27" t="inlineStr">
        <is>
          <t>adet</t>
        </is>
      </c>
      <c r="E397" s="50" t="n">
        <v>1</v>
      </c>
      <c r="F397" s="50" t="n">
        <v>1</v>
      </c>
      <c r="G397" s="27" t="inlineStr">
        <is>
          <t>-</t>
        </is>
      </c>
      <c r="H397" s="50">
        <f>F397</f>
        <v/>
      </c>
      <c r="I397" s="51" t="n">
        <v>60</v>
      </c>
      <c r="J397" s="28">
        <f>H397*I397</f>
        <v/>
      </c>
      <c r="K397" s="53" t="inlineStr">
        <is>
          <t>MÜHENDİSLİK TAHMİNİ</t>
        </is>
      </c>
      <c r="L397" s="7" t="inlineStr">
        <is>
          <t>TAHMIN (emsal yok) – Emsal yok (cihaz bazında; Bursa T2/Başkentray "priz sortisi" 25-91 € kablo dahil → kıyas dışı)</t>
        </is>
      </c>
      <c r="M397" s="7" t="inlineStr">
        <is>
          <t>Besleme ucu</t>
        </is>
      </c>
    </row>
    <row r="398" outlineLevel="1">
      <c r="A398" s="27" t="n"/>
      <c r="B398" s="27" t="inlineStr">
        <is>
          <t>5002.F</t>
        </is>
      </c>
      <c r="C398" s="7" t="inlineStr">
        <is>
          <t>Ortam korumalı (IP55) adi aydınlatma anahtarı</t>
        </is>
      </c>
      <c r="D398" s="27" t="inlineStr">
        <is>
          <t>adet</t>
        </is>
      </c>
      <c r="E398" s="50" t="n">
        <v>4</v>
      </c>
      <c r="F398" s="50" t="n">
        <v>4</v>
      </c>
      <c r="G398" s="27" t="inlineStr">
        <is>
          <t>-</t>
        </is>
      </c>
      <c r="H398" s="50">
        <f>F398</f>
        <v/>
      </c>
      <c r="I398" s="51" t="n">
        <v>16</v>
      </c>
      <c r="J398" s="28">
        <f>H398*I398</f>
        <v/>
      </c>
      <c r="K398" s="53" t="inlineStr">
        <is>
          <t>MÜHENDİSLİK TAHMİNİ</t>
        </is>
      </c>
      <c r="L398" s="7" t="inlineStr">
        <is>
          <t>TAHMIN (emsal yok) – Emsal yok (cihaz bazında; Bursa T2/Başkentray "priz sortisi" 25-91 € kablo dahil → kıyas dışı)</t>
        </is>
      </c>
      <c r="M398" s="7" t="inlineStr">
        <is>
          <t>Anahtar IP55</t>
        </is>
      </c>
    </row>
    <row r="399" outlineLevel="1">
      <c r="A399" s="27" t="n"/>
      <c r="B399" s="27" t="inlineStr">
        <is>
          <t>5002.F</t>
        </is>
      </c>
      <c r="C399" s="7" t="inlineStr">
        <is>
          <t>Harici aydınlatma astronomik zaman rölesi + kontaktör grubu (APP içinde)</t>
        </is>
      </c>
      <c r="D399" s="27" t="inlineStr">
        <is>
          <t>takım</t>
        </is>
      </c>
      <c r="E399" s="50" t="n">
        <v>1</v>
      </c>
      <c r="F399" s="50" t="n">
        <v>1</v>
      </c>
      <c r="G399" s="27" t="inlineStr">
        <is>
          <t>-</t>
        </is>
      </c>
      <c r="H399" s="50">
        <f>F399</f>
        <v/>
      </c>
      <c r="I399" s="51" t="n">
        <v>161.12</v>
      </c>
      <c r="J399" s="28">
        <f>H399*I399</f>
        <v/>
      </c>
      <c r="K399" s="52" t="inlineStr">
        <is>
          <t>GEÇMİŞ TEKLİF UYARLAMA</t>
        </is>
      </c>
      <c r="L399" s="7" t="inlineStr">
        <is>
          <t>REF-derin – Bursa T2 Haluk 2015 astronomik röle (M+İ) 89,90; Bursa T2 MET 2015 astronomik röle (M+İ) 52,34 → medyan 71,12 + 90 kontaktör grubu (tahmin) = 161,12 [Emsal ID: R00872;R00949]</t>
        </is>
      </c>
      <c r="M399" s="7" t="inlineStr">
        <is>
          <t>Astronomik röle+kontaktör | İlk tahmin BF 250.00</t>
        </is>
      </c>
    </row>
    <row r="400" outlineLevel="1">
      <c r="A400" s="27" t="n"/>
      <c r="B400" s="27" t="inlineStr">
        <is>
          <t>5002.F</t>
        </is>
      </c>
      <c r="C400" s="7" t="inlineStr">
        <is>
          <t>Monofaze etanj/gömme topraklı priz (16A)</t>
        </is>
      </c>
      <c r="D400" s="27" t="inlineStr">
        <is>
          <t>adet</t>
        </is>
      </c>
      <c r="E400" s="50" t="n">
        <v>8</v>
      </c>
      <c r="F400" s="50" t="n">
        <v>8</v>
      </c>
      <c r="G400" s="27" t="inlineStr">
        <is>
          <t>%30</t>
        </is>
      </c>
      <c r="H400" s="50">
        <f>F400/IF(Varsayimlar!$B$21=1,1.3,1)</f>
        <v/>
      </c>
      <c r="I400" s="51" t="n">
        <v>18</v>
      </c>
      <c r="J400" s="28">
        <f>H400*I400</f>
        <v/>
      </c>
      <c r="K400" s="53" t="inlineStr">
        <is>
          <t>MÜHENDİSLİK TAHMİNİ</t>
        </is>
      </c>
      <c r="L400" s="7" t="inlineStr">
        <is>
          <t>TAHMIN (emsal yok) – Emsal yok (cihaz bazında; Bursa T2/Başkentray "priz sortisi" 25-91 € kablo dahil → kıyas dışı)</t>
        </is>
      </c>
      <c r="M400" s="7" t="inlineStr">
        <is>
          <t>Priz 16A</t>
        </is>
      </c>
    </row>
    <row r="401" outlineLevel="1">
      <c r="A401" s="27" t="n"/>
      <c r="B401" s="27" t="inlineStr">
        <is>
          <t>5002.F</t>
        </is>
      </c>
      <c r="C401" s="7" t="inlineStr">
        <is>
          <t>APP aydınlatma-priz tali panosu (IP65 dahili/harici 3F 25A giriş 8-10 çıkış KAKS 30mA)</t>
        </is>
      </c>
      <c r="D401" s="27" t="inlineStr">
        <is>
          <t>adet</t>
        </is>
      </c>
      <c r="E401" s="50" t="n">
        <v>1</v>
      </c>
      <c r="F401" s="50" t="n">
        <v>1</v>
      </c>
      <c r="G401" s="27" t="inlineStr">
        <is>
          <t>-</t>
        </is>
      </c>
      <c r="H401" s="50">
        <f>F401</f>
        <v/>
      </c>
      <c r="I401" s="51" t="n">
        <v>1200</v>
      </c>
      <c r="J401" s="28">
        <f>H401*I401</f>
        <v/>
      </c>
      <c r="K401" s="53" t="inlineStr">
        <is>
          <t>MÜHENDİSLİK TAHMİNİ</t>
        </is>
      </c>
      <c r="L401" s="7" t="inlineStr">
        <is>
          <t>TAHMIN (emsal yok) – Emsal yok (komple tali pano; İzmir Buca TEDAK 2021 tali pano ort. 3.010 € (M) metro/daha büyük, Bursa T2 "özel saç pano" yalnız gövde → kıyas dışı)</t>
        </is>
      </c>
      <c r="M401" s="7" t="inlineStr">
        <is>
          <t>APP panosu</t>
        </is>
      </c>
    </row>
    <row r="402" outlineLevel="1">
      <c r="A402" s="27" t="n"/>
      <c r="B402" s="27" t="inlineStr">
        <is>
          <t>5002.F</t>
        </is>
      </c>
      <c r="C402" s="7" t="inlineStr">
        <is>
          <t>UPP UPS'ten beslenen aydınlatma-priz/UPS dağıtım panosu (12-13 çıkış RCBO)</t>
        </is>
      </c>
      <c r="D402" s="27" t="inlineStr">
        <is>
          <t>adet</t>
        </is>
      </c>
      <c r="E402" s="50" t="n">
        <v>1</v>
      </c>
      <c r="F402" s="50" t="n">
        <v>1</v>
      </c>
      <c r="G402" s="27" t="inlineStr">
        <is>
          <t>-</t>
        </is>
      </c>
      <c r="H402" s="50">
        <f>F402</f>
        <v/>
      </c>
      <c r="I402" s="51" t="n">
        <v>1500</v>
      </c>
      <c r="J402" s="28">
        <f>H402*I402</f>
        <v/>
      </c>
      <c r="K402" s="53" t="inlineStr">
        <is>
          <t>MÜHENDİSLİK TAHMİNİ</t>
        </is>
      </c>
      <c r="L402" s="7" t="inlineStr">
        <is>
          <t>TAHMIN (emsal yok) – Emsal yok (komple tali pano; İzmir Buca TEDAK 2021 tali pano ort. 3.010 € (M) metro/daha büyük, Bursa T2 "özel saç pano" yalnız gövde → kıyas dışı)</t>
        </is>
      </c>
      <c r="M402" s="7" t="inlineStr">
        <is>
          <t>UPP panosu</t>
        </is>
      </c>
    </row>
    <row r="403" outlineLevel="1">
      <c r="A403" s="27" t="n"/>
      <c r="B403" s="27" t="inlineStr">
        <is>
          <t>5002.F</t>
        </is>
      </c>
      <c r="C403" s="7" t="inlineStr">
        <is>
          <t>SK sigorta kutusu (güvenlik kabini 3F 25A 6 çıkış)</t>
        </is>
      </c>
      <c r="D403" s="27" t="inlineStr">
        <is>
          <t>adet</t>
        </is>
      </c>
      <c r="E403" s="50" t="n">
        <v>1</v>
      </c>
      <c r="F403" s="50" t="n">
        <v>1</v>
      </c>
      <c r="G403" s="27" t="inlineStr">
        <is>
          <t>-</t>
        </is>
      </c>
      <c r="H403" s="50">
        <f>F403</f>
        <v/>
      </c>
      <c r="I403" s="51" t="n">
        <v>350</v>
      </c>
      <c r="J403" s="28">
        <f>H403*I403</f>
        <v/>
      </c>
      <c r="K403" s="53" t="inlineStr">
        <is>
          <t>MÜHENDİSLİK TAHMİNİ</t>
        </is>
      </c>
      <c r="L403" s="7" t="inlineStr">
        <is>
          <t>TAHMIN (emsal yok) – Emsal yok (komple tali pano; İzmir Buca TEDAK 2021 tali pano ort. 3.010 € (M) metro/daha büyük, Bursa T2 "özel saç pano" yalnız gövde → kıyas dışı)</t>
        </is>
      </c>
      <c r="M403" s="7" t="inlineStr">
        <is>
          <t>SK kutusu</t>
        </is>
      </c>
    </row>
    <row r="404" outlineLevel="1">
      <c r="A404" s="27" t="n"/>
      <c r="B404" s="27" t="inlineStr">
        <is>
          <t>5002.F</t>
        </is>
      </c>
      <c r="C404" s="7" t="inlineStr">
        <is>
          <t>UPS 10 kVA 3F/3F online IGBT + manuel by-pass</t>
        </is>
      </c>
      <c r="D404" s="27" t="inlineStr">
        <is>
          <t>adet</t>
        </is>
      </c>
      <c r="E404" s="50" t="n">
        <v>1</v>
      </c>
      <c r="F404" s="50" t="n">
        <v>1</v>
      </c>
      <c r="G404" s="27" t="inlineStr">
        <is>
          <t>-</t>
        </is>
      </c>
      <c r="H404" s="50">
        <f>F404</f>
        <v/>
      </c>
      <c r="I404" s="51" t="n">
        <v>5000</v>
      </c>
      <c r="J404" s="28">
        <f>H404*I404</f>
        <v/>
      </c>
      <c r="K404" s="52" t="inlineStr">
        <is>
          <t>GEÇMİŞ TEKLİF UYARLAMA</t>
        </is>
      </c>
      <c r="L404" s="7" t="inlineStr">
        <is>
          <t>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is>
      </c>
      <c r="M404" s="7" t="inlineStr">
        <is>
          <t>UPS 10 kVA montaj+devreye alma | İlk tahmin BF 5,300.00</t>
        </is>
      </c>
    </row>
    <row r="405" outlineLevel="1">
      <c r="A405" s="27" t="n"/>
      <c r="B405" s="27" t="inlineStr">
        <is>
          <t>5002.F</t>
        </is>
      </c>
      <c r="C405" s="7" t="inlineStr">
        <is>
          <t>UPS akü grubu VRLA 2 saat otonomi (10 kVA tam yük) – 32×12V 100Ah blok (384 V DC) + akü kabini</t>
        </is>
      </c>
      <c r="D405" s="27" t="inlineStr">
        <is>
          <t>takım</t>
        </is>
      </c>
      <c r="E405" s="50" t="n">
        <v>1</v>
      </c>
      <c r="F405" s="50" t="n">
        <v>1</v>
      </c>
      <c r="G405" s="27" t="inlineStr">
        <is>
          <t>-</t>
        </is>
      </c>
      <c r="H405" s="50">
        <f>F405</f>
        <v/>
      </c>
      <c r="I405" s="51" t="n">
        <v>3150</v>
      </c>
      <c r="J405" s="28">
        <f>H405*I405</f>
        <v/>
      </c>
      <c r="K405" s="53" t="inlineStr">
        <is>
          <t>MÜHENDİSLİK TAHMİNİ</t>
        </is>
      </c>
      <c r="L405" s="7" t="inlineStr">
        <is>
          <t>TAHMIN (emsal yok) – Emsal yok (akü refleri 12V 105-150Ah blok: R01952 340,68 / R02124 250,16 (M); 100Ah×32 tam kapasite ~8-11 bin €; fiyat İdare 20 dk ~33Ah kapsamına göre — kalem metni ile not çelişkili, kontrol edilmeli)</t>
        </is>
      </c>
      <c r="M405" s="7" t="inlineStr">
        <is>
          <t>İdare: istasyon UPS 20 dk (32x12V ~33Ah)</t>
        </is>
      </c>
    </row>
    <row r="406" outlineLevel="1">
      <c r="A406" s="27" t="n"/>
      <c r="B406" s="27" t="inlineStr">
        <is>
          <t>5002.F</t>
        </is>
      </c>
      <c r="C406" s="7" t="inlineStr">
        <is>
          <t>N2XH 3x2,5 mm² aydınlatma-priz linye + sorti kablosu</t>
        </is>
      </c>
      <c r="D406" s="27" t="inlineStr">
        <is>
          <t>m</t>
        </is>
      </c>
      <c r="E406" s="50" t="n">
        <v>758</v>
      </c>
      <c r="F406" s="50" t="n">
        <v>758</v>
      </c>
      <c r="G406" s="27" t="inlineStr">
        <is>
          <t>fire+%30</t>
        </is>
      </c>
      <c r="H406" s="50">
        <f>F406/IF(Varsayimlar!$B$21=1,1.43,1)</f>
        <v/>
      </c>
      <c r="I406" s="51" t="n">
        <v>1.96</v>
      </c>
      <c r="J406" s="28">
        <f>H406*I406</f>
        <v/>
      </c>
      <c r="K406" s="52" t="inlineStr">
        <is>
          <t>GEÇMİŞ TEKLİF UYARLAMA</t>
        </is>
      </c>
      <c r="L406"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406" s="7" t="inlineStr">
        <is>
          <t>Linye+sorti | İlk tahmin BF 2.60</t>
        </is>
      </c>
    </row>
    <row r="407" outlineLevel="1">
      <c r="A407" s="27" t="n"/>
      <c r="B407" s="27" t="inlineStr">
        <is>
          <t>5002.F</t>
        </is>
      </c>
      <c r="C407" s="7" t="inlineStr">
        <is>
          <t>N2XH 5x2,5 mm² lineer armatür linyesi</t>
        </is>
      </c>
      <c r="D407" s="27" t="inlineStr">
        <is>
          <t>m</t>
        </is>
      </c>
      <c r="E407" s="50" t="n">
        <v>327</v>
      </c>
      <c r="F407" s="50" t="n">
        <v>327</v>
      </c>
      <c r="G407" s="27" t="inlineStr">
        <is>
          <t>fire+%30</t>
        </is>
      </c>
      <c r="H407" s="50">
        <f>F407/IF(Varsayimlar!$B$21=1,1.43,1)</f>
        <v/>
      </c>
      <c r="I407" s="51" t="n">
        <v>2.64</v>
      </c>
      <c r="J407" s="28">
        <f>H407*I407</f>
        <v/>
      </c>
      <c r="K407" s="52" t="inlineStr">
        <is>
          <t>GEÇMİŞ TEKLİF UYARLAMA</t>
        </is>
      </c>
      <c r="L407" s="7" t="inlineStr">
        <is>
          <t>REF-derin – İzmir Buca M. Prysmian 2021 5x2,5 2,02 (M)+%35 montaj→2,73; Bursa T2 Delta 2015 5x2,5 1,57 (M)+%35 montaj→2,12; Bursa T2 Haluk 2015 5x2,5 2,54; Bursa T2 MET 2015 5x2,5 2,78 → medyan 2,64 [Emsal ID: R00686;R00849;R00904;R00975]</t>
        </is>
      </c>
      <c r="M407" s="7" t="inlineStr">
        <is>
          <t>Linye | İlk tahmin BF 3.50</t>
        </is>
      </c>
    </row>
    <row r="408" outlineLevel="1">
      <c r="A408" s="27" t="n"/>
      <c r="B408" s="27" t="inlineStr">
        <is>
          <t>5002.F</t>
        </is>
      </c>
      <c r="C408" s="7" t="inlineStr">
        <is>
          <t>Isı büzüşmeli kablo ek/sorti seti + buat (IP66) – yerden armatür beslemeleri</t>
        </is>
      </c>
      <c r="D408" s="27" t="inlineStr">
        <is>
          <t>adet</t>
        </is>
      </c>
      <c r="E408" s="50" t="n">
        <v>71</v>
      </c>
      <c r="F408" s="50" t="n">
        <v>71</v>
      </c>
      <c r="G408" s="27" t="inlineStr">
        <is>
          <t>%30</t>
        </is>
      </c>
      <c r="H408" s="50">
        <f>F408/IF(Varsayimlar!$B$21=1,1.3,1)</f>
        <v/>
      </c>
      <c r="I408" s="51" t="n">
        <v>25</v>
      </c>
      <c r="J408" s="28">
        <f>H408*I408</f>
        <v/>
      </c>
      <c r="K408" s="53" t="inlineStr">
        <is>
          <t>MÜHENDİSLİK TAHMİNİ</t>
        </is>
      </c>
      <c r="L408" s="7" t="inlineStr">
        <is>
          <t>TAHMIN (emsal yok) – Emsal yok (cihaz bazında; Bursa T2/Başkentray "priz sortisi" 25-91 € kablo dahil → kıyas dışı)</t>
        </is>
      </c>
      <c r="M408" s="7" t="inlineStr">
        <is>
          <t>Ek seti+buat</t>
        </is>
      </c>
    </row>
    <row r="409">
      <c r="A409" s="48" t="inlineStr">
        <is>
          <t>329</t>
        </is>
      </c>
      <c r="B409" s="48" t="inlineStr">
        <is>
          <t>5002.G</t>
        </is>
      </c>
      <c r="C409" s="48" t="inlineStr">
        <is>
          <t>Depo Sahası ve Tesisleri Alçak Gerilim Tesisatı ve Aydınlatma Sistemi (1 set)</t>
        </is>
      </c>
      <c r="D409" s="48" t="n"/>
      <c r="E409" s="48" t="n"/>
      <c r="F409" s="48" t="n"/>
      <c r="G409" s="48" t="n"/>
      <c r="H409" s="48" t="inlineStr">
        <is>
          <t>RFQ tutarı →</t>
        </is>
      </c>
      <c r="I409" s="49">
        <f>SUMPRODUCT(E410:E479,I410:I479)</f>
        <v/>
      </c>
      <c r="J409" s="49">
        <f>SUM(J410:J479)</f>
        <v/>
      </c>
      <c r="K409" s="48" t="n"/>
      <c r="L409" s="48" t="n"/>
      <c r="M409" s="48" t="n"/>
    </row>
    <row r="410" outlineLevel="1">
      <c r="A410" s="27" t="n"/>
      <c r="B410" s="27" t="inlineStr">
        <is>
          <t>5002.G</t>
        </is>
      </c>
      <c r="C410" s="7" t="inlineStr">
        <is>
          <t>D01 – 60x60 asma tavan LED panel armatür 25W (ÖE.02/ÖE.03 IP20)</t>
        </is>
      </c>
      <c r="D410" s="27" t="inlineStr">
        <is>
          <t>adet</t>
        </is>
      </c>
      <c r="E410" s="50" t="n">
        <v>212</v>
      </c>
      <c r="F410" s="50" t="n">
        <v>212</v>
      </c>
      <c r="G410" s="27" t="inlineStr">
        <is>
          <t>%30</t>
        </is>
      </c>
      <c r="H410" s="50">
        <f>F410/IF(Varsayimlar!$B$21=1,1.3,1)</f>
        <v/>
      </c>
      <c r="I410" s="51" t="n">
        <v>60.4</v>
      </c>
      <c r="J410" s="28">
        <f>H410*I410</f>
        <v/>
      </c>
      <c r="K410" s="52" t="inlineStr">
        <is>
          <t>GEÇMİŞ TEKLİF UYARLAMA</t>
        </is>
      </c>
      <c r="L410" s="7" t="inlineStr">
        <is>
          <t>REF-derin – 60x60 LED panel: Platin 2019 58,2 € (montajlı), Philips 2021 RC148B 39,4 € (M)+%20=47,3, Bursa T2 Haluk 2015 31 W 62,5 €, MET 72,6 € → medyan 60,4 € [Emsal ID: R00486;R00669;R00924;R00991]</t>
        </is>
      </c>
      <c r="M410" s="7" t="inlineStr">
        <is>
          <t>LED panel 25W | İlk tahmin BF 50.00</t>
        </is>
      </c>
    </row>
    <row r="411" outlineLevel="1">
      <c r="A411" s="27" t="n"/>
      <c r="B411" s="27" t="inlineStr">
        <is>
          <t>5002.G</t>
        </is>
      </c>
      <c r="C411" s="7" t="inlineStr">
        <is>
          <t>D01 – 38W LED armatür (lejantta tanımsız – 60x60 yüksek akı öngörü)</t>
        </is>
      </c>
      <c r="D411" s="27" t="inlineStr">
        <is>
          <t>adet</t>
        </is>
      </c>
      <c r="E411" s="50" t="n">
        <v>6</v>
      </c>
      <c r="F411" s="50" t="n">
        <v>6</v>
      </c>
      <c r="G411" s="27" t="inlineStr">
        <is>
          <t>%30</t>
        </is>
      </c>
      <c r="H411" s="50">
        <f>F411/IF(Varsayimlar!$B$21=1,1.3,1)</f>
        <v/>
      </c>
      <c r="I411" s="51" t="n">
        <v>60.38</v>
      </c>
      <c r="J411" s="28">
        <f>H411*I411</f>
        <v/>
      </c>
      <c r="K411" s="52" t="inlineStr">
        <is>
          <t>GEÇMİŞ TEKLİF UYARLAMA</t>
        </is>
      </c>
      <c r="L411" s="7" t="inlineStr">
        <is>
          <t>REF-derin – İzmir Buca M. Signify 2021 60x60 LED40 panel 39,45 (M)+%30 montaj→51,28; Ankara-Sivas YHT Platin 2019 60x60 LED 36W (M+İ) 58,24; Bursa T2 Haluk 2015 31W 60x60 (M+İ) 62,52; Bursa T2 MET 2015 31W 60x60 (M+İ) 72,57 → medyan 60,38 [Emsal ID: R00669;R00486;R00924;R00991]</t>
        </is>
      </c>
      <c r="M411" s="7" t="inlineStr">
        <is>
          <t>LED 38W | İlk tahmin BF 65.00</t>
        </is>
      </c>
    </row>
    <row r="412" outlineLevel="1">
      <c r="A412" s="27" t="n"/>
      <c r="B412" s="27" t="inlineStr">
        <is>
          <t>5002.G</t>
        </is>
      </c>
      <c r="C412" s="7" t="inlineStr">
        <is>
          <t>D01 – Spot tipi 13W gömme LED armatür (IP54)</t>
        </is>
      </c>
      <c r="D412" s="27" t="inlineStr">
        <is>
          <t>adet</t>
        </is>
      </c>
      <c r="E412" s="50" t="n">
        <v>69</v>
      </c>
      <c r="F412" s="50" t="n">
        <v>69</v>
      </c>
      <c r="G412" s="27" t="inlineStr">
        <is>
          <t>%30</t>
        </is>
      </c>
      <c r="H412" s="50">
        <f>F412/IF(Varsayimlar!$B$21=1,1.3,1)</f>
        <v/>
      </c>
      <c r="I412" s="51" t="n">
        <v>27.43</v>
      </c>
      <c r="J412" s="28">
        <f>H412*I412</f>
        <v/>
      </c>
      <c r="K412" s="52" t="inlineStr">
        <is>
          <t>GEÇMİŞ TEKLİF UYARLAMA</t>
        </is>
      </c>
      <c r="L412" s="7" t="inlineStr">
        <is>
          <t>REF-derin – İzmir Buca M. Signify 2021 downlight 20W 65,85 (M)+%30, ×0,8 (13W)→68,49; Ankara-Sivas YHT Platin 2019 downlight 24W (M+İ) 35,60 ×0,8 (13W)→28,48; Bursa T2 Haluk 2015 downlight 24W (M+İ) 32,96 ×0,8→26,37; Bursa T2 MET 2015 downlight 24W (M+İ) 30,00 ×0,8→24,00 → medyan 27,43 [Emsal ID: R00668;R00487;R00925;R00992]</t>
        </is>
      </c>
      <c r="M412" s="7" t="inlineStr">
        <is>
          <t>Spot 13W | İlk tahmin BF 30.00</t>
        </is>
      </c>
    </row>
    <row r="413" outlineLevel="1">
      <c r="A413" s="27" t="n"/>
      <c r="B413" s="27" t="inlineStr">
        <is>
          <t>5002.G</t>
        </is>
      </c>
      <c r="C413" s="7" t="inlineStr">
        <is>
          <t>D01 – 21W LED armatür / 21W ayna üstü LED (IP54)</t>
        </is>
      </c>
      <c r="D413" s="27" t="inlineStr">
        <is>
          <t>adet</t>
        </is>
      </c>
      <c r="E413" s="50" t="n">
        <v>13</v>
      </c>
      <c r="F413" s="50" t="n">
        <v>13</v>
      </c>
      <c r="G413" s="27" t="inlineStr">
        <is>
          <t>%30</t>
        </is>
      </c>
      <c r="H413" s="50">
        <f>F413/IF(Varsayimlar!$B$21=1,1.3,1)</f>
        <v/>
      </c>
      <c r="I413" s="51" t="n">
        <v>48.29</v>
      </c>
      <c r="J413" s="28">
        <f>H413*I413</f>
        <v/>
      </c>
      <c r="K413" s="52" t="inlineStr">
        <is>
          <t>GEÇMİŞ TEKLİF UYARLAMA</t>
        </is>
      </c>
      <c r="L413" s="7" t="inlineStr">
        <is>
          <t>REF-derin – İzmir Buca M. Signify 2021 LED18 L600 23,45 (M)+%30 montaj→30,48; Ankara-Sivas YHT Platin 2019 20W etanj (M+İ) 47,52; Bursa T2 Haluk 2015 19W etanj (M+İ) 59,38; Bursa T2 MET 2015 19W etanj (M+İ) 49,06 → medyan 48,29 [Emsal ID: R00667;R00488;R00923;R00990]</t>
        </is>
      </c>
      <c r="M413" s="7" t="inlineStr">
        <is>
          <t>LED 21W | İlk tahmin BF 40.00</t>
        </is>
      </c>
    </row>
    <row r="414" outlineLevel="1">
      <c r="A414" s="27" t="n"/>
      <c r="B414" s="27" t="inlineStr">
        <is>
          <t>5002.G</t>
        </is>
      </c>
      <c r="C414" s="7" t="inlineStr">
        <is>
          <t>D01 – Sıva üstü 24W ortam korumalı LED armatür (IP65)</t>
        </is>
      </c>
      <c r="D414" s="27" t="inlineStr">
        <is>
          <t>adet</t>
        </is>
      </c>
      <c r="E414" s="50" t="n">
        <v>108</v>
      </c>
      <c r="F414" s="50" t="n">
        <v>108</v>
      </c>
      <c r="G414" s="27" t="inlineStr">
        <is>
          <t>%30</t>
        </is>
      </c>
      <c r="H414" s="50">
        <f>F414/IF(Varsayimlar!$B$21=1,1.3,1)</f>
        <v/>
      </c>
      <c r="I414" s="51" t="n">
        <v>54.22</v>
      </c>
      <c r="J414" s="28">
        <f>H414*I414</f>
        <v/>
      </c>
      <c r="K414" s="52" t="inlineStr">
        <is>
          <t>GEÇMİŞ TEKLİF UYARLAMA</t>
        </is>
      </c>
      <c r="L414" s="7" t="inlineStr">
        <is>
          <t>REF-derin – İzmir Buca M. Signify 2021 LED18 L600 23,45 (M)+%30 montaj→30,48; Ankara-Sivas YHT Platin 2019 20W etanj (M+İ) 47,52; Bursa T2 Haluk 2015 19W etanj (M+İ) 59,38; Bursa T2 MET 2015 19W etanj (M+İ) 49,06; Bursa T2 Haluk 2015 23W etanj (M+İ) 94,22; Bursa T2 MET 2015 23W etanj (M+İ) 80,24 → medyan 54,22 [Emsal ID: R00667;R00488;R00923;R00990;R00922;R00989]</t>
        </is>
      </c>
      <c r="M414" s="7" t="inlineStr">
        <is>
          <t>LED 24W IP65 | İlk tahmin BF 50.00</t>
        </is>
      </c>
    </row>
    <row r="415" outlineLevel="1">
      <c r="A415" s="27" t="n"/>
      <c r="B415" s="27" t="inlineStr">
        <is>
          <t>5002.G</t>
        </is>
      </c>
      <c r="C415" s="7" t="inlineStr">
        <is>
          <t>D01 – Sıva üstü 30W ortam korumalı LED armatür (IP65)</t>
        </is>
      </c>
      <c r="D415" s="27" t="inlineStr">
        <is>
          <t>adet</t>
        </is>
      </c>
      <c r="E415" s="50" t="n">
        <v>181</v>
      </c>
      <c r="F415" s="50" t="n">
        <v>181</v>
      </c>
      <c r="G415" s="27" t="inlineStr">
        <is>
          <t>%30</t>
        </is>
      </c>
      <c r="H415" s="50">
        <f>F415/IF(Varsayimlar!$B$21=1,1.3,1)</f>
        <v/>
      </c>
      <c r="I415" s="51" t="n">
        <v>63.9</v>
      </c>
      <c r="J415" s="28">
        <f>H415*I415</f>
        <v/>
      </c>
      <c r="K415" s="52" t="inlineStr">
        <is>
          <t>GEÇMİŞ TEKLİF UYARLAMA</t>
        </is>
      </c>
      <c r="L415" s="7" t="inlineStr">
        <is>
          <t>REF-derin – ~30 W IP65 etanj: Philips 2021 WT166C 32,3 € (M)+%20=38,8; Bursa T2 Haluk 2015 23 W 94,2 €, MET 80,2 €; Platin 2019 20 W 47,5 € → medyan 63,9 € [Emsal ID: R00665;R00922;R00989;R00488]</t>
        </is>
      </c>
      <c r="M415" s="7" t="inlineStr">
        <is>
          <t>LED 30W IP65 | İlk tahmin BF 60.00</t>
        </is>
      </c>
    </row>
    <row r="416" outlineLevel="1">
      <c r="A416" s="27" t="n"/>
      <c r="B416" s="27" t="inlineStr">
        <is>
          <t>5002.G</t>
        </is>
      </c>
      <c r="C416" s="7" t="inlineStr">
        <is>
          <t>D01 – Atölye tipi 100W LED armatür (high-bay)</t>
        </is>
      </c>
      <c r="D416" s="27" t="inlineStr">
        <is>
          <t>adet</t>
        </is>
      </c>
      <c r="E416" s="50" t="n">
        <v>82</v>
      </c>
      <c r="F416" s="50" t="n">
        <v>82</v>
      </c>
      <c r="G416" s="27" t="inlineStr">
        <is>
          <t>%30</t>
        </is>
      </c>
      <c r="H416" s="50">
        <f>F416/IF(Varsayimlar!$B$21=1,1.3,1)</f>
        <v/>
      </c>
      <c r="I416" s="51" t="n">
        <v>160</v>
      </c>
      <c r="J416" s="28">
        <f>H416*I416</f>
        <v/>
      </c>
      <c r="K416" s="53" t="inlineStr">
        <is>
          <t>MÜHENDİSLİK TAHMİNİ</t>
        </is>
      </c>
      <c r="L416" s="7" t="inlineStr">
        <is>
          <t>TAHMIN (emsal yok) – High-bay 100 W için emsal yok; 160 € makul</t>
        </is>
      </c>
      <c r="M416" s="7" t="inlineStr">
        <is>
          <t>High-bay 100W</t>
        </is>
      </c>
    </row>
    <row r="417" outlineLevel="1">
      <c r="A417" s="27" t="n"/>
      <c r="B417" s="27" t="inlineStr">
        <is>
          <t>5002.G</t>
        </is>
      </c>
      <c r="C417" s="7" t="inlineStr">
        <is>
          <t>D01 – 125W LED projektör (IP66)</t>
        </is>
      </c>
      <c r="D417" s="27" t="inlineStr">
        <is>
          <t>adet</t>
        </is>
      </c>
      <c r="E417" s="50" t="n">
        <v>34</v>
      </c>
      <c r="F417" s="50" t="n">
        <v>34</v>
      </c>
      <c r="G417" s="27" t="inlineStr">
        <is>
          <t>-</t>
        </is>
      </c>
      <c r="H417" s="50">
        <f>F417</f>
        <v/>
      </c>
      <c r="I417" s="51" t="n">
        <v>246</v>
      </c>
      <c r="J417" s="28">
        <f>H417*I417</f>
        <v/>
      </c>
      <c r="K417" s="52" t="inlineStr">
        <is>
          <t>GEÇMİŞ TEKLİF UYARLAMA</t>
        </is>
      </c>
      <c r="L417" s="7" t="inlineStr">
        <is>
          <t>REF-derin(1) – Platin 2019 LED projektör ≤100 W 274,8 € ×1,1 (125 W) = 302 € → mevcut 190 ile harmanlandı [Emsal ID: R00490]</t>
        </is>
      </c>
      <c r="M417" s="7" t="inlineStr">
        <is>
          <t>Projektör 125W | İlk tahmin BF 190.00</t>
        </is>
      </c>
    </row>
    <row r="418" outlineLevel="1">
      <c r="A418" s="27" t="n"/>
      <c r="B418" s="27" t="inlineStr">
        <is>
          <t>5002.G</t>
        </is>
      </c>
      <c r="C418" s="7" t="inlineStr">
        <is>
          <t>D01 – Acil çıkış / yönlendirme LED armatürü 1x8W (UPS hattı)</t>
        </is>
      </c>
      <c r="D418" s="27" t="inlineStr">
        <is>
          <t>adet</t>
        </is>
      </c>
      <c r="E418" s="50" t="n">
        <v>25</v>
      </c>
      <c r="F418" s="50" t="n">
        <v>25</v>
      </c>
      <c r="G418" s="27" t="inlineStr">
        <is>
          <t>-</t>
        </is>
      </c>
      <c r="H418" s="50">
        <f>F418</f>
        <v/>
      </c>
      <c r="I418" s="51" t="n">
        <v>68.81</v>
      </c>
      <c r="J418" s="28">
        <f>H418*I418</f>
        <v/>
      </c>
      <c r="K418" s="52" t="inlineStr">
        <is>
          <t>GEÇMİŞ TEKLİF UYARLAMA</t>
        </is>
      </c>
      <c r="L418" s="7" t="inlineStr">
        <is>
          <t>REF-derin – Bursa T2 Haluk 2015 yönlendirme 2 saat (M+İ) 48,57; Başkentray Desat 2012 sürekli acil armatür (M+İ) 89,05 → medyan 68,81 [Emsal ID: R00905;R00531]</t>
        </is>
      </c>
      <c r="M418" s="7" t="inlineStr">
        <is>
          <t>Yönlendirme 8W | İlk tahmin BF 65.00</t>
        </is>
      </c>
    </row>
    <row r="419" outlineLevel="1">
      <c r="A419" s="27" t="n"/>
      <c r="B419" s="27" t="inlineStr">
        <is>
          <t>5002.G</t>
        </is>
      </c>
      <c r="C419" s="7" t="inlineStr">
        <is>
          <t>D01 – Kendinden bataryalı acil aydınlatma armatürü (E.L.)</t>
        </is>
      </c>
      <c r="D419" s="27" t="inlineStr">
        <is>
          <t>adet</t>
        </is>
      </c>
      <c r="E419" s="50" t="n">
        <v>32</v>
      </c>
      <c r="F419" s="50" t="n">
        <v>32</v>
      </c>
      <c r="G419" s="27" t="inlineStr">
        <is>
          <t>%30</t>
        </is>
      </c>
      <c r="H419" s="50">
        <f>F419/IF(Varsayimlar!$B$21=1,1.3,1)</f>
        <v/>
      </c>
      <c r="I419" s="51" t="n">
        <v>88.54000000000001</v>
      </c>
      <c r="J419" s="28">
        <f>H419*I419</f>
        <v/>
      </c>
      <c r="K419" s="52" t="inlineStr">
        <is>
          <t>GEÇMİŞ TEKLİF UYARLAMA</t>
        </is>
      </c>
      <c r="L419" s="7" t="inlineStr">
        <is>
          <t>REF-derin – Başkentray Desat 2012 acil armatür 3 saat (M+İ) 89,05; Ankara-Sivas YHT Platin 2019 20W etanj 47,52 + acil kit R00489 40,51 → 88,03 → medyan 88,54 [Emsal ID: R00531;R00488;R00489]</t>
        </is>
      </c>
      <c r="M419" s="7" t="inlineStr">
        <is>
          <t>Acil armatür | İlk tahmin BF 75.00</t>
        </is>
      </c>
    </row>
    <row r="420" outlineLevel="1">
      <c r="A420" s="27" t="n"/>
      <c r="B420" s="27" t="inlineStr">
        <is>
          <t>5002.G</t>
        </is>
      </c>
      <c r="C420" s="7" t="inlineStr">
        <is>
          <t>D01 – Aydınlatma anahtarı (adi komütatör vaviyen ortam korumalı karışık) + hareket sensörü</t>
        </is>
      </c>
      <c r="D420" s="27" t="inlineStr">
        <is>
          <t>adet</t>
        </is>
      </c>
      <c r="E420" s="50" t="n">
        <v>95</v>
      </c>
      <c r="F420" s="50" t="n">
        <v>95</v>
      </c>
      <c r="G420" s="27" t="inlineStr">
        <is>
          <t>-</t>
        </is>
      </c>
      <c r="H420" s="50">
        <f>F420</f>
        <v/>
      </c>
      <c r="I420" s="51" t="n">
        <v>20</v>
      </c>
      <c r="J420" s="28">
        <f>H420*I420</f>
        <v/>
      </c>
      <c r="K420" s="53" t="inlineStr">
        <is>
          <t>MÜHENDİSLİK TAHMİNİ</t>
        </is>
      </c>
      <c r="L420" s="7" t="inlineStr">
        <is>
          <t>TAHMIN (emsal yok) – Emsal yok (cihaz bazında; Bursa T2/Başkentray "priz sortisi" 25-91 € kablo dahil → kıyas dışı)</t>
        </is>
      </c>
      <c r="M420" s="7" t="inlineStr">
        <is>
          <t>Anahtar/sensör ort.</t>
        </is>
      </c>
    </row>
    <row r="421" outlineLevel="1">
      <c r="A421" s="27" t="n"/>
      <c r="B421" s="27" t="inlineStr">
        <is>
          <t>5002.G</t>
        </is>
      </c>
      <c r="C421" s="7" t="inlineStr">
        <is>
          <t>D01 – Monofaze topraklı priz 16A (normal + UPS kırmızı)</t>
        </is>
      </c>
      <c r="D421" s="27" t="inlineStr">
        <is>
          <t>adet</t>
        </is>
      </c>
      <c r="E421" s="50" t="n">
        <v>162</v>
      </c>
      <c r="F421" s="50" t="n">
        <v>162</v>
      </c>
      <c r="G421" s="27" t="inlineStr">
        <is>
          <t>-</t>
        </is>
      </c>
      <c r="H421" s="50">
        <f>F421</f>
        <v/>
      </c>
      <c r="I421" s="51" t="n">
        <v>15</v>
      </c>
      <c r="J421" s="28">
        <f>H421*I421</f>
        <v/>
      </c>
      <c r="K421" s="53" t="inlineStr">
        <is>
          <t>MÜHENDİSLİK TAHMİNİ</t>
        </is>
      </c>
      <c r="L421" s="7" t="inlineStr">
        <is>
          <t>TAHMIN (emsal yok) – Emsal yok (cihaz bazında; Bursa T2/Başkentray "priz sortisi" 25-91 € kablo dahil → kıyas dışı)</t>
        </is>
      </c>
      <c r="M421" s="7" t="inlineStr">
        <is>
          <t>Priz 16A</t>
        </is>
      </c>
    </row>
    <row r="422" outlineLevel="1">
      <c r="A422" s="27" t="n"/>
      <c r="B422" s="27" t="inlineStr">
        <is>
          <t>5002.G</t>
        </is>
      </c>
      <c r="C422" s="7" t="inlineStr">
        <is>
          <t>D01 – Özel güç prizi / besleme ucu 1F (el kurutma 600W ×2 + 1000W + 1050W ×2)</t>
        </is>
      </c>
      <c r="D422" s="27" t="inlineStr">
        <is>
          <t>adet</t>
        </is>
      </c>
      <c r="E422" s="50" t="n">
        <v>7</v>
      </c>
      <c r="F422" s="50" t="n">
        <v>7</v>
      </c>
      <c r="G422" s="27" t="inlineStr">
        <is>
          <t>%30</t>
        </is>
      </c>
      <c r="H422" s="50">
        <f>F422/IF(Varsayimlar!$B$21=1,1.3,1)</f>
        <v/>
      </c>
      <c r="I422" s="51" t="n">
        <v>40</v>
      </c>
      <c r="J422" s="28">
        <f>H422*I422</f>
        <v/>
      </c>
      <c r="K422" s="53" t="inlineStr">
        <is>
          <t>MÜHENDİSLİK TAHMİNİ</t>
        </is>
      </c>
      <c r="L422" s="7" t="inlineStr">
        <is>
          <t>TAHMIN (emsal yok) – Emsal yok (cihaz bazında; Bursa T2/Başkentray "priz sortisi" 25-91 € kablo dahil → kıyas dışı)</t>
        </is>
      </c>
      <c r="M422" s="7" t="inlineStr">
        <is>
          <t>Besleme ucu</t>
        </is>
      </c>
    </row>
    <row r="423" outlineLevel="1">
      <c r="A423" s="27" t="n"/>
      <c r="B423" s="27" t="inlineStr">
        <is>
          <t>5002.G</t>
        </is>
      </c>
      <c r="C423" s="7" t="inlineStr">
        <is>
          <t>D01 – Kombine priz kutusu (16A 1F + 32A 3F CEE IP44/67) – atölye kuvvet prizi</t>
        </is>
      </c>
      <c r="D423" s="27" t="inlineStr">
        <is>
          <t>adet</t>
        </is>
      </c>
      <c r="E423" s="50" t="n">
        <v>101</v>
      </c>
      <c r="F423" s="50" t="n">
        <v>101</v>
      </c>
      <c r="G423" s="27" t="inlineStr">
        <is>
          <t>%30</t>
        </is>
      </c>
      <c r="H423" s="50">
        <f>F423/IF(Varsayimlar!$B$21=1,1.3,1)</f>
        <v/>
      </c>
      <c r="I423" s="51" t="n">
        <v>120</v>
      </c>
      <c r="J423" s="28">
        <f>H423*I423</f>
        <v/>
      </c>
      <c r="K423" s="53" t="inlineStr">
        <is>
          <t>MÜHENDİSLİK TAHMİNİ</t>
        </is>
      </c>
      <c r="L423" s="7" t="inlineStr">
        <is>
          <t>TAHMIN (emsal yok) – Kombine CEE priz kutusu emsal yok</t>
        </is>
      </c>
      <c r="M423" s="7" t="inlineStr">
        <is>
          <t>Kombine priz kutusu</t>
        </is>
      </c>
    </row>
    <row r="424" outlineLevel="1">
      <c r="A424" s="27" t="n"/>
      <c r="B424" s="27" t="inlineStr">
        <is>
          <t>5002.G</t>
        </is>
      </c>
      <c r="C424" s="7" t="inlineStr">
        <is>
          <t>D01 – Mutfak/ekipman besleme ucu (MP/101 BESLEME UCU)</t>
        </is>
      </c>
      <c r="D424" s="27" t="inlineStr">
        <is>
          <t>adet</t>
        </is>
      </c>
      <c r="E424" s="50" t="n">
        <v>9</v>
      </c>
      <c r="F424" s="50" t="n">
        <v>9</v>
      </c>
      <c r="G424" s="27" t="inlineStr">
        <is>
          <t>-</t>
        </is>
      </c>
      <c r="H424" s="50">
        <f>F424</f>
        <v/>
      </c>
      <c r="I424" s="51" t="n">
        <v>40</v>
      </c>
      <c r="J424" s="28">
        <f>H424*I424</f>
        <v/>
      </c>
      <c r="K424" s="53" t="inlineStr">
        <is>
          <t>MÜHENDİSLİK TAHMİNİ</t>
        </is>
      </c>
      <c r="L424" s="7" t="inlineStr">
        <is>
          <t>TAHMIN (emsal yok) – Emsal yok (komple tali pano; İzmir Buca TEDAK 2021 tali pano ort. 3.010 € (M) metro/daha büyük, Bursa T2 "özel saç pano" yalnız gövde → kıyas dışı)</t>
        </is>
      </c>
      <c r="M424" s="7" t="inlineStr">
        <is>
          <t>Besleme ucu</t>
        </is>
      </c>
    </row>
    <row r="425" outlineLevel="1">
      <c r="A425" s="27" t="n"/>
      <c r="B425" s="27" t="inlineStr">
        <is>
          <t>5002.G</t>
        </is>
      </c>
      <c r="C425" s="7" t="inlineStr">
        <is>
          <t>D01 – APP aydınlatma-priz tali panoları (APP/101 APP/Z01 APP/Z02 APP/Z03)</t>
        </is>
      </c>
      <c r="D425" s="27" t="inlineStr">
        <is>
          <t>adet</t>
        </is>
      </c>
      <c r="E425" s="50" t="n">
        <v>4</v>
      </c>
      <c r="F425" s="50" t="n">
        <v>4</v>
      </c>
      <c r="G425" s="27" t="inlineStr">
        <is>
          <t>-</t>
        </is>
      </c>
      <c r="H425" s="50">
        <f>F425</f>
        <v/>
      </c>
      <c r="I425" s="51" t="n">
        <v>2920</v>
      </c>
      <c r="J425" s="28">
        <f>H425*I425</f>
        <v/>
      </c>
      <c r="K425" s="52" t="inlineStr">
        <is>
          <t>GEÇMİŞ TEKLİF UYARLAMA</t>
        </is>
      </c>
      <c r="L425" s="7" t="inlineStr">
        <is>
          <t>REF-derin – Buca TEDAK 2021 tali dağıtım panosu SCT duvar tipi IP65 ort. 3.011 €, GSP ort. 2.828 € → medyan 2.920 € (mevcut 1.800/2.500 düşük) [Emsal ID: R00720;R00721]</t>
        </is>
      </c>
      <c r="M425" s="7" t="inlineStr">
        <is>
          <t>APP tali pano | İlk tahmin BF 1,800.00</t>
        </is>
      </c>
    </row>
    <row r="426" outlineLevel="1">
      <c r="A426" s="27" t="n"/>
      <c r="B426" s="27" t="inlineStr">
        <is>
          <t>5002.G</t>
        </is>
      </c>
      <c r="C426" s="7" t="inlineStr">
        <is>
          <t>D01 – UPP UPS'ten beslenen aydınlatma-priz panoları (UPP/101 UPP/Z01 UPP/Z02 UPP/Z03)</t>
        </is>
      </c>
      <c r="D426" s="27" t="inlineStr">
        <is>
          <t>adet</t>
        </is>
      </c>
      <c r="E426" s="50" t="n">
        <v>4</v>
      </c>
      <c r="F426" s="50" t="n">
        <v>4</v>
      </c>
      <c r="G426" s="27" t="inlineStr">
        <is>
          <t>-</t>
        </is>
      </c>
      <c r="H426" s="50">
        <f>F426</f>
        <v/>
      </c>
      <c r="I426" s="51" t="n">
        <v>2920</v>
      </c>
      <c r="J426" s="28">
        <f>H426*I426</f>
        <v/>
      </c>
      <c r="K426" s="52" t="inlineStr">
        <is>
          <t>GEÇMİŞ TEKLİF UYARLAMA</t>
        </is>
      </c>
      <c r="L426" s="7" t="inlineStr">
        <is>
          <t>REF-derin – Buca TEDAK 2021 tali dağıtım panosu SCT duvar tipi IP65 ort. 3.011 €, GSP ort. 2.828 € → medyan 2.920 € (mevcut 1.800/2.500 düşük) [Emsal ID: R00720;R00721]</t>
        </is>
      </c>
      <c r="M426" s="7" t="inlineStr">
        <is>
          <t>UPP tali pano | İlk tahmin BF 1,800.00</t>
        </is>
      </c>
    </row>
    <row r="427" outlineLevel="1">
      <c r="A427" s="27" t="n"/>
      <c r="B427" s="27" t="inlineStr">
        <is>
          <t>5002.G</t>
        </is>
      </c>
      <c r="C427" s="7" t="inlineStr">
        <is>
          <t>D01 – AKT atölye kuvvet/priz tali panoları (AKT/001..004)</t>
        </is>
      </c>
      <c r="D427" s="27" t="inlineStr">
        <is>
          <t>adet</t>
        </is>
      </c>
      <c r="E427" s="50" t="n">
        <v>4</v>
      </c>
      <c r="F427" s="50" t="n">
        <v>4</v>
      </c>
      <c r="G427" s="27" t="inlineStr">
        <is>
          <t>-</t>
        </is>
      </c>
      <c r="H427" s="50">
        <f>F427</f>
        <v/>
      </c>
      <c r="I427" s="51" t="n">
        <v>2920</v>
      </c>
      <c r="J427" s="28">
        <f>H427*I427</f>
        <v/>
      </c>
      <c r="K427" s="52" t="inlineStr">
        <is>
          <t>GEÇMİŞ TEKLİF UYARLAMA</t>
        </is>
      </c>
      <c r="L427" s="7" t="inlineStr">
        <is>
          <t>REF-derin – Buca TEDAK 2021 tali dağıtım panosu SCT duvar tipi IP65 ort. 3.011 €, GSP ort. 2.828 € → medyan 2.920 € (mevcut 1.800/2.500 düşük) [Emsal ID: R00720;R00721]</t>
        </is>
      </c>
      <c r="M427" s="7" t="inlineStr">
        <is>
          <t>AKT kuvvet panosu | İlk tahmin BF 2,500.00</t>
        </is>
      </c>
    </row>
    <row r="428" outlineLevel="1">
      <c r="A428" s="27" t="n"/>
      <c r="B428" s="27" t="inlineStr">
        <is>
          <t>5002.G</t>
        </is>
      </c>
      <c r="C428" s="7" t="inlineStr">
        <is>
          <t>D01 – Atölye bölüm priz panoları (BPP EBP IMP KAP MBP /Z01)</t>
        </is>
      </c>
      <c r="D428" s="27" t="inlineStr">
        <is>
          <t>adet</t>
        </is>
      </c>
      <c r="E428" s="50" t="n">
        <v>5</v>
      </c>
      <c r="F428" s="50" t="n">
        <v>5</v>
      </c>
      <c r="G428" s="27" t="inlineStr">
        <is>
          <t>-</t>
        </is>
      </c>
      <c r="H428" s="50">
        <f>F428</f>
        <v/>
      </c>
      <c r="I428" s="51" t="n">
        <v>1500</v>
      </c>
      <c r="J428" s="28">
        <f>H428*I428</f>
        <v/>
      </c>
      <c r="K428" s="53" t="inlineStr">
        <is>
          <t>MÜHENDİSLİK TAHMİNİ</t>
        </is>
      </c>
      <c r="L428" s="7" t="inlineStr">
        <is>
          <t>TAHMIN (emsal yok) – Bölüm priz panoları daha küçük; TEDAK tali (3.011) üst sınır, 1.500 korundu [Emsal ID: R00720]</t>
        </is>
      </c>
      <c r="M428" s="7" t="inlineStr">
        <is>
          <t>Bölüm priz panosu</t>
        </is>
      </c>
    </row>
    <row r="429" outlineLevel="1">
      <c r="A429" s="27" t="n"/>
      <c r="B429" s="27" t="inlineStr">
        <is>
          <t>5002.G</t>
        </is>
      </c>
      <c r="C429" s="7" t="inlineStr">
        <is>
          <t>D01 – TCC ve zayıf akım UPS priz panoları (TCCP/101 ZDUP/101)</t>
        </is>
      </c>
      <c r="D429" s="27" t="inlineStr">
        <is>
          <t>adet</t>
        </is>
      </c>
      <c r="E429" s="50" t="n">
        <v>2</v>
      </c>
      <c r="F429" s="50" t="n">
        <v>2</v>
      </c>
      <c r="G429" s="27" t="inlineStr">
        <is>
          <t>-</t>
        </is>
      </c>
      <c r="H429" s="50">
        <f>F429</f>
        <v/>
      </c>
      <c r="I429" s="51" t="n">
        <v>1500</v>
      </c>
      <c r="J429" s="28">
        <f>H429*I429</f>
        <v/>
      </c>
      <c r="K429" s="53" t="inlineStr">
        <is>
          <t>MÜHENDİSLİK TAHMİNİ</t>
        </is>
      </c>
      <c r="L429" s="7" t="inlineStr">
        <is>
          <t>TAHMIN (emsal yok) – Emsal yok (komple tali pano; İzmir Buca TEDAK 2021 tali pano ort. 3.010 € (M) metro/daha büyük, Bursa T2 "özel saç pano" yalnız gövde → kıyas dışı)</t>
        </is>
      </c>
      <c r="M429" s="7" t="inlineStr">
        <is>
          <t>UPS priz panosu</t>
        </is>
      </c>
    </row>
    <row r="430" outlineLevel="1">
      <c r="A430" s="27" t="n"/>
      <c r="B430" s="27" t="inlineStr">
        <is>
          <t>5002.G</t>
        </is>
      </c>
      <c r="C430" s="7" t="inlineStr">
        <is>
          <t>D01 – Mutfak/besleme ucu panosu MP/101</t>
        </is>
      </c>
      <c r="D430" s="27" t="inlineStr">
        <is>
          <t>adet</t>
        </is>
      </c>
      <c r="E430" s="50" t="n">
        <v>1</v>
      </c>
      <c r="F430" s="50" t="n">
        <v>1</v>
      </c>
      <c r="G430" s="27" t="inlineStr">
        <is>
          <t>-</t>
        </is>
      </c>
      <c r="H430" s="50">
        <f>F430</f>
        <v/>
      </c>
      <c r="I430" s="51" t="n">
        <v>1000</v>
      </c>
      <c r="J430" s="28">
        <f>H430*I430</f>
        <v/>
      </c>
      <c r="K430" s="53" t="inlineStr">
        <is>
          <t>MÜHENDİSLİK TAHMİNİ</t>
        </is>
      </c>
      <c r="L430" s="7" t="inlineStr">
        <is>
          <t>TAHMIN (emsal yok) – Emsal yok (komple tali pano; İzmir Buca TEDAK 2021 tali pano ort. 3.010 € (M) metro/daha büyük, Bursa T2 "özel saç pano" yalnız gövde → kıyas dışı)</t>
        </is>
      </c>
      <c r="M430" s="7" t="inlineStr">
        <is>
          <t>MP panosu</t>
        </is>
      </c>
    </row>
    <row r="431" outlineLevel="1">
      <c r="A431" s="27" t="n"/>
      <c r="B431" s="27" t="inlineStr">
        <is>
          <t>5002.G</t>
        </is>
      </c>
      <c r="C431" s="7" t="inlineStr">
        <is>
          <t>D01 – UPS 30 kVA 3F/3F online + by-pass (bina UPS ve TCC UPS)</t>
        </is>
      </c>
      <c r="D431" s="27" t="inlineStr">
        <is>
          <t>adet</t>
        </is>
      </c>
      <c r="E431" s="50" t="n">
        <v>2</v>
      </c>
      <c r="F431" s="50" t="n">
        <v>2</v>
      </c>
      <c r="G431" s="27" t="inlineStr">
        <is>
          <t>-</t>
        </is>
      </c>
      <c r="H431" s="50">
        <f>F431</f>
        <v/>
      </c>
      <c r="I431" s="51" t="n">
        <v>9800</v>
      </c>
      <c r="J431" s="28">
        <f>H431*I431</f>
        <v/>
      </c>
      <c r="K431" s="52" t="inlineStr">
        <is>
          <t>GEÇMİŞ TEKLİF UYARLAMA</t>
        </is>
      </c>
      <c r="L431" s="7" t="inlineStr">
        <is>
          <t>REF-derin(1) – 30 kVA UPS: Buca 2021 20/40 kVA+120 dk tekliflerinden akü ayrıştırılarak 30 kVA gövde ~7,5 k€ (M)+%15 = 8.600; (Bursa T2 hizmet binası UPS 10,5–11 k€ akülü, kVA belirsiz) → mevcut 11.000 ile harmanlandı [Emsal ID: R00677;R00675;R00895;R00966]</t>
        </is>
      </c>
      <c r="M431" s="7" t="inlineStr">
        <is>
          <t>UPS 30 kVA kurulu | İlk tahmin BF 11,000.00</t>
        </is>
      </c>
    </row>
    <row r="432" outlineLevel="1">
      <c r="A432" s="27" t="n"/>
      <c r="B432" s="27" t="inlineStr">
        <is>
          <t>5002.G</t>
        </is>
      </c>
      <c r="C432" s="7" t="inlineStr">
        <is>
          <t>D01 – UPS akü grubu VRLA 2 saat otonomi (30 kVA) – 40×12V 200Ah blok (480 V DC) + akü rafı/kabini</t>
        </is>
      </c>
      <c r="D432" s="27" t="inlineStr">
        <is>
          <t>takım</t>
        </is>
      </c>
      <c r="E432" s="50" t="n">
        <v>2</v>
      </c>
      <c r="F432" s="50" t="n">
        <v>2</v>
      </c>
      <c r="G432" s="27" t="inlineStr">
        <is>
          <t>-</t>
        </is>
      </c>
      <c r="H432" s="50">
        <f>F432</f>
        <v/>
      </c>
      <c r="I432" s="51" t="n">
        <v>17000</v>
      </c>
      <c r="J432" s="28">
        <f>H432*I432</f>
        <v/>
      </c>
      <c r="K432" s="53" t="inlineStr">
        <is>
          <t>MÜHENDİSLİK TAHMİNİ</t>
        </is>
      </c>
      <c r="L432" s="7" t="inlineStr">
        <is>
          <t>TAHMIN (emsal yok) – 40×12V200Ah akü+raf: blok bazlı 2026 piyasa ~18 k€ ile tutarlı; refler tekil küçük alım – korundu [Emsal ID: R01952;R01745]</t>
        </is>
      </c>
      <c r="M432" s="7" t="inlineStr">
        <is>
          <t>Akü 2 saat (istasyon değil, değişmedi)</t>
        </is>
      </c>
    </row>
    <row r="433" outlineLevel="1">
      <c r="A433" s="27" t="n"/>
      <c r="B433" s="27" t="inlineStr">
        <is>
          <t>5002.G</t>
        </is>
      </c>
      <c r="C433" s="7" t="inlineStr">
        <is>
          <t>D01 – N2XH 3x2,5 mm² aydınlatma linye + sorti</t>
        </is>
      </c>
      <c r="D433" s="27" t="inlineStr">
        <is>
          <t>m</t>
        </is>
      </c>
      <c r="E433" s="50" t="n">
        <v>2753.3</v>
      </c>
      <c r="F433" s="50" t="n">
        <v>2753.3</v>
      </c>
      <c r="G433" s="27" t="inlineStr">
        <is>
          <t>fire+%30</t>
        </is>
      </c>
      <c r="H433" s="50">
        <f>F433/IF(Varsayimlar!$B$21=1,1.43,1)</f>
        <v/>
      </c>
      <c r="I433" s="51" t="n">
        <v>2.6</v>
      </c>
      <c r="J433" s="28">
        <f>H433*I433</f>
        <v/>
      </c>
      <c r="K433" s="53" t="inlineStr">
        <is>
          <t>MÜHENDİSLİK TAHMİNİ</t>
        </is>
      </c>
      <c r="L433" s="7" t="inlineStr">
        <is>
          <t>TAHMIN (emsal yok) – Linye+sorti metre fiyatı – refler adet bazlı sorti (Haluk 11,6–25,3 €/adet), metreye çevrilemez [Emsal ID: R00929;R00930]</t>
        </is>
      </c>
      <c r="M433" s="7" t="inlineStr">
        <is>
          <t>Linye+sorti</t>
        </is>
      </c>
    </row>
    <row r="434" outlineLevel="1">
      <c r="A434" s="27" t="n"/>
      <c r="B434" s="27" t="inlineStr">
        <is>
          <t>5002.G</t>
        </is>
      </c>
      <c r="C434" s="7" t="inlineStr">
        <is>
          <t>D01 – N2XH-FE180 3x2,5 mm² acil (UPP) aydınlatma linye + sorti</t>
        </is>
      </c>
      <c r="D434" s="27" t="inlineStr">
        <is>
          <t>m</t>
        </is>
      </c>
      <c r="E434" s="50" t="n">
        <v>3171.3</v>
      </c>
      <c r="F434" s="50" t="n">
        <v>3171.3</v>
      </c>
      <c r="G434" s="27" t="inlineStr">
        <is>
          <t>fire+%30</t>
        </is>
      </c>
      <c r="H434" s="50">
        <f>F434/IF(Varsayimlar!$B$21=1,1.43,1)</f>
        <v/>
      </c>
      <c r="I434" s="51" t="n">
        <v>3.5</v>
      </c>
      <c r="J434" s="28">
        <f>H434*I434</f>
        <v/>
      </c>
      <c r="K434" s="53" t="inlineStr">
        <is>
          <t>MÜHENDİSLİK TAHMİNİ</t>
        </is>
      </c>
      <c r="L434" s="7" t="inlineStr">
        <is>
          <t>TAHMIN (emsal yok) – Linye+sorti metre fiyatı – refler adet bazlı sorti (Haluk 11,6–25,3 €/adet), metreye çevrilemez [Emsal ID: R00929;R00930]</t>
        </is>
      </c>
      <c r="M434" s="7" t="inlineStr">
        <is>
          <t>FE180 linye+sorti</t>
        </is>
      </c>
    </row>
    <row r="435" outlineLevel="1">
      <c r="A435" s="27" t="n"/>
      <c r="B435" s="27" t="inlineStr">
        <is>
          <t>5002.G</t>
        </is>
      </c>
      <c r="C435" s="7" t="inlineStr">
        <is>
          <t>D01 – N2XH 3x4 mm² aydınlatma linyesi (atölye high-bay)</t>
        </is>
      </c>
      <c r="D435" s="27" t="inlineStr">
        <is>
          <t>m</t>
        </is>
      </c>
      <c r="E435" s="50" t="n">
        <v>913</v>
      </c>
      <c r="F435" s="50" t="n">
        <v>913</v>
      </c>
      <c r="G435" s="27" t="inlineStr">
        <is>
          <t>fire+%30</t>
        </is>
      </c>
      <c r="H435" s="50">
        <f>F435/IF(Varsayimlar!$B$21=1,1.43,1)</f>
        <v/>
      </c>
      <c r="I435" s="51" t="n">
        <v>3.13</v>
      </c>
      <c r="J435" s="28">
        <f>H435*I435</f>
        <v/>
      </c>
      <c r="K435" s="52" t="inlineStr">
        <is>
          <t>GEÇMİŞ TEKLİF UYARLAMA</t>
        </is>
      </c>
      <c r="L435" s="7" t="inlineStr">
        <is>
          <t>REF-derin – İzmir Narlıdere M. Uskom 2018 N2XH 3x4 (M+İ) 2,67; Kabataş-Mahmutbey M. Uskom 2015 N2XH 3x4 (M+İ) 3,60 → medyan 3,13 [Emsal ID: R01697;R02744]</t>
        </is>
      </c>
      <c r="M435" s="7" t="inlineStr">
        <is>
          <t>N2XH 3x4 | İlk tahmin BF 3.30</t>
        </is>
      </c>
    </row>
    <row r="436" outlineLevel="1">
      <c r="A436" s="27" t="n"/>
      <c r="B436" s="27" t="inlineStr">
        <is>
          <t>5002.G</t>
        </is>
      </c>
      <c r="C436" s="7" t="inlineStr">
        <is>
          <t>D01 – N2XH 3x6 mm² aydınlatma linyesi (atölye uzun linyeler)</t>
        </is>
      </c>
      <c r="D436" s="27" t="inlineStr">
        <is>
          <t>m</t>
        </is>
      </c>
      <c r="E436" s="50" t="n">
        <v>695.2</v>
      </c>
      <c r="F436" s="50" t="n">
        <v>695.2</v>
      </c>
      <c r="G436" s="27" t="inlineStr">
        <is>
          <t>fire+%30</t>
        </is>
      </c>
      <c r="H436" s="50">
        <f>F436/IF(Varsayimlar!$B$21=1,1.43,1)</f>
        <v/>
      </c>
      <c r="I436" s="51" t="n">
        <v>2.96</v>
      </c>
      <c r="J436" s="28">
        <f>H436*I436</f>
        <v/>
      </c>
      <c r="K436" s="52" t="inlineStr">
        <is>
          <t>GEÇMİŞ TEKLİF UYARLAMA</t>
        </is>
      </c>
      <c r="L436" s="7" t="inlineStr">
        <is>
          <t>REF-derin – İzmir Buca M. Prysmian 2021 4x6 3,59 (M)+%35, ×3/4 damar→3,64; Bursa T2 Delta 2015 4x6 2,55 (M)+%35, ×3/4 damar→2,59; Bursa T2 Haluk 2015 4x6 3,51 ×3/4 damar→2,63; Bursa T2 MET 2015 4x6 4,40 ×3/4 damar→3,30 → medyan 2,96 [Emsal ID: R00687;R00850;R00903;R00974]</t>
        </is>
      </c>
      <c r="M436" s="7" t="inlineStr">
        <is>
          <t>N2XH 3x6 | İlk tahmin BF 4.50</t>
        </is>
      </c>
    </row>
    <row r="437" outlineLevel="1">
      <c r="A437" s="27" t="n"/>
      <c r="B437" s="27" t="inlineStr">
        <is>
          <t>5002.G</t>
        </is>
      </c>
      <c r="C437" s="7" t="inlineStr">
        <is>
          <t>D01 – N2XH 5x2,5 mm² aydınlatma linyesi</t>
        </is>
      </c>
      <c r="D437" s="27" t="inlineStr">
        <is>
          <t>m</t>
        </is>
      </c>
      <c r="E437" s="50" t="n">
        <v>93.5</v>
      </c>
      <c r="F437" s="50" t="n">
        <v>93.5</v>
      </c>
      <c r="G437" s="27" t="inlineStr">
        <is>
          <t>fire+%30</t>
        </is>
      </c>
      <c r="H437" s="50">
        <f>F437/IF(Varsayimlar!$B$21=1,1.43,1)</f>
        <v/>
      </c>
      <c r="I437" s="51" t="n">
        <v>2.64</v>
      </c>
      <c r="J437" s="28">
        <f>H437*I437</f>
        <v/>
      </c>
      <c r="K437" s="52" t="inlineStr">
        <is>
          <t>GEÇMİŞ TEKLİF UYARLAMA</t>
        </is>
      </c>
      <c r="L437" s="7" t="inlineStr">
        <is>
          <t>REF-derin – İzmir Buca M. Prysmian 2021 5x2,5 2,02 (M)+%35 montaj→2,73; Bursa T2 Delta 2015 5x2,5 1,57 (M)+%35 montaj→2,12; Bursa T2 Haluk 2015 5x2,5 2,54; Bursa T2 MET 2015 5x2,5 2,78 → medyan 2,64 [Emsal ID: R00686;R00849;R00904;R00975]</t>
        </is>
      </c>
      <c r="M437" s="7" t="inlineStr">
        <is>
          <t>N2XH 5x2,5 | İlk tahmin BF 3.50</t>
        </is>
      </c>
    </row>
    <row r="438" outlineLevel="1">
      <c r="A438" s="27" t="n"/>
      <c r="B438" s="27" t="inlineStr">
        <is>
          <t>5002.G</t>
        </is>
      </c>
      <c r="C438" s="7" t="inlineStr">
        <is>
          <t>D01 – N2XH 3x2,5 mm² priz linye + sorti</t>
        </is>
      </c>
      <c r="D438" s="27" t="inlineStr">
        <is>
          <t>m</t>
        </is>
      </c>
      <c r="E438" s="50" t="n">
        <v>666</v>
      </c>
      <c r="F438" s="50" t="n">
        <v>666</v>
      </c>
      <c r="G438" s="27" t="inlineStr">
        <is>
          <t>fire+%30</t>
        </is>
      </c>
      <c r="H438" s="50">
        <f>F438/IF(Varsayimlar!$B$21=1,1.43,1)</f>
        <v/>
      </c>
      <c r="I438" s="51" t="n">
        <v>1.96</v>
      </c>
      <c r="J438" s="28">
        <f>H438*I438</f>
        <v/>
      </c>
      <c r="K438" s="52" t="inlineStr">
        <is>
          <t>GEÇMİŞ TEKLİF UYARLAMA</t>
        </is>
      </c>
      <c r="L438"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438" s="7" t="inlineStr">
        <is>
          <t>Linye+sorti | İlk tahmin BF 2.60</t>
        </is>
      </c>
    </row>
    <row r="439" outlineLevel="1">
      <c r="A439" s="27" t="n"/>
      <c r="B439" s="27" t="inlineStr">
        <is>
          <t>5002.G</t>
        </is>
      </c>
      <c r="C439" s="7" t="inlineStr">
        <is>
          <t>D01 – N2XH-FE180 3x2,5 mm² UPS priz linye + sorti</t>
        </is>
      </c>
      <c r="D439" s="27" t="inlineStr">
        <is>
          <t>m</t>
        </is>
      </c>
      <c r="E439" s="50" t="n">
        <v>1103</v>
      </c>
      <c r="F439" s="50" t="n">
        <v>1103</v>
      </c>
      <c r="G439" s="27" t="inlineStr">
        <is>
          <t>-</t>
        </is>
      </c>
      <c r="H439" s="50">
        <f>F439</f>
        <v/>
      </c>
      <c r="I439" s="51" t="n">
        <v>3.92</v>
      </c>
      <c r="J439" s="28">
        <f>H439*I439</f>
        <v/>
      </c>
      <c r="K439" s="52" t="inlineStr">
        <is>
          <t>GEÇMİŞ TEKLİF UYARLAMA</t>
        </is>
      </c>
      <c r="L439" s="7" t="inlineStr">
        <is>
          <t>REF-derin – Pendik-Kaynarca M. YM 2022 NHXMH FE180 3x2,5 3,35 (M)+%40 montaj+sorti→4,69; İzmir Narlıdere M. Uskom 2018 FE180 2x2,5 (M+İ) 2,05 ×1,4 (3 damar), +%10 sorti→3,15 → medyan 3,92 [Emsal ID: R02988;R01756]</t>
        </is>
      </c>
      <c r="M439" s="7" t="inlineStr">
        <is>
          <t>FE180 linye+sorti | İlk tahmin BF 3.50</t>
        </is>
      </c>
    </row>
    <row r="440" outlineLevel="1">
      <c r="A440" s="27" t="n"/>
      <c r="B440" s="27" t="inlineStr">
        <is>
          <t>5002.G</t>
        </is>
      </c>
      <c r="C440" s="7" t="inlineStr">
        <is>
          <t>D01 – N2XH-FE180 3x6 mm² özel priz linyesi</t>
        </is>
      </c>
      <c r="D440" s="27" t="inlineStr">
        <is>
          <t>m</t>
        </is>
      </c>
      <c r="E440" s="50" t="n">
        <v>315</v>
      </c>
      <c r="F440" s="50" t="n">
        <v>315</v>
      </c>
      <c r="G440" s="27" t="inlineStr">
        <is>
          <t>fire+%30</t>
        </is>
      </c>
      <c r="H440" s="50">
        <f>F440/IF(Varsayimlar!$B$21=1,1.43,1)</f>
        <v/>
      </c>
      <c r="I440" s="51" t="n">
        <v>3.96</v>
      </c>
      <c r="J440" s="28">
        <f>H440*I440</f>
        <v/>
      </c>
      <c r="K440" s="52" t="inlineStr">
        <is>
          <t>GEÇMİŞ TEKLİF UYARLAMA</t>
        </is>
      </c>
      <c r="L440" s="7" t="inlineStr">
        <is>
          <t>REF-derin – İzmir Buca M. Prysmian 2021 FE180 4x10 6,45 (M)+%25, ×18/40 Cu→3,63; İzmir Buca M. Prysmian 2021 N2XH 4x6 3,59 (M)+%35, ×3/4 damar, +%30 FE180→4,73; Bursa T2 Haluk 2015 N2XH 4x6 3,51 ×3/4, +%30 FE180→3,42; Bursa T2 MET 2015 N2XH 4x6 4,40 ×3/4, +%30 FE180→4,29 → medyan 3,96 [Emsal ID: R00691;R00687;R00903;R00974]</t>
        </is>
      </c>
      <c r="M440" s="7" t="inlineStr">
        <is>
          <t>FE180 3x6 | İlk tahmin BF 5.80</t>
        </is>
      </c>
    </row>
    <row r="441" outlineLevel="1">
      <c r="A441" s="27" t="n"/>
      <c r="B441" s="27" t="inlineStr">
        <is>
          <t>5002.G</t>
        </is>
      </c>
      <c r="C441" s="7" t="inlineStr">
        <is>
          <t>D01 – N2XH 5x10 mm² kombine priz kutusu linyesi</t>
        </is>
      </c>
      <c r="D441" s="27" t="inlineStr">
        <is>
          <t>m</t>
        </is>
      </c>
      <c r="E441" s="50" t="n">
        <v>2542</v>
      </c>
      <c r="F441" s="50" t="n">
        <v>2542</v>
      </c>
      <c r="G441" s="27" t="inlineStr">
        <is>
          <t>fire+%30</t>
        </is>
      </c>
      <c r="H441" s="50">
        <f>F441/IF(Varsayimlar!$B$21=1,1.43,1)</f>
        <v/>
      </c>
      <c r="I441" s="51" t="n">
        <v>8.4</v>
      </c>
      <c r="J441" s="28">
        <f>H441*I441</f>
        <v/>
      </c>
      <c r="K441" s="52" t="inlineStr">
        <is>
          <t>GEÇMİŞ TEKLİF UYARLAMA</t>
        </is>
      </c>
      <c r="L441" s="7" t="inlineStr">
        <is>
          <t>REF-derin(1) – Prysmian 2021 FE180 4x10 6,5 €/m → N2XH 5x10 ≈6,5 € (M)+%20=7,8 → mevcut 9,0 ile harmanlandı [Emsal ID: R00691]</t>
        </is>
      </c>
      <c r="M441" s="7" t="inlineStr">
        <is>
          <t>N2XH 5x10 | İlk tahmin BF 9.00</t>
        </is>
      </c>
    </row>
    <row r="442" outlineLevel="1">
      <c r="A442" s="27" t="n"/>
      <c r="B442" s="27" t="inlineStr">
        <is>
          <t>5002.G</t>
        </is>
      </c>
      <c r="C442" s="7" t="inlineStr">
        <is>
          <t>D01 – N2XH 3x2,5 mm² besleme ucu linyesi (MP/101)</t>
        </is>
      </c>
      <c r="D442" s="27" t="inlineStr">
        <is>
          <t>m</t>
        </is>
      </c>
      <c r="E442" s="50" t="n">
        <v>115.5</v>
      </c>
      <c r="F442" s="50" t="n">
        <v>115.5</v>
      </c>
      <c r="G442" s="27" t="inlineStr">
        <is>
          <t>fire+%30</t>
        </is>
      </c>
      <c r="H442" s="50">
        <f>F442/IF(Varsayimlar!$B$21=1,1.43,1)</f>
        <v/>
      </c>
      <c r="I442" s="51" t="n">
        <v>1.96</v>
      </c>
      <c r="J442" s="28">
        <f>H442*I442</f>
        <v/>
      </c>
      <c r="K442" s="52" t="inlineStr">
        <is>
          <t>GEÇMİŞ TEKLİF UYARLAMA</t>
        </is>
      </c>
      <c r="L442"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442" s="7" t="inlineStr">
        <is>
          <t>Linye | İlk tahmin BF 2.60</t>
        </is>
      </c>
    </row>
    <row r="443" outlineLevel="1">
      <c r="A443" s="27" t="n"/>
      <c r="B443" s="27" t="inlineStr">
        <is>
          <t>5002.G</t>
        </is>
      </c>
      <c r="C443" s="7" t="inlineStr">
        <is>
          <t>D01 – Aktif paratoner (yakalama ucu + 6 m direk + iniş iletkeni 50 mm² Cu ~2×20 m + test klemensi + elektrot)</t>
        </is>
      </c>
      <c r="D443" s="27" t="inlineStr">
        <is>
          <t>takım</t>
        </is>
      </c>
      <c r="E443" s="50" t="n">
        <v>1</v>
      </c>
      <c r="F443" s="50" t="n">
        <v>1</v>
      </c>
      <c r="G443" s="27" t="inlineStr">
        <is>
          <t>-</t>
        </is>
      </c>
      <c r="H443" s="50">
        <f>F443</f>
        <v/>
      </c>
      <c r="I443" s="51" t="n">
        <v>3500</v>
      </c>
      <c r="J443" s="28">
        <f>H443*I443</f>
        <v/>
      </c>
      <c r="K443" s="53" t="inlineStr">
        <is>
          <t>MÜHENDİSLİK TAHMİNİ</t>
        </is>
      </c>
      <c r="L443" s="7" t="inlineStr">
        <is>
          <t>TAHMIN (emsal yok) – Emsal yok (paratoner/YKS seti; Kocaeli T. TM topraklama+YKS 7.537 götürü kıyas dışı)</t>
        </is>
      </c>
      <c r="M443" s="7" t="inlineStr">
        <is>
          <t>Aktif paratoner seti</t>
        </is>
      </c>
    </row>
    <row r="444" outlineLevel="1">
      <c r="A444" s="27" t="n"/>
      <c r="B444" s="27" t="inlineStr">
        <is>
          <t>5002.G</t>
        </is>
      </c>
      <c r="C444" s="7" t="inlineStr">
        <is>
          <t>D02 – Sıva üstü 30W IP65 LED armatür</t>
        </is>
      </c>
      <c r="D444" s="27" t="inlineStr">
        <is>
          <t>adet</t>
        </is>
      </c>
      <c r="E444" s="50" t="n">
        <v>51</v>
      </c>
      <c r="F444" s="50" t="n">
        <v>51</v>
      </c>
      <c r="G444" s="27" t="inlineStr">
        <is>
          <t>%30</t>
        </is>
      </c>
      <c r="H444" s="50">
        <f>F444/IF(Varsayimlar!$B$21=1,1.3,1)</f>
        <v/>
      </c>
      <c r="I444" s="51" t="n">
        <v>68.64</v>
      </c>
      <c r="J444" s="28">
        <f>H444*I444</f>
        <v/>
      </c>
      <c r="K444" s="52" t="inlineStr">
        <is>
          <t>GEÇMİŞ TEKLİF UYARLAMA</t>
        </is>
      </c>
      <c r="L444"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444" s="7" t="inlineStr">
        <is>
          <t>LED 30W IP65 | İlk tahmin BF 60.00</t>
        </is>
      </c>
    </row>
    <row r="445" outlineLevel="1">
      <c r="A445" s="27" t="n"/>
      <c r="B445" s="27" t="inlineStr">
        <is>
          <t>5002.G</t>
        </is>
      </c>
      <c r="C445" s="7" t="inlineStr">
        <is>
          <t>D02 – 60W LED armatür/projektör (harici veya galeri)</t>
        </is>
      </c>
      <c r="D445" s="27" t="inlineStr">
        <is>
          <t>adet</t>
        </is>
      </c>
      <c r="E445" s="50" t="n">
        <v>6</v>
      </c>
      <c r="F445" s="50" t="n">
        <v>6</v>
      </c>
      <c r="G445" s="27" t="inlineStr">
        <is>
          <t>-</t>
        </is>
      </c>
      <c r="H445" s="50">
        <f>F445</f>
        <v/>
      </c>
      <c r="I445" s="51" t="n">
        <v>207.4</v>
      </c>
      <c r="J445" s="28">
        <f>H445*I445</f>
        <v/>
      </c>
      <c r="K445" s="52" t="inlineStr">
        <is>
          <t>GEÇMİŞ TEKLİF UYARLAMA</t>
        </is>
      </c>
      <c r="L445" s="7" t="inlineStr">
        <is>
          <t>REF-derin(1) – Ankara-Sivas YHT Platin 2019 LED prj ≤100W (M+İ) 274,81 → emsal 274,81 ; tek emsal → mevcut 140,00 ile ort. = 207,40 [Emsal ID: R00490]</t>
        </is>
      </c>
      <c r="M445" s="7" t="inlineStr">
        <is>
          <t>LED 60W | İlk tahmin BF 140.00</t>
        </is>
      </c>
    </row>
    <row r="446" outlineLevel="1">
      <c r="A446" s="27" t="n"/>
      <c r="B446" s="27" t="inlineStr">
        <is>
          <t>5002.G</t>
        </is>
      </c>
      <c r="C446" s="7" t="inlineStr">
        <is>
          <t>D02 – Acil çıkış yönlendirme LED 1x8W</t>
        </is>
      </c>
      <c r="D446" s="27" t="inlineStr">
        <is>
          <t>adet</t>
        </is>
      </c>
      <c r="E446" s="50" t="n">
        <v>2</v>
      </c>
      <c r="F446" s="50" t="n">
        <v>2</v>
      </c>
      <c r="G446" s="27" t="inlineStr">
        <is>
          <t>-</t>
        </is>
      </c>
      <c r="H446" s="50">
        <f>F446</f>
        <v/>
      </c>
      <c r="I446" s="51" t="n">
        <v>68.81</v>
      </c>
      <c r="J446" s="28">
        <f>H446*I446</f>
        <v/>
      </c>
      <c r="K446" s="52" t="inlineStr">
        <is>
          <t>GEÇMİŞ TEKLİF UYARLAMA</t>
        </is>
      </c>
      <c r="L446" s="7" t="inlineStr">
        <is>
          <t>REF-derin – Bursa T2 Haluk 2015 yönlendirme 2 saat (M+İ) 48,57; Başkentray Desat 2012 sürekli acil armatür (M+İ) 89,05 → medyan 68,81 [Emsal ID: R00905;R00531]</t>
        </is>
      </c>
      <c r="M446" s="7" t="inlineStr">
        <is>
          <t>Yönlendirme 8W | İlk tahmin BF 65.00</t>
        </is>
      </c>
    </row>
    <row r="447" outlineLevel="1">
      <c r="A447" s="27" t="n"/>
      <c r="B447" s="27" t="inlineStr">
        <is>
          <t>5002.G</t>
        </is>
      </c>
      <c r="C447" s="7" t="inlineStr">
        <is>
          <t>D02 – Monofaze topraklı priz 16A</t>
        </is>
      </c>
      <c r="D447" s="27" t="inlineStr">
        <is>
          <t>adet</t>
        </is>
      </c>
      <c r="E447" s="50" t="n">
        <v>11</v>
      </c>
      <c r="F447" s="50" t="n">
        <v>11</v>
      </c>
      <c r="G447" s="27" t="inlineStr">
        <is>
          <t>%30</t>
        </is>
      </c>
      <c r="H447" s="50">
        <f>F447/IF(Varsayimlar!$B$21=1,1.3,1)</f>
        <v/>
      </c>
      <c r="I447" s="51" t="n">
        <v>15</v>
      </c>
      <c r="J447" s="28">
        <f>H447*I447</f>
        <v/>
      </c>
      <c r="K447" s="53" t="inlineStr">
        <is>
          <t>MÜHENDİSLİK TAHMİNİ</t>
        </is>
      </c>
      <c r="L447" s="7" t="inlineStr">
        <is>
          <t>TAHMIN (emsal yok) – Emsal yok (cihaz bazında; Bursa T2/Başkentray "priz sortisi" 25-91 € kablo dahil → kıyas dışı)</t>
        </is>
      </c>
      <c r="M447" s="7" t="inlineStr">
        <is>
          <t>Priz</t>
        </is>
      </c>
    </row>
    <row r="448" outlineLevel="1">
      <c r="A448" s="27" t="n"/>
      <c r="B448" s="27" t="inlineStr">
        <is>
          <t>5002.G</t>
        </is>
      </c>
      <c r="C448" s="7" t="inlineStr">
        <is>
          <t>D02 – Trifaze priz / kombine priz kutusu (4x4 mm² linye)</t>
        </is>
      </c>
      <c r="D448" s="27" t="inlineStr">
        <is>
          <t>adet</t>
        </is>
      </c>
      <c r="E448" s="50" t="n">
        <v>3</v>
      </c>
      <c r="F448" s="50" t="n">
        <v>3</v>
      </c>
      <c r="G448" s="27" t="inlineStr">
        <is>
          <t>%30</t>
        </is>
      </c>
      <c r="H448" s="50">
        <f>F448/IF(Varsayimlar!$B$21=1,1.3,1)</f>
        <v/>
      </c>
      <c r="I448" s="51" t="n">
        <v>90</v>
      </c>
      <c r="J448" s="28">
        <f>H448*I448</f>
        <v/>
      </c>
      <c r="K448" s="53" t="inlineStr">
        <is>
          <t>MÜHENDİSLİK TAHMİNİ</t>
        </is>
      </c>
      <c r="L448" s="7" t="inlineStr">
        <is>
          <t>TAHMIN (emsal yok) – Emsal yok (cihaz bazında; Bursa T2/Başkentray "priz sortisi" 25-91 € kablo dahil → kıyas dışı)</t>
        </is>
      </c>
      <c r="M448" s="7" t="inlineStr">
        <is>
          <t>Trifaze priz kutusu</t>
        </is>
      </c>
    </row>
    <row r="449" outlineLevel="1">
      <c r="A449" s="27" t="n"/>
      <c r="B449" s="27" t="inlineStr">
        <is>
          <t>5002.G</t>
        </is>
      </c>
      <c r="C449" s="7" t="inlineStr">
        <is>
          <t>D02 – Ortam korumalı anahtar</t>
        </is>
      </c>
      <c r="D449" s="27" t="inlineStr">
        <is>
          <t>adet</t>
        </is>
      </c>
      <c r="E449" s="50" t="n">
        <v>8</v>
      </c>
      <c r="F449" s="50" t="n">
        <v>8</v>
      </c>
      <c r="G449" s="27" t="inlineStr">
        <is>
          <t>-</t>
        </is>
      </c>
      <c r="H449" s="50">
        <f>F449</f>
        <v/>
      </c>
      <c r="I449" s="51" t="n">
        <v>16</v>
      </c>
      <c r="J449" s="28">
        <f>H449*I449</f>
        <v/>
      </c>
      <c r="K449" s="53" t="inlineStr">
        <is>
          <t>MÜHENDİSLİK TAHMİNİ</t>
        </is>
      </c>
      <c r="L449" s="7" t="inlineStr">
        <is>
          <t>TAHMIN (emsal yok) – Emsal yok (cihaz bazında; Bursa T2/Başkentray "priz sortisi" 25-91 € kablo dahil → kıyas dışı)</t>
        </is>
      </c>
      <c r="M449" s="7" t="inlineStr">
        <is>
          <t>Anahtar</t>
        </is>
      </c>
    </row>
    <row r="450" outlineLevel="1">
      <c r="A450" s="27" t="n"/>
      <c r="B450" s="27" t="inlineStr">
        <is>
          <t>5002.G</t>
        </is>
      </c>
      <c r="C450" s="7" t="inlineStr">
        <is>
          <t>D02 – APP aydınlatma-priz panosu T09/APP/001 (IP54)</t>
        </is>
      </c>
      <c r="D450" s="27" t="inlineStr">
        <is>
          <t>adet</t>
        </is>
      </c>
      <c r="E450" s="50" t="n">
        <v>1</v>
      </c>
      <c r="F450" s="50" t="n">
        <v>1</v>
      </c>
      <c r="G450" s="27" t="inlineStr">
        <is>
          <t>-</t>
        </is>
      </c>
      <c r="H450" s="50">
        <f>F450</f>
        <v/>
      </c>
      <c r="I450" s="51" t="n">
        <v>1200</v>
      </c>
      <c r="J450" s="28">
        <f>H450*I450</f>
        <v/>
      </c>
      <c r="K450" s="53" t="inlineStr">
        <is>
          <t>MÜHENDİSLİK TAHMİNİ</t>
        </is>
      </c>
      <c r="L450" s="7" t="inlineStr">
        <is>
          <t>TAHMIN (emsal yok) – Emsal yok (komple tali pano; İzmir Buca TEDAK 2021 tali pano ort. 3.010 € (M) metro/daha büyük, Bursa T2 "özel saç pano" yalnız gövde → kıyas dışı)</t>
        </is>
      </c>
      <c r="M450" s="7" t="inlineStr">
        <is>
          <t>APP panosu</t>
        </is>
      </c>
    </row>
    <row r="451" outlineLevel="1">
      <c r="A451" s="27" t="n"/>
      <c r="B451" s="27" t="inlineStr">
        <is>
          <t>5002.G</t>
        </is>
      </c>
      <c r="C451" s="7" t="inlineStr">
        <is>
          <t>D02 – AUP UPS aydınlatma panosu</t>
        </is>
      </c>
      <c r="D451" s="27" t="inlineStr">
        <is>
          <t>adet</t>
        </is>
      </c>
      <c r="E451" s="50" t="n">
        <v>1</v>
      </c>
      <c r="F451" s="50" t="n">
        <v>1</v>
      </c>
      <c r="G451" s="27" t="inlineStr">
        <is>
          <t>-</t>
        </is>
      </c>
      <c r="H451" s="50">
        <f>F451</f>
        <v/>
      </c>
      <c r="I451" s="51" t="n">
        <v>1200</v>
      </c>
      <c r="J451" s="28">
        <f>H451*I451</f>
        <v/>
      </c>
      <c r="K451" s="53" t="inlineStr">
        <is>
          <t>MÜHENDİSLİK TAHMİNİ</t>
        </is>
      </c>
      <c r="L451" s="7" t="inlineStr">
        <is>
          <t>TAHMIN (emsal yok) – Emsal yok (komple tali pano; İzmir Buca TEDAK 2021 tali pano ort. 3.010 € (M) metro/daha büyük, Bursa T2 "özel saç pano" yalnız gövde → kıyas dışı)</t>
        </is>
      </c>
      <c r="M451" s="7" t="inlineStr">
        <is>
          <t>AUP panosu</t>
        </is>
      </c>
    </row>
    <row r="452" outlineLevel="1">
      <c r="A452" s="27" t="n"/>
      <c r="B452" s="27" t="inlineStr">
        <is>
          <t>5002.G</t>
        </is>
      </c>
      <c r="C452" s="7" t="inlineStr">
        <is>
          <t>D02 – UPS 20 kVA 3F/3F + by-pass (trafo merkezi UPSi)</t>
        </is>
      </c>
      <c r="D452" s="27" t="inlineStr">
        <is>
          <t>adet</t>
        </is>
      </c>
      <c r="E452" s="50" t="n">
        <v>1</v>
      </c>
      <c r="F452" s="50" t="n">
        <v>1</v>
      </c>
      <c r="G452" s="27" t="inlineStr">
        <is>
          <t>-</t>
        </is>
      </c>
      <c r="H452" s="50">
        <f>F452</f>
        <v/>
      </c>
      <c r="I452" s="51" t="n">
        <v>7071</v>
      </c>
      <c r="J452" s="28">
        <f>H452*I452</f>
        <v/>
      </c>
      <c r="K452" s="52" t="inlineStr">
        <is>
          <t>GEÇMİŞ TEKLİF UYARLAMA</t>
        </is>
      </c>
      <c r="L452" s="7" t="inlineStr">
        <is>
          <t>REF-derin – 20 kVA UPS: Buca 2021 20 kVA (120/240 dk farkından akü ayrıştırıldı) gövde 5,9 k€ (M)+%15 = 6.800; Kocaeli tramvay 2015 20 kVA UPS 7.343 → medyan 7.071 € [Emsal ID: R00675;R00676;R01057]</t>
        </is>
      </c>
      <c r="M452" s="7" t="inlineStr">
        <is>
          <t>UPS 20 kVA kurulu | İlk tahmin BF 8,500.00</t>
        </is>
      </c>
    </row>
    <row r="453" outlineLevel="1">
      <c r="A453" s="27" t="n"/>
      <c r="B453" s="27" t="inlineStr">
        <is>
          <t>5002.G</t>
        </is>
      </c>
      <c r="C453" s="7" t="inlineStr">
        <is>
          <t>D02 – UPS akü grubu VRLA 2 saat otonomi (20 kVA) – 40×12V 150Ah blok (480 V DC) + akü kabini</t>
        </is>
      </c>
      <c r="D453" s="27" t="inlineStr">
        <is>
          <t>takım</t>
        </is>
      </c>
      <c r="E453" s="50" t="n">
        <v>1</v>
      </c>
      <c r="F453" s="50" t="n">
        <v>1</v>
      </c>
      <c r="G453" s="27" t="inlineStr">
        <is>
          <t>-</t>
        </is>
      </c>
      <c r="H453" s="50">
        <f>F453</f>
        <v/>
      </c>
      <c r="I453" s="51" t="n">
        <v>13000</v>
      </c>
      <c r="J453" s="28">
        <f>H453*I453</f>
        <v/>
      </c>
      <c r="K453" s="53" t="inlineStr">
        <is>
          <t>MÜHENDİSLİK TAHMİNİ</t>
        </is>
      </c>
      <c r="L453" s="7" t="inlineStr">
        <is>
          <t>TAHMIN (emsal yok) – Akü grubu: refler tekil küçük blok alımı; 2026 blok bazlı hesap mevcut fiyatla uyumlu – korundu [Emsal ID: R01952;R01745]</t>
        </is>
      </c>
      <c r="M453" s="7" t="inlineStr">
        <is>
          <t>Trafo merkezi: 2 saat korundu</t>
        </is>
      </c>
    </row>
    <row r="454" outlineLevel="1">
      <c r="A454" s="27" t="n"/>
      <c r="B454" s="27" t="inlineStr">
        <is>
          <t>5002.G</t>
        </is>
      </c>
      <c r="C454" s="7" t="inlineStr">
        <is>
          <t>D02 – N2XH 3x2,5 linye + sorti (aydınlatma+priz)</t>
        </is>
      </c>
      <c r="D454" s="27" t="inlineStr">
        <is>
          <t>m</t>
        </is>
      </c>
      <c r="E454" s="50" t="n">
        <v>422</v>
      </c>
      <c r="F454" s="50" t="n">
        <v>422</v>
      </c>
      <c r="G454" s="27" t="inlineStr">
        <is>
          <t>fire+%30</t>
        </is>
      </c>
      <c r="H454" s="50">
        <f>F454/IF(Varsayimlar!$B$21=1,1.43,1)</f>
        <v/>
      </c>
      <c r="I454" s="51" t="n">
        <v>1.96</v>
      </c>
      <c r="J454" s="28">
        <f>H454*I454</f>
        <v/>
      </c>
      <c r="K454" s="52" t="inlineStr">
        <is>
          <t>GEÇMİŞ TEKLİF UYARLAMA</t>
        </is>
      </c>
      <c r="L454"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454" s="7" t="inlineStr">
        <is>
          <t>Linye+sorti | İlk tahmin BF 2.60</t>
        </is>
      </c>
    </row>
    <row r="455" outlineLevel="1">
      <c r="A455" s="27" t="n"/>
      <c r="B455" s="27" t="inlineStr">
        <is>
          <t>5002.G</t>
        </is>
      </c>
      <c r="C455" s="7" t="inlineStr">
        <is>
          <t>D02 – N2XH 4x4 priz linyesi</t>
        </is>
      </c>
      <c r="D455" s="27" t="inlineStr">
        <is>
          <t>m</t>
        </is>
      </c>
      <c r="E455" s="50" t="n">
        <v>43</v>
      </c>
      <c r="F455" s="50" t="n">
        <v>43</v>
      </c>
      <c r="G455" s="27" t="inlineStr">
        <is>
          <t>fire+%30</t>
        </is>
      </c>
      <c r="H455" s="50">
        <f>F455/IF(Varsayimlar!$B$21=1,1.43,1)</f>
        <v/>
      </c>
      <c r="I455" s="51" t="n">
        <v>3.33</v>
      </c>
      <c r="J455" s="28">
        <f>H455*I455</f>
        <v/>
      </c>
      <c r="K455" s="52" t="inlineStr">
        <is>
          <t>GEÇMİŞ TEKLİF UYARLAMA</t>
        </is>
      </c>
      <c r="L455" s="7" t="inlineStr">
        <is>
          <t>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is>
      </c>
      <c r="M455" s="7" t="inlineStr">
        <is>
          <t>N2XH 4x4 | İlk tahmin BF 4.00</t>
        </is>
      </c>
    </row>
    <row r="456" outlineLevel="1">
      <c r="A456" s="27" t="n"/>
      <c r="B456" s="27" t="inlineStr">
        <is>
          <t>5002.G</t>
        </is>
      </c>
      <c r="C456" s="7" t="inlineStr">
        <is>
          <t>D02 – Yıldırımdan korunma tesisatı (çatı ağı/yakalama ucu + iniş iletkenleri)</t>
        </is>
      </c>
      <c r="D456" s="27" t="inlineStr">
        <is>
          <t>set</t>
        </is>
      </c>
      <c r="E456" s="50" t="n">
        <v>1</v>
      </c>
      <c r="F456" s="50" t="n">
        <v>1</v>
      </c>
      <c r="G456" s="27" t="inlineStr">
        <is>
          <t>-</t>
        </is>
      </c>
      <c r="H456" s="50">
        <f>F456</f>
        <v/>
      </c>
      <c r="I456" s="51" t="n">
        <v>3000</v>
      </c>
      <c r="J456" s="28">
        <f>H456*I456</f>
        <v/>
      </c>
      <c r="K456" s="53" t="inlineStr">
        <is>
          <t>MÜHENDİSLİK TAHMİNİ</t>
        </is>
      </c>
      <c r="L456" s="7" t="inlineStr">
        <is>
          <t>TAHMIN (emsal yok) – Emsal yok (paratoner/YKS seti; Kocaeli T. TM topraklama+YKS 7.537 götürü kıyas dışı)</t>
        </is>
      </c>
      <c r="M456" s="7" t="inlineStr">
        <is>
          <t>Yıldırımdan korunma</t>
        </is>
      </c>
    </row>
    <row r="457" outlineLevel="1">
      <c r="A457" s="27" t="n"/>
      <c r="B457" s="27" t="inlineStr">
        <is>
          <t>5002.G</t>
        </is>
      </c>
      <c r="C457" s="7" t="inlineStr">
        <is>
          <t>D03 – Sıva üstü 30W ortam korumalı LED armatür (IP65)</t>
        </is>
      </c>
      <c r="D457" s="27" t="inlineStr">
        <is>
          <t>adet</t>
        </is>
      </c>
      <c r="E457" s="50" t="n">
        <v>36</v>
      </c>
      <c r="F457" s="50" t="n">
        <v>36</v>
      </c>
      <c r="G457" s="27" t="inlineStr">
        <is>
          <t>%30</t>
        </is>
      </c>
      <c r="H457" s="50">
        <f>F457/IF(Varsayimlar!$B$21=1,1.3,1)</f>
        <v/>
      </c>
      <c r="I457" s="51" t="n">
        <v>68.64</v>
      </c>
      <c r="J457" s="28">
        <f>H457*I457</f>
        <v/>
      </c>
      <c r="K457" s="52" t="inlineStr">
        <is>
          <t>GEÇMİŞ TEKLİF UYARLAMA</t>
        </is>
      </c>
      <c r="L457"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457" s="7" t="inlineStr">
        <is>
          <t>LED 30W IP65 | İlk tahmin BF 60.00</t>
        </is>
      </c>
    </row>
    <row r="458" outlineLevel="1">
      <c r="A458" s="27" t="n"/>
      <c r="B458" s="27" t="inlineStr">
        <is>
          <t>5002.G</t>
        </is>
      </c>
      <c r="C458" s="7" t="inlineStr">
        <is>
          <t>D03 – Anahtar 4 (3 mahal, yıkama holü 2) + kendinden bataryalı acil armatür 4 (dış kapılar)</t>
        </is>
      </c>
      <c r="D458" s="27" t="inlineStr">
        <is>
          <t>adet</t>
        </is>
      </c>
      <c r="E458" s="50" t="n">
        <v>11</v>
      </c>
      <c r="F458" s="50" t="n">
        <v>11</v>
      </c>
      <c r="G458" s="27" t="inlineStr">
        <is>
          <t>%30</t>
        </is>
      </c>
      <c r="H458" s="50">
        <f>F458/IF(Varsayimlar!$B$21=1,1.3,1)</f>
        <v/>
      </c>
      <c r="I458" s="51" t="n">
        <v>48.64</v>
      </c>
      <c r="J458" s="28">
        <f>H458*I458</f>
        <v/>
      </c>
      <c r="K458" s="52" t="inlineStr">
        <is>
          <t>GEÇMİŞ TEKLİF UYARLAMA</t>
        </is>
      </c>
      <c r="L458" s="7" t="inlineStr">
        <is>
          <t>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is>
      </c>
      <c r="M458" s="7" t="inlineStr">
        <is>
          <t>Anahtar+acil ort. | İlk tahmin BF 45.00</t>
        </is>
      </c>
    </row>
    <row r="459" outlineLevel="1">
      <c r="A459" s="27" t="n"/>
      <c r="B459" s="27" t="inlineStr">
        <is>
          <t>5002.G</t>
        </is>
      </c>
      <c r="C459" s="7" t="inlineStr">
        <is>
          <t>D03 – Monofaze etanj priz</t>
        </is>
      </c>
      <c r="D459" s="27" t="inlineStr">
        <is>
          <t>adet</t>
        </is>
      </c>
      <c r="E459" s="50" t="n">
        <v>3</v>
      </c>
      <c r="F459" s="50" t="n">
        <v>3</v>
      </c>
      <c r="G459" s="27" t="inlineStr">
        <is>
          <t>%30</t>
        </is>
      </c>
      <c r="H459" s="50">
        <f>F459/IF(Varsayimlar!$B$21=1,1.3,1)</f>
        <v/>
      </c>
      <c r="I459" s="51" t="n">
        <v>18</v>
      </c>
      <c r="J459" s="28">
        <f>H459*I459</f>
        <v/>
      </c>
      <c r="K459" s="53" t="inlineStr">
        <is>
          <t>MÜHENDİSLİK TAHMİNİ</t>
        </is>
      </c>
      <c r="L459" s="7" t="inlineStr">
        <is>
          <t>TAHMIN (emsal yok) – Emsal yok (cihaz bazında; Bursa T2/Başkentray "priz sortisi" 25-91 € kablo dahil → kıyas dışı)</t>
        </is>
      </c>
      <c r="M459" s="7" t="inlineStr">
        <is>
          <t>Etanj priz</t>
        </is>
      </c>
    </row>
    <row r="460" outlineLevel="1">
      <c r="A460" s="27" t="n"/>
      <c r="B460" s="27" t="inlineStr">
        <is>
          <t>5002.G</t>
        </is>
      </c>
      <c r="C460" s="7" t="inlineStr">
        <is>
          <t>D03 – Trifaze/kombine priz kutusu (yıkama alanı IP67)</t>
        </is>
      </c>
      <c r="D460" s="27" t="inlineStr">
        <is>
          <t>adet</t>
        </is>
      </c>
      <c r="E460" s="50" t="n">
        <v>2</v>
      </c>
      <c r="F460" s="50" t="n">
        <v>2</v>
      </c>
      <c r="G460" s="27" t="inlineStr">
        <is>
          <t>%30</t>
        </is>
      </c>
      <c r="H460" s="50">
        <f>F460/IF(Varsayimlar!$B$21=1,1.3,1)</f>
        <v/>
      </c>
      <c r="I460" s="51" t="n">
        <v>150</v>
      </c>
      <c r="J460" s="28">
        <f>H460*I460</f>
        <v/>
      </c>
      <c r="K460" s="53" t="inlineStr">
        <is>
          <t>MÜHENDİSLİK TAHMİNİ</t>
        </is>
      </c>
      <c r="L460" s="7" t="inlineStr">
        <is>
          <t>TAHMIN (emsal yok) – Emsal yok (cihaz bazında; Bursa T2/Başkentray "priz sortisi" 25-91 € kablo dahil → kıyas dışı)</t>
        </is>
      </c>
      <c r="M460" s="7" t="inlineStr">
        <is>
          <t>IP67 kombine priz</t>
        </is>
      </c>
    </row>
    <row r="461" outlineLevel="1">
      <c r="A461" s="27" t="n"/>
      <c r="B461" s="27" t="inlineStr">
        <is>
          <t>5002.G</t>
        </is>
      </c>
      <c r="C461" s="7" t="inlineStr">
        <is>
          <t>D03 – N2XH 3x2,5 / 5x2,5 linye + sorti</t>
        </is>
      </c>
      <c r="D461" s="27" t="inlineStr">
        <is>
          <t>m</t>
        </is>
      </c>
      <c r="E461" s="50" t="n">
        <v>341</v>
      </c>
      <c r="F461" s="50" t="n">
        <v>341</v>
      </c>
      <c r="G461" s="27" t="inlineStr">
        <is>
          <t>fire+%30</t>
        </is>
      </c>
      <c r="H461" s="50">
        <f>F461/IF(Varsayimlar!$B$21=1,1.43,1)</f>
        <v/>
      </c>
      <c r="I461" s="51" t="n">
        <v>2.39</v>
      </c>
      <c r="J461" s="28">
        <f>H461*I461</f>
        <v/>
      </c>
      <c r="K461" s="52" t="inlineStr">
        <is>
          <t>GEÇMİŞ TEKLİF UYARLAMA</t>
        </is>
      </c>
      <c r="L461" s="7" t="inlineStr">
        <is>
          <t>REF-derin – Karışık kalem (3x2,5/5x2,5 eşit pay): N2XH3x2.5_sorti=1,96 + N2XH5x2.5_sorti=2,81 → 2,39. Emsaller: N2XH3x2.5_sorti [R00685;R00727;R00848;R00901;R00972;R01622;R01802;R01827] 1,96 | N2XH5x2.5_sorti [R00686;R00849;R00904;R00975] 2,81 [Emsal ID: R00685;R00727;R00848;R00901;R00972;R01622;R01802;R01827;R00686;R00849;R00904;R00975]</t>
        </is>
      </c>
      <c r="M461" s="7" t="inlineStr">
        <is>
          <t>Linye+sorti | İlk tahmin BF 3.00</t>
        </is>
      </c>
    </row>
    <row r="462" outlineLevel="1">
      <c r="A462" s="27" t="n"/>
      <c r="B462" s="27" t="inlineStr">
        <is>
          <t>5002.G</t>
        </is>
      </c>
      <c r="C462" s="7" t="inlineStr">
        <is>
          <t>D05 – Lineer etanj/sıva üstü LED armatür (depo holleri)</t>
        </is>
      </c>
      <c r="D462" s="27" t="inlineStr">
        <is>
          <t>adet</t>
        </is>
      </c>
      <c r="E462" s="50" t="n">
        <v>34</v>
      </c>
      <c r="F462" s="50" t="n">
        <v>34</v>
      </c>
      <c r="G462" s="27" t="inlineStr">
        <is>
          <t>%30</t>
        </is>
      </c>
      <c r="H462" s="50">
        <f>F462/IF(Varsayimlar!$B$21=1,1.3,1)</f>
        <v/>
      </c>
      <c r="I462" s="51" t="n">
        <v>68.64</v>
      </c>
      <c r="J462" s="28">
        <f>H462*I462</f>
        <v/>
      </c>
      <c r="K462" s="52" t="inlineStr">
        <is>
          <t>GEÇMİŞ TEKLİF UYARLAMA</t>
        </is>
      </c>
      <c r="L462"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462" s="7" t="inlineStr">
        <is>
          <t>Lineer etanj LED | İlk tahmin BF 60.00</t>
        </is>
      </c>
    </row>
    <row r="463" outlineLevel="1">
      <c r="A463" s="27" t="n"/>
      <c r="B463" s="27" t="inlineStr">
        <is>
          <t>5002.G</t>
        </is>
      </c>
      <c r="C463" s="7" t="inlineStr">
        <is>
          <t>D05 – 60x60 LED panel + spot (idari çekirdek WC soyunma)</t>
        </is>
      </c>
      <c r="D463" s="27" t="inlineStr">
        <is>
          <t>adet</t>
        </is>
      </c>
      <c r="E463" s="50" t="n">
        <v>17</v>
      </c>
      <c r="F463" s="50" t="n">
        <v>17</v>
      </c>
      <c r="G463" s="27" t="inlineStr">
        <is>
          <t>-</t>
        </is>
      </c>
      <c r="H463" s="50">
        <f>F463</f>
        <v/>
      </c>
      <c r="I463" s="51" t="n">
        <v>43.9</v>
      </c>
      <c r="J463" s="28">
        <f>H463*I463</f>
        <v/>
      </c>
      <c r="K463" s="52" t="inlineStr">
        <is>
          <t>GEÇMİŞ TEKLİF UYARLAMA</t>
        </is>
      </c>
      <c r="L463" s="7" t="inlineStr">
        <is>
          <t>REF-derin – Karışık kalem (panel/spot eşit pay): panel60=60,38 + spot13=27,43 → 43,90. Emsaller: panel60 [R00669;R00486;R00924;R00991] 60,38 | spot13 [R00668;R00487;R00925;R00992] 27,43 [Emsal ID: R00669;R00486;R00924;R00991;R00668;R00487;R00925;R00992]</t>
        </is>
      </c>
      <c r="M463" s="7" t="inlineStr">
        <is>
          <t>Panel/spot ort. | İlk tahmin BF 45.00</t>
        </is>
      </c>
    </row>
    <row r="464" outlineLevel="1">
      <c r="A464" s="27" t="n"/>
      <c r="B464" s="27" t="inlineStr">
        <is>
          <t>5002.G</t>
        </is>
      </c>
      <c r="C464" s="7" t="inlineStr">
        <is>
          <t>D05 – Acil kitli armatür (E.L., yukarıdaki armatürlere entegre batarya kiti) + acil çıkış 1x8W</t>
        </is>
      </c>
      <c r="D464" s="27" t="inlineStr">
        <is>
          <t>adet</t>
        </is>
      </c>
      <c r="E464" s="50" t="n">
        <v>25</v>
      </c>
      <c r="F464" s="50" t="n">
        <v>25</v>
      </c>
      <c r="G464" s="27" t="inlineStr">
        <is>
          <t>%30</t>
        </is>
      </c>
      <c r="H464" s="50">
        <f>F464/IF(Varsayimlar!$B$21=1,1.3,1)</f>
        <v/>
      </c>
      <c r="I464" s="51" t="n">
        <v>54.66</v>
      </c>
      <c r="J464" s="28">
        <f>H464*I464</f>
        <v/>
      </c>
      <c r="K464" s="52" t="inlineStr">
        <is>
          <t>GEÇMİŞ TEKLİF UYARLAMA</t>
        </is>
      </c>
      <c r="L464" s="7" t="inlineStr">
        <is>
          <t>REF-derin – Karışık kalem (acil kit / 1x8W yönlendirme eşit pay): acilkit=40,51 + exit=68,81 → 54,66. Emsaller: acilkit [R00489] 40,51 | exit [R00905;R00531] 68,81 [Emsal ID: R00489;R00905;R00531]</t>
        </is>
      </c>
      <c r="M464" s="7" t="inlineStr">
        <is>
          <t>Acil kit/yönlendirme | İlk tahmin BF 70.00</t>
        </is>
      </c>
    </row>
    <row r="465" outlineLevel="1">
      <c r="A465" s="27" t="n"/>
      <c r="B465" s="27" t="inlineStr">
        <is>
          <t>5002.G</t>
        </is>
      </c>
      <c r="C465" s="7" t="inlineStr">
        <is>
          <t>D05 – Anahtar (adi/ortam korumalı/komütatör)</t>
        </is>
      </c>
      <c r="D465" s="27" t="inlineStr">
        <is>
          <t>adet</t>
        </is>
      </c>
      <c r="E465" s="50" t="n">
        <v>18</v>
      </c>
      <c r="F465" s="50" t="n">
        <v>18</v>
      </c>
      <c r="G465" s="27" t="inlineStr">
        <is>
          <t>-</t>
        </is>
      </c>
      <c r="H465" s="50">
        <f>F465</f>
        <v/>
      </c>
      <c r="I465" s="51" t="n">
        <v>16</v>
      </c>
      <c r="J465" s="28">
        <f>H465*I465</f>
        <v/>
      </c>
      <c r="K465" s="53" t="inlineStr">
        <is>
          <t>MÜHENDİSLİK TAHMİNİ</t>
        </is>
      </c>
      <c r="L465" s="7" t="inlineStr">
        <is>
          <t>TAHMIN (emsal yok) – Emsal yok (cihaz bazında; Bursa T2/Başkentray "priz sortisi" 25-91 € kablo dahil → kıyas dışı)</t>
        </is>
      </c>
      <c r="M465" s="7" t="inlineStr">
        <is>
          <t>Anahtar</t>
        </is>
      </c>
    </row>
    <row r="466" outlineLevel="1">
      <c r="A466" s="27" t="n"/>
      <c r="B466" s="27" t="inlineStr">
        <is>
          <t>5002.G</t>
        </is>
      </c>
      <c r="C466" s="7" t="inlineStr">
        <is>
          <t>D05 – Monofaze/etanj priz + kombine priz</t>
        </is>
      </c>
      <c r="D466" s="27" t="inlineStr">
        <is>
          <t>adet</t>
        </is>
      </c>
      <c r="E466" s="50" t="n">
        <v>33</v>
      </c>
      <c r="F466" s="50" t="n">
        <v>33</v>
      </c>
      <c r="G466" s="27" t="inlineStr">
        <is>
          <t>%30</t>
        </is>
      </c>
      <c r="H466" s="50">
        <f>F466/IF(Varsayimlar!$B$21=1,1.3,1)</f>
        <v/>
      </c>
      <c r="I466" s="51" t="n">
        <v>25</v>
      </c>
      <c r="J466" s="28">
        <f>H466*I466</f>
        <v/>
      </c>
      <c r="K466" s="53" t="inlineStr">
        <is>
          <t>MÜHENDİSLİK TAHMİNİ</t>
        </is>
      </c>
      <c r="L466" s="7" t="inlineStr">
        <is>
          <t>TAHMIN (emsal yok) – Emsal yok (cihaz bazında; Bursa T2/Başkentray "priz sortisi" 25-91 € kablo dahil → kıyas dışı)</t>
        </is>
      </c>
      <c r="M466" s="7" t="inlineStr">
        <is>
          <t>Priz ort.</t>
        </is>
      </c>
    </row>
    <row r="467" outlineLevel="1">
      <c r="A467" s="27" t="n"/>
      <c r="B467" s="27" t="inlineStr">
        <is>
          <t>5002.G</t>
        </is>
      </c>
      <c r="C467" s="7" t="inlineStr">
        <is>
          <t>D05 – APP/Z01 + AUP/Z01 tali panolar</t>
        </is>
      </c>
      <c r="D467" s="27" t="inlineStr">
        <is>
          <t>adet</t>
        </is>
      </c>
      <c r="E467" s="50" t="n">
        <v>2</v>
      </c>
      <c r="F467" s="50" t="n">
        <v>2</v>
      </c>
      <c r="G467" s="27" t="inlineStr">
        <is>
          <t>-</t>
        </is>
      </c>
      <c r="H467" s="50">
        <f>F467</f>
        <v/>
      </c>
      <c r="I467" s="51" t="n">
        <v>1300</v>
      </c>
      <c r="J467" s="28">
        <f>H467*I467</f>
        <v/>
      </c>
      <c r="K467" s="53" t="inlineStr">
        <is>
          <t>MÜHENDİSLİK TAHMİNİ</t>
        </is>
      </c>
      <c r="L467" s="7" t="inlineStr">
        <is>
          <t>TAHMIN (emsal yok) – Emsal yok (komple tali pano; İzmir Buca TEDAK 2021 tali pano ort. 3.010 € (M) metro/daha büyük, Bursa T2 "özel saç pano" yalnız gövde → kıyas dışı)</t>
        </is>
      </c>
      <c r="M467" s="7" t="inlineStr">
        <is>
          <t>Tali pano</t>
        </is>
      </c>
    </row>
    <row r="468" outlineLevel="1">
      <c r="A468" s="27" t="n"/>
      <c r="B468" s="27" t="inlineStr">
        <is>
          <t>5002.G</t>
        </is>
      </c>
      <c r="C468" s="7" t="inlineStr">
        <is>
          <t>D05 – N2XH 3x2,5 (+FE180) linye + sorti</t>
        </is>
      </c>
      <c r="D468" s="27" t="inlineStr">
        <is>
          <t>m</t>
        </is>
      </c>
      <c r="E468" s="50" t="n">
        <v>693</v>
      </c>
      <c r="F468" s="50" t="n">
        <v>693</v>
      </c>
      <c r="G468" s="27" t="inlineStr">
        <is>
          <t>fire+%30</t>
        </is>
      </c>
      <c r="H468" s="50">
        <f>F468/IF(Varsayimlar!$B$21=1,1.43,1)</f>
        <v/>
      </c>
      <c r="I468" s="51" t="n">
        <v>2.45</v>
      </c>
      <c r="J468" s="28">
        <f>H468*I468</f>
        <v/>
      </c>
      <c r="K468" s="52" t="inlineStr">
        <is>
          <t>GEÇMİŞ TEKLİF UYARLAMA</t>
        </is>
      </c>
      <c r="L468" s="7" t="inlineStr">
        <is>
          <t>REF-derin – Karışık kalem (FE180 payı ~%25 varsayım): N2XH3x2.5_sorti=1,96 + FE3x2.5_sorti=3,92 → 2,45. Emsaller: N2XH3x2.5_sorti [R00685;R00727;R00848;R00901;R00972;R01622;R01802;R01827] 1,96 | FE3x2.5_sorti [R02988;R01756] 3,92 [Emsal ID: R00685;R00727;R00848;R00901;R00972;R01622;R01802;R01827;R02988;R01756]</t>
        </is>
      </c>
      <c r="M468" s="7" t="inlineStr">
        <is>
          <t>Linye+sorti | İlk tahmin BF 2.80</t>
        </is>
      </c>
    </row>
    <row r="469" outlineLevel="1">
      <c r="A469" s="27" t="n"/>
      <c r="B469" s="27" t="inlineStr">
        <is>
          <t>5002.G</t>
        </is>
      </c>
      <c r="C469" s="7" t="inlineStr">
        <is>
          <t>D06 – Sıva üstü 30W ortam korumalı LED armatür (IP65)</t>
        </is>
      </c>
      <c r="D469" s="27" t="inlineStr">
        <is>
          <t>adet</t>
        </is>
      </c>
      <c r="E469" s="50" t="n">
        <v>25</v>
      </c>
      <c r="F469" s="50" t="n">
        <v>25</v>
      </c>
      <c r="G469" s="27" t="inlineStr">
        <is>
          <t>%30</t>
        </is>
      </c>
      <c r="H469" s="50">
        <f>F469/IF(Varsayimlar!$B$21=1,1.3,1)</f>
        <v/>
      </c>
      <c r="I469" s="51" t="n">
        <v>68.64</v>
      </c>
      <c r="J469" s="28">
        <f>H469*I469</f>
        <v/>
      </c>
      <c r="K469" s="52" t="inlineStr">
        <is>
          <t>GEÇMİŞ TEKLİF UYARLAMA</t>
        </is>
      </c>
      <c r="L469"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469" s="7" t="inlineStr">
        <is>
          <t>LED 30W IP65 | İlk tahmin BF 60.00</t>
        </is>
      </c>
    </row>
    <row r="470" outlineLevel="1">
      <c r="A470" s="27" t="n"/>
      <c r="B470" s="27" t="inlineStr">
        <is>
          <t>5002.G</t>
        </is>
      </c>
      <c r="C470" s="7" t="inlineStr">
        <is>
          <t>D06 – Kendinden bataryalı acil armatür + ortam korumalı anahtar</t>
        </is>
      </c>
      <c r="D470" s="27" t="inlineStr">
        <is>
          <t>adet</t>
        </is>
      </c>
      <c r="E470" s="50" t="n">
        <v>6</v>
      </c>
      <c r="F470" s="50" t="n">
        <v>6</v>
      </c>
      <c r="G470" s="27" t="inlineStr">
        <is>
          <t>%30</t>
        </is>
      </c>
      <c r="H470" s="50">
        <f>F470/IF(Varsayimlar!$B$21=1,1.3,1)</f>
        <v/>
      </c>
      <c r="I470" s="51" t="n">
        <v>48.64</v>
      </c>
      <c r="J470" s="28">
        <f>H470*I470</f>
        <v/>
      </c>
      <c r="K470" s="52" t="inlineStr">
        <is>
          <t>GEÇMİŞ TEKLİF UYARLAMA</t>
        </is>
      </c>
      <c r="L470" s="7" t="inlineStr">
        <is>
          <t>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is>
      </c>
      <c r="M470" s="7" t="inlineStr">
        <is>
          <t>Acil+anahtar ort. | İlk tahmin BF 45.00</t>
        </is>
      </c>
    </row>
    <row r="471" outlineLevel="1">
      <c r="A471" s="27" t="n"/>
      <c r="B471" s="27" t="inlineStr">
        <is>
          <t>5002.G</t>
        </is>
      </c>
      <c r="C471" s="7" t="inlineStr">
        <is>
          <t>D06 – Monofaze etanj priz</t>
        </is>
      </c>
      <c r="D471" s="27" t="inlineStr">
        <is>
          <t>adet</t>
        </is>
      </c>
      <c r="E471" s="50" t="n">
        <v>6</v>
      </c>
      <c r="F471" s="50" t="n">
        <v>6</v>
      </c>
      <c r="G471" s="27" t="inlineStr">
        <is>
          <t>%30</t>
        </is>
      </c>
      <c r="H471" s="50">
        <f>F471/IF(Varsayimlar!$B$21=1,1.3,1)</f>
        <v/>
      </c>
      <c r="I471" s="51" t="n">
        <v>18</v>
      </c>
      <c r="J471" s="28">
        <f>H471*I471</f>
        <v/>
      </c>
      <c r="K471" s="53" t="inlineStr">
        <is>
          <t>MÜHENDİSLİK TAHMİNİ</t>
        </is>
      </c>
      <c r="L471" s="7" t="inlineStr">
        <is>
          <t>TAHMIN (emsal yok) – Emsal yok (cihaz bazında; Bursa T2/Başkentray "priz sortisi" 25-91 € kablo dahil → kıyas dışı)</t>
        </is>
      </c>
      <c r="M471" s="7" t="inlineStr">
        <is>
          <t>Etanj priz</t>
        </is>
      </c>
    </row>
    <row r="472" outlineLevel="1">
      <c r="A472" s="27" t="n"/>
      <c r="B472" s="27" t="inlineStr">
        <is>
          <t>5002.G</t>
        </is>
      </c>
      <c r="C472" s="7" t="inlineStr">
        <is>
          <t>D06 – D06-SDP-001 aydınlatma-priz + mekanik tali panosu</t>
        </is>
      </c>
      <c r="D472" s="27" t="inlineStr">
        <is>
          <t>adet</t>
        </is>
      </c>
      <c r="E472" s="50" t="n">
        <v>1</v>
      </c>
      <c r="F472" s="50" t="n">
        <v>1</v>
      </c>
      <c r="G472" s="27" t="inlineStr">
        <is>
          <t>-</t>
        </is>
      </c>
      <c r="H472" s="50">
        <f>F472</f>
        <v/>
      </c>
      <c r="I472" s="51" t="n">
        <v>2500</v>
      </c>
      <c r="J472" s="28">
        <f>H472*I472</f>
        <v/>
      </c>
      <c r="K472" s="53" t="inlineStr">
        <is>
          <t>MÜHENDİSLİK TAHMİNİ</t>
        </is>
      </c>
      <c r="L472" s="7" t="inlineStr">
        <is>
          <t>TAHMIN (emsal yok) – Emsal yok (komple tali pano; İzmir Buca TEDAK 2021 tali pano ort. 3.010 € (M) metro/daha büyük, Bursa T2 "özel saç pano" yalnız gövde → kıyas dışı)</t>
        </is>
      </c>
      <c r="M472" s="7" t="inlineStr">
        <is>
          <t>SDP aydınlatma+mekanik</t>
        </is>
      </c>
    </row>
    <row r="473" outlineLevel="1">
      <c r="A473" s="27" t="n"/>
      <c r="B473" s="27" t="inlineStr">
        <is>
          <t>5002.G</t>
        </is>
      </c>
      <c r="C473" s="7" t="inlineStr">
        <is>
          <t>D06 – NHXMH/N2XH 3x2,5 linye + sorti</t>
        </is>
      </c>
      <c r="D473" s="27" t="inlineStr">
        <is>
          <t>m</t>
        </is>
      </c>
      <c r="E473" s="50" t="n">
        <v>173.25</v>
      </c>
      <c r="F473" s="50" t="n">
        <v>173.25</v>
      </c>
      <c r="G473" s="27" t="inlineStr">
        <is>
          <t>fire+%30</t>
        </is>
      </c>
      <c r="H473" s="50">
        <f>F473/IF(Varsayimlar!$B$21=1,1.43,1)</f>
        <v/>
      </c>
      <c r="I473" s="51" t="n">
        <v>1.96</v>
      </c>
      <c r="J473" s="28">
        <f>H473*I473</f>
        <v/>
      </c>
      <c r="K473" s="52" t="inlineStr">
        <is>
          <t>GEÇMİŞ TEKLİF UYARLAMA</t>
        </is>
      </c>
      <c r="L473"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473" s="7" t="inlineStr">
        <is>
          <t>Linye+sorti | İlk tahmin BF 2.60</t>
        </is>
      </c>
    </row>
    <row r="474" outlineLevel="1">
      <c r="A474" s="27" t="n"/>
      <c r="B474" s="27" t="inlineStr">
        <is>
          <t>5002.G</t>
        </is>
      </c>
      <c r="C474" s="7" t="inlineStr">
        <is>
          <t>D07 – 13W LED armatür (60x60/spot)</t>
        </is>
      </c>
      <c r="D474" s="27" t="inlineStr">
        <is>
          <t>adet</t>
        </is>
      </c>
      <c r="E474" s="50" t="n">
        <v>15</v>
      </c>
      <c r="F474" s="50" t="n">
        <v>15</v>
      </c>
      <c r="G474" s="27" t="inlineStr">
        <is>
          <t>%30</t>
        </is>
      </c>
      <c r="H474" s="50">
        <f>F474/IF(Varsayimlar!$B$21=1,1.3,1)</f>
        <v/>
      </c>
      <c r="I474" s="51" t="n">
        <v>27.43</v>
      </c>
      <c r="J474" s="28">
        <f>H474*I474</f>
        <v/>
      </c>
      <c r="K474" s="52" t="inlineStr">
        <is>
          <t>GEÇMİŞ TEKLİF UYARLAMA</t>
        </is>
      </c>
      <c r="L474" s="7" t="inlineStr">
        <is>
          <t>REF-derin – İzmir Buca M. Signify 2021 downlight 20W 65,85 (M)+%30, ×0,8 (13W)→68,49; Ankara-Sivas YHT Platin 2019 downlight 24W (M+İ) 35,60 ×0,8 (13W)→28,48; Bursa T2 Haluk 2015 downlight 24W (M+İ) 32,96 ×0,8→26,37; Bursa T2 MET 2015 downlight 24W (M+İ) 30,00 ×0,8→24,00 → medyan 27,43 [Emsal ID: R00668;R00487;R00925;R00992]</t>
        </is>
      </c>
      <c r="M474" s="7" t="inlineStr">
        <is>
          <t>LED 13W | İlk tahmin BF 35.00</t>
        </is>
      </c>
    </row>
    <row r="475" outlineLevel="1">
      <c r="A475" s="27" t="n"/>
      <c r="B475" s="27" t="inlineStr">
        <is>
          <t>5002.G</t>
        </is>
      </c>
      <c r="C475" s="7" t="inlineStr">
        <is>
          <t>D07 – 30W LED armatür</t>
        </is>
      </c>
      <c r="D475" s="27" t="inlineStr">
        <is>
          <t>adet</t>
        </is>
      </c>
      <c r="E475" s="50" t="n">
        <v>3</v>
      </c>
      <c r="F475" s="50" t="n">
        <v>3</v>
      </c>
      <c r="G475" s="27" t="inlineStr">
        <is>
          <t>%30</t>
        </is>
      </c>
      <c r="H475" s="50">
        <f>F475/IF(Varsayimlar!$B$21=1,1.3,1)</f>
        <v/>
      </c>
      <c r="I475" s="51" t="n">
        <v>68.64</v>
      </c>
      <c r="J475" s="28">
        <f>H475*I475</f>
        <v/>
      </c>
      <c r="K475" s="52" t="inlineStr">
        <is>
          <t>GEÇMİŞ TEKLİF UYARLAMA</t>
        </is>
      </c>
      <c r="L475" s="7" t="inlineStr">
        <is>
          <t>REF-derin – İzmir Buca M. Signify 2021 LED38 IP65 etanj 32,28 (M)+%30 montaj→41,96; Ankara-Sivas YHT Platin 2019 20W etanj (M+İ) 47,52 ×1,2 (20→30W)→57,03; Bursa T2 Haluk 2015 23/41W etanj ort. 109,10; Bursa T2 MET 2015 23/41W etanj ort. 80,24 → medyan 68,64 [Emsal ID: R00665;R00488;R00921;R00922;R00988]</t>
        </is>
      </c>
      <c r="M475" s="7" t="inlineStr">
        <is>
          <t>LED 30W | İlk tahmin BF 60.00</t>
        </is>
      </c>
    </row>
    <row r="476" outlineLevel="1">
      <c r="A476" s="27" t="n"/>
      <c r="B476" s="27" t="inlineStr">
        <is>
          <t>5002.G</t>
        </is>
      </c>
      <c r="C476" s="7" t="inlineStr">
        <is>
          <t>D07 – Monofaze priz</t>
        </is>
      </c>
      <c r="D476" s="27" t="inlineStr">
        <is>
          <t>adet</t>
        </is>
      </c>
      <c r="E476" s="50" t="n">
        <v>8</v>
      </c>
      <c r="F476" s="50" t="n">
        <v>8</v>
      </c>
      <c r="G476" s="27" t="inlineStr">
        <is>
          <t>%30</t>
        </is>
      </c>
      <c r="H476" s="50">
        <f>F476/IF(Varsayimlar!$B$21=1,1.3,1)</f>
        <v/>
      </c>
      <c r="I476" s="51" t="n">
        <v>15</v>
      </c>
      <c r="J476" s="28">
        <f>H476*I476</f>
        <v/>
      </c>
      <c r="K476" s="53" t="inlineStr">
        <is>
          <t>MÜHENDİSLİK TAHMİNİ</t>
        </is>
      </c>
      <c r="L476" s="7" t="inlineStr">
        <is>
          <t>TAHMIN (emsal yok) – Emsal yok (cihaz bazında; Bursa T2/Başkentray "priz sortisi" 25-91 € kablo dahil → kıyas dışı)</t>
        </is>
      </c>
      <c r="M476" s="7" t="inlineStr">
        <is>
          <t>Priz</t>
        </is>
      </c>
    </row>
    <row r="477" outlineLevel="1">
      <c r="A477" s="27" t="n"/>
      <c r="B477" s="27" t="inlineStr">
        <is>
          <t>5002.G</t>
        </is>
      </c>
      <c r="C477" s="7" t="inlineStr">
        <is>
          <t>D07 – Anahtar + acil armatür</t>
        </is>
      </c>
      <c r="D477" s="27" t="inlineStr">
        <is>
          <t>adet</t>
        </is>
      </c>
      <c r="E477" s="50" t="n">
        <v>6</v>
      </c>
      <c r="F477" s="50" t="n">
        <v>6</v>
      </c>
      <c r="G477" s="27" t="inlineStr">
        <is>
          <t>%30</t>
        </is>
      </c>
      <c r="H477" s="50">
        <f>F477/IF(Varsayimlar!$B$21=1,1.3,1)</f>
        <v/>
      </c>
      <c r="I477" s="51" t="n">
        <v>48.64</v>
      </c>
      <c r="J477" s="28">
        <f>H477*I477</f>
        <v/>
      </c>
      <c r="K477" s="52" t="inlineStr">
        <is>
          <t>GEÇMİŞ TEKLİF UYARLAMA</t>
        </is>
      </c>
      <c r="L477" s="7" t="inlineStr">
        <is>
          <t>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is>
      </c>
      <c r="M477" s="7" t="inlineStr">
        <is>
          <t>Anahtar+acil ort. | İlk tahmin BF 45.00</t>
        </is>
      </c>
    </row>
    <row r="478" outlineLevel="1">
      <c r="A478" s="27" t="n"/>
      <c r="B478" s="27" t="inlineStr">
        <is>
          <t>5002.G</t>
        </is>
      </c>
      <c r="C478" s="7" t="inlineStr">
        <is>
          <t>D07 – APP aydınlatma-priz panosu D07-APP-001</t>
        </is>
      </c>
      <c r="D478" s="27" t="inlineStr">
        <is>
          <t>adet</t>
        </is>
      </c>
      <c r="E478" s="50" t="n">
        <v>1</v>
      </c>
      <c r="F478" s="50" t="n">
        <v>1</v>
      </c>
      <c r="G478" s="27" t="inlineStr">
        <is>
          <t>-</t>
        </is>
      </c>
      <c r="H478" s="50">
        <f>F478</f>
        <v/>
      </c>
      <c r="I478" s="51" t="n">
        <v>800</v>
      </c>
      <c r="J478" s="28">
        <f>H478*I478</f>
        <v/>
      </c>
      <c r="K478" s="53" t="inlineStr">
        <is>
          <t>MÜHENDİSLİK TAHMİNİ</t>
        </is>
      </c>
      <c r="L478" s="7" t="inlineStr">
        <is>
          <t>TAHMIN (emsal yok) – Emsal yok (komple tali pano; İzmir Buca TEDAK 2021 tali pano ort. 3.010 € (M) metro/daha büyük, Bursa T2 "özel saç pano" yalnız gövde → kıyas dışı)</t>
        </is>
      </c>
      <c r="M478" s="7" t="inlineStr">
        <is>
          <t>APP panosu</t>
        </is>
      </c>
    </row>
    <row r="479" outlineLevel="1">
      <c r="A479" s="27" t="n"/>
      <c r="B479" s="27" t="inlineStr">
        <is>
          <t>5002.G</t>
        </is>
      </c>
      <c r="C479" s="7" t="inlineStr">
        <is>
          <t>D07 – NHXMH 3x2,5 linye + sorti</t>
        </is>
      </c>
      <c r="D479" s="27" t="inlineStr">
        <is>
          <t>m</t>
        </is>
      </c>
      <c r="E479" s="50" t="n">
        <v>118.25</v>
      </c>
      <c r="F479" s="50" t="n">
        <v>118.25</v>
      </c>
      <c r="G479" s="27" t="inlineStr">
        <is>
          <t>fire+%30</t>
        </is>
      </c>
      <c r="H479" s="50">
        <f>F479/IF(Varsayimlar!$B$21=1,1.43,1)</f>
        <v/>
      </c>
      <c r="I479" s="51" t="n">
        <v>1.96</v>
      </c>
      <c r="J479" s="28">
        <f>H479*I479</f>
        <v/>
      </c>
      <c r="K479" s="52" t="inlineStr">
        <is>
          <t>GEÇMİŞ TEKLİF UYARLAMA</t>
        </is>
      </c>
      <c r="L479"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479" s="7" t="inlineStr">
        <is>
          <t>Linye+sorti | İlk tahmin BF 2.60</t>
        </is>
      </c>
    </row>
    <row r="480">
      <c r="A480" s="48" t="inlineStr">
        <is>
          <t>330</t>
        </is>
      </c>
      <c r="B480" s="48" t="inlineStr">
        <is>
          <t>5002.H</t>
        </is>
      </c>
      <c r="C480" s="48" t="inlineStr">
        <is>
          <t>Depo Çevre AG Tesisatı ve Aydınlatma Sistemi (1 set)</t>
        </is>
      </c>
      <c r="D480" s="48" t="n"/>
      <c r="E480" s="48" t="n"/>
      <c r="F480" s="48" t="n"/>
      <c r="G480" s="48" t="n"/>
      <c r="H480" s="48" t="inlineStr">
        <is>
          <t>RFQ tutarı →</t>
        </is>
      </c>
      <c r="I480" s="49">
        <f>SUMPRODUCT(E481:E489,I481:I489)</f>
        <v/>
      </c>
      <c r="J480" s="49">
        <f>SUM(J481:J489)</f>
        <v/>
      </c>
      <c r="K480" s="48" t="n"/>
      <c r="L480" s="48" t="n"/>
      <c r="M480" s="48" t="n"/>
    </row>
    <row r="481" outlineLevel="1">
      <c r="A481" s="27" t="n"/>
      <c r="B481" s="27" t="inlineStr">
        <is>
          <t>5002.H</t>
        </is>
      </c>
      <c r="C481" s="7" t="inlineStr">
        <is>
          <t>15 m galvaniz kaplı çelik aydınlatma direği (projektör taşıyıcı başlıklı)</t>
        </is>
      </c>
      <c r="D481" s="27" t="inlineStr">
        <is>
          <t>adet</t>
        </is>
      </c>
      <c r="E481" s="50" t="n">
        <v>20</v>
      </c>
      <c r="F481" s="50" t="n">
        <v>20</v>
      </c>
      <c r="G481" s="27" t="inlineStr">
        <is>
          <t>-</t>
        </is>
      </c>
      <c r="H481" s="50">
        <f>F481</f>
        <v/>
      </c>
      <c r="I481" s="51" t="n">
        <v>2320</v>
      </c>
      <c r="J481" s="28">
        <f>H481*I481</f>
        <v/>
      </c>
      <c r="K481" s="52" t="inlineStr">
        <is>
          <t>GEÇMİŞ TEKLİF UYARLAMA</t>
        </is>
      </c>
      <c r="L481" s="7" t="inlineStr">
        <is>
          <t>REF-derin – 15 m poligon direk ~480 kg × 2,85 €/kg (Bursa T2 Haluk 2,48 / MET 3,20 €/kg medyanı) = 1.370 + projektör başlığı ~300 + temel ~500 + vinç/montaj 150 → 2.320 € [Emsal ID: R00852;R00934]</t>
        </is>
      </c>
      <c r="M481" s="7" t="inlineStr">
        <is>
          <t>Direk 15 m + temel | İlk tahmin BF 2,800.00</t>
        </is>
      </c>
    </row>
    <row r="482" outlineLevel="1">
      <c r="A482" s="27" t="n"/>
      <c r="B482" s="27" t="inlineStr">
        <is>
          <t>5002.H</t>
        </is>
      </c>
      <c r="C482" s="7" t="inlineStr">
        <is>
          <t>150W LED projektör (asimetrik IP66)</t>
        </is>
      </c>
      <c r="D482" s="27" t="inlineStr">
        <is>
          <t>adet</t>
        </is>
      </c>
      <c r="E482" s="50" t="n">
        <v>156</v>
      </c>
      <c r="F482" s="50" t="n">
        <v>156</v>
      </c>
      <c r="G482" s="27" t="inlineStr">
        <is>
          <t>-</t>
        </is>
      </c>
      <c r="H482" s="50">
        <f>F482</f>
        <v/>
      </c>
      <c r="I482" s="51" t="n">
        <v>308</v>
      </c>
      <c r="J482" s="28">
        <f>H482*I482</f>
        <v/>
      </c>
      <c r="K482" s="52" t="inlineStr">
        <is>
          <t>GEÇMİŞ TEKLİF UYARLAMA</t>
        </is>
      </c>
      <c r="L482" s="7" t="inlineStr">
        <is>
          <t>REF-derin(1) – Platin 2019 LED projektör ≤100 W 274,8 € ×1,15 (150 W) = 316 € → mevcut 300 ile harmanlandı [Emsal ID: R00490]</t>
        </is>
      </c>
      <c r="M482" s="7" t="inlineStr">
        <is>
          <t>Projektör 150W | İlk tahmin BF 300.00</t>
        </is>
      </c>
    </row>
    <row r="483" outlineLevel="1">
      <c r="A483" s="27" t="n"/>
      <c r="B483" s="27" t="inlineStr">
        <is>
          <t>5002.H</t>
        </is>
      </c>
      <c r="C483" s="7" t="inlineStr">
        <is>
          <t>Direk dibi sigorta/klemens kutusu IP66 (projektör başı otomatik sigorta, U klemens)</t>
        </is>
      </c>
      <c r="D483" s="27" t="inlineStr">
        <is>
          <t>adet</t>
        </is>
      </c>
      <c r="E483" s="50" t="n">
        <v>20</v>
      </c>
      <c r="F483" s="50" t="n">
        <v>20</v>
      </c>
      <c r="G483" s="27" t="inlineStr">
        <is>
          <t>-</t>
        </is>
      </c>
      <c r="H483" s="50">
        <f>F483</f>
        <v/>
      </c>
      <c r="I483" s="51" t="n">
        <v>60</v>
      </c>
      <c r="J483" s="28">
        <f>H483*I483</f>
        <v/>
      </c>
      <c r="K483" s="53" t="inlineStr">
        <is>
          <t>MÜHENDİSLİK TAHMİNİ</t>
        </is>
      </c>
      <c r="L483" s="7" t="inlineStr">
        <is>
          <t>TAHMIN (emsal yok) – Emsal yok (cihaz bazında; Bursa T2/Başkentray "priz sortisi" 25-91 € kablo dahil → kıyas dışı)</t>
        </is>
      </c>
      <c r="M483" s="7" t="inlineStr">
        <is>
          <t>Sigorta/klemens kutusu</t>
        </is>
      </c>
    </row>
    <row r="484" outlineLevel="1">
      <c r="A484" s="27" t="n"/>
      <c r="B484" s="27" t="inlineStr">
        <is>
          <t>5002.H</t>
        </is>
      </c>
      <c r="C484" s="7" t="inlineStr">
        <is>
          <t>ÇAP101 çevre aydınlatma panosu (IP66 astronomik zaman rölesi kontaktör RCBO)</t>
        </is>
      </c>
      <c r="D484" s="27" t="inlineStr">
        <is>
          <t>adet</t>
        </is>
      </c>
      <c r="E484" s="50" t="n">
        <v>1</v>
      </c>
      <c r="F484" s="50" t="n">
        <v>1</v>
      </c>
      <c r="G484" s="27" t="inlineStr">
        <is>
          <t>-</t>
        </is>
      </c>
      <c r="H484" s="50">
        <f>F484</f>
        <v/>
      </c>
      <c r="I484" s="51" t="n">
        <v>2500</v>
      </c>
      <c r="J484" s="28">
        <f>H484*I484</f>
        <v/>
      </c>
      <c r="K484" s="53" t="inlineStr">
        <is>
          <t>MÜHENDİSLİK TAHMİNİ</t>
        </is>
      </c>
      <c r="L484" s="7" t="inlineStr">
        <is>
          <t>TAHMIN (emsal yok) – Emsal yok (komple tali pano; İzmir Buca TEDAK 2021 tali pano ort. 3.010 € (M) metro/daha büyük, Bursa T2 "özel saç pano" yalnız gövde → kıyas dışı)</t>
        </is>
      </c>
      <c r="M484" s="7" t="inlineStr">
        <is>
          <t>Çevre aydınlatma panosu</t>
        </is>
      </c>
    </row>
    <row r="485" outlineLevel="1">
      <c r="A485" s="27" t="n"/>
      <c r="B485" s="27" t="inlineStr">
        <is>
          <t>5002.H</t>
        </is>
      </c>
      <c r="C485" s="7" t="inlineStr">
        <is>
          <t>Direk içi projektör besleme kablosu NYY 3x2,5 mm²</t>
        </is>
      </c>
      <c r="D485" s="27" t="inlineStr">
        <is>
          <t>m</t>
        </is>
      </c>
      <c r="E485" s="50" t="n">
        <v>3432</v>
      </c>
      <c r="F485" s="50" t="n">
        <v>3432</v>
      </c>
      <c r="G485" s="27" t="inlineStr">
        <is>
          <t>-</t>
        </is>
      </c>
      <c r="H485" s="50">
        <f>F485</f>
        <v/>
      </c>
      <c r="I485" s="51" t="n">
        <v>1.8</v>
      </c>
      <c r="J485" s="28">
        <f>H485*I485</f>
        <v/>
      </c>
      <c r="K485" s="52" t="inlineStr">
        <is>
          <t>GEÇMİŞ TEKLİF UYARLAMA</t>
        </is>
      </c>
      <c r="L485" s="7" t="inlineStr">
        <is>
          <t>REF-derin – 3x2,5: Prysmian 2021 N2XH 1,3 € (M)+%20=1,56; Bursa T2 Haluk 2015 1,5 €, MET 1,9 €; Delta Tema 2015 1,0 (M)+%20 → medyan 1,53 + %20 direk içi çekme → 1,8 €/m [Emsal ID: R00685;R00901;R00972;R00848]</t>
        </is>
      </c>
      <c r="M485" s="7" t="inlineStr">
        <is>
          <t>NYY 3x2,5 | İlk tahmin BF 2.50</t>
        </is>
      </c>
    </row>
    <row r="486" outlineLevel="1">
      <c r="A486" s="27" t="n"/>
      <c r="B486" s="27" t="inlineStr">
        <is>
          <t>5002.H</t>
        </is>
      </c>
      <c r="C486" s="7" t="inlineStr">
        <is>
          <t>Direkler arası yeraltı besleme kablosu NYY/N2XY 4x16 mm² (çelik zırhlı)</t>
        </is>
      </c>
      <c r="D486" s="27" t="inlineStr">
        <is>
          <t>m</t>
        </is>
      </c>
      <c r="E486" s="50" t="n">
        <v>1358</v>
      </c>
      <c r="F486" s="50" t="n">
        <v>1358</v>
      </c>
      <c r="G486" s="27" t="inlineStr">
        <is>
          <t>fire+%30</t>
        </is>
      </c>
      <c r="H486" s="50">
        <f>F486/IF(Varsayimlar!$B$21=1,1.43,1)</f>
        <v/>
      </c>
      <c r="I486" s="51" t="n">
        <v>11.2</v>
      </c>
      <c r="J486" s="28">
        <f>H486*I486</f>
        <v/>
      </c>
      <c r="K486" s="52" t="inlineStr">
        <is>
          <t>GEÇMİŞ TEKLİF UYARLAMA</t>
        </is>
      </c>
      <c r="L486" s="7" t="inlineStr">
        <is>
          <t>REF-derin – 4x16: Prysmian 2021 8,5 €, Haluk 2015 7,6 €, MET 10,2 € → ×1,1 zırh, Prysmian +%20 montaj → medyan 11,2 €/m [Emsal ID: R00688;R00902;R00973]</t>
        </is>
      </c>
      <c r="M486" s="7" t="inlineStr">
        <is>
          <t>Zırhlı 4x16 (kazı hariç) | İlk tahmin BF 13.00</t>
        </is>
      </c>
    </row>
    <row r="487" outlineLevel="1">
      <c r="A487" s="27" t="n"/>
      <c r="B487" s="27" t="inlineStr">
        <is>
          <t>5002.H</t>
        </is>
      </c>
      <c r="C487" s="7" t="inlineStr">
        <is>
          <t>Çıplak örgülü bakır toprak iletkeni 50 mm² (direkler arası)</t>
        </is>
      </c>
      <c r="D487" s="27" t="inlineStr">
        <is>
          <t>m</t>
        </is>
      </c>
      <c r="E487" s="50" t="n">
        <v>1358</v>
      </c>
      <c r="F487" s="50" t="n">
        <v>1358</v>
      </c>
      <c r="G487" s="27" t="inlineStr">
        <is>
          <t>fire+%30</t>
        </is>
      </c>
      <c r="H487" s="50">
        <f>F487/IF(Varsayimlar!$B$21=1,1.43,1)</f>
        <v/>
      </c>
      <c r="I487" s="51" t="n">
        <v>7</v>
      </c>
      <c r="J487" s="28">
        <f>H487*I487</f>
        <v/>
      </c>
      <c r="K487" s="52" t="inlineStr">
        <is>
          <t>GEÇMİŞ TEKLİF UYARLAMA</t>
        </is>
      </c>
      <c r="L487" s="7" t="inlineStr">
        <is>
          <t>REF-derin – Örgülü Cu: Buca 2021 120 mm² 12,6 €, 16 mm² 1,7 € (M) → ~0,105 €/mm²·m × 50 = 5,2 € + %35 → 7,0 €/m (mevcut 12 yüksek) [Emsal ID: R00725;R00724]</t>
        </is>
      </c>
      <c r="M487" s="7" t="inlineStr">
        <is>
          <t>Cu 50 çıplak | İlk tahmin BF 12.00</t>
        </is>
      </c>
    </row>
    <row r="488" outlineLevel="1">
      <c r="A488" s="27" t="n"/>
      <c r="B488" s="27" t="inlineStr">
        <is>
          <t>5002.H</t>
        </is>
      </c>
      <c r="C488" s="7" t="inlineStr">
        <is>
          <t>Bakır topraklama çubuğu 1,5 m (her direkte 1)</t>
        </is>
      </c>
      <c r="D488" s="27" t="inlineStr">
        <is>
          <t>adet</t>
        </is>
      </c>
      <c r="E488" s="50" t="n">
        <v>20</v>
      </c>
      <c r="F488" s="50" t="n">
        <v>20</v>
      </c>
      <c r="G488" s="27" t="inlineStr">
        <is>
          <t>-</t>
        </is>
      </c>
      <c r="H488" s="50">
        <f>F488</f>
        <v/>
      </c>
      <c r="I488" s="51" t="n">
        <v>66.92</v>
      </c>
      <c r="J488" s="28">
        <f>H488*I488</f>
        <v/>
      </c>
      <c r="K488" s="52" t="inlineStr">
        <is>
          <t>GEÇMİŞ TEKLİF UYARLAMA</t>
        </is>
      </c>
      <c r="L488" s="7" t="inlineStr">
        <is>
          <t>REF-derin – İzmir Buca M. ESCO 2021 Cu Ø20x3,5 m 119,71 (M) ×1,5/3,5 boy +%30 çakma→66,92; Bursa T2 Haluk 2015 Cu Ø20x3,5 m (M+İ) 152,81 ×1,5/3,5 boy→65,71; Bursa T2 MET 2015 Cu Ø20x3,5 m (M+İ) 168,23 ×1,5/3,5 boy→72,34 → medyan 66,92 [Emsal ID: R00793;R00916;R00984]</t>
        </is>
      </c>
      <c r="M488" s="7" t="inlineStr">
        <is>
          <t>Cu çubuk 1,5 m | İlk tahmin BF 90.00</t>
        </is>
      </c>
    </row>
    <row r="489" outlineLevel="1">
      <c r="A489" s="27" t="n"/>
      <c r="B489" s="27" t="inlineStr">
        <is>
          <t>5002.H</t>
        </is>
      </c>
      <c r="C489" s="7" t="inlineStr">
        <is>
          <t>Dikkat Ölüm Tehlikesi levhası</t>
        </is>
      </c>
      <c r="D489" s="27" t="inlineStr">
        <is>
          <t>adet</t>
        </is>
      </c>
      <c r="E489" s="50" t="n">
        <v>20</v>
      </c>
      <c r="F489" s="50" t="n">
        <v>20</v>
      </c>
      <c r="G489" s="27" t="inlineStr">
        <is>
          <t>-</t>
        </is>
      </c>
      <c r="H489" s="50">
        <f>F489</f>
        <v/>
      </c>
      <c r="I489" s="51" t="n">
        <v>8</v>
      </c>
      <c r="J489" s="28">
        <f>H489*I489</f>
        <v/>
      </c>
      <c r="K489" s="53" t="inlineStr">
        <is>
          <t>MÜHENDİSLİK TAHMİNİ</t>
        </is>
      </c>
      <c r="L489" s="7" t="inlineStr">
        <is>
          <t>TAHMIN (emsal yok) – Emsal yok (cihaz bazında; Bursa T2/Başkentray "priz sortisi" 25-91 € kablo dahil → kıyas dışı)</t>
        </is>
      </c>
      <c r="M489" s="7" t="inlineStr">
        <is>
          <t>Levha</t>
        </is>
      </c>
    </row>
    <row r="490">
      <c r="A490" s="48" t="inlineStr">
        <is>
          <t>331</t>
        </is>
      </c>
      <c r="B490" s="48" t="inlineStr">
        <is>
          <t>5002.I</t>
        </is>
      </c>
      <c r="C490" s="48" t="inlineStr">
        <is>
          <t>Hat Trafo Binaları Alçak Gerilim Tesisatı ve Aydınlatma Sistemi (4 set)</t>
        </is>
      </c>
      <c r="D490" s="48" t="n"/>
      <c r="E490" s="48" t="n"/>
      <c r="F490" s="48" t="n"/>
      <c r="G490" s="48" t="n"/>
      <c r="H490" s="48" t="inlineStr">
        <is>
          <t>RFQ tutarı →</t>
        </is>
      </c>
      <c r="I490" s="49">
        <f>SUMPRODUCT(E491:E504,I491:I504)</f>
        <v/>
      </c>
      <c r="J490" s="49">
        <f>SUM(J491:J504)</f>
        <v/>
      </c>
      <c r="K490" s="48" t="n"/>
      <c r="L490" s="48" t="n"/>
      <c r="M490" s="48" t="n"/>
    </row>
    <row r="491" outlineLevel="1">
      <c r="A491" s="27" t="n"/>
      <c r="B491" s="27" t="inlineStr">
        <is>
          <t>5002.I</t>
        </is>
      </c>
      <c r="C491" s="7" t="inlineStr">
        <is>
          <t>Sıva üstü 30W ortam korumalı LED armatür (IP65)</t>
        </is>
      </c>
      <c r="D491" s="27" t="inlineStr">
        <is>
          <t>adet</t>
        </is>
      </c>
      <c r="E491" s="50" t="n">
        <v>148</v>
      </c>
      <c r="F491" s="50" t="n">
        <v>148</v>
      </c>
      <c r="G491" s="27" t="inlineStr">
        <is>
          <t>%30</t>
        </is>
      </c>
      <c r="H491" s="50">
        <f>F491/IF(Varsayimlar!$B$21=1,1.3,1)</f>
        <v/>
      </c>
      <c r="I491" s="51" t="n">
        <v>63.9</v>
      </c>
      <c r="J491" s="28">
        <f>H491*I491</f>
        <v/>
      </c>
      <c r="K491" s="52" t="inlineStr">
        <is>
          <t>GEÇMİŞ TEKLİF UYARLAMA</t>
        </is>
      </c>
      <c r="L491" s="7" t="inlineStr">
        <is>
          <t>REF-derin – ~30 W IP65 etanj: Philips 2021 WT166C 32,3 € (M)+%20=38,8; Bursa T2 Haluk 2015 23 W 94,2 €, MET 80,2 €; Platin 2019 20 W 47,5 € → medyan 63,9 € [Emsal ID: R00665;R00922;R00989;R00488]</t>
        </is>
      </c>
      <c r="M491" s="7" t="inlineStr">
        <is>
          <t>LED 30W IP65 (alt miktar ×4 set) | İlk tahmin BF 60.00</t>
        </is>
      </c>
    </row>
    <row r="492" outlineLevel="1">
      <c r="A492" s="27" t="n"/>
      <c r="B492" s="27" t="inlineStr">
        <is>
          <t>5002.I</t>
        </is>
      </c>
      <c r="C492" s="7" t="inlineStr">
        <is>
          <t>60W LED armatür/projektör (bina dışı)</t>
        </is>
      </c>
      <c r="D492" s="27" t="inlineStr">
        <is>
          <t>adet</t>
        </is>
      </c>
      <c r="E492" s="50" t="n">
        <v>24</v>
      </c>
      <c r="F492" s="50" t="n">
        <v>24</v>
      </c>
      <c r="G492" s="27" t="inlineStr">
        <is>
          <t>-</t>
        </is>
      </c>
      <c r="H492" s="50">
        <f>F492</f>
        <v/>
      </c>
      <c r="I492" s="51" t="n">
        <v>207.4</v>
      </c>
      <c r="J492" s="28">
        <f>H492*I492</f>
        <v/>
      </c>
      <c r="K492" s="52" t="inlineStr">
        <is>
          <t>GEÇMİŞ TEKLİF UYARLAMA</t>
        </is>
      </c>
      <c r="L492" s="7" t="inlineStr">
        <is>
          <t>REF-derin(1) – Ankara-Sivas YHT Platin 2019 LED prj ≤100W (M+İ) 274,81 → emsal 274,81 ; tek emsal → mevcut 140,00 ile ort. = 207,40 [Emsal ID: R00490]</t>
        </is>
      </c>
      <c r="M492" s="7" t="inlineStr">
        <is>
          <t>LED 60W (alt miktar ×4 set) | İlk tahmin BF 140.00</t>
        </is>
      </c>
    </row>
    <row r="493" outlineLevel="1">
      <c r="A493" s="27" t="n"/>
      <c r="B493" s="27" t="inlineStr">
        <is>
          <t>5002.I</t>
        </is>
      </c>
      <c r="C493" s="7" t="inlineStr">
        <is>
          <t>Acil çıkış yönlendirme LED 1x8W</t>
        </is>
      </c>
      <c r="D493" s="27" t="inlineStr">
        <is>
          <t>adet</t>
        </is>
      </c>
      <c r="E493" s="50" t="n">
        <v>8</v>
      </c>
      <c r="F493" s="50" t="n">
        <v>8</v>
      </c>
      <c r="G493" s="27" t="inlineStr">
        <is>
          <t>-</t>
        </is>
      </c>
      <c r="H493" s="50">
        <f>F493</f>
        <v/>
      </c>
      <c r="I493" s="51" t="n">
        <v>68.81</v>
      </c>
      <c r="J493" s="28">
        <f>H493*I493</f>
        <v/>
      </c>
      <c r="K493" s="52" t="inlineStr">
        <is>
          <t>GEÇMİŞ TEKLİF UYARLAMA</t>
        </is>
      </c>
      <c r="L493" s="7" t="inlineStr">
        <is>
          <t>REF-derin – Bursa T2 Haluk 2015 yönlendirme 2 saat (M+İ) 48,57; Başkentray Desat 2012 sürekli acil armatür (M+İ) 89,05 → medyan 68,81 [Emsal ID: R00905;R00531]</t>
        </is>
      </c>
      <c r="M493" s="7" t="inlineStr">
        <is>
          <t>Yönlendirme 8W (alt miktar ×4 set) | İlk tahmin BF 65.00</t>
        </is>
      </c>
    </row>
    <row r="494" outlineLevel="1">
      <c r="A494" s="27" t="n"/>
      <c r="B494" s="27" t="inlineStr">
        <is>
          <t>5002.I</t>
        </is>
      </c>
      <c r="C494" s="7" t="inlineStr">
        <is>
          <t>Kendinden bataryalı acil aydınlatma armatürü</t>
        </is>
      </c>
      <c r="D494" s="27" t="inlineStr">
        <is>
          <t>adet</t>
        </is>
      </c>
      <c r="E494" s="50" t="n">
        <v>24</v>
      </c>
      <c r="F494" s="50" t="n">
        <v>24</v>
      </c>
      <c r="G494" s="27" t="inlineStr">
        <is>
          <t>%30</t>
        </is>
      </c>
      <c r="H494" s="50">
        <f>F494/IF(Varsayimlar!$B$21=1,1.3,1)</f>
        <v/>
      </c>
      <c r="I494" s="51" t="n">
        <v>88.54000000000001</v>
      </c>
      <c r="J494" s="28">
        <f>H494*I494</f>
        <v/>
      </c>
      <c r="K494" s="52" t="inlineStr">
        <is>
          <t>GEÇMİŞ TEKLİF UYARLAMA</t>
        </is>
      </c>
      <c r="L494" s="7" t="inlineStr">
        <is>
          <t>REF-derin – Başkentray Desat 2012 acil armatür 3 saat (M+İ) 89,05; Ankara-Sivas YHT Platin 2019 20W etanj 47,52 + acil kit R00489 40,51 → 88,03 → medyan 88,54 [Emsal ID: R00531;R00488;R00489]</t>
        </is>
      </c>
      <c r="M494" s="7" t="inlineStr">
        <is>
          <t>Acil armatür (alt miktar ×4 set) | İlk tahmin BF 75.00</t>
        </is>
      </c>
    </row>
    <row r="495" outlineLevel="1">
      <c r="A495" s="27" t="n"/>
      <c r="B495" s="27" t="inlineStr">
        <is>
          <t>5002.I</t>
        </is>
      </c>
      <c r="C495" s="7" t="inlineStr">
        <is>
          <t>Ortam korumalı anahtar</t>
        </is>
      </c>
      <c r="D495" s="27" t="inlineStr">
        <is>
          <t>adet</t>
        </is>
      </c>
      <c r="E495" s="50" t="n">
        <v>32</v>
      </c>
      <c r="F495" s="50" t="n">
        <v>32</v>
      </c>
      <c r="G495" s="27" t="inlineStr">
        <is>
          <t>-</t>
        </is>
      </c>
      <c r="H495" s="50">
        <f>F495</f>
        <v/>
      </c>
      <c r="I495" s="51" t="n">
        <v>16</v>
      </c>
      <c r="J495" s="28">
        <f>H495*I495</f>
        <v/>
      </c>
      <c r="K495" s="53" t="inlineStr">
        <is>
          <t>MÜHENDİSLİK TAHMİNİ</t>
        </is>
      </c>
      <c r="L495" s="7" t="inlineStr">
        <is>
          <t>TAHMIN (emsal yok) – Emsal yok (cihaz bazında; Bursa T2/Başkentray "priz sortisi" 25-91 € kablo dahil → kıyas dışı)</t>
        </is>
      </c>
      <c r="M495" s="7" t="inlineStr">
        <is>
          <t>Anahtar (alt miktar ×4 set)</t>
        </is>
      </c>
    </row>
    <row r="496" outlineLevel="1">
      <c r="A496" s="27" t="n"/>
      <c r="B496" s="27" t="inlineStr">
        <is>
          <t>5002.I</t>
        </is>
      </c>
      <c r="C496" s="7" t="inlineStr">
        <is>
          <t>Monofaze topraklı priz 16A</t>
        </is>
      </c>
      <c r="D496" s="27" t="inlineStr">
        <is>
          <t>adet</t>
        </is>
      </c>
      <c r="E496" s="50" t="n">
        <v>40</v>
      </c>
      <c r="F496" s="50" t="n">
        <v>40</v>
      </c>
      <c r="G496" s="27" t="inlineStr">
        <is>
          <t>%30</t>
        </is>
      </c>
      <c r="H496" s="50">
        <f>F496/IF(Varsayimlar!$B$21=1,1.3,1)</f>
        <v/>
      </c>
      <c r="I496" s="51" t="n">
        <v>15</v>
      </c>
      <c r="J496" s="28">
        <f>H496*I496</f>
        <v/>
      </c>
      <c r="K496" s="53" t="inlineStr">
        <is>
          <t>MÜHENDİSLİK TAHMİNİ</t>
        </is>
      </c>
      <c r="L496" s="7" t="inlineStr">
        <is>
          <t>TAHMIN (emsal yok) – Emsal yok (cihaz bazında; Bursa T2/Başkentray "priz sortisi" 25-91 € kablo dahil → kıyas dışı)</t>
        </is>
      </c>
      <c r="M496" s="7" t="inlineStr">
        <is>
          <t>Priz (alt miktar ×4 set)</t>
        </is>
      </c>
    </row>
    <row r="497" outlineLevel="1">
      <c r="A497" s="27" t="n"/>
      <c r="B497" s="27" t="inlineStr">
        <is>
          <t>5002.I</t>
        </is>
      </c>
      <c r="C497" s="7" t="inlineStr">
        <is>
          <t>Trifaze/kombine priz kutusu (4x4 linye)</t>
        </is>
      </c>
      <c r="D497" s="27" t="inlineStr">
        <is>
          <t>adet</t>
        </is>
      </c>
      <c r="E497" s="50" t="n">
        <v>12</v>
      </c>
      <c r="F497" s="50" t="n">
        <v>12</v>
      </c>
      <c r="G497" s="27" t="inlineStr">
        <is>
          <t>%30</t>
        </is>
      </c>
      <c r="H497" s="50">
        <f>F497/IF(Varsayimlar!$B$21=1,1.3,1)</f>
        <v/>
      </c>
      <c r="I497" s="51" t="n">
        <v>90</v>
      </c>
      <c r="J497" s="28">
        <f>H497*I497</f>
        <v/>
      </c>
      <c r="K497" s="53" t="inlineStr">
        <is>
          <t>MÜHENDİSLİK TAHMİNİ</t>
        </is>
      </c>
      <c r="L497" s="7" t="inlineStr">
        <is>
          <t>TAHMIN (emsal yok) – Emsal yok (cihaz bazında; Bursa T2/Başkentray "priz sortisi" 25-91 € kablo dahil → kıyas dışı)</t>
        </is>
      </c>
      <c r="M497" s="7" t="inlineStr">
        <is>
          <t>Trifaze priz kutusu (alt miktar ×4 set)</t>
        </is>
      </c>
    </row>
    <row r="498" outlineLevel="1">
      <c r="A498" s="27" t="n"/>
      <c r="B498" s="27" t="inlineStr">
        <is>
          <t>5002.I</t>
        </is>
      </c>
      <c r="C498" s="7" t="inlineStr">
        <is>
          <t>UPS prizi (elektronik ekipman odası)</t>
        </is>
      </c>
      <c r="D498" s="27" t="inlineStr">
        <is>
          <t>adet</t>
        </is>
      </c>
      <c r="E498" s="50" t="n">
        <v>8</v>
      </c>
      <c r="F498" s="50" t="n">
        <v>8</v>
      </c>
      <c r="G498" s="27" t="inlineStr">
        <is>
          <t>-</t>
        </is>
      </c>
      <c r="H498" s="50">
        <f>F498</f>
        <v/>
      </c>
      <c r="I498" s="51" t="n">
        <v>18</v>
      </c>
      <c r="J498" s="28">
        <f>H498*I498</f>
        <v/>
      </c>
      <c r="K498" s="53" t="inlineStr">
        <is>
          <t>MÜHENDİSLİK TAHMİNİ</t>
        </is>
      </c>
      <c r="L498" s="7" t="inlineStr">
        <is>
          <t>TAHMIN (emsal yok) – Emsal yok (cihaz bazında; Bursa T2/Başkentray "priz sortisi" 25-91 € kablo dahil → kıyas dışı)</t>
        </is>
      </c>
      <c r="M498" s="7" t="inlineStr">
        <is>
          <t>UPS prizi (alt miktar ×4 set)</t>
        </is>
      </c>
    </row>
    <row r="499" outlineLevel="1">
      <c r="A499" s="27" t="n"/>
      <c r="B499" s="27" t="inlineStr">
        <is>
          <t>5002.I</t>
        </is>
      </c>
      <c r="C499" s="7" t="inlineStr">
        <is>
          <t>APP aydınlatma-priz panosu T00/APP/001 (IP54 3F 25A 15 çıkış)</t>
        </is>
      </c>
      <c r="D499" s="27" t="inlineStr">
        <is>
          <t>adet</t>
        </is>
      </c>
      <c r="E499" s="50" t="n">
        <v>4</v>
      </c>
      <c r="F499" s="50" t="n">
        <v>4</v>
      </c>
      <c r="G499" s="27" t="inlineStr">
        <is>
          <t>-</t>
        </is>
      </c>
      <c r="H499" s="50">
        <f>F499</f>
        <v/>
      </c>
      <c r="I499" s="51" t="n">
        <v>1300</v>
      </c>
      <c r="J499" s="28">
        <f>H499*I499</f>
        <v/>
      </c>
      <c r="K499" s="53" t="inlineStr">
        <is>
          <t>MÜHENDİSLİK TAHMİNİ</t>
        </is>
      </c>
      <c r="L499" s="7" t="inlineStr">
        <is>
          <t>TAHMIN (emsal yok) – T00 APP IP54 25 A küçük pano – TEDAK tali ortalaması daha büyük pano; 1.300 korundu</t>
        </is>
      </c>
      <c r="M499" s="7" t="inlineStr">
        <is>
          <t>APP panosu (alt miktar ×4 set)</t>
        </is>
      </c>
    </row>
    <row r="500" outlineLevel="1">
      <c r="A500" s="27" t="n"/>
      <c r="B500" s="27" t="inlineStr">
        <is>
          <t>5002.I</t>
        </is>
      </c>
      <c r="C500" s="7" t="inlineStr">
        <is>
          <t>UPS 10 kVA 3F/3F online + by-pass (trafo merkezi UPSi)</t>
        </is>
      </c>
      <c r="D500" s="27" t="inlineStr">
        <is>
          <t>adet</t>
        </is>
      </c>
      <c r="E500" s="50" t="n">
        <v>4</v>
      </c>
      <c r="F500" s="50" t="n">
        <v>4</v>
      </c>
      <c r="G500" s="27" t="inlineStr">
        <is>
          <t>-</t>
        </is>
      </c>
      <c r="H500" s="50">
        <f>F500</f>
        <v/>
      </c>
      <c r="I500" s="51" t="n">
        <v>5000</v>
      </c>
      <c r="J500" s="28">
        <f>H500*I500</f>
        <v/>
      </c>
      <c r="K500" s="52" t="inlineStr">
        <is>
          <t>GEÇMİŞ TEKLİF UYARLAMA</t>
        </is>
      </c>
      <c r="L500" s="7" t="inlineStr">
        <is>
          <t>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is>
      </c>
      <c r="M500" s="7" t="inlineStr">
        <is>
          <t>UPS 10 kVA kurulu (alt miktar ×4 set) | İlk tahmin BF 5,300.00</t>
        </is>
      </c>
    </row>
    <row r="501" outlineLevel="1">
      <c r="A501" s="27" t="n"/>
      <c r="B501" s="27" t="inlineStr">
        <is>
          <t>5002.I</t>
        </is>
      </c>
      <c r="C501" s="7" t="inlineStr">
        <is>
          <t>UPS akü grubu VRLA 2 saat otonomi (10 kVA) – 32×12V 100Ah blok (384 V DC) + akü kabini</t>
        </is>
      </c>
      <c r="D501" s="27" t="inlineStr">
        <is>
          <t>takım</t>
        </is>
      </c>
      <c r="E501" s="50" t="n">
        <v>4</v>
      </c>
      <c r="F501" s="50" t="n">
        <v>4</v>
      </c>
      <c r="G501" s="27" t="inlineStr">
        <is>
          <t>-</t>
        </is>
      </c>
      <c r="H501" s="50">
        <f>F501</f>
        <v/>
      </c>
      <c r="I501" s="51" t="n">
        <v>7300</v>
      </c>
      <c r="J501" s="28">
        <f>H501*I501</f>
        <v/>
      </c>
      <c r="K501" s="53" t="inlineStr">
        <is>
          <t>MÜHENDİSLİK TAHMİNİ</t>
        </is>
      </c>
      <c r="L501" s="7" t="inlineStr">
        <is>
          <t>TAHMIN (emsal yok) – Akü grubu: refler tekil küçük blok alımı; 2026 blok bazlı hesap mevcut fiyatla uyumlu – korundu [Emsal ID: R01952;R01745]</t>
        </is>
      </c>
      <c r="M501" s="7" t="inlineStr">
        <is>
          <t>Hat trafo: 2 saat korundu (alt miktar ×4 set)</t>
        </is>
      </c>
    </row>
    <row r="502" outlineLevel="1">
      <c r="A502" s="27" t="n"/>
      <c r="B502" s="27" t="inlineStr">
        <is>
          <t>5002.I</t>
        </is>
      </c>
      <c r="C502" s="7" t="inlineStr">
        <is>
          <t>N2XH 3x2,5 aydınlatma+priz linye + sorti</t>
        </is>
      </c>
      <c r="D502" s="27" t="inlineStr">
        <is>
          <t>m</t>
        </is>
      </c>
      <c r="E502" s="50" t="n">
        <v>2248</v>
      </c>
      <c r="F502" s="50" t="n">
        <v>2248</v>
      </c>
      <c r="G502" s="27" t="inlineStr">
        <is>
          <t>fire+%30</t>
        </is>
      </c>
      <c r="H502" s="50">
        <f>F502/IF(Varsayimlar!$B$21=1,1.43,1)</f>
        <v/>
      </c>
      <c r="I502" s="51" t="n">
        <v>1.96</v>
      </c>
      <c r="J502" s="28">
        <f>H502*I502</f>
        <v/>
      </c>
      <c r="K502" s="52" t="inlineStr">
        <is>
          <t>GEÇMİŞ TEKLİF UYARLAMA</t>
        </is>
      </c>
      <c r="L502" s="7" t="inlineStr">
        <is>
          <t>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is>
      </c>
      <c r="M502" s="7" t="inlineStr">
        <is>
          <t>Linye+sorti (alt miktar ×4 set) | İlk tahmin BF 2.60</t>
        </is>
      </c>
    </row>
    <row r="503" outlineLevel="1">
      <c r="A503" s="27" t="n"/>
      <c r="B503" s="27" t="inlineStr">
        <is>
          <t>5002.I</t>
        </is>
      </c>
      <c r="C503" s="7" t="inlineStr">
        <is>
          <t>N2XH 4x4 priz linyesi</t>
        </is>
      </c>
      <c r="D503" s="27" t="inlineStr">
        <is>
          <t>m</t>
        </is>
      </c>
      <c r="E503" s="50" t="n">
        <v>232</v>
      </c>
      <c r="F503" s="50" t="n">
        <v>232</v>
      </c>
      <c r="G503" s="27" t="inlineStr">
        <is>
          <t>fire+%30</t>
        </is>
      </c>
      <c r="H503" s="50">
        <f>F503/IF(Varsayimlar!$B$21=1,1.43,1)</f>
        <v/>
      </c>
      <c r="I503" s="51" t="n">
        <v>3.33</v>
      </c>
      <c r="J503" s="28">
        <f>H503*I503</f>
        <v/>
      </c>
      <c r="K503" s="52" t="inlineStr">
        <is>
          <t>GEÇMİŞ TEKLİF UYARLAMA</t>
        </is>
      </c>
      <c r="L503" s="7" t="inlineStr">
        <is>
          <t>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is>
      </c>
      <c r="M503" s="7" t="inlineStr">
        <is>
          <t>N2XH 4x4 (alt miktar ×4 set) | İlk tahmin BF 4.00</t>
        </is>
      </c>
    </row>
    <row r="504" outlineLevel="1">
      <c r="A504" s="27" t="n"/>
      <c r="B504" s="27" t="inlineStr">
        <is>
          <t>5002.I</t>
        </is>
      </c>
      <c r="C504" s="7" t="inlineStr">
        <is>
          <t>Yıldırımdan korunma tesisatı</t>
        </is>
      </c>
      <c r="D504" s="27" t="inlineStr">
        <is>
          <t>set</t>
        </is>
      </c>
      <c r="E504" s="50" t="n">
        <v>4</v>
      </c>
      <c r="F504" s="50" t="n">
        <v>4</v>
      </c>
      <c r="G504" s="27" t="inlineStr">
        <is>
          <t>-</t>
        </is>
      </c>
      <c r="H504" s="50">
        <f>F504</f>
        <v/>
      </c>
      <c r="I504" s="51" t="n">
        <v>2500</v>
      </c>
      <c r="J504" s="28">
        <f>H504*I504</f>
        <v/>
      </c>
      <c r="K504" s="53" t="inlineStr">
        <is>
          <t>MÜHENDİSLİK TAHMİNİ</t>
        </is>
      </c>
      <c r="L504" s="7" t="inlineStr">
        <is>
          <t>TAHMIN (emsal yok) – Kocaeli tramvay 2015 TM topraklama+yıldırımdan korunma 7.538 € (topraklama dahil, kapsam farklı) – korundu [Emsal ID: R01056]</t>
        </is>
      </c>
      <c r="M504" s="7" t="inlineStr">
        <is>
          <t>Yıldırımdan korunma (alt miktar ×4 set)</t>
        </is>
      </c>
    </row>
    <row r="505">
      <c r="A505" s="48" t="inlineStr">
        <is>
          <t>332</t>
        </is>
      </c>
      <c r="B505" s="48" t="inlineStr">
        <is>
          <t>5002.J</t>
        </is>
      </c>
      <c r="C505" s="48" t="inlineStr">
        <is>
          <t>Hatboyu Ag Tesisatı ve Aydınlatma Sistemi (1 set)</t>
        </is>
      </c>
      <c r="D505" s="48" t="n"/>
      <c r="E505" s="48" t="n"/>
      <c r="F505" s="48" t="n"/>
      <c r="G505" s="48" t="n"/>
      <c r="H505" s="48" t="inlineStr">
        <is>
          <t>RFQ tutarı →</t>
        </is>
      </c>
      <c r="I505" s="49">
        <f>SUMPRODUCT(E506:E517,I506:I517)</f>
        <v/>
      </c>
      <c r="J505" s="49">
        <f>SUM(J506:J517)</f>
        <v/>
      </c>
      <c r="K505" s="48" t="n"/>
      <c r="L505" s="48" t="n"/>
      <c r="M505" s="48" t="n"/>
    </row>
    <row r="506" outlineLevel="1">
      <c r="A506" s="27" t="n"/>
      <c r="B506" s="27" t="inlineStr">
        <is>
          <t>5002.J</t>
        </is>
      </c>
      <c r="C506" s="7" t="inlineStr">
        <is>
          <t>Hatboyu aydınlatma – hat ekseninden ödeme uzunluğu</t>
        </is>
      </c>
      <c r="D506" s="27" t="inlineStr">
        <is>
          <t>m</t>
        </is>
      </c>
      <c r="E506" s="50" t="n">
        <v>6560</v>
      </c>
      <c r="F506" s="54" t="n">
        <v>6440</v>
      </c>
      <c r="G506" s="27" t="inlineStr">
        <is>
          <t>fire %10</t>
        </is>
      </c>
      <c r="H506" s="50">
        <f>F506/IF(Varsayimlar!$B$21=1,1.1,1)</f>
        <v/>
      </c>
      <c r="I506" s="51" t="n">
        <v>0</v>
      </c>
      <c r="J506" s="28">
        <f>H506*I506</f>
        <v/>
      </c>
      <c r="K506" s="53" t="inlineStr">
        <is>
          <t>MÜHENDİSLİK TAHMİNİ</t>
        </is>
      </c>
      <c r="L506" s="7" t="inlineStr">
        <is>
          <t>TAHMIN (emsal yok) – Bilgi satırı, fiyat 0 (bileşenler ayrı)</t>
        </is>
      </c>
      <c r="M506" s="7" t="inlineStr">
        <is>
          <t>Bilgi satırı; bileşenler ayrı fiyatlı</t>
        </is>
      </c>
    </row>
    <row r="507" outlineLevel="1">
      <c r="A507" s="27" t="n"/>
      <c r="B507" s="27" t="inlineStr">
        <is>
          <t>5002.J</t>
        </is>
      </c>
      <c r="C507" s="7" t="inlineStr">
        <is>
          <t>152W LED yol aydınlatma armatürü (IP66 projektör tipi)</t>
        </is>
      </c>
      <c r="D507" s="27" t="inlineStr">
        <is>
          <t>adet</t>
        </is>
      </c>
      <c r="E507" s="50" t="n">
        <v>736</v>
      </c>
      <c r="F507" s="50" t="n">
        <v>736</v>
      </c>
      <c r="G507" s="27" t="inlineStr">
        <is>
          <t>-</t>
        </is>
      </c>
      <c r="H507" s="50">
        <f>F507</f>
        <v/>
      </c>
      <c r="I507" s="51" t="n">
        <v>348</v>
      </c>
      <c r="J507" s="28">
        <f>H507*I507</f>
        <v/>
      </c>
      <c r="K507" s="52" t="inlineStr">
        <is>
          <t>GEÇMİŞ TEKLİF UYARLAMA</t>
        </is>
      </c>
      <c r="L507" s="7" t="inlineStr">
        <is>
          <t>REF-derin(1) – 152 W LED yol armatürü: Platin 2019 LED projektör ≤100 W 274,8 € ×1,15 (150 W) = 316 € → mevcut 380 ile harmanlandı; 736 adetlik toplu alımda 300 € altı da mümkün [Emsal ID: R00490]</t>
        </is>
      </c>
      <c r="M507" s="7" t="inlineStr">
        <is>
          <t>LED yol armatürü 152W | İlk tahmin BF 380.00</t>
        </is>
      </c>
    </row>
    <row r="508" outlineLevel="1">
      <c r="A508" s="27" t="n"/>
      <c r="B508" s="27" t="inlineStr">
        <is>
          <t>5002.J</t>
        </is>
      </c>
      <c r="C508" s="7" t="inlineStr">
        <is>
          <t>12 m galvaniz çelik poligon aydınlatma direği tek konsollu (IP66 müdahale kapaklı)</t>
        </is>
      </c>
      <c r="D508" s="27" t="inlineStr">
        <is>
          <t>adet</t>
        </is>
      </c>
      <c r="E508" s="50" t="n">
        <v>566</v>
      </c>
      <c r="F508" s="50" t="n">
        <v>566</v>
      </c>
      <c r="G508" s="27" t="inlineStr">
        <is>
          <t>-</t>
        </is>
      </c>
      <c r="H508" s="50">
        <f>F508</f>
        <v/>
      </c>
      <c r="I508" s="51" t="n">
        <v>1120</v>
      </c>
      <c r="J508" s="28">
        <f>H508*I508</f>
        <v/>
      </c>
      <c r="K508" s="52" t="inlineStr">
        <is>
          <t>GEÇMİŞ TEKLİF UYARLAMA</t>
        </is>
      </c>
      <c r="L508" s="7" t="inlineStr">
        <is>
          <t>REF-derin – 12 m poligon direk tek konsollu ~210 kg × 2,85 €/kg (Bursa T2 Haluk 2,48 / MET 3,20 €/kg medyanı) ×1,2 çelik fiyat artışı = 720 € + temel ~300 € + vinç/montaj 100 € → 1.120 € (mevcut 1.600 yüksek) [Emsal ID: R00852;R00934]</t>
        </is>
      </c>
      <c r="M508" s="7" t="inlineStr">
        <is>
          <t>Direk 12 m + temel | İlk tahmin BF 1,600.00</t>
        </is>
      </c>
    </row>
    <row r="509" outlineLevel="1">
      <c r="A509" s="27" t="n"/>
      <c r="B509" s="27" t="inlineStr">
        <is>
          <t>5002.J</t>
        </is>
      </c>
      <c r="C509" s="7" t="inlineStr">
        <is>
          <t>Direk içi sigorta + U klemens kutusu (armatür başı otomatik sigorta)</t>
        </is>
      </c>
      <c r="D509" s="27" t="inlineStr">
        <is>
          <t>adet</t>
        </is>
      </c>
      <c r="E509" s="50" t="n">
        <v>736</v>
      </c>
      <c r="F509" s="50" t="n">
        <v>736</v>
      </c>
      <c r="G509" s="27" t="inlineStr">
        <is>
          <t>%30</t>
        </is>
      </c>
      <c r="H509" s="50">
        <f>F509/IF(Varsayimlar!$B$21=1,1.3,1)</f>
        <v/>
      </c>
      <c r="I509" s="51" t="n">
        <v>35</v>
      </c>
      <c r="J509" s="28">
        <f>H509*I509</f>
        <v/>
      </c>
      <c r="K509" s="53" t="inlineStr">
        <is>
          <t>MÜHENDİSLİK TAHMİNİ</t>
        </is>
      </c>
      <c r="L509" s="7" t="inlineStr">
        <is>
          <t>TAHMIN (emsal yok) – Direk içi sigorta/U klemens emsal yok</t>
        </is>
      </c>
      <c r="M509" s="7" t="inlineStr">
        <is>
          <t>Sigorta+U klemens</t>
        </is>
      </c>
    </row>
    <row r="510" outlineLevel="1">
      <c r="A510" s="27" t="n"/>
      <c r="B510" s="27" t="inlineStr">
        <is>
          <t>5002.J</t>
        </is>
      </c>
      <c r="C510" s="7" t="inlineStr">
        <is>
          <t>Direk içi armatür besleme kablosu NYY 3x2,5</t>
        </is>
      </c>
      <c r="D510" s="27" t="inlineStr">
        <is>
          <t>m</t>
        </is>
      </c>
      <c r="E510" s="50" t="n">
        <v>10522</v>
      </c>
      <c r="F510" s="50" t="n">
        <v>10522</v>
      </c>
      <c r="G510" s="27" t="inlineStr">
        <is>
          <t>fire+%30</t>
        </is>
      </c>
      <c r="H510" s="50">
        <f>F510/IF(Varsayimlar!$B$21=1,1.43,1)</f>
        <v/>
      </c>
      <c r="I510" s="51" t="n">
        <v>1.8</v>
      </c>
      <c r="J510" s="28">
        <f>H510*I510</f>
        <v/>
      </c>
      <c r="K510" s="52" t="inlineStr">
        <is>
          <t>GEÇMİŞ TEKLİF UYARLAMA</t>
        </is>
      </c>
      <c r="L510" s="7" t="inlineStr">
        <is>
          <t>REF-derin – 3x2,5: Prysmian 2021 N2XH 1,3 € (M)+%20=1,56; Bursa T2 Haluk 2015 1,5 €, MET 1,9 €; Delta Tema 2015 1,0 (M)+%20 → medyan 1,53 + %20 direk içi çekme → 1,8 €/m [Emsal ID: R00685;R00901;R00972;R00848]</t>
        </is>
      </c>
      <c r="M510" s="7" t="inlineStr">
        <is>
          <t>NYY 3x2,5 (direğe bağlı, düzeltilmedi) | İlk tahmin BF 2.50</t>
        </is>
      </c>
    </row>
    <row r="511" outlineLevel="1">
      <c r="A511" s="27" t="n"/>
      <c r="B511" s="27" t="inlineStr">
        <is>
          <t>5002.J</t>
        </is>
      </c>
      <c r="C511" s="7" t="inlineStr">
        <is>
          <t>Dikkat Ölüm Tehlikesi direk levhası</t>
        </is>
      </c>
      <c r="D511" s="27" t="inlineStr">
        <is>
          <t>adet</t>
        </is>
      </c>
      <c r="E511" s="50" t="n">
        <v>566</v>
      </c>
      <c r="F511" s="50" t="n">
        <v>566</v>
      </c>
      <c r="G511" s="27" t="inlineStr">
        <is>
          <t>-</t>
        </is>
      </c>
      <c r="H511" s="50">
        <f>F511</f>
        <v/>
      </c>
      <c r="I511" s="51" t="n">
        <v>8</v>
      </c>
      <c r="J511" s="28">
        <f>H511*I511</f>
        <v/>
      </c>
      <c r="K511" s="53" t="inlineStr">
        <is>
          <t>MÜHENDİSLİK TAHMİNİ</t>
        </is>
      </c>
      <c r="L511" s="7" t="inlineStr">
        <is>
          <t>TAHMIN (emsal yok) – Emsal yok (cihaz bazında; Bursa T2/Başkentray "priz sortisi" 25-91 € kablo dahil → kıyas dışı)</t>
        </is>
      </c>
      <c r="M511" s="7" t="inlineStr">
        <is>
          <t>Levha</t>
        </is>
      </c>
    </row>
    <row r="512" outlineLevel="1">
      <c r="A512" s="27" t="n"/>
      <c r="B512" s="27" t="inlineStr">
        <is>
          <t>5002.J</t>
        </is>
      </c>
      <c r="C512" s="7" t="inlineStr">
        <is>
          <t>AP aydınlatma panosu (IP65 harici, aktif sokak sayacı RS-485, astronomik zaman rölesi, TMŞ 4x40A, KAR 300/30mA, 3 linye + yedek)</t>
        </is>
      </c>
      <c r="D512" s="27" t="inlineStr">
        <is>
          <t>adet</t>
        </is>
      </c>
      <c r="E512" s="50" t="n">
        <v>11</v>
      </c>
      <c r="F512" s="50" t="n">
        <v>11</v>
      </c>
      <c r="G512" s="27" t="inlineStr">
        <is>
          <t>-</t>
        </is>
      </c>
      <c r="H512" s="50">
        <f>F512</f>
        <v/>
      </c>
      <c r="I512" s="51" t="n">
        <v>2630</v>
      </c>
      <c r="J512" s="28">
        <f>H512*I512</f>
        <v/>
      </c>
      <c r="K512" s="52" t="inlineStr">
        <is>
          <t>GEÇMİŞ TEKLİF UYARLAMA</t>
        </is>
      </c>
      <c r="L512" s="7" t="inlineStr">
        <is>
          <t>REF-derin – Harici dağıtım panosu ELF-20.1: AUS 2018 1.580 €, Rayba 2016 3.081 € → medyan 2.330 + sayaç/astronomik röle (Haluk 2015 90 €) ~300 → 2.630 € [Emsal ID: R04012;R05156;R00872]</t>
        </is>
      </c>
      <c r="M512" s="7" t="inlineStr">
        <is>
          <t>AP panosu sayaçlı | İlk tahmin BF 3,500.00</t>
        </is>
      </c>
    </row>
    <row r="513" outlineLevel="1">
      <c r="A513" s="27" t="n"/>
      <c r="B513" s="27" t="inlineStr">
        <is>
          <t>5002.J</t>
        </is>
      </c>
      <c r="C513" s="7" t="inlineStr">
        <is>
          <t>NAYY 4x16 mm² direkler arası besleme kablosu</t>
        </is>
      </c>
      <c r="D513" s="27" t="inlineStr">
        <is>
          <t>m</t>
        </is>
      </c>
      <c r="E513" s="50" t="n">
        <v>4342</v>
      </c>
      <c r="F513" s="54" t="n">
        <v>4262.6</v>
      </c>
      <c r="G513" s="27" t="inlineStr">
        <is>
          <t>fire+%30</t>
        </is>
      </c>
      <c r="H513" s="50">
        <f>F513/IF(Varsayimlar!$B$21=1,1.43,1)</f>
        <v/>
      </c>
      <c r="I513" s="51" t="n">
        <v>5.5</v>
      </c>
      <c r="J513" s="28">
        <f>H513*I513</f>
        <v/>
      </c>
      <c r="K513" s="53" t="inlineStr">
        <is>
          <t>MÜHENDİSLİK TAHMİNİ</t>
        </is>
      </c>
      <c r="L513" s="7" t="inlineStr">
        <is>
          <t>TAHMIN (emsal yok) – NAYY (Al) AG kablo için emsal yok; Al kablo fiyatları Cu bazlı refle doğrudan karşılaştırılamaz</t>
        </is>
      </c>
      <c r="M513" s="7" t="inlineStr">
        <is>
          <t>NAYY 4x16; 6,44 km</t>
        </is>
      </c>
    </row>
    <row r="514" outlineLevel="1">
      <c r="A514" s="27" t="n"/>
      <c r="B514" s="27" t="inlineStr">
        <is>
          <t>5002.J</t>
        </is>
      </c>
      <c r="C514" s="7" t="inlineStr">
        <is>
          <t>NAYY 4x25 mm² direkler arası besleme kablosu</t>
        </is>
      </c>
      <c r="D514" s="27" t="inlineStr">
        <is>
          <t>m</t>
        </is>
      </c>
      <c r="E514" s="50" t="n">
        <v>9923</v>
      </c>
      <c r="F514" s="54" t="n">
        <v>9741.5</v>
      </c>
      <c r="G514" s="27" t="inlineStr">
        <is>
          <t>fire+%30</t>
        </is>
      </c>
      <c r="H514" s="50">
        <f>F514/IF(Varsayimlar!$B$21=1,1.43,1)</f>
        <v/>
      </c>
      <c r="I514" s="51" t="n">
        <v>6.5</v>
      </c>
      <c r="J514" s="28">
        <f>H514*I514</f>
        <v/>
      </c>
      <c r="K514" s="53" t="inlineStr">
        <is>
          <t>MÜHENDİSLİK TAHMİNİ</t>
        </is>
      </c>
      <c r="L514" s="7" t="inlineStr">
        <is>
          <t>TAHMIN (emsal yok) – NAYY (Al) AG kablo için emsal yok; Al kablo fiyatları Cu bazlı refle doğrudan karşılaştırılamaz</t>
        </is>
      </c>
      <c r="M514" s="7" t="inlineStr">
        <is>
          <t>NAYY 4x25; 6,44 km</t>
        </is>
      </c>
    </row>
    <row r="515" outlineLevel="1">
      <c r="A515" s="27" t="n"/>
      <c r="B515" s="27" t="inlineStr">
        <is>
          <t>5002.J</t>
        </is>
      </c>
      <c r="C515" s="7" t="inlineStr">
        <is>
          <t>NAYY 4x35 mm² direkler arası besleme kablosu</t>
        </is>
      </c>
      <c r="D515" s="27" t="inlineStr">
        <is>
          <t>m</t>
        </is>
      </c>
      <c r="E515" s="50" t="n">
        <v>6409</v>
      </c>
      <c r="F515" s="54" t="n">
        <v>6291.8</v>
      </c>
      <c r="G515" s="27" t="inlineStr">
        <is>
          <t>fire+%30</t>
        </is>
      </c>
      <c r="H515" s="50">
        <f>F515/IF(Varsayimlar!$B$21=1,1.43,1)</f>
        <v/>
      </c>
      <c r="I515" s="51" t="n">
        <v>7.5</v>
      </c>
      <c r="J515" s="28">
        <f>H515*I515</f>
        <v/>
      </c>
      <c r="K515" s="53" t="inlineStr">
        <is>
          <t>MÜHENDİSLİK TAHMİNİ</t>
        </is>
      </c>
      <c r="L515" s="7" t="inlineStr">
        <is>
          <t>TAHMIN (emsal yok) – NAYY (Al) AG kablo için emsal yok; Al kablo fiyatları Cu bazlı refle doğrudan karşılaştırılamaz</t>
        </is>
      </c>
      <c r="M515" s="7" t="inlineStr">
        <is>
          <t>NAYY 4x35; 6,44 km</t>
        </is>
      </c>
    </row>
    <row r="516" outlineLevel="1">
      <c r="A516" s="27" t="n"/>
      <c r="B516" s="27" t="inlineStr">
        <is>
          <t>5002.J</t>
        </is>
      </c>
      <c r="C516" s="7" t="inlineStr">
        <is>
          <t>Örgülü toprak iletkeni (cetvel: 95 mm² çelik örgülü / 35 mm² Al – şartname: çıplak örgülü bakır)</t>
        </is>
      </c>
      <c r="D516" s="27" t="inlineStr">
        <is>
          <t>m</t>
        </is>
      </c>
      <c r="E516" s="50" t="n">
        <v>20672</v>
      </c>
      <c r="F516" s="54" t="n">
        <v>20293.9</v>
      </c>
      <c r="G516" s="27" t="inlineStr">
        <is>
          <t>fire+%30</t>
        </is>
      </c>
      <c r="H516" s="50">
        <f>F516/IF(Varsayimlar!$B$21=1,1.43,1)</f>
        <v/>
      </c>
      <c r="I516" s="51" t="n">
        <v>5</v>
      </c>
      <c r="J516" s="28">
        <f>H516*I516</f>
        <v/>
      </c>
      <c r="K516" s="52" t="inlineStr">
        <is>
          <t>GEÇMİŞ TEKLİF UYARLAMA</t>
        </is>
      </c>
      <c r="L516" s="7" t="inlineStr">
        <is>
          <t>REF-derin – ~35 mm² örgülü Cu (şartname): Buca 2021 120 mm² 12,6 €, 16 mm² 1,7 € (M) → 0,105 €/mm²·m ×35 = 3,7 € + %35 → 5,0 €/m (mevcut 9 yüksek) [Emsal ID: R00725;R00724]</t>
        </is>
      </c>
      <c r="M516" s="7" t="inlineStr">
        <is>
          <t>Şartname Cu ~35 mm2 varsayım; 6,44 km | İlk tahmin BF 9.00</t>
        </is>
      </c>
    </row>
    <row r="517" outlineLevel="1">
      <c r="A517" s="27" t="n"/>
      <c r="B517" s="27" t="inlineStr">
        <is>
          <t>5002.J</t>
        </is>
      </c>
      <c r="C517" s="7" t="inlineStr">
        <is>
          <t>Galvaniz topraklama elektrodu 65x65x7 h=2 m</t>
        </is>
      </c>
      <c r="D517" s="27" t="inlineStr">
        <is>
          <t>adet</t>
        </is>
      </c>
      <c r="E517" s="50" t="n">
        <v>260</v>
      </c>
      <c r="F517" s="50" t="n">
        <v>260</v>
      </c>
      <c r="G517" s="27" t="inlineStr">
        <is>
          <t>-</t>
        </is>
      </c>
      <c r="H517" s="50">
        <f>F517</f>
        <v/>
      </c>
      <c r="I517" s="51" t="n">
        <v>55</v>
      </c>
      <c r="J517" s="28">
        <f>H517*I517</f>
        <v/>
      </c>
      <c r="K517" s="53" t="inlineStr">
        <is>
          <t>MÜHENDİSLİK TAHMİNİ</t>
        </is>
      </c>
      <c r="L517" s="7" t="inlineStr">
        <is>
          <t>TAHMIN (emsal yok) – 65x65x7 galv. köşebent 2 m (~13,6 kg) – emsal yok; 55 € kg bazlı hesapla uyumlu</t>
        </is>
      </c>
      <c r="M517" s="7" t="inlineStr">
        <is>
          <t>Galv. köşebent 65x65x7</t>
        </is>
      </c>
    </row>
    <row r="518">
      <c r="A518" s="48" t="inlineStr">
        <is>
          <t>333</t>
        </is>
      </c>
      <c r="B518" s="48" t="inlineStr">
        <is>
          <t>5003</t>
        </is>
      </c>
      <c r="C518" s="48" t="inlineStr">
        <is>
          <t>Yangın İhbar ve Kontrol Sistemi Tasarımı (1 set)</t>
        </is>
      </c>
      <c r="D518" s="48" t="n"/>
      <c r="E518" s="48" t="n"/>
      <c r="F518" s="48" t="n"/>
      <c r="G518" s="48" t="n"/>
      <c r="H518" s="48" t="inlineStr">
        <is>
          <t>RFQ tutarı →</t>
        </is>
      </c>
      <c r="I518" s="49">
        <f>SUMPRODUCT(E519:E523,I519:I523)</f>
        <v/>
      </c>
      <c r="J518" s="49">
        <f>SUM(J519:J523)</f>
        <v/>
      </c>
      <c r="K518" s="48" t="n"/>
      <c r="L518" s="48" t="n"/>
      <c r="M518" s="48" t="n"/>
    </row>
    <row r="519" outlineLevel="1">
      <c r="A519" s="27" t="n"/>
      <c r="B519" s="27" t="inlineStr">
        <is>
          <t>5003</t>
        </is>
      </c>
      <c r="C519" s="7" t="inlineStr">
        <is>
          <t>İstasyon yangın ihbar projeleri (6 istasyon – kesin projede yok, sıfırdan)</t>
        </is>
      </c>
      <c r="D519" s="27" t="inlineStr">
        <is>
          <t>set</t>
        </is>
      </c>
      <c r="E519" s="50" t="n">
        <v>1</v>
      </c>
      <c r="F519" s="50" t="n">
        <v>1</v>
      </c>
      <c r="G519" s="27" t="inlineStr">
        <is>
          <t>-</t>
        </is>
      </c>
      <c r="H519" s="50">
        <f>F519</f>
        <v/>
      </c>
      <c r="I519" s="51" t="n">
        <v>9000</v>
      </c>
      <c r="J519" s="28">
        <f>H519*I519</f>
        <v/>
      </c>
      <c r="K519" s="53" t="inlineStr">
        <is>
          <t>MÜHENDİSLİK TAHMİNİ</t>
        </is>
      </c>
      <c r="L519" s="7" t="inlineStr">
        <is>
          <t>TAHMIN (emsal yok) – Yangın algılama proje/senaryo – tramvay ölçeğinde emsal yok</t>
        </is>
      </c>
      <c r="M519" s="7" t="inlineStr">
        <is>
          <t>6 istasyon proje</t>
        </is>
      </c>
    </row>
    <row r="520" outlineLevel="1">
      <c r="A520" s="27" t="n"/>
      <c r="B520" s="27" t="inlineStr">
        <is>
          <t>5003</t>
        </is>
      </c>
      <c r="C520" s="7" t="inlineStr">
        <is>
          <t>Depo sahası binaları yangın algılama uygulama projeleri (D01 D02 D03 D05 D06 D07)</t>
        </is>
      </c>
      <c r="D520" s="27" t="inlineStr">
        <is>
          <t>set</t>
        </is>
      </c>
      <c r="E520" s="50" t="n">
        <v>1</v>
      </c>
      <c r="F520" s="50" t="n">
        <v>1</v>
      </c>
      <c r="G520" s="27" t="inlineStr">
        <is>
          <t>-</t>
        </is>
      </c>
      <c r="H520" s="50">
        <f>F520</f>
        <v/>
      </c>
      <c r="I520" s="51" t="n">
        <v>8000</v>
      </c>
      <c r="J520" s="28">
        <f>H520*I520</f>
        <v/>
      </c>
      <c r="K520" s="53" t="inlineStr">
        <is>
          <t>MÜHENDİSLİK TAHMİNİ</t>
        </is>
      </c>
      <c r="L520" s="7" t="inlineStr">
        <is>
          <t>TAHMIN (emsal yok) – Yangın algılama proje/senaryo – tramvay ölçeğinde emsal yok</t>
        </is>
      </c>
      <c r="M520" s="7" t="inlineStr">
        <is>
          <t>Depo proje</t>
        </is>
      </c>
    </row>
    <row r="521" outlineLevel="1">
      <c r="A521" s="27" t="n"/>
      <c r="B521" s="27" t="inlineStr">
        <is>
          <t>5003</t>
        </is>
      </c>
      <c r="C521" s="7" t="inlineStr">
        <is>
          <t>Hat trafo binaları yangın algılama projeleri (T00 ×4)</t>
        </is>
      </c>
      <c r="D521" s="27" t="inlineStr">
        <is>
          <t>set</t>
        </is>
      </c>
      <c r="E521" s="50" t="n">
        <v>1</v>
      </c>
      <c r="F521" s="50" t="n">
        <v>1</v>
      </c>
      <c r="G521" s="27" t="inlineStr">
        <is>
          <t>-</t>
        </is>
      </c>
      <c r="H521" s="50">
        <f>F521</f>
        <v/>
      </c>
      <c r="I521" s="51" t="n">
        <v>3000</v>
      </c>
      <c r="J521" s="28">
        <f>H521*I521</f>
        <v/>
      </c>
      <c r="K521" s="53" t="inlineStr">
        <is>
          <t>MÜHENDİSLİK TAHMİNİ</t>
        </is>
      </c>
      <c r="L521" s="7" t="inlineStr">
        <is>
          <t>TAHMIN (emsal yok) – Emsal yok (mühendislik/doküman)</t>
        </is>
      </c>
      <c r="M521" s="7" t="inlineStr">
        <is>
          <t>T00 x4 proje</t>
        </is>
      </c>
    </row>
    <row r="522" outlineLevel="1">
      <c r="A522" s="27" t="n"/>
      <c r="B522" s="27" t="inlineStr">
        <is>
          <t>5003</t>
        </is>
      </c>
      <c r="C522" s="7" t="inlineStr">
        <is>
          <t>TCC merkezi izleme – ağ topolojisi, arayüz (SCADA TCC) ve senaryo/sebep-sonuç matrisleri</t>
        </is>
      </c>
      <c r="D522" s="27" t="inlineStr">
        <is>
          <t>set</t>
        </is>
      </c>
      <c r="E522" s="50" t="n">
        <v>1</v>
      </c>
      <c r="F522" s="50" t="n">
        <v>1</v>
      </c>
      <c r="G522" s="27" t="inlineStr">
        <is>
          <t>-</t>
        </is>
      </c>
      <c r="H522" s="50">
        <f>F522</f>
        <v/>
      </c>
      <c r="I522" s="51" t="n">
        <v>5000</v>
      </c>
      <c r="J522" s="28">
        <f>H522*I522</f>
        <v/>
      </c>
      <c r="K522" s="53" t="inlineStr">
        <is>
          <t>MÜHENDİSLİK TAHMİNİ</t>
        </is>
      </c>
      <c r="L522" s="7" t="inlineStr">
        <is>
          <t>TAHMIN (emsal yok) – Yangın algılama proje/senaryo – tramvay ölçeğinde emsal yok</t>
        </is>
      </c>
      <c r="M522" s="7" t="inlineStr">
        <is>
          <t>Ağ/senaryo matrisi</t>
        </is>
      </c>
    </row>
    <row r="523" outlineLevel="1">
      <c r="A523" s="27" t="n"/>
      <c r="B523" s="27" t="inlineStr">
        <is>
          <t>5003</t>
        </is>
      </c>
      <c r="C523" s="7" t="inlineStr">
        <is>
          <t>Tasarım el kitapları, dokümantasyon ve as-built</t>
        </is>
      </c>
      <c r="D523" s="27" t="inlineStr">
        <is>
          <t>set</t>
        </is>
      </c>
      <c r="E523" s="50" t="n">
        <v>1</v>
      </c>
      <c r="F523" s="50" t="n">
        <v>1</v>
      </c>
      <c r="G523" s="27" t="inlineStr">
        <is>
          <t>-</t>
        </is>
      </c>
      <c r="H523" s="50">
        <f>F523</f>
        <v/>
      </c>
      <c r="I523" s="51" t="n">
        <v>4000</v>
      </c>
      <c r="J523" s="28">
        <f>H523*I523</f>
        <v/>
      </c>
      <c r="K523" s="53" t="inlineStr">
        <is>
          <t>MÜHENDİSLİK TAHMİNİ</t>
        </is>
      </c>
      <c r="L523" s="7" t="inlineStr">
        <is>
          <t>TAHMIN (emsal yok) – Emsal yok (mühendislik/doküman)</t>
        </is>
      </c>
      <c r="M523" s="7" t="inlineStr">
        <is>
          <t>Dokümantasyon</t>
        </is>
      </c>
    </row>
    <row r="524">
      <c r="A524" s="48" t="inlineStr">
        <is>
          <t>334</t>
        </is>
      </c>
      <c r="B524" s="48" t="inlineStr">
        <is>
          <t>5004.A</t>
        </is>
      </c>
      <c r="C524" s="48" t="inlineStr">
        <is>
          <t>Göbekli Tepe İstasyonu Yangın İhbar ve Kontrol Sistemi (1 set)</t>
        </is>
      </c>
      <c r="D524" s="48" t="n"/>
      <c r="E524" s="48" t="n"/>
      <c r="F524" s="48" t="n"/>
      <c r="G524" s="48" t="n"/>
      <c r="H524" s="48" t="inlineStr">
        <is>
          <t>RFQ tutarı →</t>
        </is>
      </c>
      <c r="I524" s="49">
        <f>SUMPRODUCT(E525:E537,I525:I537)</f>
        <v/>
      </c>
      <c r="J524" s="49">
        <f>SUM(J525:J537)</f>
        <v/>
      </c>
      <c r="K524" s="48" t="n"/>
      <c r="L524" s="48" t="n"/>
      <c r="M524" s="48" t="n"/>
    </row>
    <row r="525" outlineLevel="1">
      <c r="A525" s="27" t="n"/>
      <c r="B525" s="27" t="inlineStr">
        <is>
          <t>5004.A</t>
        </is>
      </c>
      <c r="C525" s="7" t="inlineStr">
        <is>
          <t>Adresli yangın alarm paneli 1-2 loop (akülü 24V) + network kartı</t>
        </is>
      </c>
      <c r="D525" s="27" t="inlineStr">
        <is>
          <t>adet</t>
        </is>
      </c>
      <c r="E525" s="50" t="n">
        <v>1</v>
      </c>
      <c r="F525" s="50" t="n">
        <v>1</v>
      </c>
      <c r="G525" s="27" t="inlineStr">
        <is>
          <t>-</t>
        </is>
      </c>
      <c r="H525" s="50">
        <f>F525</f>
        <v/>
      </c>
      <c r="I525" s="51" t="n">
        <v>2083.07</v>
      </c>
      <c r="J525" s="28">
        <f>H525*I525</f>
        <v/>
      </c>
      <c r="K525" s="52" t="inlineStr">
        <is>
          <t>GEÇMİŞ TEKLİF UYARLAMA</t>
        </is>
      </c>
      <c r="L525"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525" s="7" t="inlineStr">
        <is>
          <t>Panel 1-2 loop+network | İlk tahmin BF 4,200.00</t>
        </is>
      </c>
    </row>
    <row r="526" outlineLevel="1">
      <c r="A526" s="27" t="n"/>
      <c r="B526" s="27" t="inlineStr">
        <is>
          <t>5004.A</t>
        </is>
      </c>
      <c r="C526" s="7" t="inlineStr">
        <is>
          <t>Optik duman dedektörü (adresli)</t>
        </is>
      </c>
      <c r="D526" s="27" t="inlineStr">
        <is>
          <t>adet</t>
        </is>
      </c>
      <c r="E526" s="50" t="n">
        <v>8</v>
      </c>
      <c r="F526" s="50" t="n">
        <v>8</v>
      </c>
      <c r="G526" s="27" t="inlineStr">
        <is>
          <t>%30</t>
        </is>
      </c>
      <c r="H526" s="50">
        <f>F526/IF(Varsayimlar!$B$21=1,1.3,1)</f>
        <v/>
      </c>
      <c r="I526" s="51" t="n">
        <v>38.73</v>
      </c>
      <c r="J526" s="28">
        <f>H526*I526</f>
        <v/>
      </c>
      <c r="K526" s="52" t="inlineStr">
        <is>
          <t>GEÇMİŞ TEKLİF UYARLAMA</t>
        </is>
      </c>
      <c r="L526" s="7" t="inlineStr">
        <is>
          <t>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is>
      </c>
      <c r="M526" s="7" t="inlineStr">
        <is>
          <t>Referans fiyat | İlk tahmin BF 36.39</t>
        </is>
      </c>
    </row>
    <row r="527" outlineLevel="1">
      <c r="A527" s="27" t="n"/>
      <c r="B527" s="27" t="inlineStr">
        <is>
          <t>5004.A</t>
        </is>
      </c>
      <c r="C527" s="7" t="inlineStr">
        <is>
          <t>Isı dedektörü (adresli)</t>
        </is>
      </c>
      <c r="D527" s="27" t="inlineStr">
        <is>
          <t>adet</t>
        </is>
      </c>
      <c r="E527" s="50" t="n">
        <v>3</v>
      </c>
      <c r="F527" s="50" t="n">
        <v>3</v>
      </c>
      <c r="G527" s="27" t="inlineStr">
        <is>
          <t>%30</t>
        </is>
      </c>
      <c r="H527" s="50">
        <f>F527/IF(Varsayimlar!$B$21=1,1.3,1)</f>
        <v/>
      </c>
      <c r="I527" s="51" t="n">
        <v>35.89</v>
      </c>
      <c r="J527" s="28">
        <f>H527*I527</f>
        <v/>
      </c>
      <c r="K527" s="52" t="inlineStr">
        <is>
          <t>GEÇMİŞ TEKLİF UYARLAMA</t>
        </is>
      </c>
      <c r="L527" s="7" t="inlineStr">
        <is>
          <t>REF-derin – İzmir Buca M. NEV 2021 ısı sensörü 22,97 (M)+%30 montaj→29,86; İzmir Buca M. EEC 2021 SIGA-HRDI ısı 32,24 (M)+%30 montaj→41,92 → medyan 35,89 [Emsal ID: R00777;R00743]</t>
        </is>
      </c>
      <c r="M527" s="7" t="inlineStr">
        <is>
          <t>Ref düşük; montajlı adresli ısı ded. (ref 23) | İlk tahmin BF 38.00</t>
        </is>
      </c>
    </row>
    <row r="528" outlineLevel="1">
      <c r="A528" s="27" t="n"/>
      <c r="B528" s="27" t="inlineStr">
        <is>
          <t>5004.A</t>
        </is>
      </c>
      <c r="C528" s="7" t="inlineStr">
        <is>
          <t>Işın tipi duman dedektörü (alıcı-verici) – peron kanopisi altı</t>
        </is>
      </c>
      <c r="D528" s="27" t="inlineStr">
        <is>
          <t>çift</t>
        </is>
      </c>
      <c r="E528" s="50" t="n">
        <v>3</v>
      </c>
      <c r="F528" s="50" t="n">
        <v>3</v>
      </c>
      <c r="G528" s="27" t="inlineStr">
        <is>
          <t>-</t>
        </is>
      </c>
      <c r="H528" s="50">
        <f>F528</f>
        <v/>
      </c>
      <c r="I528" s="51" t="n">
        <v>814.66</v>
      </c>
      <c r="J528" s="28">
        <f>H528*I528</f>
        <v/>
      </c>
      <c r="K528" s="52" t="inlineStr">
        <is>
          <t>GEÇMİŞ TEKLİF UYARLAMA</t>
        </is>
      </c>
      <c r="L528" s="7" t="inlineStr">
        <is>
          <t>REF-derin – İzmir Buca M. EEC 2021 OSID alıcı+verici 569,42 (M)+%30 montaj→740,24; İzmir Buca M. NEV 2021 beam 8-100 m 294,04 (M)+%30 montaj→382,26; Bursa T2 Haluk 2015 Fireray reflektörlü (M+İ) 889,07; Kocaeli T. Sekaray 2015 Fireray 5-50 m 1.455,78 → medyan 814,66 [Emsal ID: R00745;R00782;R00927;R01082]</t>
        </is>
      </c>
      <c r="M528" s="7" t="inlineStr">
        <is>
          <t>Referans fiyat | İlk tahmin BF 569.42</t>
        </is>
      </c>
    </row>
    <row r="529" outlineLevel="1">
      <c r="A529" s="27" t="n"/>
      <c r="B529" s="27" t="inlineStr">
        <is>
          <t>5004.A</t>
        </is>
      </c>
      <c r="C529" s="7" t="inlineStr">
        <is>
          <t>Yangın ihbar butonu (adresli IP67 harici)</t>
        </is>
      </c>
      <c r="D529" s="27" t="inlineStr">
        <is>
          <t>adet</t>
        </is>
      </c>
      <c r="E529" s="50" t="n">
        <v>11</v>
      </c>
      <c r="F529" s="50" t="n">
        <v>11</v>
      </c>
      <c r="G529" s="27" t="inlineStr">
        <is>
          <t>-</t>
        </is>
      </c>
      <c r="H529" s="50">
        <f>F529</f>
        <v/>
      </c>
      <c r="I529" s="51" t="n">
        <v>64.58</v>
      </c>
      <c r="J529" s="28">
        <f>H529*I529</f>
        <v/>
      </c>
      <c r="K529" s="52" t="inlineStr">
        <is>
          <t>GEÇMİŞ TEKLİF UYARLAMA</t>
        </is>
      </c>
      <c r="L529" s="7" t="inlineStr">
        <is>
          <t>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is>
      </c>
      <c r="M529" s="7" t="inlineStr">
        <is>
          <t>Adresli buton IP67 | İlk tahmin BF 65.00</t>
        </is>
      </c>
    </row>
    <row r="530" outlineLevel="1">
      <c r="A530" s="27" t="n"/>
      <c r="B530" s="27" t="inlineStr">
        <is>
          <t>5004.A</t>
        </is>
      </c>
      <c r="C530" s="7" t="inlineStr">
        <is>
          <t>Flaşörlü siren (adresli harici IP65)</t>
        </is>
      </c>
      <c r="D530" s="27" t="inlineStr">
        <is>
          <t>adet</t>
        </is>
      </c>
      <c r="E530" s="50" t="n">
        <v>6</v>
      </c>
      <c r="F530" s="50" t="n">
        <v>6</v>
      </c>
      <c r="G530" s="27" t="inlineStr">
        <is>
          <t>-</t>
        </is>
      </c>
      <c r="H530" s="50">
        <f>F530</f>
        <v/>
      </c>
      <c r="I530" s="51" t="n">
        <v>62.39</v>
      </c>
      <c r="J530" s="28">
        <f>H530*I530</f>
        <v/>
      </c>
      <c r="K530" s="52" t="inlineStr">
        <is>
          <t>GEÇMİŞ TEKLİF UYARLAMA</t>
        </is>
      </c>
      <c r="L530" s="7" t="inlineStr">
        <is>
          <t>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is>
      </c>
      <c r="M530" s="7" t="inlineStr">
        <is>
          <t>Ref düşük; harici IP65 adresli siren (ref 31) | İlk tahmin BF 60.00</t>
        </is>
      </c>
    </row>
    <row r="531" outlineLevel="1">
      <c r="A531" s="27" t="n"/>
      <c r="B531" s="27" t="inlineStr">
        <is>
          <t>5004.A</t>
        </is>
      </c>
      <c r="C531" s="7" t="inlineStr">
        <is>
          <t>Giriş-çıkış modülü IOM</t>
        </is>
      </c>
      <c r="D531" s="27" t="inlineStr">
        <is>
          <t>adet</t>
        </is>
      </c>
      <c r="E531" s="50" t="n">
        <v>4</v>
      </c>
      <c r="F531" s="50" t="n">
        <v>4</v>
      </c>
      <c r="G531" s="27" t="inlineStr">
        <is>
          <t>-</t>
        </is>
      </c>
      <c r="H531" s="50">
        <f>F531</f>
        <v/>
      </c>
      <c r="I531" s="51" t="n">
        <v>68.42</v>
      </c>
      <c r="J531" s="28">
        <f>H531*I531</f>
        <v/>
      </c>
      <c r="K531" s="52" t="inlineStr">
        <is>
          <t>GEÇMİŞ TEKLİF UYARLAMA</t>
        </is>
      </c>
      <c r="L531" s="7" t="inlineStr">
        <is>
          <t>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is>
      </c>
      <c r="M531" s="7" t="inlineStr">
        <is>
          <t>Ref düşük; montajlı adresli I/O (ref 39) | İlk tahmin BF 60.00</t>
        </is>
      </c>
    </row>
    <row r="532" outlineLevel="1">
      <c r="A532" s="27" t="n"/>
      <c r="B532" s="27" t="inlineStr">
        <is>
          <t>5004.A</t>
        </is>
      </c>
      <c r="C532" s="7" t="inlineStr">
        <is>
          <t>İzolatör modülü</t>
        </is>
      </c>
      <c r="D532" s="27" t="inlineStr">
        <is>
          <t>adet</t>
        </is>
      </c>
      <c r="E532" s="50" t="n">
        <v>4</v>
      </c>
      <c r="F532" s="50" t="n">
        <v>4</v>
      </c>
      <c r="G532" s="27" t="inlineStr">
        <is>
          <t>-</t>
        </is>
      </c>
      <c r="H532" s="50">
        <f>F532</f>
        <v/>
      </c>
      <c r="I532" s="51" t="n">
        <v>35</v>
      </c>
      <c r="J532" s="28">
        <f>H532*I532</f>
        <v/>
      </c>
      <c r="K532" s="53" t="inlineStr">
        <is>
          <t>MÜHENDİSLİK TAHMİNİ</t>
        </is>
      </c>
      <c r="L532" s="7" t="inlineStr">
        <is>
          <t>TAHMIN (emsal yok) – Emsal yok (veride eşdeğer kalem yok)</t>
        </is>
      </c>
      <c r="M532" s="7" t="inlineStr">
        <is>
          <t>İzolatör</t>
        </is>
      </c>
    </row>
    <row r="533" outlineLevel="1">
      <c r="A533" s="27" t="n"/>
      <c r="B533" s="27" t="inlineStr">
        <is>
          <t>5004.A</t>
        </is>
      </c>
      <c r="C533" s="7" t="inlineStr">
        <is>
          <t>Yangına dayanıklı çevrim kablosu JE-H(St)H FE180 2x2x0,8</t>
        </is>
      </c>
      <c r="D533" s="27" t="inlineStr">
        <is>
          <t>m</t>
        </is>
      </c>
      <c r="E533" s="50" t="n">
        <v>801</v>
      </c>
      <c r="F533" s="50" t="n">
        <v>801</v>
      </c>
      <c r="G533" s="27" t="inlineStr">
        <is>
          <t>fire+%30</t>
        </is>
      </c>
      <c r="H533" s="50">
        <f>F533/IF(Varsayimlar!$B$21=1,1.43,1)</f>
        <v/>
      </c>
      <c r="I533" s="51" t="n">
        <v>2.22</v>
      </c>
      <c r="J533" s="28">
        <f>H533*I533</f>
        <v/>
      </c>
      <c r="K533" s="52" t="inlineStr">
        <is>
          <t>GEÇMİŞ TEKLİF UYARLAMA</t>
        </is>
      </c>
      <c r="L533" s="7" t="inlineStr">
        <is>
          <t>REF-derin – Pendik-Kaynarca M. YM 2022 HBAPH FE180 2x2x0,6 1,93 (M)+%35 montaj→2,61; İzmir Narlıdere M. Uskom 2018 FE180 2x2x0,6 (M+İ) 1,86; Kabataş-Mahmutbey M. Uskom 2015 FE180 2x2x0,6 (M+İ) 1,65; SAGE bina YM 2018 JE-H(St)H FE180 1x2x1,5 (M+İ) 2,59 → medyan 2,22 [Emsal ID: R02948;R01664;R02657;R03096]</t>
        </is>
      </c>
      <c r="M533" s="7" t="inlineStr">
        <is>
          <t>FE180 2x2x0,8 | İlk tahmin BF 2.20</t>
        </is>
      </c>
    </row>
    <row r="534" outlineLevel="1">
      <c r="A534" s="27" t="n"/>
      <c r="B534" s="27" t="inlineStr">
        <is>
          <t>5004.A</t>
        </is>
      </c>
      <c r="C534" s="7" t="inlineStr">
        <is>
          <t>Siren ve ışın dedektörü 24V besleme N2XH FE180 2x1,5</t>
        </is>
      </c>
      <c r="D534" s="27" t="inlineStr">
        <is>
          <t>m</t>
        </is>
      </c>
      <c r="E534" s="50" t="n">
        <v>344</v>
      </c>
      <c r="F534" s="50" t="n">
        <v>344</v>
      </c>
      <c r="G534" s="27" t="inlineStr">
        <is>
          <t>fire+%30</t>
        </is>
      </c>
      <c r="H534" s="50">
        <f>F534/IF(Varsayimlar!$B$21=1,1.43,1)</f>
        <v/>
      </c>
      <c r="I534" s="51" t="n">
        <v>1.8</v>
      </c>
      <c r="J534" s="28">
        <f>H534*I534</f>
        <v/>
      </c>
      <c r="K534" s="52" t="inlineStr">
        <is>
          <t>GEÇMİŞ TEKLİF UYARLAMA</t>
        </is>
      </c>
      <c r="L534" s="7" t="inlineStr">
        <is>
          <t>REF-derin – İzmir Narlıdere M. Uskom 2018 FE180 2x1,5 (M+İ) 1,68; Pendik-Kaynarca M. YM 2022 LIHCHRH FE180 2x1,5 1,42 (M)+%35 montaj→1,92 → medyan 1,80 [Emsal ID: R01755;R02959]</t>
        </is>
      </c>
      <c r="M534" s="7" t="inlineStr">
        <is>
          <t>FE180 2x1,5 | İlk tahmin BF 2.40</t>
        </is>
      </c>
    </row>
    <row r="535" outlineLevel="1">
      <c r="A535" s="27" t="n"/>
      <c r="B535" s="27" t="inlineStr">
        <is>
          <t>5004.A</t>
        </is>
      </c>
      <c r="C535" s="7" t="inlineStr">
        <is>
          <t>HF spiral boru / kroşe / harici HDPE koruma</t>
        </is>
      </c>
      <c r="D535" s="27" t="inlineStr">
        <is>
          <t>m</t>
        </is>
      </c>
      <c r="E535" s="50" t="n">
        <v>801</v>
      </c>
      <c r="F535" s="50" t="n">
        <v>801</v>
      </c>
      <c r="G535" s="27" t="inlineStr">
        <is>
          <t>fire+%30</t>
        </is>
      </c>
      <c r="H535" s="50">
        <f>F535/IF(Varsayimlar!$B$21=1,1.43,1)</f>
        <v/>
      </c>
      <c r="I535" s="51" t="n">
        <v>1.97</v>
      </c>
      <c r="J535" s="28">
        <f>H535*I535</f>
        <v/>
      </c>
      <c r="K535" s="52" t="inlineStr">
        <is>
          <t>GEÇMİŞ TEKLİF UYARLAMA</t>
        </is>
      </c>
      <c r="L535" s="7" t="inlineStr">
        <is>
          <t>REF-derin – Kabataş-Mahmutbey M. Uskom 2015 3/4" spiral (M+İ) 1,50 +%15 HF→1,73; Kabataş-Mahmutbey M. Uskom 2015 3/4" spiral (M+İ) 1,93 +%15 HF→2,21 → medyan 1,97 [Emsal ID: R02661;R02746]</t>
        </is>
      </c>
      <c r="M535" s="7" t="inlineStr">
        <is>
          <t>Boru/kroşe | İlk tahmin BF 2.00</t>
        </is>
      </c>
    </row>
    <row r="536" outlineLevel="1">
      <c r="A536" s="27" t="n"/>
      <c r="B536" s="27" t="inlineStr">
        <is>
          <t>5004.A</t>
        </is>
      </c>
      <c r="C536" s="7" t="inlineStr">
        <is>
          <t>TCC/SCADA ağına bağlantı arayüzü (fiber/ethernet ara birim)</t>
        </is>
      </c>
      <c r="D536" s="27" t="inlineStr">
        <is>
          <t>adet</t>
        </is>
      </c>
      <c r="E536" s="50" t="n">
        <v>1</v>
      </c>
      <c r="F536" s="50" t="n">
        <v>1</v>
      </c>
      <c r="G536" s="27" t="inlineStr">
        <is>
          <t>-</t>
        </is>
      </c>
      <c r="H536" s="50">
        <f>F536</f>
        <v/>
      </c>
      <c r="I536" s="51" t="n">
        <v>800</v>
      </c>
      <c r="J536" s="28">
        <f>H536*I536</f>
        <v/>
      </c>
      <c r="K536" s="53" t="inlineStr">
        <is>
          <t>MÜHENDİSLİK TAHMİNİ</t>
        </is>
      </c>
      <c r="L536" s="7" t="inlineStr">
        <is>
          <t>TAHMIN (emsal yok) – Emsal yok (veride eşdeğer kalem yok)</t>
        </is>
      </c>
      <c r="M536" s="7" t="inlineStr">
        <is>
          <t>Ara birim</t>
        </is>
      </c>
    </row>
    <row r="537" outlineLevel="1">
      <c r="A537" s="27" t="n"/>
      <c r="B537" s="27" t="inlineStr">
        <is>
          <t>5004.A</t>
        </is>
      </c>
      <c r="C537" s="7" t="inlineStr">
        <is>
          <t>Programlama, sebep-sonuç senaryosu, test ve devreye alma</t>
        </is>
      </c>
      <c r="D537" s="27" t="inlineStr">
        <is>
          <t>set</t>
        </is>
      </c>
      <c r="E537" s="50" t="n">
        <v>1</v>
      </c>
      <c r="F537" s="50" t="n">
        <v>1</v>
      </c>
      <c r="G537" s="27" t="inlineStr">
        <is>
          <t>-</t>
        </is>
      </c>
      <c r="H537" s="50">
        <f>F537</f>
        <v/>
      </c>
      <c r="I537" s="51" t="n">
        <v>1200</v>
      </c>
      <c r="J537" s="28">
        <f>H537*I537</f>
        <v/>
      </c>
      <c r="K537" s="53" t="inlineStr">
        <is>
          <t>MÜHENDİSLİK TAHMİNİ</t>
        </is>
      </c>
      <c r="L537" s="7" t="inlineStr">
        <is>
          <t>TAHMIN (emsal yok) – Emsal yok (veride eşdeğer kalem yok)</t>
        </is>
      </c>
      <c r="M537" s="7" t="inlineStr">
        <is>
          <t>Programlama/test</t>
        </is>
      </c>
    </row>
    <row r="538">
      <c r="A538" s="48" t="inlineStr">
        <is>
          <t>335</t>
        </is>
      </c>
      <c r="B538" s="48" t="inlineStr">
        <is>
          <t>5004.B</t>
        </is>
      </c>
      <c r="C538" s="48" t="inlineStr">
        <is>
          <t>Hızmalı Köprüsü İstasyonu Yangın İhbar ve Kontrol Sistemi (1 set)</t>
        </is>
      </c>
      <c r="D538" s="48" t="n"/>
      <c r="E538" s="48" t="n"/>
      <c r="F538" s="48" t="n"/>
      <c r="G538" s="48" t="n"/>
      <c r="H538" s="48" t="inlineStr">
        <is>
          <t>RFQ tutarı →</t>
        </is>
      </c>
      <c r="I538" s="49">
        <f>SUMPRODUCT(E539:E551,I539:I551)</f>
        <v/>
      </c>
      <c r="J538" s="49">
        <f>SUM(J539:J551)</f>
        <v/>
      </c>
      <c r="K538" s="48" t="n"/>
      <c r="L538" s="48" t="n"/>
      <c r="M538" s="48" t="n"/>
    </row>
    <row r="539" outlineLevel="1">
      <c r="A539" s="27" t="n"/>
      <c r="B539" s="27" t="inlineStr">
        <is>
          <t>5004.B</t>
        </is>
      </c>
      <c r="C539" s="7" t="inlineStr">
        <is>
          <t>Adresli yangın alarm paneli 1-2 loop (akülü 24V) + network kartı</t>
        </is>
      </c>
      <c r="D539" s="27" t="inlineStr">
        <is>
          <t>adet</t>
        </is>
      </c>
      <c r="E539" s="50" t="n">
        <v>1</v>
      </c>
      <c r="F539" s="50" t="n">
        <v>1</v>
      </c>
      <c r="G539" s="27" t="inlineStr">
        <is>
          <t>-</t>
        </is>
      </c>
      <c r="H539" s="50">
        <f>F539</f>
        <v/>
      </c>
      <c r="I539" s="51" t="n">
        <v>2083.07</v>
      </c>
      <c r="J539" s="28">
        <f>H539*I539</f>
        <v/>
      </c>
      <c r="K539" s="52" t="inlineStr">
        <is>
          <t>GEÇMİŞ TEKLİF UYARLAMA</t>
        </is>
      </c>
      <c r="L539"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539" s="7" t="inlineStr">
        <is>
          <t>Panel 1-2 loop+network | İlk tahmin BF 4,200.00</t>
        </is>
      </c>
    </row>
    <row r="540" outlineLevel="1">
      <c r="A540" s="27" t="n"/>
      <c r="B540" s="27" t="inlineStr">
        <is>
          <t>5004.B</t>
        </is>
      </c>
      <c r="C540" s="7" t="inlineStr">
        <is>
          <t>Optik duman dedektörü (adresli)</t>
        </is>
      </c>
      <c r="D540" s="27" t="inlineStr">
        <is>
          <t>adet</t>
        </is>
      </c>
      <c r="E540" s="50" t="n">
        <v>12</v>
      </c>
      <c r="F540" s="50" t="n">
        <v>12</v>
      </c>
      <c r="G540" s="27" t="inlineStr">
        <is>
          <t>%30</t>
        </is>
      </c>
      <c r="H540" s="50">
        <f>F540/IF(Varsayimlar!$B$21=1,1.3,1)</f>
        <v/>
      </c>
      <c r="I540" s="51" t="n">
        <v>38.73</v>
      </c>
      <c r="J540" s="28">
        <f>H540*I540</f>
        <v/>
      </c>
      <c r="K540" s="52" t="inlineStr">
        <is>
          <t>GEÇMİŞ TEKLİF UYARLAMA</t>
        </is>
      </c>
      <c r="L540" s="7" t="inlineStr">
        <is>
          <t>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is>
      </c>
      <c r="M540" s="7" t="inlineStr">
        <is>
          <t>Referans fiyat | İlk tahmin BF 36.39</t>
        </is>
      </c>
    </row>
    <row r="541" outlineLevel="1">
      <c r="A541" s="27" t="n"/>
      <c r="B541" s="27" t="inlineStr">
        <is>
          <t>5004.B</t>
        </is>
      </c>
      <c r="C541" s="7" t="inlineStr">
        <is>
          <t>Isı dedektörü (adresli)</t>
        </is>
      </c>
      <c r="D541" s="27" t="inlineStr">
        <is>
          <t>adet</t>
        </is>
      </c>
      <c r="E541" s="50" t="n">
        <v>6</v>
      </c>
      <c r="F541" s="50" t="n">
        <v>6</v>
      </c>
      <c r="G541" s="27" t="inlineStr">
        <is>
          <t>%30</t>
        </is>
      </c>
      <c r="H541" s="50">
        <f>F541/IF(Varsayimlar!$B$21=1,1.3,1)</f>
        <v/>
      </c>
      <c r="I541" s="51" t="n">
        <v>35.89</v>
      </c>
      <c r="J541" s="28">
        <f>H541*I541</f>
        <v/>
      </c>
      <c r="K541" s="52" t="inlineStr">
        <is>
          <t>GEÇMİŞ TEKLİF UYARLAMA</t>
        </is>
      </c>
      <c r="L541" s="7" t="inlineStr">
        <is>
          <t>REF-derin – İzmir Buca M. NEV 2021 ısı sensörü 22,97 (M)+%30 montaj→29,86; İzmir Buca M. EEC 2021 SIGA-HRDI ısı 32,24 (M)+%30 montaj→41,92 → medyan 35,89 [Emsal ID: R00777;R00743]</t>
        </is>
      </c>
      <c r="M541" s="7" t="inlineStr">
        <is>
          <t>Ref düşük; montajlı adresli ısı ded. (ref 23) | İlk tahmin BF 38.00</t>
        </is>
      </c>
    </row>
    <row r="542" outlineLevel="1">
      <c r="A542" s="27" t="n"/>
      <c r="B542" s="27" t="inlineStr">
        <is>
          <t>5004.B</t>
        </is>
      </c>
      <c r="C542" s="7" t="inlineStr">
        <is>
          <t>Işın tipi duman dedektörü (alıcı-verici) – peron kanopisi altı</t>
        </is>
      </c>
      <c r="D542" s="27" t="inlineStr">
        <is>
          <t>çift</t>
        </is>
      </c>
      <c r="E542" s="50" t="n">
        <v>2</v>
      </c>
      <c r="F542" s="50" t="n">
        <v>2</v>
      </c>
      <c r="G542" s="27" t="inlineStr">
        <is>
          <t>-</t>
        </is>
      </c>
      <c r="H542" s="50">
        <f>F542</f>
        <v/>
      </c>
      <c r="I542" s="51" t="n">
        <v>814.66</v>
      </c>
      <c r="J542" s="28">
        <f>H542*I542</f>
        <v/>
      </c>
      <c r="K542" s="52" t="inlineStr">
        <is>
          <t>GEÇMİŞ TEKLİF UYARLAMA</t>
        </is>
      </c>
      <c r="L542" s="7" t="inlineStr">
        <is>
          <t>REF-derin – İzmir Buca M. EEC 2021 OSID alıcı+verici 569,42 (M)+%30 montaj→740,24; İzmir Buca M. NEV 2021 beam 8-100 m 294,04 (M)+%30 montaj→382,26; Bursa T2 Haluk 2015 Fireray reflektörlü (M+İ) 889,07; Kocaeli T. Sekaray 2015 Fireray 5-50 m 1.455,78 → medyan 814,66 [Emsal ID: R00745;R00782;R00927;R01082]</t>
        </is>
      </c>
      <c r="M542" s="7" t="inlineStr">
        <is>
          <t>Referans fiyat | İlk tahmin BF 569.42</t>
        </is>
      </c>
    </row>
    <row r="543" outlineLevel="1">
      <c r="A543" s="27" t="n"/>
      <c r="B543" s="27" t="inlineStr">
        <is>
          <t>5004.B</t>
        </is>
      </c>
      <c r="C543" s="7" t="inlineStr">
        <is>
          <t>Yangın ihbar butonu (adresli IP67 harici)</t>
        </is>
      </c>
      <c r="D543" s="27" t="inlineStr">
        <is>
          <t>adet</t>
        </is>
      </c>
      <c r="E543" s="50" t="n">
        <v>11</v>
      </c>
      <c r="F543" s="50" t="n">
        <v>11</v>
      </c>
      <c r="G543" s="27" t="inlineStr">
        <is>
          <t>-</t>
        </is>
      </c>
      <c r="H543" s="50">
        <f>F543</f>
        <v/>
      </c>
      <c r="I543" s="51" t="n">
        <v>64.58</v>
      </c>
      <c r="J543" s="28">
        <f>H543*I543</f>
        <v/>
      </c>
      <c r="K543" s="52" t="inlineStr">
        <is>
          <t>GEÇMİŞ TEKLİF UYARLAMA</t>
        </is>
      </c>
      <c r="L543" s="7" t="inlineStr">
        <is>
          <t>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is>
      </c>
      <c r="M543" s="7" t="inlineStr">
        <is>
          <t>Adresli buton IP67 | İlk tahmin BF 65.00</t>
        </is>
      </c>
    </row>
    <row r="544" outlineLevel="1">
      <c r="A544" s="27" t="n"/>
      <c r="B544" s="27" t="inlineStr">
        <is>
          <t>5004.B</t>
        </is>
      </c>
      <c r="C544" s="7" t="inlineStr">
        <is>
          <t>Flaşörlü siren (adresli harici IP65)</t>
        </is>
      </c>
      <c r="D544" s="27" t="inlineStr">
        <is>
          <t>adet</t>
        </is>
      </c>
      <c r="E544" s="50" t="n">
        <v>7</v>
      </c>
      <c r="F544" s="50" t="n">
        <v>7</v>
      </c>
      <c r="G544" s="27" t="inlineStr">
        <is>
          <t>-</t>
        </is>
      </c>
      <c r="H544" s="50">
        <f>F544</f>
        <v/>
      </c>
      <c r="I544" s="51" t="n">
        <v>62.39</v>
      </c>
      <c r="J544" s="28">
        <f>H544*I544</f>
        <v/>
      </c>
      <c r="K544" s="52" t="inlineStr">
        <is>
          <t>GEÇMİŞ TEKLİF UYARLAMA</t>
        </is>
      </c>
      <c r="L544" s="7" t="inlineStr">
        <is>
          <t>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is>
      </c>
      <c r="M544" s="7" t="inlineStr">
        <is>
          <t>Ref düşük; harici IP65 adresli siren (ref 31) | İlk tahmin BF 60.00</t>
        </is>
      </c>
    </row>
    <row r="545" outlineLevel="1">
      <c r="A545" s="27" t="n"/>
      <c r="B545" s="27" t="inlineStr">
        <is>
          <t>5004.B</t>
        </is>
      </c>
      <c r="C545" s="7" t="inlineStr">
        <is>
          <t>Giriş-çıkış modülü IOM</t>
        </is>
      </c>
      <c r="D545" s="27" t="inlineStr">
        <is>
          <t>adet</t>
        </is>
      </c>
      <c r="E545" s="50" t="n">
        <v>8</v>
      </c>
      <c r="F545" s="50" t="n">
        <v>8</v>
      </c>
      <c r="G545" s="27" t="inlineStr">
        <is>
          <t>-</t>
        </is>
      </c>
      <c r="H545" s="50">
        <f>F545</f>
        <v/>
      </c>
      <c r="I545" s="51" t="n">
        <v>68.42</v>
      </c>
      <c r="J545" s="28">
        <f>H545*I545</f>
        <v/>
      </c>
      <c r="K545" s="52" t="inlineStr">
        <is>
          <t>GEÇMİŞ TEKLİF UYARLAMA</t>
        </is>
      </c>
      <c r="L545" s="7" t="inlineStr">
        <is>
          <t>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is>
      </c>
      <c r="M545" s="7" t="inlineStr">
        <is>
          <t>Ref düşük; montajlı adresli I/O (ref 39) | İlk tahmin BF 60.00</t>
        </is>
      </c>
    </row>
    <row r="546" outlineLevel="1">
      <c r="A546" s="27" t="n"/>
      <c r="B546" s="27" t="inlineStr">
        <is>
          <t>5004.B</t>
        </is>
      </c>
      <c r="C546" s="7" t="inlineStr">
        <is>
          <t>İzolatör modülü</t>
        </is>
      </c>
      <c r="D546" s="27" t="inlineStr">
        <is>
          <t>adet</t>
        </is>
      </c>
      <c r="E546" s="50" t="n">
        <v>4</v>
      </c>
      <c r="F546" s="50" t="n">
        <v>4</v>
      </c>
      <c r="G546" s="27" t="inlineStr">
        <is>
          <t>-</t>
        </is>
      </c>
      <c r="H546" s="50">
        <f>F546</f>
        <v/>
      </c>
      <c r="I546" s="51" t="n">
        <v>35</v>
      </c>
      <c r="J546" s="28">
        <f>H546*I546</f>
        <v/>
      </c>
      <c r="K546" s="53" t="inlineStr">
        <is>
          <t>MÜHENDİSLİK TAHMİNİ</t>
        </is>
      </c>
      <c r="L546" s="7" t="inlineStr">
        <is>
          <t>TAHMIN (emsal yok) – Emsal yok (veride eşdeğer kalem yok)</t>
        </is>
      </c>
      <c r="M546" s="7" t="inlineStr">
        <is>
          <t>İzolatör</t>
        </is>
      </c>
    </row>
    <row r="547" outlineLevel="1">
      <c r="A547" s="27" t="n"/>
      <c r="B547" s="27" t="inlineStr">
        <is>
          <t>5004.B</t>
        </is>
      </c>
      <c r="C547" s="7" t="inlineStr">
        <is>
          <t>Yangına dayanıklı çevrim kablosu JE-H(St)H FE180 2x2x0,8</t>
        </is>
      </c>
      <c r="D547" s="27" t="inlineStr">
        <is>
          <t>m</t>
        </is>
      </c>
      <c r="E547" s="50" t="n">
        <v>687</v>
      </c>
      <c r="F547" s="50" t="n">
        <v>687</v>
      </c>
      <c r="G547" s="27" t="inlineStr">
        <is>
          <t>fire+%30</t>
        </is>
      </c>
      <c r="H547" s="50">
        <f>F547/IF(Varsayimlar!$B$21=1,1.43,1)</f>
        <v/>
      </c>
      <c r="I547" s="51" t="n">
        <v>2.22</v>
      </c>
      <c r="J547" s="28">
        <f>H547*I547</f>
        <v/>
      </c>
      <c r="K547" s="52" t="inlineStr">
        <is>
          <t>GEÇMİŞ TEKLİF UYARLAMA</t>
        </is>
      </c>
      <c r="L547" s="7" t="inlineStr">
        <is>
          <t>REF-derin – Pendik-Kaynarca M. YM 2022 HBAPH FE180 2x2x0,6 1,93 (M)+%35 montaj→2,61; İzmir Narlıdere M. Uskom 2018 FE180 2x2x0,6 (M+İ) 1,86; Kabataş-Mahmutbey M. Uskom 2015 FE180 2x2x0,6 (M+İ) 1,65; SAGE bina YM 2018 JE-H(St)H FE180 1x2x1,5 (M+İ) 2,59 → medyan 2,22 [Emsal ID: R02948;R01664;R02657;R03096]</t>
        </is>
      </c>
      <c r="M547" s="7" t="inlineStr">
        <is>
          <t>FE180 2x2x0,8 | İlk tahmin BF 2.20</t>
        </is>
      </c>
    </row>
    <row r="548" outlineLevel="1">
      <c r="A548" s="27" t="n"/>
      <c r="B548" s="27" t="inlineStr">
        <is>
          <t>5004.B</t>
        </is>
      </c>
      <c r="C548" s="7" t="inlineStr">
        <is>
          <t>Siren ve ışın dedektörü 24V besleme N2XH FE180 2x1,5</t>
        </is>
      </c>
      <c r="D548" s="27" t="inlineStr">
        <is>
          <t>m</t>
        </is>
      </c>
      <c r="E548" s="50" t="n">
        <v>301</v>
      </c>
      <c r="F548" s="50" t="n">
        <v>301</v>
      </c>
      <c r="G548" s="27" t="inlineStr">
        <is>
          <t>fire+%30</t>
        </is>
      </c>
      <c r="H548" s="50">
        <f>F548/IF(Varsayimlar!$B$21=1,1.43,1)</f>
        <v/>
      </c>
      <c r="I548" s="51" t="n">
        <v>1.8</v>
      </c>
      <c r="J548" s="28">
        <f>H548*I548</f>
        <v/>
      </c>
      <c r="K548" s="52" t="inlineStr">
        <is>
          <t>GEÇMİŞ TEKLİF UYARLAMA</t>
        </is>
      </c>
      <c r="L548" s="7" t="inlineStr">
        <is>
          <t>REF-derin – İzmir Narlıdere M. Uskom 2018 FE180 2x1,5 (M+İ) 1,68; Pendik-Kaynarca M. YM 2022 LIHCHRH FE180 2x1,5 1,42 (M)+%35 montaj→1,92 → medyan 1,80 [Emsal ID: R01755;R02959]</t>
        </is>
      </c>
      <c r="M548" s="7" t="inlineStr">
        <is>
          <t>FE180 2x1,5 | İlk tahmin BF 2.40</t>
        </is>
      </c>
    </row>
    <row r="549" outlineLevel="1">
      <c r="A549" s="27" t="n"/>
      <c r="B549" s="27" t="inlineStr">
        <is>
          <t>5004.B</t>
        </is>
      </c>
      <c r="C549" s="7" t="inlineStr">
        <is>
          <t>HF spiral boru / kroşe / harici HDPE koruma</t>
        </is>
      </c>
      <c r="D549" s="27" t="inlineStr">
        <is>
          <t>m</t>
        </is>
      </c>
      <c r="E549" s="50" t="n">
        <v>687</v>
      </c>
      <c r="F549" s="50" t="n">
        <v>687</v>
      </c>
      <c r="G549" s="27" t="inlineStr">
        <is>
          <t>fire+%30</t>
        </is>
      </c>
      <c r="H549" s="50">
        <f>F549/IF(Varsayimlar!$B$21=1,1.43,1)</f>
        <v/>
      </c>
      <c r="I549" s="51" t="n">
        <v>1.97</v>
      </c>
      <c r="J549" s="28">
        <f>H549*I549</f>
        <v/>
      </c>
      <c r="K549" s="52" t="inlineStr">
        <is>
          <t>GEÇMİŞ TEKLİF UYARLAMA</t>
        </is>
      </c>
      <c r="L549" s="7" t="inlineStr">
        <is>
          <t>REF-derin – Kabataş-Mahmutbey M. Uskom 2015 3/4" spiral (M+İ) 1,50 +%15 HF→1,73; Kabataş-Mahmutbey M. Uskom 2015 3/4" spiral (M+İ) 1,93 +%15 HF→2,21 → medyan 1,97 [Emsal ID: R02661;R02746]</t>
        </is>
      </c>
      <c r="M549" s="7" t="inlineStr">
        <is>
          <t>Boru/kroşe | İlk tahmin BF 2.00</t>
        </is>
      </c>
    </row>
    <row r="550" outlineLevel="1">
      <c r="A550" s="27" t="n"/>
      <c r="B550" s="27" t="inlineStr">
        <is>
          <t>5004.B</t>
        </is>
      </c>
      <c r="C550" s="7" t="inlineStr">
        <is>
          <t>TCC/SCADA ağına bağlantı arayüzü (fiber/ethernet ara birim)</t>
        </is>
      </c>
      <c r="D550" s="27" t="inlineStr">
        <is>
          <t>adet</t>
        </is>
      </c>
      <c r="E550" s="50" t="n">
        <v>1</v>
      </c>
      <c r="F550" s="50" t="n">
        <v>1</v>
      </c>
      <c r="G550" s="27" t="inlineStr">
        <is>
          <t>-</t>
        </is>
      </c>
      <c r="H550" s="50">
        <f>F550</f>
        <v/>
      </c>
      <c r="I550" s="51" t="n">
        <v>800</v>
      </c>
      <c r="J550" s="28">
        <f>H550*I550</f>
        <v/>
      </c>
      <c r="K550" s="53" t="inlineStr">
        <is>
          <t>MÜHENDİSLİK TAHMİNİ</t>
        </is>
      </c>
      <c r="L550" s="7" t="inlineStr">
        <is>
          <t>TAHMIN (emsal yok) – Emsal yok (veride eşdeğer kalem yok)</t>
        </is>
      </c>
      <c r="M550" s="7" t="inlineStr">
        <is>
          <t>Ara birim</t>
        </is>
      </c>
    </row>
    <row r="551" outlineLevel="1">
      <c r="A551" s="27" t="n"/>
      <c r="B551" s="27" t="inlineStr">
        <is>
          <t>5004.B</t>
        </is>
      </c>
      <c r="C551" s="7" t="inlineStr">
        <is>
          <t>Programlama, sebep-sonuç senaryosu, test ve devreye alma</t>
        </is>
      </c>
      <c r="D551" s="27" t="inlineStr">
        <is>
          <t>set</t>
        </is>
      </c>
      <c r="E551" s="50" t="n">
        <v>1</v>
      </c>
      <c r="F551" s="50" t="n">
        <v>1</v>
      </c>
      <c r="G551" s="27" t="inlineStr">
        <is>
          <t>-</t>
        </is>
      </c>
      <c r="H551" s="50">
        <f>F551</f>
        <v/>
      </c>
      <c r="I551" s="51" t="n">
        <v>1000</v>
      </c>
      <c r="J551" s="28">
        <f>H551*I551</f>
        <v/>
      </c>
      <c r="K551" s="53" t="inlineStr">
        <is>
          <t>MÜHENDİSLİK TAHMİNİ</t>
        </is>
      </c>
      <c r="L551" s="7" t="inlineStr">
        <is>
          <t>TAHMIN (emsal yok) – Emsal yok (veride eşdeğer kalem yok)</t>
        </is>
      </c>
      <c r="M551" s="7" t="inlineStr">
        <is>
          <t>Programlama/test</t>
        </is>
      </c>
    </row>
    <row r="552">
      <c r="A552" s="48" t="inlineStr">
        <is>
          <t>336</t>
        </is>
      </c>
      <c r="B552" s="48" t="inlineStr">
        <is>
          <t>5004.C</t>
        </is>
      </c>
      <c r="C552" s="48" t="inlineStr">
        <is>
          <t>Balıklıgöl İstasyonu Yangın İhbar ve Kontrol Sistemi (1 set)</t>
        </is>
      </c>
      <c r="D552" s="48" t="n"/>
      <c r="E552" s="48" t="n"/>
      <c r="F552" s="48" t="n"/>
      <c r="G552" s="48" t="n"/>
      <c r="H552" s="48" t="inlineStr">
        <is>
          <t>RFQ tutarı →</t>
        </is>
      </c>
      <c r="I552" s="49">
        <f>SUMPRODUCT(E553:E565,I553:I565)</f>
        <v/>
      </c>
      <c r="J552" s="49">
        <f>SUM(J553:J565)</f>
        <v/>
      </c>
      <c r="K552" s="48" t="n"/>
      <c r="L552" s="48" t="n"/>
      <c r="M552" s="48" t="n"/>
    </row>
    <row r="553" outlineLevel="1">
      <c r="A553" s="27" t="n"/>
      <c r="B553" s="27" t="inlineStr">
        <is>
          <t>5004.C</t>
        </is>
      </c>
      <c r="C553" s="7" t="inlineStr">
        <is>
          <t>Adresli yangın alarm paneli 1-2 loop (akülü 24V) + network kartı</t>
        </is>
      </c>
      <c r="D553" s="27" t="inlineStr">
        <is>
          <t>adet</t>
        </is>
      </c>
      <c r="E553" s="50" t="n">
        <v>1</v>
      </c>
      <c r="F553" s="50" t="n">
        <v>1</v>
      </c>
      <c r="G553" s="27" t="inlineStr">
        <is>
          <t>-</t>
        </is>
      </c>
      <c r="H553" s="50">
        <f>F553</f>
        <v/>
      </c>
      <c r="I553" s="51" t="n">
        <v>2083.07</v>
      </c>
      <c r="J553" s="28">
        <f>H553*I553</f>
        <v/>
      </c>
      <c r="K553" s="52" t="inlineStr">
        <is>
          <t>GEÇMİŞ TEKLİF UYARLAMA</t>
        </is>
      </c>
      <c r="L553"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553" s="7" t="inlineStr">
        <is>
          <t>Panel 1-2 loop+network | İlk tahmin BF 4,200.00</t>
        </is>
      </c>
    </row>
    <row r="554" outlineLevel="1">
      <c r="A554" s="27" t="n"/>
      <c r="B554" s="27" t="inlineStr">
        <is>
          <t>5004.C</t>
        </is>
      </c>
      <c r="C554" s="7" t="inlineStr">
        <is>
          <t>Optik duman dedektörü (adresli)</t>
        </is>
      </c>
      <c r="D554" s="27" t="inlineStr">
        <is>
          <t>adet</t>
        </is>
      </c>
      <c r="E554" s="50" t="n">
        <v>12</v>
      </c>
      <c r="F554" s="50" t="n">
        <v>12</v>
      </c>
      <c r="G554" s="27" t="inlineStr">
        <is>
          <t>%30</t>
        </is>
      </c>
      <c r="H554" s="50">
        <f>F554/IF(Varsayimlar!$B$21=1,1.3,1)</f>
        <v/>
      </c>
      <c r="I554" s="51" t="n">
        <v>38.73</v>
      </c>
      <c r="J554" s="28">
        <f>H554*I554</f>
        <v/>
      </c>
      <c r="K554" s="52" t="inlineStr">
        <is>
          <t>GEÇMİŞ TEKLİF UYARLAMA</t>
        </is>
      </c>
      <c r="L554" s="7" t="inlineStr">
        <is>
          <t>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is>
      </c>
      <c r="M554" s="7" t="inlineStr">
        <is>
          <t>Referans fiyat | İlk tahmin BF 36.39</t>
        </is>
      </c>
    </row>
    <row r="555" outlineLevel="1">
      <c r="A555" s="27" t="n"/>
      <c r="B555" s="27" t="inlineStr">
        <is>
          <t>5004.C</t>
        </is>
      </c>
      <c r="C555" s="7" t="inlineStr">
        <is>
          <t>Isı dedektörü (adresli)</t>
        </is>
      </c>
      <c r="D555" s="27" t="inlineStr">
        <is>
          <t>adet</t>
        </is>
      </c>
      <c r="E555" s="50" t="n">
        <v>6</v>
      </c>
      <c r="F555" s="50" t="n">
        <v>6</v>
      </c>
      <c r="G555" s="27" t="inlineStr">
        <is>
          <t>%30</t>
        </is>
      </c>
      <c r="H555" s="50">
        <f>F555/IF(Varsayimlar!$B$21=1,1.3,1)</f>
        <v/>
      </c>
      <c r="I555" s="51" t="n">
        <v>35.89</v>
      </c>
      <c r="J555" s="28">
        <f>H555*I555</f>
        <v/>
      </c>
      <c r="K555" s="52" t="inlineStr">
        <is>
          <t>GEÇMİŞ TEKLİF UYARLAMA</t>
        </is>
      </c>
      <c r="L555" s="7" t="inlineStr">
        <is>
          <t>REF-derin – İzmir Buca M. NEV 2021 ısı sensörü 22,97 (M)+%30 montaj→29,86; İzmir Buca M. EEC 2021 SIGA-HRDI ısı 32,24 (M)+%30 montaj→41,92 → medyan 35,89 [Emsal ID: R00777;R00743]</t>
        </is>
      </c>
      <c r="M555" s="7" t="inlineStr">
        <is>
          <t>Ref düşük; montajlı adresli ısı ded. (ref 23) | İlk tahmin BF 38.00</t>
        </is>
      </c>
    </row>
    <row r="556" outlineLevel="1">
      <c r="A556" s="27" t="n"/>
      <c r="B556" s="27" t="inlineStr">
        <is>
          <t>5004.C</t>
        </is>
      </c>
      <c r="C556" s="7" t="inlineStr">
        <is>
          <t>Işın tipi duman dedektörü (alıcı-verici) – peron kanopisi altı</t>
        </is>
      </c>
      <c r="D556" s="27" t="inlineStr">
        <is>
          <t>çift</t>
        </is>
      </c>
      <c r="E556" s="50" t="n">
        <v>2</v>
      </c>
      <c r="F556" s="50" t="n">
        <v>2</v>
      </c>
      <c r="G556" s="27" t="inlineStr">
        <is>
          <t>-</t>
        </is>
      </c>
      <c r="H556" s="50">
        <f>F556</f>
        <v/>
      </c>
      <c r="I556" s="51" t="n">
        <v>814.66</v>
      </c>
      <c r="J556" s="28">
        <f>H556*I556</f>
        <v/>
      </c>
      <c r="K556" s="52" t="inlineStr">
        <is>
          <t>GEÇMİŞ TEKLİF UYARLAMA</t>
        </is>
      </c>
      <c r="L556" s="7" t="inlineStr">
        <is>
          <t>REF-derin – İzmir Buca M. EEC 2021 OSID alıcı+verici 569,42 (M)+%30 montaj→740,24; İzmir Buca M. NEV 2021 beam 8-100 m 294,04 (M)+%30 montaj→382,26; Bursa T2 Haluk 2015 Fireray reflektörlü (M+İ) 889,07; Kocaeli T. Sekaray 2015 Fireray 5-50 m 1.455,78 → medyan 814,66 [Emsal ID: R00745;R00782;R00927;R01082]</t>
        </is>
      </c>
      <c r="M556" s="7" t="inlineStr">
        <is>
          <t>Referans fiyat | İlk tahmin BF 569.42</t>
        </is>
      </c>
    </row>
    <row r="557" outlineLevel="1">
      <c r="A557" s="27" t="n"/>
      <c r="B557" s="27" t="inlineStr">
        <is>
          <t>5004.C</t>
        </is>
      </c>
      <c r="C557" s="7" t="inlineStr">
        <is>
          <t>Yangın ihbar butonu (adresli IP67 harici)</t>
        </is>
      </c>
      <c r="D557" s="27" t="inlineStr">
        <is>
          <t>adet</t>
        </is>
      </c>
      <c r="E557" s="50" t="n">
        <v>11</v>
      </c>
      <c r="F557" s="50" t="n">
        <v>11</v>
      </c>
      <c r="G557" s="27" t="inlineStr">
        <is>
          <t>-</t>
        </is>
      </c>
      <c r="H557" s="50">
        <f>F557</f>
        <v/>
      </c>
      <c r="I557" s="51" t="n">
        <v>64.58</v>
      </c>
      <c r="J557" s="28">
        <f>H557*I557</f>
        <v/>
      </c>
      <c r="K557" s="52" t="inlineStr">
        <is>
          <t>GEÇMİŞ TEKLİF UYARLAMA</t>
        </is>
      </c>
      <c r="L557" s="7" t="inlineStr">
        <is>
          <t>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is>
      </c>
      <c r="M557" s="7" t="inlineStr">
        <is>
          <t>Adresli buton IP67 | İlk tahmin BF 65.00</t>
        </is>
      </c>
    </row>
    <row r="558" outlineLevel="1">
      <c r="A558" s="27" t="n"/>
      <c r="B558" s="27" t="inlineStr">
        <is>
          <t>5004.C</t>
        </is>
      </c>
      <c r="C558" s="7" t="inlineStr">
        <is>
          <t>Flaşörlü siren (adresli harici IP65)</t>
        </is>
      </c>
      <c r="D558" s="27" t="inlineStr">
        <is>
          <t>adet</t>
        </is>
      </c>
      <c r="E558" s="50" t="n">
        <v>7</v>
      </c>
      <c r="F558" s="50" t="n">
        <v>7</v>
      </c>
      <c r="G558" s="27" t="inlineStr">
        <is>
          <t>-</t>
        </is>
      </c>
      <c r="H558" s="50">
        <f>F558</f>
        <v/>
      </c>
      <c r="I558" s="51" t="n">
        <v>62.39</v>
      </c>
      <c r="J558" s="28">
        <f>H558*I558</f>
        <v/>
      </c>
      <c r="K558" s="52" t="inlineStr">
        <is>
          <t>GEÇMİŞ TEKLİF UYARLAMA</t>
        </is>
      </c>
      <c r="L558" s="7" t="inlineStr">
        <is>
          <t>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is>
      </c>
      <c r="M558" s="7" t="inlineStr">
        <is>
          <t>Ref düşük; harici IP65 adresli siren (ref 31) | İlk tahmin BF 60.00</t>
        </is>
      </c>
    </row>
    <row r="559" outlineLevel="1">
      <c r="A559" s="27" t="n"/>
      <c r="B559" s="27" t="inlineStr">
        <is>
          <t>5004.C</t>
        </is>
      </c>
      <c r="C559" s="7" t="inlineStr">
        <is>
          <t>Giriş-çıkış modülü IOM</t>
        </is>
      </c>
      <c r="D559" s="27" t="inlineStr">
        <is>
          <t>adet</t>
        </is>
      </c>
      <c r="E559" s="50" t="n">
        <v>8</v>
      </c>
      <c r="F559" s="50" t="n">
        <v>8</v>
      </c>
      <c r="G559" s="27" t="inlineStr">
        <is>
          <t>-</t>
        </is>
      </c>
      <c r="H559" s="50">
        <f>F559</f>
        <v/>
      </c>
      <c r="I559" s="51" t="n">
        <v>68.42</v>
      </c>
      <c r="J559" s="28">
        <f>H559*I559</f>
        <v/>
      </c>
      <c r="K559" s="52" t="inlineStr">
        <is>
          <t>GEÇMİŞ TEKLİF UYARLAMA</t>
        </is>
      </c>
      <c r="L559" s="7" t="inlineStr">
        <is>
          <t>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is>
      </c>
      <c r="M559" s="7" t="inlineStr">
        <is>
          <t>Ref düşük; montajlı adresli I/O (ref 39) | İlk tahmin BF 60.00</t>
        </is>
      </c>
    </row>
    <row r="560" outlineLevel="1">
      <c r="A560" s="27" t="n"/>
      <c r="B560" s="27" t="inlineStr">
        <is>
          <t>5004.C</t>
        </is>
      </c>
      <c r="C560" s="7" t="inlineStr">
        <is>
          <t>İzolatör modülü</t>
        </is>
      </c>
      <c r="D560" s="27" t="inlineStr">
        <is>
          <t>adet</t>
        </is>
      </c>
      <c r="E560" s="50" t="n">
        <v>4</v>
      </c>
      <c r="F560" s="50" t="n">
        <v>4</v>
      </c>
      <c r="G560" s="27" t="inlineStr">
        <is>
          <t>-</t>
        </is>
      </c>
      <c r="H560" s="50">
        <f>F560</f>
        <v/>
      </c>
      <c r="I560" s="51" t="n">
        <v>35</v>
      </c>
      <c r="J560" s="28">
        <f>H560*I560</f>
        <v/>
      </c>
      <c r="K560" s="53" t="inlineStr">
        <is>
          <t>MÜHENDİSLİK TAHMİNİ</t>
        </is>
      </c>
      <c r="L560" s="7" t="inlineStr">
        <is>
          <t>TAHMIN (emsal yok) – Emsal yok (veride eşdeğer kalem yok)</t>
        </is>
      </c>
      <c r="M560" s="7" t="inlineStr">
        <is>
          <t>İzolatör</t>
        </is>
      </c>
    </row>
    <row r="561" outlineLevel="1">
      <c r="A561" s="27" t="n"/>
      <c r="B561" s="27" t="inlineStr">
        <is>
          <t>5004.C</t>
        </is>
      </c>
      <c r="C561" s="7" t="inlineStr">
        <is>
          <t>Yangına dayanıklı çevrim kablosu JE-H(St)H FE180 2x2x0,8</t>
        </is>
      </c>
      <c r="D561" s="27" t="inlineStr">
        <is>
          <t>m</t>
        </is>
      </c>
      <c r="E561" s="50" t="n">
        <v>687</v>
      </c>
      <c r="F561" s="50" t="n">
        <v>687</v>
      </c>
      <c r="G561" s="27" t="inlineStr">
        <is>
          <t>fire+%30</t>
        </is>
      </c>
      <c r="H561" s="50">
        <f>F561/IF(Varsayimlar!$B$21=1,1.43,1)</f>
        <v/>
      </c>
      <c r="I561" s="51" t="n">
        <v>2.22</v>
      </c>
      <c r="J561" s="28">
        <f>H561*I561</f>
        <v/>
      </c>
      <c r="K561" s="52" t="inlineStr">
        <is>
          <t>GEÇMİŞ TEKLİF UYARLAMA</t>
        </is>
      </c>
      <c r="L561" s="7" t="inlineStr">
        <is>
          <t>REF-derin – Pendik-Kaynarca M. YM 2022 HBAPH FE180 2x2x0,6 1,93 (M)+%35 montaj→2,61; İzmir Narlıdere M. Uskom 2018 FE180 2x2x0,6 (M+İ) 1,86; Kabataş-Mahmutbey M. Uskom 2015 FE180 2x2x0,6 (M+İ) 1,65; SAGE bina YM 2018 JE-H(St)H FE180 1x2x1,5 (M+İ) 2,59 → medyan 2,22 [Emsal ID: R02948;R01664;R02657;R03096]</t>
        </is>
      </c>
      <c r="M561" s="7" t="inlineStr">
        <is>
          <t>FE180 2x2x0,8 | İlk tahmin BF 2.20</t>
        </is>
      </c>
    </row>
    <row r="562" outlineLevel="1">
      <c r="A562" s="27" t="n"/>
      <c r="B562" s="27" t="inlineStr">
        <is>
          <t>5004.C</t>
        </is>
      </c>
      <c r="C562" s="7" t="inlineStr">
        <is>
          <t>Siren ve ışın dedektörü 24V besleme N2XH FE180 2x1,5</t>
        </is>
      </c>
      <c r="D562" s="27" t="inlineStr">
        <is>
          <t>m</t>
        </is>
      </c>
      <c r="E562" s="50" t="n">
        <v>301</v>
      </c>
      <c r="F562" s="50" t="n">
        <v>301</v>
      </c>
      <c r="G562" s="27" t="inlineStr">
        <is>
          <t>fire+%30</t>
        </is>
      </c>
      <c r="H562" s="50">
        <f>F562/IF(Varsayimlar!$B$21=1,1.43,1)</f>
        <v/>
      </c>
      <c r="I562" s="51" t="n">
        <v>1.8</v>
      </c>
      <c r="J562" s="28">
        <f>H562*I562</f>
        <v/>
      </c>
      <c r="K562" s="52" t="inlineStr">
        <is>
          <t>GEÇMİŞ TEKLİF UYARLAMA</t>
        </is>
      </c>
      <c r="L562" s="7" t="inlineStr">
        <is>
          <t>REF-derin – İzmir Narlıdere M. Uskom 2018 FE180 2x1,5 (M+İ) 1,68; Pendik-Kaynarca M. YM 2022 LIHCHRH FE180 2x1,5 1,42 (M)+%35 montaj→1,92 → medyan 1,80 [Emsal ID: R01755;R02959]</t>
        </is>
      </c>
      <c r="M562" s="7" t="inlineStr">
        <is>
          <t>FE180 2x1,5 | İlk tahmin BF 2.40</t>
        </is>
      </c>
    </row>
    <row r="563" outlineLevel="1">
      <c r="A563" s="27" t="n"/>
      <c r="B563" s="27" t="inlineStr">
        <is>
          <t>5004.C</t>
        </is>
      </c>
      <c r="C563" s="7" t="inlineStr">
        <is>
          <t>HF spiral boru / kroşe / harici HDPE koruma</t>
        </is>
      </c>
      <c r="D563" s="27" t="inlineStr">
        <is>
          <t>m</t>
        </is>
      </c>
      <c r="E563" s="50" t="n">
        <v>687</v>
      </c>
      <c r="F563" s="50" t="n">
        <v>687</v>
      </c>
      <c r="G563" s="27" t="inlineStr">
        <is>
          <t>fire+%30</t>
        </is>
      </c>
      <c r="H563" s="50">
        <f>F563/IF(Varsayimlar!$B$21=1,1.43,1)</f>
        <v/>
      </c>
      <c r="I563" s="51" t="n">
        <v>1.97</v>
      </c>
      <c r="J563" s="28">
        <f>H563*I563</f>
        <v/>
      </c>
      <c r="K563" s="52" t="inlineStr">
        <is>
          <t>GEÇMİŞ TEKLİF UYARLAMA</t>
        </is>
      </c>
      <c r="L563" s="7" t="inlineStr">
        <is>
          <t>REF-derin – Kabataş-Mahmutbey M. Uskom 2015 3/4" spiral (M+İ) 1,50 +%15 HF→1,73; Kabataş-Mahmutbey M. Uskom 2015 3/4" spiral (M+İ) 1,93 +%15 HF→2,21 → medyan 1,97 [Emsal ID: R02661;R02746]</t>
        </is>
      </c>
      <c r="M563" s="7" t="inlineStr">
        <is>
          <t>Boru/kroşe | İlk tahmin BF 2.00</t>
        </is>
      </c>
    </row>
    <row r="564" outlineLevel="1">
      <c r="A564" s="27" t="n"/>
      <c r="B564" s="27" t="inlineStr">
        <is>
          <t>5004.C</t>
        </is>
      </c>
      <c r="C564" s="7" t="inlineStr">
        <is>
          <t>TCC/SCADA ağına bağlantı arayüzü (fiber/ethernet ara birim)</t>
        </is>
      </c>
      <c r="D564" s="27" t="inlineStr">
        <is>
          <t>adet</t>
        </is>
      </c>
      <c r="E564" s="50" t="n">
        <v>1</v>
      </c>
      <c r="F564" s="50" t="n">
        <v>1</v>
      </c>
      <c r="G564" s="27" t="inlineStr">
        <is>
          <t>-</t>
        </is>
      </c>
      <c r="H564" s="50">
        <f>F564</f>
        <v/>
      </c>
      <c r="I564" s="51" t="n">
        <v>800</v>
      </c>
      <c r="J564" s="28">
        <f>H564*I564</f>
        <v/>
      </c>
      <c r="K564" s="53" t="inlineStr">
        <is>
          <t>MÜHENDİSLİK TAHMİNİ</t>
        </is>
      </c>
      <c r="L564" s="7" t="inlineStr">
        <is>
          <t>TAHMIN (emsal yok) – Emsal yok (veride eşdeğer kalem yok)</t>
        </is>
      </c>
      <c r="M564" s="7" t="inlineStr">
        <is>
          <t>Ara birim</t>
        </is>
      </c>
    </row>
    <row r="565" outlineLevel="1">
      <c r="A565" s="27" t="n"/>
      <c r="B565" s="27" t="inlineStr">
        <is>
          <t>5004.C</t>
        </is>
      </c>
      <c r="C565" s="7" t="inlineStr">
        <is>
          <t>Programlama, sebep-sonuç senaryosu, test ve devreye alma</t>
        </is>
      </c>
      <c r="D565" s="27" t="inlineStr">
        <is>
          <t>set</t>
        </is>
      </c>
      <c r="E565" s="50" t="n">
        <v>1</v>
      </c>
      <c r="F565" s="50" t="n">
        <v>1</v>
      </c>
      <c r="G565" s="27" t="inlineStr">
        <is>
          <t>-</t>
        </is>
      </c>
      <c r="H565" s="50">
        <f>F565</f>
        <v/>
      </c>
      <c r="I565" s="51" t="n">
        <v>1000</v>
      </c>
      <c r="J565" s="28">
        <f>H565*I565</f>
        <v/>
      </c>
      <c r="K565" s="53" t="inlineStr">
        <is>
          <t>MÜHENDİSLİK TAHMİNİ</t>
        </is>
      </c>
      <c r="L565" s="7" t="inlineStr">
        <is>
          <t>TAHMIN (emsal yok) – Emsal yok (veride eşdeğer kalem yok)</t>
        </is>
      </c>
      <c r="M565" s="7" t="inlineStr">
        <is>
          <t>Programlama/test</t>
        </is>
      </c>
    </row>
    <row r="566">
      <c r="A566" s="48" t="inlineStr">
        <is>
          <t>337</t>
        </is>
      </c>
      <c r="B566" s="48" t="inlineStr">
        <is>
          <t>5004.D</t>
        </is>
      </c>
      <c r="C566" s="48" t="inlineStr">
        <is>
          <t>Eyüp Peygamber İstasyonu Yangın İhbar ve Kontrol Sistemi (1 set)</t>
        </is>
      </c>
      <c r="D566" s="48" t="n"/>
      <c r="E566" s="48" t="n"/>
      <c r="F566" s="48" t="n"/>
      <c r="G566" s="48" t="n"/>
      <c r="H566" s="48" t="inlineStr">
        <is>
          <t>RFQ tutarı →</t>
        </is>
      </c>
      <c r="I566" s="49">
        <f>SUMPRODUCT(E567:E579,I567:I579)</f>
        <v/>
      </c>
      <c r="J566" s="49">
        <f>SUM(J567:J579)</f>
        <v/>
      </c>
      <c r="K566" s="48" t="n"/>
      <c r="L566" s="48" t="n"/>
      <c r="M566" s="48" t="n"/>
    </row>
    <row r="567" outlineLevel="1">
      <c r="A567" s="27" t="n"/>
      <c r="B567" s="27" t="inlineStr">
        <is>
          <t>5004.D</t>
        </is>
      </c>
      <c r="C567" s="7" t="inlineStr">
        <is>
          <t>Adresli yangın alarm paneli 1-2 loop (akülü 24V) + network kartı</t>
        </is>
      </c>
      <c r="D567" s="27" t="inlineStr">
        <is>
          <t>adet</t>
        </is>
      </c>
      <c r="E567" s="50" t="n">
        <v>1</v>
      </c>
      <c r="F567" s="50" t="n">
        <v>1</v>
      </c>
      <c r="G567" s="27" t="inlineStr">
        <is>
          <t>-</t>
        </is>
      </c>
      <c r="H567" s="50">
        <f>F567</f>
        <v/>
      </c>
      <c r="I567" s="51" t="n">
        <v>2083.07</v>
      </c>
      <c r="J567" s="28">
        <f>H567*I567</f>
        <v/>
      </c>
      <c r="K567" s="52" t="inlineStr">
        <is>
          <t>GEÇMİŞ TEKLİF UYARLAMA</t>
        </is>
      </c>
      <c r="L567"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567" s="7" t="inlineStr">
        <is>
          <t>Panel 1-2 loop+network | İlk tahmin BF 4,200.00</t>
        </is>
      </c>
    </row>
    <row r="568" outlineLevel="1">
      <c r="A568" s="27" t="n"/>
      <c r="B568" s="27" t="inlineStr">
        <is>
          <t>5004.D</t>
        </is>
      </c>
      <c r="C568" s="7" t="inlineStr">
        <is>
          <t>Optik duman dedektörü (adresli)</t>
        </is>
      </c>
      <c r="D568" s="27" t="inlineStr">
        <is>
          <t>adet</t>
        </is>
      </c>
      <c r="E568" s="50" t="n">
        <v>12</v>
      </c>
      <c r="F568" s="50" t="n">
        <v>12</v>
      </c>
      <c r="G568" s="27" t="inlineStr">
        <is>
          <t>%30</t>
        </is>
      </c>
      <c r="H568" s="50">
        <f>F568/IF(Varsayimlar!$B$21=1,1.3,1)</f>
        <v/>
      </c>
      <c r="I568" s="51" t="n">
        <v>38.73</v>
      </c>
      <c r="J568" s="28">
        <f>H568*I568</f>
        <v/>
      </c>
      <c r="K568" s="52" t="inlineStr">
        <is>
          <t>GEÇMİŞ TEKLİF UYARLAMA</t>
        </is>
      </c>
      <c r="L568" s="7" t="inlineStr">
        <is>
          <t>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is>
      </c>
      <c r="M568" s="7" t="inlineStr">
        <is>
          <t>Referans fiyat | İlk tahmin BF 36.39</t>
        </is>
      </c>
    </row>
    <row r="569" outlineLevel="1">
      <c r="A569" s="27" t="n"/>
      <c r="B569" s="27" t="inlineStr">
        <is>
          <t>5004.D</t>
        </is>
      </c>
      <c r="C569" s="7" t="inlineStr">
        <is>
          <t>Isı dedektörü (adresli)</t>
        </is>
      </c>
      <c r="D569" s="27" t="inlineStr">
        <is>
          <t>adet</t>
        </is>
      </c>
      <c r="E569" s="50" t="n">
        <v>6</v>
      </c>
      <c r="F569" s="50" t="n">
        <v>6</v>
      </c>
      <c r="G569" s="27" t="inlineStr">
        <is>
          <t>%30</t>
        </is>
      </c>
      <c r="H569" s="50">
        <f>F569/IF(Varsayimlar!$B$21=1,1.3,1)</f>
        <v/>
      </c>
      <c r="I569" s="51" t="n">
        <v>35.89</v>
      </c>
      <c r="J569" s="28">
        <f>H569*I569</f>
        <v/>
      </c>
      <c r="K569" s="52" t="inlineStr">
        <is>
          <t>GEÇMİŞ TEKLİF UYARLAMA</t>
        </is>
      </c>
      <c r="L569" s="7" t="inlineStr">
        <is>
          <t>REF-derin – İzmir Buca M. NEV 2021 ısı sensörü 22,97 (M)+%30 montaj→29,86; İzmir Buca M. EEC 2021 SIGA-HRDI ısı 32,24 (M)+%30 montaj→41,92 → medyan 35,89 [Emsal ID: R00777;R00743]</t>
        </is>
      </c>
      <c r="M569" s="7" t="inlineStr">
        <is>
          <t>Ref düşük; montajlı adresli ısı ded. (ref 23) | İlk tahmin BF 38.00</t>
        </is>
      </c>
    </row>
    <row r="570" outlineLevel="1">
      <c r="A570" s="27" t="n"/>
      <c r="B570" s="27" t="inlineStr">
        <is>
          <t>5004.D</t>
        </is>
      </c>
      <c r="C570" s="7" t="inlineStr">
        <is>
          <t>Işın tipi duman dedektörü (alıcı-verici) – peron kanopisi altı</t>
        </is>
      </c>
      <c r="D570" s="27" t="inlineStr">
        <is>
          <t>çift</t>
        </is>
      </c>
      <c r="E570" s="50" t="n">
        <v>2</v>
      </c>
      <c r="F570" s="50" t="n">
        <v>2</v>
      </c>
      <c r="G570" s="27" t="inlineStr">
        <is>
          <t>-</t>
        </is>
      </c>
      <c r="H570" s="50">
        <f>F570</f>
        <v/>
      </c>
      <c r="I570" s="51" t="n">
        <v>814.66</v>
      </c>
      <c r="J570" s="28">
        <f>H570*I570</f>
        <v/>
      </c>
      <c r="K570" s="52" t="inlineStr">
        <is>
          <t>GEÇMİŞ TEKLİF UYARLAMA</t>
        </is>
      </c>
      <c r="L570" s="7" t="inlineStr">
        <is>
          <t>REF-derin – İzmir Buca M. EEC 2021 OSID alıcı+verici 569,42 (M)+%30 montaj→740,24; İzmir Buca M. NEV 2021 beam 8-100 m 294,04 (M)+%30 montaj→382,26; Bursa T2 Haluk 2015 Fireray reflektörlü (M+İ) 889,07; Kocaeli T. Sekaray 2015 Fireray 5-50 m 1.455,78 → medyan 814,66 [Emsal ID: R00745;R00782;R00927;R01082]</t>
        </is>
      </c>
      <c r="M570" s="7" t="inlineStr">
        <is>
          <t>Referans fiyat | İlk tahmin BF 569.42</t>
        </is>
      </c>
    </row>
    <row r="571" outlineLevel="1">
      <c r="A571" s="27" t="n"/>
      <c r="B571" s="27" t="inlineStr">
        <is>
          <t>5004.D</t>
        </is>
      </c>
      <c r="C571" s="7" t="inlineStr">
        <is>
          <t>Yangın ihbar butonu (adresli IP67 harici)</t>
        </is>
      </c>
      <c r="D571" s="27" t="inlineStr">
        <is>
          <t>adet</t>
        </is>
      </c>
      <c r="E571" s="50" t="n">
        <v>11</v>
      </c>
      <c r="F571" s="50" t="n">
        <v>11</v>
      </c>
      <c r="G571" s="27" t="inlineStr">
        <is>
          <t>-</t>
        </is>
      </c>
      <c r="H571" s="50">
        <f>F571</f>
        <v/>
      </c>
      <c r="I571" s="51" t="n">
        <v>64.58</v>
      </c>
      <c r="J571" s="28">
        <f>H571*I571</f>
        <v/>
      </c>
      <c r="K571" s="52" t="inlineStr">
        <is>
          <t>GEÇMİŞ TEKLİF UYARLAMA</t>
        </is>
      </c>
      <c r="L571" s="7" t="inlineStr">
        <is>
          <t>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is>
      </c>
      <c r="M571" s="7" t="inlineStr">
        <is>
          <t>Adresli buton IP67 | İlk tahmin BF 65.00</t>
        </is>
      </c>
    </row>
    <row r="572" outlineLevel="1">
      <c r="A572" s="27" t="n"/>
      <c r="B572" s="27" t="inlineStr">
        <is>
          <t>5004.D</t>
        </is>
      </c>
      <c r="C572" s="7" t="inlineStr">
        <is>
          <t>Flaşörlü siren (adresli harici IP65)</t>
        </is>
      </c>
      <c r="D572" s="27" t="inlineStr">
        <is>
          <t>adet</t>
        </is>
      </c>
      <c r="E572" s="50" t="n">
        <v>7</v>
      </c>
      <c r="F572" s="50" t="n">
        <v>7</v>
      </c>
      <c r="G572" s="27" t="inlineStr">
        <is>
          <t>-</t>
        </is>
      </c>
      <c r="H572" s="50">
        <f>F572</f>
        <v/>
      </c>
      <c r="I572" s="51" t="n">
        <v>62.39</v>
      </c>
      <c r="J572" s="28">
        <f>H572*I572</f>
        <v/>
      </c>
      <c r="K572" s="52" t="inlineStr">
        <is>
          <t>GEÇMİŞ TEKLİF UYARLAMA</t>
        </is>
      </c>
      <c r="L572" s="7" t="inlineStr">
        <is>
          <t>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is>
      </c>
      <c r="M572" s="7" t="inlineStr">
        <is>
          <t>Ref düşük; harici IP65 adresli siren (ref 31) | İlk tahmin BF 60.00</t>
        </is>
      </c>
    </row>
    <row r="573" outlineLevel="1">
      <c r="A573" s="27" t="n"/>
      <c r="B573" s="27" t="inlineStr">
        <is>
          <t>5004.D</t>
        </is>
      </c>
      <c r="C573" s="7" t="inlineStr">
        <is>
          <t>Giriş-çıkış modülü IOM</t>
        </is>
      </c>
      <c r="D573" s="27" t="inlineStr">
        <is>
          <t>adet</t>
        </is>
      </c>
      <c r="E573" s="50" t="n">
        <v>8</v>
      </c>
      <c r="F573" s="50" t="n">
        <v>8</v>
      </c>
      <c r="G573" s="27" t="inlineStr">
        <is>
          <t>-</t>
        </is>
      </c>
      <c r="H573" s="50">
        <f>F573</f>
        <v/>
      </c>
      <c r="I573" s="51" t="n">
        <v>68.42</v>
      </c>
      <c r="J573" s="28">
        <f>H573*I573</f>
        <v/>
      </c>
      <c r="K573" s="52" t="inlineStr">
        <is>
          <t>GEÇMİŞ TEKLİF UYARLAMA</t>
        </is>
      </c>
      <c r="L573" s="7" t="inlineStr">
        <is>
          <t>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is>
      </c>
      <c r="M573" s="7" t="inlineStr">
        <is>
          <t>Ref düşük; montajlı adresli I/O (ref 39) | İlk tahmin BF 60.00</t>
        </is>
      </c>
    </row>
    <row r="574" outlineLevel="1">
      <c r="A574" s="27" t="n"/>
      <c r="B574" s="27" t="inlineStr">
        <is>
          <t>5004.D</t>
        </is>
      </c>
      <c r="C574" s="7" t="inlineStr">
        <is>
          <t>İzolatör modülü</t>
        </is>
      </c>
      <c r="D574" s="27" t="inlineStr">
        <is>
          <t>adet</t>
        </is>
      </c>
      <c r="E574" s="50" t="n">
        <v>4</v>
      </c>
      <c r="F574" s="50" t="n">
        <v>4</v>
      </c>
      <c r="G574" s="27" t="inlineStr">
        <is>
          <t>-</t>
        </is>
      </c>
      <c r="H574" s="50">
        <f>F574</f>
        <v/>
      </c>
      <c r="I574" s="51" t="n">
        <v>35</v>
      </c>
      <c r="J574" s="28">
        <f>H574*I574</f>
        <v/>
      </c>
      <c r="K574" s="53" t="inlineStr">
        <is>
          <t>MÜHENDİSLİK TAHMİNİ</t>
        </is>
      </c>
      <c r="L574" s="7" t="inlineStr">
        <is>
          <t>TAHMIN (emsal yok) – Emsal yok (veride eşdeğer kalem yok)</t>
        </is>
      </c>
      <c r="M574" s="7" t="inlineStr">
        <is>
          <t>İzolatör</t>
        </is>
      </c>
    </row>
    <row r="575" outlineLevel="1">
      <c r="A575" s="27" t="n"/>
      <c r="B575" s="27" t="inlineStr">
        <is>
          <t>5004.D</t>
        </is>
      </c>
      <c r="C575" s="7" t="inlineStr">
        <is>
          <t>Yangına dayanıklı çevrim kablosu JE-H(St)H FE180 2x2x0,8</t>
        </is>
      </c>
      <c r="D575" s="27" t="inlineStr">
        <is>
          <t>m</t>
        </is>
      </c>
      <c r="E575" s="50" t="n">
        <v>687</v>
      </c>
      <c r="F575" s="50" t="n">
        <v>687</v>
      </c>
      <c r="G575" s="27" t="inlineStr">
        <is>
          <t>fire+%30</t>
        </is>
      </c>
      <c r="H575" s="50">
        <f>F575/IF(Varsayimlar!$B$21=1,1.43,1)</f>
        <v/>
      </c>
      <c r="I575" s="51" t="n">
        <v>2.22</v>
      </c>
      <c r="J575" s="28">
        <f>H575*I575</f>
        <v/>
      </c>
      <c r="K575" s="52" t="inlineStr">
        <is>
          <t>GEÇMİŞ TEKLİF UYARLAMA</t>
        </is>
      </c>
      <c r="L575" s="7" t="inlineStr">
        <is>
          <t>REF-derin – Pendik-Kaynarca M. YM 2022 HBAPH FE180 2x2x0,6 1,93 (M)+%35 montaj→2,61; İzmir Narlıdere M. Uskom 2018 FE180 2x2x0,6 (M+İ) 1,86; Kabataş-Mahmutbey M. Uskom 2015 FE180 2x2x0,6 (M+İ) 1,65; SAGE bina YM 2018 JE-H(St)H FE180 1x2x1,5 (M+İ) 2,59 → medyan 2,22 [Emsal ID: R02948;R01664;R02657;R03096]</t>
        </is>
      </c>
      <c r="M575" s="7" t="inlineStr">
        <is>
          <t>FE180 2x2x0,8 | İlk tahmin BF 2.20</t>
        </is>
      </c>
    </row>
    <row r="576" outlineLevel="1">
      <c r="A576" s="27" t="n"/>
      <c r="B576" s="27" t="inlineStr">
        <is>
          <t>5004.D</t>
        </is>
      </c>
      <c r="C576" s="7" t="inlineStr">
        <is>
          <t>Siren ve ışın dedektörü 24V besleme N2XH FE180 2x1,5</t>
        </is>
      </c>
      <c r="D576" s="27" t="inlineStr">
        <is>
          <t>m</t>
        </is>
      </c>
      <c r="E576" s="50" t="n">
        <v>301</v>
      </c>
      <c r="F576" s="50" t="n">
        <v>301</v>
      </c>
      <c r="G576" s="27" t="inlineStr">
        <is>
          <t>fire+%30</t>
        </is>
      </c>
      <c r="H576" s="50">
        <f>F576/IF(Varsayimlar!$B$21=1,1.43,1)</f>
        <v/>
      </c>
      <c r="I576" s="51" t="n">
        <v>1.8</v>
      </c>
      <c r="J576" s="28">
        <f>H576*I576</f>
        <v/>
      </c>
      <c r="K576" s="52" t="inlineStr">
        <is>
          <t>GEÇMİŞ TEKLİF UYARLAMA</t>
        </is>
      </c>
      <c r="L576" s="7" t="inlineStr">
        <is>
          <t>REF-derin – İzmir Narlıdere M. Uskom 2018 FE180 2x1,5 (M+İ) 1,68; Pendik-Kaynarca M. YM 2022 LIHCHRH FE180 2x1,5 1,42 (M)+%35 montaj→1,92 → medyan 1,80 [Emsal ID: R01755;R02959]</t>
        </is>
      </c>
      <c r="M576" s="7" t="inlineStr">
        <is>
          <t>FE180 2x1,5 | İlk tahmin BF 2.40</t>
        </is>
      </c>
    </row>
    <row r="577" outlineLevel="1">
      <c r="A577" s="27" t="n"/>
      <c r="B577" s="27" t="inlineStr">
        <is>
          <t>5004.D</t>
        </is>
      </c>
      <c r="C577" s="7" t="inlineStr">
        <is>
          <t>HF spiral boru / kroşe / harici HDPE koruma</t>
        </is>
      </c>
      <c r="D577" s="27" t="inlineStr">
        <is>
          <t>m</t>
        </is>
      </c>
      <c r="E577" s="50" t="n">
        <v>687</v>
      </c>
      <c r="F577" s="50" t="n">
        <v>687</v>
      </c>
      <c r="G577" s="27" t="inlineStr">
        <is>
          <t>fire+%30</t>
        </is>
      </c>
      <c r="H577" s="50">
        <f>F577/IF(Varsayimlar!$B$21=1,1.43,1)</f>
        <v/>
      </c>
      <c r="I577" s="51" t="n">
        <v>1.97</v>
      </c>
      <c r="J577" s="28">
        <f>H577*I577</f>
        <v/>
      </c>
      <c r="K577" s="52" t="inlineStr">
        <is>
          <t>GEÇMİŞ TEKLİF UYARLAMA</t>
        </is>
      </c>
      <c r="L577" s="7" t="inlineStr">
        <is>
          <t>REF-derin – Kabataş-Mahmutbey M. Uskom 2015 3/4" spiral (M+İ) 1,50 +%15 HF→1,73; Kabataş-Mahmutbey M. Uskom 2015 3/4" spiral (M+İ) 1,93 +%15 HF→2,21 → medyan 1,97 [Emsal ID: R02661;R02746]</t>
        </is>
      </c>
      <c r="M577" s="7" t="inlineStr">
        <is>
          <t>Boru/kroşe | İlk tahmin BF 2.00</t>
        </is>
      </c>
    </row>
    <row r="578" outlineLevel="1">
      <c r="A578" s="27" t="n"/>
      <c r="B578" s="27" t="inlineStr">
        <is>
          <t>5004.D</t>
        </is>
      </c>
      <c r="C578" s="7" t="inlineStr">
        <is>
          <t>TCC/SCADA ağına bağlantı arayüzü (fiber/ethernet ara birim)</t>
        </is>
      </c>
      <c r="D578" s="27" t="inlineStr">
        <is>
          <t>adet</t>
        </is>
      </c>
      <c r="E578" s="50" t="n">
        <v>1</v>
      </c>
      <c r="F578" s="50" t="n">
        <v>1</v>
      </c>
      <c r="G578" s="27" t="inlineStr">
        <is>
          <t>-</t>
        </is>
      </c>
      <c r="H578" s="50">
        <f>F578</f>
        <v/>
      </c>
      <c r="I578" s="51" t="n">
        <v>800</v>
      </c>
      <c r="J578" s="28">
        <f>H578*I578</f>
        <v/>
      </c>
      <c r="K578" s="53" t="inlineStr">
        <is>
          <t>MÜHENDİSLİK TAHMİNİ</t>
        </is>
      </c>
      <c r="L578" s="7" t="inlineStr">
        <is>
          <t>TAHMIN (emsal yok) – Emsal yok (veride eşdeğer kalem yok)</t>
        </is>
      </c>
      <c r="M578" s="7" t="inlineStr">
        <is>
          <t>Ara birim</t>
        </is>
      </c>
    </row>
    <row r="579" outlineLevel="1">
      <c r="A579" s="27" t="n"/>
      <c r="B579" s="27" t="inlineStr">
        <is>
          <t>5004.D</t>
        </is>
      </c>
      <c r="C579" s="7" t="inlineStr">
        <is>
          <t>Programlama, sebep-sonuç senaryosu, test ve devreye alma</t>
        </is>
      </c>
      <c r="D579" s="27" t="inlineStr">
        <is>
          <t>set</t>
        </is>
      </c>
      <c r="E579" s="50" t="n">
        <v>1</v>
      </c>
      <c r="F579" s="50" t="n">
        <v>1</v>
      </c>
      <c r="G579" s="27" t="inlineStr">
        <is>
          <t>-</t>
        </is>
      </c>
      <c r="H579" s="50">
        <f>F579</f>
        <v/>
      </c>
      <c r="I579" s="51" t="n">
        <v>1000</v>
      </c>
      <c r="J579" s="28">
        <f>H579*I579</f>
        <v/>
      </c>
      <c r="K579" s="53" t="inlineStr">
        <is>
          <t>MÜHENDİSLİK TAHMİNİ</t>
        </is>
      </c>
      <c r="L579" s="7" t="inlineStr">
        <is>
          <t>TAHMIN (emsal yok) – Emsal yok (veride eşdeğer kalem yok)</t>
        </is>
      </c>
      <c r="M579" s="7" t="inlineStr">
        <is>
          <t>Programlama/test</t>
        </is>
      </c>
    </row>
    <row r="580">
      <c r="A580" s="48" t="inlineStr">
        <is>
          <t>338</t>
        </is>
      </c>
      <c r="B580" s="48" t="inlineStr">
        <is>
          <t>5004.E</t>
        </is>
      </c>
      <c r="C580" s="48" t="inlineStr">
        <is>
          <t>Rasathane İstasyonu Yangın İhbar ve Kontrol Sistemi (1 set)</t>
        </is>
      </c>
      <c r="D580" s="48" t="n"/>
      <c r="E580" s="48" t="n"/>
      <c r="F580" s="48" t="n"/>
      <c r="G580" s="48" t="n"/>
      <c r="H580" s="48" t="inlineStr">
        <is>
          <t>RFQ tutarı →</t>
        </is>
      </c>
      <c r="I580" s="49">
        <f>SUMPRODUCT(E581:E593,I581:I593)</f>
        <v/>
      </c>
      <c r="J580" s="49">
        <f>SUM(J581:J593)</f>
        <v/>
      </c>
      <c r="K580" s="48" t="n"/>
      <c r="L580" s="48" t="n"/>
      <c r="M580" s="48" t="n"/>
    </row>
    <row r="581" outlineLevel="1">
      <c r="A581" s="27" t="n"/>
      <c r="B581" s="27" t="inlineStr">
        <is>
          <t>5004.E</t>
        </is>
      </c>
      <c r="C581" s="7" t="inlineStr">
        <is>
          <t>Adresli yangın alarm paneli 1-2 loop (akülü 24V) + network kartı</t>
        </is>
      </c>
      <c r="D581" s="27" t="inlineStr">
        <is>
          <t>adet</t>
        </is>
      </c>
      <c r="E581" s="50" t="n">
        <v>1</v>
      </c>
      <c r="F581" s="50" t="n">
        <v>1</v>
      </c>
      <c r="G581" s="27" t="inlineStr">
        <is>
          <t>-</t>
        </is>
      </c>
      <c r="H581" s="50">
        <f>F581</f>
        <v/>
      </c>
      <c r="I581" s="51" t="n">
        <v>2083.07</v>
      </c>
      <c r="J581" s="28">
        <f>H581*I581</f>
        <v/>
      </c>
      <c r="K581" s="52" t="inlineStr">
        <is>
          <t>GEÇMİŞ TEKLİF UYARLAMA</t>
        </is>
      </c>
      <c r="L581"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581" s="7" t="inlineStr">
        <is>
          <t>Panel 1-2 loop+network | İlk tahmin BF 4,200.00</t>
        </is>
      </c>
    </row>
    <row r="582" outlineLevel="1">
      <c r="A582" s="27" t="n"/>
      <c r="B582" s="27" t="inlineStr">
        <is>
          <t>5004.E</t>
        </is>
      </c>
      <c r="C582" s="7" t="inlineStr">
        <is>
          <t>Optik duman dedektörü (adresli)</t>
        </is>
      </c>
      <c r="D582" s="27" t="inlineStr">
        <is>
          <t>adet</t>
        </is>
      </c>
      <c r="E582" s="50" t="n">
        <v>12</v>
      </c>
      <c r="F582" s="50" t="n">
        <v>12</v>
      </c>
      <c r="G582" s="27" t="inlineStr">
        <is>
          <t>%30</t>
        </is>
      </c>
      <c r="H582" s="50">
        <f>F582/IF(Varsayimlar!$B$21=1,1.3,1)</f>
        <v/>
      </c>
      <c r="I582" s="51" t="n">
        <v>38.73</v>
      </c>
      <c r="J582" s="28">
        <f>H582*I582</f>
        <v/>
      </c>
      <c r="K582" s="52" t="inlineStr">
        <is>
          <t>GEÇMİŞ TEKLİF UYARLAMA</t>
        </is>
      </c>
      <c r="L582" s="7" t="inlineStr">
        <is>
          <t>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is>
      </c>
      <c r="M582" s="7" t="inlineStr">
        <is>
          <t>Referans fiyat | İlk tahmin BF 36.39</t>
        </is>
      </c>
    </row>
    <row r="583" outlineLevel="1">
      <c r="A583" s="27" t="n"/>
      <c r="B583" s="27" t="inlineStr">
        <is>
          <t>5004.E</t>
        </is>
      </c>
      <c r="C583" s="7" t="inlineStr">
        <is>
          <t>Isı dedektörü (adresli)</t>
        </is>
      </c>
      <c r="D583" s="27" t="inlineStr">
        <is>
          <t>adet</t>
        </is>
      </c>
      <c r="E583" s="50" t="n">
        <v>6</v>
      </c>
      <c r="F583" s="50" t="n">
        <v>6</v>
      </c>
      <c r="G583" s="27" t="inlineStr">
        <is>
          <t>%30</t>
        </is>
      </c>
      <c r="H583" s="50">
        <f>F583/IF(Varsayimlar!$B$21=1,1.3,1)</f>
        <v/>
      </c>
      <c r="I583" s="51" t="n">
        <v>35.89</v>
      </c>
      <c r="J583" s="28">
        <f>H583*I583</f>
        <v/>
      </c>
      <c r="K583" s="52" t="inlineStr">
        <is>
          <t>GEÇMİŞ TEKLİF UYARLAMA</t>
        </is>
      </c>
      <c r="L583" s="7" t="inlineStr">
        <is>
          <t>REF-derin – İzmir Buca M. NEV 2021 ısı sensörü 22,97 (M)+%30 montaj→29,86; İzmir Buca M. EEC 2021 SIGA-HRDI ısı 32,24 (M)+%30 montaj→41,92 → medyan 35,89 [Emsal ID: R00777;R00743]</t>
        </is>
      </c>
      <c r="M583" s="7" t="inlineStr">
        <is>
          <t>Ref düşük; montajlı adresli ısı ded. (ref 23) | İlk tahmin BF 38.00</t>
        </is>
      </c>
    </row>
    <row r="584" outlineLevel="1">
      <c r="A584" s="27" t="n"/>
      <c r="B584" s="27" t="inlineStr">
        <is>
          <t>5004.E</t>
        </is>
      </c>
      <c r="C584" s="7" t="inlineStr">
        <is>
          <t>Işın tipi duman dedektörü (alıcı-verici) – peron kanopisi altı</t>
        </is>
      </c>
      <c r="D584" s="27" t="inlineStr">
        <is>
          <t>çift</t>
        </is>
      </c>
      <c r="E584" s="50" t="n">
        <v>2</v>
      </c>
      <c r="F584" s="50" t="n">
        <v>2</v>
      </c>
      <c r="G584" s="27" t="inlineStr">
        <is>
          <t>-</t>
        </is>
      </c>
      <c r="H584" s="50">
        <f>F584</f>
        <v/>
      </c>
      <c r="I584" s="51" t="n">
        <v>814.66</v>
      </c>
      <c r="J584" s="28">
        <f>H584*I584</f>
        <v/>
      </c>
      <c r="K584" s="52" t="inlineStr">
        <is>
          <t>GEÇMİŞ TEKLİF UYARLAMA</t>
        </is>
      </c>
      <c r="L584" s="7" t="inlineStr">
        <is>
          <t>REF-derin – İzmir Buca M. EEC 2021 OSID alıcı+verici 569,42 (M)+%30 montaj→740,24; İzmir Buca M. NEV 2021 beam 8-100 m 294,04 (M)+%30 montaj→382,26; Bursa T2 Haluk 2015 Fireray reflektörlü (M+İ) 889,07; Kocaeli T. Sekaray 2015 Fireray 5-50 m 1.455,78 → medyan 814,66 [Emsal ID: R00745;R00782;R00927;R01082]</t>
        </is>
      </c>
      <c r="M584" s="7" t="inlineStr">
        <is>
          <t>Referans fiyat | İlk tahmin BF 569.42</t>
        </is>
      </c>
    </row>
    <row r="585" outlineLevel="1">
      <c r="A585" s="27" t="n"/>
      <c r="B585" s="27" t="inlineStr">
        <is>
          <t>5004.E</t>
        </is>
      </c>
      <c r="C585" s="7" t="inlineStr">
        <is>
          <t>Yangın ihbar butonu (adresli IP67 harici)</t>
        </is>
      </c>
      <c r="D585" s="27" t="inlineStr">
        <is>
          <t>adet</t>
        </is>
      </c>
      <c r="E585" s="50" t="n">
        <v>11</v>
      </c>
      <c r="F585" s="50" t="n">
        <v>11</v>
      </c>
      <c r="G585" s="27" t="inlineStr">
        <is>
          <t>-</t>
        </is>
      </c>
      <c r="H585" s="50">
        <f>F585</f>
        <v/>
      </c>
      <c r="I585" s="51" t="n">
        <v>64.58</v>
      </c>
      <c r="J585" s="28">
        <f>H585*I585</f>
        <v/>
      </c>
      <c r="K585" s="52" t="inlineStr">
        <is>
          <t>GEÇMİŞ TEKLİF UYARLAMA</t>
        </is>
      </c>
      <c r="L585" s="7" t="inlineStr">
        <is>
          <t>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is>
      </c>
      <c r="M585" s="7" t="inlineStr">
        <is>
          <t>Adresli buton IP67 | İlk tahmin BF 65.00</t>
        </is>
      </c>
    </row>
    <row r="586" outlineLevel="1">
      <c r="A586" s="27" t="n"/>
      <c r="B586" s="27" t="inlineStr">
        <is>
          <t>5004.E</t>
        </is>
      </c>
      <c r="C586" s="7" t="inlineStr">
        <is>
          <t>Flaşörlü siren (adresli harici IP65)</t>
        </is>
      </c>
      <c r="D586" s="27" t="inlineStr">
        <is>
          <t>adet</t>
        </is>
      </c>
      <c r="E586" s="50" t="n">
        <v>7</v>
      </c>
      <c r="F586" s="50" t="n">
        <v>7</v>
      </c>
      <c r="G586" s="27" t="inlineStr">
        <is>
          <t>-</t>
        </is>
      </c>
      <c r="H586" s="50">
        <f>F586</f>
        <v/>
      </c>
      <c r="I586" s="51" t="n">
        <v>62.39</v>
      </c>
      <c r="J586" s="28">
        <f>H586*I586</f>
        <v/>
      </c>
      <c r="K586" s="52" t="inlineStr">
        <is>
          <t>GEÇMİŞ TEKLİF UYARLAMA</t>
        </is>
      </c>
      <c r="L586" s="7" t="inlineStr">
        <is>
          <t>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is>
      </c>
      <c r="M586" s="7" t="inlineStr">
        <is>
          <t>Ref düşük; harici IP65 adresli siren (ref 31) | İlk tahmin BF 60.00</t>
        </is>
      </c>
    </row>
    <row r="587" outlineLevel="1">
      <c r="A587" s="27" t="n"/>
      <c r="B587" s="27" t="inlineStr">
        <is>
          <t>5004.E</t>
        </is>
      </c>
      <c r="C587" s="7" t="inlineStr">
        <is>
          <t>Giriş-çıkış modülü IOM</t>
        </is>
      </c>
      <c r="D587" s="27" t="inlineStr">
        <is>
          <t>adet</t>
        </is>
      </c>
      <c r="E587" s="50" t="n">
        <v>8</v>
      </c>
      <c r="F587" s="50" t="n">
        <v>8</v>
      </c>
      <c r="G587" s="27" t="inlineStr">
        <is>
          <t>-</t>
        </is>
      </c>
      <c r="H587" s="50">
        <f>F587</f>
        <v/>
      </c>
      <c r="I587" s="51" t="n">
        <v>68.42</v>
      </c>
      <c r="J587" s="28">
        <f>H587*I587</f>
        <v/>
      </c>
      <c r="K587" s="52" t="inlineStr">
        <is>
          <t>GEÇMİŞ TEKLİF UYARLAMA</t>
        </is>
      </c>
      <c r="L587" s="7" t="inlineStr">
        <is>
          <t>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is>
      </c>
      <c r="M587" s="7" t="inlineStr">
        <is>
          <t>Ref düşük; montajlı adresli I/O (ref 39) | İlk tahmin BF 60.00</t>
        </is>
      </c>
    </row>
    <row r="588" outlineLevel="1">
      <c r="A588" s="27" t="n"/>
      <c r="B588" s="27" t="inlineStr">
        <is>
          <t>5004.E</t>
        </is>
      </c>
      <c r="C588" s="7" t="inlineStr">
        <is>
          <t>İzolatör modülü</t>
        </is>
      </c>
      <c r="D588" s="27" t="inlineStr">
        <is>
          <t>adet</t>
        </is>
      </c>
      <c r="E588" s="50" t="n">
        <v>4</v>
      </c>
      <c r="F588" s="50" t="n">
        <v>4</v>
      </c>
      <c r="G588" s="27" t="inlineStr">
        <is>
          <t>-</t>
        </is>
      </c>
      <c r="H588" s="50">
        <f>F588</f>
        <v/>
      </c>
      <c r="I588" s="51" t="n">
        <v>35</v>
      </c>
      <c r="J588" s="28">
        <f>H588*I588</f>
        <v/>
      </c>
      <c r="K588" s="53" t="inlineStr">
        <is>
          <t>MÜHENDİSLİK TAHMİNİ</t>
        </is>
      </c>
      <c r="L588" s="7" t="inlineStr">
        <is>
          <t>TAHMIN (emsal yok) – Emsal yok (veride eşdeğer kalem yok)</t>
        </is>
      </c>
      <c r="M588" s="7" t="inlineStr">
        <is>
          <t>İzolatör</t>
        </is>
      </c>
    </row>
    <row r="589" outlineLevel="1">
      <c r="A589" s="27" t="n"/>
      <c r="B589" s="27" t="inlineStr">
        <is>
          <t>5004.E</t>
        </is>
      </c>
      <c r="C589" s="7" t="inlineStr">
        <is>
          <t>Yangına dayanıklı çevrim kablosu JE-H(St)H FE180 2x2x0,8</t>
        </is>
      </c>
      <c r="D589" s="27" t="inlineStr">
        <is>
          <t>m</t>
        </is>
      </c>
      <c r="E589" s="50" t="n">
        <v>687</v>
      </c>
      <c r="F589" s="50" t="n">
        <v>687</v>
      </c>
      <c r="G589" s="27" t="inlineStr">
        <is>
          <t>fire+%30</t>
        </is>
      </c>
      <c r="H589" s="50">
        <f>F589/IF(Varsayimlar!$B$21=1,1.43,1)</f>
        <v/>
      </c>
      <c r="I589" s="51" t="n">
        <v>2.22</v>
      </c>
      <c r="J589" s="28">
        <f>H589*I589</f>
        <v/>
      </c>
      <c r="K589" s="52" t="inlineStr">
        <is>
          <t>GEÇMİŞ TEKLİF UYARLAMA</t>
        </is>
      </c>
      <c r="L589" s="7" t="inlineStr">
        <is>
          <t>REF-derin – Pendik-Kaynarca M. YM 2022 HBAPH FE180 2x2x0,6 1,93 (M)+%35 montaj→2,61; İzmir Narlıdere M. Uskom 2018 FE180 2x2x0,6 (M+İ) 1,86; Kabataş-Mahmutbey M. Uskom 2015 FE180 2x2x0,6 (M+İ) 1,65; SAGE bina YM 2018 JE-H(St)H FE180 1x2x1,5 (M+İ) 2,59 → medyan 2,22 [Emsal ID: R02948;R01664;R02657;R03096]</t>
        </is>
      </c>
      <c r="M589" s="7" t="inlineStr">
        <is>
          <t>FE180 2x2x0,8 | İlk tahmin BF 2.20</t>
        </is>
      </c>
    </row>
    <row r="590" outlineLevel="1">
      <c r="A590" s="27" t="n"/>
      <c r="B590" s="27" t="inlineStr">
        <is>
          <t>5004.E</t>
        </is>
      </c>
      <c r="C590" s="7" t="inlineStr">
        <is>
          <t>Siren ve ışın dedektörü 24V besleme N2XH FE180 2x1,5</t>
        </is>
      </c>
      <c r="D590" s="27" t="inlineStr">
        <is>
          <t>m</t>
        </is>
      </c>
      <c r="E590" s="50" t="n">
        <v>301</v>
      </c>
      <c r="F590" s="50" t="n">
        <v>301</v>
      </c>
      <c r="G590" s="27" t="inlineStr">
        <is>
          <t>fire+%30</t>
        </is>
      </c>
      <c r="H590" s="50">
        <f>F590/IF(Varsayimlar!$B$21=1,1.43,1)</f>
        <v/>
      </c>
      <c r="I590" s="51" t="n">
        <v>1.8</v>
      </c>
      <c r="J590" s="28">
        <f>H590*I590</f>
        <v/>
      </c>
      <c r="K590" s="52" t="inlineStr">
        <is>
          <t>GEÇMİŞ TEKLİF UYARLAMA</t>
        </is>
      </c>
      <c r="L590" s="7" t="inlineStr">
        <is>
          <t>REF-derin – İzmir Narlıdere M. Uskom 2018 FE180 2x1,5 (M+İ) 1,68; Pendik-Kaynarca M. YM 2022 LIHCHRH FE180 2x1,5 1,42 (M)+%35 montaj→1,92 → medyan 1,80 [Emsal ID: R01755;R02959]</t>
        </is>
      </c>
      <c r="M590" s="7" t="inlineStr">
        <is>
          <t>FE180 2x1,5 | İlk tahmin BF 2.40</t>
        </is>
      </c>
    </row>
    <row r="591" outlineLevel="1">
      <c r="A591" s="27" t="n"/>
      <c r="B591" s="27" t="inlineStr">
        <is>
          <t>5004.E</t>
        </is>
      </c>
      <c r="C591" s="7" t="inlineStr">
        <is>
          <t>HF spiral boru / kroşe / harici HDPE koruma</t>
        </is>
      </c>
      <c r="D591" s="27" t="inlineStr">
        <is>
          <t>m</t>
        </is>
      </c>
      <c r="E591" s="50" t="n">
        <v>687</v>
      </c>
      <c r="F591" s="50" t="n">
        <v>687</v>
      </c>
      <c r="G591" s="27" t="inlineStr">
        <is>
          <t>fire+%30</t>
        </is>
      </c>
      <c r="H591" s="50">
        <f>F591/IF(Varsayimlar!$B$21=1,1.43,1)</f>
        <v/>
      </c>
      <c r="I591" s="51" t="n">
        <v>1.97</v>
      </c>
      <c r="J591" s="28">
        <f>H591*I591</f>
        <v/>
      </c>
      <c r="K591" s="52" t="inlineStr">
        <is>
          <t>GEÇMİŞ TEKLİF UYARLAMA</t>
        </is>
      </c>
      <c r="L591" s="7" t="inlineStr">
        <is>
          <t>REF-derin – Kabataş-Mahmutbey M. Uskom 2015 3/4" spiral (M+İ) 1,50 +%15 HF→1,73; Kabataş-Mahmutbey M. Uskom 2015 3/4" spiral (M+İ) 1,93 +%15 HF→2,21 → medyan 1,97 [Emsal ID: R02661;R02746]</t>
        </is>
      </c>
      <c r="M591" s="7" t="inlineStr">
        <is>
          <t>Boru/kroşe | İlk tahmin BF 2.00</t>
        </is>
      </c>
    </row>
    <row r="592" outlineLevel="1">
      <c r="A592" s="27" t="n"/>
      <c r="B592" s="27" t="inlineStr">
        <is>
          <t>5004.E</t>
        </is>
      </c>
      <c r="C592" s="7" t="inlineStr">
        <is>
          <t>TCC/SCADA ağına bağlantı arayüzü (fiber/ethernet ara birim)</t>
        </is>
      </c>
      <c r="D592" s="27" t="inlineStr">
        <is>
          <t>adet</t>
        </is>
      </c>
      <c r="E592" s="50" t="n">
        <v>1</v>
      </c>
      <c r="F592" s="50" t="n">
        <v>1</v>
      </c>
      <c r="G592" s="27" t="inlineStr">
        <is>
          <t>-</t>
        </is>
      </c>
      <c r="H592" s="50">
        <f>F592</f>
        <v/>
      </c>
      <c r="I592" s="51" t="n">
        <v>800</v>
      </c>
      <c r="J592" s="28">
        <f>H592*I592</f>
        <v/>
      </c>
      <c r="K592" s="53" t="inlineStr">
        <is>
          <t>MÜHENDİSLİK TAHMİNİ</t>
        </is>
      </c>
      <c r="L592" s="7" t="inlineStr">
        <is>
          <t>TAHMIN (emsal yok) – Emsal yok (veride eşdeğer kalem yok)</t>
        </is>
      </c>
      <c r="M592" s="7" t="inlineStr">
        <is>
          <t>Ara birim</t>
        </is>
      </c>
    </row>
    <row r="593" outlineLevel="1">
      <c r="A593" s="27" t="n"/>
      <c r="B593" s="27" t="inlineStr">
        <is>
          <t>5004.E</t>
        </is>
      </c>
      <c r="C593" s="7" t="inlineStr">
        <is>
          <t>Programlama, sebep-sonuç senaryosu, test ve devreye alma</t>
        </is>
      </c>
      <c r="D593" s="27" t="inlineStr">
        <is>
          <t>set</t>
        </is>
      </c>
      <c r="E593" s="50" t="n">
        <v>1</v>
      </c>
      <c r="F593" s="50" t="n">
        <v>1</v>
      </c>
      <c r="G593" s="27" t="inlineStr">
        <is>
          <t>-</t>
        </is>
      </c>
      <c r="H593" s="50">
        <f>F593</f>
        <v/>
      </c>
      <c r="I593" s="51" t="n">
        <v>1000</v>
      </c>
      <c r="J593" s="28">
        <f>H593*I593</f>
        <v/>
      </c>
      <c r="K593" s="53" t="inlineStr">
        <is>
          <t>MÜHENDİSLİK TAHMİNİ</t>
        </is>
      </c>
      <c r="L593" s="7" t="inlineStr">
        <is>
          <t>TAHMIN (emsal yok) – Emsal yok (veride eşdeğer kalem yok)</t>
        </is>
      </c>
      <c r="M593" s="7" t="inlineStr">
        <is>
          <t>Programlama/test</t>
        </is>
      </c>
    </row>
    <row r="594">
      <c r="A594" s="48" t="inlineStr">
        <is>
          <t>339</t>
        </is>
      </c>
      <c r="B594" s="48" t="inlineStr">
        <is>
          <t>5004.F</t>
        </is>
      </c>
      <c r="C594" s="48" t="inlineStr">
        <is>
          <t>Harran İstasyonu Yangın İhbar ve Kontrol Sistemi (1 set)</t>
        </is>
      </c>
      <c r="D594" s="48" t="n"/>
      <c r="E594" s="48" t="n"/>
      <c r="F594" s="48" t="n"/>
      <c r="G594" s="48" t="n"/>
      <c r="H594" s="48" t="inlineStr">
        <is>
          <t>RFQ tutarı →</t>
        </is>
      </c>
      <c r="I594" s="49">
        <f>SUMPRODUCT(E595:E607,I595:I607)</f>
        <v/>
      </c>
      <c r="J594" s="49">
        <f>SUM(J595:J607)</f>
        <v/>
      </c>
      <c r="K594" s="48" t="n"/>
      <c r="L594" s="48" t="n"/>
      <c r="M594" s="48" t="n"/>
    </row>
    <row r="595" outlineLevel="1">
      <c r="A595" s="27" t="n"/>
      <c r="B595" s="27" t="inlineStr">
        <is>
          <t>5004.F</t>
        </is>
      </c>
      <c r="C595" s="7" t="inlineStr">
        <is>
          <t>Adresli yangın alarm paneli 1-2 loop (akülü 24V) + network kartı</t>
        </is>
      </c>
      <c r="D595" s="27" t="inlineStr">
        <is>
          <t>adet</t>
        </is>
      </c>
      <c r="E595" s="50" t="n">
        <v>1</v>
      </c>
      <c r="F595" s="50" t="n">
        <v>1</v>
      </c>
      <c r="G595" s="27" t="inlineStr">
        <is>
          <t>-</t>
        </is>
      </c>
      <c r="H595" s="50">
        <f>F595</f>
        <v/>
      </c>
      <c r="I595" s="51" t="n">
        <v>2083.07</v>
      </c>
      <c r="J595" s="28">
        <f>H595*I595</f>
        <v/>
      </c>
      <c r="K595" s="52" t="inlineStr">
        <is>
          <t>GEÇMİŞ TEKLİF UYARLAMA</t>
        </is>
      </c>
      <c r="L595"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595" s="7" t="inlineStr">
        <is>
          <t>Panel 1-2 loop+network | İlk tahmin BF 4,200.00</t>
        </is>
      </c>
    </row>
    <row r="596" outlineLevel="1">
      <c r="A596" s="27" t="n"/>
      <c r="B596" s="27" t="inlineStr">
        <is>
          <t>5004.F</t>
        </is>
      </c>
      <c r="C596" s="7" t="inlineStr">
        <is>
          <t>Optik duman dedektörü (adresli)</t>
        </is>
      </c>
      <c r="D596" s="27" t="inlineStr">
        <is>
          <t>adet</t>
        </is>
      </c>
      <c r="E596" s="50" t="n">
        <v>4</v>
      </c>
      <c r="F596" s="50" t="n">
        <v>4</v>
      </c>
      <c r="G596" s="27" t="inlineStr">
        <is>
          <t>%30</t>
        </is>
      </c>
      <c r="H596" s="50">
        <f>F596/IF(Varsayimlar!$B$21=1,1.3,1)</f>
        <v/>
      </c>
      <c r="I596" s="51" t="n">
        <v>38.73</v>
      </c>
      <c r="J596" s="28">
        <f>H596*I596</f>
        <v/>
      </c>
      <c r="K596" s="52" t="inlineStr">
        <is>
          <t>GEÇMİŞ TEKLİF UYARLAMA</t>
        </is>
      </c>
      <c r="L596" s="7" t="inlineStr">
        <is>
          <t>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is>
      </c>
      <c r="M596" s="7" t="inlineStr">
        <is>
          <t>Referans fiyat | İlk tahmin BF 36.39</t>
        </is>
      </c>
    </row>
    <row r="597" outlineLevel="1">
      <c r="A597" s="27" t="n"/>
      <c r="B597" s="27" t="inlineStr">
        <is>
          <t>5004.F</t>
        </is>
      </c>
      <c r="C597" s="7" t="inlineStr">
        <is>
          <t>Isı dedektörü (adresli)</t>
        </is>
      </c>
      <c r="D597" s="27" t="inlineStr">
        <is>
          <t>adet</t>
        </is>
      </c>
      <c r="E597" s="50" t="n">
        <v>2</v>
      </c>
      <c r="F597" s="50" t="n">
        <v>2</v>
      </c>
      <c r="G597" s="27" t="inlineStr">
        <is>
          <t>%30</t>
        </is>
      </c>
      <c r="H597" s="50">
        <f>F597/IF(Varsayimlar!$B$21=1,1.3,1)</f>
        <v/>
      </c>
      <c r="I597" s="51" t="n">
        <v>35.89</v>
      </c>
      <c r="J597" s="28">
        <f>H597*I597</f>
        <v/>
      </c>
      <c r="K597" s="52" t="inlineStr">
        <is>
          <t>GEÇMİŞ TEKLİF UYARLAMA</t>
        </is>
      </c>
      <c r="L597" s="7" t="inlineStr">
        <is>
          <t>REF-derin – İzmir Buca M. NEV 2021 ısı sensörü 22,97 (M)+%30 montaj→29,86; İzmir Buca M. EEC 2021 SIGA-HRDI ısı 32,24 (M)+%30 montaj→41,92 → medyan 35,89 [Emsal ID: R00777;R00743]</t>
        </is>
      </c>
      <c r="M597" s="7" t="inlineStr">
        <is>
          <t>Ref düşük; montajlı adresli ısı ded. (ref 23) | İlk tahmin BF 38.00</t>
        </is>
      </c>
    </row>
    <row r="598" outlineLevel="1">
      <c r="A598" s="27" t="n"/>
      <c r="B598" s="27" t="inlineStr">
        <is>
          <t>5004.F</t>
        </is>
      </c>
      <c r="C598" s="7" t="inlineStr">
        <is>
          <t>Işın tipi duman dedektörü (alıcı-verici) – peron kanopisi altı</t>
        </is>
      </c>
      <c r="D598" s="27" t="inlineStr">
        <is>
          <t>çift</t>
        </is>
      </c>
      <c r="E598" s="50" t="n">
        <v>2</v>
      </c>
      <c r="F598" s="50" t="n">
        <v>2</v>
      </c>
      <c r="G598" s="27" t="inlineStr">
        <is>
          <t>-</t>
        </is>
      </c>
      <c r="H598" s="50">
        <f>F598</f>
        <v/>
      </c>
      <c r="I598" s="51" t="n">
        <v>814.66</v>
      </c>
      <c r="J598" s="28">
        <f>H598*I598</f>
        <v/>
      </c>
      <c r="K598" s="52" t="inlineStr">
        <is>
          <t>GEÇMİŞ TEKLİF UYARLAMA</t>
        </is>
      </c>
      <c r="L598" s="7" t="inlineStr">
        <is>
          <t>REF-derin – İzmir Buca M. EEC 2021 OSID alıcı+verici 569,42 (M)+%30 montaj→740,24; İzmir Buca M. NEV 2021 beam 8-100 m 294,04 (M)+%30 montaj→382,26; Bursa T2 Haluk 2015 Fireray reflektörlü (M+İ) 889,07; Kocaeli T. Sekaray 2015 Fireray 5-50 m 1.455,78 → medyan 814,66 [Emsal ID: R00745;R00782;R00927;R01082]</t>
        </is>
      </c>
      <c r="M598" s="7" t="inlineStr">
        <is>
          <t>Referans fiyat | İlk tahmin BF 569.42</t>
        </is>
      </c>
    </row>
    <row r="599" outlineLevel="1">
      <c r="A599" s="27" t="n"/>
      <c r="B599" s="27" t="inlineStr">
        <is>
          <t>5004.F</t>
        </is>
      </c>
      <c r="C599" s="7" t="inlineStr">
        <is>
          <t>Yangın ihbar butonu (adresli IP67 harici)</t>
        </is>
      </c>
      <c r="D599" s="27" t="inlineStr">
        <is>
          <t>adet</t>
        </is>
      </c>
      <c r="E599" s="50" t="n">
        <v>6</v>
      </c>
      <c r="F599" s="50" t="n">
        <v>6</v>
      </c>
      <c r="G599" s="27" t="inlineStr">
        <is>
          <t>-</t>
        </is>
      </c>
      <c r="H599" s="50">
        <f>F599</f>
        <v/>
      </c>
      <c r="I599" s="51" t="n">
        <v>64.58</v>
      </c>
      <c r="J599" s="28">
        <f>H599*I599</f>
        <v/>
      </c>
      <c r="K599" s="52" t="inlineStr">
        <is>
          <t>GEÇMİŞ TEKLİF UYARLAMA</t>
        </is>
      </c>
      <c r="L599" s="7" t="inlineStr">
        <is>
          <t>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is>
      </c>
      <c r="M599" s="7" t="inlineStr">
        <is>
          <t>Adresli buton IP67 | İlk tahmin BF 65.00</t>
        </is>
      </c>
    </row>
    <row r="600" outlineLevel="1">
      <c r="A600" s="27" t="n"/>
      <c r="B600" s="27" t="inlineStr">
        <is>
          <t>5004.F</t>
        </is>
      </c>
      <c r="C600" s="7" t="inlineStr">
        <is>
          <t>Flaşörlü siren (adresli harici IP65)</t>
        </is>
      </c>
      <c r="D600" s="27" t="inlineStr">
        <is>
          <t>adet</t>
        </is>
      </c>
      <c r="E600" s="50" t="n">
        <v>3</v>
      </c>
      <c r="F600" s="50" t="n">
        <v>3</v>
      </c>
      <c r="G600" s="27" t="inlineStr">
        <is>
          <t>-</t>
        </is>
      </c>
      <c r="H600" s="50">
        <f>F600</f>
        <v/>
      </c>
      <c r="I600" s="51" t="n">
        <v>62.39</v>
      </c>
      <c r="J600" s="28">
        <f>H600*I600</f>
        <v/>
      </c>
      <c r="K600" s="52" t="inlineStr">
        <is>
          <t>GEÇMİŞ TEKLİF UYARLAMA</t>
        </is>
      </c>
      <c r="L600" s="7" t="inlineStr">
        <is>
          <t>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is>
      </c>
      <c r="M600" s="7" t="inlineStr">
        <is>
          <t>Ref düşük; harici IP65 adresli siren (ref 31) | İlk tahmin BF 60.00</t>
        </is>
      </c>
    </row>
    <row r="601" outlineLevel="1">
      <c r="A601" s="27" t="n"/>
      <c r="B601" s="27" t="inlineStr">
        <is>
          <t>5004.F</t>
        </is>
      </c>
      <c r="C601" s="7" t="inlineStr">
        <is>
          <t>Giriş-çıkış modülü IOM</t>
        </is>
      </c>
      <c r="D601" s="27" t="inlineStr">
        <is>
          <t>adet</t>
        </is>
      </c>
      <c r="E601" s="50" t="n">
        <v>2</v>
      </c>
      <c r="F601" s="50" t="n">
        <v>2</v>
      </c>
      <c r="G601" s="27" t="inlineStr">
        <is>
          <t>-</t>
        </is>
      </c>
      <c r="H601" s="50">
        <f>F601</f>
        <v/>
      </c>
      <c r="I601" s="51" t="n">
        <v>68.42</v>
      </c>
      <c r="J601" s="28">
        <f>H601*I601</f>
        <v/>
      </c>
      <c r="K601" s="52" t="inlineStr">
        <is>
          <t>GEÇMİŞ TEKLİF UYARLAMA</t>
        </is>
      </c>
      <c r="L601" s="7" t="inlineStr">
        <is>
          <t>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is>
      </c>
      <c r="M601" s="7" t="inlineStr">
        <is>
          <t>Ref düşük; montajlı adresli I/O (ref 39) | İlk tahmin BF 60.00</t>
        </is>
      </c>
    </row>
    <row r="602" outlineLevel="1">
      <c r="A602" s="27" t="n"/>
      <c r="B602" s="27" t="inlineStr">
        <is>
          <t>5004.F</t>
        </is>
      </c>
      <c r="C602" s="7" t="inlineStr">
        <is>
          <t>İzolatör modülü</t>
        </is>
      </c>
      <c r="D602" s="27" t="inlineStr">
        <is>
          <t>adet</t>
        </is>
      </c>
      <c r="E602" s="50" t="n">
        <v>2</v>
      </c>
      <c r="F602" s="50" t="n">
        <v>2</v>
      </c>
      <c r="G602" s="27" t="inlineStr">
        <is>
          <t>-</t>
        </is>
      </c>
      <c r="H602" s="50">
        <f>F602</f>
        <v/>
      </c>
      <c r="I602" s="51" t="n">
        <v>35</v>
      </c>
      <c r="J602" s="28">
        <f>H602*I602</f>
        <v/>
      </c>
      <c r="K602" s="53" t="inlineStr">
        <is>
          <t>MÜHENDİSLİK TAHMİNİ</t>
        </is>
      </c>
      <c r="L602" s="7" t="inlineStr">
        <is>
          <t>TAHMIN (emsal yok) – Emsal yok (veride eşdeğer kalem yok)</t>
        </is>
      </c>
      <c r="M602" s="7" t="inlineStr">
        <is>
          <t>İzolatör</t>
        </is>
      </c>
    </row>
    <row r="603" outlineLevel="1">
      <c r="A603" s="27" t="n"/>
      <c r="B603" s="27" t="inlineStr">
        <is>
          <t>5004.F</t>
        </is>
      </c>
      <c r="C603" s="7" t="inlineStr">
        <is>
          <t>Yangına dayanıklı çevrim kablosu JE-H(St)H FE180 2x2x0,8</t>
        </is>
      </c>
      <c r="D603" s="27" t="inlineStr">
        <is>
          <t>m</t>
        </is>
      </c>
      <c r="E603" s="50" t="n">
        <v>258</v>
      </c>
      <c r="F603" s="50" t="n">
        <v>258</v>
      </c>
      <c r="G603" s="27" t="inlineStr">
        <is>
          <t>fire+%30</t>
        </is>
      </c>
      <c r="H603" s="50">
        <f>F603/IF(Varsayimlar!$B$21=1,1.43,1)</f>
        <v/>
      </c>
      <c r="I603" s="51" t="n">
        <v>2.22</v>
      </c>
      <c r="J603" s="28">
        <f>H603*I603</f>
        <v/>
      </c>
      <c r="K603" s="52" t="inlineStr">
        <is>
          <t>GEÇMİŞ TEKLİF UYARLAMA</t>
        </is>
      </c>
      <c r="L603" s="7" t="inlineStr">
        <is>
          <t>REF-derin – Pendik-Kaynarca M. YM 2022 HBAPH FE180 2x2x0,6 1,93 (M)+%35 montaj→2,61; İzmir Narlıdere M. Uskom 2018 FE180 2x2x0,6 (M+İ) 1,86; Kabataş-Mahmutbey M. Uskom 2015 FE180 2x2x0,6 (M+İ) 1,65; SAGE bina YM 2018 JE-H(St)H FE180 1x2x1,5 (M+İ) 2,59 → medyan 2,22 [Emsal ID: R02948;R01664;R02657;R03096]</t>
        </is>
      </c>
      <c r="M603" s="7" t="inlineStr">
        <is>
          <t>FE180 2x2x0,8 | İlk tahmin BF 2.20</t>
        </is>
      </c>
    </row>
    <row r="604" outlineLevel="1">
      <c r="A604" s="27" t="n"/>
      <c r="B604" s="27" t="inlineStr">
        <is>
          <t>5004.F</t>
        </is>
      </c>
      <c r="C604" s="7" t="inlineStr">
        <is>
          <t>Siren ve ışın dedektörü 24V besleme N2XH FE180 2x1,5</t>
        </is>
      </c>
      <c r="D604" s="27" t="inlineStr">
        <is>
          <t>m</t>
        </is>
      </c>
      <c r="E604" s="50" t="n">
        <v>172</v>
      </c>
      <c r="F604" s="50" t="n">
        <v>172</v>
      </c>
      <c r="G604" s="27" t="inlineStr">
        <is>
          <t>fire+%30</t>
        </is>
      </c>
      <c r="H604" s="50">
        <f>F604/IF(Varsayimlar!$B$21=1,1.43,1)</f>
        <v/>
      </c>
      <c r="I604" s="51" t="n">
        <v>1.8</v>
      </c>
      <c r="J604" s="28">
        <f>H604*I604</f>
        <v/>
      </c>
      <c r="K604" s="52" t="inlineStr">
        <is>
          <t>GEÇMİŞ TEKLİF UYARLAMA</t>
        </is>
      </c>
      <c r="L604" s="7" t="inlineStr">
        <is>
          <t>REF-derin – İzmir Narlıdere M. Uskom 2018 FE180 2x1,5 (M+İ) 1,68; Pendik-Kaynarca M. YM 2022 LIHCHRH FE180 2x1,5 1,42 (M)+%35 montaj→1,92 → medyan 1,80 [Emsal ID: R01755;R02959]</t>
        </is>
      </c>
      <c r="M604" s="7" t="inlineStr">
        <is>
          <t>FE180 2x1,5 | İlk tahmin BF 2.40</t>
        </is>
      </c>
    </row>
    <row r="605" outlineLevel="1">
      <c r="A605" s="27" t="n"/>
      <c r="B605" s="27" t="inlineStr">
        <is>
          <t>5004.F</t>
        </is>
      </c>
      <c r="C605" s="7" t="inlineStr">
        <is>
          <t>HF spiral boru / kroşe / harici HDPE koruma</t>
        </is>
      </c>
      <c r="D605" s="27" t="inlineStr">
        <is>
          <t>m</t>
        </is>
      </c>
      <c r="E605" s="50" t="n">
        <v>258</v>
      </c>
      <c r="F605" s="50" t="n">
        <v>258</v>
      </c>
      <c r="G605" s="27" t="inlineStr">
        <is>
          <t>fire+%30</t>
        </is>
      </c>
      <c r="H605" s="50">
        <f>F605/IF(Varsayimlar!$B$21=1,1.43,1)</f>
        <v/>
      </c>
      <c r="I605" s="51" t="n">
        <v>1.97</v>
      </c>
      <c r="J605" s="28">
        <f>H605*I605</f>
        <v/>
      </c>
      <c r="K605" s="52" t="inlineStr">
        <is>
          <t>GEÇMİŞ TEKLİF UYARLAMA</t>
        </is>
      </c>
      <c r="L605" s="7" t="inlineStr">
        <is>
          <t>REF-derin – Kabataş-Mahmutbey M. Uskom 2015 3/4" spiral (M+İ) 1,50 +%15 HF→1,73; Kabataş-Mahmutbey M. Uskom 2015 3/4" spiral (M+İ) 1,93 +%15 HF→2,21 → medyan 1,97 [Emsal ID: R02661;R02746]</t>
        </is>
      </c>
      <c r="M605" s="7" t="inlineStr">
        <is>
          <t>Boru/kroşe | İlk tahmin BF 2.00</t>
        </is>
      </c>
    </row>
    <row r="606" outlineLevel="1">
      <c r="A606" s="27" t="n"/>
      <c r="B606" s="27" t="inlineStr">
        <is>
          <t>5004.F</t>
        </is>
      </c>
      <c r="C606" s="7" t="inlineStr">
        <is>
          <t>TCC/SCADA ağına bağlantı arayüzü (fiber/ethernet ara birim)</t>
        </is>
      </c>
      <c r="D606" s="27" t="inlineStr">
        <is>
          <t>adet</t>
        </is>
      </c>
      <c r="E606" s="50" t="n">
        <v>1</v>
      </c>
      <c r="F606" s="50" t="n">
        <v>1</v>
      </c>
      <c r="G606" s="27" t="inlineStr">
        <is>
          <t>-</t>
        </is>
      </c>
      <c r="H606" s="50">
        <f>F606</f>
        <v/>
      </c>
      <c r="I606" s="51" t="n">
        <v>800</v>
      </c>
      <c r="J606" s="28">
        <f>H606*I606</f>
        <v/>
      </c>
      <c r="K606" s="53" t="inlineStr">
        <is>
          <t>MÜHENDİSLİK TAHMİNİ</t>
        </is>
      </c>
      <c r="L606" s="7" t="inlineStr">
        <is>
          <t>TAHMIN (emsal yok) – Emsal yok (veride eşdeğer kalem yok)</t>
        </is>
      </c>
      <c r="M606" s="7" t="inlineStr">
        <is>
          <t>Ara birim</t>
        </is>
      </c>
    </row>
    <row r="607" outlineLevel="1">
      <c r="A607" s="27" t="n"/>
      <c r="B607" s="27" t="inlineStr">
        <is>
          <t>5004.F</t>
        </is>
      </c>
      <c r="C607" s="7" t="inlineStr">
        <is>
          <t>Programlama, sebep-sonuç senaryosu, test ve devreye alma</t>
        </is>
      </c>
      <c r="D607" s="27" t="inlineStr">
        <is>
          <t>set</t>
        </is>
      </c>
      <c r="E607" s="50" t="n">
        <v>1</v>
      </c>
      <c r="F607" s="50" t="n">
        <v>1</v>
      </c>
      <c r="G607" s="27" t="inlineStr">
        <is>
          <t>-</t>
        </is>
      </c>
      <c r="H607" s="50">
        <f>F607</f>
        <v/>
      </c>
      <c r="I607" s="51" t="n">
        <v>800</v>
      </c>
      <c r="J607" s="28">
        <f>H607*I607</f>
        <v/>
      </c>
      <c r="K607" s="53" t="inlineStr">
        <is>
          <t>MÜHENDİSLİK TAHMİNİ</t>
        </is>
      </c>
      <c r="L607" s="7" t="inlineStr">
        <is>
          <t>TAHMIN (emsal yok) – Emsal yok (veride eşdeğer kalem yok)</t>
        </is>
      </c>
      <c r="M607" s="7" t="inlineStr">
        <is>
          <t>Programlama/test</t>
        </is>
      </c>
    </row>
    <row r="608">
      <c r="A608" s="48" t="inlineStr">
        <is>
          <t>340</t>
        </is>
      </c>
      <c r="B608" s="48" t="inlineStr">
        <is>
          <t>5004.G</t>
        </is>
      </c>
      <c r="C608" s="48" t="inlineStr">
        <is>
          <t>Depo Sahası ve Tesisleri Yangın İhbar ve Kontrol Sistemi (1 set)</t>
        </is>
      </c>
      <c r="D608" s="48" t="n"/>
      <c r="E608" s="48" t="n"/>
      <c r="F608" s="48" t="n"/>
      <c r="G608" s="48" t="n"/>
      <c r="H608" s="48" t="inlineStr">
        <is>
          <t>RFQ tutarı →</t>
        </is>
      </c>
      <c r="I608" s="49">
        <f>SUMPRODUCT(E609:E653,I609:I653)</f>
        <v/>
      </c>
      <c r="J608" s="49">
        <f>SUM(J609:J653)</f>
        <v/>
      </c>
      <c r="K608" s="48" t="n"/>
      <c r="L608" s="48" t="n"/>
      <c r="M608" s="48" t="n"/>
    </row>
    <row r="609" outlineLevel="1">
      <c r="A609" s="27" t="n"/>
      <c r="B609" s="27" t="inlineStr">
        <is>
          <t>5004.G</t>
        </is>
      </c>
      <c r="C609" s="7" t="inlineStr">
        <is>
          <t>D01 – Ana yangın alarm santrali MFAP analog adresli 5 çevrimli (network, yazıcı, akü 2x12V 24Ah, 24V PSU)</t>
        </is>
      </c>
      <c r="D609" s="27" t="inlineStr">
        <is>
          <t>adet</t>
        </is>
      </c>
      <c r="E609" s="50" t="n">
        <v>1</v>
      </c>
      <c r="F609" s="50" t="n">
        <v>1</v>
      </c>
      <c r="G609" s="27" t="inlineStr">
        <is>
          <t>-</t>
        </is>
      </c>
      <c r="H609" s="50">
        <f>F609</f>
        <v/>
      </c>
      <c r="I609" s="51" t="n">
        <v>4975</v>
      </c>
      <c r="J609" s="28">
        <f>H609*I609</f>
        <v/>
      </c>
      <c r="K609" s="52" t="inlineStr">
        <is>
          <t>GEÇMİŞ TEKLİF UYARLAMA</t>
        </is>
      </c>
      <c r="L609" s="7" t="inlineStr">
        <is>
          <t>REF-derin – MFAP: Buca EEC 2021 EST3 4 loop network 3.580 €, Bursa T2 Haluk 2015 4 loop 2.816 €, Kocaeli Sekaray 2015 128 bölge 3.380 € → medyan 3.380 + 5. loop/yazıcı ~600 → +%25 montaj → 4.975 € (mevcut 12.000 çok yüksek) [Emsal ID: R00739;R00926;R01077]</t>
        </is>
      </c>
      <c r="M609" s="7" t="inlineStr">
        <is>
          <t>MFAP 5 loop | İlk tahmin BF 12,000.00</t>
        </is>
      </c>
    </row>
    <row r="610" outlineLevel="1">
      <c r="A610" s="27" t="n"/>
      <c r="B610" s="27" t="inlineStr">
        <is>
          <t>5004.G</t>
        </is>
      </c>
      <c r="C610" s="7" t="inlineStr">
        <is>
          <t>D01 – Kontrol odası tekrarlayıcı/PC + yazıcı (MFAP arayüzü)</t>
        </is>
      </c>
      <c r="D610" s="27" t="inlineStr">
        <is>
          <t>takım</t>
        </is>
      </c>
      <c r="E610" s="50" t="n">
        <v>1</v>
      </c>
      <c r="F610" s="50" t="n">
        <v>1</v>
      </c>
      <c r="G610" s="27" t="inlineStr">
        <is>
          <t>-</t>
        </is>
      </c>
      <c r="H610" s="50">
        <f>F610</f>
        <v/>
      </c>
      <c r="I610" s="51" t="n">
        <v>3268.03</v>
      </c>
      <c r="J610" s="28">
        <f>H610*I610</f>
        <v/>
      </c>
      <c r="K610" s="52" t="inlineStr">
        <is>
          <t>GEÇMİŞ TEKLİF UYARLAMA</t>
        </is>
      </c>
      <c r="L610" s="7" t="inlineStr">
        <is>
          <t>REF-derin – Bursa T2 Haluk 2015 tekrarlayıcı (M+İ) 1.071,21; Bursa T2 MET 2015 tekrarlayıcı (M+İ) 947,35; İzmir Buca M. NEV 2021 Vigilon repeat 1.009,13 (M)+%20 montaj→1.210,96; İzmir Buca M. EEC 2021 LCDANN repeater 1.008,94 (M)+%20 montaj→1.210,73 → medyan 1.140,97 + workstation R00786 1.772,55 (M) +%20 → 2.127,06 = 3.268,03 [Emsal ID: R00907;R00976;R00785;R00740;R00786]</t>
        </is>
      </c>
      <c r="M610" s="7" t="inlineStr">
        <is>
          <t>Tekrarlayıcı/PC | İlk tahmin BF 3,000.00</t>
        </is>
      </c>
    </row>
    <row r="611" outlineLevel="1">
      <c r="A611" s="27" t="n"/>
      <c r="B611" s="27" t="inlineStr">
        <is>
          <t>5004.G</t>
        </is>
      </c>
      <c r="C611" s="7" t="inlineStr">
        <is>
          <t>D01 – Analog adresli optik duman dedektörü</t>
        </is>
      </c>
      <c r="D611" s="27" t="inlineStr">
        <is>
          <t>adet</t>
        </is>
      </c>
      <c r="E611" s="50" t="n">
        <v>56</v>
      </c>
      <c r="F611" s="50" t="n">
        <v>56</v>
      </c>
      <c r="G611" s="27" t="inlineStr">
        <is>
          <t>%30</t>
        </is>
      </c>
      <c r="H611" s="50">
        <f>F611/IF(Varsayimlar!$B$21=1,1.3,1)</f>
        <v/>
      </c>
      <c r="I611" s="51" t="n">
        <v>38.73</v>
      </c>
      <c r="J611" s="28">
        <f>H611*I611</f>
        <v/>
      </c>
      <c r="K611" s="52" t="inlineStr">
        <is>
          <t>GEÇMİŞ TEKLİF UYARLAMA</t>
        </is>
      </c>
      <c r="L611" s="7" t="inlineStr">
        <is>
          <t>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is>
      </c>
      <c r="M611" s="7" t="inlineStr">
        <is>
          <t>Optik ded. | İlk tahmin BF 38.00</t>
        </is>
      </c>
    </row>
    <row r="612" outlineLevel="1">
      <c r="A612" s="27" t="n"/>
      <c r="B612" s="27" t="inlineStr">
        <is>
          <t>5004.G</t>
        </is>
      </c>
      <c r="C612" s="7" t="inlineStr">
        <is>
          <t>D01 – Analog adresli optik duman dedektörü – asma tavan (uzak ikaz lambalı)</t>
        </is>
      </c>
      <c r="D612" s="27" t="inlineStr">
        <is>
          <t>adet</t>
        </is>
      </c>
      <c r="E612" s="50" t="n">
        <v>47</v>
      </c>
      <c r="F612" s="50" t="n">
        <v>47</v>
      </c>
      <c r="G612" s="27" t="inlineStr">
        <is>
          <t>%30</t>
        </is>
      </c>
      <c r="H612" s="50">
        <f>F612/IF(Varsayimlar!$B$21=1,1.3,1)</f>
        <v/>
      </c>
      <c r="I612" s="51" t="n">
        <v>53.73</v>
      </c>
      <c r="J612" s="28">
        <f>H612*I612</f>
        <v/>
      </c>
      <c r="K612" s="52" t="inlineStr">
        <is>
          <t>GEÇMİŞ TEKLİF UYARLAMA</t>
        </is>
      </c>
      <c r="L612" s="7" t="inlineStr">
        <is>
          <t>REF-derin – Kocaeli T. Sekaray 2015 adresli optik 36,39; Bursa T2 Haluk 2015 adresli optik (M+İ) 38,73; Bursa T2 MET 2015 adresli optik (M+İ) 39,83; İzmir Buca M. EEC 2021 SIGA-PDI optik 36,95 (M)+%30 montaj→48,04; İzmir Buca M. NEV 2021 S-Quad optik 26,33 (M)+%30 montaj→34,23 → medyan 38,73 + 15 uzak ikaz lambası (tahmin) = 53,73 [Emsal ID: R01078;R00908;R00977;R00741;R00776]</t>
        </is>
      </c>
      <c r="M612" s="7" t="inlineStr">
        <is>
          <t>Ded.+uzak ikaz | İlk tahmin BF 55.00</t>
        </is>
      </c>
    </row>
    <row r="613" outlineLevel="1">
      <c r="A613" s="27" t="n"/>
      <c r="B613" s="27" t="inlineStr">
        <is>
          <t>5004.G</t>
        </is>
      </c>
      <c r="C613" s="7" t="inlineStr">
        <is>
          <t>D01 – Analog adresli kombine (optik+ısı) dedektör</t>
        </is>
      </c>
      <c r="D613" s="27" t="inlineStr">
        <is>
          <t>adet</t>
        </is>
      </c>
      <c r="E613" s="50" t="n">
        <v>13</v>
      </c>
      <c r="F613" s="50" t="n">
        <v>13</v>
      </c>
      <c r="G613" s="27" t="inlineStr">
        <is>
          <t>%30</t>
        </is>
      </c>
      <c r="H613" s="50">
        <f>F613/IF(Varsayimlar!$B$21=1,1.3,1)</f>
        <v/>
      </c>
      <c r="I613" s="51" t="n">
        <v>52.79</v>
      </c>
      <c r="J613" s="28">
        <f>H613*I613</f>
        <v/>
      </c>
      <c r="K613" s="52" t="inlineStr">
        <is>
          <t>GEÇMİŞ TEKLİF UYARLAMA</t>
        </is>
      </c>
      <c r="L613" s="7" t="inlineStr">
        <is>
          <t>REF-derin – Bursa T2 Haluk 2015 kombine optik-ısı (M+İ) 52,89; Bursa T2 MET 2015 kombine (M+İ) 60,25; İzmir Buca M. EEC 2021 SIGA-PHDI kombine 40,53 (M)+%30 montaj→52,69; İzmir Buca M. NEV 2021 OH multi sensör 29,02 (M)+%30 montaj→37,73 → medyan 52,79 [Emsal ID: R00909;R00978;R00742;R00778]</t>
        </is>
      </c>
      <c r="M613" s="7" t="inlineStr">
        <is>
          <t>Kombine ded. | İlk tahmin BF 55.00</t>
        </is>
      </c>
    </row>
    <row r="614" outlineLevel="1">
      <c r="A614" s="27" t="n"/>
      <c r="B614" s="27" t="inlineStr">
        <is>
          <t>5004.G</t>
        </is>
      </c>
      <c r="C614" s="7" t="inlineStr">
        <is>
          <t>D01 – Adresli sıcaklık dedektörü (sabit+artış)</t>
        </is>
      </c>
      <c r="D614" s="27" t="inlineStr">
        <is>
          <t>adet</t>
        </is>
      </c>
      <c r="E614" s="50" t="n">
        <v>4</v>
      </c>
      <c r="F614" s="50" t="n">
        <v>4</v>
      </c>
      <c r="G614" s="27" t="inlineStr">
        <is>
          <t>%30</t>
        </is>
      </c>
      <c r="H614" s="50">
        <f>F614/IF(Varsayimlar!$B$21=1,1.3,1)</f>
        <v/>
      </c>
      <c r="I614" s="51" t="n">
        <v>35.89</v>
      </c>
      <c r="J614" s="28">
        <f>H614*I614</f>
        <v/>
      </c>
      <c r="K614" s="52" t="inlineStr">
        <is>
          <t>GEÇMİŞ TEKLİF UYARLAMA</t>
        </is>
      </c>
      <c r="L614" s="7" t="inlineStr">
        <is>
          <t>REF-derin – İzmir Buca M. NEV 2021 ısı sensörü 22,97 (M)+%30 montaj→29,86; İzmir Buca M. EEC 2021 SIGA-HRDI ısı 32,24 (M)+%30 montaj→41,92 → medyan 35,89 [Emsal ID: R00777;R00743]</t>
        </is>
      </c>
      <c r="M614" s="7" t="inlineStr">
        <is>
          <t>Isı ded. | İlk tahmin BF 38.00</t>
        </is>
      </c>
    </row>
    <row r="615" outlineLevel="1">
      <c r="A615" s="27" t="n"/>
      <c r="B615" s="27" t="inlineStr">
        <is>
          <t>5004.G</t>
        </is>
      </c>
      <c r="C615" s="7" t="inlineStr">
        <is>
          <t>D01 – Gaz dedektörü (220V AC beslemeli)</t>
        </is>
      </c>
      <c r="D615" s="27" t="inlineStr">
        <is>
          <t>adet</t>
        </is>
      </c>
      <c r="E615" s="50" t="n">
        <v>4</v>
      </c>
      <c r="F615" s="50" t="n">
        <v>4</v>
      </c>
      <c r="G615" s="27" t="inlineStr">
        <is>
          <t>%30</t>
        </is>
      </c>
      <c r="H615" s="50">
        <f>F615/IF(Varsayimlar!$B$21=1,1.3,1)</f>
        <v/>
      </c>
      <c r="I615" s="51" t="n">
        <v>250</v>
      </c>
      <c r="J615" s="28">
        <f>H615*I615</f>
        <v/>
      </c>
      <c r="K615" s="53" t="inlineStr">
        <is>
          <t>MÜHENDİSLİK TAHMİNİ</t>
        </is>
      </c>
      <c r="L615" s="7" t="inlineStr">
        <is>
          <t>TAHMIN (emsal yok) – Emsal yok (veride eşdeğer kalem yok)</t>
        </is>
      </c>
      <c r="M615" s="7" t="inlineStr">
        <is>
          <t>Gaz ded.</t>
        </is>
      </c>
    </row>
    <row r="616" outlineLevel="1">
      <c r="A616" s="27" t="n"/>
      <c r="B616" s="27" t="inlineStr">
        <is>
          <t>5004.G</t>
        </is>
      </c>
      <c r="C616" s="7" t="inlineStr">
        <is>
          <t>D01 – Işın tipi duman dedektörü (alıcı+verici, 24V DC)</t>
        </is>
      </c>
      <c r="D616" s="27" t="inlineStr">
        <is>
          <t>çift</t>
        </is>
      </c>
      <c r="E616" s="50" t="n">
        <v>7</v>
      </c>
      <c r="F616" s="50" t="n">
        <v>7</v>
      </c>
      <c r="G616" s="27" t="inlineStr">
        <is>
          <t>-</t>
        </is>
      </c>
      <c r="H616" s="50">
        <f>F616</f>
        <v/>
      </c>
      <c r="I616" s="51" t="n">
        <v>814.66</v>
      </c>
      <c r="J616" s="28">
        <f>H616*I616</f>
        <v/>
      </c>
      <c r="K616" s="52" t="inlineStr">
        <is>
          <t>GEÇMİŞ TEKLİF UYARLAMA</t>
        </is>
      </c>
      <c r="L616" s="7" t="inlineStr">
        <is>
          <t>REF-derin – İzmir Buca M. EEC 2021 OSID alıcı+verici 569,42 (M)+%30 montaj→740,24; İzmir Buca M. NEV 2021 beam 8-100 m 294,04 (M)+%30 montaj→382,26; Bursa T2 Haluk 2015 Fireray reflektörlü (M+İ) 889,07; Kocaeli T. Sekaray 2015 Fireray 5-50 m 1.455,78 → medyan 814,66 [Emsal ID: R00745;R00782;R00927;R01082]</t>
        </is>
      </c>
      <c r="M616" s="7" t="inlineStr">
        <is>
          <t>Işın ded. çift | İlk tahmin BF 600.00</t>
        </is>
      </c>
    </row>
    <row r="617" outlineLevel="1">
      <c r="A617" s="27" t="n"/>
      <c r="B617" s="27" t="inlineStr">
        <is>
          <t>5004.G</t>
        </is>
      </c>
      <c r="C617" s="7" t="inlineStr">
        <is>
          <t>D01 – Lineer ısı dedektörü LHD + kontrol kutusu (elektrik şaftı)</t>
        </is>
      </c>
      <c r="D617" s="27" t="inlineStr">
        <is>
          <t>takım</t>
        </is>
      </c>
      <c r="E617" s="50" t="n">
        <v>2</v>
      </c>
      <c r="F617" s="50" t="n">
        <v>2</v>
      </c>
      <c r="G617" s="27" t="inlineStr">
        <is>
          <t>%30</t>
        </is>
      </c>
      <c r="H617" s="50">
        <f>F617/IF(Varsayimlar!$B$21=1,1.3,1)</f>
        <v/>
      </c>
      <c r="I617" s="51" t="n">
        <v>1500</v>
      </c>
      <c r="J617" s="28">
        <f>H617*I617</f>
        <v/>
      </c>
      <c r="K617" s="53" t="inlineStr">
        <is>
          <t>MÜHENDİSLİK TAHMİNİ</t>
        </is>
      </c>
      <c r="L617" s="7" t="inlineStr">
        <is>
          <t>TAHMIN (emsal yok) – Emsal yok (veride eşdeğer kalem yok)</t>
        </is>
      </c>
      <c r="M617" s="7" t="inlineStr">
        <is>
          <t>LHD+kontrol</t>
        </is>
      </c>
    </row>
    <row r="618" outlineLevel="1">
      <c r="A618" s="27" t="n"/>
      <c r="B618" s="27" t="inlineStr">
        <is>
          <t>5004.G</t>
        </is>
      </c>
      <c r="C618" s="7" t="inlineStr">
        <is>
          <t>D01 – Adresli yangın alarm butonu</t>
        </is>
      </c>
      <c r="D618" s="27" t="inlineStr">
        <is>
          <t>adet</t>
        </is>
      </c>
      <c r="E618" s="50" t="n">
        <v>29</v>
      </c>
      <c r="F618" s="50" t="n">
        <v>29</v>
      </c>
      <c r="G618" s="27" t="inlineStr">
        <is>
          <t>-</t>
        </is>
      </c>
      <c r="H618" s="50">
        <f>F618</f>
        <v/>
      </c>
      <c r="I618" s="51" t="n">
        <v>44.41</v>
      </c>
      <c r="J618" s="28">
        <f>H618*I618</f>
        <v/>
      </c>
      <c r="K618" s="52" t="inlineStr">
        <is>
          <t>GEÇMİŞ TEKLİF UYARLAMA</t>
        </is>
      </c>
      <c r="L618" s="7" t="inlineStr">
        <is>
          <t>REF-derin – Bursa T2 Haluk 2015 adresli buton (M+İ) 38,25; Bursa T2 MET 2015 adresli buton (M+İ) 42,68; İzmir Buca M. NEV 2021 Vigilon buton 35,48 (M)+%30 montaj→46,13; Kocaeli T. Sekaray 2015 cam kırma buton 119,58 → medyan 44,41 [Emsal ID: R00910;R00979;R00780;R01080]</t>
        </is>
      </c>
      <c r="M618" s="7" t="inlineStr">
        <is>
          <t>Buton | İlk tahmin BF 38.00</t>
        </is>
      </c>
    </row>
    <row r="619" outlineLevel="1">
      <c r="A619" s="27" t="n"/>
      <c r="B619" s="27" t="inlineStr">
        <is>
          <t>5004.G</t>
        </is>
      </c>
      <c r="C619" s="7" t="inlineStr">
        <is>
          <t>D01 – Korna modülü SCM</t>
        </is>
      </c>
      <c r="D619" s="27" t="inlineStr">
        <is>
          <t>adet</t>
        </is>
      </c>
      <c r="E619" s="50" t="n">
        <v>13</v>
      </c>
      <c r="F619" s="50" t="n">
        <v>13</v>
      </c>
      <c r="G619" s="27" t="inlineStr">
        <is>
          <t>-</t>
        </is>
      </c>
      <c r="H619" s="50">
        <f>F619</f>
        <v/>
      </c>
      <c r="I619" s="51" t="n">
        <v>60</v>
      </c>
      <c r="J619" s="28">
        <f>H619*I619</f>
        <v/>
      </c>
      <c r="K619" s="53" t="inlineStr">
        <is>
          <t>MÜHENDİSLİK TAHMİNİ</t>
        </is>
      </c>
      <c r="L619" s="7" t="inlineStr">
        <is>
          <t>TAHMIN (emsal yok) – Emsal yok (veride eşdeğer kalem yok)</t>
        </is>
      </c>
      <c r="M619" s="7" t="inlineStr">
        <is>
          <t>SCM</t>
        </is>
      </c>
    </row>
    <row r="620" outlineLevel="1">
      <c r="A620" s="27" t="n"/>
      <c r="B620" s="27" t="inlineStr">
        <is>
          <t>5004.G</t>
        </is>
      </c>
      <c r="C620" s="7" t="inlineStr">
        <is>
          <t>D01 – Flaşörlü siren (SCM çıkışlı konvansiyonel)</t>
        </is>
      </c>
      <c r="D620" s="27" t="inlineStr">
        <is>
          <t>adet</t>
        </is>
      </c>
      <c r="E620" s="50" t="n">
        <v>34</v>
      </c>
      <c r="F620" s="50" t="n">
        <v>34</v>
      </c>
      <c r="G620" s="27" t="inlineStr">
        <is>
          <t>-</t>
        </is>
      </c>
      <c r="H620" s="50">
        <f>F620</f>
        <v/>
      </c>
      <c r="I620" s="51" t="n">
        <v>48.74</v>
      </c>
      <c r="J620" s="28">
        <f>H620*I620</f>
        <v/>
      </c>
      <c r="K620" s="52" t="inlineStr">
        <is>
          <t>GEÇMİŞ TEKLİF UYARLAMA</t>
        </is>
      </c>
      <c r="L620" s="7" t="inlineStr">
        <is>
          <t>REF-derin – İzmir Buca M. EEC 2021 konv. flaşörlü siren IP65 31,32 (M)+%30 montaj→40,72; Bursa T2 Haluk 2015 harici flaşörlü siren (M+İ) 56,76 → medyan 48,74 [Emsal ID: R00749;R00911]</t>
        </is>
      </c>
      <c r="M620" s="7" t="inlineStr">
        <is>
          <t>Siren | İlk tahmin BF 50.00</t>
        </is>
      </c>
    </row>
    <row r="621" outlineLevel="1">
      <c r="A621" s="27" t="n"/>
      <c r="B621" s="27" t="inlineStr">
        <is>
          <t>5004.G</t>
        </is>
      </c>
      <c r="C621" s="7" t="inlineStr">
        <is>
          <t>D01 – Adresli giriş/çıkış modülü I/OM</t>
        </is>
      </c>
      <c r="D621" s="27" t="inlineStr">
        <is>
          <t>adet</t>
        </is>
      </c>
      <c r="E621" s="50" t="n">
        <v>30</v>
      </c>
      <c r="F621" s="50" t="n">
        <v>30</v>
      </c>
      <c r="G621" s="27" t="inlineStr">
        <is>
          <t>-</t>
        </is>
      </c>
      <c r="H621" s="50">
        <f>F621</f>
        <v/>
      </c>
      <c r="I621" s="51" t="n">
        <v>68.42</v>
      </c>
      <c r="J621" s="28">
        <f>H621*I621</f>
        <v/>
      </c>
      <c r="K621" s="52" t="inlineStr">
        <is>
          <t>GEÇMİŞ TEKLİF UYARLAMA</t>
        </is>
      </c>
      <c r="L621" s="7" t="inlineStr">
        <is>
          <t>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is>
      </c>
      <c r="M621" s="7" t="inlineStr">
        <is>
          <t>I/O modül | İlk tahmin BF 60.00</t>
        </is>
      </c>
    </row>
    <row r="622" outlineLevel="1">
      <c r="A622" s="27" t="n"/>
      <c r="B622" s="27" t="inlineStr">
        <is>
          <t>5004.G</t>
        </is>
      </c>
      <c r="C622" s="7" t="inlineStr">
        <is>
          <t>D01 – Röle kontrol modülü RKM</t>
        </is>
      </c>
      <c r="D622" s="27" t="inlineStr">
        <is>
          <t>adet</t>
        </is>
      </c>
      <c r="E622" s="50" t="n">
        <v>10</v>
      </c>
      <c r="F622" s="50" t="n">
        <v>10</v>
      </c>
      <c r="G622" s="27" t="inlineStr">
        <is>
          <t>-</t>
        </is>
      </c>
      <c r="H622" s="50">
        <f>F622</f>
        <v/>
      </c>
      <c r="I622" s="51" t="n">
        <v>80.33</v>
      </c>
      <c r="J622" s="28">
        <f>H622*I622</f>
        <v/>
      </c>
      <c r="K622" s="52" t="inlineStr">
        <is>
          <t>GEÇMİŞ TEKLİF UYARLAMA</t>
        </is>
      </c>
      <c r="L622" s="7" t="inlineStr">
        <is>
          <t>REF-derin – İzmir Buca M. EEC 2021 SIGA-CRI röle 31,01 (M)+%30 montaj→40,32; Bursa T2 Haluk 2015 röle modülü (M+İ) 80,64; Bursa T2 MET 2015 röle modülü (M+İ) 80,33 → medyan 80,33 [Emsal ID: R00747;R00912;R00981]</t>
        </is>
      </c>
      <c r="M622" s="7" t="inlineStr">
        <is>
          <t>Röle modül | İlk tahmin BF 60.00</t>
        </is>
      </c>
    </row>
    <row r="623" outlineLevel="1">
      <c r="A623" s="27" t="n"/>
      <c r="B623" s="27" t="inlineStr">
        <is>
          <t>5004.G</t>
        </is>
      </c>
      <c r="C623" s="7" t="inlineStr">
        <is>
          <t>D01 – İzolatör modülü</t>
        </is>
      </c>
      <c r="D623" s="27" t="inlineStr">
        <is>
          <t>adet</t>
        </is>
      </c>
      <c r="E623" s="50" t="n">
        <v>12</v>
      </c>
      <c r="F623" s="50" t="n">
        <v>12</v>
      </c>
      <c r="G623" s="27" t="inlineStr">
        <is>
          <t>-</t>
        </is>
      </c>
      <c r="H623" s="50">
        <f>F623</f>
        <v/>
      </c>
      <c r="I623" s="51" t="n">
        <v>35</v>
      </c>
      <c r="J623" s="28">
        <f>H623*I623</f>
        <v/>
      </c>
      <c r="K623" s="53" t="inlineStr">
        <is>
          <t>MÜHENDİSLİK TAHMİNİ</t>
        </is>
      </c>
      <c r="L623" s="7" t="inlineStr">
        <is>
          <t>TAHMIN (emsal yok) – Emsal yok (veride eşdeğer kalem yok)</t>
        </is>
      </c>
      <c r="M623" s="7" t="inlineStr">
        <is>
          <t>İzolatör</t>
        </is>
      </c>
    </row>
    <row r="624" outlineLevel="1">
      <c r="A624" s="27" t="n"/>
      <c r="B624" s="27" t="inlineStr">
        <is>
          <t>5004.G</t>
        </is>
      </c>
      <c r="C624" s="7" t="inlineStr">
        <is>
          <t>D01 – Yangın algılama çevrim kablosu JE-H(St)H 1x2x0,8+0,8 halojensiz (FE180)</t>
        </is>
      </c>
      <c r="D624" s="27" t="inlineStr">
        <is>
          <t>m</t>
        </is>
      </c>
      <c r="E624" s="50" t="n">
        <v>1715</v>
      </c>
      <c r="F624" s="50" t="n">
        <v>1715</v>
      </c>
      <c r="G624" s="27" t="inlineStr">
        <is>
          <t>fire+%30</t>
        </is>
      </c>
      <c r="H624" s="50">
        <f>F624/IF(Varsayimlar!$B$21=1,1.43,1)</f>
        <v/>
      </c>
      <c r="I624" s="51" t="n">
        <v>2.43</v>
      </c>
      <c r="J624" s="28">
        <f>H624*I624</f>
        <v/>
      </c>
      <c r="K624" s="52" t="inlineStr">
        <is>
          <t>GEÇMİŞ TEKLİF UYARLAMA</t>
        </is>
      </c>
      <c r="L624" s="7" t="inlineStr">
        <is>
          <t>REF-derin – Pendik-Kaynarca M. YM 2022 HBAPH FE180 1x2x0,6 1,80 (M)+%35 montaj→2,43; SAGE bina YM 2018 JE-H(St)H FE180 1x2x1,5 (M+İ) 2,59; Başkentray Desat 2012 1x2x0,8+0,8 HF (M+İ) 1,92 → medyan 2,43 [Emsal ID: R02947;R03096;R00532]</t>
        </is>
      </c>
      <c r="M624" s="7" t="inlineStr">
        <is>
          <t>FE180 çevrim | İlk tahmin BF 2.00</t>
        </is>
      </c>
    </row>
    <row r="625" outlineLevel="1">
      <c r="A625" s="27" t="n"/>
      <c r="B625" s="27" t="inlineStr">
        <is>
          <t>5004.G</t>
        </is>
      </c>
      <c r="C625" s="7" t="inlineStr">
        <is>
          <t>D01 – Korna/flaşör hattı kablosu 1x2x0,8+0,8 (FE180)</t>
        </is>
      </c>
      <c r="D625" s="27" t="inlineStr">
        <is>
          <t>m</t>
        </is>
      </c>
      <c r="E625" s="50" t="n">
        <v>558</v>
      </c>
      <c r="F625" s="50" t="n">
        <v>558</v>
      </c>
      <c r="G625" s="27" t="inlineStr">
        <is>
          <t>fire+%30</t>
        </is>
      </c>
      <c r="H625" s="50">
        <f>F625/IF(Varsayimlar!$B$21=1,1.43,1)</f>
        <v/>
      </c>
      <c r="I625" s="51" t="n">
        <v>2.43</v>
      </c>
      <c r="J625" s="28">
        <f>H625*I625</f>
        <v/>
      </c>
      <c r="K625" s="52" t="inlineStr">
        <is>
          <t>GEÇMİŞ TEKLİF UYARLAMA</t>
        </is>
      </c>
      <c r="L625" s="7" t="inlineStr">
        <is>
          <t>REF-derin – Pendik-Kaynarca M. YM 2022 HBAPH FE180 1x2x0,6 1,80 (M)+%35 montaj→2,43; SAGE bina YM 2018 JE-H(St)H FE180 1x2x1,5 (M+İ) 2,59; Başkentray Desat 2012 1x2x0,8+0,8 HF (M+İ) 1,92 → medyan 2,43 [Emsal ID: R02947;R03096;R00532]</t>
        </is>
      </c>
      <c r="M625" s="7" t="inlineStr">
        <is>
          <t>FE180 | İlk tahmin BF 2.00</t>
        </is>
      </c>
    </row>
    <row r="626" outlineLevel="1">
      <c r="A626" s="27" t="n"/>
      <c r="B626" s="27" t="inlineStr">
        <is>
          <t>5004.G</t>
        </is>
      </c>
      <c r="C626" s="7" t="inlineStr">
        <is>
          <t>D01 – 24V DC besleme N2XH FE180 2x1,5 / 3x1,5 (SCM ışın dedektörleri)</t>
        </is>
      </c>
      <c r="D626" s="27" t="inlineStr">
        <is>
          <t>m</t>
        </is>
      </c>
      <c r="E626" s="50" t="n">
        <v>587</v>
      </c>
      <c r="F626" s="50" t="n">
        <v>587</v>
      </c>
      <c r="G626" s="27" t="inlineStr">
        <is>
          <t>fire+%30</t>
        </is>
      </c>
      <c r="H626" s="50">
        <f>F626/IF(Varsayimlar!$B$21=1,1.43,1)</f>
        <v/>
      </c>
      <c r="I626" s="51" t="n">
        <v>2.16</v>
      </c>
      <c r="J626" s="28">
        <f>H626*I626</f>
        <v/>
      </c>
      <c r="K626" s="52" t="inlineStr">
        <is>
          <t>GEÇMİŞ TEKLİF UYARLAMA</t>
        </is>
      </c>
      <c r="L626" s="7" t="inlineStr">
        <is>
          <t>REF-derin – Karışık kalem (2x1,5/3x1,5 eşit pay): FE2x1.5=1,80 + FE3x1.5=2,52 → 2,16. Emsaller: FE2x1.5 [R01755;R02959] 1,80 | FE3x1.5 [R01755;R02959] 2,52 [Emsal ID: R01755;R02959]</t>
        </is>
      </c>
      <c r="M626" s="7" t="inlineStr">
        <is>
          <t>FE180 2x1,5/3x1,5 | İlk tahmin BF 2.30</t>
        </is>
      </c>
    </row>
    <row r="627" outlineLevel="1">
      <c r="A627" s="27" t="n"/>
      <c r="B627" s="27" t="inlineStr">
        <is>
          <t>5004.G</t>
        </is>
      </c>
      <c r="C627" s="7" t="inlineStr">
        <is>
          <t>D01 – 220V AC besleme N2XH FE180 2x1,5 (gaz dedektörleri)</t>
        </is>
      </c>
      <c r="D627" s="27" t="inlineStr">
        <is>
          <t>m</t>
        </is>
      </c>
      <c r="E627" s="50" t="n">
        <v>108</v>
      </c>
      <c r="F627" s="50" t="n">
        <v>108</v>
      </c>
      <c r="G627" s="27" t="inlineStr">
        <is>
          <t>fire+%30</t>
        </is>
      </c>
      <c r="H627" s="50">
        <f>F627/IF(Varsayimlar!$B$21=1,1.43,1)</f>
        <v/>
      </c>
      <c r="I627" s="51" t="n">
        <v>1.8</v>
      </c>
      <c r="J627" s="28">
        <f>H627*I627</f>
        <v/>
      </c>
      <c r="K627" s="52" t="inlineStr">
        <is>
          <t>GEÇMİŞ TEKLİF UYARLAMA</t>
        </is>
      </c>
      <c r="L627" s="7" t="inlineStr">
        <is>
          <t>REF-derin – İzmir Narlıdere M. Uskom 2018 FE180 2x1,5 (M+İ) 1,68; Pendik-Kaynarca M. YM 2022 LIHCHRH FE180 2x1,5 1,42 (M)+%35 montaj→1,92 → medyan 1,80 [Emsal ID: R01755;R02959]</t>
        </is>
      </c>
      <c r="M627" s="7" t="inlineStr">
        <is>
          <t>FE180 2x1,5 | İlk tahmin BF 2.30</t>
        </is>
      </c>
    </row>
    <row r="628" outlineLevel="1">
      <c r="A628" s="27" t="n"/>
      <c r="B628" s="27" t="inlineStr">
        <is>
          <t>5004.G</t>
        </is>
      </c>
      <c r="C628" s="7" t="inlineStr">
        <is>
          <t>D01 – Haberleşme kablosu J-SIH(St)H FE180 2x1,5+0,8 (MFAP→D02 D03 D06 panelleri)</t>
        </is>
      </c>
      <c r="D628" s="27" t="inlineStr">
        <is>
          <t>m</t>
        </is>
      </c>
      <c r="E628" s="50" t="n">
        <v>756</v>
      </c>
      <c r="F628" s="50" t="n">
        <v>756</v>
      </c>
      <c r="G628" s="27" t="inlineStr">
        <is>
          <t>fire+%30</t>
        </is>
      </c>
      <c r="H628" s="50">
        <f>F628/IF(Varsayimlar!$B$21=1,1.43,1)</f>
        <v/>
      </c>
      <c r="I628" s="51" t="n">
        <v>2.79</v>
      </c>
      <c r="J628" s="28">
        <f>H628*I628</f>
        <v/>
      </c>
      <c r="K628" s="52" t="inlineStr">
        <is>
          <t>GEÇMİŞ TEKLİF UYARLAMA</t>
        </is>
      </c>
      <c r="L628" s="7" t="inlineStr">
        <is>
          <t>REF-derin(1) – SAGE bina YM 2018 JE-H(St)H FE180 1x2x1,5+0,8 (M+İ) 2,59 → emsal 2,59 ; tek emsal → mevcut 3,00 ile ort. = 2,79 [Emsal ID: R03096]</t>
        </is>
      </c>
      <c r="M628" s="7" t="inlineStr">
        <is>
          <t>J-SIH(St)H FE180 | İlk tahmin BF 3.00</t>
        </is>
      </c>
    </row>
    <row r="629" outlineLevel="1">
      <c r="A629" s="27" t="n"/>
      <c r="B629" s="27" t="inlineStr">
        <is>
          <t>5004.G</t>
        </is>
      </c>
      <c r="C629" s="7" t="inlineStr">
        <is>
          <t>D01 – HF spiral boru / kroşe (çevrim kablosu)</t>
        </is>
      </c>
      <c r="D629" s="27" t="inlineStr">
        <is>
          <t>m</t>
        </is>
      </c>
      <c r="E629" s="50" t="n">
        <v>1286</v>
      </c>
      <c r="F629" s="50" t="n">
        <v>1286</v>
      </c>
      <c r="G629" s="27" t="inlineStr">
        <is>
          <t>fire+%30</t>
        </is>
      </c>
      <c r="H629" s="50">
        <f>F629/IF(Varsayimlar!$B$21=1,1.43,1)</f>
        <v/>
      </c>
      <c r="I629" s="51" t="n">
        <v>1.97</v>
      </c>
      <c r="J629" s="28">
        <f>H629*I629</f>
        <v/>
      </c>
      <c r="K629" s="52" t="inlineStr">
        <is>
          <t>GEÇMİŞ TEKLİF UYARLAMA</t>
        </is>
      </c>
      <c r="L629" s="7" t="inlineStr">
        <is>
          <t>REF-derin – Kabataş-Mahmutbey M. Uskom 2015 3/4" spiral (M+İ) 1,50 +%15 HF→1,73; Kabataş-Mahmutbey M. Uskom 2015 3/4" spiral (M+İ) 1,93 +%15 HF→2,21 → medyan 1,97 [Emsal ID: R02661;R02746]</t>
        </is>
      </c>
      <c r="M629" s="7" t="inlineStr">
        <is>
          <t>Boru/kroşe | İlk tahmin BF 2.00</t>
        </is>
      </c>
    </row>
    <row r="630" outlineLevel="1">
      <c r="A630" s="27" t="n"/>
      <c r="B630" s="27" t="inlineStr">
        <is>
          <t>5004.G</t>
        </is>
      </c>
      <c r="C630" s="7" t="inlineStr">
        <is>
          <t>D02 – Adresli yangın alarm paneli T09/FDS/YAP/001 (akülü)</t>
        </is>
      </c>
      <c r="D630" s="27" t="inlineStr">
        <is>
          <t>adet</t>
        </is>
      </c>
      <c r="E630" s="50" t="n">
        <v>1</v>
      </c>
      <c r="F630" s="50" t="n">
        <v>1</v>
      </c>
      <c r="G630" s="27" t="inlineStr">
        <is>
          <t>-</t>
        </is>
      </c>
      <c r="H630" s="50">
        <f>F630</f>
        <v/>
      </c>
      <c r="I630" s="51" t="n">
        <v>2083.07</v>
      </c>
      <c r="J630" s="28">
        <f>H630*I630</f>
        <v/>
      </c>
      <c r="K630" s="52" t="inlineStr">
        <is>
          <t>GEÇMİŞ TEKLİF UYARLAMA</t>
        </is>
      </c>
      <c r="L630"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630" s="7" t="inlineStr">
        <is>
          <t>Panel | İlk tahmin BF 3,500.00</t>
        </is>
      </c>
    </row>
    <row r="631" outlineLevel="1">
      <c r="A631" s="27" t="n"/>
      <c r="B631" s="27" t="inlineStr">
        <is>
          <t>5004.G</t>
        </is>
      </c>
      <c r="C631" s="7" t="inlineStr">
        <is>
          <t>D02 – Kombine/optik adresli dedektör</t>
        </is>
      </c>
      <c r="D631" s="27" t="inlineStr">
        <is>
          <t>adet</t>
        </is>
      </c>
      <c r="E631" s="50" t="n">
        <v>24</v>
      </c>
      <c r="F631" s="50" t="n">
        <v>24</v>
      </c>
      <c r="G631" s="27" t="inlineStr">
        <is>
          <t>%30</t>
        </is>
      </c>
      <c r="H631" s="50">
        <f>F631/IF(Varsayimlar!$B$21=1,1.3,1)</f>
        <v/>
      </c>
      <c r="I631" s="51" t="n">
        <v>45.76</v>
      </c>
      <c r="J631" s="28">
        <f>H631*I631</f>
        <v/>
      </c>
      <c r="K631" s="52" t="inlineStr">
        <is>
          <t>GEÇMİŞ TEKLİF UYARLAMA</t>
        </is>
      </c>
      <c r="L631" s="7" t="inlineStr">
        <is>
          <t>REF-derin – Karışık kalem (kombine/optik eşit pay): kombine=52,79 + optik=38,73 → 45,76. Emsaller: kombine [R00909;R00978;R00742;R00778] 52,79 | optik [R01078;R00908;R00977;R00741;R00776] 38,73 [Emsal ID: R00909;R00978;R00742;R00778;R01078;R00908;R00977;R00741;R00776]</t>
        </is>
      </c>
      <c r="M631" s="7" t="inlineStr">
        <is>
          <t>Ded. | İlk tahmin BF 50.00</t>
        </is>
      </c>
    </row>
    <row r="632" outlineLevel="1">
      <c r="A632" s="27" t="n"/>
      <c r="B632" s="27" t="inlineStr">
        <is>
          <t>5004.G</t>
        </is>
      </c>
      <c r="C632" s="7" t="inlineStr">
        <is>
          <t>D02 – Yangın alarm butonu IP67</t>
        </is>
      </c>
      <c r="D632" s="27" t="inlineStr">
        <is>
          <t>adet</t>
        </is>
      </c>
      <c r="E632" s="50" t="n">
        <v>3</v>
      </c>
      <c r="F632" s="50" t="n">
        <v>3</v>
      </c>
      <c r="G632" s="27" t="inlineStr">
        <is>
          <t>-</t>
        </is>
      </c>
      <c r="H632" s="50">
        <f>F632</f>
        <v/>
      </c>
      <c r="I632" s="51" t="n">
        <v>64.58</v>
      </c>
      <c r="J632" s="28">
        <f>H632*I632</f>
        <v/>
      </c>
      <c r="K632" s="52" t="inlineStr">
        <is>
          <t>GEÇMİŞ TEKLİF UYARLAMA</t>
        </is>
      </c>
      <c r="L632" s="7" t="inlineStr">
        <is>
          <t>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is>
      </c>
      <c r="M632" s="7" t="inlineStr">
        <is>
          <t>Buton IP67 | İlk tahmin BF 60.00</t>
        </is>
      </c>
    </row>
    <row r="633" outlineLevel="1">
      <c r="A633" s="27" t="n"/>
      <c r="B633" s="27" t="inlineStr">
        <is>
          <t>5004.G</t>
        </is>
      </c>
      <c r="C633" s="7" t="inlineStr">
        <is>
          <t>D02 – Flaşörlü elektronik siren 95 dBA</t>
        </is>
      </c>
      <c r="D633" s="27" t="inlineStr">
        <is>
          <t>adet</t>
        </is>
      </c>
      <c r="E633" s="50" t="n">
        <v>4</v>
      </c>
      <c r="F633" s="50" t="n">
        <v>4</v>
      </c>
      <c r="G633" s="27" t="inlineStr">
        <is>
          <t>-</t>
        </is>
      </c>
      <c r="H633" s="50">
        <f>F633</f>
        <v/>
      </c>
      <c r="I633" s="51" t="n">
        <v>62.39</v>
      </c>
      <c r="J633" s="28">
        <f>H633*I633</f>
        <v/>
      </c>
      <c r="K633" s="52" t="inlineStr">
        <is>
          <t>GEÇMİŞ TEKLİF UYARLAMA</t>
        </is>
      </c>
      <c r="L633" s="7" t="inlineStr">
        <is>
          <t>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is>
      </c>
      <c r="M633" s="7" t="inlineStr">
        <is>
          <t>Siren | İlk tahmin BF 60.00</t>
        </is>
      </c>
    </row>
    <row r="634" outlineLevel="1">
      <c r="A634" s="27" t="n"/>
      <c r="B634" s="27" t="inlineStr">
        <is>
          <t>5004.G</t>
        </is>
      </c>
      <c r="C634" s="7" t="inlineStr">
        <is>
          <t>D02 – İzolatör modülü</t>
        </is>
      </c>
      <c r="D634" s="27" t="inlineStr">
        <is>
          <t>adet</t>
        </is>
      </c>
      <c r="E634" s="50" t="n">
        <v>4</v>
      </c>
      <c r="F634" s="50" t="n">
        <v>4</v>
      </c>
      <c r="G634" s="27" t="inlineStr">
        <is>
          <t>-</t>
        </is>
      </c>
      <c r="H634" s="50">
        <f>F634</f>
        <v/>
      </c>
      <c r="I634" s="51" t="n">
        <v>35</v>
      </c>
      <c r="J634" s="28">
        <f>H634*I634</f>
        <v/>
      </c>
      <c r="K634" s="53" t="inlineStr">
        <is>
          <t>MÜHENDİSLİK TAHMİNİ</t>
        </is>
      </c>
      <c r="L634" s="7" t="inlineStr">
        <is>
          <t>TAHMIN (emsal yok) – Emsal yok (veride eşdeğer kalem yok)</t>
        </is>
      </c>
      <c r="M634" s="7" t="inlineStr">
        <is>
          <t>İzolatör</t>
        </is>
      </c>
    </row>
    <row r="635" outlineLevel="1">
      <c r="A635" s="27" t="n"/>
      <c r="B635" s="27" t="inlineStr">
        <is>
          <t>5004.G</t>
        </is>
      </c>
      <c r="C635" s="7" t="inlineStr">
        <is>
          <t>D02 – Çevrim kablosu JE-H(St)H 1x2x0,8 + korna hattı N2XH FE180 3x1,5</t>
        </is>
      </c>
      <c r="D635" s="27" t="inlineStr">
        <is>
          <t>m</t>
        </is>
      </c>
      <c r="E635" s="50" t="n">
        <v>252</v>
      </c>
      <c r="F635" s="50" t="n">
        <v>252</v>
      </c>
      <c r="G635" s="27" t="inlineStr">
        <is>
          <t>fire+%30</t>
        </is>
      </c>
      <c r="H635" s="50">
        <f>F635/IF(Varsayimlar!$B$21=1,1.43,1)</f>
        <v/>
      </c>
      <c r="I635" s="51" t="n">
        <v>2.48</v>
      </c>
      <c r="J635" s="28">
        <f>H635*I635</f>
        <v/>
      </c>
      <c r="K635" s="52" t="inlineStr">
        <is>
          <t>GEÇMİŞ TEKLİF UYARLAMA</t>
        </is>
      </c>
      <c r="L635" s="7" t="inlineStr">
        <is>
          <t>REF-derin – Karışık kalem (çevrim/korna hattı eşit pay): FA1x2x0.8=2,43 + FE3x1.5=2,52 → 2,48. Emsaller: FA1x2x0.8 [R02947;R03096;R00532] 2,43 | FE3x1.5 [R01755;R02959] 2,52 [Emsal ID: R02947;R03096;R00532;R01755;R02959]</t>
        </is>
      </c>
      <c r="M635" s="7" t="inlineStr">
        <is>
          <t>Kablo | İlk tahmin BF 2.30</t>
        </is>
      </c>
    </row>
    <row r="636" outlineLevel="1">
      <c r="A636" s="27" t="n"/>
      <c r="B636" s="27" t="inlineStr">
        <is>
          <t>5004.G</t>
        </is>
      </c>
      <c r="C636" s="7" t="inlineStr">
        <is>
          <t>D03 – Adresli yangın alarm paneli D03/YAP/01</t>
        </is>
      </c>
      <c r="D636" s="27" t="inlineStr">
        <is>
          <t>adet</t>
        </is>
      </c>
      <c r="E636" s="50" t="n">
        <v>1</v>
      </c>
      <c r="F636" s="50" t="n">
        <v>1</v>
      </c>
      <c r="G636" s="27" t="inlineStr">
        <is>
          <t>-</t>
        </is>
      </c>
      <c r="H636" s="50">
        <f>F636</f>
        <v/>
      </c>
      <c r="I636" s="51" t="n">
        <v>2083.07</v>
      </c>
      <c r="J636" s="28">
        <f>H636*I636</f>
        <v/>
      </c>
      <c r="K636" s="52" t="inlineStr">
        <is>
          <t>GEÇMİŞ TEKLİF UYARLAMA</t>
        </is>
      </c>
      <c r="L636"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636" s="7" t="inlineStr">
        <is>
          <t>Referans fiyat | İlk tahmin BF 3,379.49</t>
        </is>
      </c>
    </row>
    <row r="637" outlineLevel="1">
      <c r="A637" s="27" t="n"/>
      <c r="B637" s="27" t="inlineStr">
        <is>
          <t>5004.G</t>
        </is>
      </c>
      <c r="C637" s="7" t="inlineStr">
        <is>
          <t>D03 – Isı dedektörü (yıkama holü) + optik dedektör</t>
        </is>
      </c>
      <c r="D637" s="27" t="inlineStr">
        <is>
          <t>adet</t>
        </is>
      </c>
      <c r="E637" s="50" t="n">
        <v>4</v>
      </c>
      <c r="F637" s="50" t="n">
        <v>4</v>
      </c>
      <c r="G637" s="27" t="inlineStr">
        <is>
          <t>%30</t>
        </is>
      </c>
      <c r="H637" s="50">
        <f>F637/IF(Varsayimlar!$B$21=1,1.3,1)</f>
        <v/>
      </c>
      <c r="I637" s="51" t="n">
        <v>37.31</v>
      </c>
      <c r="J637" s="28">
        <f>H637*I637</f>
        <v/>
      </c>
      <c r="K637" s="52" t="inlineStr">
        <is>
          <t>GEÇMİŞ TEKLİF UYARLAMA</t>
        </is>
      </c>
      <c r="L637" s="7" t="inlineStr">
        <is>
          <t>REF-derin – Karışık kalem (ısı/optik eşit pay): isi=35,89 + optik=38,73 → 37,31. Emsaller: isi [R00777;R00743] 35,89 | optik [R01078;R00908;R00977;R00741;R00776] 38,73 [Emsal ID: R00777;R00743;R01078;R00908;R00977;R00741;R00776]</t>
        </is>
      </c>
      <c r="M637" s="7" t="inlineStr">
        <is>
          <t>Ded. ort. | İlk tahmin BF 40.00</t>
        </is>
      </c>
    </row>
    <row r="638" outlineLevel="1">
      <c r="A638" s="27" t="n"/>
      <c r="B638" s="27" t="inlineStr">
        <is>
          <t>5004.G</t>
        </is>
      </c>
      <c r="C638" s="7" t="inlineStr">
        <is>
          <t>D03 – Yangın alarm butonu + giriş/çıkış modülü</t>
        </is>
      </c>
      <c r="D638" s="27" t="inlineStr">
        <is>
          <t>adet</t>
        </is>
      </c>
      <c r="E638" s="50" t="n">
        <v>3</v>
      </c>
      <c r="F638" s="50" t="n">
        <v>3</v>
      </c>
      <c r="G638" s="27" t="inlineStr">
        <is>
          <t>-</t>
        </is>
      </c>
      <c r="H638" s="50">
        <f>F638</f>
        <v/>
      </c>
      <c r="I638" s="51" t="n">
        <v>56.41</v>
      </c>
      <c r="J638" s="28">
        <f>H638*I638</f>
        <v/>
      </c>
      <c r="K638" s="52" t="inlineStr">
        <is>
          <t>GEÇMİŞ TEKLİF UYARLAMA</t>
        </is>
      </c>
      <c r="L638" s="7" t="inlineStr">
        <is>
          <t>REF-derin – Karışık kalem (buton/IO eşit pay): buton=44,41 + IOM=68,42 → 56,41. Emsaller: buton [R00910;R00979;R00780;R01080] 44,41 | IOM [R00779;R00746;R00747;R00912;R00913;R00981;R00982] 68,42 [Emsal ID: R00910;R00979;R00780;R01080;R00779;R00746;R00747;R00912;R00913;R00981;R00982]</t>
        </is>
      </c>
      <c r="M638" s="7" t="inlineStr">
        <is>
          <t>Buton/IO ort. | İlk tahmin BF 50.00</t>
        </is>
      </c>
    </row>
    <row r="639" outlineLevel="1">
      <c r="A639" s="27" t="n"/>
      <c r="B639" s="27" t="inlineStr">
        <is>
          <t>5004.G</t>
        </is>
      </c>
      <c r="C639" s="7" t="inlineStr">
        <is>
          <t>D03 – Flaşörlü siren (D01 SKM2 K6/K7 çıkışlarından)</t>
        </is>
      </c>
      <c r="D639" s="27" t="inlineStr">
        <is>
          <t>adet</t>
        </is>
      </c>
      <c r="E639" s="50" t="n">
        <v>3</v>
      </c>
      <c r="F639" s="50" t="n">
        <v>3</v>
      </c>
      <c r="G639" s="27" t="inlineStr">
        <is>
          <t>-</t>
        </is>
      </c>
      <c r="H639" s="50">
        <f>F639</f>
        <v/>
      </c>
      <c r="I639" s="51" t="n">
        <v>48.74</v>
      </c>
      <c r="J639" s="28">
        <f>H639*I639</f>
        <v/>
      </c>
      <c r="K639" s="52" t="inlineStr">
        <is>
          <t>GEÇMİŞ TEKLİF UYARLAMA</t>
        </is>
      </c>
      <c r="L639" s="7" t="inlineStr">
        <is>
          <t>REF-derin – İzmir Buca M. EEC 2021 konv. flaşörlü siren IP65 31,32 (M)+%30 montaj→40,72; Bursa T2 Haluk 2015 harici flaşörlü siren (M+İ) 56,76 → medyan 48,74 [Emsal ID: R00749;R00911]</t>
        </is>
      </c>
      <c r="M639" s="7" t="inlineStr">
        <is>
          <t>Siren | İlk tahmin BF 55.00</t>
        </is>
      </c>
    </row>
    <row r="640" outlineLevel="1">
      <c r="A640" s="27" t="n"/>
      <c r="B640" s="27" t="inlineStr">
        <is>
          <t>5004.G</t>
        </is>
      </c>
      <c r="C640" s="7" t="inlineStr">
        <is>
          <t>D03 – Çevrim + siren kablosu</t>
        </is>
      </c>
      <c r="D640" s="27" t="inlineStr">
        <is>
          <t>m</t>
        </is>
      </c>
      <c r="E640" s="50" t="n">
        <v>212</v>
      </c>
      <c r="F640" s="50" t="n">
        <v>212</v>
      </c>
      <c r="G640" s="27" t="inlineStr">
        <is>
          <t>fire+%30</t>
        </is>
      </c>
      <c r="H640" s="50">
        <f>F640/IF(Varsayimlar!$B$21=1,1.43,1)</f>
        <v/>
      </c>
      <c r="I640" s="51" t="n">
        <v>2.12</v>
      </c>
      <c r="J640" s="28">
        <f>H640*I640</f>
        <v/>
      </c>
      <c r="K640" s="52" t="inlineStr">
        <is>
          <t>GEÇMİŞ TEKLİF UYARLAMA</t>
        </is>
      </c>
      <c r="L640" s="7" t="inlineStr">
        <is>
          <t>REF-derin – Karışık kalem (çevrim/siren hattı eşit pay): FA1x2x0.8=2,43 + FE2x1.5=1,80 → 2,12. Emsaller: FA1x2x0.8 [R02947;R03096;R00532] 2,43 | FE2x1.5 [R01755;R02959] 1,80 [Emsal ID: R02947;R03096;R00532;R01755;R02959]</t>
        </is>
      </c>
      <c r="M640" s="7" t="inlineStr">
        <is>
          <t>Kablo | İlk tahmin BF 2.20</t>
        </is>
      </c>
    </row>
    <row r="641" outlineLevel="1">
      <c r="A641" s="27" t="n"/>
      <c r="B641" s="27" t="inlineStr">
        <is>
          <t>5004.G</t>
        </is>
      </c>
      <c r="C641" s="7" t="inlineStr">
        <is>
          <t>D05 – Kombine (optik+ısı) adresli dedektör</t>
        </is>
      </c>
      <c r="D641" s="27" t="inlineStr">
        <is>
          <t>adet</t>
        </is>
      </c>
      <c r="E641" s="50" t="n">
        <v>11</v>
      </c>
      <c r="F641" s="50" t="n">
        <v>11</v>
      </c>
      <c r="G641" s="27" t="inlineStr">
        <is>
          <t>%30</t>
        </is>
      </c>
      <c r="H641" s="50">
        <f>F641/IF(Varsayimlar!$B$21=1,1.3,1)</f>
        <v/>
      </c>
      <c r="I641" s="51" t="n">
        <v>52.79</v>
      </c>
      <c r="J641" s="28">
        <f>H641*I641</f>
        <v/>
      </c>
      <c r="K641" s="52" t="inlineStr">
        <is>
          <t>GEÇMİŞ TEKLİF UYARLAMA</t>
        </is>
      </c>
      <c r="L641" s="7" t="inlineStr">
        <is>
          <t>REF-derin – Bursa T2 Haluk 2015 kombine optik-ısı (M+İ) 52,89; Bursa T2 MET 2015 kombine (M+İ) 60,25; İzmir Buca M. EEC 2021 SIGA-PHDI kombine 40,53 (M)+%30 montaj→52,69; İzmir Buca M. NEV 2021 OH multi sensör 29,02 (M)+%30 montaj→37,73 → medyan 52,79 [Emsal ID: R00909;R00978;R00742;R00778]</t>
        </is>
      </c>
      <c r="M641" s="7" t="inlineStr">
        <is>
          <t>Ded. | İlk tahmin BF 50.00</t>
        </is>
      </c>
    </row>
    <row r="642" outlineLevel="1">
      <c r="A642" s="27" t="n"/>
      <c r="B642" s="27" t="inlineStr">
        <is>
          <t>5004.G</t>
        </is>
      </c>
      <c r="C642" s="7" t="inlineStr">
        <is>
          <t>D05 – Optik duman dedektörü</t>
        </is>
      </c>
      <c r="D642" s="27" t="inlineStr">
        <is>
          <t>adet</t>
        </is>
      </c>
      <c r="E642" s="50" t="n">
        <v>8</v>
      </c>
      <c r="F642" s="50" t="n">
        <v>8</v>
      </c>
      <c r="G642" s="27" t="inlineStr">
        <is>
          <t>%30</t>
        </is>
      </c>
      <c r="H642" s="50">
        <f>F642/IF(Varsayimlar!$B$21=1,1.3,1)</f>
        <v/>
      </c>
      <c r="I642" s="51" t="n">
        <v>38.73</v>
      </c>
      <c r="J642" s="28">
        <f>H642*I642</f>
        <v/>
      </c>
      <c r="K642" s="52" t="inlineStr">
        <is>
          <t>GEÇMİŞ TEKLİF UYARLAMA</t>
        </is>
      </c>
      <c r="L642" s="7" t="inlineStr">
        <is>
          <t>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is>
      </c>
      <c r="M642" s="7" t="inlineStr">
        <is>
          <t>Ded. | İlk tahmin BF 38.00</t>
        </is>
      </c>
    </row>
    <row r="643" outlineLevel="1">
      <c r="A643" s="27" t="n"/>
      <c r="B643" s="27" t="inlineStr">
        <is>
          <t>5004.G</t>
        </is>
      </c>
      <c r="C643" s="7" t="inlineStr">
        <is>
          <t>D05 – Yangın alarm butonu</t>
        </is>
      </c>
      <c r="D643" s="27" t="inlineStr">
        <is>
          <t>adet</t>
        </is>
      </c>
      <c r="E643" s="50" t="n">
        <v>4</v>
      </c>
      <c r="F643" s="50" t="n">
        <v>4</v>
      </c>
      <c r="G643" s="27" t="inlineStr">
        <is>
          <t>-</t>
        </is>
      </c>
      <c r="H643" s="50">
        <f>F643</f>
        <v/>
      </c>
      <c r="I643" s="51" t="n">
        <v>44.41</v>
      </c>
      <c r="J643" s="28">
        <f>H643*I643</f>
        <v/>
      </c>
      <c r="K643" s="52" t="inlineStr">
        <is>
          <t>GEÇMİŞ TEKLİF UYARLAMA</t>
        </is>
      </c>
      <c r="L643" s="7" t="inlineStr">
        <is>
          <t>REF-derin – Bursa T2 Haluk 2015 adresli buton (M+İ) 38,25; Bursa T2 MET 2015 adresli buton (M+İ) 42,68; İzmir Buca M. NEV 2021 Vigilon buton 35,48 (M)+%30 montaj→46,13; Kocaeli T. Sekaray 2015 cam kırma buton 119,58 → medyan 44,41 [Emsal ID: R00910;R00979;R00780;R01080]</t>
        </is>
      </c>
      <c r="M643" s="7" t="inlineStr">
        <is>
          <t>Buton | İlk tahmin BF 38.00</t>
        </is>
      </c>
    </row>
    <row r="644" outlineLevel="1">
      <c r="A644" s="27" t="n"/>
      <c r="B644" s="27" t="inlineStr">
        <is>
          <t>5004.G</t>
        </is>
      </c>
      <c r="C644" s="7" t="inlineStr">
        <is>
          <t>D05 – Korna modülü SCM + flaşörlü siren</t>
        </is>
      </c>
      <c r="D644" s="27" t="inlineStr">
        <is>
          <t>adet</t>
        </is>
      </c>
      <c r="E644" s="50" t="n">
        <v>5</v>
      </c>
      <c r="F644" s="50" t="n">
        <v>5</v>
      </c>
      <c r="G644" s="27" t="inlineStr">
        <is>
          <t>-</t>
        </is>
      </c>
      <c r="H644" s="50">
        <f>F644</f>
        <v/>
      </c>
      <c r="I644" s="51" t="n">
        <v>99.37</v>
      </c>
      <c r="J644" s="28">
        <f>H644*I644</f>
        <v/>
      </c>
      <c r="K644" s="52" t="inlineStr">
        <is>
          <t>GEÇMİŞ TEKLİF UYARLAMA</t>
        </is>
      </c>
      <c r="L644" s="7" t="inlineStr">
        <is>
          <t>REF-derin(1) – Karışık kalem (SCM 60 (tahmin) + konv. siren REF toplamı): 60,00 (tahmin) + sirenK=48,74 → 108,74; dağılım belirsiz → mevcut 90,00 ile ort. = 99,37. Emsaller: sirenK: İzmir Buca M. EEC 2021 konv. flaşörlü siren IP65 31,32 (M)+%30 montaj→40,72; Bursa T2 Haluk 2015 harici flaşörlü siren (M+İ) 56,76 → medyan 48,74 [Emsal ID: R00749;R00911]</t>
        </is>
      </c>
      <c r="M644" s="7" t="inlineStr">
        <is>
          <t>SCM+siren | İlk tahmin BF 90.00</t>
        </is>
      </c>
    </row>
    <row r="645" outlineLevel="1">
      <c r="A645" s="27" t="n"/>
      <c r="B645" s="27" t="inlineStr">
        <is>
          <t>5004.G</t>
        </is>
      </c>
      <c r="C645" s="7" t="inlineStr">
        <is>
          <t>D05 – İzolatör</t>
        </is>
      </c>
      <c r="D645" s="27" t="inlineStr">
        <is>
          <t>adet</t>
        </is>
      </c>
      <c r="E645" s="50" t="n">
        <v>1</v>
      </c>
      <c r="F645" s="50" t="n">
        <v>1</v>
      </c>
      <c r="G645" s="27" t="inlineStr">
        <is>
          <t>-</t>
        </is>
      </c>
      <c r="H645" s="50">
        <f>F645</f>
        <v/>
      </c>
      <c r="I645" s="51" t="n">
        <v>35</v>
      </c>
      <c r="J645" s="28">
        <f>H645*I645</f>
        <v/>
      </c>
      <c r="K645" s="53" t="inlineStr">
        <is>
          <t>MÜHENDİSLİK TAHMİNİ</t>
        </is>
      </c>
      <c r="L645" s="7" t="inlineStr">
        <is>
          <t>TAHMIN (emsal yok) – Emsal yok (veride eşdeğer kalem yok)</t>
        </is>
      </c>
      <c r="M645" s="7" t="inlineStr">
        <is>
          <t>İzolatör</t>
        </is>
      </c>
    </row>
    <row r="646" outlineLevel="1">
      <c r="A646" s="27" t="n"/>
      <c r="B646" s="27" t="inlineStr">
        <is>
          <t>5004.G</t>
        </is>
      </c>
      <c r="C646" s="7" t="inlineStr">
        <is>
          <t>D05 – Çevrim kablosu (D01 MFAP çevrimine bağlı – ayrı panel yok) + siren/24V hatları</t>
        </is>
      </c>
      <c r="D646" s="27" t="inlineStr">
        <is>
          <t>m</t>
        </is>
      </c>
      <c r="E646" s="50" t="n">
        <v>1070</v>
      </c>
      <c r="F646" s="50" t="n">
        <v>1070</v>
      </c>
      <c r="G646" s="27" t="inlineStr">
        <is>
          <t>fire+%30</t>
        </is>
      </c>
      <c r="H646" s="50">
        <f>F646/IF(Varsayimlar!$B$21=1,1.43,1)</f>
        <v/>
      </c>
      <c r="I646" s="51" t="n">
        <v>2.12</v>
      </c>
      <c r="J646" s="28">
        <f>H646*I646</f>
        <v/>
      </c>
      <c r="K646" s="52" t="inlineStr">
        <is>
          <t>GEÇMİŞ TEKLİF UYARLAMA</t>
        </is>
      </c>
      <c r="L646" s="7" t="inlineStr">
        <is>
          <t>REF-derin – Karışık kalem (çevrim/siren hattı eşit pay): FA1x2x0.8=2,43 + FE2x1.5=1,80 → 2,12. Emsaller: FA1x2x0.8 [R02947;R03096;R00532] 2,43 | FE2x1.5 [R01755;R02959] 1,80 [Emsal ID: R02947;R03096;R00532;R01755;R02959]</t>
        </is>
      </c>
      <c r="M646" s="7" t="inlineStr">
        <is>
          <t>Kablo | İlk tahmin BF 2.20</t>
        </is>
      </c>
    </row>
    <row r="647" outlineLevel="1">
      <c r="A647" s="27" t="n"/>
      <c r="B647" s="27" t="inlineStr">
        <is>
          <t>5004.G</t>
        </is>
      </c>
      <c r="C647" s="7" t="inlineStr">
        <is>
          <t>D06 – Adresli yangın alarm paneli D06/YAP/02</t>
        </is>
      </c>
      <c r="D647" s="27" t="inlineStr">
        <is>
          <t>adet</t>
        </is>
      </c>
      <c r="E647" s="50" t="n">
        <v>1</v>
      </c>
      <c r="F647" s="50" t="n">
        <v>1</v>
      </c>
      <c r="G647" s="27" t="inlineStr">
        <is>
          <t>-</t>
        </is>
      </c>
      <c r="H647" s="50">
        <f>F647</f>
        <v/>
      </c>
      <c r="I647" s="51" t="n">
        <v>2083.07</v>
      </c>
      <c r="J647" s="28">
        <f>H647*I647</f>
        <v/>
      </c>
      <c r="K647" s="52" t="inlineStr">
        <is>
          <t>GEÇMİŞ TEKLİF UYARLAMA</t>
        </is>
      </c>
      <c r="L647" s="7" t="inlineStr">
        <is>
          <t>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is>
      </c>
      <c r="M647" s="7" t="inlineStr">
        <is>
          <t>Küçük panel | İlk tahmin BF 3,000.00</t>
        </is>
      </c>
    </row>
    <row r="648" outlineLevel="1">
      <c r="A648" s="27" t="n"/>
      <c r="B648" s="27" t="inlineStr">
        <is>
          <t>5004.G</t>
        </is>
      </c>
      <c r="C648" s="7" t="inlineStr">
        <is>
          <t>D06 – Isı dedektörü</t>
        </is>
      </c>
      <c r="D648" s="27" t="inlineStr">
        <is>
          <t>adet</t>
        </is>
      </c>
      <c r="E648" s="50" t="n">
        <v>6</v>
      </c>
      <c r="F648" s="50" t="n">
        <v>6</v>
      </c>
      <c r="G648" s="27" t="inlineStr">
        <is>
          <t>%30</t>
        </is>
      </c>
      <c r="H648" s="50">
        <f>F648/IF(Varsayimlar!$B$21=1,1.3,1)</f>
        <v/>
      </c>
      <c r="I648" s="51" t="n">
        <v>35.89</v>
      </c>
      <c r="J648" s="28">
        <f>H648*I648</f>
        <v/>
      </c>
      <c r="K648" s="52" t="inlineStr">
        <is>
          <t>GEÇMİŞ TEKLİF UYARLAMA</t>
        </is>
      </c>
      <c r="L648" s="7" t="inlineStr">
        <is>
          <t>REF-derin – İzmir Buca M. NEV 2021 ısı sensörü 22,97 (M)+%30 montaj→29,86; İzmir Buca M. EEC 2021 SIGA-HRDI ısı 32,24 (M)+%30 montaj→41,92 → medyan 35,89 [Emsal ID: R00777;R00743]</t>
        </is>
      </c>
      <c r="M648" s="7" t="inlineStr">
        <is>
          <t>Ded. | İlk tahmin BF 38.00</t>
        </is>
      </c>
    </row>
    <row r="649" outlineLevel="1">
      <c r="A649" s="27" t="n"/>
      <c r="B649" s="27" t="inlineStr">
        <is>
          <t>5004.G</t>
        </is>
      </c>
      <c r="C649" s="7" t="inlineStr">
        <is>
          <t>D06 – Buton + I/O modülü + korna modülü + siren</t>
        </is>
      </c>
      <c r="D649" s="27" t="inlineStr">
        <is>
          <t>adet</t>
        </is>
      </c>
      <c r="E649" s="50" t="n">
        <v>4</v>
      </c>
      <c r="F649" s="50" t="n">
        <v>4</v>
      </c>
      <c r="G649" s="27" t="inlineStr">
        <is>
          <t>-</t>
        </is>
      </c>
      <c r="H649" s="50">
        <f>F649</f>
        <v/>
      </c>
      <c r="I649" s="51" t="n">
        <v>58.8</v>
      </c>
      <c r="J649" s="28">
        <f>H649*I649</f>
        <v/>
      </c>
      <c r="K649" s="52" t="inlineStr">
        <is>
          <t>GEÇMİŞ TEKLİF UYARLAMA</t>
        </is>
      </c>
      <c r="L649" s="7" t="inlineStr">
        <is>
          <t>REF-derin – Karışık kalem (buton/IO/SCM(60 tahmin)/siren eşit pay): buton=44,41 + IOM=68,42 + 60,00 (tahmin) + sirenA=62,39 → 58,80. Emsaller: buton [R00910;R00979;R00780;R01080] 44,41 | IOM [R00779;R00746;R00747;R00912;R00913;R00981;R00982] 68,42 | sirenA [R00781;R00749;R00911;R00980;R01081] 62,39 [Emsal ID: R00910;R00979;R00780;R01080;R00779;R00746;R00747;R00912;R00913;R00981;R00982;R00781;R00749;R00911;R00980;R01081]</t>
        </is>
      </c>
      <c r="M649" s="7" t="inlineStr">
        <is>
          <t>Karışık modül ort. | İlk tahmin BF 70.00</t>
        </is>
      </c>
    </row>
    <row r="650" outlineLevel="1">
      <c r="A650" s="27" t="n"/>
      <c r="B650" s="27" t="inlineStr">
        <is>
          <t>5004.G</t>
        </is>
      </c>
      <c r="C650" s="7" t="inlineStr">
        <is>
          <t>D06 – Çevrim + siren kablosu</t>
        </is>
      </c>
      <c r="D650" s="27" t="inlineStr">
        <is>
          <t>m</t>
        </is>
      </c>
      <c r="E650" s="50" t="n">
        <v>72</v>
      </c>
      <c r="F650" s="50" t="n">
        <v>72</v>
      </c>
      <c r="G650" s="27" t="inlineStr">
        <is>
          <t>fire+%30</t>
        </is>
      </c>
      <c r="H650" s="50">
        <f>F650/IF(Varsayimlar!$B$21=1,1.43,1)</f>
        <v/>
      </c>
      <c r="I650" s="51" t="n">
        <v>2.12</v>
      </c>
      <c r="J650" s="28">
        <f>H650*I650</f>
        <v/>
      </c>
      <c r="K650" s="52" t="inlineStr">
        <is>
          <t>GEÇMİŞ TEKLİF UYARLAMA</t>
        </is>
      </c>
      <c r="L650" s="7" t="inlineStr">
        <is>
          <t>REF-derin – Karışık kalem (çevrim/siren hattı eşit pay): FA1x2x0.8=2,43 + FE2x1.5=1,80 → 2,12. Emsaller: FA1x2x0.8 [R02947;R03096;R00532] 2,43 | FE2x1.5 [R01755;R02959] 1,80 [Emsal ID: R02947;R03096;R00532;R01755;R02959]</t>
        </is>
      </c>
      <c r="M650" s="7" t="inlineStr">
        <is>
          <t>Kablo | İlk tahmin BF 2.20</t>
        </is>
      </c>
    </row>
    <row r="651" outlineLevel="1">
      <c r="A651" s="27" t="n"/>
      <c r="B651" s="27" t="inlineStr">
        <is>
          <t>5004.G</t>
        </is>
      </c>
      <c r="C651" s="7" t="inlineStr">
        <is>
          <t>D07 – Optik dedektör 2 + buton 1 + flaşörlü siren 1 + izolatör 1 (D01 MFAP çevrimine)</t>
        </is>
      </c>
      <c r="D651" s="27" t="inlineStr">
        <is>
          <t>adet</t>
        </is>
      </c>
      <c r="E651" s="50" t="n">
        <v>7</v>
      </c>
      <c r="F651" s="50" t="n">
        <v>7</v>
      </c>
      <c r="G651" s="27" t="inlineStr">
        <is>
          <t>%30</t>
        </is>
      </c>
      <c r="H651" s="50">
        <f>F651/IF(Varsayimlar!$B$21=1,1.3,1)</f>
        <v/>
      </c>
      <c r="I651" s="51" t="n">
        <v>43.85</v>
      </c>
      <c r="J651" s="28">
        <f>H651*I651</f>
        <v/>
      </c>
      <c r="K651" s="52" t="inlineStr">
        <is>
          <t>GEÇMİŞ TEKLİF UYARLAMA</t>
        </is>
      </c>
      <c r="L651" s="7" t="inlineStr">
        <is>
          <t>REF-derin – Karışık kalem (2 optik+1 buton+1 siren+1 izolatör(35 tahmin) ağırlıklı): optik=38,73 + buton=44,41 + sirenA=62,39 + 35,00 (tahmin) → 43,85. Emsaller: optik [R01078;R00908;R00977;R00741;R00776] 38,73 | buton [R00910;R00979;R00780;R01080] 44,41 | sirenA [R00781;R00749;R00911;R00980;R01081] 62,39 [Emsal ID: R01078;R00908;R00977;R00741;R00776;R00910;R00979;R00780;R01080;R00781;R00749;R00911;R00980;R01081]</t>
        </is>
      </c>
      <c r="M651" s="7" t="inlineStr">
        <is>
          <t>Karışık eleman ort. | İlk tahmin BF 42.00</t>
        </is>
      </c>
    </row>
    <row r="652" outlineLevel="1">
      <c r="A652" s="27" t="n"/>
      <c r="B652" s="27" t="inlineStr">
        <is>
          <t>5004.G</t>
        </is>
      </c>
      <c r="C652" s="7" t="inlineStr">
        <is>
          <t>D07 – Çevrim kablosu + HF boru</t>
        </is>
      </c>
      <c r="D652" s="27" t="inlineStr">
        <is>
          <t>m</t>
        </is>
      </c>
      <c r="E652" s="50" t="n">
        <v>421</v>
      </c>
      <c r="F652" s="50" t="n">
        <v>421</v>
      </c>
      <c r="G652" s="27" t="inlineStr">
        <is>
          <t>fire+%30</t>
        </is>
      </c>
      <c r="H652" s="50">
        <f>F652/IF(Varsayimlar!$B$21=1,1.43,1)</f>
        <v/>
      </c>
      <c r="I652" s="51" t="n">
        <v>4.41</v>
      </c>
      <c r="J652" s="28">
        <f>H652*I652</f>
        <v/>
      </c>
      <c r="K652" s="52" t="inlineStr">
        <is>
          <t>GEÇMİŞ TEKLİF UYARLAMA</t>
        </is>
      </c>
      <c r="L652" s="7" t="inlineStr">
        <is>
          <t>REF-derin – Karışık kalem (çevrim kablosu + HF boru toplamı): FA1x2x0.8=2,43 + spiral=1,97 → 4,41. Emsaller: FA1x2x0.8 [R02947;R03096;R00532] 2,43 | spiral [R02661;R02746] 1,97 [Emsal ID: R02947;R03096;R00532;R02661;R02746]</t>
        </is>
      </c>
      <c r="M652" s="7" t="inlineStr">
        <is>
          <t>Kablo+HF boru | İlk tahmin BF 3.50</t>
        </is>
      </c>
    </row>
    <row r="653" outlineLevel="1">
      <c r="A653" s="27" t="n"/>
      <c r="B653" s="27" t="inlineStr">
        <is>
          <t>5004.G</t>
        </is>
      </c>
      <c r="C653" s="7" t="inlineStr">
        <is>
          <t>Tüm depo binaları – programlama, sebep-sonuç senaryoları, SCADA arayüzü, test ve devreye alma</t>
        </is>
      </c>
      <c r="D653" s="27" t="inlineStr">
        <is>
          <t>set</t>
        </is>
      </c>
      <c r="E653" s="50" t="n">
        <v>1</v>
      </c>
      <c r="F653" s="50" t="n">
        <v>1</v>
      </c>
      <c r="G653" s="27" t="inlineStr">
        <is>
          <t>-</t>
        </is>
      </c>
      <c r="H653" s="50">
        <f>F653</f>
        <v/>
      </c>
      <c r="I653" s="51" t="n">
        <v>5000</v>
      </c>
      <c r="J653" s="28">
        <f>H653*I653</f>
        <v/>
      </c>
      <c r="K653" s="53" t="inlineStr">
        <is>
          <t>MÜHENDİSLİK TAHMİNİ</t>
        </is>
      </c>
      <c r="L653" s="7" t="inlineStr">
        <is>
          <t>TAHMIN (emsal yok) – NEV 2021 mühendislik+devreye alma 26 k€ (11 ist. metro) – ölçek farklı [Emsal ID: R00789]</t>
        </is>
      </c>
      <c r="M653" s="7" t="inlineStr">
        <is>
          <t>Programlama/SCADA/test</t>
        </is>
      </c>
    </row>
    <row r="654">
      <c r="A654" s="48" t="inlineStr">
        <is>
          <t>341</t>
        </is>
      </c>
      <c r="B654" s="48" t="inlineStr">
        <is>
          <t>5004.H</t>
        </is>
      </c>
      <c r="C654" s="48" t="inlineStr">
        <is>
          <t>Hat Trafo Binaları Yangın İhbar ve Kontrol Sistemi (4 set)</t>
        </is>
      </c>
      <c r="D654" s="48" t="n"/>
      <c r="E654" s="48" t="n"/>
      <c r="F654" s="48" t="n"/>
      <c r="G654" s="48" t="n"/>
      <c r="H654" s="48" t="inlineStr">
        <is>
          <t>RFQ tutarı →</t>
        </is>
      </c>
      <c r="I654" s="49">
        <f>SUMPRODUCT(E655:E664,I655:I664)</f>
        <v/>
      </c>
      <c r="J654" s="49">
        <f>SUM(J655:J664)</f>
        <v/>
      </c>
      <c r="K654" s="48" t="n"/>
      <c r="L654" s="48" t="n"/>
      <c r="M654" s="48" t="n"/>
    </row>
    <row r="655" outlineLevel="1">
      <c r="A655" s="27" t="n"/>
      <c r="B655" s="27" t="inlineStr">
        <is>
          <t>5004.H</t>
        </is>
      </c>
      <c r="C655" s="7" t="inlineStr">
        <is>
          <t>Adresli yangın alarm paneli T00/FDS/YAP/001 (akülü, network kartı)</t>
        </is>
      </c>
      <c r="D655" s="27" t="inlineStr">
        <is>
          <t>adet</t>
        </is>
      </c>
      <c r="E655" s="50" t="n">
        <v>4</v>
      </c>
      <c r="F655" s="50" t="n">
        <v>4</v>
      </c>
      <c r="G655" s="27" t="inlineStr">
        <is>
          <t>-</t>
        </is>
      </c>
      <c r="H655" s="50">
        <f>F655</f>
        <v/>
      </c>
      <c r="I655" s="51" t="n">
        <v>2000</v>
      </c>
      <c r="J655" s="28">
        <f>H655*I655</f>
        <v/>
      </c>
      <c r="K655" s="52" t="inlineStr">
        <is>
          <t>GEÇMİŞ TEKLİF UYARLAMA</t>
        </is>
      </c>
      <c r="L655" s="7" t="inlineStr">
        <is>
          <t>REF-derin – Adresli panel: NEV 2021 Vigilon compact 1-2 loop+network 1.164 € (M)+%20=1.397; Bursa T2 Haluk 2015 1 loop 1.751 €; Başkentray Desat 2012 2.556 € → medyan 1.751 + network kart 250 → 2.000 € [Emsal ID: R00783;R00906;R00527]</t>
        </is>
      </c>
      <c r="M655" s="7" t="inlineStr">
        <is>
          <t>Panel (alt miktar ×4 set) | İlk tahmin BF 3,500.00</t>
        </is>
      </c>
    </row>
    <row r="656" outlineLevel="1">
      <c r="A656" s="27" t="n"/>
      <c r="B656" s="27" t="inlineStr">
        <is>
          <t>5004.H</t>
        </is>
      </c>
      <c r="C656" s="7" t="inlineStr">
        <is>
          <t>Kombine optik-duman-sıcaklık / optik adresli dedektör</t>
        </is>
      </c>
      <c r="D656" s="27" t="inlineStr">
        <is>
          <t>adet</t>
        </is>
      </c>
      <c r="E656" s="50" t="n">
        <v>64</v>
      </c>
      <c r="F656" s="50" t="n">
        <v>64</v>
      </c>
      <c r="G656" s="27" t="inlineStr">
        <is>
          <t>%30</t>
        </is>
      </c>
      <c r="H656" s="50">
        <f>F656/IF(Varsayimlar!$B$21=1,1.3,1)</f>
        <v/>
      </c>
      <c r="I656" s="51" t="n">
        <v>45.76</v>
      </c>
      <c r="J656" s="28">
        <f>H656*I656</f>
        <v/>
      </c>
      <c r="K656" s="52" t="inlineStr">
        <is>
          <t>GEÇMİŞ TEKLİF UYARLAMA</t>
        </is>
      </c>
      <c r="L656" s="7" t="inlineStr">
        <is>
          <t>REF-derin – Karışık kalem (kombine/optik eşit pay): kombine=52,79 + optik=38,73 → 45,76. Emsaller: kombine [R00909;R00978;R00742;R00778] 52,79 | optik [R01078;R00908;R00977;R00741;R00776] 38,73 [Emsal ID: R00909;R00978;R00742;R00778;R01078;R00908;R00977;R00741;R00776]</t>
        </is>
      </c>
      <c r="M656" s="7" t="inlineStr">
        <is>
          <t>Ded. (alt miktar ×4 set) | İlk tahmin BF 50.00</t>
        </is>
      </c>
    </row>
    <row r="657" outlineLevel="1">
      <c r="A657" s="27" t="n"/>
      <c r="B657" s="27" t="inlineStr">
        <is>
          <t>5004.H</t>
        </is>
      </c>
      <c r="C657" s="7" t="inlineStr">
        <is>
          <t>Yangın alarm butonu IP67</t>
        </is>
      </c>
      <c r="D657" s="27" t="inlineStr">
        <is>
          <t>adet</t>
        </is>
      </c>
      <c r="E657" s="50" t="n">
        <v>12</v>
      </c>
      <c r="F657" s="50" t="n">
        <v>12</v>
      </c>
      <c r="G657" s="27" t="inlineStr">
        <is>
          <t>-</t>
        </is>
      </c>
      <c r="H657" s="50">
        <f>F657</f>
        <v/>
      </c>
      <c r="I657" s="51" t="n">
        <v>64.58</v>
      </c>
      <c r="J657" s="28">
        <f>H657*I657</f>
        <v/>
      </c>
      <c r="K657" s="52" t="inlineStr">
        <is>
          <t>GEÇMİŞ TEKLİF UYARLAMA</t>
        </is>
      </c>
      <c r="L657" s="7" t="inlineStr">
        <is>
          <t>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is>
      </c>
      <c r="M657" s="7" t="inlineStr">
        <is>
          <t>Buton IP67 (alt miktar ×4 set) | İlk tahmin BF 60.00</t>
        </is>
      </c>
    </row>
    <row r="658" outlineLevel="1">
      <c r="A658" s="27" t="n"/>
      <c r="B658" s="27" t="inlineStr">
        <is>
          <t>5004.H</t>
        </is>
      </c>
      <c r="C658" s="7" t="inlineStr">
        <is>
          <t>Flaşörlü elektronik siren 95 dBA</t>
        </is>
      </c>
      <c r="D658" s="27" t="inlineStr">
        <is>
          <t>adet</t>
        </is>
      </c>
      <c r="E658" s="50" t="n">
        <v>16</v>
      </c>
      <c r="F658" s="50" t="n">
        <v>16</v>
      </c>
      <c r="G658" s="27" t="inlineStr">
        <is>
          <t>-</t>
        </is>
      </c>
      <c r="H658" s="50">
        <f>F658</f>
        <v/>
      </c>
      <c r="I658" s="51" t="n">
        <v>62.39</v>
      </c>
      <c r="J658" s="28">
        <f>H658*I658</f>
        <v/>
      </c>
      <c r="K658" s="52" t="inlineStr">
        <is>
          <t>GEÇMİŞ TEKLİF UYARLAMA</t>
        </is>
      </c>
      <c r="L658" s="7" t="inlineStr">
        <is>
          <t>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is>
      </c>
      <c r="M658" s="7" t="inlineStr">
        <is>
          <t>Siren (alt miktar ×4 set) | İlk tahmin BF 60.00</t>
        </is>
      </c>
    </row>
    <row r="659" outlineLevel="1">
      <c r="A659" s="27" t="n"/>
      <c r="B659" s="27" t="inlineStr">
        <is>
          <t>5004.H</t>
        </is>
      </c>
      <c r="C659" s="7" t="inlineStr">
        <is>
          <t>İzolatör modülü</t>
        </is>
      </c>
      <c r="D659" s="27" t="inlineStr">
        <is>
          <t>adet</t>
        </is>
      </c>
      <c r="E659" s="50" t="n">
        <v>16</v>
      </c>
      <c r="F659" s="50" t="n">
        <v>16</v>
      </c>
      <c r="G659" s="27" t="inlineStr">
        <is>
          <t>-</t>
        </is>
      </c>
      <c r="H659" s="50">
        <f>F659</f>
        <v/>
      </c>
      <c r="I659" s="51" t="n">
        <v>35</v>
      </c>
      <c r="J659" s="28">
        <f>H659*I659</f>
        <v/>
      </c>
      <c r="K659" s="53" t="inlineStr">
        <is>
          <t>MÜHENDİSLİK TAHMİNİ</t>
        </is>
      </c>
      <c r="L659" s="7" t="inlineStr">
        <is>
          <t>TAHMIN (emsal yok) – Emsal yok (veride eşdeğer kalem yok)</t>
        </is>
      </c>
      <c r="M659" s="7" t="inlineStr">
        <is>
          <t>İzolatör (alt miktar ×4 set)</t>
        </is>
      </c>
    </row>
    <row r="660" outlineLevel="1">
      <c r="A660" s="27" t="n"/>
      <c r="B660" s="27" t="inlineStr">
        <is>
          <t>5004.H</t>
        </is>
      </c>
      <c r="C660" s="7" t="inlineStr">
        <is>
          <t>Adresli giriş/çıkış modülü (UPS/ADP/DC arıza, kapı, SCADA)</t>
        </is>
      </c>
      <c r="D660" s="27" t="inlineStr">
        <is>
          <t>adet</t>
        </is>
      </c>
      <c r="E660" s="50" t="n">
        <v>8</v>
      </c>
      <c r="F660" s="50" t="n">
        <v>8</v>
      </c>
      <c r="G660" s="27" t="inlineStr">
        <is>
          <t>-</t>
        </is>
      </c>
      <c r="H660" s="50">
        <f>F660</f>
        <v/>
      </c>
      <c r="I660" s="51" t="n">
        <v>68.42</v>
      </c>
      <c r="J660" s="28">
        <f>H660*I660</f>
        <v/>
      </c>
      <c r="K660" s="52" t="inlineStr">
        <is>
          <t>GEÇMİŞ TEKLİF UYARLAMA</t>
        </is>
      </c>
      <c r="L660" s="7" t="inlineStr">
        <is>
          <t>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is>
      </c>
      <c r="M660" s="7" t="inlineStr">
        <is>
          <t>I/O (alt miktar ×4 set) | İlk tahmin BF 60.00</t>
        </is>
      </c>
    </row>
    <row r="661" outlineLevel="1">
      <c r="A661" s="27" t="n"/>
      <c r="B661" s="27" t="inlineStr">
        <is>
          <t>5004.H</t>
        </is>
      </c>
      <c r="C661" s="7" t="inlineStr">
        <is>
          <t>Çevrim kablosu JE-H(St)H 1x2x0,8+0,8 FE180</t>
        </is>
      </c>
      <c r="D661" s="27" t="inlineStr">
        <is>
          <t>m</t>
        </is>
      </c>
      <c r="E661" s="50" t="n">
        <v>596</v>
      </c>
      <c r="F661" s="50" t="n">
        <v>596</v>
      </c>
      <c r="G661" s="27" t="inlineStr">
        <is>
          <t>fire+%30</t>
        </is>
      </c>
      <c r="H661" s="50">
        <f>F661/IF(Varsayimlar!$B$21=1,1.43,1)</f>
        <v/>
      </c>
      <c r="I661" s="51" t="n">
        <v>2.43</v>
      </c>
      <c r="J661" s="28">
        <f>H661*I661</f>
        <v/>
      </c>
      <c r="K661" s="52" t="inlineStr">
        <is>
          <t>GEÇMİŞ TEKLİF UYARLAMA</t>
        </is>
      </c>
      <c r="L661" s="7" t="inlineStr">
        <is>
          <t>REF-derin – Pendik-Kaynarca M. YM 2022 HBAPH FE180 1x2x0,6 1,80 (M)+%35 montaj→2,43; SAGE bina YM 2018 JE-H(St)H FE180 1x2x1,5 (M+İ) 2,59; Başkentray Desat 2012 1x2x0,8+0,8 HF (M+İ) 1,92 → medyan 2,43 [Emsal ID: R02947;R03096;R00532]</t>
        </is>
      </c>
      <c r="M661" s="7" t="inlineStr">
        <is>
          <t>FE180 (alt miktar ×4 set) | İlk tahmin BF 2.20</t>
        </is>
      </c>
    </row>
    <row r="662" outlineLevel="1">
      <c r="A662" s="27" t="n"/>
      <c r="B662" s="27" t="inlineStr">
        <is>
          <t>5004.H</t>
        </is>
      </c>
      <c r="C662" s="7" t="inlineStr">
        <is>
          <t>Korna-flaşör besleme N2XH FE180 3x1,5</t>
        </is>
      </c>
      <c r="D662" s="27" t="inlineStr">
        <is>
          <t>m</t>
        </is>
      </c>
      <c r="E662" s="50" t="n">
        <v>172</v>
      </c>
      <c r="F662" s="50" t="n">
        <v>172</v>
      </c>
      <c r="G662" s="27" t="inlineStr">
        <is>
          <t>fire %10</t>
        </is>
      </c>
      <c r="H662" s="50">
        <f>F662/IF(Varsayimlar!$B$21=1,1.1,1)</f>
        <v/>
      </c>
      <c r="I662" s="51" t="n">
        <v>2.52</v>
      </c>
      <c r="J662" s="28">
        <f>H662*I662</f>
        <v/>
      </c>
      <c r="K662" s="52" t="inlineStr">
        <is>
          <t>GEÇMİŞ TEKLİF UYARLAMA</t>
        </is>
      </c>
      <c r="L662" s="7" t="inlineStr">
        <is>
          <t>REF-derin – İzmir Narlıdere M. Uskom 2018 FE180 2x1,5 (M+İ) 1,68 ×1,4 (3 damar)→2,35; Pendik-Kaynarca M. YM 2022 LIHCHRH FE180 2x1,5 1,42 (M)+%35, ×1,4 (3 damar)→2,69 → medyan 2,52 [Emsal ID: R01755;R02959]</t>
        </is>
      </c>
      <c r="M662" s="7" t="inlineStr">
        <is>
          <t>FE180 3x1,5 (alt miktar ×4 set) | İlk tahmin BF 2.60</t>
        </is>
      </c>
    </row>
    <row r="663" outlineLevel="1">
      <c r="A663" s="27" t="n"/>
      <c r="B663" s="27" t="inlineStr">
        <is>
          <t>5004.H</t>
        </is>
      </c>
      <c r="C663" s="7" t="inlineStr">
        <is>
          <t>HF spiral boru / kroşe</t>
        </is>
      </c>
      <c r="D663" s="27" t="inlineStr">
        <is>
          <t>m</t>
        </is>
      </c>
      <c r="E663" s="50" t="n">
        <v>596</v>
      </c>
      <c r="F663" s="50" t="n">
        <v>596</v>
      </c>
      <c r="G663" s="27" t="inlineStr">
        <is>
          <t>fire+%30</t>
        </is>
      </c>
      <c r="H663" s="50">
        <f>F663/IF(Varsayimlar!$B$21=1,1.43,1)</f>
        <v/>
      </c>
      <c r="I663" s="51" t="n">
        <v>1.97</v>
      </c>
      <c r="J663" s="28">
        <f>H663*I663</f>
        <v/>
      </c>
      <c r="K663" s="52" t="inlineStr">
        <is>
          <t>GEÇMİŞ TEKLİF UYARLAMA</t>
        </is>
      </c>
      <c r="L663" s="7" t="inlineStr">
        <is>
          <t>REF-derin – Kabataş-Mahmutbey M. Uskom 2015 3/4" spiral (M+İ) 1,50 +%15 HF→1,73; Kabataş-Mahmutbey M. Uskom 2015 3/4" spiral (M+İ) 1,93 +%15 HF→2,21 → medyan 1,97 [Emsal ID: R02661;R02746]</t>
        </is>
      </c>
      <c r="M663" s="7" t="inlineStr">
        <is>
          <t>Boru (alt miktar ×4 set) | İlk tahmin BF 2.00</t>
        </is>
      </c>
    </row>
    <row r="664" outlineLevel="1">
      <c r="A664" s="27" t="n"/>
      <c r="B664" s="27" t="inlineStr">
        <is>
          <t>5004.H</t>
        </is>
      </c>
      <c r="C664" s="7" t="inlineStr">
        <is>
          <t>TCC/SCADA ağ ara birimi (fiber media converter) + programlama/devreye alma</t>
        </is>
      </c>
      <c r="D664" s="27" t="inlineStr">
        <is>
          <t>set</t>
        </is>
      </c>
      <c r="E664" s="50" t="n">
        <v>4</v>
      </c>
      <c r="F664" s="50" t="n">
        <v>4</v>
      </c>
      <c r="G664" s="27" t="inlineStr">
        <is>
          <t>-</t>
        </is>
      </c>
      <c r="H664" s="50">
        <f>F664</f>
        <v/>
      </c>
      <c r="I664" s="51" t="n">
        <v>1500</v>
      </c>
      <c r="J664" s="28">
        <f>H664*I664</f>
        <v/>
      </c>
      <c r="K664" s="53" t="inlineStr">
        <is>
          <t>MÜHENDİSLİK TAHMİNİ</t>
        </is>
      </c>
      <c r="L664" s="7" t="inlineStr">
        <is>
          <t>TAHMIN (emsal yok) – Media converter (YM 2019 89 €) + programlama – kalem çoğunlukla hizmet; korundu [Emsal ID: R01202]</t>
        </is>
      </c>
      <c r="M664" s="7" t="inlineStr">
        <is>
          <t>Media conv.+programlama (alt miktar ×4 set)</t>
        </is>
      </c>
    </row>
    <row r="665">
      <c r="A665" s="48" t="inlineStr">
        <is>
          <t>342</t>
        </is>
      </c>
      <c r="B665" s="48" t="inlineStr">
        <is>
          <t>5004.I</t>
        </is>
      </c>
      <c r="C665" s="48" t="inlineStr">
        <is>
          <t>Yangın İhbar ve Kontrol Sistemi Merkezi Donanımı&amp;Yazılımı (1 set)</t>
        </is>
      </c>
      <c r="D665" s="48" t="n"/>
      <c r="E665" s="48" t="n"/>
      <c r="F665" s="48" t="n"/>
      <c r="G665" s="48" t="n"/>
      <c r="H665" s="48" t="inlineStr">
        <is>
          <t>RFQ tutarı →</t>
        </is>
      </c>
      <c r="I665" s="49">
        <f>SUMPRODUCT(E666:E673,I666:I673)</f>
        <v/>
      </c>
      <c r="J665" s="49">
        <f>SUM(J666:J673)</f>
        <v/>
      </c>
      <c r="K665" s="48" t="n"/>
      <c r="L665" s="48" t="n"/>
      <c r="M665" s="48" t="n"/>
    </row>
    <row r="666" outlineLevel="1">
      <c r="A666" s="27" t="n"/>
      <c r="B666" s="27" t="inlineStr">
        <is>
          <t>5004.I</t>
        </is>
      </c>
      <c r="C666" s="7" t="inlineStr">
        <is>
          <t>Grafik yangın izleme ve yönetim yazılımı (TCC) + lisans (~17 panel düğümü)</t>
        </is>
      </c>
      <c r="D666" s="27" t="inlineStr">
        <is>
          <t>set</t>
        </is>
      </c>
      <c r="E666" s="50" t="n">
        <v>1</v>
      </c>
      <c r="F666" s="50" t="n">
        <v>1</v>
      </c>
      <c r="G666" s="27" t="inlineStr">
        <is>
          <t>-</t>
        </is>
      </c>
      <c r="H666" s="50">
        <f>F666</f>
        <v/>
      </c>
      <c r="I666" s="51" t="n">
        <v>11180</v>
      </c>
      <c r="J666" s="28">
        <f>H666*I666</f>
        <v/>
      </c>
      <c r="K666" s="52" t="inlineStr">
        <is>
          <t>GEÇMİŞ TEKLİF UYARLAMA</t>
        </is>
      </c>
      <c r="L666" s="7" t="inlineStr">
        <is>
          <t>REF-derin(1) – NEV 2021 WINMAG plus grafik yazılım 7.235 € + workstation 1.773 € → +%15 = 10.360 € → mevcut 12.000 ile harmanlandı [Emsal ID: R00787;R00786]</t>
        </is>
      </c>
      <c r="M666" s="7" t="inlineStr">
        <is>
          <t>Yazılım+lisans | İlk tahmin BF 12,000.00</t>
        </is>
      </c>
    </row>
    <row r="667" outlineLevel="1">
      <c r="A667" s="27" t="n"/>
      <c r="B667" s="27" t="inlineStr">
        <is>
          <t>5004.I</t>
        </is>
      </c>
      <c r="C667" s="7" t="inlineStr">
        <is>
          <t>Operatör iş istasyonu (PC + 2 monitör) + olay yazıcısı</t>
        </is>
      </c>
      <c r="D667" s="27" t="inlineStr">
        <is>
          <t>takım</t>
        </is>
      </c>
      <c r="E667" s="50" t="n">
        <v>1</v>
      </c>
      <c r="F667" s="50" t="n">
        <v>1</v>
      </c>
      <c r="G667" s="27" t="inlineStr">
        <is>
          <t>-</t>
        </is>
      </c>
      <c r="H667" s="50">
        <f>F667</f>
        <v/>
      </c>
      <c r="I667" s="51" t="n">
        <v>2313.53</v>
      </c>
      <c r="J667" s="28">
        <f>H667*I667</f>
        <v/>
      </c>
      <c r="K667" s="52" t="inlineStr">
        <is>
          <t>GEÇMİŞ TEKLİF UYARLAMA</t>
        </is>
      </c>
      <c r="L667" s="7" t="inlineStr">
        <is>
          <t>REF-derin(1) – İzmir Buca M. NEV 2021 yangın algılama workstation 1.772,55 (M)+%20 montaj→2.127,06 → emsal 2.127,06 ; tek emsal → mevcut 2.500,00 ile ort. = 2.313,53 [Emsal ID: R00786]</t>
        </is>
      </c>
      <c r="M667" s="7" t="inlineStr">
        <is>
          <t>PC+yazıcı | İlk tahmin BF 2,500.00</t>
        </is>
      </c>
    </row>
    <row r="668" outlineLevel="1">
      <c r="A668" s="27" t="n"/>
      <c r="B668" s="27" t="inlineStr">
        <is>
          <t>5004.I</t>
        </is>
      </c>
      <c r="C668" s="7" t="inlineStr">
        <is>
          <t>TCC tekrarlayıcı (repeater) panel</t>
        </is>
      </c>
      <c r="D668" s="27" t="inlineStr">
        <is>
          <t>adet</t>
        </is>
      </c>
      <c r="E668" s="50" t="n">
        <v>1</v>
      </c>
      <c r="F668" s="50" t="n">
        <v>1</v>
      </c>
      <c r="G668" s="27" t="inlineStr">
        <is>
          <t>-</t>
        </is>
      </c>
      <c r="H668" s="50">
        <f>F668</f>
        <v/>
      </c>
      <c r="I668" s="51" t="n">
        <v>1140.97</v>
      </c>
      <c r="J668" s="28">
        <f>H668*I668</f>
        <v/>
      </c>
      <c r="K668" s="52" t="inlineStr">
        <is>
          <t>GEÇMİŞ TEKLİF UYARLAMA</t>
        </is>
      </c>
      <c r="L668" s="7" t="inlineStr">
        <is>
          <t>REF-derin – Bursa T2 Haluk 2015 tekrarlayıcı (M+İ) 1.071,21; Bursa T2 MET 2015 tekrarlayıcı (M+İ) 947,35; İzmir Buca M. NEV 2021 Vigilon repeat 1.009,13 (M)+%20 montaj→1.210,96; İzmir Buca M. EEC 2021 LCDANN repeater 1.008,94 (M)+%20 montaj→1.210,73 → medyan 1.140,97 [Emsal ID: R00907;R00976;R00785;R00740]</t>
        </is>
      </c>
      <c r="M668" s="7" t="inlineStr">
        <is>
          <t>Repeater | İlk tahmin BF 1,800.00</t>
        </is>
      </c>
    </row>
    <row r="669" outlineLevel="1">
      <c r="A669" s="27" t="n"/>
      <c r="B669" s="27" t="inlineStr">
        <is>
          <t>5004.I</t>
        </is>
      </c>
      <c r="C669" s="7" t="inlineStr">
        <is>
          <t>Panel network/haberleşme kartı (tüm uzak paneller için)</t>
        </is>
      </c>
      <c r="D669" s="27" t="inlineStr">
        <is>
          <t>adet</t>
        </is>
      </c>
      <c r="E669" s="50" t="n">
        <v>17</v>
      </c>
      <c r="F669" s="50" t="n">
        <v>17</v>
      </c>
      <c r="G669" s="27" t="inlineStr">
        <is>
          <t>-</t>
        </is>
      </c>
      <c r="H669" s="50">
        <f>F669</f>
        <v/>
      </c>
      <c r="I669" s="51" t="n">
        <v>450</v>
      </c>
      <c r="J669" s="28">
        <f>H669*I669</f>
        <v/>
      </c>
      <c r="K669" s="53" t="inlineStr">
        <is>
          <t>MÜHENDİSLİK TAHMİNİ</t>
        </is>
      </c>
      <c r="L669" s="7" t="inlineStr">
        <is>
          <t>TAHMIN (emsal yok) – Network kartı: Vigilon panel fiyatına dahil – panel (655) ile mükerrer olma riski işaretlendi [Emsal ID: R00783]</t>
        </is>
      </c>
      <c r="M669" s="7" t="inlineStr">
        <is>
          <t>Network kartı (panellerle mükerrer riski)</t>
        </is>
      </c>
    </row>
    <row r="670" outlineLevel="1">
      <c r="A670" s="27" t="n"/>
      <c r="B670" s="27" t="inlineStr">
        <is>
          <t>5004.I</t>
        </is>
      </c>
      <c r="C670" s="7" t="inlineStr">
        <is>
          <t>Fiber/ethernet ara birim (media converter) – hat boyu paneller için</t>
        </is>
      </c>
      <c r="D670" s="27" t="inlineStr">
        <is>
          <t>adet</t>
        </is>
      </c>
      <c r="E670" s="50" t="n">
        <v>10</v>
      </c>
      <c r="F670" s="50" t="n">
        <v>10</v>
      </c>
      <c r="G670" s="27" t="inlineStr">
        <is>
          <t>-</t>
        </is>
      </c>
      <c r="H670" s="50">
        <f>F670</f>
        <v/>
      </c>
      <c r="I670" s="51" t="n">
        <v>300</v>
      </c>
      <c r="J670" s="28">
        <f>H670*I670</f>
        <v/>
      </c>
      <c r="K670" s="53" t="inlineStr">
        <is>
          <t>MÜHENDİSLİK TAHMİNİ</t>
        </is>
      </c>
      <c r="L670" s="7" t="inlineStr">
        <is>
          <t>TAHMIN (emsal yok) – Emsal yok (veride eşdeğer kalem yok)</t>
        </is>
      </c>
      <c r="M670" s="7" t="inlineStr">
        <is>
          <t>Media converter</t>
        </is>
      </c>
    </row>
    <row r="671" outlineLevel="1">
      <c r="A671" s="27" t="n"/>
      <c r="B671" s="27" t="inlineStr">
        <is>
          <t>5004.I</t>
        </is>
      </c>
      <c r="C671" s="7" t="inlineStr">
        <is>
          <t>SCADA/BMS entegrasyon ağ geçidi (Modbus TCP/BACnet)</t>
        </is>
      </c>
      <c r="D671" s="27" t="inlineStr">
        <is>
          <t>adet</t>
        </is>
      </c>
      <c r="E671" s="50" t="n">
        <v>1</v>
      </c>
      <c r="F671" s="50" t="n">
        <v>1</v>
      </c>
      <c r="G671" s="27" t="inlineStr">
        <is>
          <t>-</t>
        </is>
      </c>
      <c r="H671" s="50">
        <f>F671</f>
        <v/>
      </c>
      <c r="I671" s="51" t="n">
        <v>2500</v>
      </c>
      <c r="J671" s="28">
        <f>H671*I671</f>
        <v/>
      </c>
      <c r="K671" s="53" t="inlineStr">
        <is>
          <t>MÜHENDİSLİK TAHMİNİ</t>
        </is>
      </c>
      <c r="L671" s="7" t="inlineStr">
        <is>
          <t>TAHMIN (emsal yok) – Emsal yok (veride eşdeğer kalem yok)</t>
        </is>
      </c>
      <c r="M671" s="7" t="inlineStr">
        <is>
          <t>Gateway</t>
        </is>
      </c>
    </row>
    <row r="672" outlineLevel="1">
      <c r="A672" s="27" t="n"/>
      <c r="B672" s="27" t="inlineStr">
        <is>
          <t>5004.I</t>
        </is>
      </c>
      <c r="C672" s="7" t="inlineStr">
        <is>
          <t>Merkez UPS prizi/rack yerleşimi (TCC UPS üzerinden)</t>
        </is>
      </c>
      <c r="D672" s="27" t="inlineStr">
        <is>
          <t>set</t>
        </is>
      </c>
      <c r="E672" s="50" t="n">
        <v>1</v>
      </c>
      <c r="F672" s="50" t="n">
        <v>1</v>
      </c>
      <c r="G672" s="27" t="inlineStr">
        <is>
          <t>-</t>
        </is>
      </c>
      <c r="H672" s="50">
        <f>F672</f>
        <v/>
      </c>
      <c r="I672" s="51" t="n">
        <v>400</v>
      </c>
      <c r="J672" s="28">
        <f>H672*I672</f>
        <v/>
      </c>
      <c r="K672" s="53" t="inlineStr">
        <is>
          <t>MÜHENDİSLİK TAHMİNİ</t>
        </is>
      </c>
      <c r="L672" s="7" t="inlineStr">
        <is>
          <t>TAHMIN (emsal yok) – Emsal yok (cihaz bazında; Bursa T2/Başkentray "priz sortisi" 25-91 € kablo dahil → kıyas dışı)</t>
        </is>
      </c>
      <c r="M672" s="7" t="inlineStr">
        <is>
          <t>Rack/priz</t>
        </is>
      </c>
    </row>
    <row r="673" outlineLevel="1">
      <c r="A673" s="27" t="n"/>
      <c r="B673" s="27" t="inlineStr">
        <is>
          <t>5004.I</t>
        </is>
      </c>
      <c r="C673" s="7" t="inlineStr">
        <is>
          <t>Merkezi yazılım konfigürasyonu, senaryo programlama, entegrasyon testleri ve eğitim</t>
        </is>
      </c>
      <c r="D673" s="27" t="inlineStr">
        <is>
          <t>set</t>
        </is>
      </c>
      <c r="E673" s="50" t="n">
        <v>1</v>
      </c>
      <c r="F673" s="50" t="n">
        <v>1</v>
      </c>
      <c r="G673" s="27" t="inlineStr">
        <is>
          <t>-</t>
        </is>
      </c>
      <c r="H673" s="50">
        <f>F673</f>
        <v/>
      </c>
      <c r="I673" s="51" t="n">
        <v>6000</v>
      </c>
      <c r="J673" s="28">
        <f>H673*I673</f>
        <v/>
      </c>
      <c r="K673" s="53" t="inlineStr">
        <is>
          <t>MÜHENDİSLİK TAHMİNİ</t>
        </is>
      </c>
      <c r="L673" s="7" t="inlineStr">
        <is>
          <t>TAHMIN (emsal yok) – Konfig/test/eğitim emsal yok</t>
        </is>
      </c>
      <c r="M673" s="7" t="inlineStr">
        <is>
          <t>Konfig/test/eğitim</t>
        </is>
      </c>
    </row>
    <row r="674"/>
    <row r="675">
      <c r="C675" s="14" t="inlineStr">
        <is>
          <t>TOPLAM (net metraj, idare cevaplarına göre)</t>
        </is>
      </c>
      <c r="J675" s="56">
        <f>J5+J14+J22+J30+J38+J46+J54+J71+J80+J89+J98+J107+J116+J134+J143+J151+J159+J169+J182+J195+J208+J221+J254+J264+J276+J285+J305+J326+J347+J368+J389+J409+J480+J490+J505+J518+J524+J538+J552+J566+J580+J594+J608+J654+J665</f>
        <v/>
      </c>
    </row>
    <row r="676">
      <c r="C676" s="14" t="inlineStr">
        <is>
          <t>Karşılaştırma: RFQ cetvel miktarlarıyla (şişirmeli, düzeltmesiz) tutar</t>
        </is>
      </c>
      <c r="J676" s="56">
        <f>I5+I14+I22+I30+I38+I46+I54+I71+I80+I89+I98+I107+I116+I134+I143+I151+I159+I169+I182+I195+I208+I221+I254+I264+I276+I285+I305+I326+I347+I368+I389+I409+I480+I490+I505+I518+I524+I538+I552+I566+I580+I594+I608+I654+I665</f>
        <v/>
      </c>
    </row>
    <row r="677">
      <c r="C677" s="14" t="inlineStr">
        <is>
          <t>Fark (metraj payları + idare cevapları)</t>
        </is>
      </c>
      <c r="J677" s="56">
        <f>J675-J676</f>
        <v/>
      </c>
    </row>
    <row r="678"/>
    <row r="679">
      <c r="C679" s="19" t="inlineStr">
        <is>
          <t>FİYAT TÜRÜNE GÖRE DAĞILIM</t>
        </is>
      </c>
    </row>
    <row r="680">
      <c r="C680" s="57" t="inlineStr">
        <is>
          <t>2026 TEKLİF</t>
        </is>
      </c>
      <c r="J680" s="23">
        <f>SUMIF($K$5:$K$673,"2026 TEKLİF",$J$5:$J$673)</f>
        <v/>
      </c>
      <c r="K680" s="58">
        <f>IF($J$675=0,0,J680/$J$675)</f>
        <v/>
      </c>
    </row>
    <row r="681">
      <c r="C681" s="59" t="inlineStr">
        <is>
          <t>GEÇMİŞ TEKLİF UYARLAMA</t>
        </is>
      </c>
      <c r="J681" s="23">
        <f>SUMIF($K$5:$K$673,"GEÇMİŞ TEKLİF UYARLAMA",$J$5:$J$673)</f>
        <v/>
      </c>
      <c r="K681" s="58">
        <f>IF($J$675=0,0,J681/$J$675)</f>
        <v/>
      </c>
    </row>
    <row r="682">
      <c r="C682" s="60" t="inlineStr">
        <is>
          <t>MÜHENDİSLİK TAHMİNİ</t>
        </is>
      </c>
      <c r="J682" s="23">
        <f>SUMIF($K$5:$K$673,"MÜHENDİSLİK TAHMİNİ",$J$5:$J$673)</f>
        <v/>
      </c>
      <c r="K682" s="58">
        <f>IF($J$675=0,0,J682/$J$675)</f>
        <v/>
      </c>
    </row>
    <row r="683">
      <c r="C683" s="61" t="inlineStr">
        <is>
          <t>İdare cevabıyla kapsam dışı kalan kalemlerin RFQ'daki değeri (bilgi)</t>
        </is>
      </c>
      <c r="J683" s="23">
        <f>SUMPRODUCT(($K$5:$K$673="KAPSAM DIŞI (0)")*$E$5:$E$673*$I$5:$I$673)</f>
        <v/>
      </c>
    </row>
  </sheetData>
  <autoFilter ref="A4:M4"/>
  <mergeCells count="3">
    <mergeCell ref="A3:B3"/>
    <mergeCell ref="A2:M2"/>
    <mergeCell ref="C3:M3"/>
  </mergeCells>
  <pageMargins left="0.75" right="0.75" top="1" bottom="1" header="0.5" footer="0.5"/>
  <pageSetup orientation="landscape" fitToWidth="1"/>
</worksheet>
</file>

<file path=xl/worksheets/sheet6.xml><?xml version="1.0" encoding="utf-8"?>
<worksheet xmlns="http://schemas.openxmlformats.org/spreadsheetml/2006/main">
  <sheetPr>
    <tabColor rgb="00FFC000"/>
    <outlinePr summaryBelow="0" summaryRight="1"/>
    <pageSetUpPr/>
  </sheetPr>
  <dimension ref="A1:M5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2" customWidth="1" min="3" max="3"/>
    <col width="7" customWidth="1" min="4" max="4"/>
    <col width="12" customWidth="1" min="5" max="5"/>
    <col width="12" customWidth="1" min="6" max="6"/>
    <col width="11" customWidth="1" min="7" max="7"/>
    <col width="12" customWidth="1" min="8" max="8"/>
    <col width="13" customWidth="1" min="9" max="9"/>
    <col width="14" customWidth="1" min="10" max="10"/>
    <col width="17" customWidth="1" min="11" max="11"/>
    <col width="55" customWidth="1" min="12" max="12"/>
    <col width="40" customWidth="1" min="13" max="13"/>
  </cols>
  <sheetData>
    <row r="1">
      <c r="A1" s="1" t="inlineStr">
        <is>
          <t>1 ELEKTRİK (B) – Kontrol ve haberleşme (iletim, telefon, telsiz, anons, CCTV, saat, erişim, SCADA, YBS, ücret toplama)</t>
        </is>
      </c>
    </row>
    <row r="2" ht="48" customHeight="1">
      <c r="A2" s="2" t="inlineStr">
        <is>
          <t>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is>
      </c>
    </row>
    <row r="3" ht="22" customHeight="1">
      <c r="A3" s="21" t="inlineStr">
        <is>
          <t>DİSİPLİN TOPLAMI →</t>
        </is>
      </c>
      <c r="C3" s="47">
        <f>"Kalem bazlı toplam: "&amp;TEXT(J543,"#,##0")&amp;" €   |   2026 teklif: "&amp;TEXT(K548,"0%")&amp;"   |   Geçmiş teklif uyarlaması: "&amp;TEXT(K549,"0%")&amp;"   |   Tahmin: "&amp;TEXT(K550,"0%")&amp;"   |   Kalem kalem görmek için sol kenardaki [+] / [1][2] düğmelerini kullanın"</f>
        <v/>
      </c>
    </row>
    <row r="4" ht="42" customHeight="1">
      <c r="A4" s="3" t="inlineStr">
        <is>
          <t>Sıra</t>
        </is>
      </c>
      <c r="B4" s="3" t="inlineStr">
        <is>
          <t>Poz</t>
        </is>
      </c>
      <c r="C4" s="3" t="inlineStr">
        <is>
          <t>Kalem / Alt kalem</t>
        </is>
      </c>
      <c r="D4" s="3" t="inlineStr">
        <is>
          <t>Birim</t>
        </is>
      </c>
      <c r="E4" s="3" t="inlineStr">
        <is>
          <t>Miktar (RFQ cetveli)</t>
        </is>
      </c>
      <c r="F4" s="3" t="inlineStr">
        <is>
          <t>Miktar (idare cevabına göre)</t>
        </is>
      </c>
      <c r="G4" s="3" t="inlineStr">
        <is>
          <t>Metraj payı geri alınan</t>
        </is>
      </c>
      <c r="H4" s="3" t="inlineStr">
        <is>
          <t>Net miktar (bütçe)</t>
        </is>
      </c>
      <c r="I4" s="3" t="inlineStr">
        <is>
          <t>Birim fiyat EUR (montaj dahil)</t>
        </is>
      </c>
      <c r="J4" s="3" t="inlineStr">
        <is>
          <t>Tutar EUR</t>
        </is>
      </c>
      <c r="K4" s="3" t="inlineStr">
        <is>
          <t>Fiyat türü</t>
        </is>
      </c>
      <c r="L4" s="3" t="inlineStr">
        <is>
          <t>Fiyat kaynağı / emsal (proje, firma, yıl, uyarlama)</t>
        </is>
      </c>
      <c r="M4" s="3" t="inlineStr">
        <is>
          <t>Not / düzeltme</t>
        </is>
      </c>
    </row>
    <row r="5">
      <c r="A5" s="48" t="inlineStr">
        <is>
          <t>236</t>
        </is>
      </c>
      <c r="B5" s="48" t="inlineStr">
        <is>
          <t>4001</t>
        </is>
      </c>
      <c r="C5" s="48" t="inlineStr">
        <is>
          <t>İletim Sistemi Tasarımı (1 set)</t>
        </is>
      </c>
      <c r="D5" s="48" t="n"/>
      <c r="E5" s="48" t="n"/>
      <c r="F5" s="48" t="n"/>
      <c r="G5" s="48" t="n"/>
      <c r="H5" s="48" t="inlineStr">
        <is>
          <t>RFQ tutarı →</t>
        </is>
      </c>
      <c r="I5" s="49">
        <f>SUMPRODUCT(E6:E7,I6:I7)</f>
        <v/>
      </c>
      <c r="J5" s="49">
        <f>SUM(J6:J7)</f>
        <v/>
      </c>
      <c r="K5" s="48" t="n"/>
      <c r="L5" s="48" t="n"/>
      <c r="M5" s="48" t="n"/>
    </row>
    <row r="6" outlineLevel="1">
      <c r="A6" s="27" t="n"/>
      <c r="B6" s="27" t="inlineStr">
        <is>
          <t>4001</t>
        </is>
      </c>
      <c r="C6" s="7" t="inlineStr">
        <is>
          <t>Uygulama projeleri, sistem mimarisi/blok şemaları, hesaplar (fiber ring, IP/VLAN planı, loss budget +6 dB marj)</t>
        </is>
      </c>
      <c r="D6" s="27" t="inlineStr">
        <is>
          <t>set</t>
        </is>
      </c>
      <c r="E6" s="50" t="n">
        <v>1</v>
      </c>
      <c r="F6" s="50" t="n">
        <v>1</v>
      </c>
      <c r="G6" s="27" t="inlineStr">
        <is>
          <t>-</t>
        </is>
      </c>
      <c r="H6" s="50">
        <f>F6</f>
        <v/>
      </c>
      <c r="I6" s="51" t="n">
        <v>16740</v>
      </c>
      <c r="J6" s="28">
        <f>H6*I6</f>
        <v/>
      </c>
      <c r="K6" s="52" t="inlineStr">
        <is>
          <t>GEÇMİŞ TEKLİF UYARLAMA</t>
        </is>
      </c>
      <c r="L6" s="7" t="inlineStr">
        <is>
          <t>REF-derin(1) – Narlıdere Uskom 2018 İletim sistemi tasarımı 15.477 € (metro 7 ist.) → mevcut 18.000 ile harmanlandı [Emsal ID: R01528]</t>
        </is>
      </c>
      <c r="M6" s="7" t="inlineStr">
        <is>
          <t>Tasarım, küçük tramvay ölçeği | İlk tahmin BF 18,000.00</t>
        </is>
      </c>
    </row>
    <row r="7" outlineLevel="1">
      <c r="A7" s="27" t="n"/>
      <c r="B7" s="27" t="inlineStr">
        <is>
          <t>4001</t>
        </is>
      </c>
      <c r="C7" s="7" t="inlineStr">
        <is>
          <t>Dokümantasyon: malzeme onayı, test prosedürleri, as-built, işletme-bakım el kitapları, eğitim dokümanı</t>
        </is>
      </c>
      <c r="D7" s="27" t="inlineStr">
        <is>
          <t>set</t>
        </is>
      </c>
      <c r="E7" s="50" t="n">
        <v>1</v>
      </c>
      <c r="F7" s="50" t="n">
        <v>1</v>
      </c>
      <c r="G7" s="27" t="inlineStr">
        <is>
          <t>-</t>
        </is>
      </c>
      <c r="H7" s="50">
        <f>F7</f>
        <v/>
      </c>
      <c r="I7" s="51" t="n">
        <v>7000</v>
      </c>
      <c r="J7" s="28">
        <f>H7*I7</f>
        <v/>
      </c>
      <c r="K7" s="53" t="inlineStr">
        <is>
          <t>MÜHENDİSLİK TAHMİNİ</t>
        </is>
      </c>
      <c r="L7" s="7" t="inlineStr">
        <is>
          <t>TAHMIN (emsal yok) – Uskom as-built kalemleri 1,5–17 k€ arası dağınık (metro) – korundu [Emsal ID: R01606;R01641]</t>
        </is>
      </c>
      <c r="M7" s="7" t="inlineStr">
        <is>
          <t>Tasarım, küçük tramvay ölçeği</t>
        </is>
      </c>
    </row>
    <row r="8">
      <c r="A8" s="48" t="inlineStr">
        <is>
          <t>237</t>
        </is>
      </c>
      <c r="B8" s="48" t="inlineStr">
        <is>
          <t>4002.A</t>
        </is>
      </c>
      <c r="C8" s="48" t="inlineStr">
        <is>
          <t>Göbekli Tepe İstasyonu İletim Sistemi (1 set)</t>
        </is>
      </c>
      <c r="D8" s="48" t="n"/>
      <c r="E8" s="48" t="n"/>
      <c r="F8" s="48" t="n"/>
      <c r="G8" s="48" t="n"/>
      <c r="H8" s="48" t="inlineStr">
        <is>
          <t>RFQ tutarı →</t>
        </is>
      </c>
      <c r="I8" s="49">
        <f>SUMPRODUCT(E9:E19,I9:I19)</f>
        <v/>
      </c>
      <c r="J8" s="49">
        <f>SUM(J9:J19)</f>
        <v/>
      </c>
      <c r="K8" s="48" t="n"/>
      <c r="L8" s="48" t="n"/>
      <c r="M8" s="48" t="n"/>
    </row>
    <row r="9" outlineLevel="1">
      <c r="A9" s="27" t="n"/>
      <c r="B9" s="27" t="inlineStr">
        <is>
          <t>4002.A</t>
        </is>
      </c>
      <c r="C9" s="7" t="inlineStr">
        <is>
          <t>Harici tip durak haberleşme dolabı (IP55, kilitli, 19'' raylı, havalandırmalı, pano odasındaki RACK KABİN)</t>
        </is>
      </c>
      <c r="D9" s="27" t="inlineStr">
        <is>
          <t>adet</t>
        </is>
      </c>
      <c r="E9" s="50" t="n">
        <v>2</v>
      </c>
      <c r="F9" s="50" t="n">
        <v>2</v>
      </c>
      <c r="G9" s="27" t="inlineStr">
        <is>
          <t>-</t>
        </is>
      </c>
      <c r="H9" s="50">
        <f>F9</f>
        <v/>
      </c>
      <c r="I9" s="51" t="n">
        <v>2800</v>
      </c>
      <c r="J9" s="28">
        <f>H9*I9</f>
        <v/>
      </c>
      <c r="K9" s="53" t="inlineStr">
        <is>
          <t>MÜHENDİSLİK TAHMİNİ</t>
        </is>
      </c>
      <c r="L9" s="7" t="inlineStr">
        <is>
          <t>TAHMIN (emsal yok) – IP55 harici 19" dolap – SAGE saha kabineti 372 € küçük kutu, emsal değil [Emsal ID: R03070]</t>
        </is>
      </c>
      <c r="M9" s="7" t="inlineStr">
        <is>
          <t>IP55 dış dolap 19" kurulu</t>
        </is>
      </c>
    </row>
    <row r="10" outlineLevel="1">
      <c r="A10" s="27" t="n"/>
      <c r="B10" s="27" t="inlineStr">
        <is>
          <t>4002.A</t>
        </is>
      </c>
      <c r="C10" s="7" t="inlineStr">
        <is>
          <t>Endüstriyel ağ anahtarı 12 port (8 PoE+ 10/100/1000 + 2 kombo + 2 SFP), L2/L3, DIN/19''</t>
        </is>
      </c>
      <c r="D10" s="27" t="inlineStr">
        <is>
          <t>adet</t>
        </is>
      </c>
      <c r="E10" s="50" t="n">
        <v>4</v>
      </c>
      <c r="F10" s="50" t="n">
        <v>4</v>
      </c>
      <c r="G10" s="27" t="inlineStr">
        <is>
          <t>-</t>
        </is>
      </c>
      <c r="H10" s="50">
        <f>F10</f>
        <v/>
      </c>
      <c r="I10" s="51" t="n">
        <v>2080</v>
      </c>
      <c r="J10" s="28">
        <f>H10*I10</f>
        <v/>
      </c>
      <c r="K10" s="52" t="inlineStr">
        <is>
          <t>GEÇMİŞ TEKLİF UYARLAMA</t>
        </is>
      </c>
      <c r="L10" s="7" t="inlineStr">
        <is>
          <t>REF-derin(1) – ALE OS6465-P12 (8 PoE+ +4 SFP, hardened) Buca 2021 955 € + DIN PSU 174 € (M) → +%20 kurulum/konfig = 1.355 € → mevcut 2.800 ile harmanlandı [Emsal ID: R02199;R02200]</t>
        </is>
      </c>
      <c r="M10" s="7" t="inlineStr">
        <is>
          <t>Endüstriyel L2/L3 PoE switch | İlk tahmin BF 2,800.00</t>
        </is>
      </c>
    </row>
    <row r="11" outlineLevel="1">
      <c r="A11" s="27" t="n"/>
      <c r="B11" s="27" t="inlineStr">
        <is>
          <t>4002.A</t>
        </is>
      </c>
      <c r="C11" s="7" t="inlineStr">
        <is>
          <t>SFP optik alıcı-verici modül (1000BASE-LX SM)</t>
        </is>
      </c>
      <c r="D11" s="27" t="inlineStr">
        <is>
          <t>adet</t>
        </is>
      </c>
      <c r="E11" s="50" t="n">
        <v>12</v>
      </c>
      <c r="F11" s="50" t="n">
        <v>12</v>
      </c>
      <c r="G11" s="27" t="inlineStr">
        <is>
          <t>-</t>
        </is>
      </c>
      <c r="H11" s="50">
        <f>F11</f>
        <v/>
      </c>
      <c r="I11" s="51" t="n">
        <v>162.97</v>
      </c>
      <c r="J11" s="28">
        <f>H11*I11</f>
        <v/>
      </c>
      <c r="K11" s="52" t="inlineStr">
        <is>
          <t>GEÇMİŞ TEKLİF UYARLAMA</t>
        </is>
      </c>
      <c r="L11" s="7" t="inlineStr">
        <is>
          <t>REF-derin – Üçyol-Buca M/Nokia/ALE 2021 149.85x1.05; Üçyol-Buca M/Nokia/ALE 2021 152.46x1.05; Üçyol-Buca M/Nokia/ALE 2021 157.96x1.05; Pendik-Kaynarca M/YM 2022 159.72x1.05 | Malzeme fiyatı (montaj hariç) +%5 takma/konfig.; 1000BASE-LX SM birebir | sonuç 162.97 [Emsal ID: R02201;R02168;R02188;R02921]</t>
        </is>
      </c>
      <c r="M11" s="7" t="inlineStr">
        <is>
          <t>İlk tahmin BF 150.00</t>
        </is>
      </c>
    </row>
    <row r="12" outlineLevel="1">
      <c r="A12" s="27" t="n"/>
      <c r="B12" s="27" t="inlineStr">
        <is>
          <t>4002.A</t>
        </is>
      </c>
      <c r="C12" s="7" t="inlineStr">
        <is>
          <t>Fiber optik ek/terminasyon kutusu (19'' ODF 24 port SC/LC, pigtail+adaptör dahil)</t>
        </is>
      </c>
      <c r="D12" s="27" t="inlineStr">
        <is>
          <t>adet</t>
        </is>
      </c>
      <c r="E12" s="50" t="n">
        <v>2</v>
      </c>
      <c r="F12" s="50" t="n">
        <v>2</v>
      </c>
      <c r="G12" s="27" t="inlineStr">
        <is>
          <t>-</t>
        </is>
      </c>
      <c r="H12" s="50">
        <f>F12</f>
        <v/>
      </c>
      <c r="I12" s="51" t="n">
        <v>477.59</v>
      </c>
      <c r="J12" s="28">
        <f>H12*I12</f>
        <v/>
      </c>
      <c r="K12" s="52" t="inlineStr">
        <is>
          <t>GEÇMİŞ TEKLİF UYARLAMA</t>
        </is>
      </c>
      <c r="L12" s="7" t="inlineStr">
        <is>
          <t>REF-derin – Başkentray/Thales 2012 642.56; Samsun LRT/Uskom 2008 477.59; Yerköy-Sivas YHT bina/YM 2019 121.86x1.6 | Pasif ekipman, yaş düzeltmesi yok; 12F birim x1,6 ile 24F eşleniği | sonuç 477.59 [Emsal ID: R01279;R03134;R01197]</t>
        </is>
      </c>
      <c r="M12" s="7" t="inlineStr">
        <is>
          <t>ODF 24 port, pigtail dahil | İlk tahmin BF 450.00</t>
        </is>
      </c>
    </row>
    <row r="13" outlineLevel="1">
      <c r="A13" s="27" t="n"/>
      <c r="B13" s="27" t="inlineStr">
        <is>
          <t>4002.A</t>
        </is>
      </c>
      <c r="C13" s="7" t="inlineStr">
        <is>
          <t>Pigtail LC + füzyon ek (sonlandırma, 24 core MM alt ring)</t>
        </is>
      </c>
      <c r="D13" s="27" t="inlineStr">
        <is>
          <t>adet</t>
        </is>
      </c>
      <c r="E13" s="50" t="n">
        <v>125</v>
      </c>
      <c r="F13" s="54" t="n">
        <v>42</v>
      </c>
      <c r="G13" s="27" t="inlineStr">
        <is>
          <t>-</t>
        </is>
      </c>
      <c r="H13" s="50">
        <f>F13</f>
        <v/>
      </c>
      <c r="I13" s="51" t="n">
        <v>10.94</v>
      </c>
      <c r="J13" s="28">
        <f>H13*I13</f>
        <v/>
      </c>
      <c r="K13" s="52" t="inlineStr">
        <is>
          <t>GEÇMİŞ TEKLİF UYARLAMA</t>
        </is>
      </c>
      <c r="L13" s="7" t="inlineStr">
        <is>
          <t>REF-derin – SAGE bina/YM 2018 8.44; Narlıdere M/Uskom 2018 13.45 | Fiber başı sonlandırma+OTDR, M+İ | sonuç 10.94 [Emsal ID: R03083;R01636]</t>
        </is>
      </c>
      <c r="M13" s="7" t="inlineStr">
        <is>
          <t>İdare: 24 ve 8 core SM; alt ring 8 core → ek ×8/24 | İlk tahmin BF 18.00</t>
        </is>
      </c>
    </row>
    <row r="14" outlineLevel="1">
      <c r="A14" s="27" t="n"/>
      <c r="B14" s="27" t="inlineStr">
        <is>
          <t>4002.A</t>
        </is>
      </c>
      <c r="C14" s="7" t="inlineStr">
        <is>
          <t>F/O patch cord SM LC-LC duplex 2 m</t>
        </is>
      </c>
      <c r="D14" s="27" t="inlineStr">
        <is>
          <t>adet</t>
        </is>
      </c>
      <c r="E14" s="50" t="n">
        <v>11</v>
      </c>
      <c r="F14" s="50" t="n">
        <v>11</v>
      </c>
      <c r="G14" s="27" t="inlineStr">
        <is>
          <t>-</t>
        </is>
      </c>
      <c r="H14" s="50">
        <f>F14</f>
        <v/>
      </c>
      <c r="I14" s="51" t="n">
        <v>6.96</v>
      </c>
      <c r="J14" s="28">
        <f>H14*I14</f>
        <v/>
      </c>
      <c r="K14" s="52" t="inlineStr">
        <is>
          <t>GEÇMİŞ TEKLİF UYARLAMA</t>
        </is>
      </c>
      <c r="L14" s="7" t="inlineStr">
        <is>
          <t>REF-derin – SAGE bina/YM 2018 5.63; Üçyol-Buca M/Nokia/ALE 2021 6.63x1.05; Narlıdere M/Uskom 2018 13.33 | Malzeme emsaline +%5 | sonuç 6.96 [Emsal ID: R03081;R02236;R01615]</t>
        </is>
      </c>
      <c r="M14" s="7" t="inlineStr">
        <is>
          <t>İlk tahmin BF 12.00</t>
        </is>
      </c>
    </row>
    <row r="15" outlineLevel="1">
      <c r="A15" s="27" t="n"/>
      <c r="B15" s="27" t="inlineStr">
        <is>
          <t>4002.A</t>
        </is>
      </c>
      <c r="C15" s="7" t="inlineStr">
        <is>
          <t>CAT6 bakır patch panel 24 port + CAT6 patch cord (1 m) seti</t>
        </is>
      </c>
      <c r="D15" s="27" t="inlineStr">
        <is>
          <t>set</t>
        </is>
      </c>
      <c r="E15" s="50" t="n">
        <v>2</v>
      </c>
      <c r="F15" s="50" t="n">
        <v>2</v>
      </c>
      <c r="G15" s="27" t="inlineStr">
        <is>
          <t>-</t>
        </is>
      </c>
      <c r="H15" s="50">
        <f>F15</f>
        <v/>
      </c>
      <c r="I15" s="51" t="n">
        <v>168.56</v>
      </c>
      <c r="J15" s="28">
        <f>H15*I15</f>
        <v/>
      </c>
      <c r="K15" s="52" t="inlineStr">
        <is>
          <t>GEÇMİŞ TEKLİF UYARLAMA</t>
        </is>
      </c>
      <c r="L15" s="7" t="inlineStr">
        <is>
          <t>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is>
      </c>
      <c r="M15" s="7" t="inlineStr">
        <is>
          <t>İlk tahmin BF 220.00</t>
        </is>
      </c>
    </row>
    <row r="16" outlineLevel="1">
      <c r="A16" s="27" t="n"/>
      <c r="B16" s="27" t="inlineStr">
        <is>
          <t>4002.A</t>
        </is>
      </c>
      <c r="C16" s="7" t="inlineStr">
        <is>
          <t>Dolap içi güç dağıtım (PDU) + PoE/ekipman güç adaptörleri, yıldırım/aşırı gerilim koruyucu (data hattı)</t>
        </is>
      </c>
      <c r="D16" s="27" t="inlineStr">
        <is>
          <t>set</t>
        </is>
      </c>
      <c r="E16" s="50" t="n">
        <v>2</v>
      </c>
      <c r="F16" s="50" t="n">
        <v>2</v>
      </c>
      <c r="G16" s="27" t="inlineStr">
        <is>
          <t>-</t>
        </is>
      </c>
      <c r="H16" s="50">
        <f>F16</f>
        <v/>
      </c>
      <c r="I16" s="51" t="n">
        <v>600</v>
      </c>
      <c r="J16" s="28">
        <f>H16*I16</f>
        <v/>
      </c>
      <c r="K16" s="53" t="inlineStr">
        <is>
          <t>MÜHENDİSLİK TAHMİNİ</t>
        </is>
      </c>
      <c r="L16" s="7" t="inlineStr">
        <is>
          <t>TAHMIN (emsal yok) – PDU/data SPD emsali yok</t>
        </is>
      </c>
      <c r="M16" s="7" t="inlineStr">
        <is>
          <t>PDU+adaptör+SPD</t>
        </is>
      </c>
    </row>
    <row r="17" outlineLevel="1">
      <c r="A17" s="27" t="n"/>
      <c r="B17" s="27" t="inlineStr">
        <is>
          <t>4002.A</t>
        </is>
      </c>
      <c r="C17" s="7" t="inlineStr">
        <is>
          <t>SM F/O kablo 8 core zırhlı (RACK KABİN-1 ↔ RACK KABİN-2, hat altı geçiş)</t>
        </is>
      </c>
      <c r="D17" s="27" t="inlineStr">
        <is>
          <t>m</t>
        </is>
      </c>
      <c r="E17" s="50" t="n">
        <v>58</v>
      </c>
      <c r="F17" s="50" t="n">
        <v>58</v>
      </c>
      <c r="G17" s="27" t="inlineStr">
        <is>
          <t>fire+%30</t>
        </is>
      </c>
      <c r="H17" s="50">
        <f>F17/IF(Varsayimlar!$B$21=1,1.43,1)</f>
        <v/>
      </c>
      <c r="I17" s="51" t="n">
        <v>2.08</v>
      </c>
      <c r="J17" s="28">
        <f>H17*I17</f>
        <v/>
      </c>
      <c r="K17" s="52" t="inlineStr">
        <is>
          <t>GEÇMİŞ TEKLİF UYARLAMA</t>
        </is>
      </c>
      <c r="L17" s="7" t="inlineStr">
        <is>
          <t>REF-derin – SAGE bina/YM 2018 6.76; Bursa T2/Kocaeli Tr/Prysmian liste 2014 1344.34; Narlıdere M/Uskom 2018 1.63 | Prysmian 12F zırhlı liste 1,34 €/m x0,65 iskonto +1,21 €/m döşeme (Tepeköy R03277) = 2,08; medyan | sonuç 2.08 [Emsal ID: R03079;R02802;R01801;R03277]</t>
        </is>
      </c>
      <c r="M17" s="7" t="inlineStr">
        <is>
          <t>8 core SM zırhlı, çekim dahil | İlk tahmin BF 1.80</t>
        </is>
      </c>
    </row>
    <row r="18" outlineLevel="1">
      <c r="A18" s="27" t="n"/>
      <c r="B18" s="27" t="inlineStr">
        <is>
          <t>4002.A</t>
        </is>
      </c>
      <c r="C18" s="7" t="inlineStr">
        <is>
          <t>Ø110 koruge boru (istasyon zayıf/kuvvetli akım borulama tesisatı, peron altı + yol altı geçiş)</t>
        </is>
      </c>
      <c r="D18" s="27" t="inlineStr">
        <is>
          <t>m</t>
        </is>
      </c>
      <c r="E18" s="50" t="n">
        <v>1430</v>
      </c>
      <c r="F18" s="50" t="n">
        <v>1430</v>
      </c>
      <c r="G18" s="27" t="inlineStr">
        <is>
          <t>fire+%30</t>
        </is>
      </c>
      <c r="H18" s="50">
        <f>F18/IF(Varsayimlar!$B$21=1,1.43,1)</f>
        <v/>
      </c>
      <c r="I18" s="51" t="n">
        <v>5.5</v>
      </c>
      <c r="J18" s="28">
        <f>H18*I18</f>
        <v/>
      </c>
      <c r="K18" s="53" t="inlineStr">
        <is>
          <t>MÜHENDİSLİK TAHMİNİ</t>
        </is>
      </c>
      <c r="L18" s="7" t="inlineStr">
        <is>
          <t>TAHMIN (emsal yok) – Ø110 koruge: refler çapsız (3,5–4,6 €/m); 5,5 € korundu [Emsal ID: R04035;R01311]</t>
        </is>
      </c>
      <c r="M18" s="7" t="inlineStr">
        <is>
          <t>Kazı hariç boru döşeme</t>
        </is>
      </c>
    </row>
    <row r="19" outlineLevel="1">
      <c r="A19" s="27" t="n"/>
      <c r="B19" s="27" t="inlineStr">
        <is>
          <t>4002.A</t>
        </is>
      </c>
      <c r="C19" s="7" t="inlineStr">
        <is>
          <t>İletim sistemi test/devreye alma, OTDR ölçümü, dokümantasyon (istasyon)</t>
        </is>
      </c>
      <c r="D19" s="27" t="inlineStr">
        <is>
          <t>set</t>
        </is>
      </c>
      <c r="E19" s="50" t="n">
        <v>1</v>
      </c>
      <c r="F19" s="50" t="n">
        <v>1</v>
      </c>
      <c r="G19" s="27" t="inlineStr">
        <is>
          <t>-</t>
        </is>
      </c>
      <c r="H19" s="50">
        <f>F19</f>
        <v/>
      </c>
      <c r="I19" s="51" t="n">
        <v>2500</v>
      </c>
      <c r="J19" s="28">
        <f>H19*I19</f>
        <v/>
      </c>
      <c r="K19" s="53" t="inlineStr">
        <is>
          <t>MÜHENDİSLİK TAHMİNİ</t>
        </is>
      </c>
      <c r="L19" s="7" t="inlineStr">
        <is>
          <t>TAHMIN (emsal yok) – Durak başı T&amp;C emsali yok (Pendik 5.152/ist. yeraltı metro tüm montaj dahil, kıyaslanamaz)</t>
        </is>
      </c>
      <c r="M19" s="7" t="inlineStr">
        <is>
          <t>2 kabinli istasyon</t>
        </is>
      </c>
    </row>
    <row r="20">
      <c r="A20" s="48" t="inlineStr">
        <is>
          <t>238</t>
        </is>
      </c>
      <c r="B20" s="48" t="inlineStr">
        <is>
          <t>4002.B</t>
        </is>
      </c>
      <c r="C20" s="48" t="inlineStr">
        <is>
          <t>Hızmalı Köprüsü İstasyonu İletim Sistemi (1 set)</t>
        </is>
      </c>
      <c r="D20" s="48" t="n"/>
      <c r="E20" s="48" t="n"/>
      <c r="F20" s="48" t="n"/>
      <c r="G20" s="48" t="n"/>
      <c r="H20" s="48" t="inlineStr">
        <is>
          <t>RFQ tutarı →</t>
        </is>
      </c>
      <c r="I20" s="49">
        <f>SUMPRODUCT(E21:E30,I21:I30)</f>
        <v/>
      </c>
      <c r="J20" s="49">
        <f>SUM(J21:J30)</f>
        <v/>
      </c>
      <c r="K20" s="48" t="n"/>
      <c r="L20" s="48" t="n"/>
      <c r="M20" s="48" t="n"/>
    </row>
    <row r="21" outlineLevel="1">
      <c r="A21" s="27" t="n"/>
      <c r="B21" s="27" t="inlineStr">
        <is>
          <t>4002.B</t>
        </is>
      </c>
      <c r="C21" s="7" t="inlineStr">
        <is>
          <t>Harici tip durak haberleşme dolabı (IP55, kilitli, 19'' raylı, havalandırmalı, pano odasındaki RACK KABİN)</t>
        </is>
      </c>
      <c r="D21" s="27" t="inlineStr">
        <is>
          <t>adet</t>
        </is>
      </c>
      <c r="E21" s="50" t="n">
        <v>1</v>
      </c>
      <c r="F21" s="50" t="n">
        <v>1</v>
      </c>
      <c r="G21" s="27" t="inlineStr">
        <is>
          <t>-</t>
        </is>
      </c>
      <c r="H21" s="50">
        <f>F21</f>
        <v/>
      </c>
      <c r="I21" s="51" t="n">
        <v>2800</v>
      </c>
      <c r="J21" s="28">
        <f>H21*I21</f>
        <v/>
      </c>
      <c r="K21" s="53" t="inlineStr">
        <is>
          <t>MÜHENDİSLİK TAHMİNİ</t>
        </is>
      </c>
      <c r="L21" s="7" t="inlineStr">
        <is>
          <t>TAHMIN (emsal yok) – IP55 dış ortam 19" durak dolabı emsali yok (SAGE saha kabini/8U kutu küçük)</t>
        </is>
      </c>
      <c r="M21" s="7" t="inlineStr">
        <is>
          <t>IP55 dış dolap 19" kurulu</t>
        </is>
      </c>
    </row>
    <row r="22" outlineLevel="1">
      <c r="A22" s="27" t="n"/>
      <c r="B22" s="27" t="inlineStr">
        <is>
          <t>4002.B</t>
        </is>
      </c>
      <c r="C22" s="7" t="inlineStr">
        <is>
          <t>Endüstriyel ağ anahtarı 12 port (8 PoE+ 10/100/1000 + 2 kombo + 2 SFP), L2/L3, DIN/19''</t>
        </is>
      </c>
      <c r="D22" s="27" t="inlineStr">
        <is>
          <t>adet</t>
        </is>
      </c>
      <c r="E22" s="50" t="n">
        <v>3</v>
      </c>
      <c r="F22" s="50" t="n">
        <v>3</v>
      </c>
      <c r="G22" s="27" t="inlineStr">
        <is>
          <t>-</t>
        </is>
      </c>
      <c r="H22" s="50">
        <f>F22</f>
        <v/>
      </c>
      <c r="I22" s="51" t="n">
        <v>2080</v>
      </c>
      <c r="J22" s="28">
        <f>H22*I22</f>
        <v/>
      </c>
      <c r="K22" s="52" t="inlineStr">
        <is>
          <t>GEÇMİŞ TEKLİF UYARLAMA</t>
        </is>
      </c>
      <c r="L22" s="7" t="inlineStr">
        <is>
          <t>REF-derin(1) – ALE OS6465-P12 (8 PoE+ +4 SFP, hardened) Buca 2021 955 € + DIN PSU 174 € (M) → +%20 kurulum/konfig = 1.355 € → mevcut 2.800 ile harmanlandı [Emsal ID: R02199;R02200]</t>
        </is>
      </c>
      <c r="M22" s="7" t="inlineStr">
        <is>
          <t>Endüstriyel L2/L3 PoE switch | İlk tahmin BF 2,800.00</t>
        </is>
      </c>
    </row>
    <row r="23" outlineLevel="1">
      <c r="A23" s="27" t="n"/>
      <c r="B23" s="27" t="inlineStr">
        <is>
          <t>4002.B</t>
        </is>
      </c>
      <c r="C23" s="7" t="inlineStr">
        <is>
          <t>SFP optik alıcı-verici modül (1000BASE-LX SM)</t>
        </is>
      </c>
      <c r="D23" s="27" t="inlineStr">
        <is>
          <t>adet</t>
        </is>
      </c>
      <c r="E23" s="50" t="n">
        <v>8</v>
      </c>
      <c r="F23" s="50" t="n">
        <v>8</v>
      </c>
      <c r="G23" s="27" t="inlineStr">
        <is>
          <t>-</t>
        </is>
      </c>
      <c r="H23" s="50">
        <f>F23</f>
        <v/>
      </c>
      <c r="I23" s="51" t="n">
        <v>162.97</v>
      </c>
      <c r="J23" s="28">
        <f>H23*I23</f>
        <v/>
      </c>
      <c r="K23" s="52" t="inlineStr">
        <is>
          <t>GEÇMİŞ TEKLİF UYARLAMA</t>
        </is>
      </c>
      <c r="L23" s="7" t="inlineStr">
        <is>
          <t>REF-derin – Üçyol-Buca M/Nokia/ALE 2021 149.85x1.05; Üçyol-Buca M/Nokia/ALE 2021 152.46x1.05; Üçyol-Buca M/Nokia/ALE 2021 157.96x1.05; Pendik-Kaynarca M/YM 2022 159.72x1.05 | Malzeme fiyatı (montaj hariç) +%5 takma/konfig.; 1000BASE-LX SM birebir | sonuç 162.97 [Emsal ID: R02201;R02168;R02188;R02921]</t>
        </is>
      </c>
      <c r="M23" s="7" t="inlineStr">
        <is>
          <t>İlk tahmin BF 150.00</t>
        </is>
      </c>
    </row>
    <row r="24" outlineLevel="1">
      <c r="A24" s="27" t="n"/>
      <c r="B24" s="27" t="inlineStr">
        <is>
          <t>4002.B</t>
        </is>
      </c>
      <c r="C24" s="7" t="inlineStr">
        <is>
          <t>Fiber optik ek/terminasyon kutusu (19'' ODF 24 port SC/LC, pigtail+adaptör dahil)</t>
        </is>
      </c>
      <c r="D24" s="27" t="inlineStr">
        <is>
          <t>adet</t>
        </is>
      </c>
      <c r="E24" s="50" t="n">
        <v>1</v>
      </c>
      <c r="F24" s="50" t="n">
        <v>1</v>
      </c>
      <c r="G24" s="27" t="inlineStr">
        <is>
          <t>-</t>
        </is>
      </c>
      <c r="H24" s="50">
        <f>F24</f>
        <v/>
      </c>
      <c r="I24" s="51" t="n">
        <v>477.59</v>
      </c>
      <c r="J24" s="28">
        <f>H24*I24</f>
        <v/>
      </c>
      <c r="K24" s="52" t="inlineStr">
        <is>
          <t>GEÇMİŞ TEKLİF UYARLAMA</t>
        </is>
      </c>
      <c r="L24" s="7" t="inlineStr">
        <is>
          <t>REF-derin – Başkentray/Thales 2012 642.56; Samsun LRT/Uskom 2008 477.59; Yerköy-Sivas YHT bina/YM 2019 121.86x1.6 | Pasif ekipman, yaş düzeltmesi yok; 12F birim x1,6 ile 24F eşleniği | sonuç 477.59 [Emsal ID: R01279;R03134;R01197]</t>
        </is>
      </c>
      <c r="M24" s="7" t="inlineStr">
        <is>
          <t>ODF 24 port, pigtail dahil | İlk tahmin BF 450.00</t>
        </is>
      </c>
    </row>
    <row r="25" outlineLevel="1">
      <c r="A25" s="27" t="n"/>
      <c r="B25" s="27" t="inlineStr">
        <is>
          <t>4002.B</t>
        </is>
      </c>
      <c r="C25" s="7" t="inlineStr">
        <is>
          <t>Pigtail LC + füzyon ek (sonlandırma, 24 core MM alt ring)</t>
        </is>
      </c>
      <c r="D25" s="27" t="inlineStr">
        <is>
          <t>adet</t>
        </is>
      </c>
      <c r="E25" s="50" t="n">
        <v>63</v>
      </c>
      <c r="F25" s="54" t="n">
        <v>21</v>
      </c>
      <c r="G25" s="27" t="inlineStr">
        <is>
          <t>-</t>
        </is>
      </c>
      <c r="H25" s="50">
        <f>F25</f>
        <v/>
      </c>
      <c r="I25" s="51" t="n">
        <v>10.94</v>
      </c>
      <c r="J25" s="28">
        <f>H25*I25</f>
        <v/>
      </c>
      <c r="K25" s="52" t="inlineStr">
        <is>
          <t>GEÇMİŞ TEKLİF UYARLAMA</t>
        </is>
      </c>
      <c r="L25" s="7" t="inlineStr">
        <is>
          <t>REF-derin – SAGE bina/YM 2018 8.44; Narlıdere M/Uskom 2018 13.45 | Fiber başı sonlandırma+OTDR, M+İ | sonuç 10.94 [Emsal ID: R03083;R01636]</t>
        </is>
      </c>
      <c r="M25" s="7" t="inlineStr">
        <is>
          <t>İdare: 24 ve 8 core SM; alt ring 8 core → ek ×8/24 | İlk tahmin BF 18.00</t>
        </is>
      </c>
    </row>
    <row r="26" outlineLevel="1">
      <c r="A26" s="27" t="n"/>
      <c r="B26" s="27" t="inlineStr">
        <is>
          <t>4002.B</t>
        </is>
      </c>
      <c r="C26" s="7" t="inlineStr">
        <is>
          <t>F/O patch cord SM LC-LC duplex 2 m</t>
        </is>
      </c>
      <c r="D26" s="27" t="inlineStr">
        <is>
          <t>adet</t>
        </is>
      </c>
      <c r="E26" s="50" t="n">
        <v>6</v>
      </c>
      <c r="F26" s="50" t="n">
        <v>6</v>
      </c>
      <c r="G26" s="27" t="inlineStr">
        <is>
          <t>-</t>
        </is>
      </c>
      <c r="H26" s="50">
        <f>F26</f>
        <v/>
      </c>
      <c r="I26" s="51" t="n">
        <v>6.96</v>
      </c>
      <c r="J26" s="28">
        <f>H26*I26</f>
        <v/>
      </c>
      <c r="K26" s="52" t="inlineStr">
        <is>
          <t>GEÇMİŞ TEKLİF UYARLAMA</t>
        </is>
      </c>
      <c r="L26" s="7" t="inlineStr">
        <is>
          <t>REF-derin – SAGE bina/YM 2018 5.63; Üçyol-Buca M/Nokia/ALE 2021 6.63x1.05; Narlıdere M/Uskom 2018 13.33 | Malzeme emsaline +%5 | sonuç 6.96 [Emsal ID: R03081;R02236;R01615]</t>
        </is>
      </c>
      <c r="M26" s="7" t="inlineStr">
        <is>
          <t>İlk tahmin BF 12.00</t>
        </is>
      </c>
    </row>
    <row r="27" outlineLevel="1">
      <c r="A27" s="27" t="n"/>
      <c r="B27" s="27" t="inlineStr">
        <is>
          <t>4002.B</t>
        </is>
      </c>
      <c r="C27" s="7" t="inlineStr">
        <is>
          <t>CAT6 bakır patch panel 24 port + CAT6 patch cord (1 m) seti</t>
        </is>
      </c>
      <c r="D27" s="27" t="inlineStr">
        <is>
          <t>set</t>
        </is>
      </c>
      <c r="E27" s="50" t="n">
        <v>1</v>
      </c>
      <c r="F27" s="50" t="n">
        <v>1</v>
      </c>
      <c r="G27" s="27" t="inlineStr">
        <is>
          <t>-</t>
        </is>
      </c>
      <c r="H27" s="50">
        <f>F27</f>
        <v/>
      </c>
      <c r="I27" s="51" t="n">
        <v>168.56</v>
      </c>
      <c r="J27" s="28">
        <f>H27*I27</f>
        <v/>
      </c>
      <c r="K27" s="52" t="inlineStr">
        <is>
          <t>GEÇMİŞ TEKLİF UYARLAMA</t>
        </is>
      </c>
      <c r="L27" s="7" t="inlineStr">
        <is>
          <t>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is>
      </c>
      <c r="M27" s="7" t="inlineStr">
        <is>
          <t>İlk tahmin BF 220.00</t>
        </is>
      </c>
    </row>
    <row r="28" outlineLevel="1">
      <c r="A28" s="27" t="n"/>
      <c r="B28" s="27" t="inlineStr">
        <is>
          <t>4002.B</t>
        </is>
      </c>
      <c r="C28" s="7" t="inlineStr">
        <is>
          <t>Dolap içi güç dağıtım (PDU) + PoE/ekipman güç adaptörleri, yıldırım/aşırı gerilim koruyucu (data hattı)</t>
        </is>
      </c>
      <c r="D28" s="27" t="inlineStr">
        <is>
          <t>set</t>
        </is>
      </c>
      <c r="E28" s="50" t="n">
        <v>1</v>
      </c>
      <c r="F28" s="50" t="n">
        <v>1</v>
      </c>
      <c r="G28" s="27" t="inlineStr">
        <is>
          <t>-</t>
        </is>
      </c>
      <c r="H28" s="50">
        <f>F28</f>
        <v/>
      </c>
      <c r="I28" s="51" t="n">
        <v>600</v>
      </c>
      <c r="J28" s="28">
        <f>H28*I28</f>
        <v/>
      </c>
      <c r="K28" s="53" t="inlineStr">
        <is>
          <t>MÜHENDİSLİK TAHMİNİ</t>
        </is>
      </c>
      <c r="L28" s="7" t="inlineStr">
        <is>
          <t>TAHMIN (emsal yok) – PDU/data SPD emsali yok</t>
        </is>
      </c>
      <c r="M28" s="7" t="inlineStr">
        <is>
          <t>PDU+adaptör+SPD</t>
        </is>
      </c>
    </row>
    <row r="29" outlineLevel="1">
      <c r="A29" s="27" t="n"/>
      <c r="B29" s="27" t="inlineStr">
        <is>
          <t>4002.B</t>
        </is>
      </c>
      <c r="C29" s="7" t="inlineStr">
        <is>
          <t>Ø110 koruge boru (istasyon zayıf/kuvvetli akım borulama tesisatı, peron altı + yol altı geçiş)</t>
        </is>
      </c>
      <c r="D29" s="27" t="inlineStr">
        <is>
          <t>m</t>
        </is>
      </c>
      <c r="E29" s="50" t="n">
        <v>1210</v>
      </c>
      <c r="F29" s="50" t="n">
        <v>1210</v>
      </c>
      <c r="G29" s="27" t="inlineStr">
        <is>
          <t>fire+%30</t>
        </is>
      </c>
      <c r="H29" s="50">
        <f>F29/IF(Varsayimlar!$B$21=1,1.43,1)</f>
        <v/>
      </c>
      <c r="I29" s="51" t="n">
        <v>6.89</v>
      </c>
      <c r="J29" s="28">
        <f>H29*I29</f>
        <v/>
      </c>
      <c r="K29" s="52" t="inlineStr">
        <is>
          <t>GEÇMİŞ TEKLİF UYARLAMA</t>
        </is>
      </c>
      <c r="L29" s="7" t="inlineStr">
        <is>
          <t>REF-derin – Bursa T2/Kocaeli Tr/FER 2015 9.14; Çerkezköy-Kapıkule anahat/YM 2018 4.63 | Kazı hariç boru döşeme; Ø100 koruge (tramvay) + HDPE geçiş borusu | sonuç 6.89 [Emsal ID: R05762;R01311]</t>
        </is>
      </c>
      <c r="M29" s="7" t="inlineStr">
        <is>
          <t>Kazı hariç boru döşeme | İlk tahmin BF 5.50</t>
        </is>
      </c>
    </row>
    <row r="30" outlineLevel="1">
      <c r="A30" s="27" t="n"/>
      <c r="B30" s="27" t="inlineStr">
        <is>
          <t>4002.B</t>
        </is>
      </c>
      <c r="C30" s="7" t="inlineStr">
        <is>
          <t>İletim sistemi test/devreye alma, OTDR ölçümü, dokümantasyon (istasyon)</t>
        </is>
      </c>
      <c r="D30" s="27" t="inlineStr">
        <is>
          <t>set</t>
        </is>
      </c>
      <c r="E30" s="50" t="n">
        <v>1</v>
      </c>
      <c r="F30" s="50" t="n">
        <v>1</v>
      </c>
      <c r="G30" s="27" t="inlineStr">
        <is>
          <t>-</t>
        </is>
      </c>
      <c r="H30" s="50">
        <f>F30</f>
        <v/>
      </c>
      <c r="I30" s="51" t="n">
        <v>1800</v>
      </c>
      <c r="J30" s="28">
        <f>H30*I30</f>
        <v/>
      </c>
      <c r="K30" s="53" t="inlineStr">
        <is>
          <t>MÜHENDİSLİK TAHMİNİ</t>
        </is>
      </c>
      <c r="L30" s="7" t="inlineStr">
        <is>
          <t>TAHMIN (emsal yok) – Durak başı T&amp;C emsali yok (Pendik 5.152/ist. yeraltı metro tüm montaj dahil, kıyaslanamaz)</t>
        </is>
      </c>
      <c r="M30" s="7" t="inlineStr"/>
    </row>
    <row r="31">
      <c r="A31" s="48" t="inlineStr">
        <is>
          <t>239</t>
        </is>
      </c>
      <c r="B31" s="48" t="inlineStr">
        <is>
          <t>4002.C</t>
        </is>
      </c>
      <c r="C31" s="48" t="inlineStr">
        <is>
          <t>Balıklıgöl İstasyonu İletim Sistemi (1 set)</t>
        </is>
      </c>
      <c r="D31" s="48" t="n"/>
      <c r="E31" s="48" t="n"/>
      <c r="F31" s="48" t="n"/>
      <c r="G31" s="48" t="n"/>
      <c r="H31" s="48" t="inlineStr">
        <is>
          <t>RFQ tutarı →</t>
        </is>
      </c>
      <c r="I31" s="49">
        <f>SUMPRODUCT(E32:E41,I32:I41)</f>
        <v/>
      </c>
      <c r="J31" s="49">
        <f>SUM(J32:J41)</f>
        <v/>
      </c>
      <c r="K31" s="48" t="n"/>
      <c r="L31" s="48" t="n"/>
      <c r="M31" s="48" t="n"/>
    </row>
    <row r="32" outlineLevel="1">
      <c r="A32" s="27" t="n"/>
      <c r="B32" s="27" t="inlineStr">
        <is>
          <t>4002.C</t>
        </is>
      </c>
      <c r="C32" s="7" t="inlineStr">
        <is>
          <t>Harici tip durak haberleşme dolabı (IP55, kilitli, 19'' raylı, havalandırmalı, pano odasındaki RACK KABİN)</t>
        </is>
      </c>
      <c r="D32" s="27" t="inlineStr">
        <is>
          <t>adet</t>
        </is>
      </c>
      <c r="E32" s="50" t="n">
        <v>1</v>
      </c>
      <c r="F32" s="50" t="n">
        <v>1</v>
      </c>
      <c r="G32" s="27" t="inlineStr">
        <is>
          <t>-</t>
        </is>
      </c>
      <c r="H32" s="50">
        <f>F32</f>
        <v/>
      </c>
      <c r="I32" s="51" t="n">
        <v>2800</v>
      </c>
      <c r="J32" s="28">
        <f>H32*I32</f>
        <v/>
      </c>
      <c r="K32" s="53" t="inlineStr">
        <is>
          <t>MÜHENDİSLİK TAHMİNİ</t>
        </is>
      </c>
      <c r="L32" s="7" t="inlineStr">
        <is>
          <t>TAHMIN (emsal yok) – IP55 dış ortam 19" durak dolabı emsali yok (SAGE saha kabini/8U kutu küçük)</t>
        </is>
      </c>
      <c r="M32" s="7" t="inlineStr">
        <is>
          <t>IP55 dış dolap 19" kurulu</t>
        </is>
      </c>
    </row>
    <row r="33" outlineLevel="1">
      <c r="A33" s="27" t="n"/>
      <c r="B33" s="27" t="inlineStr">
        <is>
          <t>4002.C</t>
        </is>
      </c>
      <c r="C33" s="7" t="inlineStr">
        <is>
          <t>Endüstriyel ağ anahtarı 12 port (8 PoE+ 10/100/1000 + 2 kombo + 2 SFP), L2/L3, DIN/19''</t>
        </is>
      </c>
      <c r="D33" s="27" t="inlineStr">
        <is>
          <t>adet</t>
        </is>
      </c>
      <c r="E33" s="50" t="n">
        <v>3</v>
      </c>
      <c r="F33" s="50" t="n">
        <v>3</v>
      </c>
      <c r="G33" s="27" t="inlineStr">
        <is>
          <t>-</t>
        </is>
      </c>
      <c r="H33" s="50">
        <f>F33</f>
        <v/>
      </c>
      <c r="I33" s="51" t="n">
        <v>2080</v>
      </c>
      <c r="J33" s="28">
        <f>H33*I33</f>
        <v/>
      </c>
      <c r="K33" s="52" t="inlineStr">
        <is>
          <t>GEÇMİŞ TEKLİF UYARLAMA</t>
        </is>
      </c>
      <c r="L33" s="7" t="inlineStr">
        <is>
          <t>REF-derin(1) – ALE OS6465-P12 (8 PoE+ +4 SFP, hardened) Buca 2021 955 € + DIN PSU 174 € (M) → +%20 kurulum/konfig = 1.355 € → mevcut 2.800 ile harmanlandı [Emsal ID: R02199;R02200]</t>
        </is>
      </c>
      <c r="M33" s="7" t="inlineStr">
        <is>
          <t>Endüstriyel L2/L3 PoE switch | İlk tahmin BF 2,800.00</t>
        </is>
      </c>
    </row>
    <row r="34" outlineLevel="1">
      <c r="A34" s="27" t="n"/>
      <c r="B34" s="27" t="inlineStr">
        <is>
          <t>4002.C</t>
        </is>
      </c>
      <c r="C34" s="7" t="inlineStr">
        <is>
          <t>SFP optik alıcı-verici modül (1000BASE-LX SM)</t>
        </is>
      </c>
      <c r="D34" s="27" t="inlineStr">
        <is>
          <t>adet</t>
        </is>
      </c>
      <c r="E34" s="50" t="n">
        <v>8</v>
      </c>
      <c r="F34" s="50" t="n">
        <v>8</v>
      </c>
      <c r="G34" s="27" t="inlineStr">
        <is>
          <t>-</t>
        </is>
      </c>
      <c r="H34" s="50">
        <f>F34</f>
        <v/>
      </c>
      <c r="I34" s="51" t="n">
        <v>162.97</v>
      </c>
      <c r="J34" s="28">
        <f>H34*I34</f>
        <v/>
      </c>
      <c r="K34" s="52" t="inlineStr">
        <is>
          <t>GEÇMİŞ TEKLİF UYARLAMA</t>
        </is>
      </c>
      <c r="L34" s="7" t="inlineStr">
        <is>
          <t>REF-derin – Üçyol-Buca M/Nokia/ALE 2021 149.85x1.05; Üçyol-Buca M/Nokia/ALE 2021 152.46x1.05; Üçyol-Buca M/Nokia/ALE 2021 157.96x1.05; Pendik-Kaynarca M/YM 2022 159.72x1.05 | Malzeme fiyatı (montaj hariç) +%5 takma/konfig.; 1000BASE-LX SM birebir | sonuç 162.97 [Emsal ID: R02201;R02168;R02188;R02921]</t>
        </is>
      </c>
      <c r="M34" s="7" t="inlineStr">
        <is>
          <t>İlk tahmin BF 150.00</t>
        </is>
      </c>
    </row>
    <row r="35" outlineLevel="1">
      <c r="A35" s="27" t="n"/>
      <c r="B35" s="27" t="inlineStr">
        <is>
          <t>4002.C</t>
        </is>
      </c>
      <c r="C35" s="7" t="inlineStr">
        <is>
          <t>Fiber optik ek/terminasyon kutusu (19'' ODF 24 port SC/LC, pigtail+adaptör dahil)</t>
        </is>
      </c>
      <c r="D35" s="27" t="inlineStr">
        <is>
          <t>adet</t>
        </is>
      </c>
      <c r="E35" s="50" t="n">
        <v>1</v>
      </c>
      <c r="F35" s="50" t="n">
        <v>1</v>
      </c>
      <c r="G35" s="27" t="inlineStr">
        <is>
          <t>-</t>
        </is>
      </c>
      <c r="H35" s="50">
        <f>F35</f>
        <v/>
      </c>
      <c r="I35" s="51" t="n">
        <v>477.59</v>
      </c>
      <c r="J35" s="28">
        <f>H35*I35</f>
        <v/>
      </c>
      <c r="K35" s="52" t="inlineStr">
        <is>
          <t>GEÇMİŞ TEKLİF UYARLAMA</t>
        </is>
      </c>
      <c r="L35" s="7" t="inlineStr">
        <is>
          <t>REF-derin – Başkentray/Thales 2012 642.56; Samsun LRT/Uskom 2008 477.59; Yerköy-Sivas YHT bina/YM 2019 121.86x1.6 | Pasif ekipman, yaş düzeltmesi yok; 12F birim x1,6 ile 24F eşleniği | sonuç 477.59 [Emsal ID: R01279;R03134;R01197]</t>
        </is>
      </c>
      <c r="M35" s="7" t="inlineStr">
        <is>
          <t>ODF 24 port, pigtail dahil | İlk tahmin BF 450.00</t>
        </is>
      </c>
    </row>
    <row r="36" outlineLevel="1">
      <c r="A36" s="27" t="n"/>
      <c r="B36" s="27" t="inlineStr">
        <is>
          <t>4002.C</t>
        </is>
      </c>
      <c r="C36" s="7" t="inlineStr">
        <is>
          <t>Pigtail LC + füzyon ek (sonlandırma, 24 core MM alt ring)</t>
        </is>
      </c>
      <c r="D36" s="27" t="inlineStr">
        <is>
          <t>adet</t>
        </is>
      </c>
      <c r="E36" s="50" t="n">
        <v>63</v>
      </c>
      <c r="F36" s="54" t="n">
        <v>21</v>
      </c>
      <c r="G36" s="27" t="inlineStr">
        <is>
          <t>-</t>
        </is>
      </c>
      <c r="H36" s="50">
        <f>F36</f>
        <v/>
      </c>
      <c r="I36" s="51" t="n">
        <v>10.94</v>
      </c>
      <c r="J36" s="28">
        <f>H36*I36</f>
        <v/>
      </c>
      <c r="K36" s="52" t="inlineStr">
        <is>
          <t>GEÇMİŞ TEKLİF UYARLAMA</t>
        </is>
      </c>
      <c r="L36" s="7" t="inlineStr">
        <is>
          <t>REF-derin – SAGE bina/YM 2018 8.44; Narlıdere M/Uskom 2018 13.45 | Fiber başı sonlandırma+OTDR, M+İ | sonuç 10.94 [Emsal ID: R03083;R01636]</t>
        </is>
      </c>
      <c r="M36" s="7" t="inlineStr">
        <is>
          <t>İdare: 24 ve 8 core SM; alt ring 8 core → ek ×8/24 | İlk tahmin BF 18.00</t>
        </is>
      </c>
    </row>
    <row r="37" outlineLevel="1">
      <c r="A37" s="27" t="n"/>
      <c r="B37" s="27" t="inlineStr">
        <is>
          <t>4002.C</t>
        </is>
      </c>
      <c r="C37" s="7" t="inlineStr">
        <is>
          <t>F/O patch cord SM LC-LC duplex 2 m</t>
        </is>
      </c>
      <c r="D37" s="27" t="inlineStr">
        <is>
          <t>adet</t>
        </is>
      </c>
      <c r="E37" s="50" t="n">
        <v>6</v>
      </c>
      <c r="F37" s="50" t="n">
        <v>6</v>
      </c>
      <c r="G37" s="27" t="inlineStr">
        <is>
          <t>-</t>
        </is>
      </c>
      <c r="H37" s="50">
        <f>F37</f>
        <v/>
      </c>
      <c r="I37" s="51" t="n">
        <v>6.96</v>
      </c>
      <c r="J37" s="28">
        <f>H37*I37</f>
        <v/>
      </c>
      <c r="K37" s="52" t="inlineStr">
        <is>
          <t>GEÇMİŞ TEKLİF UYARLAMA</t>
        </is>
      </c>
      <c r="L37" s="7" t="inlineStr">
        <is>
          <t>REF-derin – SAGE bina/YM 2018 5.63; Üçyol-Buca M/Nokia/ALE 2021 6.63x1.05; Narlıdere M/Uskom 2018 13.33 | Malzeme emsaline +%5 | sonuç 6.96 [Emsal ID: R03081;R02236;R01615]</t>
        </is>
      </c>
      <c r="M37" s="7" t="inlineStr">
        <is>
          <t>İlk tahmin BF 12.00</t>
        </is>
      </c>
    </row>
    <row r="38" outlineLevel="1">
      <c r="A38" s="27" t="n"/>
      <c r="B38" s="27" t="inlineStr">
        <is>
          <t>4002.C</t>
        </is>
      </c>
      <c r="C38" s="7" t="inlineStr">
        <is>
          <t>CAT6 bakır patch panel 24 port + CAT6 patch cord (1 m) seti</t>
        </is>
      </c>
      <c r="D38" s="27" t="inlineStr">
        <is>
          <t>set</t>
        </is>
      </c>
      <c r="E38" s="50" t="n">
        <v>1</v>
      </c>
      <c r="F38" s="50" t="n">
        <v>1</v>
      </c>
      <c r="G38" s="27" t="inlineStr">
        <is>
          <t>-</t>
        </is>
      </c>
      <c r="H38" s="50">
        <f>F38</f>
        <v/>
      </c>
      <c r="I38" s="51" t="n">
        <v>168.56</v>
      </c>
      <c r="J38" s="28">
        <f>H38*I38</f>
        <v/>
      </c>
      <c r="K38" s="52" t="inlineStr">
        <is>
          <t>GEÇMİŞ TEKLİF UYARLAMA</t>
        </is>
      </c>
      <c r="L38" s="7" t="inlineStr">
        <is>
          <t>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is>
      </c>
      <c r="M38" s="7" t="inlineStr">
        <is>
          <t>İlk tahmin BF 220.00</t>
        </is>
      </c>
    </row>
    <row r="39" outlineLevel="1">
      <c r="A39" s="27" t="n"/>
      <c r="B39" s="27" t="inlineStr">
        <is>
          <t>4002.C</t>
        </is>
      </c>
      <c r="C39" s="7" t="inlineStr">
        <is>
          <t>Dolap içi güç dağıtım (PDU) + PoE/ekipman güç adaptörleri, yıldırım/aşırı gerilim koruyucu (data hattı)</t>
        </is>
      </c>
      <c r="D39" s="27" t="inlineStr">
        <is>
          <t>set</t>
        </is>
      </c>
      <c r="E39" s="50" t="n">
        <v>1</v>
      </c>
      <c r="F39" s="50" t="n">
        <v>1</v>
      </c>
      <c r="G39" s="27" t="inlineStr">
        <is>
          <t>-</t>
        </is>
      </c>
      <c r="H39" s="50">
        <f>F39</f>
        <v/>
      </c>
      <c r="I39" s="51" t="n">
        <v>600</v>
      </c>
      <c r="J39" s="28">
        <f>H39*I39</f>
        <v/>
      </c>
      <c r="K39" s="53" t="inlineStr">
        <is>
          <t>MÜHENDİSLİK TAHMİNİ</t>
        </is>
      </c>
      <c r="L39" s="7" t="inlineStr">
        <is>
          <t>TAHMIN (emsal yok) – PDU/data SPD emsali yok</t>
        </is>
      </c>
      <c r="M39" s="7" t="inlineStr">
        <is>
          <t>PDU+adaptör+SPD</t>
        </is>
      </c>
    </row>
    <row r="40" outlineLevel="1">
      <c r="A40" s="27" t="n"/>
      <c r="B40" s="27" t="inlineStr">
        <is>
          <t>4002.C</t>
        </is>
      </c>
      <c r="C40" s="7" t="inlineStr">
        <is>
          <t>Ø110 koruge boru (istasyon zayıf/kuvvetli akım borulama tesisatı, peron altı + yol altı geçiş)</t>
        </is>
      </c>
      <c r="D40" s="27" t="inlineStr">
        <is>
          <t>m</t>
        </is>
      </c>
      <c r="E40" s="50" t="n">
        <v>1210</v>
      </c>
      <c r="F40" s="50" t="n">
        <v>1210</v>
      </c>
      <c r="G40" s="27" t="inlineStr">
        <is>
          <t>fire+%30</t>
        </is>
      </c>
      <c r="H40" s="50">
        <f>F40/IF(Varsayimlar!$B$21=1,1.43,1)</f>
        <v/>
      </c>
      <c r="I40" s="51" t="n">
        <v>6.89</v>
      </c>
      <c r="J40" s="28">
        <f>H40*I40</f>
        <v/>
      </c>
      <c r="K40" s="52" t="inlineStr">
        <is>
          <t>GEÇMİŞ TEKLİF UYARLAMA</t>
        </is>
      </c>
      <c r="L40" s="7" t="inlineStr">
        <is>
          <t>REF-derin – Bursa T2/Kocaeli Tr/FER 2015 9.14; Çerkezköy-Kapıkule anahat/YM 2018 4.63 | Kazı hariç boru döşeme; Ø100 koruge (tramvay) + HDPE geçiş borusu | sonuç 6.89 [Emsal ID: R05762;R01311]</t>
        </is>
      </c>
      <c r="M40" s="7" t="inlineStr">
        <is>
          <t>Kazı hariç boru döşeme | İlk tahmin BF 5.50</t>
        </is>
      </c>
    </row>
    <row r="41" outlineLevel="1">
      <c r="A41" s="27" t="n"/>
      <c r="B41" s="27" t="inlineStr">
        <is>
          <t>4002.C</t>
        </is>
      </c>
      <c r="C41" s="7" t="inlineStr">
        <is>
          <t>İletim sistemi test/devreye alma, OTDR ölçümü, dokümantasyon (istasyon)</t>
        </is>
      </c>
      <c r="D41" s="27" t="inlineStr">
        <is>
          <t>set</t>
        </is>
      </c>
      <c r="E41" s="50" t="n">
        <v>1</v>
      </c>
      <c r="F41" s="50" t="n">
        <v>1</v>
      </c>
      <c r="G41" s="27" t="inlineStr">
        <is>
          <t>-</t>
        </is>
      </c>
      <c r="H41" s="50">
        <f>F41</f>
        <v/>
      </c>
      <c r="I41" s="51" t="n">
        <v>1800</v>
      </c>
      <c r="J41" s="28">
        <f>H41*I41</f>
        <v/>
      </c>
      <c r="K41" s="53" t="inlineStr">
        <is>
          <t>MÜHENDİSLİK TAHMİNİ</t>
        </is>
      </c>
      <c r="L41" s="7" t="inlineStr">
        <is>
          <t>TAHMIN (emsal yok) – Durak başı T&amp;C emsali yok (Pendik 5.152/ist. yeraltı metro tüm montaj dahil, kıyaslanamaz)</t>
        </is>
      </c>
      <c r="M41" s="7" t="inlineStr"/>
    </row>
    <row r="42">
      <c r="A42" s="48" t="inlineStr">
        <is>
          <t>240</t>
        </is>
      </c>
      <c r="B42" s="48" t="inlineStr">
        <is>
          <t>4002.D</t>
        </is>
      </c>
      <c r="C42" s="48" t="inlineStr">
        <is>
          <t>Eyüp Peygamber İstasyonu İletim Sistemi (1 set)</t>
        </is>
      </c>
      <c r="D42" s="48" t="n"/>
      <c r="E42" s="48" t="n"/>
      <c r="F42" s="48" t="n"/>
      <c r="G42" s="48" t="n"/>
      <c r="H42" s="48" t="inlineStr">
        <is>
          <t>RFQ tutarı →</t>
        </is>
      </c>
      <c r="I42" s="49">
        <f>SUMPRODUCT(E43:E52,I43:I52)</f>
        <v/>
      </c>
      <c r="J42" s="49">
        <f>SUM(J43:J52)</f>
        <v/>
      </c>
      <c r="K42" s="48" t="n"/>
      <c r="L42" s="48" t="n"/>
      <c r="M42" s="48" t="n"/>
    </row>
    <row r="43" outlineLevel="1">
      <c r="A43" s="27" t="n"/>
      <c r="B43" s="27" t="inlineStr">
        <is>
          <t>4002.D</t>
        </is>
      </c>
      <c r="C43" s="7" t="inlineStr">
        <is>
          <t>Harici tip durak haberleşme dolabı (IP55, kilitli, 19'' raylı, havalandırmalı, pano odasındaki RACK KABİN)</t>
        </is>
      </c>
      <c r="D43" s="27" t="inlineStr">
        <is>
          <t>adet</t>
        </is>
      </c>
      <c r="E43" s="50" t="n">
        <v>1</v>
      </c>
      <c r="F43" s="50" t="n">
        <v>1</v>
      </c>
      <c r="G43" s="27" t="inlineStr">
        <is>
          <t>-</t>
        </is>
      </c>
      <c r="H43" s="50">
        <f>F43</f>
        <v/>
      </c>
      <c r="I43" s="51" t="n">
        <v>2800</v>
      </c>
      <c r="J43" s="28">
        <f>H43*I43</f>
        <v/>
      </c>
      <c r="K43" s="53" t="inlineStr">
        <is>
          <t>MÜHENDİSLİK TAHMİNİ</t>
        </is>
      </c>
      <c r="L43" s="7" t="inlineStr">
        <is>
          <t>TAHMIN (emsal yok) – IP55 dış ortam 19" durak dolabı emsali yok (SAGE saha kabini/8U kutu küçük)</t>
        </is>
      </c>
      <c r="M43" s="7" t="inlineStr">
        <is>
          <t>IP55 dış dolap 19" kurulu</t>
        </is>
      </c>
    </row>
    <row r="44" outlineLevel="1">
      <c r="A44" s="27" t="n"/>
      <c r="B44" s="27" t="inlineStr">
        <is>
          <t>4002.D</t>
        </is>
      </c>
      <c r="C44" s="7" t="inlineStr">
        <is>
          <t>Endüstriyel ağ anahtarı 12 port (8 PoE+ 10/100/1000 + 2 kombo + 2 SFP), L2/L3, DIN/19''</t>
        </is>
      </c>
      <c r="D44" s="27" t="inlineStr">
        <is>
          <t>adet</t>
        </is>
      </c>
      <c r="E44" s="50" t="n">
        <v>3</v>
      </c>
      <c r="F44" s="50" t="n">
        <v>3</v>
      </c>
      <c r="G44" s="27" t="inlineStr">
        <is>
          <t>-</t>
        </is>
      </c>
      <c r="H44" s="50">
        <f>F44</f>
        <v/>
      </c>
      <c r="I44" s="51" t="n">
        <v>2080</v>
      </c>
      <c r="J44" s="28">
        <f>H44*I44</f>
        <v/>
      </c>
      <c r="K44" s="52" t="inlineStr">
        <is>
          <t>GEÇMİŞ TEKLİF UYARLAMA</t>
        </is>
      </c>
      <c r="L44" s="7" t="inlineStr">
        <is>
          <t>REF-derin(1) – ALE OS6465-P12 (8 PoE+ +4 SFP, hardened) Buca 2021 955 € + DIN PSU 174 € (M) → +%20 kurulum/konfig = 1.355 € → mevcut 2.800 ile harmanlandı [Emsal ID: R02199;R02200]</t>
        </is>
      </c>
      <c r="M44" s="7" t="inlineStr">
        <is>
          <t>Endüstriyel L2/L3 PoE switch | İlk tahmin BF 2,800.00</t>
        </is>
      </c>
    </row>
    <row r="45" outlineLevel="1">
      <c r="A45" s="27" t="n"/>
      <c r="B45" s="27" t="inlineStr">
        <is>
          <t>4002.D</t>
        </is>
      </c>
      <c r="C45" s="7" t="inlineStr">
        <is>
          <t>SFP optik alıcı-verici modül (1000BASE-LX SM)</t>
        </is>
      </c>
      <c r="D45" s="27" t="inlineStr">
        <is>
          <t>adet</t>
        </is>
      </c>
      <c r="E45" s="50" t="n">
        <v>8</v>
      </c>
      <c r="F45" s="50" t="n">
        <v>8</v>
      </c>
      <c r="G45" s="27" t="inlineStr">
        <is>
          <t>-</t>
        </is>
      </c>
      <c r="H45" s="50">
        <f>F45</f>
        <v/>
      </c>
      <c r="I45" s="51" t="n">
        <v>162.97</v>
      </c>
      <c r="J45" s="28">
        <f>H45*I45</f>
        <v/>
      </c>
      <c r="K45" s="52" t="inlineStr">
        <is>
          <t>GEÇMİŞ TEKLİF UYARLAMA</t>
        </is>
      </c>
      <c r="L45" s="7" t="inlineStr">
        <is>
          <t>REF-derin – Üçyol-Buca M/Nokia/ALE 2021 149.85x1.05; Üçyol-Buca M/Nokia/ALE 2021 152.46x1.05; Üçyol-Buca M/Nokia/ALE 2021 157.96x1.05; Pendik-Kaynarca M/YM 2022 159.72x1.05 | Malzeme fiyatı (montaj hariç) +%5 takma/konfig.; 1000BASE-LX SM birebir | sonuç 162.97 [Emsal ID: R02201;R02168;R02188;R02921]</t>
        </is>
      </c>
      <c r="M45" s="7" t="inlineStr">
        <is>
          <t>İlk tahmin BF 150.00</t>
        </is>
      </c>
    </row>
    <row r="46" outlineLevel="1">
      <c r="A46" s="27" t="n"/>
      <c r="B46" s="27" t="inlineStr">
        <is>
          <t>4002.D</t>
        </is>
      </c>
      <c r="C46" s="7" t="inlineStr">
        <is>
          <t>Fiber optik ek/terminasyon kutusu (19'' ODF 24 port SC/LC, pigtail+adaptör dahil)</t>
        </is>
      </c>
      <c r="D46" s="27" t="inlineStr">
        <is>
          <t>adet</t>
        </is>
      </c>
      <c r="E46" s="50" t="n">
        <v>1</v>
      </c>
      <c r="F46" s="50" t="n">
        <v>1</v>
      </c>
      <c r="G46" s="27" t="inlineStr">
        <is>
          <t>-</t>
        </is>
      </c>
      <c r="H46" s="50">
        <f>F46</f>
        <v/>
      </c>
      <c r="I46" s="51" t="n">
        <v>477.59</v>
      </c>
      <c r="J46" s="28">
        <f>H46*I46</f>
        <v/>
      </c>
      <c r="K46" s="52" t="inlineStr">
        <is>
          <t>GEÇMİŞ TEKLİF UYARLAMA</t>
        </is>
      </c>
      <c r="L46" s="7" t="inlineStr">
        <is>
          <t>REF-derin – Başkentray/Thales 2012 642.56; Samsun LRT/Uskom 2008 477.59; Yerköy-Sivas YHT bina/YM 2019 121.86x1.6 | Pasif ekipman, yaş düzeltmesi yok; 12F birim x1,6 ile 24F eşleniği | sonuç 477.59 [Emsal ID: R01279;R03134;R01197]</t>
        </is>
      </c>
      <c r="M46" s="7" t="inlineStr">
        <is>
          <t>ODF 24 port, pigtail dahil | İlk tahmin BF 450.00</t>
        </is>
      </c>
    </row>
    <row r="47" outlineLevel="1">
      <c r="A47" s="27" t="n"/>
      <c r="B47" s="27" t="inlineStr">
        <is>
          <t>4002.D</t>
        </is>
      </c>
      <c r="C47" s="7" t="inlineStr">
        <is>
          <t>Pigtail LC + füzyon ek (sonlandırma, 24 core MM alt ring)</t>
        </is>
      </c>
      <c r="D47" s="27" t="inlineStr">
        <is>
          <t>adet</t>
        </is>
      </c>
      <c r="E47" s="50" t="n">
        <v>63</v>
      </c>
      <c r="F47" s="54" t="n">
        <v>21</v>
      </c>
      <c r="G47" s="27" t="inlineStr">
        <is>
          <t>-</t>
        </is>
      </c>
      <c r="H47" s="50">
        <f>F47</f>
        <v/>
      </c>
      <c r="I47" s="51" t="n">
        <v>10.94</v>
      </c>
      <c r="J47" s="28">
        <f>H47*I47</f>
        <v/>
      </c>
      <c r="K47" s="52" t="inlineStr">
        <is>
          <t>GEÇMİŞ TEKLİF UYARLAMA</t>
        </is>
      </c>
      <c r="L47" s="7" t="inlineStr">
        <is>
          <t>REF-derin – SAGE bina/YM 2018 8.44; Narlıdere M/Uskom 2018 13.45 | Fiber başı sonlandırma+OTDR, M+İ | sonuç 10.94 [Emsal ID: R03083;R01636]</t>
        </is>
      </c>
      <c r="M47" s="7" t="inlineStr">
        <is>
          <t>İdare: 24 ve 8 core SM; alt ring 8 core → ek ×8/24 | İlk tahmin BF 18.00</t>
        </is>
      </c>
    </row>
    <row r="48" outlineLevel="1">
      <c r="A48" s="27" t="n"/>
      <c r="B48" s="27" t="inlineStr">
        <is>
          <t>4002.D</t>
        </is>
      </c>
      <c r="C48" s="7" t="inlineStr">
        <is>
          <t>F/O patch cord SM LC-LC duplex 2 m</t>
        </is>
      </c>
      <c r="D48" s="27" t="inlineStr">
        <is>
          <t>adet</t>
        </is>
      </c>
      <c r="E48" s="50" t="n">
        <v>6</v>
      </c>
      <c r="F48" s="50" t="n">
        <v>6</v>
      </c>
      <c r="G48" s="27" t="inlineStr">
        <is>
          <t>-</t>
        </is>
      </c>
      <c r="H48" s="50">
        <f>F48</f>
        <v/>
      </c>
      <c r="I48" s="51" t="n">
        <v>6.96</v>
      </c>
      <c r="J48" s="28">
        <f>H48*I48</f>
        <v/>
      </c>
      <c r="K48" s="52" t="inlineStr">
        <is>
          <t>GEÇMİŞ TEKLİF UYARLAMA</t>
        </is>
      </c>
      <c r="L48" s="7" t="inlineStr">
        <is>
          <t>REF-derin – SAGE bina/YM 2018 5.63; Üçyol-Buca M/Nokia/ALE 2021 6.63x1.05; Narlıdere M/Uskom 2018 13.33 | Malzeme emsaline +%5 | sonuç 6.96 [Emsal ID: R03081;R02236;R01615]</t>
        </is>
      </c>
      <c r="M48" s="7" t="inlineStr">
        <is>
          <t>İlk tahmin BF 12.00</t>
        </is>
      </c>
    </row>
    <row r="49" outlineLevel="1">
      <c r="A49" s="27" t="n"/>
      <c r="B49" s="27" t="inlineStr">
        <is>
          <t>4002.D</t>
        </is>
      </c>
      <c r="C49" s="7" t="inlineStr">
        <is>
          <t>CAT6 bakır patch panel 24 port + CAT6 patch cord (1 m) seti</t>
        </is>
      </c>
      <c r="D49" s="27" t="inlineStr">
        <is>
          <t>set</t>
        </is>
      </c>
      <c r="E49" s="50" t="n">
        <v>1</v>
      </c>
      <c r="F49" s="50" t="n">
        <v>1</v>
      </c>
      <c r="G49" s="27" t="inlineStr">
        <is>
          <t>-</t>
        </is>
      </c>
      <c r="H49" s="50">
        <f>F49</f>
        <v/>
      </c>
      <c r="I49" s="51" t="n">
        <v>168.56</v>
      </c>
      <c r="J49" s="28">
        <f>H49*I49</f>
        <v/>
      </c>
      <c r="K49" s="52" t="inlineStr">
        <is>
          <t>GEÇMİŞ TEKLİF UYARLAMA</t>
        </is>
      </c>
      <c r="L49" s="7" t="inlineStr">
        <is>
          <t>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is>
      </c>
      <c r="M49" s="7" t="inlineStr">
        <is>
          <t>İlk tahmin BF 220.00</t>
        </is>
      </c>
    </row>
    <row r="50" outlineLevel="1">
      <c r="A50" s="27" t="n"/>
      <c r="B50" s="27" t="inlineStr">
        <is>
          <t>4002.D</t>
        </is>
      </c>
      <c r="C50" s="7" t="inlineStr">
        <is>
          <t>Dolap içi güç dağıtım (PDU) + PoE/ekipman güç adaptörleri, yıldırım/aşırı gerilim koruyucu (data hattı)</t>
        </is>
      </c>
      <c r="D50" s="27" t="inlineStr">
        <is>
          <t>set</t>
        </is>
      </c>
      <c r="E50" s="50" t="n">
        <v>1</v>
      </c>
      <c r="F50" s="50" t="n">
        <v>1</v>
      </c>
      <c r="G50" s="27" t="inlineStr">
        <is>
          <t>-</t>
        </is>
      </c>
      <c r="H50" s="50">
        <f>F50</f>
        <v/>
      </c>
      <c r="I50" s="51" t="n">
        <v>600</v>
      </c>
      <c r="J50" s="28">
        <f>H50*I50</f>
        <v/>
      </c>
      <c r="K50" s="53" t="inlineStr">
        <is>
          <t>MÜHENDİSLİK TAHMİNİ</t>
        </is>
      </c>
      <c r="L50" s="7" t="inlineStr">
        <is>
          <t>TAHMIN (emsal yok) – PDU/data SPD emsali yok</t>
        </is>
      </c>
      <c r="M50" s="7" t="inlineStr">
        <is>
          <t>PDU+adaptör+SPD</t>
        </is>
      </c>
    </row>
    <row r="51" outlineLevel="1">
      <c r="A51" s="27" t="n"/>
      <c r="B51" s="27" t="inlineStr">
        <is>
          <t>4002.D</t>
        </is>
      </c>
      <c r="C51" s="7" t="inlineStr">
        <is>
          <t>Ø110 koruge boru (istasyon zayıf/kuvvetli akım borulama tesisatı, peron altı + yol altı geçiş)</t>
        </is>
      </c>
      <c r="D51" s="27" t="inlineStr">
        <is>
          <t>m</t>
        </is>
      </c>
      <c r="E51" s="50" t="n">
        <v>1210</v>
      </c>
      <c r="F51" s="50" t="n">
        <v>1210</v>
      </c>
      <c r="G51" s="27" t="inlineStr">
        <is>
          <t>fire+%30</t>
        </is>
      </c>
      <c r="H51" s="50">
        <f>F51/IF(Varsayimlar!$B$21=1,1.43,1)</f>
        <v/>
      </c>
      <c r="I51" s="51" t="n">
        <v>6.89</v>
      </c>
      <c r="J51" s="28">
        <f>H51*I51</f>
        <v/>
      </c>
      <c r="K51" s="52" t="inlineStr">
        <is>
          <t>GEÇMİŞ TEKLİF UYARLAMA</t>
        </is>
      </c>
      <c r="L51" s="7" t="inlineStr">
        <is>
          <t>REF-derin – Bursa T2/Kocaeli Tr/FER 2015 9.14; Çerkezköy-Kapıkule anahat/YM 2018 4.63 | Kazı hariç boru döşeme; Ø100 koruge (tramvay) + HDPE geçiş borusu | sonuç 6.89 [Emsal ID: R05762;R01311]</t>
        </is>
      </c>
      <c r="M51" s="7" t="inlineStr">
        <is>
          <t>Kazı hariç boru döşeme | İlk tahmin BF 5.50</t>
        </is>
      </c>
    </row>
    <row r="52" outlineLevel="1">
      <c r="A52" s="27" t="n"/>
      <c r="B52" s="27" t="inlineStr">
        <is>
          <t>4002.D</t>
        </is>
      </c>
      <c r="C52" s="7" t="inlineStr">
        <is>
          <t>İletim sistemi test/devreye alma, OTDR ölçümü, dokümantasyon (istasyon)</t>
        </is>
      </c>
      <c r="D52" s="27" t="inlineStr">
        <is>
          <t>set</t>
        </is>
      </c>
      <c r="E52" s="50" t="n">
        <v>1</v>
      </c>
      <c r="F52" s="50" t="n">
        <v>1</v>
      </c>
      <c r="G52" s="27" t="inlineStr">
        <is>
          <t>-</t>
        </is>
      </c>
      <c r="H52" s="50">
        <f>F52</f>
        <v/>
      </c>
      <c r="I52" s="51" t="n">
        <v>1800</v>
      </c>
      <c r="J52" s="28">
        <f>H52*I52</f>
        <v/>
      </c>
      <c r="K52" s="53" t="inlineStr">
        <is>
          <t>MÜHENDİSLİK TAHMİNİ</t>
        </is>
      </c>
      <c r="L52" s="7" t="inlineStr">
        <is>
          <t>TAHMIN (emsal yok) – Durak başı T&amp;C emsali yok (Pendik 5.152/ist. yeraltı metro tüm montaj dahil, kıyaslanamaz)</t>
        </is>
      </c>
      <c r="M52" s="7" t="inlineStr"/>
    </row>
    <row r="53">
      <c r="A53" s="48" t="inlineStr">
        <is>
          <t>241</t>
        </is>
      </c>
      <c r="B53" s="48" t="inlineStr">
        <is>
          <t>4002.E</t>
        </is>
      </c>
      <c r="C53" s="48" t="inlineStr">
        <is>
          <t>Rasathane İstasyonu İletim Sistemi (1 set)</t>
        </is>
      </c>
      <c r="D53" s="48" t="n"/>
      <c r="E53" s="48" t="n"/>
      <c r="F53" s="48" t="n"/>
      <c r="G53" s="48" t="n"/>
      <c r="H53" s="48" t="inlineStr">
        <is>
          <t>RFQ tutarı →</t>
        </is>
      </c>
      <c r="I53" s="49">
        <f>SUMPRODUCT(E54:E63,I54:I63)</f>
        <v/>
      </c>
      <c r="J53" s="49">
        <f>SUM(J54:J63)</f>
        <v/>
      </c>
      <c r="K53" s="48" t="n"/>
      <c r="L53" s="48" t="n"/>
      <c r="M53" s="48" t="n"/>
    </row>
    <row r="54" outlineLevel="1">
      <c r="A54" s="27" t="n"/>
      <c r="B54" s="27" t="inlineStr">
        <is>
          <t>4002.E</t>
        </is>
      </c>
      <c r="C54" s="7" t="inlineStr">
        <is>
          <t>Harici tip durak haberleşme dolabı (IP55, kilitli, 19'' raylı, havalandırmalı, pano odasındaki RACK KABİN)</t>
        </is>
      </c>
      <c r="D54" s="27" t="inlineStr">
        <is>
          <t>adet</t>
        </is>
      </c>
      <c r="E54" s="50" t="n">
        <v>1</v>
      </c>
      <c r="F54" s="50" t="n">
        <v>1</v>
      </c>
      <c r="G54" s="27" t="inlineStr">
        <is>
          <t>-</t>
        </is>
      </c>
      <c r="H54" s="50">
        <f>F54</f>
        <v/>
      </c>
      <c r="I54" s="51" t="n">
        <v>2800</v>
      </c>
      <c r="J54" s="28">
        <f>H54*I54</f>
        <v/>
      </c>
      <c r="K54" s="53" t="inlineStr">
        <is>
          <t>MÜHENDİSLİK TAHMİNİ</t>
        </is>
      </c>
      <c r="L54" s="7" t="inlineStr">
        <is>
          <t>TAHMIN (emsal yok) – IP55 dış ortam 19" durak dolabı emsali yok (SAGE saha kabini/8U kutu küçük)</t>
        </is>
      </c>
      <c r="M54" s="7" t="inlineStr">
        <is>
          <t>IP55 dış dolap 19" kurulu</t>
        </is>
      </c>
    </row>
    <row r="55" outlineLevel="1">
      <c r="A55" s="27" t="n"/>
      <c r="B55" s="27" t="inlineStr">
        <is>
          <t>4002.E</t>
        </is>
      </c>
      <c r="C55" s="7" t="inlineStr">
        <is>
          <t>Endüstriyel ağ anahtarı 12 port (8 PoE+ 10/100/1000 + 2 kombo + 2 SFP), L2/L3, DIN/19''</t>
        </is>
      </c>
      <c r="D55" s="27" t="inlineStr">
        <is>
          <t>adet</t>
        </is>
      </c>
      <c r="E55" s="50" t="n">
        <v>3</v>
      </c>
      <c r="F55" s="50" t="n">
        <v>3</v>
      </c>
      <c r="G55" s="27" t="inlineStr">
        <is>
          <t>-</t>
        </is>
      </c>
      <c r="H55" s="50">
        <f>F55</f>
        <v/>
      </c>
      <c r="I55" s="51" t="n">
        <v>2080</v>
      </c>
      <c r="J55" s="28">
        <f>H55*I55</f>
        <v/>
      </c>
      <c r="K55" s="52" t="inlineStr">
        <is>
          <t>GEÇMİŞ TEKLİF UYARLAMA</t>
        </is>
      </c>
      <c r="L55" s="7" t="inlineStr">
        <is>
          <t>REF-derin(1) – ALE OS6465-P12 (8 PoE+ +4 SFP, hardened) Buca 2021 955 € + DIN PSU 174 € (M) → +%20 kurulum/konfig = 1.355 € → mevcut 2.800 ile harmanlandı [Emsal ID: R02199;R02200]</t>
        </is>
      </c>
      <c r="M55" s="7" t="inlineStr">
        <is>
          <t>Endüstriyel L2/L3 PoE switch | İlk tahmin BF 2,800.00</t>
        </is>
      </c>
    </row>
    <row r="56" outlineLevel="1">
      <c r="A56" s="27" t="n"/>
      <c r="B56" s="27" t="inlineStr">
        <is>
          <t>4002.E</t>
        </is>
      </c>
      <c r="C56" s="7" t="inlineStr">
        <is>
          <t>SFP optik alıcı-verici modül (1000BASE-LX SM)</t>
        </is>
      </c>
      <c r="D56" s="27" t="inlineStr">
        <is>
          <t>adet</t>
        </is>
      </c>
      <c r="E56" s="50" t="n">
        <v>8</v>
      </c>
      <c r="F56" s="50" t="n">
        <v>8</v>
      </c>
      <c r="G56" s="27" t="inlineStr">
        <is>
          <t>-</t>
        </is>
      </c>
      <c r="H56" s="50">
        <f>F56</f>
        <v/>
      </c>
      <c r="I56" s="51" t="n">
        <v>162.97</v>
      </c>
      <c r="J56" s="28">
        <f>H56*I56</f>
        <v/>
      </c>
      <c r="K56" s="52" t="inlineStr">
        <is>
          <t>GEÇMİŞ TEKLİF UYARLAMA</t>
        </is>
      </c>
      <c r="L56" s="7" t="inlineStr">
        <is>
          <t>REF-derin – Üçyol-Buca M/Nokia/ALE 2021 149.85x1.05; Üçyol-Buca M/Nokia/ALE 2021 152.46x1.05; Üçyol-Buca M/Nokia/ALE 2021 157.96x1.05; Pendik-Kaynarca M/YM 2022 159.72x1.05 | Malzeme fiyatı (montaj hariç) +%5 takma/konfig.; 1000BASE-LX SM birebir | sonuç 162.97 [Emsal ID: R02201;R02168;R02188;R02921]</t>
        </is>
      </c>
      <c r="M56" s="7" t="inlineStr">
        <is>
          <t>İlk tahmin BF 150.00</t>
        </is>
      </c>
    </row>
    <row r="57" outlineLevel="1">
      <c r="A57" s="27" t="n"/>
      <c r="B57" s="27" t="inlineStr">
        <is>
          <t>4002.E</t>
        </is>
      </c>
      <c r="C57" s="7" t="inlineStr">
        <is>
          <t>Fiber optik ek/terminasyon kutusu (19'' ODF 24 port SC/LC, pigtail+adaptör dahil)</t>
        </is>
      </c>
      <c r="D57" s="27" t="inlineStr">
        <is>
          <t>adet</t>
        </is>
      </c>
      <c r="E57" s="50" t="n">
        <v>1</v>
      </c>
      <c r="F57" s="50" t="n">
        <v>1</v>
      </c>
      <c r="G57" s="27" t="inlineStr">
        <is>
          <t>-</t>
        </is>
      </c>
      <c r="H57" s="50">
        <f>F57</f>
        <v/>
      </c>
      <c r="I57" s="51" t="n">
        <v>477.59</v>
      </c>
      <c r="J57" s="28">
        <f>H57*I57</f>
        <v/>
      </c>
      <c r="K57" s="52" t="inlineStr">
        <is>
          <t>GEÇMİŞ TEKLİF UYARLAMA</t>
        </is>
      </c>
      <c r="L57" s="7" t="inlineStr">
        <is>
          <t>REF-derin – Başkentray/Thales 2012 642.56; Samsun LRT/Uskom 2008 477.59; Yerköy-Sivas YHT bina/YM 2019 121.86x1.6 | Pasif ekipman, yaş düzeltmesi yok; 12F birim x1,6 ile 24F eşleniği | sonuç 477.59 [Emsal ID: R01279;R03134;R01197]</t>
        </is>
      </c>
      <c r="M57" s="7" t="inlineStr">
        <is>
          <t>ODF 24 port, pigtail dahil | İlk tahmin BF 450.00</t>
        </is>
      </c>
    </row>
    <row r="58" outlineLevel="1">
      <c r="A58" s="27" t="n"/>
      <c r="B58" s="27" t="inlineStr">
        <is>
          <t>4002.E</t>
        </is>
      </c>
      <c r="C58" s="7" t="inlineStr">
        <is>
          <t>Pigtail LC + füzyon ek (sonlandırma, 24 core MM alt ring)</t>
        </is>
      </c>
      <c r="D58" s="27" t="inlineStr">
        <is>
          <t>adet</t>
        </is>
      </c>
      <c r="E58" s="50" t="n">
        <v>63</v>
      </c>
      <c r="F58" s="54" t="n">
        <v>21</v>
      </c>
      <c r="G58" s="27" t="inlineStr">
        <is>
          <t>-</t>
        </is>
      </c>
      <c r="H58" s="50">
        <f>F58</f>
        <v/>
      </c>
      <c r="I58" s="51" t="n">
        <v>10.94</v>
      </c>
      <c r="J58" s="28">
        <f>H58*I58</f>
        <v/>
      </c>
      <c r="K58" s="52" t="inlineStr">
        <is>
          <t>GEÇMİŞ TEKLİF UYARLAMA</t>
        </is>
      </c>
      <c r="L58" s="7" t="inlineStr">
        <is>
          <t>REF-derin – SAGE bina/YM 2018 8.44; Narlıdere M/Uskom 2018 13.45 | Fiber başı sonlandırma+OTDR, M+İ | sonuç 10.94 [Emsal ID: R03083;R01636]</t>
        </is>
      </c>
      <c r="M58" s="7" t="inlineStr">
        <is>
          <t>İdare: 24 ve 8 core SM; alt ring 8 core → ek ×8/24 | İlk tahmin BF 18.00</t>
        </is>
      </c>
    </row>
    <row r="59" outlineLevel="1">
      <c r="A59" s="27" t="n"/>
      <c r="B59" s="27" t="inlineStr">
        <is>
          <t>4002.E</t>
        </is>
      </c>
      <c r="C59" s="7" t="inlineStr">
        <is>
          <t>F/O patch cord SM LC-LC duplex 2 m</t>
        </is>
      </c>
      <c r="D59" s="27" t="inlineStr">
        <is>
          <t>adet</t>
        </is>
      </c>
      <c r="E59" s="50" t="n">
        <v>6</v>
      </c>
      <c r="F59" s="50" t="n">
        <v>6</v>
      </c>
      <c r="G59" s="27" t="inlineStr">
        <is>
          <t>-</t>
        </is>
      </c>
      <c r="H59" s="50">
        <f>F59</f>
        <v/>
      </c>
      <c r="I59" s="51" t="n">
        <v>6.96</v>
      </c>
      <c r="J59" s="28">
        <f>H59*I59</f>
        <v/>
      </c>
      <c r="K59" s="52" t="inlineStr">
        <is>
          <t>GEÇMİŞ TEKLİF UYARLAMA</t>
        </is>
      </c>
      <c r="L59" s="7" t="inlineStr">
        <is>
          <t>REF-derin – SAGE bina/YM 2018 5.63; Üçyol-Buca M/Nokia/ALE 2021 6.63x1.05; Narlıdere M/Uskom 2018 13.33 | Malzeme emsaline +%5 | sonuç 6.96 [Emsal ID: R03081;R02236;R01615]</t>
        </is>
      </c>
      <c r="M59" s="7" t="inlineStr">
        <is>
          <t>İlk tahmin BF 12.00</t>
        </is>
      </c>
    </row>
    <row r="60" outlineLevel="1">
      <c r="A60" s="27" t="n"/>
      <c r="B60" s="27" t="inlineStr">
        <is>
          <t>4002.E</t>
        </is>
      </c>
      <c r="C60" s="7" t="inlineStr">
        <is>
          <t>CAT6 bakır patch panel 24 port + CAT6 patch cord (1 m) seti</t>
        </is>
      </c>
      <c r="D60" s="27" t="inlineStr">
        <is>
          <t>set</t>
        </is>
      </c>
      <c r="E60" s="50" t="n">
        <v>1</v>
      </c>
      <c r="F60" s="50" t="n">
        <v>1</v>
      </c>
      <c r="G60" s="27" t="inlineStr">
        <is>
          <t>-</t>
        </is>
      </c>
      <c r="H60" s="50">
        <f>F60</f>
        <v/>
      </c>
      <c r="I60" s="51" t="n">
        <v>168.56</v>
      </c>
      <c r="J60" s="28">
        <f>H60*I60</f>
        <v/>
      </c>
      <c r="K60" s="52" t="inlineStr">
        <is>
          <t>GEÇMİŞ TEKLİF UYARLAMA</t>
        </is>
      </c>
      <c r="L60" s="7" t="inlineStr">
        <is>
          <t>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is>
      </c>
      <c r="M60" s="7" t="inlineStr">
        <is>
          <t>İlk tahmin BF 220.00</t>
        </is>
      </c>
    </row>
    <row r="61" outlineLevel="1">
      <c r="A61" s="27" t="n"/>
      <c r="B61" s="27" t="inlineStr">
        <is>
          <t>4002.E</t>
        </is>
      </c>
      <c r="C61" s="7" t="inlineStr">
        <is>
          <t>Dolap içi güç dağıtım (PDU) + PoE/ekipman güç adaptörleri, yıldırım/aşırı gerilim koruyucu (data hattı)</t>
        </is>
      </c>
      <c r="D61" s="27" t="inlineStr">
        <is>
          <t>set</t>
        </is>
      </c>
      <c r="E61" s="50" t="n">
        <v>1</v>
      </c>
      <c r="F61" s="50" t="n">
        <v>1</v>
      </c>
      <c r="G61" s="27" t="inlineStr">
        <is>
          <t>-</t>
        </is>
      </c>
      <c r="H61" s="50">
        <f>F61</f>
        <v/>
      </c>
      <c r="I61" s="51" t="n">
        <v>600</v>
      </c>
      <c r="J61" s="28">
        <f>H61*I61</f>
        <v/>
      </c>
      <c r="K61" s="53" t="inlineStr">
        <is>
          <t>MÜHENDİSLİK TAHMİNİ</t>
        </is>
      </c>
      <c r="L61" s="7" t="inlineStr">
        <is>
          <t>TAHMIN (emsal yok) – PDU/data SPD emsali yok</t>
        </is>
      </c>
      <c r="M61" s="7" t="inlineStr">
        <is>
          <t>PDU+adaptör+SPD</t>
        </is>
      </c>
    </row>
    <row r="62" outlineLevel="1">
      <c r="A62" s="27" t="n"/>
      <c r="B62" s="27" t="inlineStr">
        <is>
          <t>4002.E</t>
        </is>
      </c>
      <c r="C62" s="7" t="inlineStr">
        <is>
          <t>Ø110 koruge boru (istasyon zayıf/kuvvetli akım borulama tesisatı, peron altı + yol altı geçiş)</t>
        </is>
      </c>
      <c r="D62" s="27" t="inlineStr">
        <is>
          <t>m</t>
        </is>
      </c>
      <c r="E62" s="50" t="n">
        <v>1210</v>
      </c>
      <c r="F62" s="50" t="n">
        <v>1210</v>
      </c>
      <c r="G62" s="27" t="inlineStr">
        <is>
          <t>fire+%30</t>
        </is>
      </c>
      <c r="H62" s="50">
        <f>F62/IF(Varsayimlar!$B$21=1,1.43,1)</f>
        <v/>
      </c>
      <c r="I62" s="51" t="n">
        <v>6.89</v>
      </c>
      <c r="J62" s="28">
        <f>H62*I62</f>
        <v/>
      </c>
      <c r="K62" s="52" t="inlineStr">
        <is>
          <t>GEÇMİŞ TEKLİF UYARLAMA</t>
        </is>
      </c>
      <c r="L62" s="7" t="inlineStr">
        <is>
          <t>REF-derin – Bursa T2/Kocaeli Tr/FER 2015 9.14; Çerkezköy-Kapıkule anahat/YM 2018 4.63 | Kazı hariç boru döşeme; Ø100 koruge (tramvay) + HDPE geçiş borusu | sonuç 6.89 [Emsal ID: R05762;R01311]</t>
        </is>
      </c>
      <c r="M62" s="7" t="inlineStr">
        <is>
          <t>Kazı hariç boru döşeme | İlk tahmin BF 5.50</t>
        </is>
      </c>
    </row>
    <row r="63" outlineLevel="1">
      <c r="A63" s="27" t="n"/>
      <c r="B63" s="27" t="inlineStr">
        <is>
          <t>4002.E</t>
        </is>
      </c>
      <c r="C63" s="7" t="inlineStr">
        <is>
          <t>İletim sistemi test/devreye alma, OTDR ölçümü, dokümantasyon (istasyon)</t>
        </is>
      </c>
      <c r="D63" s="27" t="inlineStr">
        <is>
          <t>set</t>
        </is>
      </c>
      <c r="E63" s="50" t="n">
        <v>1</v>
      </c>
      <c r="F63" s="50" t="n">
        <v>1</v>
      </c>
      <c r="G63" s="27" t="inlineStr">
        <is>
          <t>-</t>
        </is>
      </c>
      <c r="H63" s="50">
        <f>F63</f>
        <v/>
      </c>
      <c r="I63" s="51" t="n">
        <v>1800</v>
      </c>
      <c r="J63" s="28">
        <f>H63*I63</f>
        <v/>
      </c>
      <c r="K63" s="53" t="inlineStr">
        <is>
          <t>MÜHENDİSLİK TAHMİNİ</t>
        </is>
      </c>
      <c r="L63" s="7" t="inlineStr">
        <is>
          <t>TAHMIN (emsal yok) – Durak başı T&amp;C emsali yok (Pendik 5.152/ist. yeraltı metro tüm montaj dahil, kıyaslanamaz)</t>
        </is>
      </c>
      <c r="M63" s="7" t="inlineStr"/>
    </row>
    <row r="64">
      <c r="A64" s="48" t="inlineStr">
        <is>
          <t>242</t>
        </is>
      </c>
      <c r="B64" s="48" t="inlineStr">
        <is>
          <t>4002.F</t>
        </is>
      </c>
      <c r="C64" s="48" t="inlineStr">
        <is>
          <t>Harran İstasyonu İletim Sistemi (1 set)</t>
        </is>
      </c>
      <c r="D64" s="48" t="n"/>
      <c r="E64" s="48" t="n"/>
      <c r="F64" s="48" t="n"/>
      <c r="G64" s="48" t="n"/>
      <c r="H64" s="48" t="inlineStr">
        <is>
          <t>RFQ tutarı →</t>
        </is>
      </c>
      <c r="I64" s="49">
        <f>SUMPRODUCT(E65:E74,I65:I74)</f>
        <v/>
      </c>
      <c r="J64" s="49">
        <f>SUM(J65:J74)</f>
        <v/>
      </c>
      <c r="K64" s="48" t="n"/>
      <c r="L64" s="48" t="n"/>
      <c r="M64" s="48" t="n"/>
    </row>
    <row r="65" outlineLevel="1">
      <c r="A65" s="27" t="n"/>
      <c r="B65" s="27" t="inlineStr">
        <is>
          <t>4002.F</t>
        </is>
      </c>
      <c r="C65" s="7" t="inlineStr">
        <is>
          <t>Harici tip durak haberleşme dolabı (IP55, kilitli, 19'' raylı, havalandırmalı, pano odasındaki RACK KABİN)</t>
        </is>
      </c>
      <c r="D65" s="27" t="inlineStr">
        <is>
          <t>adet</t>
        </is>
      </c>
      <c r="E65" s="50" t="n">
        <v>1</v>
      </c>
      <c r="F65" s="50" t="n">
        <v>1</v>
      </c>
      <c r="G65" s="27" t="inlineStr">
        <is>
          <t>-</t>
        </is>
      </c>
      <c r="H65" s="50">
        <f>F65</f>
        <v/>
      </c>
      <c r="I65" s="51" t="n">
        <v>2800</v>
      </c>
      <c r="J65" s="28">
        <f>H65*I65</f>
        <v/>
      </c>
      <c r="K65" s="53" t="inlineStr">
        <is>
          <t>MÜHENDİSLİK TAHMİNİ</t>
        </is>
      </c>
      <c r="L65" s="7" t="inlineStr">
        <is>
          <t>TAHMIN (emsal yok) – IP55 dış ortam 19" durak dolabı emsali yok (SAGE saha kabini/8U kutu küçük)</t>
        </is>
      </c>
      <c r="M65" s="7" t="inlineStr">
        <is>
          <t>IP55 dış dolap 19" kurulu</t>
        </is>
      </c>
    </row>
    <row r="66" outlineLevel="1">
      <c r="A66" s="27" t="n"/>
      <c r="B66" s="27" t="inlineStr">
        <is>
          <t>4002.F</t>
        </is>
      </c>
      <c r="C66" s="7" t="inlineStr">
        <is>
          <t>Endüstriyel ağ anahtarı 12 port (8 PoE+ 10/100/1000 + 2 kombo + 2 SFP), L2/L3, DIN/19''</t>
        </is>
      </c>
      <c r="D66" s="27" t="inlineStr">
        <is>
          <t>adet</t>
        </is>
      </c>
      <c r="E66" s="50" t="n">
        <v>3</v>
      </c>
      <c r="F66" s="50" t="n">
        <v>3</v>
      </c>
      <c r="G66" s="27" t="inlineStr">
        <is>
          <t>-</t>
        </is>
      </c>
      <c r="H66" s="50">
        <f>F66</f>
        <v/>
      </c>
      <c r="I66" s="51" t="n">
        <v>2080</v>
      </c>
      <c r="J66" s="28">
        <f>H66*I66</f>
        <v/>
      </c>
      <c r="K66" s="52" t="inlineStr">
        <is>
          <t>GEÇMİŞ TEKLİF UYARLAMA</t>
        </is>
      </c>
      <c r="L66" s="7" t="inlineStr">
        <is>
          <t>REF-derin(1) – ALE OS6465-P12 (8 PoE+ +4 SFP, hardened) Buca 2021 955 € + DIN PSU 174 € (M) → +%20 kurulum/konfig = 1.355 € → mevcut 2.800 ile harmanlandı [Emsal ID: R02199;R02200]</t>
        </is>
      </c>
      <c r="M66" s="7" t="inlineStr">
        <is>
          <t>Endüstriyel L2/L3 PoE switch | İlk tahmin BF 2,800.00</t>
        </is>
      </c>
    </row>
    <row r="67" outlineLevel="1">
      <c r="A67" s="27" t="n"/>
      <c r="B67" s="27" t="inlineStr">
        <is>
          <t>4002.F</t>
        </is>
      </c>
      <c r="C67" s="7" t="inlineStr">
        <is>
          <t>SFP optik alıcı-verici modül (1000BASE-LX SM)</t>
        </is>
      </c>
      <c r="D67" s="27" t="inlineStr">
        <is>
          <t>adet</t>
        </is>
      </c>
      <c r="E67" s="50" t="n">
        <v>8</v>
      </c>
      <c r="F67" s="50" t="n">
        <v>8</v>
      </c>
      <c r="G67" s="27" t="inlineStr">
        <is>
          <t>-</t>
        </is>
      </c>
      <c r="H67" s="50">
        <f>F67</f>
        <v/>
      </c>
      <c r="I67" s="51" t="n">
        <v>162.97</v>
      </c>
      <c r="J67" s="28">
        <f>H67*I67</f>
        <v/>
      </c>
      <c r="K67" s="52" t="inlineStr">
        <is>
          <t>GEÇMİŞ TEKLİF UYARLAMA</t>
        </is>
      </c>
      <c r="L67" s="7" t="inlineStr">
        <is>
          <t>REF-derin – Üçyol-Buca M/Nokia/ALE 2021 149.85x1.05; Üçyol-Buca M/Nokia/ALE 2021 152.46x1.05; Üçyol-Buca M/Nokia/ALE 2021 157.96x1.05; Pendik-Kaynarca M/YM 2022 159.72x1.05 | Malzeme fiyatı (montaj hariç) +%5 takma/konfig.; 1000BASE-LX SM birebir | sonuç 162.97 [Emsal ID: R02201;R02168;R02188;R02921]</t>
        </is>
      </c>
      <c r="M67" s="7" t="inlineStr">
        <is>
          <t>İlk tahmin BF 150.00</t>
        </is>
      </c>
    </row>
    <row r="68" outlineLevel="1">
      <c r="A68" s="27" t="n"/>
      <c r="B68" s="27" t="inlineStr">
        <is>
          <t>4002.F</t>
        </is>
      </c>
      <c r="C68" s="7" t="inlineStr">
        <is>
          <t>Fiber optik ek/terminasyon kutusu (19'' ODF 24 port SC/LC, pigtail+adaptör dahil)</t>
        </is>
      </c>
      <c r="D68" s="27" t="inlineStr">
        <is>
          <t>adet</t>
        </is>
      </c>
      <c r="E68" s="50" t="n">
        <v>1</v>
      </c>
      <c r="F68" s="50" t="n">
        <v>1</v>
      </c>
      <c r="G68" s="27" t="inlineStr">
        <is>
          <t>-</t>
        </is>
      </c>
      <c r="H68" s="50">
        <f>F68</f>
        <v/>
      </c>
      <c r="I68" s="51" t="n">
        <v>477.59</v>
      </c>
      <c r="J68" s="28">
        <f>H68*I68</f>
        <v/>
      </c>
      <c r="K68" s="52" t="inlineStr">
        <is>
          <t>GEÇMİŞ TEKLİF UYARLAMA</t>
        </is>
      </c>
      <c r="L68" s="7" t="inlineStr">
        <is>
          <t>REF-derin – Başkentray/Thales 2012 642.56; Samsun LRT/Uskom 2008 477.59; Yerköy-Sivas YHT bina/YM 2019 121.86x1.6 | Pasif ekipman, yaş düzeltmesi yok; 12F birim x1,6 ile 24F eşleniği | sonuç 477.59 [Emsal ID: R01279;R03134;R01197]</t>
        </is>
      </c>
      <c r="M68" s="7" t="inlineStr">
        <is>
          <t>ODF 24 port, pigtail dahil | İlk tahmin BF 450.00</t>
        </is>
      </c>
    </row>
    <row r="69" outlineLevel="1">
      <c r="A69" s="27" t="n"/>
      <c r="B69" s="27" t="inlineStr">
        <is>
          <t>4002.F</t>
        </is>
      </c>
      <c r="C69" s="7" t="inlineStr">
        <is>
          <t>Pigtail LC + füzyon ek (sonlandırma, 24 core MM alt ring)</t>
        </is>
      </c>
      <c r="D69" s="27" t="inlineStr">
        <is>
          <t>adet</t>
        </is>
      </c>
      <c r="E69" s="50" t="n">
        <v>63</v>
      </c>
      <c r="F69" s="54" t="n">
        <v>21</v>
      </c>
      <c r="G69" s="27" t="inlineStr">
        <is>
          <t>-</t>
        </is>
      </c>
      <c r="H69" s="50">
        <f>F69</f>
        <v/>
      </c>
      <c r="I69" s="51" t="n">
        <v>10.94</v>
      </c>
      <c r="J69" s="28">
        <f>H69*I69</f>
        <v/>
      </c>
      <c r="K69" s="52" t="inlineStr">
        <is>
          <t>GEÇMİŞ TEKLİF UYARLAMA</t>
        </is>
      </c>
      <c r="L69" s="7" t="inlineStr">
        <is>
          <t>REF-derin – SAGE bina/YM 2018 8.44; Narlıdere M/Uskom 2018 13.45 | Fiber başı sonlandırma+OTDR, M+İ | sonuç 10.94 [Emsal ID: R03083;R01636]</t>
        </is>
      </c>
      <c r="M69" s="7" t="inlineStr">
        <is>
          <t>İdare: 24 ve 8 core SM; alt ring 8 core → ek ×8/24 | İlk tahmin BF 18.00</t>
        </is>
      </c>
    </row>
    <row r="70" outlineLevel="1">
      <c r="A70" s="27" t="n"/>
      <c r="B70" s="27" t="inlineStr">
        <is>
          <t>4002.F</t>
        </is>
      </c>
      <c r="C70" s="7" t="inlineStr">
        <is>
          <t>F/O patch cord SM LC-LC duplex 2 m</t>
        </is>
      </c>
      <c r="D70" s="27" t="inlineStr">
        <is>
          <t>adet</t>
        </is>
      </c>
      <c r="E70" s="50" t="n">
        <v>6</v>
      </c>
      <c r="F70" s="50" t="n">
        <v>6</v>
      </c>
      <c r="G70" s="27" t="inlineStr">
        <is>
          <t>-</t>
        </is>
      </c>
      <c r="H70" s="50">
        <f>F70</f>
        <v/>
      </c>
      <c r="I70" s="51" t="n">
        <v>6.96</v>
      </c>
      <c r="J70" s="28">
        <f>H70*I70</f>
        <v/>
      </c>
      <c r="K70" s="52" t="inlineStr">
        <is>
          <t>GEÇMİŞ TEKLİF UYARLAMA</t>
        </is>
      </c>
      <c r="L70" s="7" t="inlineStr">
        <is>
          <t>REF-derin – SAGE bina/YM 2018 5.63; Üçyol-Buca M/Nokia/ALE 2021 6.63x1.05; Narlıdere M/Uskom 2018 13.33 | Malzeme emsaline +%5 | sonuç 6.96 [Emsal ID: R03081;R02236;R01615]</t>
        </is>
      </c>
      <c r="M70" s="7" t="inlineStr">
        <is>
          <t>İlk tahmin BF 12.00</t>
        </is>
      </c>
    </row>
    <row r="71" outlineLevel="1">
      <c r="A71" s="27" t="n"/>
      <c r="B71" s="27" t="inlineStr">
        <is>
          <t>4002.F</t>
        </is>
      </c>
      <c r="C71" s="7" t="inlineStr">
        <is>
          <t>CAT6 bakır patch panel 24 port + CAT6 patch cord (1 m) seti</t>
        </is>
      </c>
      <c r="D71" s="27" t="inlineStr">
        <is>
          <t>set</t>
        </is>
      </c>
      <c r="E71" s="50" t="n">
        <v>1</v>
      </c>
      <c r="F71" s="50" t="n">
        <v>1</v>
      </c>
      <c r="G71" s="27" t="inlineStr">
        <is>
          <t>-</t>
        </is>
      </c>
      <c r="H71" s="50">
        <f>F71</f>
        <v/>
      </c>
      <c r="I71" s="51" t="n">
        <v>168.56</v>
      </c>
      <c r="J71" s="28">
        <f>H71*I71</f>
        <v/>
      </c>
      <c r="K71" s="52" t="inlineStr">
        <is>
          <t>GEÇMİŞ TEKLİF UYARLAMA</t>
        </is>
      </c>
      <c r="L71" s="7" t="inlineStr">
        <is>
          <t>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is>
      </c>
      <c r="M71" s="7" t="inlineStr">
        <is>
          <t>İlk tahmin BF 220.00</t>
        </is>
      </c>
    </row>
    <row r="72" outlineLevel="1">
      <c r="A72" s="27" t="n"/>
      <c r="B72" s="27" t="inlineStr">
        <is>
          <t>4002.F</t>
        </is>
      </c>
      <c r="C72" s="7" t="inlineStr">
        <is>
          <t>Dolap içi güç dağıtım (PDU) + PoE/ekipman güç adaptörleri, yıldırım/aşırı gerilim koruyucu (data hattı)</t>
        </is>
      </c>
      <c r="D72" s="27" t="inlineStr">
        <is>
          <t>set</t>
        </is>
      </c>
      <c r="E72" s="50" t="n">
        <v>1</v>
      </c>
      <c r="F72" s="50" t="n">
        <v>1</v>
      </c>
      <c r="G72" s="27" t="inlineStr">
        <is>
          <t>-</t>
        </is>
      </c>
      <c r="H72" s="50">
        <f>F72</f>
        <v/>
      </c>
      <c r="I72" s="51" t="n">
        <v>600</v>
      </c>
      <c r="J72" s="28">
        <f>H72*I72</f>
        <v/>
      </c>
      <c r="K72" s="53" t="inlineStr">
        <is>
          <t>MÜHENDİSLİK TAHMİNİ</t>
        </is>
      </c>
      <c r="L72" s="7" t="inlineStr">
        <is>
          <t>TAHMIN (emsal yok) – PDU/data SPD emsali yok</t>
        </is>
      </c>
      <c r="M72" s="7" t="inlineStr">
        <is>
          <t>PDU+adaptör+SPD</t>
        </is>
      </c>
    </row>
    <row r="73" outlineLevel="1">
      <c r="A73" s="27" t="n"/>
      <c r="B73" s="27" t="inlineStr">
        <is>
          <t>4002.F</t>
        </is>
      </c>
      <c r="C73" s="7" t="inlineStr">
        <is>
          <t>Ø110 koruge boru (istasyon zayıf/kuvvetli akım borulama tesisatı, peron altı + yol altı geçiş)</t>
        </is>
      </c>
      <c r="D73" s="27" t="inlineStr">
        <is>
          <t>m</t>
        </is>
      </c>
      <c r="E73" s="50" t="n">
        <v>858</v>
      </c>
      <c r="F73" s="50" t="n">
        <v>858</v>
      </c>
      <c r="G73" s="27" t="inlineStr">
        <is>
          <t>fire+%30</t>
        </is>
      </c>
      <c r="H73" s="50">
        <f>F73/IF(Varsayimlar!$B$21=1,1.43,1)</f>
        <v/>
      </c>
      <c r="I73" s="51" t="n">
        <v>6.89</v>
      </c>
      <c r="J73" s="28">
        <f>H73*I73</f>
        <v/>
      </c>
      <c r="K73" s="52" t="inlineStr">
        <is>
          <t>GEÇMİŞ TEKLİF UYARLAMA</t>
        </is>
      </c>
      <c r="L73" s="7" t="inlineStr">
        <is>
          <t>REF-derin – Bursa T2/Kocaeli Tr/FER 2015 9.14; Çerkezköy-Kapıkule anahat/YM 2018 4.63 | Kazı hariç boru döşeme; Ø100 koruge (tramvay) + HDPE geçiş borusu | sonuç 6.89 [Emsal ID: R05762;R01311]</t>
        </is>
      </c>
      <c r="M73" s="7" t="inlineStr">
        <is>
          <t>Kazı hariç boru döşeme | İlk tahmin BF 5.50</t>
        </is>
      </c>
    </row>
    <row r="74" outlineLevel="1">
      <c r="A74" s="27" t="n"/>
      <c r="B74" s="27" t="inlineStr">
        <is>
          <t>4002.F</t>
        </is>
      </c>
      <c r="C74" s="7" t="inlineStr">
        <is>
          <t>İletim sistemi test/devreye alma, OTDR ölçümü, dokümantasyon (istasyon)</t>
        </is>
      </c>
      <c r="D74" s="27" t="inlineStr">
        <is>
          <t>set</t>
        </is>
      </c>
      <c r="E74" s="50" t="n">
        <v>1</v>
      </c>
      <c r="F74" s="50" t="n">
        <v>1</v>
      </c>
      <c r="G74" s="27" t="inlineStr">
        <is>
          <t>-</t>
        </is>
      </c>
      <c r="H74" s="50">
        <f>F74</f>
        <v/>
      </c>
      <c r="I74" s="51" t="n">
        <v>1800</v>
      </c>
      <c r="J74" s="28">
        <f>H74*I74</f>
        <v/>
      </c>
      <c r="K74" s="53" t="inlineStr">
        <is>
          <t>MÜHENDİSLİK TAHMİNİ</t>
        </is>
      </c>
      <c r="L74" s="7" t="inlineStr">
        <is>
          <t>TAHMIN (emsal yok) – Durak başı T&amp;C emsali yok (Pendik 5.152/ist. yeraltı metro tüm montaj dahil, kıyaslanamaz)</t>
        </is>
      </c>
      <c r="M74" s="7" t="inlineStr"/>
    </row>
    <row r="75">
      <c r="A75" s="48" t="inlineStr">
        <is>
          <t>243</t>
        </is>
      </c>
      <c r="B75" s="48" t="inlineStr">
        <is>
          <t>4002.G</t>
        </is>
      </c>
      <c r="C75" s="48" t="inlineStr">
        <is>
          <t>Depo Sahası ve Tesisleri İletim Sistemi (1 set)</t>
        </is>
      </c>
      <c r="D75" s="48" t="n"/>
      <c r="E75" s="48" t="n"/>
      <c r="F75" s="48" t="n"/>
      <c r="G75" s="48" t="n"/>
      <c r="H75" s="48" t="inlineStr">
        <is>
          <t>RFQ tutarı →</t>
        </is>
      </c>
      <c r="I75" s="49">
        <f>SUMPRODUCT(E76:E84,I76:I84)</f>
        <v/>
      </c>
      <c r="J75" s="49">
        <f>SUM(J76:J84)</f>
        <v/>
      </c>
      <c r="K75" s="48" t="n"/>
      <c r="L75" s="48" t="n"/>
      <c r="M75" s="48" t="n"/>
    </row>
    <row r="76" outlineLevel="1">
      <c r="A76" s="27" t="n"/>
      <c r="B76" s="27" t="inlineStr">
        <is>
          <t>4002.G</t>
        </is>
      </c>
      <c r="C76" s="7" t="inlineStr">
        <is>
          <t>Dağıtım ağ anahtarı L3 24 port PoE+ (369,6 W) + 4 SFP (D01 kat/zayıf akım odaları)</t>
        </is>
      </c>
      <c r="D76" s="27" t="inlineStr">
        <is>
          <t>adet</t>
        </is>
      </c>
      <c r="E76" s="50" t="n">
        <v>3</v>
      </c>
      <c r="F76" s="50" t="n">
        <v>3</v>
      </c>
      <c r="G76" s="27" t="inlineStr">
        <is>
          <t>-</t>
        </is>
      </c>
      <c r="H76" s="50">
        <f>F76</f>
        <v/>
      </c>
      <c r="I76" s="51" t="n">
        <v>1650</v>
      </c>
      <c r="J76" s="28">
        <f>H76*I76</f>
        <v/>
      </c>
      <c r="K76" s="52" t="inlineStr">
        <is>
          <t>GEÇMİŞ TEKLİF UYARLAMA</t>
        </is>
      </c>
      <c r="L76" s="7" t="inlineStr">
        <is>
          <t>REF-derin – L3 24p PoE+: Kabataş Uskom 2015 ALE 6450-24 PoE 2.072 € (M+İ), YM 2019 24p 10G 1.439 €, 24p PoE+2SFP 1.288 € (M+İ) → medyan 1.439 + %15 L3 lisansı → 1.650 € (mevcut 4.000 yüksek) [Emsal ID: R02736;R01213;R01218]</t>
        </is>
      </c>
      <c r="M76" s="7" t="inlineStr">
        <is>
          <t>L3 24p PoE+ switch | İlk tahmin BF 4,000.00</t>
        </is>
      </c>
    </row>
    <row r="77" outlineLevel="1">
      <c r="A77" s="27" t="n"/>
      <c r="B77" s="27" t="inlineStr">
        <is>
          <t>4002.G</t>
        </is>
      </c>
      <c r="C77" s="7" t="inlineStr">
        <is>
          <t>Kenar/erişim ağ anahtarı 8-12 port PoE + 2 SFP (D02, D03, D05, D07 binaları)</t>
        </is>
      </c>
      <c r="D77" s="27" t="inlineStr">
        <is>
          <t>adet</t>
        </is>
      </c>
      <c r="E77" s="50" t="n">
        <v>4</v>
      </c>
      <c r="F77" s="50" t="n">
        <v>4</v>
      </c>
      <c r="G77" s="27" t="inlineStr">
        <is>
          <t>-</t>
        </is>
      </c>
      <c r="H77" s="50">
        <f>F77</f>
        <v/>
      </c>
      <c r="I77" s="51" t="n">
        <v>1057</v>
      </c>
      <c r="J77" s="28">
        <f>H77*I77</f>
        <v/>
      </c>
      <c r="K77" s="52" t="inlineStr">
        <is>
          <t>GEÇMİŞ TEKLİF UYARLAMA</t>
        </is>
      </c>
      <c r="L77" s="7" t="inlineStr">
        <is>
          <t>REF-derin – 8–12p PoE: YM 2019 PoE 8 port 993 € (M+İ); ALE OS6465-P6 736+174 PSU (M)+%20 ≈1.057; OS6465-P12 1.355 → medyan 1.057 € [Emsal ID: R01217;R02196;R02199]</t>
        </is>
      </c>
      <c r="M77" s="7" t="inlineStr">
        <is>
          <t>İlk tahmin BF 1,800.00</t>
        </is>
      </c>
    </row>
    <row r="78" outlineLevel="1">
      <c r="A78" s="27" t="n"/>
      <c r="B78" s="27" t="inlineStr">
        <is>
          <t>4002.G</t>
        </is>
      </c>
      <c r="C78" s="7" t="inlineStr">
        <is>
          <t>Bina içi 19'' dahili tip cihaz dolabı (42U D01 zayıf akım odası + 12U duvar tipi binalar)</t>
        </is>
      </c>
      <c r="D78" s="27" t="inlineStr">
        <is>
          <t>adet</t>
        </is>
      </c>
      <c r="E78" s="50" t="n">
        <v>5</v>
      </c>
      <c r="F78" s="50" t="n">
        <v>5</v>
      </c>
      <c r="G78" s="27" t="inlineStr">
        <is>
          <t>-</t>
        </is>
      </c>
      <c r="H78" s="50">
        <f>F78</f>
        <v/>
      </c>
      <c r="I78" s="51" t="n">
        <v>494</v>
      </c>
      <c r="J78" s="28">
        <f>H78*I78</f>
        <v/>
      </c>
      <c r="K78" s="52" t="inlineStr">
        <is>
          <t>GEÇMİŞ TEKLİF UYARLAMA</t>
        </is>
      </c>
      <c r="L78" s="7" t="inlineStr">
        <is>
          <t>REF-derin – 42U: SAGE 2018 1.250 €, Pendik 2022 1.069 €, ASRACK 2015 968 € → medyan 1.069; 12U duvar SAGE 304 → ~350 → (1×42U+4×12U)/5 = 494 € [Emsal ID: R03068;R02927;R02507;R03069]</t>
        </is>
      </c>
      <c r="M78" s="7" t="inlineStr">
        <is>
          <t>42U+12U karışık ortalama | İlk tahmin BF 1,200.00</t>
        </is>
      </c>
    </row>
    <row r="79" outlineLevel="1">
      <c r="A79" s="27" t="n"/>
      <c r="B79" s="27" t="inlineStr">
        <is>
          <t>4002.G</t>
        </is>
      </c>
      <c r="C79" s="7" t="inlineStr">
        <is>
          <t>MM F/O kablo 24 damar (D01 → D05, D07 binaları, tarif 4002)</t>
        </is>
      </c>
      <c r="D79" s="27" t="inlineStr">
        <is>
          <t>m</t>
        </is>
      </c>
      <c r="E79" s="50" t="n">
        <v>325</v>
      </c>
      <c r="F79" s="50" t="n">
        <v>325</v>
      </c>
      <c r="G79" s="27" t="inlineStr">
        <is>
          <t>fire+%30</t>
        </is>
      </c>
      <c r="H79" s="50">
        <f>F79/IF(Varsayimlar!$B$21=1,1.43,1)</f>
        <v/>
      </c>
      <c r="I79" s="51" t="n">
        <v>4.35</v>
      </c>
      <c r="J79" s="28">
        <f>H79*I79</f>
        <v/>
      </c>
      <c r="K79" s="52" t="inlineStr">
        <is>
          <t>GEÇMİŞ TEKLİF UYARLAMA</t>
        </is>
      </c>
      <c r="L79" s="7" t="inlineStr">
        <is>
          <t>REF-derin – Bursa T2/Kocaeli Tr/Prysmian liste 2014 4286.12; Bursa T2/Kocaeli Tr/Prysmian liste 2014 5366.22; Tepeköy-Selçuk anahat/Huawei 2013 1.21 | Prysmian MM 24F liste x0,65 iskonto +1,21 €/m döşeme (R03277); OM2 4,00 / OM1 4,70 medyan | sonuç 4.35 [Emsal ID: R02809;R02808;R03277]</t>
        </is>
      </c>
      <c r="M79" s="7" t="inlineStr">
        <is>
          <t>İlk tahmin BF 2.20</t>
        </is>
      </c>
    </row>
    <row r="80" outlineLevel="1">
      <c r="A80" s="27" t="n"/>
      <c r="B80" s="27" t="inlineStr">
        <is>
          <t>4002.G</t>
        </is>
      </c>
      <c r="C80" s="7" t="inlineStr">
        <is>
          <t>MM F/O kablo 8 damar (D03 vagon yıkama ← atölye)</t>
        </is>
      </c>
      <c r="D80" s="27" t="inlineStr">
        <is>
          <t>m</t>
        </is>
      </c>
      <c r="E80" s="50" t="n">
        <v>117</v>
      </c>
      <c r="F80" s="50" t="n">
        <v>117</v>
      </c>
      <c r="G80" s="27" t="inlineStr">
        <is>
          <t>fire+%30</t>
        </is>
      </c>
      <c r="H80" s="50">
        <f>F80/IF(Varsayimlar!$B$21=1,1.43,1)</f>
        <v/>
      </c>
      <c r="I80" s="51" t="n">
        <v>2.08</v>
      </c>
      <c r="J80" s="28">
        <f>H80*I80</f>
        <v/>
      </c>
      <c r="K80" s="52" t="inlineStr">
        <is>
          <t>GEÇMİŞ TEKLİF UYARLAMA</t>
        </is>
      </c>
      <c r="L80" s="7" t="inlineStr">
        <is>
          <t>REF-derin – SAGE bina/YM 2018 6.76; Bursa T2/Kocaeli Tr/Prysmian liste 2014 1344.34; Narlıdere M/Uskom 2018 1.63 | Prysmian 12F zırhlı liste 1,34 €/m x0,65 iskonto +1,21 €/m döşeme (Tepeköy R03277) = 2,08; medyan | sonuç 2.08 [Emsal ID: R03079;R02802;R01801;R03277]</t>
        </is>
      </c>
      <c r="M80" s="7" t="inlineStr">
        <is>
          <t>İlk tahmin BF 1.50</t>
        </is>
      </c>
    </row>
    <row r="81" outlineLevel="1">
      <c r="A81" s="27" t="n"/>
      <c r="B81" s="27" t="inlineStr">
        <is>
          <t>4002.G</t>
        </is>
      </c>
      <c r="C81" s="7" t="inlineStr">
        <is>
          <t>SM F/O kablo 8 damar (D02 depo trafo T09 ← TCC)</t>
        </is>
      </c>
      <c r="D81" s="27" t="inlineStr">
        <is>
          <t>m</t>
        </is>
      </c>
      <c r="E81" s="50" t="n">
        <v>82</v>
      </c>
      <c r="F81" s="50" t="n">
        <v>82</v>
      </c>
      <c r="G81" s="27" t="inlineStr">
        <is>
          <t>-</t>
        </is>
      </c>
      <c r="H81" s="50">
        <f>F81</f>
        <v/>
      </c>
      <c r="I81" s="51" t="n">
        <v>2.08</v>
      </c>
      <c r="J81" s="28">
        <f>H81*I81</f>
        <v/>
      </c>
      <c r="K81" s="52" t="inlineStr">
        <is>
          <t>GEÇMİŞ TEKLİF UYARLAMA</t>
        </is>
      </c>
      <c r="L81" s="7" t="inlineStr">
        <is>
          <t>REF-derin – SAGE bina/YM 2018 6.76; Bursa T2/Kocaeli Tr/Prysmian liste 2014 1344.34; Narlıdere M/Uskom 2018 1.63 | Prysmian 12F zırhlı liste 1,34 €/m x0,65 iskonto +1,21 €/m döşeme (Tepeköy R03277) = 2,08; medyan | sonuç 2.08 [Emsal ID: R03079;R02802;R01801;R03277]</t>
        </is>
      </c>
      <c r="M81" s="7" t="inlineStr">
        <is>
          <t>İlk tahmin BF 1.50</t>
        </is>
      </c>
    </row>
    <row r="82" outlineLevel="1">
      <c r="A82" s="27" t="n"/>
      <c r="B82" s="27" t="inlineStr">
        <is>
          <t>4002.G</t>
        </is>
      </c>
      <c r="C82" s="7" t="inlineStr">
        <is>
          <t>ODF/F-O patch panel 12-24 port + pigtail + adaptör (binalar)</t>
        </is>
      </c>
      <c r="D82" s="27" t="inlineStr">
        <is>
          <t>adet</t>
        </is>
      </c>
      <c r="E82" s="50" t="n">
        <v>5</v>
      </c>
      <c r="F82" s="50" t="n">
        <v>5</v>
      </c>
      <c r="G82" s="27" t="inlineStr">
        <is>
          <t>-</t>
        </is>
      </c>
      <c r="H82" s="50">
        <f>F82</f>
        <v/>
      </c>
      <c r="I82" s="51" t="n">
        <v>477.59</v>
      </c>
      <c r="J82" s="28">
        <f>H82*I82</f>
        <v/>
      </c>
      <c r="K82" s="52" t="inlineStr">
        <is>
          <t>GEÇMİŞ TEKLİF UYARLAMA</t>
        </is>
      </c>
      <c r="L82" s="7" t="inlineStr">
        <is>
          <t>REF-derin – Başkentray/Thales 2012 642.56; Samsun LRT/Uskom 2008 477.59; Yerköy-Sivas YHT bina/YM 2019 121.86x1.6 | 24F ODF emsalleri (pasif, M+İ); 12F birim x1,6 | sonuç 477.59 [Emsal ID: R01279;R03134;R01197]</t>
        </is>
      </c>
      <c r="M82" s="7" t="inlineStr">
        <is>
          <t>İlk tahmin BF 500.00</t>
        </is>
      </c>
    </row>
    <row r="83" outlineLevel="1">
      <c r="A83" s="27" t="n"/>
      <c r="B83" s="27" t="inlineStr">
        <is>
          <t>4002.G</t>
        </is>
      </c>
      <c r="C83" s="7" t="inlineStr">
        <is>
          <t>CAT6/FO medya konvertör + SFP modülleri</t>
        </is>
      </c>
      <c r="D83" s="27" t="inlineStr">
        <is>
          <t>adet</t>
        </is>
      </c>
      <c r="E83" s="50" t="n">
        <v>14</v>
      </c>
      <c r="F83" s="50" t="n">
        <v>14</v>
      </c>
      <c r="G83" s="27" t="inlineStr">
        <is>
          <t>-</t>
        </is>
      </c>
      <c r="H83" s="50">
        <f>F83</f>
        <v/>
      </c>
      <c r="I83" s="51" t="n">
        <v>180</v>
      </c>
      <c r="J83" s="28">
        <f>H83*I83</f>
        <v/>
      </c>
      <c r="K83" s="53" t="inlineStr">
        <is>
          <t>MÜHENDİSLİK TAHMİNİ</t>
        </is>
      </c>
      <c r="L83" s="7" t="inlineStr">
        <is>
          <t>TAHMIN (emsal yok) – Medya konvertör emsali yok</t>
        </is>
      </c>
      <c r="M83" s="7" t="inlineStr"/>
    </row>
    <row r="84" outlineLevel="1">
      <c r="A84" s="27" t="n"/>
      <c r="B84" s="27" t="inlineStr">
        <is>
          <t>4002.G</t>
        </is>
      </c>
      <c r="C84" s="7" t="inlineStr">
        <is>
          <t>Patch cord (F/O ve CAT6), kablo organizer, PDU</t>
        </is>
      </c>
      <c r="D84" s="27" t="inlineStr">
        <is>
          <t>set</t>
        </is>
      </c>
      <c r="E84" s="50" t="n">
        <v>5</v>
      </c>
      <c r="F84" s="50" t="n">
        <v>5</v>
      </c>
      <c r="G84" s="27" t="inlineStr">
        <is>
          <t>-</t>
        </is>
      </c>
      <c r="H84" s="50">
        <f>F84</f>
        <v/>
      </c>
      <c r="I84" s="51" t="n">
        <v>350</v>
      </c>
      <c r="J84" s="28">
        <f>H84*I84</f>
        <v/>
      </c>
      <c r="K84" s="53" t="inlineStr">
        <is>
          <t>MÜHENDİSLİK TAHMİNİ</t>
        </is>
      </c>
      <c r="L84" s="7" t="inlineStr">
        <is>
          <t>TAHMIN (emsal yok) – Karma set; PDU emsali yok</t>
        </is>
      </c>
      <c r="M84" s="7" t="inlineStr"/>
    </row>
    <row r="85">
      <c r="A85" s="48" t="inlineStr">
        <is>
          <t>244</t>
        </is>
      </c>
      <c r="B85" s="48" t="inlineStr">
        <is>
          <t>4002.H</t>
        </is>
      </c>
      <c r="C85" s="48" t="inlineStr">
        <is>
          <t>Hat Trafo Binaları İletim Sistemi (4 set)</t>
        </is>
      </c>
      <c r="D85" s="48" t="n"/>
      <c r="E85" s="48" t="n"/>
      <c r="F85" s="48" t="n"/>
      <c r="G85" s="48" t="n"/>
      <c r="H85" s="48" t="inlineStr">
        <is>
          <t>RFQ tutarı →</t>
        </is>
      </c>
      <c r="I85" s="49">
        <f>SUMPRODUCT(E86:E91,I86:I91)</f>
        <v/>
      </c>
      <c r="J85" s="49">
        <f>SUM(J86:J91)</f>
        <v/>
      </c>
      <c r="K85" s="48" t="n"/>
      <c r="L85" s="48" t="n"/>
      <c r="M85" s="48" t="n"/>
    </row>
    <row r="86" outlineLevel="1">
      <c r="A86" s="27" t="n"/>
      <c r="B86" s="27" t="inlineStr">
        <is>
          <t>4002.H</t>
        </is>
      </c>
      <c r="C86" s="7" t="inlineStr">
        <is>
          <t>Dağıtım ağ anahtarı L3 24 port 10/100/1000 PoE+ + 4 SFP (düğüm noktası, ring)</t>
        </is>
      </c>
      <c r="D86" s="27" t="inlineStr">
        <is>
          <t>adet</t>
        </is>
      </c>
      <c r="E86" s="50" t="n">
        <v>4</v>
      </c>
      <c r="F86" s="50" t="n">
        <v>4</v>
      </c>
      <c r="G86" s="27" t="inlineStr">
        <is>
          <t>-</t>
        </is>
      </c>
      <c r="H86" s="50">
        <f>F86</f>
        <v/>
      </c>
      <c r="I86" s="51" t="n">
        <v>1650</v>
      </c>
      <c r="J86" s="28">
        <f>H86*I86</f>
        <v/>
      </c>
      <c r="K86" s="52" t="inlineStr">
        <is>
          <t>GEÇMİŞ TEKLİF UYARLAMA</t>
        </is>
      </c>
      <c r="L86" s="7" t="inlineStr">
        <is>
          <t>REF-derin – L3 24p PoE+: Kabataş Uskom 2015 ALE 6450-24 PoE 2.072 € (M+İ), YM 2019 24p 10G 1.439 €, 24p PoE+2SFP 1.288 € (M+İ) → medyan 1.439 + %15 L3 lisansı → 1.650 € (mevcut 4.000 yüksek) [Emsal ID: R02736;R01213;R01218]</t>
        </is>
      </c>
      <c r="M86" s="7" t="inlineStr">
        <is>
          <t>L3 24p PoE+ switch | İlk tahmin BF 4,000.00</t>
        </is>
      </c>
    </row>
    <row r="87" outlineLevel="1">
      <c r="A87" s="27" t="n"/>
      <c r="B87" s="27" t="inlineStr">
        <is>
          <t>4002.H</t>
        </is>
      </c>
      <c r="C87" s="7" t="inlineStr">
        <is>
          <t>19'' dahili tip iletim dolabı 42U (veya RTU kabini içi montaj)</t>
        </is>
      </c>
      <c r="D87" s="27" t="inlineStr">
        <is>
          <t>adet</t>
        </is>
      </c>
      <c r="E87" s="50" t="n">
        <v>4</v>
      </c>
      <c r="F87" s="50" t="n">
        <v>4</v>
      </c>
      <c r="G87" s="27" t="inlineStr">
        <is>
          <t>-</t>
        </is>
      </c>
      <c r="H87" s="50">
        <f>F87</f>
        <v/>
      </c>
      <c r="I87" s="51" t="n">
        <v>1070</v>
      </c>
      <c r="J87" s="28">
        <f>H87*I87</f>
        <v/>
      </c>
      <c r="K87" s="52" t="inlineStr">
        <is>
          <t>GEÇMİŞ TEKLİF UYARLAMA</t>
        </is>
      </c>
      <c r="L87" s="7" t="inlineStr">
        <is>
          <t>REF-derin – 42U kabin: SAGE 2018 1.250 € (M+İ), Pendik 2022 IP54 fan/priz dahil 1.069 €, ASRACK 2015 968 € → medyan 1.070 € [Emsal ID: R03068;R02927;R02507]</t>
        </is>
      </c>
      <c r="M87" s="7" t="inlineStr">
        <is>
          <t>İlk tahmin BF 1,400.00</t>
        </is>
      </c>
    </row>
    <row r="88" outlineLevel="1">
      <c r="A88" s="27" t="n"/>
      <c r="B88" s="27" t="inlineStr">
        <is>
          <t>4002.H</t>
        </is>
      </c>
      <c r="C88" s="7" t="inlineStr">
        <is>
          <t>ODF 48 port (24 core omurga giriş/çıkış + 8 core alt ring) + pigtail/füzyon</t>
        </is>
      </c>
      <c r="D88" s="27" t="inlineStr">
        <is>
          <t>adet</t>
        </is>
      </c>
      <c r="E88" s="50" t="n">
        <v>4</v>
      </c>
      <c r="F88" s="50" t="n">
        <v>4</v>
      </c>
      <c r="G88" s="27" t="inlineStr">
        <is>
          <t>-</t>
        </is>
      </c>
      <c r="H88" s="50">
        <f>F88</f>
        <v/>
      </c>
      <c r="I88" s="51" t="n">
        <v>931.2</v>
      </c>
      <c r="J88" s="28">
        <f>H88*I88</f>
        <v/>
      </c>
      <c r="K88" s="52" t="inlineStr">
        <is>
          <t>GEÇMİŞ TEKLİF UYARLAMA</t>
        </is>
      </c>
      <c r="L88" s="7" t="inlineStr">
        <is>
          <t>REF-derin – Başkentray/Thales 2012 642.56; Başkentray/Thales 2012 1902.23; Narlıdere M/Uskom 2018 549.20 | 24F 643 ile 96F 1.902 arası doğrusal 48F=1.063; Narlıdere 96p malzeme 549/2+48x10,95 füzyon=800; ikisinin ortalaması | sonuç 931.20 [Emsal ID: R01279;R01278;R01635]</t>
        </is>
      </c>
      <c r="M88" s="7" t="inlineStr">
        <is>
          <t>Füzyon/pigtail dahil | İlk tahmin BF 1,100.00</t>
        </is>
      </c>
    </row>
    <row r="89" outlineLevel="1">
      <c r="A89" s="27" t="n"/>
      <c r="B89" s="27" t="inlineStr">
        <is>
          <t>4002.H</t>
        </is>
      </c>
      <c r="C89" s="7" t="inlineStr">
        <is>
          <t>SFP modül 1000BASE-LX/ZX SM</t>
        </is>
      </c>
      <c r="D89" s="27" t="inlineStr">
        <is>
          <t>adet</t>
        </is>
      </c>
      <c r="E89" s="50" t="n">
        <v>24</v>
      </c>
      <c r="F89" s="50" t="n">
        <v>24</v>
      </c>
      <c r="G89" s="27" t="inlineStr">
        <is>
          <t>-</t>
        </is>
      </c>
      <c r="H89" s="50">
        <f>F89</f>
        <v/>
      </c>
      <c r="I89" s="51" t="n">
        <v>187.41</v>
      </c>
      <c r="J89" s="28">
        <f>H89*I89</f>
        <v/>
      </c>
      <c r="K89" s="52" t="inlineStr">
        <is>
          <t>GEÇMİŞ TEKLİF UYARLAMA</t>
        </is>
      </c>
      <c r="L89" s="7" t="inlineStr">
        <is>
          <t>REF-derin – Üçyol-Buca M/Nokia/ALE 2021 149.85x1.05; Üçyol-Buca M/Nokia/ALE 2021 152.46x1.05; Üçyol-Buca M/Nokia/ALE 2021 157.96x1.05; Pendik-Kaynarca M/YM 2022 159.72x1.05 | LX emsal medyanı +%5 montaj; ZX (uzun mesafe) payı +%15 | sonuç 187.41 [Emsal ID: R02201;R02168;R02188;R02921]</t>
        </is>
      </c>
      <c r="M89" s="7" t="inlineStr">
        <is>
          <t>İlk tahmin BF 180.00</t>
        </is>
      </c>
    </row>
    <row r="90" outlineLevel="1">
      <c r="A90" s="27" t="n"/>
      <c r="B90" s="27" t="inlineStr">
        <is>
          <t>4002.H</t>
        </is>
      </c>
      <c r="C90" s="7" t="inlineStr">
        <is>
          <t>Bina içi CAT6/HF kablo (switch→telefon, kamera, GGP, RTU)</t>
        </is>
      </c>
      <c r="D90" s="27" t="inlineStr">
        <is>
          <t>m</t>
        </is>
      </c>
      <c r="E90" s="50" t="n">
        <v>315</v>
      </c>
      <c r="F90" s="50" t="n">
        <v>315</v>
      </c>
      <c r="G90" s="27" t="inlineStr">
        <is>
          <t>fire+%30</t>
        </is>
      </c>
      <c r="H90" s="50">
        <f>F90/IF(Varsayimlar!$B$21=1,1.43,1)</f>
        <v/>
      </c>
      <c r="I90" s="51" t="n">
        <v>1.82</v>
      </c>
      <c r="J90" s="28">
        <f>H90*I90</f>
        <v/>
      </c>
      <c r="K90" s="52" t="inlineStr">
        <is>
          <t>GEÇMİŞ TEKLİF UYARLAMA</t>
        </is>
      </c>
      <c r="L90" s="7" t="inlineStr">
        <is>
          <t>REF-derin – KMM M/Uskom 2015 1.44; SAGE bina/YM 2018 2.48; Üçyol-Buca M/Nokia/ALE 2021 1.40x1.3 | Bina içi CAT6 M+İ; malzeme emsaline +%30 çekim/sonlandırma | sonuç 1.82 [Emsal ID: R02786;R02994;R02238]</t>
        </is>
      </c>
      <c r="M90" s="7" t="inlineStr">
        <is>
          <t>İlk tahmin BF 1.20</t>
        </is>
      </c>
    </row>
    <row r="91" outlineLevel="1">
      <c r="A91" s="27" t="n"/>
      <c r="B91" s="27" t="inlineStr">
        <is>
          <t>4002.H</t>
        </is>
      </c>
      <c r="C91" s="7" t="inlineStr">
        <is>
          <t>Patch cord, PDU, kablo organizer</t>
        </is>
      </c>
      <c r="D91" s="27" t="inlineStr">
        <is>
          <t>set</t>
        </is>
      </c>
      <c r="E91" s="50" t="n">
        <v>4</v>
      </c>
      <c r="F91" s="50" t="n">
        <v>4</v>
      </c>
      <c r="G91" s="27" t="inlineStr">
        <is>
          <t>-</t>
        </is>
      </c>
      <c r="H91" s="50">
        <f>F91</f>
        <v/>
      </c>
      <c r="I91" s="51" t="n">
        <v>300</v>
      </c>
      <c r="J91" s="28">
        <f>H91*I91</f>
        <v/>
      </c>
      <c r="K91" s="53" t="inlineStr">
        <is>
          <t>MÜHENDİSLİK TAHMİNİ</t>
        </is>
      </c>
      <c r="L91" s="7" t="inlineStr">
        <is>
          <t>TAHMIN (emsal yok) – Karma set; PDU emsali yok</t>
        </is>
      </c>
      <c r="M91" s="7" t="inlineStr"/>
    </row>
    <row r="92">
      <c r="A92" s="48" t="inlineStr">
        <is>
          <t>245</t>
        </is>
      </c>
      <c r="B92" s="48" t="inlineStr">
        <is>
          <t>4002.I</t>
        </is>
      </c>
      <c r="C92" s="48" t="inlineStr">
        <is>
          <t>Hatboyu İletim Sistemi (1 set)</t>
        </is>
      </c>
      <c r="D92" s="48" t="n"/>
      <c r="E92" s="48" t="n"/>
      <c r="F92" s="48" t="n"/>
      <c r="G92" s="48" t="n"/>
      <c r="H92" s="48" t="inlineStr">
        <is>
          <t>RFQ tutarı →</t>
        </is>
      </c>
      <c r="I92" s="49">
        <f>SUMPRODUCT(E93:E97,I93:I97)</f>
        <v/>
      </c>
      <c r="J92" s="49">
        <f>SUM(J93:J97)</f>
        <v/>
      </c>
      <c r="K92" s="48" t="n"/>
      <c r="L92" s="48" t="n"/>
      <c r="M92" s="48" t="n"/>
    </row>
    <row r="93" outlineLevel="1">
      <c r="A93" s="27" t="n"/>
      <c r="B93" s="27" t="inlineStr">
        <is>
          <t>4002.I</t>
        </is>
      </c>
      <c r="C93" s="7" t="inlineStr">
        <is>
          <t>Endüstriyel kenar ağ anahtarı 8 port + 2 SFP (karayolu geçişleri, makas kontrol, depo bağlantı, depo makas bölgesi)</t>
        </is>
      </c>
      <c r="D93" s="27" t="inlineStr">
        <is>
          <t>adet</t>
        </is>
      </c>
      <c r="E93" s="50" t="n">
        <v>9</v>
      </c>
      <c r="F93" s="50" t="n">
        <v>9</v>
      </c>
      <c r="G93" s="27" t="inlineStr">
        <is>
          <t>-</t>
        </is>
      </c>
      <c r="H93" s="50">
        <f>F93</f>
        <v/>
      </c>
      <c r="I93" s="51" t="n">
        <v>1355</v>
      </c>
      <c r="J93" s="28">
        <f>H93*I93</f>
        <v/>
      </c>
      <c r="K93" s="52" t="inlineStr">
        <is>
          <t>GEÇMİŞ TEKLİF UYARLAMA</t>
        </is>
      </c>
      <c r="L93" s="7" t="inlineStr">
        <is>
          <t>REF-derin – Endüstriyel kenar switch: ALE OS6465-P6 736 €+PSU 174 (M)+%20 = 1.090; OS6465-P12 1.355; YM Çerkezköy 2018 industrial switch 3.374 (iç tahmin) → medyan 1.355 € [Emsal ID: R02196;R02199;R01290]</t>
        </is>
      </c>
      <c r="M93" s="7" t="inlineStr">
        <is>
          <t>İlk tahmin BF 1,500.00</t>
        </is>
      </c>
    </row>
    <row r="94" outlineLevel="1">
      <c r="A94" s="27" t="n"/>
      <c r="B94" s="27" t="inlineStr">
        <is>
          <t>4002.I</t>
        </is>
      </c>
      <c r="C94" s="7" t="inlineStr">
        <is>
          <t>Kenar ağ anahtarı (Telsiz BS kabinleri, CAT6 ile TR'ye bağlı)</t>
        </is>
      </c>
      <c r="D94" s="27" t="inlineStr">
        <is>
          <t>adet</t>
        </is>
      </c>
      <c r="E94" s="50" t="n">
        <v>2</v>
      </c>
      <c r="F94" s="50" t="n">
        <v>2</v>
      </c>
      <c r="G94" s="27" t="inlineStr">
        <is>
          <t>-</t>
        </is>
      </c>
      <c r="H94" s="50">
        <f>F94</f>
        <v/>
      </c>
      <c r="I94" s="51" t="n">
        <v>809.29</v>
      </c>
      <c r="J94" s="28">
        <f>H94*I94</f>
        <v/>
      </c>
      <c r="K94" s="52" t="inlineStr">
        <is>
          <t>GEÇMİŞ TEKLİF UYARLAMA</t>
        </is>
      </c>
      <c r="L94" s="7" t="inlineStr">
        <is>
          <t>REF-derin – Üçyol-Buca M/Nokia/ALE 2021 735.72x1.1; Üçyol-Buca M/Nokia/ALE 2021 955.08x1.1; Üçyol-Buca M/ON Elektronik 2020 381.18x1.1 | Endüstriyel PoE kenar switch malzeme +%10 montaj/konfig. | sonuç 809.29 [Emsal ID: R02196;R02199;R01863]</t>
        </is>
      </c>
      <c r="M94" s="7" t="inlineStr">
        <is>
          <t>İlk tahmin BF 1,200.00</t>
        </is>
      </c>
    </row>
    <row r="95" outlineLevel="1">
      <c r="A95" s="27" t="n"/>
      <c r="B95" s="27" t="inlineStr">
        <is>
          <t>4002.I</t>
        </is>
      </c>
      <c r="C95" s="7" t="inlineStr">
        <is>
          <t>Harici tip yolboyu iletim dolabı / iletim sistemi bağlantı kutusu (IP55, raylı, ısıtıcı/fan)</t>
        </is>
      </c>
      <c r="D95" s="27" t="inlineStr">
        <is>
          <t>adet</t>
        </is>
      </c>
      <c r="E95" s="50" t="n">
        <v>9</v>
      </c>
      <c r="F95" s="50" t="n">
        <v>9</v>
      </c>
      <c r="G95" s="27" t="inlineStr">
        <is>
          <t>-</t>
        </is>
      </c>
      <c r="H95" s="50">
        <f>F95</f>
        <v/>
      </c>
      <c r="I95" s="51" t="n">
        <v>2500</v>
      </c>
      <c r="J95" s="28">
        <f>H95*I95</f>
        <v/>
      </c>
      <c r="K95" s="53" t="inlineStr">
        <is>
          <t>MÜHENDİSLİK TAHMİNİ</t>
        </is>
      </c>
      <c r="L95" s="7" t="inlineStr">
        <is>
          <t>TAHMIN (emsal yok) – Harici IP55 iletim dolabı ısıtıcı/fan – emsal yok [Emsal ID: R04012]</t>
        </is>
      </c>
      <c r="M95" s="7" t="inlineStr"/>
    </row>
    <row r="96" outlineLevel="1">
      <c r="A96" s="27" t="n"/>
      <c r="B96" s="27" t="inlineStr">
        <is>
          <t>4002.I</t>
        </is>
      </c>
      <c r="C96" s="7" t="inlineStr">
        <is>
          <t>Mini ODF/ek-terminasyon kutusu 12 port + pigtail</t>
        </is>
      </c>
      <c r="D96" s="27" t="inlineStr">
        <is>
          <t>adet</t>
        </is>
      </c>
      <c r="E96" s="50" t="n">
        <v>9</v>
      </c>
      <c r="F96" s="50" t="n">
        <v>9</v>
      </c>
      <c r="G96" s="27" t="inlineStr">
        <is>
          <t>-</t>
        </is>
      </c>
      <c r="H96" s="50">
        <f>F96</f>
        <v/>
      </c>
      <c r="I96" s="51" t="n">
        <v>303.88</v>
      </c>
      <c r="J96" s="28">
        <f>H96*I96</f>
        <v/>
      </c>
      <c r="K96" s="52" t="inlineStr">
        <is>
          <t>GEÇMİŞ TEKLİF UYARLAMA</t>
        </is>
      </c>
      <c r="L96" s="7" t="inlineStr">
        <is>
          <t>REF-derin – Yerköy-Sivas YHT bina/YM 2019 121.86; Narlıdere M/Uskom 2018 303.88; KMM M/Uskom 2015 520.95 | M+İ emsaller, pasif kutu | sonuç 303.88 [Emsal ID: R01197;R01799;R02740]</t>
        </is>
      </c>
      <c r="M96" s="7" t="inlineStr">
        <is>
          <t>İlk tahmin BF 350.00</t>
        </is>
      </c>
    </row>
    <row r="97" outlineLevel="1">
      <c r="A97" s="27" t="n"/>
      <c r="B97" s="27" t="inlineStr">
        <is>
          <t>4002.I</t>
        </is>
      </c>
      <c r="C97" s="7" t="inlineStr">
        <is>
          <t>SFP modül SM</t>
        </is>
      </c>
      <c r="D97" s="27" t="inlineStr">
        <is>
          <t>adet</t>
        </is>
      </c>
      <c r="E97" s="50" t="n">
        <v>22</v>
      </c>
      <c r="F97" s="50" t="n">
        <v>22</v>
      </c>
      <c r="G97" s="27" t="inlineStr">
        <is>
          <t>-</t>
        </is>
      </c>
      <c r="H97" s="50">
        <f>F97</f>
        <v/>
      </c>
      <c r="I97" s="51" t="n">
        <v>162.97</v>
      </c>
      <c r="J97" s="28">
        <f>H97*I97</f>
        <v/>
      </c>
      <c r="K97" s="52" t="inlineStr">
        <is>
          <t>GEÇMİŞ TEKLİF UYARLAMA</t>
        </is>
      </c>
      <c r="L97" s="7" t="inlineStr">
        <is>
          <t>REF-derin – Üçyol-Buca M/Nokia/ALE 2021 149.85x1.05; Üçyol-Buca M/Nokia/ALE 2021 152.46x1.05; Üçyol-Buca M/Nokia/ALE 2021 157.96x1.05; Pendik-Kaynarca M/YM 2022 159.72x1.05 | Malzeme fiyatı (montaj hariç) +%5 takma/konfig.; 1000BASE-LX SM birebir | sonuç 162.97 [Emsal ID: R02201;R02168;R02188;R02921]</t>
        </is>
      </c>
      <c r="M97" s="7" t="inlineStr">
        <is>
          <t>İlk tahmin BF 150.00</t>
        </is>
      </c>
    </row>
    <row r="98">
      <c r="A98" s="48" t="inlineStr">
        <is>
          <t>246</t>
        </is>
      </c>
      <c r="B98" s="48" t="inlineStr">
        <is>
          <t>4002.J</t>
        </is>
      </c>
      <c r="C98" s="48" t="inlineStr">
        <is>
          <t>İletim Sistemi Merkezi Donanımı&amp;Yazılımı (1 set)</t>
        </is>
      </c>
      <c r="D98" s="48" t="n"/>
      <c r="E98" s="48" t="n"/>
      <c r="F98" s="48" t="n"/>
      <c r="G98" s="48" t="n"/>
      <c r="H98" s="48" t="inlineStr">
        <is>
          <t>RFQ tutarı →</t>
        </is>
      </c>
      <c r="I98" s="49">
        <f>SUMPRODUCT(E99:E106,I99:I106)</f>
        <v/>
      </c>
      <c r="J98" s="49">
        <f>SUM(J99:J106)</f>
        <v/>
      </c>
      <c r="K98" s="48" t="n"/>
      <c r="L98" s="48" t="n"/>
      <c r="M98" s="48" t="n"/>
    </row>
    <row r="99" outlineLevel="1">
      <c r="A99" s="27" t="n"/>
      <c r="B99" s="27" t="inlineStr">
        <is>
          <t>4002.J</t>
        </is>
      </c>
      <c r="C99" s="7" t="inlineStr">
        <is>
          <t>Omurga anahtar (28x1G SFP + 4 kombo + 4x10G SFP+, 598 Gbps) — TCC OMURGA(1)/(2)</t>
        </is>
      </c>
      <c r="D99" s="27" t="inlineStr">
        <is>
          <t>adet</t>
        </is>
      </c>
      <c r="E99" s="50" t="n">
        <v>2</v>
      </c>
      <c r="F99" s="50" t="n">
        <v>2</v>
      </c>
      <c r="G99" s="27" t="inlineStr">
        <is>
          <t>-</t>
        </is>
      </c>
      <c r="H99" s="50">
        <f>F99</f>
        <v/>
      </c>
      <c r="I99" s="51" t="n">
        <v>5630</v>
      </c>
      <c r="J99" s="28">
        <f>H99*I99</f>
        <v/>
      </c>
      <c r="K99" s="52" t="inlineStr">
        <is>
          <t>GEÇMİŞ TEKLİF UYARLAMA</t>
        </is>
      </c>
      <c r="L99" s="7" t="inlineStr">
        <is>
          <t>REF-derin – Omurga: Huawei S5732-H24S6Q (24 SFP+uplink) Buca 2021 4.894 € (M)+%15=5.630; YM 2019 omurga switch 3.914 €; Huawei S6730 14.004 (M)+%15=16.100 → medyan 5.630 € (mevcut 12.000 yüksek) [Emsal ID: R01918;R01210;R01914]</t>
        </is>
      </c>
      <c r="M99" s="7" t="inlineStr">
        <is>
          <t>Core switch 10G | İlk tahmin BF 12,000.00</t>
        </is>
      </c>
    </row>
    <row r="100" outlineLevel="1">
      <c r="A100" s="27" t="n"/>
      <c r="B100" s="27" t="inlineStr">
        <is>
          <t>4002.J</t>
        </is>
      </c>
      <c r="C100" s="7" t="inlineStr">
        <is>
          <t>Ağ birleştirme yönlendiricisi (aggregation router) + Firewall (yedekli, lisanslı)</t>
        </is>
      </c>
      <c r="D100" s="27" t="inlineStr">
        <is>
          <t>adet</t>
        </is>
      </c>
      <c r="E100" s="50" t="n">
        <v>2</v>
      </c>
      <c r="F100" s="50" t="n">
        <v>2</v>
      </c>
      <c r="G100" s="27" t="inlineStr">
        <is>
          <t>-</t>
        </is>
      </c>
      <c r="H100" s="50">
        <f>F100</f>
        <v/>
      </c>
      <c r="I100" s="51" t="n">
        <v>9700</v>
      </c>
      <c r="J100" s="28">
        <f>H100*I100</f>
        <v/>
      </c>
      <c r="K100" s="52" t="inlineStr">
        <is>
          <t>GEÇMİŞ TEKLİF UYARLAMA</t>
        </is>
      </c>
      <c r="L100" s="7" t="inlineStr">
        <is>
          <t>REF-derin(1) – SAGE 2018 internet gateway firewall dahil 10.415 € (M+İ) → mevcut 9.000 ile harmanlandı [Emsal ID: R03077]</t>
        </is>
      </c>
      <c r="M100" s="7" t="inlineStr">
        <is>
          <t>Router+FW lisanslı | İlk tahmin BF 9,000.00</t>
        </is>
      </c>
    </row>
    <row r="101" outlineLevel="1">
      <c r="A101" s="27" t="n"/>
      <c r="B101" s="27" t="inlineStr">
        <is>
          <t>4002.J</t>
        </is>
      </c>
      <c r="C101" s="7" t="inlineStr">
        <is>
          <t>Ağ yönetim sistemi (NMS) bilgisayarı + monitör + NMS yazılımı (60 anahtar lisansı)</t>
        </is>
      </c>
      <c r="D101" s="27" t="inlineStr">
        <is>
          <t>set</t>
        </is>
      </c>
      <c r="E101" s="50" t="n">
        <v>1</v>
      </c>
      <c r="F101" s="50" t="n">
        <v>1</v>
      </c>
      <c r="G101" s="27" t="inlineStr">
        <is>
          <t>-</t>
        </is>
      </c>
      <c r="H101" s="50">
        <f>F101</f>
        <v/>
      </c>
      <c r="I101" s="51" t="n">
        <v>14600</v>
      </c>
      <c r="J101" s="28">
        <f>H101*I101</f>
        <v/>
      </c>
      <c r="K101" s="52" t="inlineStr">
        <is>
          <t>GEÇMİŞ TEKLİF UYARLAMA</t>
        </is>
      </c>
      <c r="L101" s="7" t="inlineStr">
        <is>
          <t>REF-derin(1) – Narlıdere Uskom 2018 NMS 17.207 € (M+İ) → mevcut 12.000 ile harmanlandı (Samsun LRT 2008 IONOS NMS 22,2 k€ eski SDH, kullanılmadı) [Emsal ID: R01609;R03129]</t>
        </is>
      </c>
      <c r="M101" s="7" t="inlineStr">
        <is>
          <t>İlk tahmin BF 12,000.00</t>
        </is>
      </c>
    </row>
    <row r="102" outlineLevel="1">
      <c r="A102" s="27" t="n"/>
      <c r="B102" s="27" t="inlineStr">
        <is>
          <t>4002.J</t>
        </is>
      </c>
      <c r="C102" s="7" t="inlineStr">
        <is>
          <t>TCC 19'' ekipman kabini 42U (haberleşme/iletim)</t>
        </is>
      </c>
      <c r="D102" s="27" t="inlineStr">
        <is>
          <t>adet</t>
        </is>
      </c>
      <c r="E102" s="50" t="n">
        <v>2</v>
      </c>
      <c r="F102" s="50" t="n">
        <v>2</v>
      </c>
      <c r="G102" s="27" t="inlineStr">
        <is>
          <t>-</t>
        </is>
      </c>
      <c r="H102" s="50">
        <f>F102</f>
        <v/>
      </c>
      <c r="I102" s="51" t="n">
        <v>1212.91</v>
      </c>
      <c r="J102" s="28">
        <f>H102*I102</f>
        <v/>
      </c>
      <c r="K102" s="52" t="inlineStr">
        <is>
          <t>GEÇMİŞ TEKLİF UYARLAMA</t>
        </is>
      </c>
      <c r="L102" s="7" t="inlineStr">
        <is>
          <t>REF-derin – Pendik-Kaynarca M/YM 2022 1069.09x1.1; Üçyol-Buca M/Merit(Alcatel) 2021 1181.20x1.1; Üçyol-Buca M/Nokia/ALE 2021 743.05x1.1; Üçyol-Buca M/Siemens 2021 485.50x1.1; KMM M/RCF 2015 968.24x1.1; KMM M/Ateksis(Bosch) 2015 1197.05x1.1; SAGE bina/YM 2018 1249.82; Narlıdere M/Uskom 2018 3410.46 | 42U kabin emsalleri; malzemeye +%10 montaj; önceki REF-duz 2.000 yüksek | sonuç 1212.91 [Emsal ID: R02927;R01999;R02228;R02125;R02507;R02325;R03068;R01743]</t>
        </is>
      </c>
      <c r="M102" s="7" t="inlineStr">
        <is>
          <t>42U kabin çapa 1.000-1.500+aksesuar | İlk tahmin BF 2,000.00</t>
        </is>
      </c>
    </row>
    <row r="103" outlineLevel="1">
      <c r="A103" s="27" t="n"/>
      <c r="B103" s="27" t="inlineStr">
        <is>
          <t>4002.J</t>
        </is>
      </c>
      <c r="C103" s="7" t="inlineStr">
        <is>
          <t>Fiber optik sonlandırma rafı / ODF 96 port (omurga 24 core x2 yön + depo binaları)</t>
        </is>
      </c>
      <c r="D103" s="27" t="inlineStr">
        <is>
          <t>adet</t>
        </is>
      </c>
      <c r="E103" s="50" t="n">
        <v>2</v>
      </c>
      <c r="F103" s="50" t="n">
        <v>2</v>
      </c>
      <c r="G103" s="27" t="inlineStr">
        <is>
          <t>-</t>
        </is>
      </c>
      <c r="H103" s="50">
        <f>F103</f>
        <v/>
      </c>
      <c r="I103" s="51" t="n">
        <v>1599.91</v>
      </c>
      <c r="J103" s="28">
        <f>H103*I103</f>
        <v/>
      </c>
      <c r="K103" s="52" t="inlineStr">
        <is>
          <t>GEÇMİŞ TEKLİF UYARLAMA</t>
        </is>
      </c>
      <c r="L103" s="7" t="inlineStr">
        <is>
          <t>REF-derin – Başkentray/Thales 2012 1902.23; Narlıdere M/Uskom 2018 549.20; KMM M/Uskom 2015 2175.08 | Başkentray 96F M+İ 1.902; Narlıdere 96p malz. 549+96x10,95 füzyon=1.600; KMM 144F 2.175x96/144=1.450; medyan | sonuç 1599.91 [Emsal ID: R01278;R01635;R02606;R03083;R01636]</t>
        </is>
      </c>
      <c r="M103" s="7" t="inlineStr">
        <is>
          <t>İlk tahmin BF 1,500.00</t>
        </is>
      </c>
    </row>
    <row r="104" outlineLevel="1">
      <c r="A104" s="27" t="n"/>
      <c r="B104" s="27" t="inlineStr">
        <is>
          <t>4002.J</t>
        </is>
      </c>
      <c r="C104" s="7" t="inlineStr">
        <is>
          <t>Mevcut depo kontrol merkezi omurga bağlantısı (SFP, patch, konfigürasyon)</t>
        </is>
      </c>
      <c r="D104" s="27" t="inlineStr">
        <is>
          <t>set</t>
        </is>
      </c>
      <c r="E104" s="50" t="n">
        <v>1</v>
      </c>
      <c r="F104" s="54" t="n">
        <v>0</v>
      </c>
      <c r="G104" s="27" t="inlineStr">
        <is>
          <t>-</t>
        </is>
      </c>
      <c r="H104" s="50">
        <f>F104</f>
        <v/>
      </c>
      <c r="I104" s="51" t="n">
        <v>3000</v>
      </c>
      <c r="J104" s="28">
        <f>H104*I104</f>
        <v/>
      </c>
      <c r="K104" s="55" t="inlineStr">
        <is>
          <t>KAPSAM DIŞI (0)</t>
        </is>
      </c>
      <c r="L104" s="7" t="inlineStr">
        <is>
          <t>TAHMIN (emsal yok) – Emsal yok (miktar 0)</t>
        </is>
      </c>
      <c r="M104" s="7" t="inlineStr">
        <is>
          <t>İdare: mevcut sistem yok</t>
        </is>
      </c>
    </row>
    <row r="105" outlineLevel="1">
      <c r="A105" s="27" t="n"/>
      <c r="B105" s="27" t="inlineStr">
        <is>
          <t>4002.J</t>
        </is>
      </c>
      <c r="C105" s="7" t="inlineStr">
        <is>
          <t>Sistem entegrasyonu, IP/VLAN konfigürasyonu, test-devreye alma, eğitim</t>
        </is>
      </c>
      <c r="D105" s="27" t="inlineStr">
        <is>
          <t>set</t>
        </is>
      </c>
      <c r="E105" s="50" t="n">
        <v>1</v>
      </c>
      <c r="F105" s="50" t="n">
        <v>1</v>
      </c>
      <c r="G105" s="27" t="inlineStr">
        <is>
          <t>-</t>
        </is>
      </c>
      <c r="H105" s="50">
        <f>F105</f>
        <v/>
      </c>
      <c r="I105" s="51" t="n">
        <v>15000</v>
      </c>
      <c r="J105" s="28">
        <f>H105*I105</f>
        <v/>
      </c>
      <c r="K105" s="53" t="inlineStr">
        <is>
          <t>MÜHENDİSLİK TAHMİNİ</t>
        </is>
      </c>
      <c r="L105" s="7" t="inlineStr">
        <is>
          <t>TAHMIN (emsal yok) – Entegrasyon/konfig – metro refleri (70 k€) ölçek dışı [Emsal ID: R02249]</t>
        </is>
      </c>
      <c r="M105" s="7" t="inlineStr"/>
    </row>
    <row r="106" outlineLevel="1">
      <c r="A106" s="27" t="n"/>
      <c r="B106" s="27" t="inlineStr">
        <is>
          <t>4002.J</t>
        </is>
      </c>
      <c r="C106" s="7" t="inlineStr">
        <is>
          <t>Mevcut depo kontrol merkezi (TCC) entegrasyonu: iletim/NMS yazılım uyarlama + lisans</t>
        </is>
      </c>
      <c r="D106" s="27" t="inlineStr">
        <is>
          <t>set</t>
        </is>
      </c>
      <c r="E106" s="50" t="n">
        <v>1</v>
      </c>
      <c r="F106" s="54" t="n">
        <v>0</v>
      </c>
      <c r="G106" s="27" t="inlineStr">
        <is>
          <t>-</t>
        </is>
      </c>
      <c r="H106" s="50">
        <f>F106</f>
        <v/>
      </c>
      <c r="I106" s="51" t="n">
        <v>15000</v>
      </c>
      <c r="J106" s="28">
        <f>H106*I106</f>
        <v/>
      </c>
      <c r="K106" s="55" t="inlineStr">
        <is>
          <t>KAPSAM DIŞI (0)</t>
        </is>
      </c>
      <c r="L106" s="7" t="inlineStr">
        <is>
          <t>TAHMIN (emsal yok) – Emsal yok (miktar 0)</t>
        </is>
      </c>
      <c r="M106" s="7" t="inlineStr">
        <is>
          <t>İdare: mevcut sistem yok</t>
        </is>
      </c>
    </row>
    <row r="107">
      <c r="A107" s="48" t="inlineStr">
        <is>
          <t>247</t>
        </is>
      </c>
      <c r="B107" s="48" t="inlineStr">
        <is>
          <t>4003</t>
        </is>
      </c>
      <c r="C107" s="48" t="inlineStr">
        <is>
          <t>Hatboyu Fiberoptik Ağı (1 set)</t>
        </is>
      </c>
      <c r="D107" s="48" t="n"/>
      <c r="E107" s="48" t="n"/>
      <c r="F107" s="48" t="n"/>
      <c r="G107" s="48" t="n"/>
      <c r="H107" s="48" t="inlineStr">
        <is>
          <t>RFQ tutarı →</t>
        </is>
      </c>
      <c r="I107" s="49">
        <f>SUMPRODUCT(E108:E113,I108:I113)</f>
        <v/>
      </c>
      <c r="J107" s="49">
        <f>SUM(J108:J113)</f>
        <v/>
      </c>
      <c r="K107" s="48" t="n"/>
      <c r="L107" s="48" t="n"/>
      <c r="M107" s="48" t="n"/>
    </row>
    <row r="108" outlineLevel="1">
      <c r="A108" s="27" t="n"/>
      <c r="B108" s="27" t="inlineStr">
        <is>
          <t>4003</t>
        </is>
      </c>
      <c r="C108" s="7" t="inlineStr">
        <is>
          <t>SM zırhlı yeraltı F/O kablo 96 damar (tarif 4002: 2x96) — hattın iki yanında kapalı ring (omurga)</t>
        </is>
      </c>
      <c r="D108" s="27" t="inlineStr">
        <is>
          <t>m</t>
        </is>
      </c>
      <c r="E108" s="50" t="n">
        <v>18762</v>
      </c>
      <c r="F108" s="54" t="n">
        <v>18418.8</v>
      </c>
      <c r="G108" s="27" t="inlineStr">
        <is>
          <t>fire+%30</t>
        </is>
      </c>
      <c r="H108" s="50">
        <f>F108/IF(Varsayimlar!$B$21=1,1.43,1)</f>
        <v/>
      </c>
      <c r="I108" s="51" t="n">
        <v>2.7</v>
      </c>
      <c r="J108" s="28">
        <f>H108*I108</f>
        <v/>
      </c>
      <c r="K108" s="52" t="inlineStr">
        <is>
          <t>GEÇMİŞ TEKLİF UYARLAMA</t>
        </is>
      </c>
      <c r="L108" s="7" t="inlineStr">
        <is>
          <t>REF-derin(1) – Başkentray Thales 2012 24 fiber optik kablo 3.058 €/km = 3,06 €/m (M+İ) → mevcut 2,3 (24 SM’ye düzeltilmiş) ile harmanlandı [Emsal ID: R01276]</t>
        </is>
      </c>
      <c r="M108" s="7" t="inlineStr">
        <is>
          <t>İdare: 24 ve 8 core SM; 96SM→24SM, L 6,44/6,56 | İlk tahmin BF 2.30</t>
        </is>
      </c>
    </row>
    <row r="109" outlineLevel="1">
      <c r="A109" s="27" t="n"/>
      <c r="B109" s="27" t="inlineStr">
        <is>
          <t>4003</t>
        </is>
      </c>
      <c r="C109" s="7" t="inlineStr">
        <is>
          <t>MM F/O kablo 24 damar (durak/karayolu/makas alt ringleri, proje 8 core güzergahı)</t>
        </is>
      </c>
      <c r="D109" s="27" t="inlineStr">
        <is>
          <t>m</t>
        </is>
      </c>
      <c r="E109" s="50" t="n">
        <v>9381</v>
      </c>
      <c r="F109" s="54" t="n">
        <v>9209.4</v>
      </c>
      <c r="G109" s="27" t="inlineStr">
        <is>
          <t>-</t>
        </is>
      </c>
      <c r="H109" s="50">
        <f>F109</f>
        <v/>
      </c>
      <c r="I109" s="51" t="n">
        <v>2</v>
      </c>
      <c r="J109" s="28">
        <f>H109*I109</f>
        <v/>
      </c>
      <c r="K109" s="52" t="inlineStr">
        <is>
          <t>GEÇMİŞ TEKLİF UYARLAMA</t>
        </is>
      </c>
      <c r="L109" s="7" t="inlineStr">
        <is>
          <t>REF-derin – Narlıdere Uskom 2018 4 core SM 1,6 €/m, 2 SM 2,8 €/m (M+İ, LSZH) → medyan 2,2; 8 core zırhlı yeraltı kanalda → 2,0 €/m [Emsal ID: R01801;R01621]</t>
        </is>
      </c>
      <c r="M109" s="7" t="inlineStr">
        <is>
          <t>İdare: 24 ve 8 core SM; 24MM→8SM, L 6,44/6,56 | İlk tahmin BF 1.50</t>
        </is>
      </c>
    </row>
    <row r="110" outlineLevel="1">
      <c r="A110" s="27" t="n"/>
      <c r="B110" s="27" t="inlineStr">
        <is>
          <t>4003</t>
        </is>
      </c>
      <c r="C110" s="7" t="inlineStr">
        <is>
          <t>F/O ek kutusu (yeraltı, dome tip, 96/24 core)</t>
        </is>
      </c>
      <c r="D110" s="27" t="inlineStr">
        <is>
          <t>adet</t>
        </is>
      </c>
      <c r="E110" s="50" t="n">
        <v>33</v>
      </c>
      <c r="F110" s="50" t="n">
        <v>33</v>
      </c>
      <c r="G110" s="27" t="inlineStr">
        <is>
          <t>-</t>
        </is>
      </c>
      <c r="H110" s="50">
        <f>F110</f>
        <v/>
      </c>
      <c r="I110" s="51" t="n">
        <v>250</v>
      </c>
      <c r="J110" s="28">
        <f>H110*I110</f>
        <v/>
      </c>
      <c r="K110" s="53" t="inlineStr">
        <is>
          <t>MÜHENDİSLİK TAHMİNİ</t>
        </is>
      </c>
      <c r="L110" s="7" t="inlineStr">
        <is>
          <t>TAHMIN (emsal yok) – FO ek kutusu: Thales 2012 terminasyon kutusu 670 €, Uskom minibox 304 € – farklı ürün; 250 € korundu [Emsal ID: R01281;R01799]</t>
        </is>
      </c>
      <c r="M110" s="7" t="inlineStr">
        <is>
          <t>İdare: 24 ve 8 core SM; küçük ek kutusu</t>
        </is>
      </c>
    </row>
    <row r="111" outlineLevel="1">
      <c r="A111" s="27" t="n"/>
      <c r="B111" s="27" t="inlineStr">
        <is>
          <t>4003</t>
        </is>
      </c>
      <c r="C111" s="7" t="inlineStr">
        <is>
          <t>Füzyon ek (splice) + sonlandırma işçiliği</t>
        </is>
      </c>
      <c r="D111" s="27" t="inlineStr">
        <is>
          <t>adet</t>
        </is>
      </c>
      <c r="E111" s="50" t="n">
        <v>2153</v>
      </c>
      <c r="F111" s="54" t="n">
        <v>558</v>
      </c>
      <c r="G111" s="27" t="inlineStr">
        <is>
          <t>-</t>
        </is>
      </c>
      <c r="H111" s="50">
        <f>F111</f>
        <v/>
      </c>
      <c r="I111" s="51" t="n">
        <v>15.7</v>
      </c>
      <c r="J111" s="28">
        <f>H111*I111</f>
        <v/>
      </c>
      <c r="K111" s="52" t="inlineStr">
        <is>
          <t>GEÇMİŞ TEKLİF UYARLAMA</t>
        </is>
      </c>
      <c r="L111" s="7" t="inlineStr">
        <is>
          <t>REF-derin(1) – Narlıdere Uskom 2018 FO sonlandırma+OTDR 13,4 €/damar (M+İ) → mevcut 18 ile harmanlandı [Emsal ID: R01636]</t>
        </is>
      </c>
      <c r="M111" s="7" t="inlineStr">
        <is>
          <t>İdare: 24 ve 8 core SM; ek adedi damar oranı ×0.259 | İlk tahmin BF 18.00</t>
        </is>
      </c>
    </row>
    <row r="112" outlineLevel="1">
      <c r="A112" s="27" t="n"/>
      <c r="B112" s="27" t="inlineStr">
        <is>
          <t>4003</t>
        </is>
      </c>
      <c r="C112" s="7" t="inlineStr">
        <is>
          <t>OTDR/güç kaybı testleri, loss budget raporu (+6 dB marj)</t>
        </is>
      </c>
      <c r="D112" s="27" t="inlineStr">
        <is>
          <t>set</t>
        </is>
      </c>
      <c r="E112" s="50" t="n">
        <v>1</v>
      </c>
      <c r="F112" s="50" t="n">
        <v>1</v>
      </c>
      <c r="G112" s="27" t="inlineStr">
        <is>
          <t>-</t>
        </is>
      </c>
      <c r="H112" s="50">
        <f>F112</f>
        <v/>
      </c>
      <c r="I112" s="51" t="n">
        <v>5800</v>
      </c>
      <c r="J112" s="28">
        <f>H112*I112</f>
        <v/>
      </c>
      <c r="K112" s="52" t="inlineStr">
        <is>
          <t>GEÇMİŞ TEKLİF UYARLAMA</t>
        </is>
      </c>
      <c r="L112" s="7" t="inlineStr">
        <is>
          <t>REF-derin(1) – Thales 2012 24 FO OTDR 411 €/km → 12,9 km×411 + 9,2 km 8-core (~140 €/km) ≈ 6.600 € → mevcut 5.000 ile harmanlandı [Emsal ID: R01283;R01282]</t>
        </is>
      </c>
      <c r="M112" s="7" t="inlineStr">
        <is>
          <t>İdare: 24 ve 8 core SM; az damar | İlk tahmin BF 5,000.00</t>
        </is>
      </c>
    </row>
    <row r="113" outlineLevel="1">
      <c r="A113" s="27" t="n"/>
      <c r="B113" s="27" t="inlineStr">
        <is>
          <t>4003</t>
        </is>
      </c>
      <c r="C113" s="7" t="inlineStr">
        <is>
          <t>F/O kablo işaret bandı/etiket, rezerv loop</t>
        </is>
      </c>
      <c r="D113" s="27" t="inlineStr">
        <is>
          <t>set</t>
        </is>
      </c>
      <c r="E113" s="50" t="n">
        <v>1</v>
      </c>
      <c r="F113" s="50" t="n">
        <v>1</v>
      </c>
      <c r="G113" s="27" t="inlineStr">
        <is>
          <t>-</t>
        </is>
      </c>
      <c r="H113" s="50">
        <f>F113</f>
        <v/>
      </c>
      <c r="I113" s="51" t="n">
        <v>4000</v>
      </c>
      <c r="J113" s="28">
        <f>H113*I113</f>
        <v/>
      </c>
      <c r="K113" s="53" t="inlineStr">
        <is>
          <t>MÜHENDİSLİK TAHMİNİ</t>
        </is>
      </c>
      <c r="L113" s="7" t="inlineStr">
        <is>
          <t>TAHMIN (emsal yok) – Emsal yok</t>
        </is>
      </c>
      <c r="M113" s="7" t="inlineStr"/>
    </row>
    <row r="114">
      <c r="A114" s="48" t="inlineStr">
        <is>
          <t>248</t>
        </is>
      </c>
      <c r="B114" s="48" t="inlineStr">
        <is>
          <t>4004</t>
        </is>
      </c>
      <c r="C114" s="48" t="inlineStr">
        <is>
          <t>Telefon Sistemi Tasarımı (1 set)</t>
        </is>
      </c>
      <c r="D114" s="48" t="n"/>
      <c r="E114" s="48" t="n"/>
      <c r="F114" s="48" t="n"/>
      <c r="G114" s="48" t="n"/>
      <c r="H114" s="48" t="inlineStr">
        <is>
          <t>RFQ tutarı →</t>
        </is>
      </c>
      <c r="I114" s="49">
        <f>SUMPRODUCT(E115:E116,I115:I116)</f>
        <v/>
      </c>
      <c r="J114" s="49">
        <f>SUM(J115:J116)</f>
        <v/>
      </c>
      <c r="K114" s="48" t="n"/>
      <c r="L114" s="48" t="n"/>
      <c r="M114" s="48" t="n"/>
    </row>
    <row r="115" outlineLevel="1">
      <c r="A115" s="27" t="n"/>
      <c r="B115" s="27" t="inlineStr">
        <is>
          <t>4004</t>
        </is>
      </c>
      <c r="C115" s="7" t="inlineStr">
        <is>
          <t>Uygulama projeleri, sistem mimarisi/blok şemaları, hesaplar (IP santral, numaralandırma, SIP/acil hat senaryosu)</t>
        </is>
      </c>
      <c r="D115" s="27" t="inlineStr">
        <is>
          <t>set</t>
        </is>
      </c>
      <c r="E115" s="50" t="n">
        <v>1</v>
      </c>
      <c r="F115" s="50" t="n">
        <v>1</v>
      </c>
      <c r="G115" s="27" t="inlineStr">
        <is>
          <t>-</t>
        </is>
      </c>
      <c r="H115" s="50">
        <f>F115</f>
        <v/>
      </c>
      <c r="I115" s="51" t="n">
        <v>7560</v>
      </c>
      <c r="J115" s="28">
        <f>H115*I115</f>
        <v/>
      </c>
      <c r="K115" s="52" t="inlineStr">
        <is>
          <t>GEÇMİŞ TEKLİF UYARLAMA</t>
        </is>
      </c>
      <c r="L115" s="7" t="inlineStr">
        <is>
          <t>REF-derin – Telefon sistem tasarımı: Buca Merit 2021 7.461 €, YM Çerkezköy 2018 7.656 € → medyan 7.560 € [Emsal ID: R01987;R01301]</t>
        </is>
      </c>
      <c r="M115" s="7" t="inlineStr">
        <is>
          <t>Tasarım, küçük tramvay ölçeği | İlk tahmin BF 8,000.00</t>
        </is>
      </c>
    </row>
    <row r="116" outlineLevel="1">
      <c r="A116" s="27" t="n"/>
      <c r="B116" s="27" t="inlineStr">
        <is>
          <t>4004</t>
        </is>
      </c>
      <c r="C116" s="7" t="inlineStr">
        <is>
          <t>Dokümantasyon: malzeme onayı, test prosedürleri, as-built, işletme-bakım el kitapları, eğitim dokümanı</t>
        </is>
      </c>
      <c r="D116" s="27" t="inlineStr">
        <is>
          <t>set</t>
        </is>
      </c>
      <c r="E116" s="50" t="n">
        <v>1</v>
      </c>
      <c r="F116" s="50" t="n">
        <v>1</v>
      </c>
      <c r="G116" s="27" t="inlineStr">
        <is>
          <t>-</t>
        </is>
      </c>
      <c r="H116" s="50">
        <f>F116</f>
        <v/>
      </c>
      <c r="I116" s="51" t="n">
        <v>4000</v>
      </c>
      <c r="J116" s="28">
        <f>H116*I116</f>
        <v/>
      </c>
      <c r="K116" s="53" t="inlineStr">
        <is>
          <t>MÜHENDİSLİK TAHMİNİ</t>
        </is>
      </c>
      <c r="L116" s="7" t="inlineStr">
        <is>
          <t>TAHMIN (emsal yok) – As-built/OMM emsalleri metro ölçeği 1.330 (Ateksis KMM) - 17.078 (Uskom Narlıdere); küçük tramvay alt sistem dokümanı kıyaslanamaz, mevcut aralıkta</t>
        </is>
      </c>
      <c r="M116" s="7" t="inlineStr">
        <is>
          <t>Tasarım, küçük tramvay ölçeği</t>
        </is>
      </c>
    </row>
    <row r="117">
      <c r="A117" s="48" t="inlineStr">
        <is>
          <t>249</t>
        </is>
      </c>
      <c r="B117" s="48" t="inlineStr">
        <is>
          <t>4005.A</t>
        </is>
      </c>
      <c r="C117" s="48" t="inlineStr">
        <is>
          <t>Göbekli Tepe İstasyonu Telefon Sistemi (1 set)</t>
        </is>
      </c>
      <c r="D117" s="48" t="n"/>
      <c r="E117" s="48" t="n"/>
      <c r="F117" s="48" t="n"/>
      <c r="G117" s="48" t="n"/>
      <c r="H117" s="48" t="inlineStr">
        <is>
          <t>RFQ tutarı →</t>
        </is>
      </c>
      <c r="I117" s="49">
        <f>SUMPRODUCT(E118:E122,I118:I122)</f>
        <v/>
      </c>
      <c r="J117" s="49">
        <f>SUM(J118:J122)</f>
        <v/>
      </c>
      <c r="K117" s="48" t="n"/>
      <c r="L117" s="48" t="n"/>
      <c r="M117" s="48" t="n"/>
    </row>
    <row r="118" outlineLevel="1">
      <c r="A118" s="27" t="n"/>
      <c r="B118" s="27" t="inlineStr">
        <is>
          <t>4005.A</t>
        </is>
      </c>
      <c r="C118" s="7" t="inlineStr">
        <is>
          <t>Acil durum (SOS) IP telefonu, harici tip, IP66, saldırıya dayanıklı, tuşsuz, PoE, SIP</t>
        </is>
      </c>
      <c r="D118" s="27" t="inlineStr">
        <is>
          <t>adet</t>
        </is>
      </c>
      <c r="E118" s="50" t="n">
        <v>4</v>
      </c>
      <c r="F118" s="50" t="n">
        <v>4</v>
      </c>
      <c r="G118" s="27" t="inlineStr">
        <is>
          <t>-</t>
        </is>
      </c>
      <c r="H118" s="50">
        <f>F118</f>
        <v/>
      </c>
      <c r="I118" s="51" t="n">
        <v>712.15</v>
      </c>
      <c r="J118" s="28">
        <f>H118*I118</f>
        <v/>
      </c>
      <c r="K118" s="52" t="inlineStr">
        <is>
          <t>GEÇMİŞ TEKLİF UYARLAMA</t>
        </is>
      </c>
      <c r="L118" s="7" t="inlineStr">
        <is>
          <t>REF-derin – Üçyol-Buca M/Merit(Alcatel) 2021 619.27x1.15; Pendik-Kaynarca M/YM 2022 751.00x1.15; Narlıdere M/Uskom 2018 271.31 | 2018+ IP66/intercom acil telefon; malzemeye +%15 montaj; 2015 analog emsaller dışarıda | sonuç 712.15 [Emsal ID: R02005;R02940;R01651]</t>
        </is>
      </c>
      <c r="M118" s="7" t="inlineStr">
        <is>
          <t>Ref düşük; harici vandal IP tel. çapa 800-1500 | İlk tahmin BF 1,000.00</t>
        </is>
      </c>
    </row>
    <row r="119" outlineLevel="1">
      <c r="A119" s="27" t="n"/>
      <c r="B119" s="27" t="inlineStr">
        <is>
          <t>4005.A</t>
        </is>
      </c>
      <c r="C119" s="7" t="inlineStr">
        <is>
          <t>Data prizi CAT6 (güvenlik odası + biletmatik)</t>
        </is>
      </c>
      <c r="D119" s="27" t="inlineStr">
        <is>
          <t>adet</t>
        </is>
      </c>
      <c r="E119" s="50" t="n">
        <v>6</v>
      </c>
      <c r="F119" s="50" t="n">
        <v>6</v>
      </c>
      <c r="G119" s="27" t="inlineStr">
        <is>
          <t>%30</t>
        </is>
      </c>
      <c r="H119" s="50">
        <f>F119/IF(Varsayimlar!$B$21=1,1.3,1)</f>
        <v/>
      </c>
      <c r="I119" s="51" t="n">
        <v>8.08</v>
      </c>
      <c r="J119" s="28">
        <f>H119*I119</f>
        <v/>
      </c>
      <c r="K119" s="52" t="inlineStr">
        <is>
          <t>GEÇMİŞ TEKLİF UYARLAMA</t>
        </is>
      </c>
      <c r="L119" s="7" t="inlineStr">
        <is>
          <t>REF-derin – KMM M/Uskom 2015 12.38; Narlıdere M/Uskom 2018 27.52; Yerköy-Sivas YHT bina/YM 2019 3.26; Bursa T2/Kocaeli Tr/Sekaray 2015 3.78 | Montajlı priz emsalleri (M+İ / BFTC) | sonuç 8.08 [Emsal ID: R02641;R01656;R01183;R02815]</t>
        </is>
      </c>
      <c r="M119" s="7" t="inlineStr">
        <is>
          <t>İlk tahmin BF 15.00</t>
        </is>
      </c>
    </row>
    <row r="120" outlineLevel="1">
      <c r="A120" s="27" t="n"/>
      <c r="B120" s="27" t="inlineStr">
        <is>
          <t>4005.A</t>
        </is>
      </c>
      <c r="C120" s="7" t="inlineStr">
        <is>
          <t>CAT6-F UTP outdoor kablo (acil durum telefon hattı)</t>
        </is>
      </c>
      <c r="D120" s="27" t="inlineStr">
        <is>
          <t>m</t>
        </is>
      </c>
      <c r="E120" s="50" t="n">
        <v>225</v>
      </c>
      <c r="F120" s="50" t="n">
        <v>225</v>
      </c>
      <c r="G120" s="27" t="inlineStr">
        <is>
          <t>fire+%30</t>
        </is>
      </c>
      <c r="H120" s="50">
        <f>F120/IF(Varsayimlar!$B$21=1,1.43,1)</f>
        <v/>
      </c>
      <c r="I120" s="51" t="n">
        <v>2.48</v>
      </c>
      <c r="J120" s="28">
        <f>H120*I120</f>
        <v/>
      </c>
      <c r="K120" s="52" t="inlineStr">
        <is>
          <t>GEÇMİŞ TEKLİF UYARLAMA</t>
        </is>
      </c>
      <c r="L120" s="7" t="inlineStr">
        <is>
          <t>REF-derin – Pendik-Kaynarca M/YM 2022 2.45x1.3; SAGE bina/YM 2018 2.48; Üçyol-Buca M/Nokia/ALE 2021 1.40x1.3 | Ekranlı/LS0H-FE180 CAT6-7; malzemeye +%30 çekim | sonuç 2.48 [Emsal ID: R02987;R02994;R02238]</t>
        </is>
      </c>
      <c r="M120" s="7" t="inlineStr">
        <is>
          <t>İlk tahmin BF 1.60</t>
        </is>
      </c>
    </row>
    <row r="121" outlineLevel="1">
      <c r="A121" s="27" t="n"/>
      <c r="B121" s="27" t="inlineStr">
        <is>
          <t>4005.A</t>
        </is>
      </c>
      <c r="C121" s="7" t="inlineStr">
        <is>
          <t>CAT6 data kablosu (data prizleri)</t>
        </is>
      </c>
      <c r="D121" s="27" t="inlineStr">
        <is>
          <t>m</t>
        </is>
      </c>
      <c r="E121" s="50" t="n">
        <v>46</v>
      </c>
      <c r="F121" s="50" t="n">
        <v>46</v>
      </c>
      <c r="G121" s="27" t="inlineStr">
        <is>
          <t>fire+%30</t>
        </is>
      </c>
      <c r="H121" s="50">
        <f>F121/IF(Varsayimlar!$B$21=1,1.43,1)</f>
        <v/>
      </c>
      <c r="I121" s="51" t="n">
        <v>1.82</v>
      </c>
      <c r="J121" s="28">
        <f>H121*I121</f>
        <v/>
      </c>
      <c r="K121" s="52" t="inlineStr">
        <is>
          <t>GEÇMİŞ TEKLİF UYARLAMA</t>
        </is>
      </c>
      <c r="L121" s="7" t="inlineStr">
        <is>
          <t>REF-derin – KMM M/Uskom 2015 1.44; SAGE bina/YM 2018 2.48; Üçyol-Buca M/Nokia/ALE 2021 1.40x1.3 | Bina içi CAT6 M+İ; malzeme emsaline +%30 çekim/sonlandırma | sonuç 1.82 [Emsal ID: R02786;R02994;R02238]</t>
        </is>
      </c>
      <c r="M121" s="7" t="inlineStr">
        <is>
          <t>İlk tahmin BF 1.00</t>
        </is>
      </c>
    </row>
    <row r="122" outlineLevel="1">
      <c r="A122" s="27" t="n"/>
      <c r="B122" s="27" t="inlineStr">
        <is>
          <t>4005.A</t>
        </is>
      </c>
      <c r="C122" s="7" t="inlineStr">
        <is>
          <t>Telefon/data hattı besleme buatı (TB/DB) + montaj malzemesi</t>
        </is>
      </c>
      <c r="D122" s="27" t="inlineStr">
        <is>
          <t>adet</t>
        </is>
      </c>
      <c r="E122" s="50" t="n">
        <v>11</v>
      </c>
      <c r="F122" s="50" t="n">
        <v>11</v>
      </c>
      <c r="G122" s="27" t="inlineStr">
        <is>
          <t>-</t>
        </is>
      </c>
      <c r="H122" s="50">
        <f>F122</f>
        <v/>
      </c>
      <c r="I122" s="51" t="n">
        <v>25</v>
      </c>
      <c r="J122" s="28">
        <f>H122*I122</f>
        <v/>
      </c>
      <c r="K122" s="53" t="inlineStr">
        <is>
          <t>MÜHENDİSLİK TAHMİNİ</t>
        </is>
      </c>
      <c r="L122" s="7" t="inlineStr">
        <is>
          <t>TAHMIN (emsal yok) – Buat emsali yok (20 çift dağıtım kutuları farklı)</t>
        </is>
      </c>
      <c r="M122" s="7" t="inlineStr"/>
    </row>
    <row r="123">
      <c r="A123" s="48" t="inlineStr">
        <is>
          <t>250</t>
        </is>
      </c>
      <c r="B123" s="48" t="inlineStr">
        <is>
          <t>4005.B</t>
        </is>
      </c>
      <c r="C123" s="48" t="inlineStr">
        <is>
          <t>Hızmalı Köprüsü İstasyonu Telefon Sistemi (1 set)</t>
        </is>
      </c>
      <c r="D123" s="48" t="n"/>
      <c r="E123" s="48" t="n"/>
      <c r="F123" s="48" t="n"/>
      <c r="G123" s="48" t="n"/>
      <c r="H123" s="48" t="inlineStr">
        <is>
          <t>RFQ tutarı →</t>
        </is>
      </c>
      <c r="I123" s="49">
        <f>SUMPRODUCT(E124:E128,I124:I128)</f>
        <v/>
      </c>
      <c r="J123" s="49">
        <f>SUM(J124:J128)</f>
        <v/>
      </c>
      <c r="K123" s="48" t="n"/>
      <c r="L123" s="48" t="n"/>
      <c r="M123" s="48" t="n"/>
    </row>
    <row r="124" outlineLevel="1">
      <c r="A124" s="27" t="n"/>
      <c r="B124" s="27" t="inlineStr">
        <is>
          <t>4005.B</t>
        </is>
      </c>
      <c r="C124" s="7" t="inlineStr">
        <is>
          <t>Acil durum (SOS) IP telefonu, harici tip, IP66, saldırıya dayanıklı, tuşsuz, PoE, SIP</t>
        </is>
      </c>
      <c r="D124" s="27" t="inlineStr">
        <is>
          <t>adet</t>
        </is>
      </c>
      <c r="E124" s="50" t="n">
        <v>2</v>
      </c>
      <c r="F124" s="50" t="n">
        <v>2</v>
      </c>
      <c r="G124" s="27" t="inlineStr">
        <is>
          <t>-</t>
        </is>
      </c>
      <c r="H124" s="50">
        <f>F124</f>
        <v/>
      </c>
      <c r="I124" s="51" t="n">
        <v>712.15</v>
      </c>
      <c r="J124" s="28">
        <f>H124*I124</f>
        <v/>
      </c>
      <c r="K124" s="52" t="inlineStr">
        <is>
          <t>GEÇMİŞ TEKLİF UYARLAMA</t>
        </is>
      </c>
      <c r="L124" s="7" t="inlineStr">
        <is>
          <t>REF-derin – Üçyol-Buca M/Merit(Alcatel) 2021 619.27x1.15; Pendik-Kaynarca M/YM 2022 751.00x1.15; Narlıdere M/Uskom 2018 271.31 | 2018+ IP66/intercom acil telefon; malzemeye +%15 montaj; 2015 analog emsaller dışarıda | sonuç 712.15 [Emsal ID: R02005;R02940;R01651]</t>
        </is>
      </c>
      <c r="M124" s="7" t="inlineStr">
        <is>
          <t>Ref düşük; harici vandal IP tel. çapa 800-1500 | İlk tahmin BF 1,000.00</t>
        </is>
      </c>
    </row>
    <row r="125" outlineLevel="1">
      <c r="A125" s="27" t="n"/>
      <c r="B125" s="27" t="inlineStr">
        <is>
          <t>4005.B</t>
        </is>
      </c>
      <c r="C125" s="7" t="inlineStr">
        <is>
          <t>Data prizi CAT6 (güvenlik odası + biletmatik)</t>
        </is>
      </c>
      <c r="D125" s="27" t="inlineStr">
        <is>
          <t>adet</t>
        </is>
      </c>
      <c r="E125" s="50" t="n">
        <v>3</v>
      </c>
      <c r="F125" s="50" t="n">
        <v>3</v>
      </c>
      <c r="G125" s="27" t="inlineStr">
        <is>
          <t>%30</t>
        </is>
      </c>
      <c r="H125" s="50">
        <f>F125/IF(Varsayimlar!$B$21=1,1.3,1)</f>
        <v/>
      </c>
      <c r="I125" s="51" t="n">
        <v>8.08</v>
      </c>
      <c r="J125" s="28">
        <f>H125*I125</f>
        <v/>
      </c>
      <c r="K125" s="52" t="inlineStr">
        <is>
          <t>GEÇMİŞ TEKLİF UYARLAMA</t>
        </is>
      </c>
      <c r="L125" s="7" t="inlineStr">
        <is>
          <t>REF-derin – KMM M/Uskom 2015 12.38; Narlıdere M/Uskom 2018 27.52; Yerköy-Sivas YHT bina/YM 2019 3.26; Bursa T2/Kocaeli Tr/Sekaray 2015 3.78 | Montajlı priz emsalleri (M+İ / BFTC) | sonuç 8.08 [Emsal ID: R02641;R01656;R01183;R02815]</t>
        </is>
      </c>
      <c r="M125" s="7" t="inlineStr">
        <is>
          <t>İlk tahmin BF 15.00</t>
        </is>
      </c>
    </row>
    <row r="126" outlineLevel="1">
      <c r="A126" s="27" t="n"/>
      <c r="B126" s="27" t="inlineStr">
        <is>
          <t>4005.B</t>
        </is>
      </c>
      <c r="C126" s="7" t="inlineStr">
        <is>
          <t>CAT6-F UTP outdoor kablo (acil durum telefon hattı)</t>
        </is>
      </c>
      <c r="D126" s="27" t="inlineStr">
        <is>
          <t>m</t>
        </is>
      </c>
      <c r="E126" s="50" t="n">
        <v>132</v>
      </c>
      <c r="F126" s="50" t="n">
        <v>132</v>
      </c>
      <c r="G126" s="27" t="inlineStr">
        <is>
          <t>fire+%30</t>
        </is>
      </c>
      <c r="H126" s="50">
        <f>F126/IF(Varsayimlar!$B$21=1,1.43,1)</f>
        <v/>
      </c>
      <c r="I126" s="51" t="n">
        <v>2.48</v>
      </c>
      <c r="J126" s="28">
        <f>H126*I126</f>
        <v/>
      </c>
      <c r="K126" s="52" t="inlineStr">
        <is>
          <t>GEÇMİŞ TEKLİF UYARLAMA</t>
        </is>
      </c>
      <c r="L126" s="7" t="inlineStr">
        <is>
          <t>REF-derin – Pendik-Kaynarca M/YM 2022 2.45x1.3; SAGE bina/YM 2018 2.48; Üçyol-Buca M/Nokia/ALE 2021 1.40x1.3 | Ekranlı/LS0H-FE180 CAT6-7; malzemeye +%30 çekim | sonuç 2.48 [Emsal ID: R02987;R02994;R02238]</t>
        </is>
      </c>
      <c r="M126" s="7" t="inlineStr">
        <is>
          <t>İlk tahmin BF 1.60</t>
        </is>
      </c>
    </row>
    <row r="127" outlineLevel="1">
      <c r="A127" s="27" t="n"/>
      <c r="B127" s="27" t="inlineStr">
        <is>
          <t>4005.B</t>
        </is>
      </c>
      <c r="C127" s="7" t="inlineStr">
        <is>
          <t>CAT6 data kablosu (data prizleri)</t>
        </is>
      </c>
      <c r="D127" s="27" t="inlineStr">
        <is>
          <t>m</t>
        </is>
      </c>
      <c r="E127" s="50" t="n">
        <v>23</v>
      </c>
      <c r="F127" s="50" t="n">
        <v>23</v>
      </c>
      <c r="G127" s="27" t="inlineStr">
        <is>
          <t>fire+%30</t>
        </is>
      </c>
      <c r="H127" s="50">
        <f>F127/IF(Varsayimlar!$B$21=1,1.43,1)</f>
        <v/>
      </c>
      <c r="I127" s="51" t="n">
        <v>1.82</v>
      </c>
      <c r="J127" s="28">
        <f>H127*I127</f>
        <v/>
      </c>
      <c r="K127" s="52" t="inlineStr">
        <is>
          <t>GEÇMİŞ TEKLİF UYARLAMA</t>
        </is>
      </c>
      <c r="L127" s="7" t="inlineStr">
        <is>
          <t>REF-derin – KMM M/Uskom 2015 1.44; SAGE bina/YM 2018 2.48; Üçyol-Buca M/Nokia/ALE 2021 1.40x1.3 | Bina içi CAT6 M+İ; malzeme emsaline +%30 çekim/sonlandırma | sonuç 1.82 [Emsal ID: R02786;R02994;R02238]</t>
        </is>
      </c>
      <c r="M127" s="7" t="inlineStr">
        <is>
          <t>İlk tahmin BF 1.00</t>
        </is>
      </c>
    </row>
    <row r="128" outlineLevel="1">
      <c r="A128" s="27" t="n"/>
      <c r="B128" s="27" t="inlineStr">
        <is>
          <t>4005.B</t>
        </is>
      </c>
      <c r="C128" s="7" t="inlineStr">
        <is>
          <t>Telefon/data hattı besleme buatı (TB/DB) + montaj malzemesi</t>
        </is>
      </c>
      <c r="D128" s="27" t="inlineStr">
        <is>
          <t>adet</t>
        </is>
      </c>
      <c r="E128" s="50" t="n">
        <v>6</v>
      </c>
      <c r="F128" s="50" t="n">
        <v>6</v>
      </c>
      <c r="G128" s="27" t="inlineStr">
        <is>
          <t>-</t>
        </is>
      </c>
      <c r="H128" s="50">
        <f>F128</f>
        <v/>
      </c>
      <c r="I128" s="51" t="n">
        <v>25</v>
      </c>
      <c r="J128" s="28">
        <f>H128*I128</f>
        <v/>
      </c>
      <c r="K128" s="53" t="inlineStr">
        <is>
          <t>MÜHENDİSLİK TAHMİNİ</t>
        </is>
      </c>
      <c r="L128" s="7" t="inlineStr">
        <is>
          <t>TAHMIN (emsal yok) – Buat emsali yok (20 çift dağıtım kutuları farklı)</t>
        </is>
      </c>
      <c r="M128" s="7" t="inlineStr"/>
    </row>
    <row r="129">
      <c r="A129" s="48" t="inlineStr">
        <is>
          <t>251</t>
        </is>
      </c>
      <c r="B129" s="48" t="inlineStr">
        <is>
          <t>4005.C</t>
        </is>
      </c>
      <c r="C129" s="48" t="inlineStr">
        <is>
          <t>Balıklıgöl İstasyonu Telefon Sistemi (1 set)</t>
        </is>
      </c>
      <c r="D129" s="48" t="n"/>
      <c r="E129" s="48" t="n"/>
      <c r="F129" s="48" t="n"/>
      <c r="G129" s="48" t="n"/>
      <c r="H129" s="48" t="inlineStr">
        <is>
          <t>RFQ tutarı →</t>
        </is>
      </c>
      <c r="I129" s="49">
        <f>SUMPRODUCT(E130:E134,I130:I134)</f>
        <v/>
      </c>
      <c r="J129" s="49">
        <f>SUM(J130:J134)</f>
        <v/>
      </c>
      <c r="K129" s="48" t="n"/>
      <c r="L129" s="48" t="n"/>
      <c r="M129" s="48" t="n"/>
    </row>
    <row r="130" outlineLevel="1">
      <c r="A130" s="27" t="n"/>
      <c r="B130" s="27" t="inlineStr">
        <is>
          <t>4005.C</t>
        </is>
      </c>
      <c r="C130" s="7" t="inlineStr">
        <is>
          <t>Acil durum (SOS) IP telefonu, harici tip, IP66, saldırıya dayanıklı, tuşsuz, PoE, SIP</t>
        </is>
      </c>
      <c r="D130" s="27" t="inlineStr">
        <is>
          <t>adet</t>
        </is>
      </c>
      <c r="E130" s="50" t="n">
        <v>2</v>
      </c>
      <c r="F130" s="50" t="n">
        <v>2</v>
      </c>
      <c r="G130" s="27" t="inlineStr">
        <is>
          <t>-</t>
        </is>
      </c>
      <c r="H130" s="50">
        <f>F130</f>
        <v/>
      </c>
      <c r="I130" s="51" t="n">
        <v>712.15</v>
      </c>
      <c r="J130" s="28">
        <f>H130*I130</f>
        <v/>
      </c>
      <c r="K130" s="52" t="inlineStr">
        <is>
          <t>GEÇMİŞ TEKLİF UYARLAMA</t>
        </is>
      </c>
      <c r="L130" s="7" t="inlineStr">
        <is>
          <t>REF-derin – Üçyol-Buca M/Merit(Alcatel) 2021 619.27x1.15; Pendik-Kaynarca M/YM 2022 751.00x1.15; Narlıdere M/Uskom 2018 271.31 | 2018+ IP66/intercom acil telefon; malzemeye +%15 montaj; 2015 analog emsaller dışarıda | sonuç 712.15 [Emsal ID: R02005;R02940;R01651]</t>
        </is>
      </c>
      <c r="M130" s="7" t="inlineStr">
        <is>
          <t>Ref düşük; harici vandal IP tel. çapa 800-1500 | İlk tahmin BF 1,000.00</t>
        </is>
      </c>
    </row>
    <row r="131" outlineLevel="1">
      <c r="A131" s="27" t="n"/>
      <c r="B131" s="27" t="inlineStr">
        <is>
          <t>4005.C</t>
        </is>
      </c>
      <c r="C131" s="7" t="inlineStr">
        <is>
          <t>Data prizi CAT6 (güvenlik odası + biletmatik)</t>
        </is>
      </c>
      <c r="D131" s="27" t="inlineStr">
        <is>
          <t>adet</t>
        </is>
      </c>
      <c r="E131" s="50" t="n">
        <v>3</v>
      </c>
      <c r="F131" s="50" t="n">
        <v>3</v>
      </c>
      <c r="G131" s="27" t="inlineStr">
        <is>
          <t>%30</t>
        </is>
      </c>
      <c r="H131" s="50">
        <f>F131/IF(Varsayimlar!$B$21=1,1.3,1)</f>
        <v/>
      </c>
      <c r="I131" s="51" t="n">
        <v>8.08</v>
      </c>
      <c r="J131" s="28">
        <f>H131*I131</f>
        <v/>
      </c>
      <c r="K131" s="52" t="inlineStr">
        <is>
          <t>GEÇMİŞ TEKLİF UYARLAMA</t>
        </is>
      </c>
      <c r="L131" s="7" t="inlineStr">
        <is>
          <t>REF-derin – KMM M/Uskom 2015 12.38; Narlıdere M/Uskom 2018 27.52; Yerköy-Sivas YHT bina/YM 2019 3.26; Bursa T2/Kocaeli Tr/Sekaray 2015 3.78 | Montajlı priz emsalleri (M+İ / BFTC) | sonuç 8.08 [Emsal ID: R02641;R01656;R01183;R02815]</t>
        </is>
      </c>
      <c r="M131" s="7" t="inlineStr">
        <is>
          <t>İlk tahmin BF 15.00</t>
        </is>
      </c>
    </row>
    <row r="132" outlineLevel="1">
      <c r="A132" s="27" t="n"/>
      <c r="B132" s="27" t="inlineStr">
        <is>
          <t>4005.C</t>
        </is>
      </c>
      <c r="C132" s="7" t="inlineStr">
        <is>
          <t>CAT6-F UTP outdoor kablo (acil durum telefon hattı)</t>
        </is>
      </c>
      <c r="D132" s="27" t="inlineStr">
        <is>
          <t>m</t>
        </is>
      </c>
      <c r="E132" s="50" t="n">
        <v>132</v>
      </c>
      <c r="F132" s="50" t="n">
        <v>132</v>
      </c>
      <c r="G132" s="27" t="inlineStr">
        <is>
          <t>fire+%30</t>
        </is>
      </c>
      <c r="H132" s="50">
        <f>F132/IF(Varsayimlar!$B$21=1,1.43,1)</f>
        <v/>
      </c>
      <c r="I132" s="51" t="n">
        <v>2.48</v>
      </c>
      <c r="J132" s="28">
        <f>H132*I132</f>
        <v/>
      </c>
      <c r="K132" s="52" t="inlineStr">
        <is>
          <t>GEÇMİŞ TEKLİF UYARLAMA</t>
        </is>
      </c>
      <c r="L132" s="7" t="inlineStr">
        <is>
          <t>REF-derin – Pendik-Kaynarca M/YM 2022 2.45x1.3; SAGE bina/YM 2018 2.48; Üçyol-Buca M/Nokia/ALE 2021 1.40x1.3 | Ekranlı/LS0H-FE180 CAT6-7; malzemeye +%30 çekim | sonuç 2.48 [Emsal ID: R02987;R02994;R02238]</t>
        </is>
      </c>
      <c r="M132" s="7" t="inlineStr">
        <is>
          <t>İlk tahmin BF 1.60</t>
        </is>
      </c>
    </row>
    <row r="133" outlineLevel="1">
      <c r="A133" s="27" t="n"/>
      <c r="B133" s="27" t="inlineStr">
        <is>
          <t>4005.C</t>
        </is>
      </c>
      <c r="C133" s="7" t="inlineStr">
        <is>
          <t>CAT6 data kablosu (data prizleri)</t>
        </is>
      </c>
      <c r="D133" s="27" t="inlineStr">
        <is>
          <t>m</t>
        </is>
      </c>
      <c r="E133" s="50" t="n">
        <v>23</v>
      </c>
      <c r="F133" s="50" t="n">
        <v>23</v>
      </c>
      <c r="G133" s="27" t="inlineStr">
        <is>
          <t>fire+%30</t>
        </is>
      </c>
      <c r="H133" s="50">
        <f>F133/IF(Varsayimlar!$B$21=1,1.43,1)</f>
        <v/>
      </c>
      <c r="I133" s="51" t="n">
        <v>1.82</v>
      </c>
      <c r="J133" s="28">
        <f>H133*I133</f>
        <v/>
      </c>
      <c r="K133" s="52" t="inlineStr">
        <is>
          <t>GEÇMİŞ TEKLİF UYARLAMA</t>
        </is>
      </c>
      <c r="L133" s="7" t="inlineStr">
        <is>
          <t>REF-derin – KMM M/Uskom 2015 1.44; SAGE bina/YM 2018 2.48; Üçyol-Buca M/Nokia/ALE 2021 1.40x1.3 | Bina içi CAT6 M+İ; malzeme emsaline +%30 çekim/sonlandırma | sonuç 1.82 [Emsal ID: R02786;R02994;R02238]</t>
        </is>
      </c>
      <c r="M133" s="7" t="inlineStr">
        <is>
          <t>İlk tahmin BF 1.00</t>
        </is>
      </c>
    </row>
    <row r="134" outlineLevel="1">
      <c r="A134" s="27" t="n"/>
      <c r="B134" s="27" t="inlineStr">
        <is>
          <t>4005.C</t>
        </is>
      </c>
      <c r="C134" s="7" t="inlineStr">
        <is>
          <t>Telefon/data hattı besleme buatı (TB/DB) + montaj malzemesi</t>
        </is>
      </c>
      <c r="D134" s="27" t="inlineStr">
        <is>
          <t>adet</t>
        </is>
      </c>
      <c r="E134" s="50" t="n">
        <v>6</v>
      </c>
      <c r="F134" s="50" t="n">
        <v>6</v>
      </c>
      <c r="G134" s="27" t="inlineStr">
        <is>
          <t>-</t>
        </is>
      </c>
      <c r="H134" s="50">
        <f>F134</f>
        <v/>
      </c>
      <c r="I134" s="51" t="n">
        <v>25</v>
      </c>
      <c r="J134" s="28">
        <f>H134*I134</f>
        <v/>
      </c>
      <c r="K134" s="53" t="inlineStr">
        <is>
          <t>MÜHENDİSLİK TAHMİNİ</t>
        </is>
      </c>
      <c r="L134" s="7" t="inlineStr">
        <is>
          <t>TAHMIN (emsal yok) – Buat emsali yok (20 çift dağıtım kutuları farklı)</t>
        </is>
      </c>
      <c r="M134" s="7" t="inlineStr"/>
    </row>
    <row r="135">
      <c r="A135" s="48" t="inlineStr">
        <is>
          <t>252</t>
        </is>
      </c>
      <c r="B135" s="48" t="inlineStr">
        <is>
          <t>4005.D</t>
        </is>
      </c>
      <c r="C135" s="48" t="inlineStr">
        <is>
          <t>Eyüp Peygamber İstasyonu Telefon Sistemi (1 set)</t>
        </is>
      </c>
      <c r="D135" s="48" t="n"/>
      <c r="E135" s="48" t="n"/>
      <c r="F135" s="48" t="n"/>
      <c r="G135" s="48" t="n"/>
      <c r="H135" s="48" t="inlineStr">
        <is>
          <t>RFQ tutarı →</t>
        </is>
      </c>
      <c r="I135" s="49">
        <f>SUMPRODUCT(E136:E140,I136:I140)</f>
        <v/>
      </c>
      <c r="J135" s="49">
        <f>SUM(J136:J140)</f>
        <v/>
      </c>
      <c r="K135" s="48" t="n"/>
      <c r="L135" s="48" t="n"/>
      <c r="M135" s="48" t="n"/>
    </row>
    <row r="136" outlineLevel="1">
      <c r="A136" s="27" t="n"/>
      <c r="B136" s="27" t="inlineStr">
        <is>
          <t>4005.D</t>
        </is>
      </c>
      <c r="C136" s="7" t="inlineStr">
        <is>
          <t>Acil durum (SOS) IP telefonu, harici tip, IP66, saldırıya dayanıklı, tuşsuz, PoE, SIP</t>
        </is>
      </c>
      <c r="D136" s="27" t="inlineStr">
        <is>
          <t>adet</t>
        </is>
      </c>
      <c r="E136" s="50" t="n">
        <v>2</v>
      </c>
      <c r="F136" s="50" t="n">
        <v>2</v>
      </c>
      <c r="G136" s="27" t="inlineStr">
        <is>
          <t>-</t>
        </is>
      </c>
      <c r="H136" s="50">
        <f>F136</f>
        <v/>
      </c>
      <c r="I136" s="51" t="n">
        <v>712.15</v>
      </c>
      <c r="J136" s="28">
        <f>H136*I136</f>
        <v/>
      </c>
      <c r="K136" s="52" t="inlineStr">
        <is>
          <t>GEÇMİŞ TEKLİF UYARLAMA</t>
        </is>
      </c>
      <c r="L136" s="7" t="inlineStr">
        <is>
          <t>REF-derin – Üçyol-Buca M/Merit(Alcatel) 2021 619.27x1.15; Pendik-Kaynarca M/YM 2022 751.00x1.15; Narlıdere M/Uskom 2018 271.31 | 2018+ IP66/intercom acil telefon; malzemeye +%15 montaj; 2015 analog emsaller dışarıda | sonuç 712.15 [Emsal ID: R02005;R02940;R01651]</t>
        </is>
      </c>
      <c r="M136" s="7" t="inlineStr">
        <is>
          <t>Ref düşük; harici vandal IP tel. çapa 800-1500 | İlk tahmin BF 1,000.00</t>
        </is>
      </c>
    </row>
    <row r="137" outlineLevel="1">
      <c r="A137" s="27" t="n"/>
      <c r="B137" s="27" t="inlineStr">
        <is>
          <t>4005.D</t>
        </is>
      </c>
      <c r="C137" s="7" t="inlineStr">
        <is>
          <t>Data prizi CAT6 (güvenlik odası + biletmatik)</t>
        </is>
      </c>
      <c r="D137" s="27" t="inlineStr">
        <is>
          <t>adet</t>
        </is>
      </c>
      <c r="E137" s="50" t="n">
        <v>3</v>
      </c>
      <c r="F137" s="50" t="n">
        <v>3</v>
      </c>
      <c r="G137" s="27" t="inlineStr">
        <is>
          <t>%30</t>
        </is>
      </c>
      <c r="H137" s="50">
        <f>F137/IF(Varsayimlar!$B$21=1,1.3,1)</f>
        <v/>
      </c>
      <c r="I137" s="51" t="n">
        <v>8.08</v>
      </c>
      <c r="J137" s="28">
        <f>H137*I137</f>
        <v/>
      </c>
      <c r="K137" s="52" t="inlineStr">
        <is>
          <t>GEÇMİŞ TEKLİF UYARLAMA</t>
        </is>
      </c>
      <c r="L137" s="7" t="inlineStr">
        <is>
          <t>REF-derin – KMM M/Uskom 2015 12.38; Narlıdere M/Uskom 2018 27.52; Yerköy-Sivas YHT bina/YM 2019 3.26; Bursa T2/Kocaeli Tr/Sekaray 2015 3.78 | Montajlı priz emsalleri (M+İ / BFTC) | sonuç 8.08 [Emsal ID: R02641;R01656;R01183;R02815]</t>
        </is>
      </c>
      <c r="M137" s="7" t="inlineStr">
        <is>
          <t>İlk tahmin BF 15.00</t>
        </is>
      </c>
    </row>
    <row r="138" outlineLevel="1">
      <c r="A138" s="27" t="n"/>
      <c r="B138" s="27" t="inlineStr">
        <is>
          <t>4005.D</t>
        </is>
      </c>
      <c r="C138" s="7" t="inlineStr">
        <is>
          <t>CAT6-F UTP outdoor kablo (acil durum telefon hattı)</t>
        </is>
      </c>
      <c r="D138" s="27" t="inlineStr">
        <is>
          <t>m</t>
        </is>
      </c>
      <c r="E138" s="50" t="n">
        <v>132</v>
      </c>
      <c r="F138" s="50" t="n">
        <v>132</v>
      </c>
      <c r="G138" s="27" t="inlineStr">
        <is>
          <t>fire+%30</t>
        </is>
      </c>
      <c r="H138" s="50">
        <f>F138/IF(Varsayimlar!$B$21=1,1.43,1)</f>
        <v/>
      </c>
      <c r="I138" s="51" t="n">
        <v>2.48</v>
      </c>
      <c r="J138" s="28">
        <f>H138*I138</f>
        <v/>
      </c>
      <c r="K138" s="52" t="inlineStr">
        <is>
          <t>GEÇMİŞ TEKLİF UYARLAMA</t>
        </is>
      </c>
      <c r="L138" s="7" t="inlineStr">
        <is>
          <t>REF-derin – Pendik-Kaynarca M/YM 2022 2.45x1.3; SAGE bina/YM 2018 2.48; Üçyol-Buca M/Nokia/ALE 2021 1.40x1.3 | Ekranlı/LS0H-FE180 CAT6-7; malzemeye +%30 çekim | sonuç 2.48 [Emsal ID: R02987;R02994;R02238]</t>
        </is>
      </c>
      <c r="M138" s="7" t="inlineStr">
        <is>
          <t>İlk tahmin BF 1.60</t>
        </is>
      </c>
    </row>
    <row r="139" outlineLevel="1">
      <c r="A139" s="27" t="n"/>
      <c r="B139" s="27" t="inlineStr">
        <is>
          <t>4005.D</t>
        </is>
      </c>
      <c r="C139" s="7" t="inlineStr">
        <is>
          <t>CAT6 data kablosu (data prizleri)</t>
        </is>
      </c>
      <c r="D139" s="27" t="inlineStr">
        <is>
          <t>m</t>
        </is>
      </c>
      <c r="E139" s="50" t="n">
        <v>23</v>
      </c>
      <c r="F139" s="50" t="n">
        <v>23</v>
      </c>
      <c r="G139" s="27" t="inlineStr">
        <is>
          <t>fire+%30</t>
        </is>
      </c>
      <c r="H139" s="50">
        <f>F139/IF(Varsayimlar!$B$21=1,1.43,1)</f>
        <v/>
      </c>
      <c r="I139" s="51" t="n">
        <v>1.82</v>
      </c>
      <c r="J139" s="28">
        <f>H139*I139</f>
        <v/>
      </c>
      <c r="K139" s="52" t="inlineStr">
        <is>
          <t>GEÇMİŞ TEKLİF UYARLAMA</t>
        </is>
      </c>
      <c r="L139" s="7" t="inlineStr">
        <is>
          <t>REF-derin – KMM M/Uskom 2015 1.44; SAGE bina/YM 2018 2.48; Üçyol-Buca M/Nokia/ALE 2021 1.40x1.3 | Bina içi CAT6 M+İ; malzeme emsaline +%30 çekim/sonlandırma | sonuç 1.82 [Emsal ID: R02786;R02994;R02238]</t>
        </is>
      </c>
      <c r="M139" s="7" t="inlineStr">
        <is>
          <t>İlk tahmin BF 1.00</t>
        </is>
      </c>
    </row>
    <row r="140" outlineLevel="1">
      <c r="A140" s="27" t="n"/>
      <c r="B140" s="27" t="inlineStr">
        <is>
          <t>4005.D</t>
        </is>
      </c>
      <c r="C140" s="7" t="inlineStr">
        <is>
          <t>Telefon/data hattı besleme buatı (TB/DB) + montaj malzemesi</t>
        </is>
      </c>
      <c r="D140" s="27" t="inlineStr">
        <is>
          <t>adet</t>
        </is>
      </c>
      <c r="E140" s="50" t="n">
        <v>6</v>
      </c>
      <c r="F140" s="50" t="n">
        <v>6</v>
      </c>
      <c r="G140" s="27" t="inlineStr">
        <is>
          <t>-</t>
        </is>
      </c>
      <c r="H140" s="50">
        <f>F140</f>
        <v/>
      </c>
      <c r="I140" s="51" t="n">
        <v>25</v>
      </c>
      <c r="J140" s="28">
        <f>H140*I140</f>
        <v/>
      </c>
      <c r="K140" s="53" t="inlineStr">
        <is>
          <t>MÜHENDİSLİK TAHMİNİ</t>
        </is>
      </c>
      <c r="L140" s="7" t="inlineStr">
        <is>
          <t>TAHMIN (emsal yok) – Buat emsali yok (20 çift dağıtım kutuları farklı)</t>
        </is>
      </c>
      <c r="M140" s="7" t="inlineStr"/>
    </row>
    <row r="141">
      <c r="A141" s="48" t="inlineStr">
        <is>
          <t>253</t>
        </is>
      </c>
      <c r="B141" s="48" t="inlineStr">
        <is>
          <t>4005.E</t>
        </is>
      </c>
      <c r="C141" s="48" t="inlineStr">
        <is>
          <t>Rasathane İstasyonu Telefon Sistemi (1 set)</t>
        </is>
      </c>
      <c r="D141" s="48" t="n"/>
      <c r="E141" s="48" t="n"/>
      <c r="F141" s="48" t="n"/>
      <c r="G141" s="48" t="n"/>
      <c r="H141" s="48" t="inlineStr">
        <is>
          <t>RFQ tutarı →</t>
        </is>
      </c>
      <c r="I141" s="49">
        <f>SUMPRODUCT(E142:E146,I142:I146)</f>
        <v/>
      </c>
      <c r="J141" s="49">
        <f>SUM(J142:J146)</f>
        <v/>
      </c>
      <c r="K141" s="48" t="n"/>
      <c r="L141" s="48" t="n"/>
      <c r="M141" s="48" t="n"/>
    </row>
    <row r="142" outlineLevel="1">
      <c r="A142" s="27" t="n"/>
      <c r="B142" s="27" t="inlineStr">
        <is>
          <t>4005.E</t>
        </is>
      </c>
      <c r="C142" s="7" t="inlineStr">
        <is>
          <t>Acil durum (SOS) IP telefonu, harici tip, IP66, saldırıya dayanıklı, tuşsuz, PoE, SIP</t>
        </is>
      </c>
      <c r="D142" s="27" t="inlineStr">
        <is>
          <t>adet</t>
        </is>
      </c>
      <c r="E142" s="50" t="n">
        <v>2</v>
      </c>
      <c r="F142" s="50" t="n">
        <v>2</v>
      </c>
      <c r="G142" s="27" t="inlineStr">
        <is>
          <t>-</t>
        </is>
      </c>
      <c r="H142" s="50">
        <f>F142</f>
        <v/>
      </c>
      <c r="I142" s="51" t="n">
        <v>712.15</v>
      </c>
      <c r="J142" s="28">
        <f>H142*I142</f>
        <v/>
      </c>
      <c r="K142" s="52" t="inlineStr">
        <is>
          <t>GEÇMİŞ TEKLİF UYARLAMA</t>
        </is>
      </c>
      <c r="L142" s="7" t="inlineStr">
        <is>
          <t>REF-derin – Üçyol-Buca M/Merit(Alcatel) 2021 619.27x1.15; Pendik-Kaynarca M/YM 2022 751.00x1.15; Narlıdere M/Uskom 2018 271.31 | 2018+ IP66/intercom acil telefon; malzemeye +%15 montaj; 2015 analog emsaller dışarıda | sonuç 712.15 [Emsal ID: R02005;R02940;R01651]</t>
        </is>
      </c>
      <c r="M142" s="7" t="inlineStr">
        <is>
          <t>Ref düşük; harici vandal IP tel. çapa 800-1500 | İlk tahmin BF 1,000.00</t>
        </is>
      </c>
    </row>
    <row r="143" outlineLevel="1">
      <c r="A143" s="27" t="n"/>
      <c r="B143" s="27" t="inlineStr">
        <is>
          <t>4005.E</t>
        </is>
      </c>
      <c r="C143" s="7" t="inlineStr">
        <is>
          <t>Data prizi CAT6 (güvenlik odası + biletmatik)</t>
        </is>
      </c>
      <c r="D143" s="27" t="inlineStr">
        <is>
          <t>adet</t>
        </is>
      </c>
      <c r="E143" s="50" t="n">
        <v>3</v>
      </c>
      <c r="F143" s="50" t="n">
        <v>3</v>
      </c>
      <c r="G143" s="27" t="inlineStr">
        <is>
          <t>%30</t>
        </is>
      </c>
      <c r="H143" s="50">
        <f>F143/IF(Varsayimlar!$B$21=1,1.3,1)</f>
        <v/>
      </c>
      <c r="I143" s="51" t="n">
        <v>8.08</v>
      </c>
      <c r="J143" s="28">
        <f>H143*I143</f>
        <v/>
      </c>
      <c r="K143" s="52" t="inlineStr">
        <is>
          <t>GEÇMİŞ TEKLİF UYARLAMA</t>
        </is>
      </c>
      <c r="L143" s="7" t="inlineStr">
        <is>
          <t>REF-derin – KMM M/Uskom 2015 12.38; Narlıdere M/Uskom 2018 27.52; Yerköy-Sivas YHT bina/YM 2019 3.26; Bursa T2/Kocaeli Tr/Sekaray 2015 3.78 | Montajlı priz emsalleri (M+İ / BFTC) | sonuç 8.08 [Emsal ID: R02641;R01656;R01183;R02815]</t>
        </is>
      </c>
      <c r="M143" s="7" t="inlineStr">
        <is>
          <t>İlk tahmin BF 15.00</t>
        </is>
      </c>
    </row>
    <row r="144" outlineLevel="1">
      <c r="A144" s="27" t="n"/>
      <c r="B144" s="27" t="inlineStr">
        <is>
          <t>4005.E</t>
        </is>
      </c>
      <c r="C144" s="7" t="inlineStr">
        <is>
          <t>CAT6-F UTP outdoor kablo (acil durum telefon hattı)</t>
        </is>
      </c>
      <c r="D144" s="27" t="inlineStr">
        <is>
          <t>m</t>
        </is>
      </c>
      <c r="E144" s="50" t="n">
        <v>132</v>
      </c>
      <c r="F144" s="50" t="n">
        <v>132</v>
      </c>
      <c r="G144" s="27" t="inlineStr">
        <is>
          <t>fire+%30</t>
        </is>
      </c>
      <c r="H144" s="50">
        <f>F144/IF(Varsayimlar!$B$21=1,1.43,1)</f>
        <v/>
      </c>
      <c r="I144" s="51" t="n">
        <v>2.48</v>
      </c>
      <c r="J144" s="28">
        <f>H144*I144</f>
        <v/>
      </c>
      <c r="K144" s="52" t="inlineStr">
        <is>
          <t>GEÇMİŞ TEKLİF UYARLAMA</t>
        </is>
      </c>
      <c r="L144" s="7" t="inlineStr">
        <is>
          <t>REF-derin – Pendik-Kaynarca M/YM 2022 2.45x1.3; SAGE bina/YM 2018 2.48; Üçyol-Buca M/Nokia/ALE 2021 1.40x1.3 | Ekranlı/LS0H-FE180 CAT6-7; malzemeye +%30 çekim | sonuç 2.48 [Emsal ID: R02987;R02994;R02238]</t>
        </is>
      </c>
      <c r="M144" s="7" t="inlineStr">
        <is>
          <t>İlk tahmin BF 1.60</t>
        </is>
      </c>
    </row>
    <row r="145" outlineLevel="1">
      <c r="A145" s="27" t="n"/>
      <c r="B145" s="27" t="inlineStr">
        <is>
          <t>4005.E</t>
        </is>
      </c>
      <c r="C145" s="7" t="inlineStr">
        <is>
          <t>CAT6 data kablosu (data prizleri)</t>
        </is>
      </c>
      <c r="D145" s="27" t="inlineStr">
        <is>
          <t>m</t>
        </is>
      </c>
      <c r="E145" s="50" t="n">
        <v>23</v>
      </c>
      <c r="F145" s="50" t="n">
        <v>23</v>
      </c>
      <c r="G145" s="27" t="inlineStr">
        <is>
          <t>fire+%30</t>
        </is>
      </c>
      <c r="H145" s="50">
        <f>F145/IF(Varsayimlar!$B$21=1,1.43,1)</f>
        <v/>
      </c>
      <c r="I145" s="51" t="n">
        <v>1.82</v>
      </c>
      <c r="J145" s="28">
        <f>H145*I145</f>
        <v/>
      </c>
      <c r="K145" s="52" t="inlineStr">
        <is>
          <t>GEÇMİŞ TEKLİF UYARLAMA</t>
        </is>
      </c>
      <c r="L145" s="7" t="inlineStr">
        <is>
          <t>REF-derin – KMM M/Uskom 2015 1.44; SAGE bina/YM 2018 2.48; Üçyol-Buca M/Nokia/ALE 2021 1.40x1.3 | Bina içi CAT6 M+İ; malzeme emsaline +%30 çekim/sonlandırma | sonuç 1.82 [Emsal ID: R02786;R02994;R02238]</t>
        </is>
      </c>
      <c r="M145" s="7" t="inlineStr">
        <is>
          <t>İlk tahmin BF 1.00</t>
        </is>
      </c>
    </row>
    <row r="146" outlineLevel="1">
      <c r="A146" s="27" t="n"/>
      <c r="B146" s="27" t="inlineStr">
        <is>
          <t>4005.E</t>
        </is>
      </c>
      <c r="C146" s="7" t="inlineStr">
        <is>
          <t>Telefon/data hattı besleme buatı (TB/DB) + montaj malzemesi</t>
        </is>
      </c>
      <c r="D146" s="27" t="inlineStr">
        <is>
          <t>adet</t>
        </is>
      </c>
      <c r="E146" s="50" t="n">
        <v>6</v>
      </c>
      <c r="F146" s="50" t="n">
        <v>6</v>
      </c>
      <c r="G146" s="27" t="inlineStr">
        <is>
          <t>-</t>
        </is>
      </c>
      <c r="H146" s="50">
        <f>F146</f>
        <v/>
      </c>
      <c r="I146" s="51" t="n">
        <v>25</v>
      </c>
      <c r="J146" s="28">
        <f>H146*I146</f>
        <v/>
      </c>
      <c r="K146" s="53" t="inlineStr">
        <is>
          <t>MÜHENDİSLİK TAHMİNİ</t>
        </is>
      </c>
      <c r="L146" s="7" t="inlineStr">
        <is>
          <t>TAHMIN (emsal yok) – Buat emsali yok (20 çift dağıtım kutuları farklı)</t>
        </is>
      </c>
      <c r="M146" s="7" t="inlineStr"/>
    </row>
    <row r="147">
      <c r="A147" s="48" t="inlineStr">
        <is>
          <t>254</t>
        </is>
      </c>
      <c r="B147" s="48" t="inlineStr">
        <is>
          <t>4005.F</t>
        </is>
      </c>
      <c r="C147" s="48" t="inlineStr">
        <is>
          <t>Harran İstasyonu Telefon Sistemi (1 set)</t>
        </is>
      </c>
      <c r="D147" s="48" t="n"/>
      <c r="E147" s="48" t="n"/>
      <c r="F147" s="48" t="n"/>
      <c r="G147" s="48" t="n"/>
      <c r="H147" s="48" t="inlineStr">
        <is>
          <t>RFQ tutarı →</t>
        </is>
      </c>
      <c r="I147" s="49">
        <f>SUMPRODUCT(E148:E152,I148:I152)</f>
        <v/>
      </c>
      <c r="J147" s="49">
        <f>SUM(J148:J152)</f>
        <v/>
      </c>
      <c r="K147" s="48" t="n"/>
      <c r="L147" s="48" t="n"/>
      <c r="M147" s="48" t="n"/>
    </row>
    <row r="148" outlineLevel="1">
      <c r="A148" s="27" t="n"/>
      <c r="B148" s="27" t="inlineStr">
        <is>
          <t>4005.F</t>
        </is>
      </c>
      <c r="C148" s="7" t="inlineStr">
        <is>
          <t>Acil durum (SOS) IP telefonu, harici tip, IP66, saldırıya dayanıklı, tuşsuz, PoE, SIP</t>
        </is>
      </c>
      <c r="D148" s="27" t="inlineStr">
        <is>
          <t>adet</t>
        </is>
      </c>
      <c r="E148" s="50" t="n">
        <v>2</v>
      </c>
      <c r="F148" s="50" t="n">
        <v>2</v>
      </c>
      <c r="G148" s="27" t="inlineStr">
        <is>
          <t>-</t>
        </is>
      </c>
      <c r="H148" s="50">
        <f>F148</f>
        <v/>
      </c>
      <c r="I148" s="51" t="n">
        <v>712.15</v>
      </c>
      <c r="J148" s="28">
        <f>H148*I148</f>
        <v/>
      </c>
      <c r="K148" s="52" t="inlineStr">
        <is>
          <t>GEÇMİŞ TEKLİF UYARLAMA</t>
        </is>
      </c>
      <c r="L148" s="7" t="inlineStr">
        <is>
          <t>REF-derin – Üçyol-Buca M/Merit(Alcatel) 2021 619.27x1.15; Pendik-Kaynarca M/YM 2022 751.00x1.15; Narlıdere M/Uskom 2018 271.31 | 2018+ IP66/intercom acil telefon; malzemeye +%15 montaj; 2015 analog emsaller dışarıda | sonuç 712.15 [Emsal ID: R02005;R02940;R01651]</t>
        </is>
      </c>
      <c r="M148" s="7" t="inlineStr">
        <is>
          <t>Ref düşük; harici vandal IP tel. çapa 800-1500 | İlk tahmin BF 1,000.00</t>
        </is>
      </c>
    </row>
    <row r="149" outlineLevel="1">
      <c r="A149" s="27" t="n"/>
      <c r="B149" s="27" t="inlineStr">
        <is>
          <t>4005.F</t>
        </is>
      </c>
      <c r="C149" s="7" t="inlineStr">
        <is>
          <t>Data prizi CAT6 (güvenlik odası + biletmatik)</t>
        </is>
      </c>
      <c r="D149" s="27" t="inlineStr">
        <is>
          <t>adet</t>
        </is>
      </c>
      <c r="E149" s="50" t="n">
        <v>3</v>
      </c>
      <c r="F149" s="50" t="n">
        <v>3</v>
      </c>
      <c r="G149" s="27" t="inlineStr">
        <is>
          <t>%30</t>
        </is>
      </c>
      <c r="H149" s="50">
        <f>F149/IF(Varsayimlar!$B$21=1,1.3,1)</f>
        <v/>
      </c>
      <c r="I149" s="51" t="n">
        <v>8.08</v>
      </c>
      <c r="J149" s="28">
        <f>H149*I149</f>
        <v/>
      </c>
      <c r="K149" s="52" t="inlineStr">
        <is>
          <t>GEÇMİŞ TEKLİF UYARLAMA</t>
        </is>
      </c>
      <c r="L149" s="7" t="inlineStr">
        <is>
          <t>REF-derin – KMM M/Uskom 2015 12.38; Narlıdere M/Uskom 2018 27.52; Yerköy-Sivas YHT bina/YM 2019 3.26; Bursa T2/Kocaeli Tr/Sekaray 2015 3.78 | Montajlı priz emsalleri (M+İ / BFTC) | sonuç 8.08 [Emsal ID: R02641;R01656;R01183;R02815]</t>
        </is>
      </c>
      <c r="M149" s="7" t="inlineStr">
        <is>
          <t>İlk tahmin BF 15.00</t>
        </is>
      </c>
    </row>
    <row r="150" outlineLevel="1">
      <c r="A150" s="27" t="n"/>
      <c r="B150" s="27" t="inlineStr">
        <is>
          <t>4005.F</t>
        </is>
      </c>
      <c r="C150" s="7" t="inlineStr">
        <is>
          <t>CAT6-F UTP outdoor kablo (acil durum telefon hattı)</t>
        </is>
      </c>
      <c r="D150" s="27" t="inlineStr">
        <is>
          <t>m</t>
        </is>
      </c>
      <c r="E150" s="50" t="n">
        <v>129</v>
      </c>
      <c r="F150" s="50" t="n">
        <v>129</v>
      </c>
      <c r="G150" s="27" t="inlineStr">
        <is>
          <t>fire+%30</t>
        </is>
      </c>
      <c r="H150" s="50">
        <f>F150/IF(Varsayimlar!$B$21=1,1.43,1)</f>
        <v/>
      </c>
      <c r="I150" s="51" t="n">
        <v>2.48</v>
      </c>
      <c r="J150" s="28">
        <f>H150*I150</f>
        <v/>
      </c>
      <c r="K150" s="52" t="inlineStr">
        <is>
          <t>GEÇMİŞ TEKLİF UYARLAMA</t>
        </is>
      </c>
      <c r="L150" s="7" t="inlineStr">
        <is>
          <t>REF-derin – Pendik-Kaynarca M/YM 2022 2.45x1.3; SAGE bina/YM 2018 2.48; Üçyol-Buca M/Nokia/ALE 2021 1.40x1.3 | Ekranlı/LS0H-FE180 CAT6-7; malzemeye +%30 çekim | sonuç 2.48 [Emsal ID: R02987;R02994;R02238]</t>
        </is>
      </c>
      <c r="M150" s="7" t="inlineStr">
        <is>
          <t>İlk tahmin BF 1.60</t>
        </is>
      </c>
    </row>
    <row r="151" outlineLevel="1">
      <c r="A151" s="27" t="n"/>
      <c r="B151" s="27" t="inlineStr">
        <is>
          <t>4005.F</t>
        </is>
      </c>
      <c r="C151" s="7" t="inlineStr">
        <is>
          <t>CAT6 data kablosu (data prizleri)</t>
        </is>
      </c>
      <c r="D151" s="27" t="inlineStr">
        <is>
          <t>m</t>
        </is>
      </c>
      <c r="E151" s="50" t="n">
        <v>23</v>
      </c>
      <c r="F151" s="50" t="n">
        <v>23</v>
      </c>
      <c r="G151" s="27" t="inlineStr">
        <is>
          <t>fire+%30</t>
        </is>
      </c>
      <c r="H151" s="50">
        <f>F151/IF(Varsayimlar!$B$21=1,1.43,1)</f>
        <v/>
      </c>
      <c r="I151" s="51" t="n">
        <v>1.82</v>
      </c>
      <c r="J151" s="28">
        <f>H151*I151</f>
        <v/>
      </c>
      <c r="K151" s="52" t="inlineStr">
        <is>
          <t>GEÇMİŞ TEKLİF UYARLAMA</t>
        </is>
      </c>
      <c r="L151" s="7" t="inlineStr">
        <is>
          <t>REF-derin – KMM M/Uskom 2015 1.44; SAGE bina/YM 2018 2.48; Üçyol-Buca M/Nokia/ALE 2021 1.40x1.3 | Bina içi CAT6 M+İ; malzeme emsaline +%30 çekim/sonlandırma | sonuç 1.82 [Emsal ID: R02786;R02994;R02238]</t>
        </is>
      </c>
      <c r="M151" s="7" t="inlineStr">
        <is>
          <t>İlk tahmin BF 1.00</t>
        </is>
      </c>
    </row>
    <row r="152" outlineLevel="1">
      <c r="A152" s="27" t="n"/>
      <c r="B152" s="27" t="inlineStr">
        <is>
          <t>4005.F</t>
        </is>
      </c>
      <c r="C152" s="7" t="inlineStr">
        <is>
          <t>Telefon/data hattı besleme buatı (TB/DB) + montaj malzemesi</t>
        </is>
      </c>
      <c r="D152" s="27" t="inlineStr">
        <is>
          <t>adet</t>
        </is>
      </c>
      <c r="E152" s="50" t="n">
        <v>6</v>
      </c>
      <c r="F152" s="50" t="n">
        <v>6</v>
      </c>
      <c r="G152" s="27" t="inlineStr">
        <is>
          <t>-</t>
        </is>
      </c>
      <c r="H152" s="50">
        <f>F152</f>
        <v/>
      </c>
      <c r="I152" s="51" t="n">
        <v>25</v>
      </c>
      <c r="J152" s="28">
        <f>H152*I152</f>
        <v/>
      </c>
      <c r="K152" s="53" t="inlineStr">
        <is>
          <t>MÜHENDİSLİK TAHMİNİ</t>
        </is>
      </c>
      <c r="L152" s="7" t="inlineStr">
        <is>
          <t>TAHMIN (emsal yok) – Buat emsali yok (20 çift dağıtım kutuları farklı)</t>
        </is>
      </c>
      <c r="M152" s="7" t="inlineStr"/>
    </row>
    <row r="153">
      <c r="A153" s="48" t="inlineStr">
        <is>
          <t>255</t>
        </is>
      </c>
      <c r="B153" s="48" t="inlineStr">
        <is>
          <t>4005.G</t>
        </is>
      </c>
      <c r="C153" s="48" t="inlineStr">
        <is>
          <t>Depo Sahası ve Tesisleri Telefon Sistemi (1 set)</t>
        </is>
      </c>
      <c r="D153" s="48" t="n"/>
      <c r="E153" s="48" t="n"/>
      <c r="F153" s="48" t="n"/>
      <c r="G153" s="48" t="n"/>
      <c r="H153" s="48" t="inlineStr">
        <is>
          <t>RFQ tutarı →</t>
        </is>
      </c>
      <c r="I153" s="49">
        <f>SUMPRODUCT(E154:E158,I154:I158)</f>
        <v/>
      </c>
      <c r="J153" s="49">
        <f>SUM(J154:J158)</f>
        <v/>
      </c>
      <c r="K153" s="48" t="n"/>
      <c r="L153" s="48" t="n"/>
      <c r="M153" s="48" t="n"/>
    </row>
    <row r="154" outlineLevel="1">
      <c r="A154" s="27" t="n"/>
      <c r="B154" s="27" t="inlineStr">
        <is>
          <t>4005.G</t>
        </is>
      </c>
      <c r="C154" s="7" t="inlineStr">
        <is>
          <t>IP telefon seti (PoE, Türkçe menü, LCD)</t>
        </is>
      </c>
      <c r="D154" s="27" t="inlineStr">
        <is>
          <t>adet</t>
        </is>
      </c>
      <c r="E154" s="50" t="n">
        <v>55</v>
      </c>
      <c r="F154" s="50" t="n">
        <v>55</v>
      </c>
      <c r="G154" s="27" t="inlineStr">
        <is>
          <t>-</t>
        </is>
      </c>
      <c r="H154" s="50">
        <f>F154</f>
        <v/>
      </c>
      <c r="I154" s="51" t="n">
        <v>166</v>
      </c>
      <c r="J154" s="28">
        <f>H154*I154</f>
        <v/>
      </c>
      <c r="K154" s="52" t="inlineStr">
        <is>
          <t>GEÇMİŞ TEKLİF UYARLAMA</t>
        </is>
      </c>
      <c r="L154" s="7" t="inlineStr">
        <is>
          <t>REF-derin(1) – Bursa T2 Sekaray 2015 Tip1 sayısal telefon seti 132,6 € (TL, +%15) = 152 € → mevcut 180 ile harmanlandı [Emsal ID: R02817]</t>
        </is>
      </c>
      <c r="M154" s="7" t="inlineStr">
        <is>
          <t>Ref düşük; IP telefon çapa 150-250 | İlk tahmin BF 180.00</t>
        </is>
      </c>
    </row>
    <row r="155" outlineLevel="1">
      <c r="A155" s="27" t="n"/>
      <c r="B155" s="27" t="inlineStr">
        <is>
          <t>4005.G</t>
        </is>
      </c>
      <c r="C155" s="7" t="inlineStr">
        <is>
          <t>Telefon prizi CAT6/HF RJ45</t>
        </is>
      </c>
      <c r="D155" s="27" t="inlineStr">
        <is>
          <t>adet</t>
        </is>
      </c>
      <c r="E155" s="50" t="n">
        <v>72</v>
      </c>
      <c r="F155" s="50" t="n">
        <v>72</v>
      </c>
      <c r="G155" s="27" t="inlineStr">
        <is>
          <t>%30</t>
        </is>
      </c>
      <c r="H155" s="50">
        <f>F155/IF(Varsayimlar!$B$21=1,1.3,1)</f>
        <v/>
      </c>
      <c r="I155" s="51" t="n">
        <v>8.08</v>
      </c>
      <c r="J155" s="28">
        <f>H155*I155</f>
        <v/>
      </c>
      <c r="K155" s="52" t="inlineStr">
        <is>
          <t>GEÇMİŞ TEKLİF UYARLAMA</t>
        </is>
      </c>
      <c r="L155" s="7" t="inlineStr">
        <is>
          <t>REF-derin – KMM M/Uskom 2015 12.38; Narlıdere M/Uskom 2018 27.52; Yerköy-Sivas YHT bina/YM 2019 3.26; Bursa T2/Kocaeli Tr/Sekaray 2015 3.78 | Montajlı priz emsalleri (M+İ / BFTC) | sonuç 8.08 [Emsal ID: R02641;R01656;R01183;R02815]</t>
        </is>
      </c>
      <c r="M155" s="7" t="inlineStr">
        <is>
          <t>Ref yalnız malzeme; montajlı priz | İlk tahmin BF 12.00</t>
        </is>
      </c>
    </row>
    <row r="156" outlineLevel="1">
      <c r="A156" s="27" t="n"/>
      <c r="B156" s="27" t="inlineStr">
        <is>
          <t>4005.G</t>
        </is>
      </c>
      <c r="C156" s="7" t="inlineStr">
        <is>
          <t>Data prizi CAT6/HF RJ45</t>
        </is>
      </c>
      <c r="D156" s="27" t="inlineStr">
        <is>
          <t>adet</t>
        </is>
      </c>
      <c r="E156" s="50" t="n">
        <v>81</v>
      </c>
      <c r="F156" s="50" t="n">
        <v>81</v>
      </c>
      <c r="G156" s="27" t="inlineStr">
        <is>
          <t>%30</t>
        </is>
      </c>
      <c r="H156" s="50">
        <f>F156/IF(Varsayimlar!$B$21=1,1.3,1)</f>
        <v/>
      </c>
      <c r="I156" s="51" t="n">
        <v>8.08</v>
      </c>
      <c r="J156" s="28">
        <f>H156*I156</f>
        <v/>
      </c>
      <c r="K156" s="52" t="inlineStr">
        <is>
          <t>GEÇMİŞ TEKLİF UYARLAMA</t>
        </is>
      </c>
      <c r="L156" s="7" t="inlineStr">
        <is>
          <t>REF-derin – KMM M/Uskom 2015 12.38; Narlıdere M/Uskom 2018 27.52; Yerköy-Sivas YHT bina/YM 2019 3.26; Bursa T2/Kocaeli Tr/Sekaray 2015 3.78 | Montajlı priz emsalleri (M+İ / BFTC) | sonuç 8.08 [Emsal ID: R02641;R01656;R01183;R02815]</t>
        </is>
      </c>
      <c r="M156" s="7" t="inlineStr">
        <is>
          <t>İlk tahmin BF 15.00</t>
        </is>
      </c>
    </row>
    <row r="157" outlineLevel="1">
      <c r="A157" s="27" t="n"/>
      <c r="B157" s="27" t="inlineStr">
        <is>
          <t>4005.G</t>
        </is>
      </c>
      <c r="C157" s="7" t="inlineStr">
        <is>
          <t>CAT6/HF kablo (telefon+data)</t>
        </is>
      </c>
      <c r="D157" s="27" t="inlineStr">
        <is>
          <t>m</t>
        </is>
      </c>
      <c r="E157" s="50" t="n">
        <v>5143</v>
      </c>
      <c r="F157" s="50" t="n">
        <v>5143</v>
      </c>
      <c r="G157" s="27" t="inlineStr">
        <is>
          <t>fire+%30</t>
        </is>
      </c>
      <c r="H157" s="50">
        <f>F157/IF(Varsayimlar!$B$21=1,1.43,1)</f>
        <v/>
      </c>
      <c r="I157" s="51" t="n">
        <v>1.82</v>
      </c>
      <c r="J157" s="28">
        <f>H157*I157</f>
        <v/>
      </c>
      <c r="K157" s="52" t="inlineStr">
        <is>
          <t>GEÇMİŞ TEKLİF UYARLAMA</t>
        </is>
      </c>
      <c r="L157" s="7" t="inlineStr">
        <is>
          <t>REF-derin – KMM M/Uskom 2015 1.44; SAGE bina/YM 2018 2.48; Üçyol-Buca M/Nokia/ALE 2021 1.40x1.3 | Bina içi CAT6 M+İ; malzeme emsaline +%30 çekim/sonlandırma | sonuç 1.82 [Emsal ID: R02786;R02994;R02238]</t>
        </is>
      </c>
      <c r="M157" s="7" t="inlineStr">
        <is>
          <t>İlk tahmin BF 1.10</t>
        </is>
      </c>
    </row>
    <row r="158" outlineLevel="1">
      <c r="A158" s="27" t="n"/>
      <c r="B158" s="27" t="inlineStr">
        <is>
          <t>4005.G</t>
        </is>
      </c>
      <c r="C158" s="7" t="inlineStr">
        <is>
          <t>Dijital/analog telefon seti (TCC, dispeçer)</t>
        </is>
      </c>
      <c r="D158" s="27" t="inlineStr">
        <is>
          <t>adet</t>
        </is>
      </c>
      <c r="E158" s="50" t="n">
        <v>2</v>
      </c>
      <c r="F158" s="50" t="n">
        <v>2</v>
      </c>
      <c r="G158" s="27" t="inlineStr">
        <is>
          <t>-</t>
        </is>
      </c>
      <c r="H158" s="50">
        <f>F158</f>
        <v/>
      </c>
      <c r="I158" s="51" t="n">
        <v>89.73999999999999</v>
      </c>
      <c r="J158" s="28">
        <f>H158*I158</f>
        <v/>
      </c>
      <c r="K158" s="52" t="inlineStr">
        <is>
          <t>GEÇMİŞ TEKLİF UYARLAMA</t>
        </is>
      </c>
      <c r="L158" s="7" t="inlineStr">
        <is>
          <t>REF-teyit – Üçyol-Buca M/Merit(Alcatel) 2021 37.31x1.1; KMM M/Uskom 2015 43.89; Narlıdere M/Uskom 2018 47.55; Üçyol-Buca M/Merit(Alcatel) 2021 195.29x1.1; Pendik-Kaynarca M/YM 2022 210.34x1.1; KMM M/Uskom 2015 156.95 | Analog+sayısal set karışık medyan | medyan 102.25 → teyit [Emsal ID: R02008;R02633;R01648;R02010;R02936;R02634]</t>
        </is>
      </c>
      <c r="M158" s="7" t="inlineStr"/>
    </row>
    <row r="159">
      <c r="A159" s="48" t="inlineStr">
        <is>
          <t>256</t>
        </is>
      </c>
      <c r="B159" s="48" t="inlineStr">
        <is>
          <t>4005.H</t>
        </is>
      </c>
      <c r="C159" s="48" t="inlineStr">
        <is>
          <t>Hat Trafo Binaları Telefon Sistemi (4 set)</t>
        </is>
      </c>
      <c r="D159" s="48" t="n"/>
      <c r="E159" s="48" t="n"/>
      <c r="F159" s="48" t="n"/>
      <c r="G159" s="48" t="n"/>
      <c r="H159" s="48" t="inlineStr">
        <is>
          <t>RFQ tutarı →</t>
        </is>
      </c>
      <c r="I159" s="49">
        <f>SUMPRODUCT(E160:E162,I160:I162)</f>
        <v/>
      </c>
      <c r="J159" s="49">
        <f>SUM(J160:J162)</f>
        <v/>
      </c>
      <c r="K159" s="48" t="n"/>
      <c r="L159" s="48" t="n"/>
      <c r="M159" s="48" t="n"/>
    </row>
    <row r="160" outlineLevel="1">
      <c r="A160" s="27" t="n"/>
      <c r="B160" s="27" t="inlineStr">
        <is>
          <t>4005.H</t>
        </is>
      </c>
      <c r="C160" s="7" t="inlineStr">
        <is>
          <t>IP telefon seti</t>
        </is>
      </c>
      <c r="D160" s="27" t="inlineStr">
        <is>
          <t>adet</t>
        </is>
      </c>
      <c r="E160" s="50" t="n">
        <v>8</v>
      </c>
      <c r="F160" s="50" t="n">
        <v>8</v>
      </c>
      <c r="G160" s="27" t="inlineStr">
        <is>
          <t>-</t>
        </is>
      </c>
      <c r="H160" s="50">
        <f>F160</f>
        <v/>
      </c>
      <c r="I160" s="51" t="n">
        <v>185.88</v>
      </c>
      <c r="J160" s="28">
        <f>H160*I160</f>
        <v/>
      </c>
      <c r="K160" s="52" t="inlineStr">
        <is>
          <t>GEÇMİŞ TEKLİF UYARLAMA</t>
        </is>
      </c>
      <c r="L160" s="7" t="inlineStr">
        <is>
          <t>REF-derin – Üçyol-Buca M/Merit(Alcatel) 2021 195.29x1.1; Pendik-Kaynarca M/YM 2022 210.34x1.1; KMM M/Uskom 2015 156.95; SAGE bina/YM 2018 115.69 | Masaüstü sayısal/IP tel.; malzemeye +%10 | sonuç 185.88 [Emsal ID: R02010;R02936;R02634;R02991]</t>
        </is>
      </c>
      <c r="M160" s="7" t="inlineStr">
        <is>
          <t>Çapa 150-250 | İlk tahmin BF 180.00</t>
        </is>
      </c>
    </row>
    <row r="161" outlineLevel="1">
      <c r="A161" s="27" t="n"/>
      <c r="B161" s="27" t="inlineStr">
        <is>
          <t>4005.H</t>
        </is>
      </c>
      <c r="C161" s="7" t="inlineStr">
        <is>
          <t>Telefon prizi CAT6/HF RJ45</t>
        </is>
      </c>
      <c r="D161" s="27" t="inlineStr">
        <is>
          <t>adet</t>
        </is>
      </c>
      <c r="E161" s="50" t="n">
        <v>11</v>
      </c>
      <c r="F161" s="50" t="n">
        <v>11</v>
      </c>
      <c r="G161" s="27" t="inlineStr">
        <is>
          <t>%30</t>
        </is>
      </c>
      <c r="H161" s="50">
        <f>F161/IF(Varsayimlar!$B$21=1,1.3,1)</f>
        <v/>
      </c>
      <c r="I161" s="51" t="n">
        <v>8.08</v>
      </c>
      <c r="J161" s="28">
        <f>H161*I161</f>
        <v/>
      </c>
      <c r="K161" s="52" t="inlineStr">
        <is>
          <t>GEÇMİŞ TEKLİF UYARLAMA</t>
        </is>
      </c>
      <c r="L161" s="7" t="inlineStr">
        <is>
          <t>REF-derin – KMM M/Uskom 2015 12.38; Narlıdere M/Uskom 2018 27.52; Yerköy-Sivas YHT bina/YM 2019 3.26; Bursa T2/Kocaeli Tr/Sekaray 2015 3.78 | Montajlı priz emsalleri (M+İ / BFTC) | sonuç 8.08 [Emsal ID: R02641;R01656;R01183;R02815]</t>
        </is>
      </c>
      <c r="M161" s="7" t="inlineStr">
        <is>
          <t>Ref yalnız malzeme; montajlı priz | İlk tahmin BF 12.00</t>
        </is>
      </c>
    </row>
    <row r="162" outlineLevel="1">
      <c r="A162" s="27" t="n"/>
      <c r="B162" s="27" t="inlineStr">
        <is>
          <t>4005.H</t>
        </is>
      </c>
      <c r="C162" s="7" t="inlineStr">
        <is>
          <t>CAT6/HF kablo</t>
        </is>
      </c>
      <c r="D162" s="27" t="inlineStr">
        <is>
          <t>m</t>
        </is>
      </c>
      <c r="E162" s="50" t="n">
        <v>115</v>
      </c>
      <c r="F162" s="50" t="n">
        <v>115</v>
      </c>
      <c r="G162" s="27" t="inlineStr">
        <is>
          <t>fire+%30</t>
        </is>
      </c>
      <c r="H162" s="50">
        <f>F162/IF(Varsayimlar!$B$21=1,1.43,1)</f>
        <v/>
      </c>
      <c r="I162" s="51" t="n">
        <v>1.82</v>
      </c>
      <c r="J162" s="28">
        <f>H162*I162</f>
        <v/>
      </c>
      <c r="K162" s="52" t="inlineStr">
        <is>
          <t>GEÇMİŞ TEKLİF UYARLAMA</t>
        </is>
      </c>
      <c r="L162" s="7" t="inlineStr">
        <is>
          <t>REF-derin – KMM M/Uskom 2015 1.44; SAGE bina/YM 2018 2.48; Üçyol-Buca M/Nokia/ALE 2021 1.40x1.3 | Bina içi CAT6 M+İ; malzeme emsaline +%30 çekim/sonlandırma | sonuç 1.82 [Emsal ID: R02786;R02994;R02238]</t>
        </is>
      </c>
      <c r="M162" s="7" t="inlineStr">
        <is>
          <t>İlk tahmin BF 1.10</t>
        </is>
      </c>
    </row>
    <row r="163">
      <c r="A163" s="48" t="inlineStr">
        <is>
          <t>257</t>
        </is>
      </c>
      <c r="B163" s="48" t="inlineStr">
        <is>
          <t>4005.I</t>
        </is>
      </c>
      <c r="C163" s="48" t="inlineStr">
        <is>
          <t>Telefon Sistemi Merkezi Donanımı&amp;Yazılımı (1 set)</t>
        </is>
      </c>
      <c r="D163" s="48" t="n"/>
      <c r="E163" s="48" t="n"/>
      <c r="F163" s="48" t="n"/>
      <c r="G163" s="48" t="n"/>
      <c r="H163" s="48" t="inlineStr">
        <is>
          <t>RFQ tutarı →</t>
        </is>
      </c>
      <c r="I163" s="49">
        <f>SUMPRODUCT(E164:E168,I164:I168)</f>
        <v/>
      </c>
      <c r="J163" s="49">
        <f>SUM(J164:J168)</f>
        <v/>
      </c>
      <c r="K163" s="48" t="n"/>
      <c r="L163" s="48" t="n"/>
      <c r="M163" s="48" t="n"/>
    </row>
    <row r="164" outlineLevel="1">
      <c r="A164" s="27" t="n"/>
      <c r="B164" s="27" t="inlineStr">
        <is>
          <t>4005.I</t>
        </is>
      </c>
      <c r="C164" s="7" t="inlineStr">
        <is>
          <t>IP telefon santralı (24 harici analog, 24 IP trunk, 80 dahili IP abone, 20 SIP, 6 kanal sesli karşılama/sesli posta)</t>
        </is>
      </c>
      <c r="D164" s="27" t="inlineStr">
        <is>
          <t>adet</t>
        </is>
      </c>
      <c r="E164" s="50" t="n">
        <v>1</v>
      </c>
      <c r="F164" s="50" t="n">
        <v>1</v>
      </c>
      <c r="G164" s="27" t="inlineStr">
        <is>
          <t>-</t>
        </is>
      </c>
      <c r="H164" s="50">
        <f>F164</f>
        <v/>
      </c>
      <c r="I164" s="51" t="n">
        <v>13266</v>
      </c>
      <c r="J164" s="28">
        <f>H164*I164</f>
        <v/>
      </c>
      <c r="K164" s="52" t="inlineStr">
        <is>
          <t>GEÇMİŞ TEKLİF UYARLAMA</t>
        </is>
      </c>
      <c r="L164" s="7" t="inlineStr">
        <is>
          <t>REF-derin(1) – Pendik 2022 lokal telefon santrali 7.110 € ×1,2 (80 IP abone/trunk lisansı) = 8.532 € → mevcut 18.000 ile harmanlandı [Emsal ID: R02938]</t>
        </is>
      </c>
      <c r="M164" s="7" t="inlineStr">
        <is>
          <t>İlk tahmin BF 18,000.00</t>
        </is>
      </c>
    </row>
    <row r="165" outlineLevel="1">
      <c r="A165" s="27" t="n"/>
      <c r="B165" s="27" t="inlineStr">
        <is>
          <t>4005.I</t>
        </is>
      </c>
      <c r="C165" s="7" t="inlineStr">
        <is>
          <t>Operatör IP telefon seti + acil durum telefonları cevaplama terminali + harici acil servis aparatı (itfaiye/ambulans/polis)</t>
        </is>
      </c>
      <c r="D165" s="27" t="inlineStr">
        <is>
          <t>set</t>
        </is>
      </c>
      <c r="E165" s="50" t="n">
        <v>1</v>
      </c>
      <c r="F165" s="50" t="n">
        <v>1</v>
      </c>
      <c r="G165" s="27" t="inlineStr">
        <is>
          <t>-</t>
        </is>
      </c>
      <c r="H165" s="50">
        <f>F165</f>
        <v/>
      </c>
      <c r="I165" s="51" t="n">
        <v>327.03</v>
      </c>
      <c r="J165" s="28">
        <f>H165*I165</f>
        <v/>
      </c>
      <c r="K165" s="52" t="inlineStr">
        <is>
          <t>GEÇMİŞ TEKLİF UYARLAMA</t>
        </is>
      </c>
      <c r="L165" s="7" t="inlineStr">
        <is>
          <t>REF-derin – Samsun LRT/Uskom 2008 1146.21x0.5; Bursa T2/Kocaeli Tr/Sekaray 2015 384.74x0.85; Başkentray/Thales 2012 621.41x0.5 | Operatör konsolu emsalleri; 2008-2012 x0,5, 2015 x0,85 elektronik fiyat düşüşü | sonuç 327.03 [Emsal ID: R03268;R02818;R01242]</t>
        </is>
      </c>
      <c r="M165" s="7" t="inlineStr">
        <is>
          <t>Çapa 150-250 | İlk tahmin BF 180.00</t>
        </is>
      </c>
    </row>
    <row r="166" outlineLevel="1">
      <c r="A166" s="27" t="n"/>
      <c r="B166" s="27" t="inlineStr">
        <is>
          <t>4005.I</t>
        </is>
      </c>
      <c r="C166" s="7" t="inlineStr">
        <is>
          <t>Telefon ve data cihaz dolabı / telefon dağıtım kutusu (TCC)</t>
        </is>
      </c>
      <c r="D166" s="27" t="inlineStr">
        <is>
          <t>adet</t>
        </is>
      </c>
      <c r="E166" s="50" t="n">
        <v>1</v>
      </c>
      <c r="F166" s="50" t="n">
        <v>1</v>
      </c>
      <c r="G166" s="27" t="inlineStr">
        <is>
          <t>-</t>
        </is>
      </c>
      <c r="H166" s="50">
        <f>F166</f>
        <v/>
      </c>
      <c r="I166" s="51" t="n">
        <v>1212.91</v>
      </c>
      <c r="J166" s="28">
        <f>H166*I166</f>
        <v/>
      </c>
      <c r="K166" s="52" t="inlineStr">
        <is>
          <t>GEÇMİŞ TEKLİF UYARLAMA</t>
        </is>
      </c>
      <c r="L166" s="7" t="inlineStr">
        <is>
          <t>REF-derin – Pendik-Kaynarca M/YM 2022 1069.09x1.1; Üçyol-Buca M/Merit(Alcatel) 2021 1181.20x1.1; Üçyol-Buca M/Nokia/ALE 2021 743.05x1.1; Üçyol-Buca M/Siemens 2021 485.50x1.1; KMM M/RCF 2015 968.24x1.1; KMM M/Ateksis(Bosch) 2015 1197.05x1.1; SAGE bina/YM 2018 1249.82; Narlıdere M/Uskom 2018 3410.46 | 19" 42U kabin emsalleri; malzemeye +%10 montaj | sonuç 1212.91 [Emsal ID: R02927;R01999;R02228;R02125;R02507;R02325;R03068;R01743]</t>
        </is>
      </c>
      <c r="M166" s="7" t="inlineStr">
        <is>
          <t>İlk tahmin BF 1,500.00</t>
        </is>
      </c>
    </row>
    <row r="167" outlineLevel="1">
      <c r="A167" s="27" t="n"/>
      <c r="B167" s="27" t="inlineStr">
        <is>
          <t>4005.I</t>
        </is>
      </c>
      <c r="C167" s="7" t="inlineStr">
        <is>
          <t>Lisanslar, programlama, devreye alma, eğitim</t>
        </is>
      </c>
      <c r="D167" s="27" t="inlineStr">
        <is>
          <t>set</t>
        </is>
      </c>
      <c r="E167" s="50" t="n">
        <v>1</v>
      </c>
      <c r="F167" s="50" t="n">
        <v>1</v>
      </c>
      <c r="G167" s="27" t="inlineStr">
        <is>
          <t>-</t>
        </is>
      </c>
      <c r="H167" s="50">
        <f>F167</f>
        <v/>
      </c>
      <c r="I167" s="51" t="n">
        <v>6420</v>
      </c>
      <c r="J167" s="28">
        <f>H167*I167</f>
        <v/>
      </c>
      <c r="K167" s="52" t="inlineStr">
        <is>
          <t>GEÇMİŞ TEKLİF UYARLAMA</t>
        </is>
      </c>
      <c r="L167" s="7" t="inlineStr">
        <is>
          <t>REF-derin(1) – Buca Merit 2021 test-devreye alma 3.109 € + eğitim 3.731 € = 6.840 € → mevcut 6.000 ile harmanlandı [Emsal ID: R02011;R02056]</t>
        </is>
      </c>
      <c r="M167" s="7" t="inlineStr">
        <is>
          <t>İlk tahmin BF 6,000.00</t>
        </is>
      </c>
    </row>
    <row r="168" outlineLevel="1">
      <c r="A168" s="27" t="n"/>
      <c r="B168" s="27" t="inlineStr">
        <is>
          <t>4005.I</t>
        </is>
      </c>
      <c r="C168" s="7" t="inlineStr">
        <is>
          <t>Mevcut depo kontrol merkezi entegrasyonu: santral/SIP trunk yazılım uyarlama + lisans</t>
        </is>
      </c>
      <c r="D168" s="27" t="inlineStr">
        <is>
          <t>set</t>
        </is>
      </c>
      <c r="E168" s="50" t="n">
        <v>1</v>
      </c>
      <c r="F168" s="54" t="n">
        <v>0</v>
      </c>
      <c r="G168" s="27" t="inlineStr">
        <is>
          <t>-</t>
        </is>
      </c>
      <c r="H168" s="50">
        <f>F168</f>
        <v/>
      </c>
      <c r="I168" s="51" t="n">
        <v>8000</v>
      </c>
      <c r="J168" s="28">
        <f>H168*I168</f>
        <v/>
      </c>
      <c r="K168" s="55" t="inlineStr">
        <is>
          <t>KAPSAM DIŞI (0)</t>
        </is>
      </c>
      <c r="L168" s="7" t="inlineStr">
        <is>
          <t>TAHMIN (emsal yok) – Emsal yok (miktar 0; GSM-R PABX entegrasyonu ölçek dışı)</t>
        </is>
      </c>
      <c r="M168" s="7" t="inlineStr">
        <is>
          <t>İdare: mevcut sistem yok</t>
        </is>
      </c>
    </row>
    <row r="169">
      <c r="A169" s="48" t="inlineStr">
        <is>
          <t>258</t>
        </is>
      </c>
      <c r="B169" s="48" t="inlineStr">
        <is>
          <t>4006</t>
        </is>
      </c>
      <c r="C169" s="48" t="inlineStr">
        <is>
          <t>Telsiz Sistemi Tasarımı (1 set)</t>
        </is>
      </c>
      <c r="D169" s="48" t="n"/>
      <c r="E169" s="48" t="n"/>
      <c r="F169" s="48" t="n"/>
      <c r="G169" s="48" t="n"/>
      <c r="H169" s="48" t="inlineStr">
        <is>
          <t>RFQ tutarı →</t>
        </is>
      </c>
      <c r="I169" s="49">
        <f>SUMPRODUCT(E170:E171,I170:I171)</f>
        <v/>
      </c>
      <c r="J169" s="49">
        <f>SUM(J170:J171)</f>
        <v/>
      </c>
      <c r="K169" s="48" t="n"/>
      <c r="L169" s="48" t="n"/>
      <c r="M169" s="48" t="n"/>
    </row>
    <row r="170" outlineLevel="1">
      <c r="A170" s="27" t="n"/>
      <c r="B170" s="27" t="inlineStr">
        <is>
          <t>4006</t>
        </is>
      </c>
      <c r="C170" s="7" t="inlineStr">
        <is>
          <t>Uygulama projeleri, sistem mimarisi/blok şemaları, hesaplar (kapsama/propagasyon simülasyonu, frekans lisans dosyası)</t>
        </is>
      </c>
      <c r="D170" s="27" t="inlineStr">
        <is>
          <t>set</t>
        </is>
      </c>
      <c r="E170" s="50" t="n">
        <v>1</v>
      </c>
      <c r="F170" s="50" t="n">
        <v>1</v>
      </c>
      <c r="G170" s="27" t="inlineStr">
        <is>
          <t>-</t>
        </is>
      </c>
      <c r="H170" s="50">
        <f>F170</f>
        <v/>
      </c>
      <c r="I170" s="51" t="n">
        <v>23560</v>
      </c>
      <c r="J170" s="28">
        <f>H170*I170</f>
        <v/>
      </c>
      <c r="K170" s="52" t="inlineStr">
        <is>
          <t>GEÇMİŞ TEKLİF UYARLAMA</t>
        </is>
      </c>
      <c r="L170" s="7" t="inlineStr">
        <is>
          <t>REF-derin – Telsiz tasarımı: Pendik 2022 14.001 € (2 ist.), Narlıdere Uskom 2018 ön tasarım+kapsama sim. 33.109 € → medyan 23.560 € [Emsal ID: R02875;R01711]</t>
        </is>
      </c>
      <c r="M170" s="7" t="inlineStr">
        <is>
          <t>Tasarım, küçük tramvay ölçeği | İlk tahmin BF 20,000.00</t>
        </is>
      </c>
    </row>
    <row r="171" outlineLevel="1">
      <c r="A171" s="27" t="n"/>
      <c r="B171" s="27" t="inlineStr">
        <is>
          <t>4006</t>
        </is>
      </c>
      <c r="C171" s="7" t="inlineStr">
        <is>
          <t>Dokümantasyon: malzeme onayı, test prosedürleri, as-built, işletme-bakım el kitapları, eğitim dokümanı</t>
        </is>
      </c>
      <c r="D171" s="27" t="inlineStr">
        <is>
          <t>set</t>
        </is>
      </c>
      <c r="E171" s="50" t="n">
        <v>1</v>
      </c>
      <c r="F171" s="50" t="n">
        <v>1</v>
      </c>
      <c r="G171" s="27" t="inlineStr">
        <is>
          <t>-</t>
        </is>
      </c>
      <c r="H171" s="50">
        <f>F171</f>
        <v/>
      </c>
      <c r="I171" s="51" t="n">
        <v>6000</v>
      </c>
      <c r="J171" s="28">
        <f>H171*I171</f>
        <v/>
      </c>
      <c r="K171" s="53" t="inlineStr">
        <is>
          <t>MÜHENDİSLİK TAHMİNİ</t>
        </is>
      </c>
      <c r="L171" s="7" t="inlineStr">
        <is>
          <t>TAHMIN (emsal yok) – Uskom 2018 telsiz as-built 13.796 € (metro) – ölçek farklı [Emsal ID: R01713]</t>
        </is>
      </c>
      <c r="M171" s="7" t="inlineStr">
        <is>
          <t>Tasarım, küçük tramvay ölçeği</t>
        </is>
      </c>
    </row>
    <row r="172">
      <c r="A172" s="48" t="inlineStr">
        <is>
          <t>259</t>
        </is>
      </c>
      <c r="B172" s="48" t="inlineStr">
        <is>
          <t>4006.A</t>
        </is>
      </c>
      <c r="C172" s="48" t="inlineStr">
        <is>
          <t>Hat Boyu Telsiz Sistemi (1 set)</t>
        </is>
      </c>
      <c r="D172" s="48" t="n"/>
      <c r="E172" s="48" t="n"/>
      <c r="F172" s="48" t="n"/>
      <c r="G172" s="48" t="n"/>
      <c r="H172" s="48" t="inlineStr">
        <is>
          <t>RFQ tutarı →</t>
        </is>
      </c>
      <c r="I172" s="49">
        <f>SUMPRODUCT(E173:E180,I173:I180)</f>
        <v/>
      </c>
      <c r="J172" s="49">
        <f>SUM(J173:J180)</f>
        <v/>
      </c>
      <c r="K172" s="48" t="n"/>
      <c r="L172" s="48" t="n"/>
      <c r="M172" s="48" t="n"/>
    </row>
    <row r="173" outlineLevel="1">
      <c r="A173" s="27" t="n"/>
      <c r="B173" s="27" t="inlineStr">
        <is>
          <t>4006.A</t>
        </is>
      </c>
      <c r="C173" s="7" t="inlineStr">
        <is>
          <t>TETRA baz istasyonu 2 taşıyıcılı (8 kanal), 380-430 MHz, fallback sunuculu</t>
        </is>
      </c>
      <c r="D173" s="27" t="inlineStr">
        <is>
          <t>adet</t>
        </is>
      </c>
      <c r="E173" s="50" t="n">
        <v>2</v>
      </c>
      <c r="F173" s="50" t="n">
        <v>2</v>
      </c>
      <c r="G173" s="27" t="inlineStr">
        <is>
          <t>-</t>
        </is>
      </c>
      <c r="H173" s="50">
        <f>F173</f>
        <v/>
      </c>
      <c r="I173" s="51" t="n">
        <v>59940</v>
      </c>
      <c r="J173" s="28">
        <f>H173*I173</f>
        <v/>
      </c>
      <c r="K173" s="52" t="inlineStr">
        <is>
          <t>GEÇMİŞ TEKLİF UYARLAMA</t>
        </is>
      </c>
      <c r="L173" s="7" t="inlineStr">
        <is>
          <t>REF-derin(1) – Kabataş Uskom 2015 2 taşıyıcılı TETRA BSS fallback 74.882 € (M+İ) → mevcut 45.000 ile harmanlandı (Samsun LRT 2008 2. BS 128 k€ eski, kullanılmadı) [Emsal ID: R02688;R03154]</t>
        </is>
      </c>
      <c r="M173" s="7" t="inlineStr">
        <is>
          <t>2 taşıyıcı, fallback | İlk tahmin BF 45,000.00</t>
        </is>
      </c>
    </row>
    <row r="174" outlineLevel="1">
      <c r="A174" s="27" t="n"/>
      <c r="B174" s="27" t="inlineStr">
        <is>
          <t>4006.A</t>
        </is>
      </c>
      <c r="C174" s="7" t="inlineStr">
        <is>
          <t>Anten direği/kulesi 25-30 m (temel hariç) + topraklama/paratoner</t>
        </is>
      </c>
      <c r="D174" s="27" t="inlineStr">
        <is>
          <t>adet</t>
        </is>
      </c>
      <c r="E174" s="50" t="n">
        <v>2</v>
      </c>
      <c r="F174" s="50" t="n">
        <v>2</v>
      </c>
      <c r="G174" s="27" t="inlineStr">
        <is>
          <t>-</t>
        </is>
      </c>
      <c r="H174" s="50">
        <f>F174</f>
        <v/>
      </c>
      <c r="I174" s="51" t="n">
        <v>13900</v>
      </c>
      <c r="J174" s="28">
        <f>H174*I174</f>
        <v/>
      </c>
      <c r="K174" s="52" t="inlineStr">
        <is>
          <t>GEÇMİŞ TEKLİF UYARLAMA</t>
        </is>
      </c>
      <c r="L174" s="7" t="inlineStr">
        <is>
          <t>REF-derin(1) – Kabataş Uskom 2015 25 m monopol+uçak ikaz+anten+200 m 7/8" kablo 22.802 € − anten/kablo ~4.000 € = 18.800 € → mevcut 9.000 ile harmanlandı [Emsal ID: R02690]</t>
        </is>
      </c>
      <c r="M174" s="7" t="inlineStr">
        <is>
          <t>Temel hariç | İlk tahmin BF 9,000.00</t>
        </is>
      </c>
    </row>
    <row r="175" outlineLevel="1">
      <c r="A175" s="27" t="n"/>
      <c r="B175" s="27" t="inlineStr">
        <is>
          <t>4006.A</t>
        </is>
      </c>
      <c r="C175" s="7" t="inlineStr">
        <is>
          <t>Anten sistemi (TETRA omni anten, GPS anteni, combiner/duplexer, 1/2'' koaksiyel ~40 m, konnektör)</t>
        </is>
      </c>
      <c r="D175" s="27" t="inlineStr">
        <is>
          <t>set</t>
        </is>
      </c>
      <c r="E175" s="50" t="n">
        <v>2</v>
      </c>
      <c r="F175" s="50" t="n">
        <v>2</v>
      </c>
      <c r="G175" s="27" t="inlineStr">
        <is>
          <t>-</t>
        </is>
      </c>
      <c r="H175" s="50">
        <f>F175</f>
        <v/>
      </c>
      <c r="I175" s="51" t="n">
        <v>3500</v>
      </c>
      <c r="J175" s="28">
        <f>H175*I175</f>
        <v/>
      </c>
      <c r="K175" s="53" t="inlineStr">
        <is>
          <t>MÜHENDİSLİK TAHMİNİ</t>
        </is>
      </c>
      <c r="L175" s="7" t="inlineStr">
        <is>
          <t>TAHMIN (emsal yok) – GPS anten 505 €, SAGE anten 1.712 € – sistem seti için eksik; korundu [Emsal ID: R02760;R03028]</t>
        </is>
      </c>
      <c r="M175" s="7" t="inlineStr"/>
    </row>
    <row r="176" outlineLevel="1">
      <c r="A176" s="27" t="n"/>
      <c r="B176" s="27" t="inlineStr">
        <is>
          <t>4006.A</t>
        </is>
      </c>
      <c r="C176" s="7" t="inlineStr">
        <is>
          <t>Klimalı cihaz koruma/bağlantı kabini + UPS (4 saat akü)</t>
        </is>
      </c>
      <c r="D176" s="27" t="inlineStr">
        <is>
          <t>adet</t>
        </is>
      </c>
      <c r="E176" s="50" t="n">
        <v>2</v>
      </c>
      <c r="F176" s="50" t="n">
        <v>2</v>
      </c>
      <c r="G176" s="27" t="inlineStr">
        <is>
          <t>-</t>
        </is>
      </c>
      <c r="H176" s="50">
        <f>F176</f>
        <v/>
      </c>
      <c r="I176" s="51" t="n">
        <v>7000</v>
      </c>
      <c r="J176" s="28">
        <f>H176*I176</f>
        <v/>
      </c>
      <c r="K176" s="53" t="inlineStr">
        <is>
          <t>MÜHENDİSLİK TAHMİNİ</t>
        </is>
      </c>
      <c r="L176" s="7" t="inlineStr">
        <is>
          <t>TAHMIN (emsal yok) – Klimalı kabin+UPS 4 saat – AUS 2018 kabin klima 1.275 €, harici kabin 7.893 € kapsam farklı; korundu [Emsal ID: R04006;R04004]</t>
        </is>
      </c>
      <c r="M176" s="7" t="inlineStr"/>
    </row>
    <row r="177" outlineLevel="1">
      <c r="A177" s="27" t="n"/>
      <c r="B177" s="27" t="inlineStr">
        <is>
          <t>4006.A</t>
        </is>
      </c>
      <c r="C177" s="7" t="inlineStr">
        <is>
          <t>BS enerji ve topraklama tesisatı (EM-56-220/221)</t>
        </is>
      </c>
      <c r="D177" s="27" t="inlineStr">
        <is>
          <t>set</t>
        </is>
      </c>
      <c r="E177" s="50" t="n">
        <v>2</v>
      </c>
      <c r="F177" s="50" t="n">
        <v>2</v>
      </c>
      <c r="G177" s="27" t="inlineStr">
        <is>
          <t>-</t>
        </is>
      </c>
      <c r="H177" s="50">
        <f>F177</f>
        <v/>
      </c>
      <c r="I177" s="51" t="n">
        <v>2500</v>
      </c>
      <c r="J177" s="28">
        <f>H177*I177</f>
        <v/>
      </c>
      <c r="K177" s="53" t="inlineStr">
        <is>
          <t>MÜHENDİSLİK TAHMİNİ</t>
        </is>
      </c>
      <c r="L177" s="7" t="inlineStr">
        <is>
          <t>TAHMIN (emsal yok) – BS enerji/topraklama – emsal yok</t>
        </is>
      </c>
      <c r="M177" s="7" t="inlineStr"/>
    </row>
    <row r="178" outlineLevel="1">
      <c r="A178" s="27" t="n"/>
      <c r="B178" s="27" t="inlineStr">
        <is>
          <t>4006.A</t>
        </is>
      </c>
      <c r="C178" s="7" t="inlineStr">
        <is>
          <t>El telsizi TETRA (IP65, GPS, batarya+masaüstü şarj+kılıf)</t>
        </is>
      </c>
      <c r="D178" s="27" t="inlineStr">
        <is>
          <t>adet</t>
        </is>
      </c>
      <c r="E178" s="50" t="n">
        <v>30</v>
      </c>
      <c r="F178" s="50" t="n">
        <v>30</v>
      </c>
      <c r="G178" s="27" t="inlineStr">
        <is>
          <t>-</t>
        </is>
      </c>
      <c r="H178" s="50">
        <f>F178</f>
        <v/>
      </c>
      <c r="I178" s="51" t="n">
        <v>857</v>
      </c>
      <c r="J178" s="28">
        <f>H178*I178</f>
        <v/>
      </c>
      <c r="K178" s="52" t="inlineStr">
        <is>
          <t>GEÇMİŞ TEKLİF UYARLAMA</t>
        </is>
      </c>
      <c r="L178" s="7" t="inlineStr">
        <is>
          <t>REF-derin(1) – Samsun LRT Uskom 2008 el telsizi 864 € (eski) → mevcut 850 ile harmanlandı [Emsal ID: R03156]</t>
        </is>
      </c>
      <c r="M178" s="7" t="inlineStr">
        <is>
          <t>İlk tahmin BF 850.00</t>
        </is>
      </c>
    </row>
    <row r="179" outlineLevel="1">
      <c r="A179" s="27" t="n"/>
      <c r="B179" s="27" t="inlineStr">
        <is>
          <t>4006.A</t>
        </is>
      </c>
      <c r="C179" s="7" t="inlineStr">
        <is>
          <t>Araç telsizi (TETRA Class 2, kontrol paneli, el mikrofonu, çatı anteni, araç anons arayüzü)</t>
        </is>
      </c>
      <c r="D179" s="27" t="inlineStr">
        <is>
          <t>adet</t>
        </is>
      </c>
      <c r="E179" s="50" t="n">
        <v>30</v>
      </c>
      <c r="F179" s="54" t="n">
        <v>28</v>
      </c>
      <c r="G179" s="27" t="inlineStr">
        <is>
          <t>-</t>
        </is>
      </c>
      <c r="H179" s="50">
        <f>F179</f>
        <v/>
      </c>
      <c r="I179" s="51" t="n">
        <v>4000</v>
      </c>
      <c r="J179" s="28">
        <f>H179*I179</f>
        <v/>
      </c>
      <c r="K179" s="52" t="inlineStr">
        <is>
          <t>GEÇMİŞ TEKLİF UYARLAMA</t>
        </is>
      </c>
      <c r="L179" s="7" t="inlineStr">
        <is>
          <t>REF-derin – Araç TETRA telsizi (raylı araç tipi, kontrol paneli+anten): Kabataş Uskom 2015 5.240 € (M), Samsun LRT 2008 3.544 € → medyan 4.392; eski elektronikte HICP eskalasyonu fiyatı abartır −%10 → 4.000 € [Emsal ID: R02702;R03155]</t>
        </is>
      </c>
      <c r="M179" s="7" t="inlineStr">
        <is>
          <t>İdare: 14 araç × 2 kabin | İlk tahmin BF 2,200.00</t>
        </is>
      </c>
    </row>
    <row r="180" outlineLevel="1">
      <c r="A180" s="27" t="n"/>
      <c r="B180" s="27" t="inlineStr">
        <is>
          <t>4006.A</t>
        </is>
      </c>
      <c r="C180" s="7" t="inlineStr">
        <is>
          <t>Yedek parçalar (tam BS ünitesi 1 + el telsizi %10 batarya/anten/şarj)</t>
        </is>
      </c>
      <c r="D180" s="27" t="inlineStr">
        <is>
          <t>set</t>
        </is>
      </c>
      <c r="E180" s="50" t="n">
        <v>1</v>
      </c>
      <c r="F180" s="50" t="n">
        <v>1</v>
      </c>
      <c r="G180" s="27" t="inlineStr">
        <is>
          <t>-</t>
        </is>
      </c>
      <c r="H180" s="50">
        <f>F180</f>
        <v/>
      </c>
      <c r="I180" s="51" t="n">
        <v>35000</v>
      </c>
      <c r="J180" s="28">
        <f>H180*I180</f>
        <v/>
      </c>
      <c r="K180" s="53" t="inlineStr">
        <is>
          <t>MÜHENDİSLİK TAHMİNİ</t>
        </is>
      </c>
      <c r="L180" s="7" t="inlineStr">
        <is>
          <t>TAHMIN (emsal yok) – Yedek parça (1 BS + aksesuar) – BS fiyatına bağlı tahmin</t>
        </is>
      </c>
      <c r="M180" s="7" t="inlineStr">
        <is>
          <t>1 tam BS + aksesuar</t>
        </is>
      </c>
    </row>
    <row r="181">
      <c r="A181" s="48" t="inlineStr">
        <is>
          <t>260</t>
        </is>
      </c>
      <c r="B181" s="48" t="inlineStr">
        <is>
          <t>4006.B</t>
        </is>
      </c>
      <c r="C181" s="48" t="inlineStr">
        <is>
          <t>Telsiz Sistemi Merkezi Donanımı&amp;Yazılımı (1 set)</t>
        </is>
      </c>
      <c r="D181" s="48" t="n"/>
      <c r="E181" s="48" t="n"/>
      <c r="F181" s="48" t="n"/>
      <c r="G181" s="48" t="n"/>
      <c r="H181" s="48" t="inlineStr">
        <is>
          <t>RFQ tutarı →</t>
        </is>
      </c>
      <c r="I181" s="49">
        <f>SUMPRODUCT(E182:E187,I182:I187)</f>
        <v/>
      </c>
      <c r="J181" s="49">
        <f>SUM(J182:J187)</f>
        <v/>
      </c>
      <c r="K181" s="48" t="n"/>
      <c r="L181" s="48" t="n"/>
      <c r="M181" s="48" t="n"/>
    </row>
    <row r="182" outlineLevel="1">
      <c r="A182" s="27" t="n"/>
      <c r="B182" s="27" t="inlineStr">
        <is>
          <t>4006.B</t>
        </is>
      </c>
      <c r="C182" s="7" t="inlineStr">
        <is>
          <t>TETRA merkezi anahtarlama (switch) ekipmanı, min 16 BS genişleyebilir + lisanslar</t>
        </is>
      </c>
      <c r="D182" s="27" t="inlineStr">
        <is>
          <t>set</t>
        </is>
      </c>
      <c r="E182" s="50" t="n">
        <v>1</v>
      </c>
      <c r="F182" s="50" t="n">
        <v>1</v>
      </c>
      <c r="G182" s="27" t="inlineStr">
        <is>
          <t>-</t>
        </is>
      </c>
      <c r="H182" s="50">
        <f>F182</f>
        <v/>
      </c>
      <c r="I182" s="51" t="n">
        <v>40000</v>
      </c>
      <c r="J182" s="28">
        <f>H182*I182</f>
        <v/>
      </c>
      <c r="K182" s="53" t="inlineStr">
        <is>
          <t>MÜHENDİSLİK TAHMİNİ</t>
        </is>
      </c>
      <c r="L182" s="7" t="inlineStr">
        <is>
          <t>TAHMIN (emsal yok) – TETRA çekirdek: Samsun 2008 TetraNode sunucu/adaptör, Kabataş IP gateway lisansı 14 k€ – kapsam eksik; 40.000 korundu [Emsal ID: R03160;R02683]</t>
        </is>
      </c>
      <c r="M182" s="7" t="inlineStr">
        <is>
          <t>Ref düşük; TETRA çekirdek+lisans</t>
        </is>
      </c>
    </row>
    <row r="183" outlineLevel="1">
      <c r="A183" s="27" t="n"/>
      <c r="B183" s="27" t="inlineStr">
        <is>
          <t>4006.B</t>
        </is>
      </c>
      <c r="C183" s="7" t="inlineStr">
        <is>
          <t>Dispeçer terminali (PC+yazılım) + masa üstü sabit telsiz (anten/kablo dahil)</t>
        </is>
      </c>
      <c r="D183" s="27" t="inlineStr">
        <is>
          <t>set</t>
        </is>
      </c>
      <c r="E183" s="50" t="n">
        <v>2</v>
      </c>
      <c r="F183" s="50" t="n">
        <v>2</v>
      </c>
      <c r="G183" s="27" t="inlineStr">
        <is>
          <t>-</t>
        </is>
      </c>
      <c r="H183" s="50">
        <f>F183</f>
        <v/>
      </c>
      <c r="I183" s="51" t="n">
        <v>7008</v>
      </c>
      <c r="J183" s="28">
        <f>H183*I183</f>
        <v/>
      </c>
      <c r="K183" s="52" t="inlineStr">
        <is>
          <t>GEÇMİŞ TEKLİF UYARLAMA</t>
        </is>
      </c>
      <c r="L183" s="7" t="inlineStr">
        <is>
          <t>REF-derin(1) – Kabataş Uskom 2015 dispeçer konsolu 5.985 € + sabit telsiz 1.530 € (M+İ) = 7.515 € → mevcut 6.500 ile harmanlandı [Emsal ID: R02686;R02687]</t>
        </is>
      </c>
      <c r="M183" s="7" t="inlineStr">
        <is>
          <t>İlk tahmin BF 6,500.00</t>
        </is>
      </c>
    </row>
    <row r="184" outlineLevel="1">
      <c r="A184" s="27" t="n"/>
      <c r="B184" s="27" t="inlineStr">
        <is>
          <t>4006.B</t>
        </is>
      </c>
      <c r="C184" s="7" t="inlineStr">
        <is>
          <t>Ses kayıt sunucusu (min 1 ay kayıt)</t>
        </is>
      </c>
      <c r="D184" s="27" t="inlineStr">
        <is>
          <t>adet</t>
        </is>
      </c>
      <c r="E184" s="50" t="n">
        <v>1</v>
      </c>
      <c r="F184" s="50" t="n">
        <v>1</v>
      </c>
      <c r="G184" s="27" t="inlineStr">
        <is>
          <t>-</t>
        </is>
      </c>
      <c r="H184" s="50">
        <f>F184</f>
        <v/>
      </c>
      <c r="I184" s="51" t="n">
        <v>6832</v>
      </c>
      <c r="J184" s="28">
        <f>H184*I184</f>
        <v/>
      </c>
      <c r="K184" s="52" t="inlineStr">
        <is>
          <t>GEÇMİŞ TEKLİF UYARLAMA</t>
        </is>
      </c>
      <c r="L184" s="7" t="inlineStr">
        <is>
          <t>REF-derin – Ses kayıt: Merit 2021 4.974 € (M)+%15, Uskom 2015 sunucu 6.908 (M)+%15, Uskom 2018 16 port 12.713 (M)+%15, SAGE 2018 4.645 (M+İ) → medyan 6.832 € [Emsal ID: R02047;R02643;R01658;R02992]</t>
        </is>
      </c>
      <c r="M184" s="7" t="inlineStr">
        <is>
          <t>İlk tahmin BF 7,000.00</t>
        </is>
      </c>
    </row>
    <row r="185" outlineLevel="1">
      <c r="A185" s="27" t="n"/>
      <c r="B185" s="27" t="inlineStr">
        <is>
          <t>4006.B</t>
        </is>
      </c>
      <c r="C185" s="7" t="inlineStr">
        <is>
          <t>Telsiz ağı yönetim terminali (NMS)</t>
        </is>
      </c>
      <c r="D185" s="27" t="inlineStr">
        <is>
          <t>adet</t>
        </is>
      </c>
      <c r="E185" s="50" t="n">
        <v>1</v>
      </c>
      <c r="F185" s="50" t="n">
        <v>1</v>
      </c>
      <c r="G185" s="27" t="inlineStr">
        <is>
          <t>-</t>
        </is>
      </c>
      <c r="H185" s="50">
        <f>F185</f>
        <v/>
      </c>
      <c r="I185" s="51" t="n">
        <v>4481.29</v>
      </c>
      <c r="J185" s="28">
        <f>H185*I185</f>
        <v/>
      </c>
      <c r="K185" s="52" t="inlineStr">
        <is>
          <t>GEÇMİŞ TEKLİF UYARLAMA</t>
        </is>
      </c>
      <c r="L185" s="7" t="inlineStr">
        <is>
          <t>REF-derin – SAGE bina/YM 2018 4644.60; Narlıdere M/Uskom 2018 4267.89x1.05; Narlıdere M/Uskom 2018 1446.28 | Ağ izleme/operatör PC+lisans emsalleri | sonuç 4481.29 [Emsal ID: R03071;R01646;R01687]</t>
        </is>
      </c>
      <c r="M185" s="7" t="inlineStr">
        <is>
          <t>İlk tahmin BF 4,000.00</t>
        </is>
      </c>
    </row>
    <row r="186" outlineLevel="1">
      <c r="A186" s="27" t="n"/>
      <c r="B186" s="27" t="inlineStr">
        <is>
          <t>4006.B</t>
        </is>
      </c>
      <c r="C186" s="7" t="inlineStr">
        <is>
          <t>Frekans lisans başvuru dokümantasyonu, AVLS arayüzü, devreye alma, eğitim</t>
        </is>
      </c>
      <c r="D186" s="27" t="inlineStr">
        <is>
          <t>set</t>
        </is>
      </c>
      <c r="E186" s="50" t="n">
        <v>1</v>
      </c>
      <c r="F186" s="50" t="n">
        <v>1</v>
      </c>
      <c r="G186" s="27" t="inlineStr">
        <is>
          <t>-</t>
        </is>
      </c>
      <c r="H186" s="50">
        <f>F186</f>
        <v/>
      </c>
      <c r="I186" s="51" t="n">
        <v>10000</v>
      </c>
      <c r="J186" s="28">
        <f>H186*I186</f>
        <v/>
      </c>
      <c r="K186" s="53" t="inlineStr">
        <is>
          <t>MÜHENDİSLİK TAHMİNİ</t>
        </is>
      </c>
      <c r="L186" s="7" t="inlineStr">
        <is>
          <t>TAHMIN (emsal yok) – Frekans lisans/AVLS/devreye alma – emsal yok</t>
        </is>
      </c>
      <c r="M186" s="7" t="inlineStr"/>
    </row>
    <row r="187" outlineLevel="1">
      <c r="A187" s="27" t="n"/>
      <c r="B187" s="27" t="inlineStr">
        <is>
          <t>4006.B</t>
        </is>
      </c>
      <c r="C187" s="7" t="inlineStr">
        <is>
          <t>Mevcut depo kontrol merkezi entegrasyonu: TETRA/dispeçer yazılım uyarlama + lisans</t>
        </is>
      </c>
      <c r="D187" s="27" t="inlineStr">
        <is>
          <t>set</t>
        </is>
      </c>
      <c r="E187" s="50" t="n">
        <v>1</v>
      </c>
      <c r="F187" s="54" t="n">
        <v>0</v>
      </c>
      <c r="G187" s="27" t="inlineStr">
        <is>
          <t>-</t>
        </is>
      </c>
      <c r="H187" s="50">
        <f>F187</f>
        <v/>
      </c>
      <c r="I187" s="51" t="n">
        <v>8000</v>
      </c>
      <c r="J187" s="28">
        <f>H187*I187</f>
        <v/>
      </c>
      <c r="K187" s="55" t="inlineStr">
        <is>
          <t>KAPSAM DIŞI (0)</t>
        </is>
      </c>
      <c r="L187" s="7" t="inlineStr">
        <is>
          <t>TAHMIN (emsal yok) – Emsal yok (miktar 0)</t>
        </is>
      </c>
      <c r="M187" s="7" t="inlineStr">
        <is>
          <t>İdare: mevcut sistem yok</t>
        </is>
      </c>
    </row>
    <row r="188">
      <c r="A188" s="48" t="inlineStr">
        <is>
          <t>261</t>
        </is>
      </c>
      <c r="B188" s="48" t="inlineStr">
        <is>
          <t>4007</t>
        </is>
      </c>
      <c r="C188" s="48" t="inlineStr">
        <is>
          <t>Anons Sistemi Tasarımı (1 set)</t>
        </is>
      </c>
      <c r="D188" s="48" t="n"/>
      <c r="E188" s="48" t="n"/>
      <c r="F188" s="48" t="n"/>
      <c r="G188" s="48" t="n"/>
      <c r="H188" s="48" t="inlineStr">
        <is>
          <t>RFQ tutarı →</t>
        </is>
      </c>
      <c r="I188" s="49">
        <f>SUMPRODUCT(E189:E190,I189:I190)</f>
        <v/>
      </c>
      <c r="J188" s="49">
        <f>SUM(J189:J190)</f>
        <v/>
      </c>
      <c r="K188" s="48" t="n"/>
      <c r="L188" s="48" t="n"/>
      <c r="M188" s="48" t="n"/>
    </row>
    <row r="189" outlineLevel="1">
      <c r="A189" s="27" t="n"/>
      <c r="B189" s="27" t="inlineStr">
        <is>
          <t>4007</t>
        </is>
      </c>
      <c r="C189" s="7" t="inlineStr">
        <is>
          <t>Uygulama projeleri, sistem mimarisi/blok şemaları, hesaplar (akustik hesap, zonlama, EN 60849/EN 54-16 uyumu)</t>
        </is>
      </c>
      <c r="D189" s="27" t="inlineStr">
        <is>
          <t>set</t>
        </is>
      </c>
      <c r="E189" s="50" t="n">
        <v>1</v>
      </c>
      <c r="F189" s="50" t="n">
        <v>1</v>
      </c>
      <c r="G189" s="27" t="inlineStr">
        <is>
          <t>-</t>
        </is>
      </c>
      <c r="H189" s="50">
        <f>F189</f>
        <v/>
      </c>
      <c r="I189" s="51" t="n">
        <v>9655</v>
      </c>
      <c r="J189" s="28">
        <f>H189*I189</f>
        <v/>
      </c>
      <c r="K189" s="52" t="inlineStr">
        <is>
          <t>GEÇMİŞ TEKLİF UYARLAMA</t>
        </is>
      </c>
      <c r="L189" s="7" t="inlineStr">
        <is>
          <t>REF-derin(1) – Kabataş Bosch 2015 anons uygulama+as-built 1.330 €/ist. ×7 lokasyon = 9.310 € → mevcut 10.000 ile harmanlandı [Emsal ID: R02307]</t>
        </is>
      </c>
      <c r="M189" s="7" t="inlineStr">
        <is>
          <t>Tasarım, küçük tramvay ölçeği | İlk tahmin BF 10,000.00</t>
        </is>
      </c>
    </row>
    <row r="190" outlineLevel="1">
      <c r="A190" s="27" t="n"/>
      <c r="B190" s="27" t="inlineStr">
        <is>
          <t>4007</t>
        </is>
      </c>
      <c r="C190" s="7" t="inlineStr">
        <is>
          <t>Dokümantasyon: malzeme onayı, test prosedürleri, as-built, işletme-bakım el kitapları, eğitim dokümanı</t>
        </is>
      </c>
      <c r="D190" s="27" t="inlineStr">
        <is>
          <t>set</t>
        </is>
      </c>
      <c r="E190" s="50" t="n">
        <v>1</v>
      </c>
      <c r="F190" s="50" t="n">
        <v>1</v>
      </c>
      <c r="G190" s="27" t="inlineStr">
        <is>
          <t>-</t>
        </is>
      </c>
      <c r="H190" s="50">
        <f>F190</f>
        <v/>
      </c>
      <c r="I190" s="51" t="n">
        <v>4000</v>
      </c>
      <c r="J190" s="28">
        <f>H190*I190</f>
        <v/>
      </c>
      <c r="K190" s="53" t="inlineStr">
        <is>
          <t>MÜHENDİSLİK TAHMİNİ</t>
        </is>
      </c>
      <c r="L190" s="7" t="inlineStr">
        <is>
          <t>TAHMIN (emsal yok) – As-built/OMM emsalleri metro ölçeği 1.330 (Ateksis KMM) - 17.078 (Uskom Narlıdere); küçük tramvay alt sistem dokümanı kıyaslanamaz, mevcut aralıkta</t>
        </is>
      </c>
      <c r="M190" s="7" t="inlineStr">
        <is>
          <t>Tasarım, küçük tramvay ölçeği</t>
        </is>
      </c>
    </row>
    <row r="191">
      <c r="A191" s="48" t="inlineStr">
        <is>
          <t>262</t>
        </is>
      </c>
      <c r="B191" s="48" t="inlineStr">
        <is>
          <t>4008.A</t>
        </is>
      </c>
      <c r="C191" s="48" t="inlineStr">
        <is>
          <t>Göbekli Tepe İstasyonu Anons Sistemi (1 set)</t>
        </is>
      </c>
      <c r="D191" s="48" t="n"/>
      <c r="E191" s="48" t="n"/>
      <c r="F191" s="48" t="n"/>
      <c r="G191" s="48" t="n"/>
      <c r="H191" s="48" t="inlineStr">
        <is>
          <t>RFQ tutarı →</t>
        </is>
      </c>
      <c r="I191" s="49">
        <f>SUMPRODUCT(E192:E196,I192:I196)</f>
        <v/>
      </c>
      <c r="J191" s="49">
        <f>SUM(J192:J196)</f>
        <v/>
      </c>
      <c r="K191" s="48" t="n"/>
      <c r="L191" s="48" t="n"/>
      <c r="M191" s="48" t="n"/>
    </row>
    <row r="192" outlineLevel="1">
      <c r="A192" s="27" t="n"/>
      <c r="B192" s="27" t="inlineStr">
        <is>
          <t>4008.A</t>
        </is>
      </c>
      <c r="C192" s="7" t="inlineStr">
        <is>
          <t>Projeksiyon tipi hoparlör 20 W, 100 V, IP66 (şartname: horn tip min 15 W, 105 dB)</t>
        </is>
      </c>
      <c r="D192" s="27" t="inlineStr">
        <is>
          <t>adet</t>
        </is>
      </c>
      <c r="E192" s="50" t="n">
        <v>19</v>
      </c>
      <c r="F192" s="50" t="n">
        <v>19</v>
      </c>
      <c r="G192" s="27" t="inlineStr">
        <is>
          <t>-</t>
        </is>
      </c>
      <c r="H192" s="50">
        <f>F192</f>
        <v/>
      </c>
      <c r="I192" s="51" t="n">
        <v>131.72</v>
      </c>
      <c r="J192" s="28">
        <f>H192*I192</f>
        <v/>
      </c>
      <c r="K192" s="52" t="inlineStr">
        <is>
          <t>GEÇMİŞ TEKLİF UYARLAMA</t>
        </is>
      </c>
      <c r="L192" s="7" t="inlineStr">
        <is>
          <t>REF-derin – KMM M/RCF 2015 209.32x1.2; Pendik-Kaynarca M/YM 2022 109.76x1.2; Narlıdere M/Uskom 2018 121.92; KMM M/Ateksis(Bosch) 2015 79.80x1.2; Başkentray/Thales 2012 178.35 | Projektör/horn hoparlör; malzemeye +%20 montaj | sonuç 131.72 [Emsal ID: R02510;R02953;R01754;R02314;R01252]</t>
        </is>
      </c>
      <c r="M192" s="7" t="inlineStr">
        <is>
          <t>Ref n=1; horn hoparlör çapa üst sınırı | İlk tahmin BF 150.00</t>
        </is>
      </c>
    </row>
    <row r="193" outlineLevel="1">
      <c r="A193" s="27" t="n"/>
      <c r="B193" s="27" t="inlineStr">
        <is>
          <t>4008.A</t>
        </is>
      </c>
      <c r="C193" s="7" t="inlineStr">
        <is>
          <t>Hoparlör kablosu 2x1,5 mm² LIHCHRH FE180 PH90</t>
        </is>
      </c>
      <c r="D193" s="27" t="inlineStr">
        <is>
          <t>m</t>
        </is>
      </c>
      <c r="E193" s="50" t="n">
        <v>259</v>
      </c>
      <c r="F193" s="50" t="n">
        <v>259</v>
      </c>
      <c r="G193" s="27" t="inlineStr">
        <is>
          <t>fire+%30</t>
        </is>
      </c>
      <c r="H193" s="50">
        <f>F193/IF(Varsayimlar!$B$21=1,1.43,1)</f>
        <v/>
      </c>
      <c r="I193" s="51" t="n">
        <v>1.85</v>
      </c>
      <c r="J193" s="28">
        <f>H193*I193</f>
        <v/>
      </c>
      <c r="K193" s="52" t="inlineStr">
        <is>
          <t>GEÇMİŞ TEKLİF UYARLAMA</t>
        </is>
      </c>
      <c r="L193" s="7" t="inlineStr">
        <is>
          <t>REF-derin – Pendik-Kaynarca M/YM 2022 1.42x1.3; SAGE bina/YM 2018 2.59; Narlıdere M/Uskom 2018 1.68 | FE180 2x1,5; malzemeye +%30 çekim; önceki REF-duz 2,2 hafif yüksek | sonuç 1.85 [Emsal ID: R02959;R03096;R01755]</t>
        </is>
      </c>
      <c r="M193" s="7" t="inlineStr">
        <is>
          <t>FE180 2x1,5 montajlı; ref 1 €/m düşük | İlk tahmin BF 2.20</t>
        </is>
      </c>
    </row>
    <row r="194" outlineLevel="1">
      <c r="A194" s="27" t="n"/>
      <c r="B194" s="27" t="inlineStr">
        <is>
          <t>4008.A</t>
        </is>
      </c>
      <c r="C194" s="7" t="inlineStr">
        <is>
          <t>Dijital çıkış modülü / IP anons amplifikatörü 4 kanal 240 W (100 V, yedek anfi fonksiyonlu, 24VDC acil giriş)</t>
        </is>
      </c>
      <c r="D194" s="27" t="inlineStr">
        <is>
          <t>adet</t>
        </is>
      </c>
      <c r="E194" s="50" t="n">
        <v>2</v>
      </c>
      <c r="F194" s="50" t="n">
        <v>2</v>
      </c>
      <c r="G194" s="27" t="inlineStr">
        <is>
          <t>%30</t>
        </is>
      </c>
      <c r="H194" s="50">
        <f>F194/IF(Varsayimlar!$B$21=1,1.3,1)</f>
        <v/>
      </c>
      <c r="I194" s="51" t="n">
        <v>1556.76</v>
      </c>
      <c r="J194" s="28">
        <f>H194*I194</f>
        <v/>
      </c>
      <c r="K194" s="52" t="inlineStr">
        <is>
          <t>GEÇMİŞ TEKLİF UYARLAMA</t>
        </is>
      </c>
      <c r="L194" s="7" t="inlineStr">
        <is>
          <t>REF-derin – KMM M/RCF 2015 455.68x1.05; KMM M/RCF 2015 1105.27x1.05; Üçyol-Buca M/Siemens 2021 1859.99x1.05; Narlıdere M/Uskom 2018 2756.13x1.05 | 120-500 W anons amfileri; +%5 montaj | sonuç 1556.76 [Emsal ID: R02498;R02501;R02126;R01764]</t>
        </is>
      </c>
      <c r="M194" s="7" t="inlineStr">
        <is>
          <t>İlk tahmin BF 1,500.00</t>
        </is>
      </c>
    </row>
    <row r="195" outlineLevel="1">
      <c r="A195" s="27" t="n"/>
      <c r="B195" s="27" t="inlineStr">
        <is>
          <t>4008.A</t>
        </is>
      </c>
      <c r="C195" s="7" t="inlineStr">
        <is>
          <t>Gürültü sensörü (ortam gürültüsüne göre otomatik seviye)</t>
        </is>
      </c>
      <c r="D195" s="27" t="inlineStr">
        <is>
          <t>adet</t>
        </is>
      </c>
      <c r="E195" s="50" t="n">
        <v>2</v>
      </c>
      <c r="F195" s="50" t="n">
        <v>2</v>
      </c>
      <c r="G195" s="27" t="inlineStr">
        <is>
          <t>-</t>
        </is>
      </c>
      <c r="H195" s="50">
        <f>F195</f>
        <v/>
      </c>
      <c r="I195" s="51" t="n">
        <v>423.15</v>
      </c>
      <c r="J195" s="28">
        <f>H195*I195</f>
        <v/>
      </c>
      <c r="K195" s="52" t="inlineStr">
        <is>
          <t>GEÇMİŞ TEKLİF UYARLAMA</t>
        </is>
      </c>
      <c r="L195" s="7" t="inlineStr">
        <is>
          <t>REF-derin – KMM M/RCF 2015 151.63x1.1; Pendik-Kaynarca M/YM 2022 494.38x1.1; Üçyol-Buca M/Cesa(Honeywell) 2021 540.56x1.1; Üçyol-Buca M/Siemens 2021 274.98x1.1 | AVC/gürültü mikrofonu; +%10 montaj | sonuç 423.15 [Emsal ID: R02515;R02955;R01947;R02132]</t>
        </is>
      </c>
      <c r="M195" s="7" t="inlineStr">
        <is>
          <t>İlk tahmin BF 350.00</t>
        </is>
      </c>
    </row>
    <row r="196" outlineLevel="1">
      <c r="A196" s="27" t="n"/>
      <c r="B196" s="27" t="inlineStr">
        <is>
          <t>4008.A</t>
        </is>
      </c>
      <c r="C196" s="7" t="inlineStr">
        <is>
          <t>Hat sonu direnci (EOL) + hoparlör bağlantı kutusu</t>
        </is>
      </c>
      <c r="D196" s="27" t="inlineStr">
        <is>
          <t>set</t>
        </is>
      </c>
      <c r="E196" s="50" t="n">
        <v>2</v>
      </c>
      <c r="F196" s="50" t="n">
        <v>2</v>
      </c>
      <c r="G196" s="27" t="inlineStr">
        <is>
          <t>-</t>
        </is>
      </c>
      <c r="H196" s="50">
        <f>F196</f>
        <v/>
      </c>
      <c r="I196" s="51" t="n">
        <v>61.78</v>
      </c>
      <c r="J196" s="28">
        <f>H196*I196</f>
        <v/>
      </c>
      <c r="K196" s="52" t="inlineStr">
        <is>
          <t>GEÇMİŞ TEKLİF UYARLAMA</t>
        </is>
      </c>
      <c r="L196" s="7" t="inlineStr">
        <is>
          <t>REF-derin – Pendik-Kaynarca M/YM 2022 26.42x1.1; Üçyol-Buca M/Cesa(Honeywell) 2021 28.89x1.1; Üçyol-Buca M/Siemens 2021 78.14x1.1 | EOL medyanı + bağlantı kutusu 30 € (tahmin) | sonuç 61.78 [Emsal ID: R02954;R01948;R02135]</t>
        </is>
      </c>
      <c r="M196" s="7" t="inlineStr">
        <is>
          <t>İlk tahmin BF 60.00</t>
        </is>
      </c>
    </row>
    <row r="197">
      <c r="A197" s="48" t="inlineStr">
        <is>
          <t>263</t>
        </is>
      </c>
      <c r="B197" s="48" t="inlineStr">
        <is>
          <t>4008.B</t>
        </is>
      </c>
      <c r="C197" s="48" t="inlineStr">
        <is>
          <t>Hızmalı Köprüsü İstasyonu Anons Sistemi (1 set)</t>
        </is>
      </c>
      <c r="D197" s="48" t="n"/>
      <c r="E197" s="48" t="n"/>
      <c r="F197" s="48" t="n"/>
      <c r="G197" s="48" t="n"/>
      <c r="H197" s="48" t="inlineStr">
        <is>
          <t>RFQ tutarı →</t>
        </is>
      </c>
      <c r="I197" s="49">
        <f>SUMPRODUCT(E198:E202,I198:I202)</f>
        <v/>
      </c>
      <c r="J197" s="49">
        <f>SUM(J198:J202)</f>
        <v/>
      </c>
      <c r="K197" s="48" t="n"/>
      <c r="L197" s="48" t="n"/>
      <c r="M197" s="48" t="n"/>
    </row>
    <row r="198" outlineLevel="1">
      <c r="A198" s="27" t="n"/>
      <c r="B198" s="27" t="inlineStr">
        <is>
          <t>4008.B</t>
        </is>
      </c>
      <c r="C198" s="7" t="inlineStr">
        <is>
          <t>Projeksiyon tipi hoparlör 20 W, 100 V, IP66 (şartname: horn tip min 15 W, 105 dB)</t>
        </is>
      </c>
      <c r="D198" s="27" t="inlineStr">
        <is>
          <t>adet</t>
        </is>
      </c>
      <c r="E198" s="50" t="n">
        <v>10</v>
      </c>
      <c r="F198" s="50" t="n">
        <v>10</v>
      </c>
      <c r="G198" s="27" t="inlineStr">
        <is>
          <t>-</t>
        </is>
      </c>
      <c r="H198" s="50">
        <f>F198</f>
        <v/>
      </c>
      <c r="I198" s="51" t="n">
        <v>131.72</v>
      </c>
      <c r="J198" s="28">
        <f>H198*I198</f>
        <v/>
      </c>
      <c r="K198" s="52" t="inlineStr">
        <is>
          <t>GEÇMİŞ TEKLİF UYARLAMA</t>
        </is>
      </c>
      <c r="L198" s="7" t="inlineStr">
        <is>
          <t>REF-derin – KMM M/RCF 2015 209.32x1.2; Pendik-Kaynarca M/YM 2022 109.76x1.2; Narlıdere M/Uskom 2018 121.92; KMM M/Ateksis(Bosch) 2015 79.80x1.2; Başkentray/Thales 2012 178.35 | Projektör/horn hoparlör; malzemeye +%20 montaj | sonuç 131.72 [Emsal ID: R02510;R02953;R01754;R02314;R01252]</t>
        </is>
      </c>
      <c r="M198" s="7" t="inlineStr">
        <is>
          <t>Ref n=1; horn hoparlör çapa üst sınırı | İlk tahmin BF 150.00</t>
        </is>
      </c>
    </row>
    <row r="199" outlineLevel="1">
      <c r="A199" s="27" t="n"/>
      <c r="B199" s="27" t="inlineStr">
        <is>
          <t>4008.B</t>
        </is>
      </c>
      <c r="C199" s="7" t="inlineStr">
        <is>
          <t>Hoparlör kablosu 2x1,5 mm² LIHCHRH FE180 PH90</t>
        </is>
      </c>
      <c r="D199" s="27" t="inlineStr">
        <is>
          <t>m</t>
        </is>
      </c>
      <c r="E199" s="50" t="n">
        <v>141</v>
      </c>
      <c r="F199" s="50" t="n">
        <v>141</v>
      </c>
      <c r="G199" s="27" t="inlineStr">
        <is>
          <t>fire+%30</t>
        </is>
      </c>
      <c r="H199" s="50">
        <f>F199/IF(Varsayimlar!$B$21=1,1.43,1)</f>
        <v/>
      </c>
      <c r="I199" s="51" t="n">
        <v>1.85</v>
      </c>
      <c r="J199" s="28">
        <f>H199*I199</f>
        <v/>
      </c>
      <c r="K199" s="52" t="inlineStr">
        <is>
          <t>GEÇMİŞ TEKLİF UYARLAMA</t>
        </is>
      </c>
      <c r="L199" s="7" t="inlineStr">
        <is>
          <t>REF-derin – Pendik-Kaynarca M/YM 2022 1.42x1.3; SAGE bina/YM 2018 2.59; Narlıdere M/Uskom 2018 1.68 | FE180 2x1,5; malzemeye +%30 çekim; önceki REF-duz 2,2 hafif yüksek | sonuç 1.85 [Emsal ID: R02959;R03096;R01755]</t>
        </is>
      </c>
      <c r="M199" s="7" t="inlineStr">
        <is>
          <t>FE180 2x1,5 montajlı; ref 1 €/m düşük | İlk tahmin BF 2.20</t>
        </is>
      </c>
    </row>
    <row r="200" outlineLevel="1">
      <c r="A200" s="27" t="n"/>
      <c r="B200" s="27" t="inlineStr">
        <is>
          <t>4008.B</t>
        </is>
      </c>
      <c r="C200" s="7" t="inlineStr">
        <is>
          <t>Dijital çıkış modülü / IP anons amplifikatörü 4 kanal 240 W (100 V, yedek anfi fonksiyonlu, 24VDC acil giriş)</t>
        </is>
      </c>
      <c r="D200" s="27" t="inlineStr">
        <is>
          <t>adet</t>
        </is>
      </c>
      <c r="E200" s="50" t="n">
        <v>1</v>
      </c>
      <c r="F200" s="50" t="n">
        <v>1</v>
      </c>
      <c r="G200" s="27" t="inlineStr">
        <is>
          <t>%30</t>
        </is>
      </c>
      <c r="H200" s="50">
        <f>F200/IF(Varsayimlar!$B$21=1,1.3,1)</f>
        <v/>
      </c>
      <c r="I200" s="51" t="n">
        <v>1556.76</v>
      </c>
      <c r="J200" s="28">
        <f>H200*I200</f>
        <v/>
      </c>
      <c r="K200" s="52" t="inlineStr">
        <is>
          <t>GEÇMİŞ TEKLİF UYARLAMA</t>
        </is>
      </c>
      <c r="L200" s="7" t="inlineStr">
        <is>
          <t>REF-derin – KMM M/RCF 2015 455.68x1.05; KMM M/RCF 2015 1105.27x1.05; Üçyol-Buca M/Siemens 2021 1859.99x1.05; Narlıdere M/Uskom 2018 2756.13x1.05 | 120-500 W anons amfileri; +%5 montaj | sonuç 1556.76 [Emsal ID: R02498;R02501;R02126;R01764]</t>
        </is>
      </c>
      <c r="M200" s="7" t="inlineStr">
        <is>
          <t>İlk tahmin BF 1,500.00</t>
        </is>
      </c>
    </row>
    <row r="201" outlineLevel="1">
      <c r="A201" s="27" t="n"/>
      <c r="B201" s="27" t="inlineStr">
        <is>
          <t>4008.B</t>
        </is>
      </c>
      <c r="C201" s="7" t="inlineStr">
        <is>
          <t>Gürültü sensörü (ortam gürültüsüne göre otomatik seviye)</t>
        </is>
      </c>
      <c r="D201" s="27" t="inlineStr">
        <is>
          <t>adet</t>
        </is>
      </c>
      <c r="E201" s="50" t="n">
        <v>2</v>
      </c>
      <c r="F201" s="50" t="n">
        <v>2</v>
      </c>
      <c r="G201" s="27" t="inlineStr">
        <is>
          <t>-</t>
        </is>
      </c>
      <c r="H201" s="50">
        <f>F201</f>
        <v/>
      </c>
      <c r="I201" s="51" t="n">
        <v>423.15</v>
      </c>
      <c r="J201" s="28">
        <f>H201*I201</f>
        <v/>
      </c>
      <c r="K201" s="52" t="inlineStr">
        <is>
          <t>GEÇMİŞ TEKLİF UYARLAMA</t>
        </is>
      </c>
      <c r="L201" s="7" t="inlineStr">
        <is>
          <t>REF-derin – KMM M/RCF 2015 151.63x1.1; Pendik-Kaynarca M/YM 2022 494.38x1.1; Üçyol-Buca M/Cesa(Honeywell) 2021 540.56x1.1; Üçyol-Buca M/Siemens 2021 274.98x1.1 | AVC/gürültü mikrofonu; +%10 montaj | sonuç 423.15 [Emsal ID: R02515;R02955;R01947;R02132]</t>
        </is>
      </c>
      <c r="M201" s="7" t="inlineStr">
        <is>
          <t>İlk tahmin BF 350.00</t>
        </is>
      </c>
    </row>
    <row r="202" outlineLevel="1">
      <c r="A202" s="27" t="n"/>
      <c r="B202" s="27" t="inlineStr">
        <is>
          <t>4008.B</t>
        </is>
      </c>
      <c r="C202" s="7" t="inlineStr">
        <is>
          <t>Hat sonu direnci (EOL) + hoparlör bağlantı kutusu</t>
        </is>
      </c>
      <c r="D202" s="27" t="inlineStr">
        <is>
          <t>set</t>
        </is>
      </c>
      <c r="E202" s="50" t="n">
        <v>1</v>
      </c>
      <c r="F202" s="50" t="n">
        <v>1</v>
      </c>
      <c r="G202" s="27" t="inlineStr">
        <is>
          <t>-</t>
        </is>
      </c>
      <c r="H202" s="50">
        <f>F202</f>
        <v/>
      </c>
      <c r="I202" s="51" t="n">
        <v>61.78</v>
      </c>
      <c r="J202" s="28">
        <f>H202*I202</f>
        <v/>
      </c>
      <c r="K202" s="52" t="inlineStr">
        <is>
          <t>GEÇMİŞ TEKLİF UYARLAMA</t>
        </is>
      </c>
      <c r="L202" s="7" t="inlineStr">
        <is>
          <t>REF-derin – Pendik-Kaynarca M/YM 2022 26.42x1.1; Üçyol-Buca M/Cesa(Honeywell) 2021 28.89x1.1; Üçyol-Buca M/Siemens 2021 78.14x1.1 | EOL medyanı + bağlantı kutusu 30 € (tahmin) | sonuç 61.78 [Emsal ID: R02954;R01948;R02135]</t>
        </is>
      </c>
      <c r="M202" s="7" t="inlineStr">
        <is>
          <t>İlk tahmin BF 60.00</t>
        </is>
      </c>
    </row>
    <row r="203">
      <c r="A203" s="48" t="inlineStr">
        <is>
          <t>264</t>
        </is>
      </c>
      <c r="B203" s="48" t="inlineStr">
        <is>
          <t>4008.C</t>
        </is>
      </c>
      <c r="C203" s="48" t="inlineStr">
        <is>
          <t>Balıklıgöl İstasyonu Anons Sistemi (1 set)</t>
        </is>
      </c>
      <c r="D203" s="48" t="n"/>
      <c r="E203" s="48" t="n"/>
      <c r="F203" s="48" t="n"/>
      <c r="G203" s="48" t="n"/>
      <c r="H203" s="48" t="inlineStr">
        <is>
          <t>RFQ tutarı →</t>
        </is>
      </c>
      <c r="I203" s="49">
        <f>SUMPRODUCT(E204:E208,I204:I208)</f>
        <v/>
      </c>
      <c r="J203" s="49">
        <f>SUM(J204:J208)</f>
        <v/>
      </c>
      <c r="K203" s="48" t="n"/>
      <c r="L203" s="48" t="n"/>
      <c r="M203" s="48" t="n"/>
    </row>
    <row r="204" outlineLevel="1">
      <c r="A204" s="27" t="n"/>
      <c r="B204" s="27" t="inlineStr">
        <is>
          <t>4008.C</t>
        </is>
      </c>
      <c r="C204" s="7" t="inlineStr">
        <is>
          <t>Projeksiyon tipi hoparlör 20 W, 100 V, IP66 (şartname: horn tip min 15 W, 105 dB)</t>
        </is>
      </c>
      <c r="D204" s="27" t="inlineStr">
        <is>
          <t>adet</t>
        </is>
      </c>
      <c r="E204" s="50" t="n">
        <v>10</v>
      </c>
      <c r="F204" s="50" t="n">
        <v>10</v>
      </c>
      <c r="G204" s="27" t="inlineStr">
        <is>
          <t>-</t>
        </is>
      </c>
      <c r="H204" s="50">
        <f>F204</f>
        <v/>
      </c>
      <c r="I204" s="51" t="n">
        <v>131.72</v>
      </c>
      <c r="J204" s="28">
        <f>H204*I204</f>
        <v/>
      </c>
      <c r="K204" s="52" t="inlineStr">
        <is>
          <t>GEÇMİŞ TEKLİF UYARLAMA</t>
        </is>
      </c>
      <c r="L204" s="7" t="inlineStr">
        <is>
          <t>REF-derin – KMM M/RCF 2015 209.32x1.2; Pendik-Kaynarca M/YM 2022 109.76x1.2; Narlıdere M/Uskom 2018 121.92; KMM M/Ateksis(Bosch) 2015 79.80x1.2; Başkentray/Thales 2012 178.35 | Projektör/horn hoparlör; malzemeye +%20 montaj | sonuç 131.72 [Emsal ID: R02510;R02953;R01754;R02314;R01252]</t>
        </is>
      </c>
      <c r="M204" s="7" t="inlineStr">
        <is>
          <t>Ref n=1; horn hoparlör çapa üst sınırı | İlk tahmin BF 150.00</t>
        </is>
      </c>
    </row>
    <row r="205" outlineLevel="1">
      <c r="A205" s="27" t="n"/>
      <c r="B205" s="27" t="inlineStr">
        <is>
          <t>4008.C</t>
        </is>
      </c>
      <c r="C205" s="7" t="inlineStr">
        <is>
          <t>Hoparlör kablosu 2x1,5 mm² LIHCHRH FE180 PH90</t>
        </is>
      </c>
      <c r="D205" s="27" t="inlineStr">
        <is>
          <t>m</t>
        </is>
      </c>
      <c r="E205" s="50" t="n">
        <v>141</v>
      </c>
      <c r="F205" s="50" t="n">
        <v>141</v>
      </c>
      <c r="G205" s="27" t="inlineStr">
        <is>
          <t>fire+%30</t>
        </is>
      </c>
      <c r="H205" s="50">
        <f>F205/IF(Varsayimlar!$B$21=1,1.43,1)</f>
        <v/>
      </c>
      <c r="I205" s="51" t="n">
        <v>1.85</v>
      </c>
      <c r="J205" s="28">
        <f>H205*I205</f>
        <v/>
      </c>
      <c r="K205" s="52" t="inlineStr">
        <is>
          <t>GEÇMİŞ TEKLİF UYARLAMA</t>
        </is>
      </c>
      <c r="L205" s="7" t="inlineStr">
        <is>
          <t>REF-derin – Pendik-Kaynarca M/YM 2022 1.42x1.3; SAGE bina/YM 2018 2.59; Narlıdere M/Uskom 2018 1.68 | FE180 2x1,5; malzemeye +%30 çekim; önceki REF-duz 2,2 hafif yüksek | sonuç 1.85 [Emsal ID: R02959;R03096;R01755]</t>
        </is>
      </c>
      <c r="M205" s="7" t="inlineStr">
        <is>
          <t>FE180 2x1,5 montajlı; ref 1 €/m düşük | İlk tahmin BF 2.20</t>
        </is>
      </c>
    </row>
    <row r="206" outlineLevel="1">
      <c r="A206" s="27" t="n"/>
      <c r="B206" s="27" t="inlineStr">
        <is>
          <t>4008.C</t>
        </is>
      </c>
      <c r="C206" s="7" t="inlineStr">
        <is>
          <t>Dijital çıkış modülü / IP anons amplifikatörü 4 kanal 240 W (100 V, yedek anfi fonksiyonlu, 24VDC acil giriş)</t>
        </is>
      </c>
      <c r="D206" s="27" t="inlineStr">
        <is>
          <t>adet</t>
        </is>
      </c>
      <c r="E206" s="50" t="n">
        <v>1</v>
      </c>
      <c r="F206" s="50" t="n">
        <v>1</v>
      </c>
      <c r="G206" s="27" t="inlineStr">
        <is>
          <t>%30</t>
        </is>
      </c>
      <c r="H206" s="50">
        <f>F206/IF(Varsayimlar!$B$21=1,1.3,1)</f>
        <v/>
      </c>
      <c r="I206" s="51" t="n">
        <v>1556.76</v>
      </c>
      <c r="J206" s="28">
        <f>H206*I206</f>
        <v/>
      </c>
      <c r="K206" s="52" t="inlineStr">
        <is>
          <t>GEÇMİŞ TEKLİF UYARLAMA</t>
        </is>
      </c>
      <c r="L206" s="7" t="inlineStr">
        <is>
          <t>REF-derin – KMM M/RCF 2015 455.68x1.05; KMM M/RCF 2015 1105.27x1.05; Üçyol-Buca M/Siemens 2021 1859.99x1.05; Narlıdere M/Uskom 2018 2756.13x1.05 | 120-500 W anons amfileri; +%5 montaj | sonuç 1556.76 [Emsal ID: R02498;R02501;R02126;R01764]</t>
        </is>
      </c>
      <c r="M206" s="7" t="inlineStr">
        <is>
          <t>İlk tahmin BF 1,500.00</t>
        </is>
      </c>
    </row>
    <row r="207" outlineLevel="1">
      <c r="A207" s="27" t="n"/>
      <c r="B207" s="27" t="inlineStr">
        <is>
          <t>4008.C</t>
        </is>
      </c>
      <c r="C207" s="7" t="inlineStr">
        <is>
          <t>Gürültü sensörü (ortam gürültüsüne göre otomatik seviye)</t>
        </is>
      </c>
      <c r="D207" s="27" t="inlineStr">
        <is>
          <t>adet</t>
        </is>
      </c>
      <c r="E207" s="50" t="n">
        <v>2</v>
      </c>
      <c r="F207" s="50" t="n">
        <v>2</v>
      </c>
      <c r="G207" s="27" t="inlineStr">
        <is>
          <t>-</t>
        </is>
      </c>
      <c r="H207" s="50">
        <f>F207</f>
        <v/>
      </c>
      <c r="I207" s="51" t="n">
        <v>423.15</v>
      </c>
      <c r="J207" s="28">
        <f>H207*I207</f>
        <v/>
      </c>
      <c r="K207" s="52" t="inlineStr">
        <is>
          <t>GEÇMİŞ TEKLİF UYARLAMA</t>
        </is>
      </c>
      <c r="L207" s="7" t="inlineStr">
        <is>
          <t>REF-derin – KMM M/RCF 2015 151.63x1.1; Pendik-Kaynarca M/YM 2022 494.38x1.1; Üçyol-Buca M/Cesa(Honeywell) 2021 540.56x1.1; Üçyol-Buca M/Siemens 2021 274.98x1.1 | AVC/gürültü mikrofonu; +%10 montaj | sonuç 423.15 [Emsal ID: R02515;R02955;R01947;R02132]</t>
        </is>
      </c>
      <c r="M207" s="7" t="inlineStr">
        <is>
          <t>İlk tahmin BF 350.00</t>
        </is>
      </c>
    </row>
    <row r="208" outlineLevel="1">
      <c r="A208" s="27" t="n"/>
      <c r="B208" s="27" t="inlineStr">
        <is>
          <t>4008.C</t>
        </is>
      </c>
      <c r="C208" s="7" t="inlineStr">
        <is>
          <t>Hat sonu direnci (EOL) + hoparlör bağlantı kutusu</t>
        </is>
      </c>
      <c r="D208" s="27" t="inlineStr">
        <is>
          <t>set</t>
        </is>
      </c>
      <c r="E208" s="50" t="n">
        <v>1</v>
      </c>
      <c r="F208" s="50" t="n">
        <v>1</v>
      </c>
      <c r="G208" s="27" t="inlineStr">
        <is>
          <t>-</t>
        </is>
      </c>
      <c r="H208" s="50">
        <f>F208</f>
        <v/>
      </c>
      <c r="I208" s="51" t="n">
        <v>61.78</v>
      </c>
      <c r="J208" s="28">
        <f>H208*I208</f>
        <v/>
      </c>
      <c r="K208" s="52" t="inlineStr">
        <is>
          <t>GEÇMİŞ TEKLİF UYARLAMA</t>
        </is>
      </c>
      <c r="L208" s="7" t="inlineStr">
        <is>
          <t>REF-derin – Pendik-Kaynarca M/YM 2022 26.42x1.1; Üçyol-Buca M/Cesa(Honeywell) 2021 28.89x1.1; Üçyol-Buca M/Siemens 2021 78.14x1.1 | EOL medyanı + bağlantı kutusu 30 € (tahmin) | sonuç 61.78 [Emsal ID: R02954;R01948;R02135]</t>
        </is>
      </c>
      <c r="M208" s="7" t="inlineStr">
        <is>
          <t>İlk tahmin BF 60.00</t>
        </is>
      </c>
    </row>
    <row r="209">
      <c r="A209" s="48" t="inlineStr">
        <is>
          <t>265</t>
        </is>
      </c>
      <c r="B209" s="48" t="inlineStr">
        <is>
          <t>4008.D</t>
        </is>
      </c>
      <c r="C209" s="48" t="inlineStr">
        <is>
          <t>Eyüp Peygamber İstasyonu Anons Sistemi (1 set)</t>
        </is>
      </c>
      <c r="D209" s="48" t="n"/>
      <c r="E209" s="48" t="n"/>
      <c r="F209" s="48" t="n"/>
      <c r="G209" s="48" t="n"/>
      <c r="H209" s="48" t="inlineStr">
        <is>
          <t>RFQ tutarı →</t>
        </is>
      </c>
      <c r="I209" s="49">
        <f>SUMPRODUCT(E210:E214,I210:I214)</f>
        <v/>
      </c>
      <c r="J209" s="49">
        <f>SUM(J210:J214)</f>
        <v/>
      </c>
      <c r="K209" s="48" t="n"/>
      <c r="L209" s="48" t="n"/>
      <c r="M209" s="48" t="n"/>
    </row>
    <row r="210" outlineLevel="1">
      <c r="A210" s="27" t="n"/>
      <c r="B210" s="27" t="inlineStr">
        <is>
          <t>4008.D</t>
        </is>
      </c>
      <c r="C210" s="7" t="inlineStr">
        <is>
          <t>Projeksiyon tipi hoparlör 20 W, 100 V, IP66 (şartname: horn tip min 15 W, 105 dB)</t>
        </is>
      </c>
      <c r="D210" s="27" t="inlineStr">
        <is>
          <t>adet</t>
        </is>
      </c>
      <c r="E210" s="50" t="n">
        <v>10</v>
      </c>
      <c r="F210" s="50" t="n">
        <v>10</v>
      </c>
      <c r="G210" s="27" t="inlineStr">
        <is>
          <t>-</t>
        </is>
      </c>
      <c r="H210" s="50">
        <f>F210</f>
        <v/>
      </c>
      <c r="I210" s="51" t="n">
        <v>131.72</v>
      </c>
      <c r="J210" s="28">
        <f>H210*I210</f>
        <v/>
      </c>
      <c r="K210" s="52" t="inlineStr">
        <is>
          <t>GEÇMİŞ TEKLİF UYARLAMA</t>
        </is>
      </c>
      <c r="L210" s="7" t="inlineStr">
        <is>
          <t>REF-derin – KMM M/RCF 2015 209.32x1.2; Pendik-Kaynarca M/YM 2022 109.76x1.2; Narlıdere M/Uskom 2018 121.92; KMM M/Ateksis(Bosch) 2015 79.80x1.2; Başkentray/Thales 2012 178.35 | Projektör/horn hoparlör; malzemeye +%20 montaj | sonuç 131.72 [Emsal ID: R02510;R02953;R01754;R02314;R01252]</t>
        </is>
      </c>
      <c r="M210" s="7" t="inlineStr">
        <is>
          <t>Ref n=1; horn hoparlör çapa üst sınırı | İlk tahmin BF 150.00</t>
        </is>
      </c>
    </row>
    <row r="211" outlineLevel="1">
      <c r="A211" s="27" t="n"/>
      <c r="B211" s="27" t="inlineStr">
        <is>
          <t>4008.D</t>
        </is>
      </c>
      <c r="C211" s="7" t="inlineStr">
        <is>
          <t>Hoparlör kablosu 2x1,5 mm² LIHCHRH FE180 PH90</t>
        </is>
      </c>
      <c r="D211" s="27" t="inlineStr">
        <is>
          <t>m</t>
        </is>
      </c>
      <c r="E211" s="50" t="n">
        <v>141</v>
      </c>
      <c r="F211" s="50" t="n">
        <v>141</v>
      </c>
      <c r="G211" s="27" t="inlineStr">
        <is>
          <t>fire+%30</t>
        </is>
      </c>
      <c r="H211" s="50">
        <f>F211/IF(Varsayimlar!$B$21=1,1.43,1)</f>
        <v/>
      </c>
      <c r="I211" s="51" t="n">
        <v>1.85</v>
      </c>
      <c r="J211" s="28">
        <f>H211*I211</f>
        <v/>
      </c>
      <c r="K211" s="52" t="inlineStr">
        <is>
          <t>GEÇMİŞ TEKLİF UYARLAMA</t>
        </is>
      </c>
      <c r="L211" s="7" t="inlineStr">
        <is>
          <t>REF-derin – Pendik-Kaynarca M/YM 2022 1.42x1.3; SAGE bina/YM 2018 2.59; Narlıdere M/Uskom 2018 1.68 | FE180 2x1,5; malzemeye +%30 çekim; önceki REF-duz 2,2 hafif yüksek | sonuç 1.85 [Emsal ID: R02959;R03096;R01755]</t>
        </is>
      </c>
      <c r="M211" s="7" t="inlineStr">
        <is>
          <t>FE180 2x1,5 montajlı; ref 1 €/m düşük | İlk tahmin BF 2.20</t>
        </is>
      </c>
    </row>
    <row r="212" outlineLevel="1">
      <c r="A212" s="27" t="n"/>
      <c r="B212" s="27" t="inlineStr">
        <is>
          <t>4008.D</t>
        </is>
      </c>
      <c r="C212" s="7" t="inlineStr">
        <is>
          <t>Dijital çıkış modülü / IP anons amplifikatörü 4 kanal 240 W (100 V, yedek anfi fonksiyonlu, 24VDC acil giriş)</t>
        </is>
      </c>
      <c r="D212" s="27" t="inlineStr">
        <is>
          <t>adet</t>
        </is>
      </c>
      <c r="E212" s="50" t="n">
        <v>1</v>
      </c>
      <c r="F212" s="50" t="n">
        <v>1</v>
      </c>
      <c r="G212" s="27" t="inlineStr">
        <is>
          <t>%30</t>
        </is>
      </c>
      <c r="H212" s="50">
        <f>F212/IF(Varsayimlar!$B$21=1,1.3,1)</f>
        <v/>
      </c>
      <c r="I212" s="51" t="n">
        <v>1556.76</v>
      </c>
      <c r="J212" s="28">
        <f>H212*I212</f>
        <v/>
      </c>
      <c r="K212" s="52" t="inlineStr">
        <is>
          <t>GEÇMİŞ TEKLİF UYARLAMA</t>
        </is>
      </c>
      <c r="L212" s="7" t="inlineStr">
        <is>
          <t>REF-derin – KMM M/RCF 2015 455.68x1.05; KMM M/RCF 2015 1105.27x1.05; Üçyol-Buca M/Siemens 2021 1859.99x1.05; Narlıdere M/Uskom 2018 2756.13x1.05 | 120-500 W anons amfileri; +%5 montaj | sonuç 1556.76 [Emsal ID: R02498;R02501;R02126;R01764]</t>
        </is>
      </c>
      <c r="M212" s="7" t="inlineStr">
        <is>
          <t>İlk tahmin BF 1,500.00</t>
        </is>
      </c>
    </row>
    <row r="213" outlineLevel="1">
      <c r="A213" s="27" t="n"/>
      <c r="B213" s="27" t="inlineStr">
        <is>
          <t>4008.D</t>
        </is>
      </c>
      <c r="C213" s="7" t="inlineStr">
        <is>
          <t>Gürültü sensörü (ortam gürültüsüne göre otomatik seviye)</t>
        </is>
      </c>
      <c r="D213" s="27" t="inlineStr">
        <is>
          <t>adet</t>
        </is>
      </c>
      <c r="E213" s="50" t="n">
        <v>2</v>
      </c>
      <c r="F213" s="50" t="n">
        <v>2</v>
      </c>
      <c r="G213" s="27" t="inlineStr">
        <is>
          <t>-</t>
        </is>
      </c>
      <c r="H213" s="50">
        <f>F213</f>
        <v/>
      </c>
      <c r="I213" s="51" t="n">
        <v>423.15</v>
      </c>
      <c r="J213" s="28">
        <f>H213*I213</f>
        <v/>
      </c>
      <c r="K213" s="52" t="inlineStr">
        <is>
          <t>GEÇMİŞ TEKLİF UYARLAMA</t>
        </is>
      </c>
      <c r="L213" s="7" t="inlineStr">
        <is>
          <t>REF-derin – KMM M/RCF 2015 151.63x1.1; Pendik-Kaynarca M/YM 2022 494.38x1.1; Üçyol-Buca M/Cesa(Honeywell) 2021 540.56x1.1; Üçyol-Buca M/Siemens 2021 274.98x1.1 | AVC/gürültü mikrofonu; +%10 montaj | sonuç 423.15 [Emsal ID: R02515;R02955;R01947;R02132]</t>
        </is>
      </c>
      <c r="M213" s="7" t="inlineStr">
        <is>
          <t>İlk tahmin BF 350.00</t>
        </is>
      </c>
    </row>
    <row r="214" outlineLevel="1">
      <c r="A214" s="27" t="n"/>
      <c r="B214" s="27" t="inlineStr">
        <is>
          <t>4008.D</t>
        </is>
      </c>
      <c r="C214" s="7" t="inlineStr">
        <is>
          <t>Hat sonu direnci (EOL) + hoparlör bağlantı kutusu</t>
        </is>
      </c>
      <c r="D214" s="27" t="inlineStr">
        <is>
          <t>set</t>
        </is>
      </c>
      <c r="E214" s="50" t="n">
        <v>1</v>
      </c>
      <c r="F214" s="50" t="n">
        <v>1</v>
      </c>
      <c r="G214" s="27" t="inlineStr">
        <is>
          <t>-</t>
        </is>
      </c>
      <c r="H214" s="50">
        <f>F214</f>
        <v/>
      </c>
      <c r="I214" s="51" t="n">
        <v>61.78</v>
      </c>
      <c r="J214" s="28">
        <f>H214*I214</f>
        <v/>
      </c>
      <c r="K214" s="52" t="inlineStr">
        <is>
          <t>GEÇMİŞ TEKLİF UYARLAMA</t>
        </is>
      </c>
      <c r="L214" s="7" t="inlineStr">
        <is>
          <t>REF-derin – Pendik-Kaynarca M/YM 2022 26.42x1.1; Üçyol-Buca M/Cesa(Honeywell) 2021 28.89x1.1; Üçyol-Buca M/Siemens 2021 78.14x1.1 | EOL medyanı + bağlantı kutusu 30 € (tahmin) | sonuç 61.78 [Emsal ID: R02954;R01948;R02135]</t>
        </is>
      </c>
      <c r="M214" s="7" t="inlineStr">
        <is>
          <t>İlk tahmin BF 60.00</t>
        </is>
      </c>
    </row>
    <row r="215">
      <c r="A215" s="48" t="inlineStr">
        <is>
          <t>266</t>
        </is>
      </c>
      <c r="B215" s="48" t="inlineStr">
        <is>
          <t>4008.E</t>
        </is>
      </c>
      <c r="C215" s="48" t="inlineStr">
        <is>
          <t>Rasathane İstasyonu Anons Sistemi (1 set)</t>
        </is>
      </c>
      <c r="D215" s="48" t="n"/>
      <c r="E215" s="48" t="n"/>
      <c r="F215" s="48" t="n"/>
      <c r="G215" s="48" t="n"/>
      <c r="H215" s="48" t="inlineStr">
        <is>
          <t>RFQ tutarı →</t>
        </is>
      </c>
      <c r="I215" s="49">
        <f>SUMPRODUCT(E216:E220,I216:I220)</f>
        <v/>
      </c>
      <c r="J215" s="49">
        <f>SUM(J216:J220)</f>
        <v/>
      </c>
      <c r="K215" s="48" t="n"/>
      <c r="L215" s="48" t="n"/>
      <c r="M215" s="48" t="n"/>
    </row>
    <row r="216" outlineLevel="1">
      <c r="A216" s="27" t="n"/>
      <c r="B216" s="27" t="inlineStr">
        <is>
          <t>4008.E</t>
        </is>
      </c>
      <c r="C216" s="7" t="inlineStr">
        <is>
          <t>Projeksiyon tipi hoparlör 20 W, 100 V, IP66 (şartname: horn tip min 15 W, 105 dB)</t>
        </is>
      </c>
      <c r="D216" s="27" t="inlineStr">
        <is>
          <t>adet</t>
        </is>
      </c>
      <c r="E216" s="50" t="n">
        <v>10</v>
      </c>
      <c r="F216" s="50" t="n">
        <v>10</v>
      </c>
      <c r="G216" s="27" t="inlineStr">
        <is>
          <t>-</t>
        </is>
      </c>
      <c r="H216" s="50">
        <f>F216</f>
        <v/>
      </c>
      <c r="I216" s="51" t="n">
        <v>131.72</v>
      </c>
      <c r="J216" s="28">
        <f>H216*I216</f>
        <v/>
      </c>
      <c r="K216" s="52" t="inlineStr">
        <is>
          <t>GEÇMİŞ TEKLİF UYARLAMA</t>
        </is>
      </c>
      <c r="L216" s="7" t="inlineStr">
        <is>
          <t>REF-derin – KMM M/RCF 2015 209.32x1.2; Pendik-Kaynarca M/YM 2022 109.76x1.2; Narlıdere M/Uskom 2018 121.92; KMM M/Ateksis(Bosch) 2015 79.80x1.2; Başkentray/Thales 2012 178.35 | Projektör/horn hoparlör; malzemeye +%20 montaj | sonuç 131.72 [Emsal ID: R02510;R02953;R01754;R02314;R01252]</t>
        </is>
      </c>
      <c r="M216" s="7" t="inlineStr">
        <is>
          <t>Ref n=1; horn hoparlör çapa üst sınırı | İlk tahmin BF 150.00</t>
        </is>
      </c>
    </row>
    <row r="217" outlineLevel="1">
      <c r="A217" s="27" t="n"/>
      <c r="B217" s="27" t="inlineStr">
        <is>
          <t>4008.E</t>
        </is>
      </c>
      <c r="C217" s="7" t="inlineStr">
        <is>
          <t>Hoparlör kablosu 2x1,5 mm² LIHCHRH FE180 PH90</t>
        </is>
      </c>
      <c r="D217" s="27" t="inlineStr">
        <is>
          <t>m</t>
        </is>
      </c>
      <c r="E217" s="50" t="n">
        <v>141</v>
      </c>
      <c r="F217" s="50" t="n">
        <v>141</v>
      </c>
      <c r="G217" s="27" t="inlineStr">
        <is>
          <t>fire+%30</t>
        </is>
      </c>
      <c r="H217" s="50">
        <f>F217/IF(Varsayimlar!$B$21=1,1.43,1)</f>
        <v/>
      </c>
      <c r="I217" s="51" t="n">
        <v>1.85</v>
      </c>
      <c r="J217" s="28">
        <f>H217*I217</f>
        <v/>
      </c>
      <c r="K217" s="52" t="inlineStr">
        <is>
          <t>GEÇMİŞ TEKLİF UYARLAMA</t>
        </is>
      </c>
      <c r="L217" s="7" t="inlineStr">
        <is>
          <t>REF-derin – Pendik-Kaynarca M/YM 2022 1.42x1.3; SAGE bina/YM 2018 2.59; Narlıdere M/Uskom 2018 1.68 | FE180 2x1,5; malzemeye +%30 çekim; önceki REF-duz 2,2 hafif yüksek | sonuç 1.85 [Emsal ID: R02959;R03096;R01755]</t>
        </is>
      </c>
      <c r="M217" s="7" t="inlineStr">
        <is>
          <t>FE180 2x1,5 montajlı; ref 1 €/m düşük | İlk tahmin BF 2.20</t>
        </is>
      </c>
    </row>
    <row r="218" outlineLevel="1">
      <c r="A218" s="27" t="n"/>
      <c r="B218" s="27" t="inlineStr">
        <is>
          <t>4008.E</t>
        </is>
      </c>
      <c r="C218" s="7" t="inlineStr">
        <is>
          <t>Dijital çıkış modülü / IP anons amplifikatörü 4 kanal 240 W (100 V, yedek anfi fonksiyonlu, 24VDC acil giriş)</t>
        </is>
      </c>
      <c r="D218" s="27" t="inlineStr">
        <is>
          <t>adet</t>
        </is>
      </c>
      <c r="E218" s="50" t="n">
        <v>1</v>
      </c>
      <c r="F218" s="50" t="n">
        <v>1</v>
      </c>
      <c r="G218" s="27" t="inlineStr">
        <is>
          <t>%30</t>
        </is>
      </c>
      <c r="H218" s="50">
        <f>F218/IF(Varsayimlar!$B$21=1,1.3,1)</f>
        <v/>
      </c>
      <c r="I218" s="51" t="n">
        <v>1556.76</v>
      </c>
      <c r="J218" s="28">
        <f>H218*I218</f>
        <v/>
      </c>
      <c r="K218" s="52" t="inlineStr">
        <is>
          <t>GEÇMİŞ TEKLİF UYARLAMA</t>
        </is>
      </c>
      <c r="L218" s="7" t="inlineStr">
        <is>
          <t>REF-derin – KMM M/RCF 2015 455.68x1.05; KMM M/RCF 2015 1105.27x1.05; Üçyol-Buca M/Siemens 2021 1859.99x1.05; Narlıdere M/Uskom 2018 2756.13x1.05 | 120-500 W anons amfileri; +%5 montaj | sonuç 1556.76 [Emsal ID: R02498;R02501;R02126;R01764]</t>
        </is>
      </c>
      <c r="M218" s="7" t="inlineStr">
        <is>
          <t>İlk tahmin BF 1,500.00</t>
        </is>
      </c>
    </row>
    <row r="219" outlineLevel="1">
      <c r="A219" s="27" t="n"/>
      <c r="B219" s="27" t="inlineStr">
        <is>
          <t>4008.E</t>
        </is>
      </c>
      <c r="C219" s="7" t="inlineStr">
        <is>
          <t>Gürültü sensörü (ortam gürültüsüne göre otomatik seviye)</t>
        </is>
      </c>
      <c r="D219" s="27" t="inlineStr">
        <is>
          <t>adet</t>
        </is>
      </c>
      <c r="E219" s="50" t="n">
        <v>2</v>
      </c>
      <c r="F219" s="50" t="n">
        <v>2</v>
      </c>
      <c r="G219" s="27" t="inlineStr">
        <is>
          <t>-</t>
        </is>
      </c>
      <c r="H219" s="50">
        <f>F219</f>
        <v/>
      </c>
      <c r="I219" s="51" t="n">
        <v>423.15</v>
      </c>
      <c r="J219" s="28">
        <f>H219*I219</f>
        <v/>
      </c>
      <c r="K219" s="52" t="inlineStr">
        <is>
          <t>GEÇMİŞ TEKLİF UYARLAMA</t>
        </is>
      </c>
      <c r="L219" s="7" t="inlineStr">
        <is>
          <t>REF-derin – KMM M/RCF 2015 151.63x1.1; Pendik-Kaynarca M/YM 2022 494.38x1.1; Üçyol-Buca M/Cesa(Honeywell) 2021 540.56x1.1; Üçyol-Buca M/Siemens 2021 274.98x1.1 | AVC/gürültü mikrofonu; +%10 montaj | sonuç 423.15 [Emsal ID: R02515;R02955;R01947;R02132]</t>
        </is>
      </c>
      <c r="M219" s="7" t="inlineStr">
        <is>
          <t>İlk tahmin BF 350.00</t>
        </is>
      </c>
    </row>
    <row r="220" outlineLevel="1">
      <c r="A220" s="27" t="n"/>
      <c r="B220" s="27" t="inlineStr">
        <is>
          <t>4008.E</t>
        </is>
      </c>
      <c r="C220" s="7" t="inlineStr">
        <is>
          <t>Hat sonu direnci (EOL) + hoparlör bağlantı kutusu</t>
        </is>
      </c>
      <c r="D220" s="27" t="inlineStr">
        <is>
          <t>set</t>
        </is>
      </c>
      <c r="E220" s="50" t="n">
        <v>1</v>
      </c>
      <c r="F220" s="50" t="n">
        <v>1</v>
      </c>
      <c r="G220" s="27" t="inlineStr">
        <is>
          <t>-</t>
        </is>
      </c>
      <c r="H220" s="50">
        <f>F220</f>
        <v/>
      </c>
      <c r="I220" s="51" t="n">
        <v>61.78</v>
      </c>
      <c r="J220" s="28">
        <f>H220*I220</f>
        <v/>
      </c>
      <c r="K220" s="52" t="inlineStr">
        <is>
          <t>GEÇMİŞ TEKLİF UYARLAMA</t>
        </is>
      </c>
      <c r="L220" s="7" t="inlineStr">
        <is>
          <t>REF-derin – Pendik-Kaynarca M/YM 2022 26.42x1.1; Üçyol-Buca M/Cesa(Honeywell) 2021 28.89x1.1; Üçyol-Buca M/Siemens 2021 78.14x1.1 | EOL medyanı + bağlantı kutusu 30 € (tahmin) | sonuç 61.78 [Emsal ID: R02954;R01948;R02135]</t>
        </is>
      </c>
      <c r="M220" s="7" t="inlineStr">
        <is>
          <t>İlk tahmin BF 60.00</t>
        </is>
      </c>
    </row>
    <row r="221">
      <c r="A221" s="48" t="inlineStr">
        <is>
          <t>267</t>
        </is>
      </c>
      <c r="B221" s="48" t="inlineStr">
        <is>
          <t>4008.F</t>
        </is>
      </c>
      <c r="C221" s="48" t="inlineStr">
        <is>
          <t>Harran İstasyonu Anons Sistemi (1 set)</t>
        </is>
      </c>
      <c r="D221" s="48" t="n"/>
      <c r="E221" s="48" t="n"/>
      <c r="F221" s="48" t="n"/>
      <c r="G221" s="48" t="n"/>
      <c r="H221" s="48" t="inlineStr">
        <is>
          <t>RFQ tutarı →</t>
        </is>
      </c>
      <c r="I221" s="49">
        <f>SUMPRODUCT(E222:E226,I222:I226)</f>
        <v/>
      </c>
      <c r="J221" s="49">
        <f>SUM(J222:J226)</f>
        <v/>
      </c>
      <c r="K221" s="48" t="n"/>
      <c r="L221" s="48" t="n"/>
      <c r="M221" s="48" t="n"/>
    </row>
    <row r="222" outlineLevel="1">
      <c r="A222" s="27" t="n"/>
      <c r="B222" s="27" t="inlineStr">
        <is>
          <t>4008.F</t>
        </is>
      </c>
      <c r="C222" s="7" t="inlineStr">
        <is>
          <t>Projeksiyon tipi hoparlör 20 W, 100 V, IP66 (şartname: horn tip min 15 W, 105 dB)</t>
        </is>
      </c>
      <c r="D222" s="27" t="inlineStr">
        <is>
          <t>adet</t>
        </is>
      </c>
      <c r="E222" s="50" t="n">
        <v>10</v>
      </c>
      <c r="F222" s="50" t="n">
        <v>10</v>
      </c>
      <c r="G222" s="27" t="inlineStr">
        <is>
          <t>-</t>
        </is>
      </c>
      <c r="H222" s="50">
        <f>F222</f>
        <v/>
      </c>
      <c r="I222" s="51" t="n">
        <v>131.72</v>
      </c>
      <c r="J222" s="28">
        <f>H222*I222</f>
        <v/>
      </c>
      <c r="K222" s="52" t="inlineStr">
        <is>
          <t>GEÇMİŞ TEKLİF UYARLAMA</t>
        </is>
      </c>
      <c r="L222" s="7" t="inlineStr">
        <is>
          <t>REF-derin – KMM M/RCF 2015 209.32x1.2; Pendik-Kaynarca M/YM 2022 109.76x1.2; Narlıdere M/Uskom 2018 121.92; KMM M/Ateksis(Bosch) 2015 79.80x1.2; Başkentray/Thales 2012 178.35 | Projektör/horn hoparlör; malzemeye +%20 montaj | sonuç 131.72 [Emsal ID: R02510;R02953;R01754;R02314;R01252]</t>
        </is>
      </c>
      <c r="M222" s="7" t="inlineStr">
        <is>
          <t>Ref n=1; horn hoparlör çapa üst sınırı | İlk tahmin BF 150.00</t>
        </is>
      </c>
    </row>
    <row r="223" outlineLevel="1">
      <c r="A223" s="27" t="n"/>
      <c r="B223" s="27" t="inlineStr">
        <is>
          <t>4008.F</t>
        </is>
      </c>
      <c r="C223" s="7" t="inlineStr">
        <is>
          <t>Hoparlör kablosu 2x1,5 mm² LIHCHRH FE180 PH90</t>
        </is>
      </c>
      <c r="D223" s="27" t="inlineStr">
        <is>
          <t>m</t>
        </is>
      </c>
      <c r="E223" s="50" t="n">
        <v>139</v>
      </c>
      <c r="F223" s="50" t="n">
        <v>139</v>
      </c>
      <c r="G223" s="27" t="inlineStr">
        <is>
          <t>fire+%30</t>
        </is>
      </c>
      <c r="H223" s="50">
        <f>F223/IF(Varsayimlar!$B$21=1,1.43,1)</f>
        <v/>
      </c>
      <c r="I223" s="51" t="n">
        <v>1.85</v>
      </c>
      <c r="J223" s="28">
        <f>H223*I223</f>
        <v/>
      </c>
      <c r="K223" s="52" t="inlineStr">
        <is>
          <t>GEÇMİŞ TEKLİF UYARLAMA</t>
        </is>
      </c>
      <c r="L223" s="7" t="inlineStr">
        <is>
          <t>REF-derin – Pendik-Kaynarca M/YM 2022 1.42x1.3; SAGE bina/YM 2018 2.59; Narlıdere M/Uskom 2018 1.68 | FE180 2x1,5; malzemeye +%30 çekim; önceki REF-duz 2,2 hafif yüksek | sonuç 1.85 [Emsal ID: R02959;R03096;R01755]</t>
        </is>
      </c>
      <c r="M223" s="7" t="inlineStr">
        <is>
          <t>FE180 2x1,5 montajlı; ref 1 €/m düşük | İlk tahmin BF 2.20</t>
        </is>
      </c>
    </row>
    <row r="224" outlineLevel="1">
      <c r="A224" s="27" t="n"/>
      <c r="B224" s="27" t="inlineStr">
        <is>
          <t>4008.F</t>
        </is>
      </c>
      <c r="C224" s="7" t="inlineStr">
        <is>
          <t>Dijital çıkış modülü / IP anons amplifikatörü 4 kanal 240 W (100 V, yedek anfi fonksiyonlu, 24VDC acil giriş)</t>
        </is>
      </c>
      <c r="D224" s="27" t="inlineStr">
        <is>
          <t>adet</t>
        </is>
      </c>
      <c r="E224" s="50" t="n">
        <v>1</v>
      </c>
      <c r="F224" s="50" t="n">
        <v>1</v>
      </c>
      <c r="G224" s="27" t="inlineStr">
        <is>
          <t>%30</t>
        </is>
      </c>
      <c r="H224" s="50">
        <f>F224/IF(Varsayimlar!$B$21=1,1.3,1)</f>
        <v/>
      </c>
      <c r="I224" s="51" t="n">
        <v>1556.76</v>
      </c>
      <c r="J224" s="28">
        <f>H224*I224</f>
        <v/>
      </c>
      <c r="K224" s="52" t="inlineStr">
        <is>
          <t>GEÇMİŞ TEKLİF UYARLAMA</t>
        </is>
      </c>
      <c r="L224" s="7" t="inlineStr">
        <is>
          <t>REF-derin – KMM M/RCF 2015 455.68x1.05; KMM M/RCF 2015 1105.27x1.05; Üçyol-Buca M/Siemens 2021 1859.99x1.05; Narlıdere M/Uskom 2018 2756.13x1.05 | 120-500 W anons amfileri; +%5 montaj | sonuç 1556.76 [Emsal ID: R02498;R02501;R02126;R01764]</t>
        </is>
      </c>
      <c r="M224" s="7" t="inlineStr">
        <is>
          <t>İlk tahmin BF 1,500.00</t>
        </is>
      </c>
    </row>
    <row r="225" outlineLevel="1">
      <c r="A225" s="27" t="n"/>
      <c r="B225" s="27" t="inlineStr">
        <is>
          <t>4008.F</t>
        </is>
      </c>
      <c r="C225" s="7" t="inlineStr">
        <is>
          <t>Gürültü sensörü (ortam gürültüsüne göre otomatik seviye)</t>
        </is>
      </c>
      <c r="D225" s="27" t="inlineStr">
        <is>
          <t>adet</t>
        </is>
      </c>
      <c r="E225" s="50" t="n">
        <v>2</v>
      </c>
      <c r="F225" s="50" t="n">
        <v>2</v>
      </c>
      <c r="G225" s="27" t="inlineStr">
        <is>
          <t>-</t>
        </is>
      </c>
      <c r="H225" s="50">
        <f>F225</f>
        <v/>
      </c>
      <c r="I225" s="51" t="n">
        <v>423.15</v>
      </c>
      <c r="J225" s="28">
        <f>H225*I225</f>
        <v/>
      </c>
      <c r="K225" s="52" t="inlineStr">
        <is>
          <t>GEÇMİŞ TEKLİF UYARLAMA</t>
        </is>
      </c>
      <c r="L225" s="7" t="inlineStr">
        <is>
          <t>REF-derin – KMM M/RCF 2015 151.63x1.1; Pendik-Kaynarca M/YM 2022 494.38x1.1; Üçyol-Buca M/Cesa(Honeywell) 2021 540.56x1.1; Üçyol-Buca M/Siemens 2021 274.98x1.1 | AVC/gürültü mikrofonu; +%10 montaj | sonuç 423.15 [Emsal ID: R02515;R02955;R01947;R02132]</t>
        </is>
      </c>
      <c r="M225" s="7" t="inlineStr">
        <is>
          <t>İlk tahmin BF 350.00</t>
        </is>
      </c>
    </row>
    <row r="226" outlineLevel="1">
      <c r="A226" s="27" t="n"/>
      <c r="B226" s="27" t="inlineStr">
        <is>
          <t>4008.F</t>
        </is>
      </c>
      <c r="C226" s="7" t="inlineStr">
        <is>
          <t>Hat sonu direnci (EOL) + hoparlör bağlantı kutusu</t>
        </is>
      </c>
      <c r="D226" s="27" t="inlineStr">
        <is>
          <t>set</t>
        </is>
      </c>
      <c r="E226" s="50" t="n">
        <v>1</v>
      </c>
      <c r="F226" s="50" t="n">
        <v>1</v>
      </c>
      <c r="G226" s="27" t="inlineStr">
        <is>
          <t>-</t>
        </is>
      </c>
      <c r="H226" s="50">
        <f>F226</f>
        <v/>
      </c>
      <c r="I226" s="51" t="n">
        <v>61.78</v>
      </c>
      <c r="J226" s="28">
        <f>H226*I226</f>
        <v/>
      </c>
      <c r="K226" s="52" t="inlineStr">
        <is>
          <t>GEÇMİŞ TEKLİF UYARLAMA</t>
        </is>
      </c>
      <c r="L226" s="7" t="inlineStr">
        <is>
          <t>REF-derin – Pendik-Kaynarca M/YM 2022 26.42x1.1; Üçyol-Buca M/Cesa(Honeywell) 2021 28.89x1.1; Üçyol-Buca M/Siemens 2021 78.14x1.1 | EOL medyanı + bağlantı kutusu 30 € (tahmin) | sonuç 61.78 [Emsal ID: R02954;R01948;R02135]</t>
        </is>
      </c>
      <c r="M226" s="7" t="inlineStr">
        <is>
          <t>İlk tahmin BF 60.00</t>
        </is>
      </c>
    </row>
    <row r="227">
      <c r="A227" s="48" t="inlineStr">
        <is>
          <t>268</t>
        </is>
      </c>
      <c r="B227" s="48" t="inlineStr">
        <is>
          <t>4008.G</t>
        </is>
      </c>
      <c r="C227" s="48" t="inlineStr">
        <is>
          <t>Depo Sahası ve Tesisleri Anons Sistemi (1 set)</t>
        </is>
      </c>
      <c r="D227" s="48" t="n"/>
      <c r="E227" s="48" t="n"/>
      <c r="F227" s="48" t="n"/>
      <c r="G227" s="48" t="n"/>
      <c r="H227" s="48" t="inlineStr">
        <is>
          <t>RFQ tutarı →</t>
        </is>
      </c>
      <c r="I227" s="49">
        <f>SUMPRODUCT(E228:E236,I228:I236)</f>
        <v/>
      </c>
      <c r="J227" s="49">
        <f>SUM(J228:J236)</f>
        <v/>
      </c>
      <c r="K227" s="48" t="n"/>
      <c r="L227" s="48" t="n"/>
      <c r="M227" s="48" t="n"/>
    </row>
    <row r="228" outlineLevel="1">
      <c r="A228" s="27" t="n"/>
      <c r="B228" s="27" t="inlineStr">
        <is>
          <t>4008.G</t>
        </is>
      </c>
      <c r="C228" s="7" t="inlineStr">
        <is>
          <t>Ses projektörü 20 W (maks 30 W) 100 V</t>
        </is>
      </c>
      <c r="D228" s="27" t="inlineStr">
        <is>
          <t>adet</t>
        </is>
      </c>
      <c r="E228" s="50" t="n">
        <v>69</v>
      </c>
      <c r="F228" s="50" t="n">
        <v>69</v>
      </c>
      <c r="G228" s="27" t="inlineStr">
        <is>
          <t>-</t>
        </is>
      </c>
      <c r="H228" s="50">
        <f>F228</f>
        <v/>
      </c>
      <c r="I228" s="51" t="n">
        <v>150</v>
      </c>
      <c r="J228" s="28">
        <f>H228*I228</f>
        <v/>
      </c>
      <c r="K228" s="52" t="inlineStr">
        <is>
          <t>GEÇMİŞ TEKLİF UYARLAMA</t>
        </is>
      </c>
      <c r="L228" s="7" t="inlineStr">
        <is>
          <t>REF-derin – Ses projektörü: RCF 2015 20 W 209 €, Uskom 2018 EN54 projektör 122 € (M+İ), Bosch 2015 10 W 80 €(M)+%20=96, Thales 2012 horn 178 € → medyan 150 € [Emsal ID: R02510;R01754;R02314;R01252]</t>
        </is>
      </c>
      <c r="M228" s="7" t="inlineStr">
        <is>
          <t>İlk tahmin BF 120.00</t>
        </is>
      </c>
    </row>
    <row r="229" outlineLevel="1">
      <c r="A229" s="27" t="n"/>
      <c r="B229" s="27" t="inlineStr">
        <is>
          <t>4008.G</t>
        </is>
      </c>
      <c r="C229" s="7" t="inlineStr">
        <is>
          <t>Sıva altı hoparlör 6 W (maks 9 W)</t>
        </is>
      </c>
      <c r="D229" s="27" t="inlineStr">
        <is>
          <t>adet</t>
        </is>
      </c>
      <c r="E229" s="50" t="n">
        <v>36</v>
      </c>
      <c r="F229" s="50" t="n">
        <v>36</v>
      </c>
      <c r="G229" s="27" t="inlineStr">
        <is>
          <t>%30</t>
        </is>
      </c>
      <c r="H229" s="50">
        <f>F229/IF(Varsayimlar!$B$21=1,1.3,1)</f>
        <v/>
      </c>
      <c r="I229" s="51" t="n">
        <v>55.27</v>
      </c>
      <c r="J229" s="28">
        <f>H229*I229</f>
        <v/>
      </c>
      <c r="K229" s="52" t="inlineStr">
        <is>
          <t>GEÇMİŞ TEKLİF UYARLAMA</t>
        </is>
      </c>
      <c r="L229" s="7" t="inlineStr">
        <is>
          <t>REF-derin – Pendik-Kaynarca M/YM 2022 22.40x1.2; Üçyol-Buca M/Siemens 2021 43.94x1.2; Üçyol-Buca M/Cesa(Honeywell) 2021 48.17x1.2; KMM M/Ateksis(Bosch) 2015 49.21x1.2; Narlıdere M/Uskom 2018 105.69; SAGE bina/YM 2018 52.24 | Tavan/gömme hoparlör; malzemeye +%20 montaj | sonuç 55.27 [Emsal ID: R02952;R02134;R01956;R02312;R01753;R03085]</t>
        </is>
      </c>
      <c r="M229" s="7" t="inlineStr">
        <is>
          <t>İlk tahmin BF 60.00</t>
        </is>
      </c>
    </row>
    <row r="230" outlineLevel="1">
      <c r="A230" s="27" t="n"/>
      <c r="B230" s="27" t="inlineStr">
        <is>
          <t>4008.G</t>
        </is>
      </c>
      <c r="C230" s="7" t="inlineStr">
        <is>
          <t>Amplifikatör 4x125 W (A1, A2, A3 + A6 yedek)</t>
        </is>
      </c>
      <c r="D230" s="27" t="inlineStr">
        <is>
          <t>adet</t>
        </is>
      </c>
      <c r="E230" s="50" t="n">
        <v>4</v>
      </c>
      <c r="F230" s="50" t="n">
        <v>4</v>
      </c>
      <c r="G230" s="27" t="inlineStr">
        <is>
          <t>-</t>
        </is>
      </c>
      <c r="H230" s="50">
        <f>F230</f>
        <v/>
      </c>
      <c r="I230" s="51" t="n">
        <v>2715</v>
      </c>
      <c r="J230" s="28">
        <f>H230*I230</f>
        <v/>
      </c>
      <c r="K230" s="52" t="inlineStr">
        <is>
          <t>GEÇMİŞ TEKLİF UYARLAMA</t>
        </is>
      </c>
      <c r="L230" s="7" t="inlineStr">
        <is>
          <t>REF-derin – Amplifikatör: Narlıdere Uskom 2018 4x125 W EN54 2.756 € (M)+%15=3.169; Buca Cesa 2021 4x300 W 2.361 (M)+%15=2.715; Siemens 2021 2x250 W 1.860 (M)+%15=2.139 → medyan 2.715 € (mevcut 1.400 düşük) [Emsal ID: R01764;R01954;R02126]</t>
        </is>
      </c>
      <c r="M230" s="7" t="inlineStr">
        <is>
          <t>İlk tahmin BF 1,400.00</t>
        </is>
      </c>
    </row>
    <row r="231" outlineLevel="1">
      <c r="A231" s="27" t="n"/>
      <c r="B231" s="27" t="inlineStr">
        <is>
          <t>4008.G</t>
        </is>
      </c>
      <c r="C231" s="7" t="inlineStr">
        <is>
          <t>Amplifikatör 2x250 W (A4, A5 + A7 yedek)</t>
        </is>
      </c>
      <c r="D231" s="27" t="inlineStr">
        <is>
          <t>adet</t>
        </is>
      </c>
      <c r="E231" s="50" t="n">
        <v>3</v>
      </c>
      <c r="F231" s="50" t="n">
        <v>3</v>
      </c>
      <c r="G231" s="27" t="inlineStr">
        <is>
          <t>-</t>
        </is>
      </c>
      <c r="H231" s="50">
        <f>F231</f>
        <v/>
      </c>
      <c r="I231" s="51" t="n">
        <v>1855.18</v>
      </c>
      <c r="J231" s="28">
        <f>H231*I231</f>
        <v/>
      </c>
      <c r="K231" s="52" t="inlineStr">
        <is>
          <t>GEÇMİŞ TEKLİF UYARLAMA</t>
        </is>
      </c>
      <c r="L231" s="7" t="inlineStr">
        <is>
          <t>REF-derin – Narlıdere M/Uskom 2018 1382.49x1.05; Üçyol-Buca M/Siemens 2021 1859.99x1.05; KMM M/RCF 2015 1766.84x1.05 | 2x250 W EN54 amfi birebir; rack montajı +%5 | sonuç 1855.18 [Emsal ID: R01763;R02126;R02500]</t>
        </is>
      </c>
      <c r="M231" s="7" t="inlineStr">
        <is>
          <t>İlk tahmin BF 1,200.00</t>
        </is>
      </c>
    </row>
    <row r="232" outlineLevel="1">
      <c r="A232" s="27" t="n"/>
      <c r="B232" s="27" t="inlineStr">
        <is>
          <t>4008.G</t>
        </is>
      </c>
      <c r="C232" s="7" t="inlineStr">
        <is>
          <t>Ses kontrolör / dijital çıkış modülü + ses kontrol kabini (PA kabin, D01/CPA/101)</t>
        </is>
      </c>
      <c r="D232" s="27" t="inlineStr">
        <is>
          <t>set</t>
        </is>
      </c>
      <c r="E232" s="50" t="n">
        <v>1</v>
      </c>
      <c r="F232" s="50" t="n">
        <v>1</v>
      </c>
      <c r="G232" s="27" t="inlineStr">
        <is>
          <t>-</t>
        </is>
      </c>
      <c r="H232" s="50">
        <f>F232</f>
        <v/>
      </c>
      <c r="I232" s="51" t="n">
        <v>6068</v>
      </c>
      <c r="J232" s="28">
        <f>H232*I232</f>
        <v/>
      </c>
      <c r="K232" s="52" t="inlineStr">
        <is>
          <t>GEÇMİŞ TEKLİF UYARLAMA</t>
        </is>
      </c>
      <c r="L232" s="7" t="inlineStr">
        <is>
          <t>REF-derin – PA kontrolör+kabin: Bosch 2015 NCO-3 3.206+rack 968=4.174; RCF 2015 MT5708 5.731+968=6.699; Pendik 2022 anons kabini 8.768 − amfiler ~2.700 = 6.068 → medyan 6.068 € [Emsal ID: R02320;R02493;R02958;R02507]</t>
        </is>
      </c>
      <c r="M232" s="7" t="inlineStr">
        <is>
          <t>Kontrolör + PA kabini | İlk tahmin BF 6,000.00</t>
        </is>
      </c>
    </row>
    <row r="233" outlineLevel="1">
      <c r="A233" s="27" t="n"/>
      <c r="B233" s="27" t="inlineStr">
        <is>
          <t>4008.G</t>
        </is>
      </c>
      <c r="C233" s="7" t="inlineStr">
        <is>
          <t>Anons sistemi kumanda konsolu (mikrofon, D01/CPA/Z01 çalışma alanı + kontrol merkezi)</t>
        </is>
      </c>
      <c r="D233" s="27" t="inlineStr">
        <is>
          <t>adet</t>
        </is>
      </c>
      <c r="E233" s="50" t="n">
        <v>2</v>
      </c>
      <c r="F233" s="50" t="n">
        <v>2</v>
      </c>
      <c r="G233" s="27" t="inlineStr">
        <is>
          <t>-</t>
        </is>
      </c>
      <c r="H233" s="50">
        <f>F233</f>
        <v/>
      </c>
      <c r="I233" s="51" t="n">
        <v>1461.45</v>
      </c>
      <c r="J233" s="28">
        <f>H233*I233</f>
        <v/>
      </c>
      <c r="K233" s="52" t="inlineStr">
        <is>
          <t>GEÇMİŞ TEKLİF UYARLAMA</t>
        </is>
      </c>
      <c r="L233" s="7" t="inlineStr">
        <is>
          <t>REF-derin – Üçyol-Buca M/Cesa(Honeywell) 2021 1074.13x1.1; Narlıdere M/Uskom 2018 1461.45; KMM M/RCF 2015 837.93x0.85; Pendik-Kaynarca M/YM 2022 1761.00x1.1; Yerköy-Sivas YHT bina/YM 2019 1762.61 | Dijital anons istasyonu emsalleri (+%10 montaj; 2015 x0,85) | sonuç 1461.45 [Emsal ID: R01949;R01752;R02486;R02957;R01190]</t>
        </is>
      </c>
      <c r="M233" s="7" t="inlineStr">
        <is>
          <t>İlk tahmin BF 1,200.00</t>
        </is>
      </c>
    </row>
    <row r="234" outlineLevel="1">
      <c r="A234" s="27" t="n"/>
      <c r="B234" s="27" t="inlineStr">
        <is>
          <t>4008.G</t>
        </is>
      </c>
      <c r="C234" s="7" t="inlineStr">
        <is>
          <t>Ses kontrol potansiyometresi</t>
        </is>
      </c>
      <c r="D234" s="27" t="inlineStr">
        <is>
          <t>adet</t>
        </is>
      </c>
      <c r="E234" s="50" t="n">
        <v>6</v>
      </c>
      <c r="F234" s="50" t="n">
        <v>6</v>
      </c>
      <c r="G234" s="27" t="inlineStr">
        <is>
          <t>-</t>
        </is>
      </c>
      <c r="H234" s="50">
        <f>F234</f>
        <v/>
      </c>
      <c r="I234" s="51" t="n">
        <v>45.32</v>
      </c>
      <c r="J234" s="28">
        <f>H234*I234</f>
        <v/>
      </c>
      <c r="K234" s="52" t="inlineStr">
        <is>
          <t>GEÇMİŞ TEKLİF UYARLAMA</t>
        </is>
      </c>
      <c r="L234" s="7" t="inlineStr">
        <is>
          <t>REF-derin(1) – KMM M/Ateksis(Bosch) 2015 25.54x1.2 | Bosch ses kontrol ünitesi +%20 montaj; 1 emsal, mevcutla ortalama | emsal 30.64, ort.(60+30.64)/2 [Emsal ID: R02324]</t>
        </is>
      </c>
      <c r="M234" s="7" t="inlineStr">
        <is>
          <t>İlk tahmin BF 60.00</t>
        </is>
      </c>
    </row>
    <row r="235" outlineLevel="1">
      <c r="A235" s="27" t="n"/>
      <c r="B235" s="27" t="inlineStr">
        <is>
          <t>4008.G</t>
        </is>
      </c>
      <c r="C235" s="7" t="inlineStr">
        <is>
          <t>Hat sonu direnci</t>
        </is>
      </c>
      <c r="D235" s="27" t="inlineStr">
        <is>
          <t>adet</t>
        </is>
      </c>
      <c r="E235" s="50" t="n">
        <v>20</v>
      </c>
      <c r="F235" s="50" t="n">
        <v>20</v>
      </c>
      <c r="G235" s="27" t="inlineStr">
        <is>
          <t>-</t>
        </is>
      </c>
      <c r="H235" s="50">
        <f>F235</f>
        <v/>
      </c>
      <c r="I235" s="51" t="n">
        <v>31.78</v>
      </c>
      <c r="J235" s="28">
        <f>H235*I235</f>
        <v/>
      </c>
      <c r="K235" s="52" t="inlineStr">
        <is>
          <t>GEÇMİŞ TEKLİF UYARLAMA</t>
        </is>
      </c>
      <c r="L235" s="7" t="inlineStr">
        <is>
          <t>REF-derin – Pendik-Kaynarca M/YM 2022 26.42x1.1; Üçyol-Buca M/Cesa(Honeywell) 2021 28.89x1.1; Üçyol-Buca M/Siemens 2021 78.14x1.1 | EOL; +%10 montaj | sonuç 31.78 [Emsal ID: R02954;R01948;R02135]</t>
        </is>
      </c>
      <c r="M235" s="7" t="inlineStr">
        <is>
          <t>İlk tahmin BF 15.00</t>
        </is>
      </c>
    </row>
    <row r="236" outlineLevel="1">
      <c r="A236" s="27" t="n"/>
      <c r="B236" s="27" t="inlineStr">
        <is>
          <t>4008.G</t>
        </is>
      </c>
      <c r="C236" s="7" t="inlineStr">
        <is>
          <t>Hoparlör kablosu 2x2,5 mm² LIH(st)H FE180</t>
        </is>
      </c>
      <c r="D236" s="27" t="inlineStr">
        <is>
          <t>m</t>
        </is>
      </c>
      <c r="E236" s="50" t="n">
        <v>2060</v>
      </c>
      <c r="F236" s="50" t="n">
        <v>2060</v>
      </c>
      <c r="G236" s="27" t="inlineStr">
        <is>
          <t>fire+%30</t>
        </is>
      </c>
      <c r="H236" s="50">
        <f>F236/IF(Varsayimlar!$B$21=1,1.43,1)</f>
        <v/>
      </c>
      <c r="I236" s="51" t="n">
        <v>2.71</v>
      </c>
      <c r="J236" s="28">
        <f>H236*I236</f>
        <v/>
      </c>
      <c r="K236" s="52" t="inlineStr">
        <is>
          <t>GEÇMİŞ TEKLİF UYARLAMA</t>
        </is>
      </c>
      <c r="L236" s="7" t="inlineStr">
        <is>
          <t>REF-derin – Pendik-Kaynarca M/YM 2022 1.74x1.3; KMM M/Uskom 2015 1.81x1.3; KMM M/Uskom 2015 1.62x1.3 | 2x2,5 emsaller (FE180 değil) +%30 çekim/Cu, FE180 farkı +%20 | sonuç 2.71 [Emsal ID: R02963;R02787;R02656]</t>
        </is>
      </c>
      <c r="M236" s="7" t="inlineStr">
        <is>
          <t>İlk tahmin BF 2.80</t>
        </is>
      </c>
    </row>
    <row r="237">
      <c r="A237" s="48" t="inlineStr">
        <is>
          <t>269</t>
        </is>
      </c>
      <c r="B237" s="48" t="inlineStr">
        <is>
          <t>4008.H</t>
        </is>
      </c>
      <c r="C237" s="48" t="inlineStr">
        <is>
          <t>Anons Sistemi Merkez Donanımı&amp;Yazılımı (1 set)</t>
        </is>
      </c>
      <c r="D237" s="48" t="n"/>
      <c r="E237" s="48" t="n"/>
      <c r="F237" s="48" t="n"/>
      <c r="G237" s="48" t="n"/>
      <c r="H237" s="48" t="inlineStr">
        <is>
          <t>RFQ tutarı →</t>
        </is>
      </c>
      <c r="I237" s="49">
        <f>SUMPRODUCT(E238:E241,I238:I241)</f>
        <v/>
      </c>
      <c r="J237" s="49">
        <f>SUM(J238:J241)</f>
        <v/>
      </c>
      <c r="K237" s="48" t="n"/>
      <c r="L237" s="48" t="n"/>
      <c r="M237" s="48" t="n"/>
    </row>
    <row r="238" outlineLevel="1">
      <c r="A238" s="27" t="n"/>
      <c r="B238" s="27" t="inlineStr">
        <is>
          <t>4008.H</t>
        </is>
      </c>
      <c r="C238" s="7" t="inlineStr">
        <is>
          <t>Anons seçim paneli (dijital anons istasyonu, 12 fonksiyon butonu + genişleme) + el değmeden mikrofon</t>
        </is>
      </c>
      <c r="D238" s="27" t="inlineStr">
        <is>
          <t>set</t>
        </is>
      </c>
      <c r="E238" s="50" t="n">
        <v>1</v>
      </c>
      <c r="F238" s="50" t="n">
        <v>1</v>
      </c>
      <c r="G238" s="27" t="inlineStr">
        <is>
          <t>-</t>
        </is>
      </c>
      <c r="H238" s="50">
        <f>F238</f>
        <v/>
      </c>
      <c r="I238" s="51" t="n">
        <v>2126.6</v>
      </c>
      <c r="J238" s="28">
        <f>H238*I238</f>
        <v/>
      </c>
      <c r="K238" s="52" t="inlineStr">
        <is>
          <t>GEÇMİŞ TEKLİF UYARLAMA</t>
        </is>
      </c>
      <c r="L238" s="7" t="inlineStr">
        <is>
          <t>REF-derin – Üçyol-Buca M/Cesa(Honeywell) 2021 1074.13x1.1; Narlıdere M/Uskom 2018 1461.45; KMM M/RCF 2015 837.93x0.85; Pendik-Kaynarca M/YM 2022 1761.00x1.1; Yerköy-Sivas YHT bina/YM 2019 1762.61; Üçyol-Buca M/Siemens 2021 604.68x1.1 | Anons istasyonu medyanı (+%10, 2015 x0,85) + genişleme modülü (Siemens) | sonuç 2126.60 [Emsal ID: R01949;R01752;R02486;R02957;R01190;R02130]</t>
        </is>
      </c>
      <c r="M238" s="7" t="inlineStr">
        <is>
          <t>İlk tahmin BF 2,500.00</t>
        </is>
      </c>
    </row>
    <row r="239" outlineLevel="1">
      <c r="A239" s="27" t="n"/>
      <c r="B239" s="27" t="inlineStr">
        <is>
          <t>4008.H</t>
        </is>
      </c>
      <c r="C239" s="7" t="inlineStr">
        <is>
          <t>Anons sistemi sunucusu/yazılımı (zonlama, otomatik anons, AVLS/YBS arayüzü)</t>
        </is>
      </c>
      <c r="D239" s="27" t="inlineStr">
        <is>
          <t>set</t>
        </is>
      </c>
      <c r="E239" s="50" t="n">
        <v>1</v>
      </c>
      <c r="F239" s="50" t="n">
        <v>1</v>
      </c>
      <c r="G239" s="27" t="inlineStr">
        <is>
          <t>-</t>
        </is>
      </c>
      <c r="H239" s="50">
        <f>F239</f>
        <v/>
      </c>
      <c r="I239" s="51" t="n">
        <v>5024.96</v>
      </c>
      <c r="J239" s="28">
        <f>H239*I239</f>
        <v/>
      </c>
      <c r="K239" s="52" t="inlineStr">
        <is>
          <t>GEÇMİŞ TEKLİF UYARLAMA</t>
        </is>
      </c>
      <c r="L239" s="7" t="inlineStr">
        <is>
          <t>REF-derin – Narlıdere M/Uskom 2018 4284.69x1.05; SAGE bina/YM 2018 5551.00 | DÜZELTME: önceki REF 3.804,91 = R04643 (katener test/devreye alma) yanlış eşleşme; PA sunucu+yazılım emsalleri | sonuç 5024.96 [Emsal ID: R01747;R03094]</t>
        </is>
      </c>
      <c r="M239" s="7" t="inlineStr">
        <is>
          <t>İlk tahmin BF 3,804.91</t>
        </is>
      </c>
    </row>
    <row r="240" outlineLevel="1">
      <c r="A240" s="27" t="n"/>
      <c r="B240" s="27" t="inlineStr">
        <is>
          <t>4008.H</t>
        </is>
      </c>
      <c r="C240" s="7" t="inlineStr">
        <is>
          <t>TCC anons rack ekipmanları (ağ ses kodlayıcı, 24VDC acil besleme)</t>
        </is>
      </c>
      <c r="D240" s="27" t="inlineStr">
        <is>
          <t>set</t>
        </is>
      </c>
      <c r="E240" s="50" t="n">
        <v>1</v>
      </c>
      <c r="F240" s="50" t="n">
        <v>1</v>
      </c>
      <c r="G240" s="27" t="inlineStr">
        <is>
          <t>-</t>
        </is>
      </c>
      <c r="H240" s="50">
        <f>F240</f>
        <v/>
      </c>
      <c r="I240" s="51" t="n">
        <v>2578.35</v>
      </c>
      <c r="J240" s="28">
        <f>H240*I240</f>
        <v/>
      </c>
      <c r="K240" s="52" t="inlineStr">
        <is>
          <t>GEÇMİŞ TEKLİF UYARLAMA</t>
        </is>
      </c>
      <c r="L240" s="7" t="inlineStr">
        <is>
          <t>REF-derin – KMM M/Ateksis(Bosch) 2015 1197.05x0.935; KMM M/RCF 2015 638.43x0.935; Üçyol-Buca M/Cesa(Honeywell) 2021 1220.24x1.1; Narlıdere M/Uskom 2018 2098.27 | Bileşik: IP ses arabirimi medyanı + EN54-4 acil güç kaynağı medyanı | sonuç 2578.35 [Emsal ID: R02319;R02506;R01951;R01744]</t>
        </is>
      </c>
      <c r="M240" s="7" t="inlineStr">
        <is>
          <t>İlk tahmin BF 4,000.00</t>
        </is>
      </c>
    </row>
    <row r="241" outlineLevel="1">
      <c r="A241" s="27" t="n"/>
      <c r="B241" s="27" t="inlineStr">
        <is>
          <t>4008.H</t>
        </is>
      </c>
      <c r="C241" s="7" t="inlineStr">
        <is>
          <t>Mevcut depo kontrol merkezi entegrasyonu: anons yazılım uyarlama + lisans</t>
        </is>
      </c>
      <c r="D241" s="27" t="inlineStr">
        <is>
          <t>set</t>
        </is>
      </c>
      <c r="E241" s="50" t="n">
        <v>1</v>
      </c>
      <c r="F241" s="54" t="n">
        <v>0</v>
      </c>
      <c r="G241" s="27" t="inlineStr">
        <is>
          <t>-</t>
        </is>
      </c>
      <c r="H241" s="50">
        <f>F241</f>
        <v/>
      </c>
      <c r="I241" s="51" t="n">
        <v>10971.56</v>
      </c>
      <c r="J241" s="28">
        <f>H241*I241</f>
        <v/>
      </c>
      <c r="K241" s="55" t="inlineStr">
        <is>
          <t>KAPSAM DIŞI (0)</t>
        </is>
      </c>
      <c r="L241" s="7" t="inlineStr">
        <is>
          <t>REF-derin – Üçyol-Buca M/ON Elektronik 2020 6352.95; Pendik-Kaynarca M/YM 2022 18934.45; Üçyol-Buca M/Avikon 2021 12538.93; Üçyol-Buca M/Avikon 2021 9404.20 | DÜZELTME: REF 21.984,87 izlenebilir değil; genel mevcut sisteme entegrasyon emsalleri (miktar 0) | sonuç 10971.56 [Emsal ID: R01876;R02982;R01899;R01898]</t>
        </is>
      </c>
      <c r="M241" s="7" t="inlineStr">
        <is>
          <t>İdare: mevcut sistem yok | İlk tahmin BF 21,984.87</t>
        </is>
      </c>
    </row>
    <row r="242">
      <c r="A242" s="48" t="inlineStr">
        <is>
          <t>270</t>
        </is>
      </c>
      <c r="B242" s="48" t="inlineStr">
        <is>
          <t>4009</t>
        </is>
      </c>
      <c r="C242" s="48" t="inlineStr">
        <is>
          <t>Kapalı Devre Televizyon Sistemi (CCTV) Tasarımı (1 set)</t>
        </is>
      </c>
      <c r="D242" s="48" t="n"/>
      <c r="E242" s="48" t="n"/>
      <c r="F242" s="48" t="n"/>
      <c r="G242" s="48" t="n"/>
      <c r="H242" s="48" t="inlineStr">
        <is>
          <t>RFQ tutarı →</t>
        </is>
      </c>
      <c r="I242" s="49">
        <f>SUMPRODUCT(E243:E244,I243:I244)</f>
        <v/>
      </c>
      <c r="J242" s="49">
        <f>SUM(J243:J244)</f>
        <v/>
      </c>
      <c r="K242" s="48" t="n"/>
      <c r="L242" s="48" t="n"/>
      <c r="M242" s="48" t="n"/>
    </row>
    <row r="243" outlineLevel="1">
      <c r="A243" s="27" t="n"/>
      <c r="B243" s="27" t="inlineStr">
        <is>
          <t>4009</t>
        </is>
      </c>
      <c r="C243" s="7" t="inlineStr">
        <is>
          <t>Uygulama projeleri, sistem mimarisi/blok şemaları, hesaplar (kamera görüş analizi, depolama hesabı)</t>
        </is>
      </c>
      <c r="D243" s="27" t="inlineStr">
        <is>
          <t>set</t>
        </is>
      </c>
      <c r="E243" s="50" t="n">
        <v>1</v>
      </c>
      <c r="F243" s="50" t="n">
        <v>1</v>
      </c>
      <c r="G243" s="27" t="inlineStr">
        <is>
          <t>-</t>
        </is>
      </c>
      <c r="H243" s="50">
        <f>F243</f>
        <v/>
      </c>
      <c r="I243" s="51" t="n">
        <v>11430</v>
      </c>
      <c r="J243" s="28">
        <f>H243*I243</f>
        <v/>
      </c>
      <c r="K243" s="52" t="inlineStr">
        <is>
          <t>GEÇMİŞ TEKLİF UYARLAMA</t>
        </is>
      </c>
      <c r="L243" s="7" t="inlineStr">
        <is>
          <t>REF-derin(1) – Kabataş Bosch 2015 IP CCTV uygulama+as-built 1.837 €/ist. ×7 = 12.860 € → mevcut 10.000 ile harmanlandı [Emsal ID: R02349]</t>
        </is>
      </c>
      <c r="M243" s="7" t="inlineStr">
        <is>
          <t>Tasarım, küçük tramvay ölçeği | İlk tahmin BF 10,000.00</t>
        </is>
      </c>
    </row>
    <row r="244" outlineLevel="1">
      <c r="A244" s="27" t="n"/>
      <c r="B244" s="27" t="inlineStr">
        <is>
          <t>4009</t>
        </is>
      </c>
      <c r="C244" s="7" t="inlineStr">
        <is>
          <t>Dokümantasyon: malzeme onayı, test prosedürleri, as-built, işletme-bakım el kitapları, eğitim dokümanı</t>
        </is>
      </c>
      <c r="D244" s="27" t="inlineStr">
        <is>
          <t>set</t>
        </is>
      </c>
      <c r="E244" s="50" t="n">
        <v>1</v>
      </c>
      <c r="F244" s="50" t="n">
        <v>1</v>
      </c>
      <c r="G244" s="27" t="inlineStr">
        <is>
          <t>-</t>
        </is>
      </c>
      <c r="H244" s="50">
        <f>F244</f>
        <v/>
      </c>
      <c r="I244" s="51" t="n">
        <v>4000</v>
      </c>
      <c r="J244" s="28">
        <f>H244*I244</f>
        <v/>
      </c>
      <c r="K244" s="53" t="inlineStr">
        <is>
          <t>MÜHENDİSLİK TAHMİNİ</t>
        </is>
      </c>
      <c r="L244" s="7" t="inlineStr">
        <is>
          <t>TAHMIN (emsal yok) – As-built/OMM emsalleri metro ölçeği 1.330 (Ateksis KMM) - 17.078 (Uskom Narlıdere); küçük tramvay alt sistem dokümanı kıyaslanamaz, mevcut aralıkta</t>
        </is>
      </c>
      <c r="M244" s="7" t="inlineStr">
        <is>
          <t>Tasarım, küçük tramvay ölçeği</t>
        </is>
      </c>
    </row>
    <row r="245">
      <c r="A245" s="48" t="inlineStr">
        <is>
          <t>271</t>
        </is>
      </c>
      <c r="B245" s="48" t="inlineStr">
        <is>
          <t>4010.A</t>
        </is>
      </c>
      <c r="C245" s="48" t="inlineStr">
        <is>
          <t>Göbekli Tepe İstasyonu Kapalı Devre Televizyon Sistemi (CCTV) (1 set)</t>
        </is>
      </c>
      <c r="D245" s="48" t="n"/>
      <c r="E245" s="48" t="n"/>
      <c r="F245" s="48" t="n"/>
      <c r="G245" s="48" t="n"/>
      <c r="H245" s="48" t="inlineStr">
        <is>
          <t>RFQ tutarı →</t>
        </is>
      </c>
      <c r="I245" s="49">
        <f>SUMPRODUCT(E246:E251,I246:I251)</f>
        <v/>
      </c>
      <c r="J245" s="49">
        <f>SUM(J246:J251)</f>
        <v/>
      </c>
      <c r="K245" s="48" t="n"/>
      <c r="L245" s="48" t="n"/>
      <c r="M245" s="48" t="n"/>
    </row>
    <row r="246" outlineLevel="1">
      <c r="A246" s="27" t="n"/>
      <c r="B246" s="27" t="inlineStr">
        <is>
          <t>4010.A</t>
        </is>
      </c>
      <c r="C246" s="7" t="inlineStr">
        <is>
          <t>IP sabit dome kamera 3 MP, H.265, PoE, IK10/IP66</t>
        </is>
      </c>
      <c r="D246" s="27" t="inlineStr">
        <is>
          <t>adet</t>
        </is>
      </c>
      <c r="E246" s="50" t="n">
        <v>8</v>
      </c>
      <c r="F246" s="50" t="n">
        <v>8</v>
      </c>
      <c r="G246" s="27" t="inlineStr">
        <is>
          <t>%30</t>
        </is>
      </c>
      <c r="H246" s="50">
        <f>F246/IF(Varsayimlar!$B$21=1,1.3,1)</f>
        <v/>
      </c>
      <c r="I246" s="51" t="n">
        <v>508.65</v>
      </c>
      <c r="J246" s="28">
        <f>H246*I246</f>
        <v/>
      </c>
      <c r="K246" s="52" t="inlineStr">
        <is>
          <t>GEÇMİŞ TEKLİF UYARLAMA</t>
        </is>
      </c>
      <c r="L246" s="7" t="inlineStr">
        <is>
          <t>REF-derin – Üçyol-Buca M/Siemens 2021 465.06x1.15; Üçyol-Buca M/Huawei 2021 472.06x1.15; Narlıdere M/Uskom 2018 482.47; KMM M/Entek 2015 298.86x0.9775 | IP dome 3-5 MP; malzemeye +%15 montaj/ayar; 2015 x0,85 (elektronik) | sonuç 508.65 [Emsal ID: R02077;R01924;R01784;R02795]</t>
        </is>
      </c>
      <c r="M246" s="7" t="inlineStr">
        <is>
          <t>İlk tahmin BF 380.00</t>
        </is>
      </c>
    </row>
    <row r="247" outlineLevel="1">
      <c r="A247" s="27" t="n"/>
      <c r="B247" s="27" t="inlineStr">
        <is>
          <t>4010.A</t>
        </is>
      </c>
      <c r="C247" s="7" t="inlineStr">
        <is>
          <t>IP harici sabit (bullet) kamera 3 MP, H.265, PoE, IP66</t>
        </is>
      </c>
      <c r="D247" s="27" t="inlineStr">
        <is>
          <t>adet</t>
        </is>
      </c>
      <c r="E247" s="50" t="n">
        <v>3</v>
      </c>
      <c r="F247" s="50" t="n">
        <v>3</v>
      </c>
      <c r="G247" s="27" t="inlineStr">
        <is>
          <t>%30</t>
        </is>
      </c>
      <c r="H247" s="50">
        <f>F247/IF(Varsayimlar!$B$21=1,1.3,1)</f>
        <v/>
      </c>
      <c r="I247" s="51" t="n">
        <v>770.87</v>
      </c>
      <c r="J247" s="28">
        <f>H247*I247</f>
        <v/>
      </c>
      <c r="K247" s="52" t="inlineStr">
        <is>
          <t>GEÇMİŞ TEKLİF UYARLAMA</t>
        </is>
      </c>
      <c r="L247" s="7" t="inlineStr">
        <is>
          <t>REF-derin – Üçyol-Buca M/Siemens 2021 533.17x1.15; Yerköy-Sivas YHT bina/YM 2019 928.60 | Harici sabit IP kamera; malzemeye +%15; SAGE bina 2MP iç bütçe (980) dışarıda | sonuç 770.87 [Emsal ID: R02076;R01206]</t>
        </is>
      </c>
      <c r="M247" s="7" t="inlineStr">
        <is>
          <t>BF 1389 yüksek; medyan 576/çapa | İlk tahmin BF 550.00</t>
        </is>
      </c>
    </row>
    <row r="248" outlineLevel="1">
      <c r="A248" s="27" t="n"/>
      <c r="B248" s="27" t="inlineStr">
        <is>
          <t>4010.A</t>
        </is>
      </c>
      <c r="C248" s="7" t="inlineStr">
        <is>
          <t>CAT6 (S/FTP, dış ortam/HFFR) kamera data kablosu</t>
        </is>
      </c>
      <c r="D248" s="27" t="inlineStr">
        <is>
          <t>m</t>
        </is>
      </c>
      <c r="E248" s="50" t="n">
        <v>615</v>
      </c>
      <c r="F248" s="50" t="n">
        <v>615</v>
      </c>
      <c r="G248" s="27" t="inlineStr">
        <is>
          <t>fire+%30</t>
        </is>
      </c>
      <c r="H248" s="50">
        <f>F248/IF(Varsayimlar!$B$21=1,1.43,1)</f>
        <v/>
      </c>
      <c r="I248" s="51" t="n">
        <v>2.48</v>
      </c>
      <c r="J248" s="28">
        <f>H248*I248</f>
        <v/>
      </c>
      <c r="K248" s="52" t="inlineStr">
        <is>
          <t>GEÇMİŞ TEKLİF UYARLAMA</t>
        </is>
      </c>
      <c r="L248" s="7" t="inlineStr">
        <is>
          <t>REF-derin – Pendik-Kaynarca M/YM 2022 2.45x1.3; SAGE bina/YM 2018 2.48; Üçyol-Buca M/Nokia/ALE 2021 1.40x1.3 | Ekranlı/LS0H-FE180 CAT6-7; malzemeye +%30 çekim | sonuç 2.48 [Emsal ID: R02987;R02994;R02238]</t>
        </is>
      </c>
      <c r="M248" s="7" t="inlineStr">
        <is>
          <t>İlk tahmin BF 1.50</t>
        </is>
      </c>
    </row>
    <row r="249" outlineLevel="1">
      <c r="A249" s="27" t="n"/>
      <c r="B249" s="27" t="inlineStr">
        <is>
          <t>4010.A</t>
        </is>
      </c>
      <c r="C249" s="7" t="inlineStr">
        <is>
          <t>Kamera güç kablosu 3x2,5 mm² N2XH/NYY (APP panosundan)</t>
        </is>
      </c>
      <c r="D249" s="27" t="inlineStr">
        <is>
          <t>m</t>
        </is>
      </c>
      <c r="E249" s="50" t="n">
        <v>178</v>
      </c>
      <c r="F249" s="50" t="n">
        <v>178</v>
      </c>
      <c r="G249" s="27" t="inlineStr">
        <is>
          <t>-</t>
        </is>
      </c>
      <c r="H249" s="50">
        <f>F249</f>
        <v/>
      </c>
      <c r="I249" s="51" t="n">
        <v>1.84</v>
      </c>
      <c r="J249" s="28">
        <f>H249*I249</f>
        <v/>
      </c>
      <c r="K249" s="52" t="inlineStr">
        <is>
          <t>GEÇMİŞ TEKLİF UYARLAMA</t>
        </is>
      </c>
      <c r="L249" s="7" t="inlineStr">
        <is>
          <t>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is>
      </c>
      <c r="M249" s="7" t="inlineStr">
        <is>
          <t>İlk tahmin BF 2.80</t>
        </is>
      </c>
    </row>
    <row r="250" outlineLevel="1">
      <c r="A250" s="27" t="n"/>
      <c r="B250" s="27" t="inlineStr">
        <is>
          <t>4010.A</t>
        </is>
      </c>
      <c r="C250" s="7" t="inlineStr">
        <is>
          <t>Kamera montaj aparatı (duvar/tavan/direk), bağlantı kutusu, esnek zırhlı konduit</t>
        </is>
      </c>
      <c r="D250" s="27" t="inlineStr">
        <is>
          <t>set</t>
        </is>
      </c>
      <c r="E250" s="50" t="n">
        <v>8</v>
      </c>
      <c r="F250" s="50" t="n">
        <v>8</v>
      </c>
      <c r="G250" s="27" t="inlineStr">
        <is>
          <t>-</t>
        </is>
      </c>
      <c r="H250" s="50">
        <f>F250</f>
        <v/>
      </c>
      <c r="I250" s="51" t="n">
        <v>94.19</v>
      </c>
      <c r="J250" s="28">
        <f>H250*I250</f>
        <v/>
      </c>
      <c r="K250" s="52" t="inlineStr">
        <is>
          <t>GEÇMİŞ TEKLİF UYARLAMA</t>
        </is>
      </c>
      <c r="L250" s="7" t="inlineStr">
        <is>
          <t>REF-derin – KMM M/Uskom 2015 134.64; SAGE bina/YM 2018 101.34x1.2; Üçyol-Buca M/Siemens 2021 55.64x1.2; Üçyol-Buca M/Cesa(Honeywell) 2021 40.36x1.2 | Montaj aparatı+kutu; malzemeye +%20 montaj | sonuç 94.19 [Emsal ID: R02720;R03042;R02074;R01983]</t>
        </is>
      </c>
      <c r="M250" s="7" t="inlineStr">
        <is>
          <t>İlk tahmin BF 45.00</t>
        </is>
      </c>
    </row>
    <row r="251" outlineLevel="1">
      <c r="A251" s="27" t="n"/>
      <c r="B251" s="27" t="inlineStr">
        <is>
          <t>4010.A</t>
        </is>
      </c>
      <c r="C251" s="7" t="inlineStr">
        <is>
          <t>APP adaptör/güç panosu (CCTV)</t>
        </is>
      </c>
      <c r="D251" s="27" t="inlineStr">
        <is>
          <t>adet</t>
        </is>
      </c>
      <c r="E251" s="50" t="n">
        <v>2</v>
      </c>
      <c r="F251" s="50" t="n">
        <v>2</v>
      </c>
      <c r="G251" s="27" t="inlineStr">
        <is>
          <t>-</t>
        </is>
      </c>
      <c r="H251" s="50">
        <f>F251</f>
        <v/>
      </c>
      <c r="I251" s="51" t="n">
        <v>3010</v>
      </c>
      <c r="J251" s="28">
        <f>H251*I251</f>
        <v/>
      </c>
      <c r="K251" s="52" t="inlineStr">
        <is>
          <t>GEÇMİŞ TEKLİF UYARLAMA</t>
        </is>
      </c>
      <c r="L251" s="7" t="inlineStr">
        <is>
          <t>REF-derin – CCTV güç panosu: Buca TEDAK 2021 tali pano 3.011 €, ELF-20.1 harici dağıtım panosu AUS 2018 1.580 €, Rayba 2016 3.081 € → medyan 3.010 € [Emsal ID: R00720;R04012;R05156]</t>
        </is>
      </c>
      <c r="M251" s="7" t="inlineStr">
        <is>
          <t>Ref n=1 (17.317) aşırı; CCTV güç panosu | İlk tahmin BF 3,500.00</t>
        </is>
      </c>
    </row>
    <row r="252">
      <c r="A252" s="48" t="inlineStr">
        <is>
          <t>272</t>
        </is>
      </c>
      <c r="B252" s="48" t="inlineStr">
        <is>
          <t>4010.B</t>
        </is>
      </c>
      <c r="C252" s="48" t="inlineStr">
        <is>
          <t>Hızmalı Köprüsü İstasyonu Kapalı Devre Televizyon Sistemi (CCTV) (1 set)</t>
        </is>
      </c>
      <c r="D252" s="48" t="n"/>
      <c r="E252" s="48" t="n"/>
      <c r="F252" s="48" t="n"/>
      <c r="G252" s="48" t="n"/>
      <c r="H252" s="48" t="inlineStr">
        <is>
          <t>RFQ tutarı →</t>
        </is>
      </c>
      <c r="I252" s="49">
        <f>SUMPRODUCT(E253:E258,I253:I258)</f>
        <v/>
      </c>
      <c r="J252" s="49">
        <f>SUM(J253:J258)</f>
        <v/>
      </c>
      <c r="K252" s="48" t="n"/>
      <c r="L252" s="48" t="n"/>
      <c r="M252" s="48" t="n"/>
    </row>
    <row r="253" outlineLevel="1">
      <c r="A253" s="27" t="n"/>
      <c r="B253" s="27" t="inlineStr">
        <is>
          <t>4010.B</t>
        </is>
      </c>
      <c r="C253" s="7" t="inlineStr">
        <is>
          <t>IP sabit dome kamera 3 MP, H.265, PoE, IK10/IP66</t>
        </is>
      </c>
      <c r="D253" s="27" t="inlineStr">
        <is>
          <t>adet</t>
        </is>
      </c>
      <c r="E253" s="50" t="n">
        <v>10</v>
      </c>
      <c r="F253" s="50" t="n">
        <v>10</v>
      </c>
      <c r="G253" s="27" t="inlineStr">
        <is>
          <t>%30</t>
        </is>
      </c>
      <c r="H253" s="50">
        <f>F253/IF(Varsayimlar!$B$21=1,1.3,1)</f>
        <v/>
      </c>
      <c r="I253" s="51" t="n">
        <v>508.65</v>
      </c>
      <c r="J253" s="28">
        <f>H253*I253</f>
        <v/>
      </c>
      <c r="K253" s="52" t="inlineStr">
        <is>
          <t>GEÇMİŞ TEKLİF UYARLAMA</t>
        </is>
      </c>
      <c r="L253" s="7" t="inlineStr">
        <is>
          <t>REF-derin – Üçyol-Buca M/Siemens 2021 465.06x1.15; Üçyol-Buca M/Huawei 2021 472.06x1.15; Narlıdere M/Uskom 2018 482.47; KMM M/Entek 2015 298.86x0.9775 | IP dome 3-5 MP; malzemeye +%15 montaj/ayar; 2015 x0,85 (elektronik) | sonuç 508.65 [Emsal ID: R02077;R01924;R01784;R02795]</t>
        </is>
      </c>
      <c r="M253" s="7" t="inlineStr">
        <is>
          <t>İlk tahmin BF 380.00</t>
        </is>
      </c>
    </row>
    <row r="254" outlineLevel="1">
      <c r="A254" s="27" t="n"/>
      <c r="B254" s="27" t="inlineStr">
        <is>
          <t>4010.B</t>
        </is>
      </c>
      <c r="C254" s="7" t="inlineStr">
        <is>
          <t>IP harici sabit (bullet) kamera 3 MP, H.265, PoE, IP66</t>
        </is>
      </c>
      <c r="D254" s="27" t="inlineStr">
        <is>
          <t>adet</t>
        </is>
      </c>
      <c r="E254" s="50" t="n">
        <v>4</v>
      </c>
      <c r="F254" s="50" t="n">
        <v>4</v>
      </c>
      <c r="G254" s="27" t="inlineStr">
        <is>
          <t>%30</t>
        </is>
      </c>
      <c r="H254" s="50">
        <f>F254/IF(Varsayimlar!$B$21=1,1.3,1)</f>
        <v/>
      </c>
      <c r="I254" s="51" t="n">
        <v>770.87</v>
      </c>
      <c r="J254" s="28">
        <f>H254*I254</f>
        <v/>
      </c>
      <c r="K254" s="52" t="inlineStr">
        <is>
          <t>GEÇMİŞ TEKLİF UYARLAMA</t>
        </is>
      </c>
      <c r="L254" s="7" t="inlineStr">
        <is>
          <t>REF-derin – Üçyol-Buca M/Siemens 2021 533.17x1.15; Yerköy-Sivas YHT bina/YM 2019 928.60 | Harici sabit IP kamera; malzemeye +%15; SAGE bina 2MP iç bütçe (980) dışarıda | sonuç 770.87 [Emsal ID: R02076;R01206]</t>
        </is>
      </c>
      <c r="M254" s="7" t="inlineStr">
        <is>
          <t>BF 1389 yüksek; medyan 576/çapa | İlk tahmin BF 550.00</t>
        </is>
      </c>
    </row>
    <row r="255" outlineLevel="1">
      <c r="A255" s="27" t="n"/>
      <c r="B255" s="27" t="inlineStr">
        <is>
          <t>4010.B</t>
        </is>
      </c>
      <c r="C255" s="7" t="inlineStr">
        <is>
          <t>CAT6 (S/FTP, dış ortam/HFFR) kamera data kablosu</t>
        </is>
      </c>
      <c r="D255" s="27" t="inlineStr">
        <is>
          <t>m</t>
        </is>
      </c>
      <c r="E255" s="50" t="n">
        <v>751</v>
      </c>
      <c r="F255" s="50" t="n">
        <v>751</v>
      </c>
      <c r="G255" s="27" t="inlineStr">
        <is>
          <t>fire+%30</t>
        </is>
      </c>
      <c r="H255" s="50">
        <f>F255/IF(Varsayimlar!$B$21=1,1.43,1)</f>
        <v/>
      </c>
      <c r="I255" s="51" t="n">
        <v>2.48</v>
      </c>
      <c r="J255" s="28">
        <f>H255*I255</f>
        <v/>
      </c>
      <c r="K255" s="52" t="inlineStr">
        <is>
          <t>GEÇMİŞ TEKLİF UYARLAMA</t>
        </is>
      </c>
      <c r="L255" s="7" t="inlineStr">
        <is>
          <t>REF-derin – Pendik-Kaynarca M/YM 2022 2.45x1.3; SAGE bina/YM 2018 2.48; Üçyol-Buca M/Nokia/ALE 2021 1.40x1.3 | Ekranlı/LS0H-FE180 CAT6-7; malzemeye +%30 çekim | sonuç 2.48 [Emsal ID: R02987;R02994;R02238]</t>
        </is>
      </c>
      <c r="M255" s="7" t="inlineStr">
        <is>
          <t>İlk tahmin BF 1.50</t>
        </is>
      </c>
    </row>
    <row r="256" outlineLevel="1">
      <c r="A256" s="27" t="n"/>
      <c r="B256" s="27" t="inlineStr">
        <is>
          <t>4010.B</t>
        </is>
      </c>
      <c r="C256" s="7" t="inlineStr">
        <is>
          <t>Kamera güç kablosu 3x2,5 mm² N2XH/NYY (APP panosundan)</t>
        </is>
      </c>
      <c r="D256" s="27" t="inlineStr">
        <is>
          <t>m</t>
        </is>
      </c>
      <c r="E256" s="50" t="n">
        <v>225</v>
      </c>
      <c r="F256" s="50" t="n">
        <v>225</v>
      </c>
      <c r="G256" s="27" t="inlineStr">
        <is>
          <t>-</t>
        </is>
      </c>
      <c r="H256" s="50">
        <f>F256</f>
        <v/>
      </c>
      <c r="I256" s="51" t="n">
        <v>1.84</v>
      </c>
      <c r="J256" s="28">
        <f>H256*I256</f>
        <v/>
      </c>
      <c r="K256" s="52" t="inlineStr">
        <is>
          <t>GEÇMİŞ TEKLİF UYARLAMA</t>
        </is>
      </c>
      <c r="L256" s="7" t="inlineStr">
        <is>
          <t>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is>
      </c>
      <c r="M256" s="7" t="inlineStr">
        <is>
          <t>İlk tahmin BF 2.80</t>
        </is>
      </c>
    </row>
    <row r="257" outlineLevel="1">
      <c r="A257" s="27" t="n"/>
      <c r="B257" s="27" t="inlineStr">
        <is>
          <t>4010.B</t>
        </is>
      </c>
      <c r="C257" s="7" t="inlineStr">
        <is>
          <t>Kamera montaj aparatı (duvar/tavan/direk), bağlantı kutusu, esnek zırhlı konduit</t>
        </is>
      </c>
      <c r="D257" s="27" t="inlineStr">
        <is>
          <t>set</t>
        </is>
      </c>
      <c r="E257" s="50" t="n">
        <v>10</v>
      </c>
      <c r="F257" s="50" t="n">
        <v>10</v>
      </c>
      <c r="G257" s="27" t="inlineStr">
        <is>
          <t>-</t>
        </is>
      </c>
      <c r="H257" s="50">
        <f>F257</f>
        <v/>
      </c>
      <c r="I257" s="51" t="n">
        <v>94.19</v>
      </c>
      <c r="J257" s="28">
        <f>H257*I257</f>
        <v/>
      </c>
      <c r="K257" s="52" t="inlineStr">
        <is>
          <t>GEÇMİŞ TEKLİF UYARLAMA</t>
        </is>
      </c>
      <c r="L257" s="7" t="inlineStr">
        <is>
          <t>REF-derin – KMM M/Uskom 2015 134.64; SAGE bina/YM 2018 101.34x1.2; Üçyol-Buca M/Siemens 2021 55.64x1.2; Üçyol-Buca M/Cesa(Honeywell) 2021 40.36x1.2 | Montaj aparatı+kutu; malzemeye +%20 montaj | sonuç 94.19 [Emsal ID: R02720;R03042;R02074;R01983]</t>
        </is>
      </c>
      <c r="M257" s="7" t="inlineStr">
        <is>
          <t>İlk tahmin BF 45.00</t>
        </is>
      </c>
    </row>
    <row r="258" outlineLevel="1">
      <c r="A258" s="27" t="n"/>
      <c r="B258" s="27" t="inlineStr">
        <is>
          <t>4010.B</t>
        </is>
      </c>
      <c r="C258" s="7" t="inlineStr">
        <is>
          <t>APP adaptör/güç panosu (CCTV)</t>
        </is>
      </c>
      <c r="D258" s="27" t="inlineStr">
        <is>
          <t>adet</t>
        </is>
      </c>
      <c r="E258" s="50" t="n">
        <v>1</v>
      </c>
      <c r="F258" s="50" t="n">
        <v>1</v>
      </c>
      <c r="G258" s="27" t="inlineStr">
        <is>
          <t>-</t>
        </is>
      </c>
      <c r="H258" s="50">
        <f>F258</f>
        <v/>
      </c>
      <c r="I258" s="51" t="n">
        <v>2813.16</v>
      </c>
      <c r="J258" s="28">
        <f>H258*I258</f>
        <v/>
      </c>
      <c r="K258" s="52" t="inlineStr">
        <is>
          <t>GEÇMİŞ TEKLİF UYARLAMA</t>
        </is>
      </c>
      <c r="L258" s="7" t="inlineStr">
        <is>
          <t>REF-derin(1) – Yerköy-Sivas YHT bina/YM 2019 2126.32 | Yedekli IP kamera güç kaynağı (M+İ) tek emsal; mevcut 3.500 ile ortalama | emsal 2126.32, ort.(3500+2126.32)/2 [Emsal ID: R01214]</t>
        </is>
      </c>
      <c r="M258" s="7" t="inlineStr">
        <is>
          <t>Ref n=1 (17.317) aşırı; CCTV güç panosu | İlk tahmin BF 3,500.00</t>
        </is>
      </c>
    </row>
    <row r="259">
      <c r="A259" s="48" t="inlineStr">
        <is>
          <t>273</t>
        </is>
      </c>
      <c r="B259" s="48" t="inlineStr">
        <is>
          <t>4010.C</t>
        </is>
      </c>
      <c r="C259" s="48" t="inlineStr">
        <is>
          <t>Balıklıgöl İstasyonu Kapalı Devre Televizyon Sistemi (CCTV) (1 set)</t>
        </is>
      </c>
      <c r="D259" s="48" t="n"/>
      <c r="E259" s="48" t="n"/>
      <c r="F259" s="48" t="n"/>
      <c r="G259" s="48" t="n"/>
      <c r="H259" s="48" t="inlineStr">
        <is>
          <t>RFQ tutarı →</t>
        </is>
      </c>
      <c r="I259" s="49">
        <f>SUMPRODUCT(E260:E265,I260:I265)</f>
        <v/>
      </c>
      <c r="J259" s="49">
        <f>SUM(J260:J265)</f>
        <v/>
      </c>
      <c r="K259" s="48" t="n"/>
      <c r="L259" s="48" t="n"/>
      <c r="M259" s="48" t="n"/>
    </row>
    <row r="260" outlineLevel="1">
      <c r="A260" s="27" t="n"/>
      <c r="B260" s="27" t="inlineStr">
        <is>
          <t>4010.C</t>
        </is>
      </c>
      <c r="C260" s="7" t="inlineStr">
        <is>
          <t>IP sabit dome kamera 3 MP, H.265, PoE, IK10/IP66</t>
        </is>
      </c>
      <c r="D260" s="27" t="inlineStr">
        <is>
          <t>adet</t>
        </is>
      </c>
      <c r="E260" s="50" t="n">
        <v>10</v>
      </c>
      <c r="F260" s="50" t="n">
        <v>10</v>
      </c>
      <c r="G260" s="27" t="inlineStr">
        <is>
          <t>%30</t>
        </is>
      </c>
      <c r="H260" s="50">
        <f>F260/IF(Varsayimlar!$B$21=1,1.3,1)</f>
        <v/>
      </c>
      <c r="I260" s="51" t="n">
        <v>508.65</v>
      </c>
      <c r="J260" s="28">
        <f>H260*I260</f>
        <v/>
      </c>
      <c r="K260" s="52" t="inlineStr">
        <is>
          <t>GEÇMİŞ TEKLİF UYARLAMA</t>
        </is>
      </c>
      <c r="L260" s="7" t="inlineStr">
        <is>
          <t>REF-derin – Üçyol-Buca M/Siemens 2021 465.06x1.15; Üçyol-Buca M/Huawei 2021 472.06x1.15; Narlıdere M/Uskom 2018 482.47; KMM M/Entek 2015 298.86x0.9775 | IP dome 3-5 MP; malzemeye +%15 montaj/ayar; 2015 x0,85 (elektronik) | sonuç 508.65 [Emsal ID: R02077;R01924;R01784;R02795]</t>
        </is>
      </c>
      <c r="M260" s="7" t="inlineStr">
        <is>
          <t>İlk tahmin BF 380.00</t>
        </is>
      </c>
    </row>
    <row r="261" outlineLevel="1">
      <c r="A261" s="27" t="n"/>
      <c r="B261" s="27" t="inlineStr">
        <is>
          <t>4010.C</t>
        </is>
      </c>
      <c r="C261" s="7" t="inlineStr">
        <is>
          <t>IP harici sabit (bullet) kamera 3 MP, H.265, PoE, IP66</t>
        </is>
      </c>
      <c r="D261" s="27" t="inlineStr">
        <is>
          <t>adet</t>
        </is>
      </c>
      <c r="E261" s="50" t="n">
        <v>4</v>
      </c>
      <c r="F261" s="50" t="n">
        <v>4</v>
      </c>
      <c r="G261" s="27" t="inlineStr">
        <is>
          <t>%30</t>
        </is>
      </c>
      <c r="H261" s="50">
        <f>F261/IF(Varsayimlar!$B$21=1,1.3,1)</f>
        <v/>
      </c>
      <c r="I261" s="51" t="n">
        <v>770.87</v>
      </c>
      <c r="J261" s="28">
        <f>H261*I261</f>
        <v/>
      </c>
      <c r="K261" s="52" t="inlineStr">
        <is>
          <t>GEÇMİŞ TEKLİF UYARLAMA</t>
        </is>
      </c>
      <c r="L261" s="7" t="inlineStr">
        <is>
          <t>REF-derin – Üçyol-Buca M/Siemens 2021 533.17x1.15; Yerköy-Sivas YHT bina/YM 2019 928.60 | Harici sabit IP kamera; malzemeye +%15; SAGE bina 2MP iç bütçe (980) dışarıda | sonuç 770.87 [Emsal ID: R02076;R01206]</t>
        </is>
      </c>
      <c r="M261" s="7" t="inlineStr">
        <is>
          <t>BF 1389 yüksek; medyan 576/çapa | İlk tahmin BF 550.00</t>
        </is>
      </c>
    </row>
    <row r="262" outlineLevel="1">
      <c r="A262" s="27" t="n"/>
      <c r="B262" s="27" t="inlineStr">
        <is>
          <t>4010.C</t>
        </is>
      </c>
      <c r="C262" s="7" t="inlineStr">
        <is>
          <t>CAT6 (S/FTP, dış ortam/HFFR) kamera data kablosu</t>
        </is>
      </c>
      <c r="D262" s="27" t="inlineStr">
        <is>
          <t>m</t>
        </is>
      </c>
      <c r="E262" s="50" t="n">
        <v>751</v>
      </c>
      <c r="F262" s="50" t="n">
        <v>751</v>
      </c>
      <c r="G262" s="27" t="inlineStr">
        <is>
          <t>fire+%30</t>
        </is>
      </c>
      <c r="H262" s="50">
        <f>F262/IF(Varsayimlar!$B$21=1,1.43,1)</f>
        <v/>
      </c>
      <c r="I262" s="51" t="n">
        <v>2.48</v>
      </c>
      <c r="J262" s="28">
        <f>H262*I262</f>
        <v/>
      </c>
      <c r="K262" s="52" t="inlineStr">
        <is>
          <t>GEÇMİŞ TEKLİF UYARLAMA</t>
        </is>
      </c>
      <c r="L262" s="7" t="inlineStr">
        <is>
          <t>REF-derin – Pendik-Kaynarca M/YM 2022 2.45x1.3; SAGE bina/YM 2018 2.48; Üçyol-Buca M/Nokia/ALE 2021 1.40x1.3 | Ekranlı/LS0H-FE180 CAT6-7; malzemeye +%30 çekim | sonuç 2.48 [Emsal ID: R02987;R02994;R02238]</t>
        </is>
      </c>
      <c r="M262" s="7" t="inlineStr">
        <is>
          <t>İlk tahmin BF 1.50</t>
        </is>
      </c>
    </row>
    <row r="263" outlineLevel="1">
      <c r="A263" s="27" t="n"/>
      <c r="B263" s="27" t="inlineStr">
        <is>
          <t>4010.C</t>
        </is>
      </c>
      <c r="C263" s="7" t="inlineStr">
        <is>
          <t>Kamera güç kablosu 3x2,5 mm² N2XH/NYY (APP panosundan)</t>
        </is>
      </c>
      <c r="D263" s="27" t="inlineStr">
        <is>
          <t>m</t>
        </is>
      </c>
      <c r="E263" s="50" t="n">
        <v>225</v>
      </c>
      <c r="F263" s="50" t="n">
        <v>225</v>
      </c>
      <c r="G263" s="27" t="inlineStr">
        <is>
          <t>-</t>
        </is>
      </c>
      <c r="H263" s="50">
        <f>F263</f>
        <v/>
      </c>
      <c r="I263" s="51" t="n">
        <v>1.84</v>
      </c>
      <c r="J263" s="28">
        <f>H263*I263</f>
        <v/>
      </c>
      <c r="K263" s="52" t="inlineStr">
        <is>
          <t>GEÇMİŞ TEKLİF UYARLAMA</t>
        </is>
      </c>
      <c r="L263" s="7" t="inlineStr">
        <is>
          <t>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is>
      </c>
      <c r="M263" s="7" t="inlineStr">
        <is>
          <t>İlk tahmin BF 2.80</t>
        </is>
      </c>
    </row>
    <row r="264" outlineLevel="1">
      <c r="A264" s="27" t="n"/>
      <c r="B264" s="27" t="inlineStr">
        <is>
          <t>4010.C</t>
        </is>
      </c>
      <c r="C264" s="7" t="inlineStr">
        <is>
          <t>Kamera montaj aparatı (duvar/tavan/direk), bağlantı kutusu, esnek zırhlı konduit</t>
        </is>
      </c>
      <c r="D264" s="27" t="inlineStr">
        <is>
          <t>set</t>
        </is>
      </c>
      <c r="E264" s="50" t="n">
        <v>10</v>
      </c>
      <c r="F264" s="50" t="n">
        <v>10</v>
      </c>
      <c r="G264" s="27" t="inlineStr">
        <is>
          <t>-</t>
        </is>
      </c>
      <c r="H264" s="50">
        <f>F264</f>
        <v/>
      </c>
      <c r="I264" s="51" t="n">
        <v>94.19</v>
      </c>
      <c r="J264" s="28">
        <f>H264*I264</f>
        <v/>
      </c>
      <c r="K264" s="52" t="inlineStr">
        <is>
          <t>GEÇMİŞ TEKLİF UYARLAMA</t>
        </is>
      </c>
      <c r="L264" s="7" t="inlineStr">
        <is>
          <t>REF-derin – KMM M/Uskom 2015 134.64; SAGE bina/YM 2018 101.34x1.2; Üçyol-Buca M/Siemens 2021 55.64x1.2; Üçyol-Buca M/Cesa(Honeywell) 2021 40.36x1.2 | Montaj aparatı+kutu; malzemeye +%20 montaj | sonuç 94.19 [Emsal ID: R02720;R03042;R02074;R01983]</t>
        </is>
      </c>
      <c r="M264" s="7" t="inlineStr">
        <is>
          <t>İlk tahmin BF 45.00</t>
        </is>
      </c>
    </row>
    <row r="265" outlineLevel="1">
      <c r="A265" s="27" t="n"/>
      <c r="B265" s="27" t="inlineStr">
        <is>
          <t>4010.C</t>
        </is>
      </c>
      <c r="C265" s="7" t="inlineStr">
        <is>
          <t>APP adaptör/güç panosu (CCTV)</t>
        </is>
      </c>
      <c r="D265" s="27" t="inlineStr">
        <is>
          <t>adet</t>
        </is>
      </c>
      <c r="E265" s="50" t="n">
        <v>1</v>
      </c>
      <c r="F265" s="50" t="n">
        <v>1</v>
      </c>
      <c r="G265" s="27" t="inlineStr">
        <is>
          <t>-</t>
        </is>
      </c>
      <c r="H265" s="50">
        <f>F265</f>
        <v/>
      </c>
      <c r="I265" s="51" t="n">
        <v>2813.16</v>
      </c>
      <c r="J265" s="28">
        <f>H265*I265</f>
        <v/>
      </c>
      <c r="K265" s="52" t="inlineStr">
        <is>
          <t>GEÇMİŞ TEKLİF UYARLAMA</t>
        </is>
      </c>
      <c r="L265" s="7" t="inlineStr">
        <is>
          <t>REF-derin(1) – Yerköy-Sivas YHT bina/YM 2019 2126.32 | Yedekli IP kamera güç kaynağı (M+İ) tek emsal; mevcut 3.500 ile ortalama | emsal 2126.32, ort.(3500+2126.32)/2 [Emsal ID: R01214]</t>
        </is>
      </c>
      <c r="M265" s="7" t="inlineStr">
        <is>
          <t>Ref n=1 (17.317) aşırı; CCTV güç panosu | İlk tahmin BF 3,500.00</t>
        </is>
      </c>
    </row>
    <row r="266">
      <c r="A266" s="48" t="inlineStr">
        <is>
          <t>274</t>
        </is>
      </c>
      <c r="B266" s="48" t="inlineStr">
        <is>
          <t>4010.D</t>
        </is>
      </c>
      <c r="C266" s="48" t="inlineStr">
        <is>
          <t>Eyüp Peygamber İstasyonu Kapalı Devre Televizyon Sistemi (CCTV) (1 set)</t>
        </is>
      </c>
      <c r="D266" s="48" t="n"/>
      <c r="E266" s="48" t="n"/>
      <c r="F266" s="48" t="n"/>
      <c r="G266" s="48" t="n"/>
      <c r="H266" s="48" t="inlineStr">
        <is>
          <t>RFQ tutarı →</t>
        </is>
      </c>
      <c r="I266" s="49">
        <f>SUMPRODUCT(E267:E272,I267:I272)</f>
        <v/>
      </c>
      <c r="J266" s="49">
        <f>SUM(J267:J272)</f>
        <v/>
      </c>
      <c r="K266" s="48" t="n"/>
      <c r="L266" s="48" t="n"/>
      <c r="M266" s="48" t="n"/>
    </row>
    <row r="267" outlineLevel="1">
      <c r="A267" s="27" t="n"/>
      <c r="B267" s="27" t="inlineStr">
        <is>
          <t>4010.D</t>
        </is>
      </c>
      <c r="C267" s="7" t="inlineStr">
        <is>
          <t>IP sabit dome kamera 3 MP, H.265, PoE, IK10/IP66</t>
        </is>
      </c>
      <c r="D267" s="27" t="inlineStr">
        <is>
          <t>adet</t>
        </is>
      </c>
      <c r="E267" s="50" t="n">
        <v>10</v>
      </c>
      <c r="F267" s="50" t="n">
        <v>10</v>
      </c>
      <c r="G267" s="27" t="inlineStr">
        <is>
          <t>%30</t>
        </is>
      </c>
      <c r="H267" s="50">
        <f>F267/IF(Varsayimlar!$B$21=1,1.3,1)</f>
        <v/>
      </c>
      <c r="I267" s="51" t="n">
        <v>508.65</v>
      </c>
      <c r="J267" s="28">
        <f>H267*I267</f>
        <v/>
      </c>
      <c r="K267" s="52" t="inlineStr">
        <is>
          <t>GEÇMİŞ TEKLİF UYARLAMA</t>
        </is>
      </c>
      <c r="L267" s="7" t="inlineStr">
        <is>
          <t>REF-derin – Üçyol-Buca M/Siemens 2021 465.06x1.15; Üçyol-Buca M/Huawei 2021 472.06x1.15; Narlıdere M/Uskom 2018 482.47; KMM M/Entek 2015 298.86x0.9775 | IP dome 3-5 MP; malzemeye +%15 montaj/ayar; 2015 x0,85 (elektronik) | sonuç 508.65 [Emsal ID: R02077;R01924;R01784;R02795]</t>
        </is>
      </c>
      <c r="M267" s="7" t="inlineStr">
        <is>
          <t>İlk tahmin BF 380.00</t>
        </is>
      </c>
    </row>
    <row r="268" outlineLevel="1">
      <c r="A268" s="27" t="n"/>
      <c r="B268" s="27" t="inlineStr">
        <is>
          <t>4010.D</t>
        </is>
      </c>
      <c r="C268" s="7" t="inlineStr">
        <is>
          <t>IP harici sabit (bullet) kamera 3 MP, H.265, PoE, IP66</t>
        </is>
      </c>
      <c r="D268" s="27" t="inlineStr">
        <is>
          <t>adet</t>
        </is>
      </c>
      <c r="E268" s="50" t="n">
        <v>4</v>
      </c>
      <c r="F268" s="50" t="n">
        <v>4</v>
      </c>
      <c r="G268" s="27" t="inlineStr">
        <is>
          <t>%30</t>
        </is>
      </c>
      <c r="H268" s="50">
        <f>F268/IF(Varsayimlar!$B$21=1,1.3,1)</f>
        <v/>
      </c>
      <c r="I268" s="51" t="n">
        <v>770.87</v>
      </c>
      <c r="J268" s="28">
        <f>H268*I268</f>
        <v/>
      </c>
      <c r="K268" s="52" t="inlineStr">
        <is>
          <t>GEÇMİŞ TEKLİF UYARLAMA</t>
        </is>
      </c>
      <c r="L268" s="7" t="inlineStr">
        <is>
          <t>REF-derin – Üçyol-Buca M/Siemens 2021 533.17x1.15; Yerköy-Sivas YHT bina/YM 2019 928.60 | Harici sabit IP kamera; malzemeye +%15; SAGE bina 2MP iç bütçe (980) dışarıda | sonuç 770.87 [Emsal ID: R02076;R01206]</t>
        </is>
      </c>
      <c r="M268" s="7" t="inlineStr">
        <is>
          <t>BF 1389 yüksek; medyan 576/çapa | İlk tahmin BF 550.00</t>
        </is>
      </c>
    </row>
    <row r="269" outlineLevel="1">
      <c r="A269" s="27" t="n"/>
      <c r="B269" s="27" t="inlineStr">
        <is>
          <t>4010.D</t>
        </is>
      </c>
      <c r="C269" s="7" t="inlineStr">
        <is>
          <t>CAT6 (S/FTP, dış ortam/HFFR) kamera data kablosu</t>
        </is>
      </c>
      <c r="D269" s="27" t="inlineStr">
        <is>
          <t>m</t>
        </is>
      </c>
      <c r="E269" s="50" t="n">
        <v>751</v>
      </c>
      <c r="F269" s="50" t="n">
        <v>751</v>
      </c>
      <c r="G269" s="27" t="inlineStr">
        <is>
          <t>fire+%30</t>
        </is>
      </c>
      <c r="H269" s="50">
        <f>F269/IF(Varsayimlar!$B$21=1,1.43,1)</f>
        <v/>
      </c>
      <c r="I269" s="51" t="n">
        <v>2.48</v>
      </c>
      <c r="J269" s="28">
        <f>H269*I269</f>
        <v/>
      </c>
      <c r="K269" s="52" t="inlineStr">
        <is>
          <t>GEÇMİŞ TEKLİF UYARLAMA</t>
        </is>
      </c>
      <c r="L269" s="7" t="inlineStr">
        <is>
          <t>REF-derin – Pendik-Kaynarca M/YM 2022 2.45x1.3; SAGE bina/YM 2018 2.48; Üçyol-Buca M/Nokia/ALE 2021 1.40x1.3 | Ekranlı/LS0H-FE180 CAT6-7; malzemeye +%30 çekim | sonuç 2.48 [Emsal ID: R02987;R02994;R02238]</t>
        </is>
      </c>
      <c r="M269" s="7" t="inlineStr">
        <is>
          <t>İlk tahmin BF 1.50</t>
        </is>
      </c>
    </row>
    <row r="270" outlineLevel="1">
      <c r="A270" s="27" t="n"/>
      <c r="B270" s="27" t="inlineStr">
        <is>
          <t>4010.D</t>
        </is>
      </c>
      <c r="C270" s="7" t="inlineStr">
        <is>
          <t>Kamera güç kablosu 3x2,5 mm² N2XH/NYY (APP panosundan)</t>
        </is>
      </c>
      <c r="D270" s="27" t="inlineStr">
        <is>
          <t>m</t>
        </is>
      </c>
      <c r="E270" s="50" t="n">
        <v>225</v>
      </c>
      <c r="F270" s="50" t="n">
        <v>225</v>
      </c>
      <c r="G270" s="27" t="inlineStr">
        <is>
          <t>-</t>
        </is>
      </c>
      <c r="H270" s="50">
        <f>F270</f>
        <v/>
      </c>
      <c r="I270" s="51" t="n">
        <v>1.84</v>
      </c>
      <c r="J270" s="28">
        <f>H270*I270</f>
        <v/>
      </c>
      <c r="K270" s="52" t="inlineStr">
        <is>
          <t>GEÇMİŞ TEKLİF UYARLAMA</t>
        </is>
      </c>
      <c r="L270" s="7" t="inlineStr">
        <is>
          <t>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is>
      </c>
      <c r="M270" s="7" t="inlineStr">
        <is>
          <t>İlk tahmin BF 2.80</t>
        </is>
      </c>
    </row>
    <row r="271" outlineLevel="1">
      <c r="A271" s="27" t="n"/>
      <c r="B271" s="27" t="inlineStr">
        <is>
          <t>4010.D</t>
        </is>
      </c>
      <c r="C271" s="7" t="inlineStr">
        <is>
          <t>Kamera montaj aparatı (duvar/tavan/direk), bağlantı kutusu, esnek zırhlı konduit</t>
        </is>
      </c>
      <c r="D271" s="27" t="inlineStr">
        <is>
          <t>set</t>
        </is>
      </c>
      <c r="E271" s="50" t="n">
        <v>10</v>
      </c>
      <c r="F271" s="50" t="n">
        <v>10</v>
      </c>
      <c r="G271" s="27" t="inlineStr">
        <is>
          <t>-</t>
        </is>
      </c>
      <c r="H271" s="50">
        <f>F271</f>
        <v/>
      </c>
      <c r="I271" s="51" t="n">
        <v>94.19</v>
      </c>
      <c r="J271" s="28">
        <f>H271*I271</f>
        <v/>
      </c>
      <c r="K271" s="52" t="inlineStr">
        <is>
          <t>GEÇMİŞ TEKLİF UYARLAMA</t>
        </is>
      </c>
      <c r="L271" s="7" t="inlineStr">
        <is>
          <t>REF-derin – KMM M/Uskom 2015 134.64; SAGE bina/YM 2018 101.34x1.2; Üçyol-Buca M/Siemens 2021 55.64x1.2; Üçyol-Buca M/Cesa(Honeywell) 2021 40.36x1.2 | Montaj aparatı+kutu; malzemeye +%20 montaj | sonuç 94.19 [Emsal ID: R02720;R03042;R02074;R01983]</t>
        </is>
      </c>
      <c r="M271" s="7" t="inlineStr">
        <is>
          <t>İlk tahmin BF 45.00</t>
        </is>
      </c>
    </row>
    <row r="272" outlineLevel="1">
      <c r="A272" s="27" t="n"/>
      <c r="B272" s="27" t="inlineStr">
        <is>
          <t>4010.D</t>
        </is>
      </c>
      <c r="C272" s="7" t="inlineStr">
        <is>
          <t>APP adaptör/güç panosu (CCTV)</t>
        </is>
      </c>
      <c r="D272" s="27" t="inlineStr">
        <is>
          <t>adet</t>
        </is>
      </c>
      <c r="E272" s="50" t="n">
        <v>1</v>
      </c>
      <c r="F272" s="50" t="n">
        <v>1</v>
      </c>
      <c r="G272" s="27" t="inlineStr">
        <is>
          <t>-</t>
        </is>
      </c>
      <c r="H272" s="50">
        <f>F272</f>
        <v/>
      </c>
      <c r="I272" s="51" t="n">
        <v>2813.16</v>
      </c>
      <c r="J272" s="28">
        <f>H272*I272</f>
        <v/>
      </c>
      <c r="K272" s="52" t="inlineStr">
        <is>
          <t>GEÇMİŞ TEKLİF UYARLAMA</t>
        </is>
      </c>
      <c r="L272" s="7" t="inlineStr">
        <is>
          <t>REF-derin(1) – Yerköy-Sivas YHT bina/YM 2019 2126.32 | Yedekli IP kamera güç kaynağı (M+İ) tek emsal; mevcut 3.500 ile ortalama | emsal 2126.32, ort.(3500+2126.32)/2 [Emsal ID: R01214]</t>
        </is>
      </c>
      <c r="M272" s="7" t="inlineStr">
        <is>
          <t>Ref n=1 (17.317) aşırı; CCTV güç panosu | İlk tahmin BF 3,500.00</t>
        </is>
      </c>
    </row>
    <row r="273">
      <c r="A273" s="48" t="inlineStr">
        <is>
          <t>275</t>
        </is>
      </c>
      <c r="B273" s="48" t="inlineStr">
        <is>
          <t>4010.E</t>
        </is>
      </c>
      <c r="C273" s="48" t="inlineStr">
        <is>
          <t>Rasathane İstasyonu Kapalı Devre Televizyon Sistemi (CCTV) (1 set)</t>
        </is>
      </c>
      <c r="D273" s="48" t="n"/>
      <c r="E273" s="48" t="n"/>
      <c r="F273" s="48" t="n"/>
      <c r="G273" s="48" t="n"/>
      <c r="H273" s="48" t="inlineStr">
        <is>
          <t>RFQ tutarı →</t>
        </is>
      </c>
      <c r="I273" s="49">
        <f>SUMPRODUCT(E274:E279,I274:I279)</f>
        <v/>
      </c>
      <c r="J273" s="49">
        <f>SUM(J274:J279)</f>
        <v/>
      </c>
      <c r="K273" s="48" t="n"/>
      <c r="L273" s="48" t="n"/>
      <c r="M273" s="48" t="n"/>
    </row>
    <row r="274" outlineLevel="1">
      <c r="A274" s="27" t="n"/>
      <c r="B274" s="27" t="inlineStr">
        <is>
          <t>4010.E</t>
        </is>
      </c>
      <c r="C274" s="7" t="inlineStr">
        <is>
          <t>IP sabit dome kamera 3 MP, H.265, PoE, IK10/IP66</t>
        </is>
      </c>
      <c r="D274" s="27" t="inlineStr">
        <is>
          <t>adet</t>
        </is>
      </c>
      <c r="E274" s="50" t="n">
        <v>10</v>
      </c>
      <c r="F274" s="50" t="n">
        <v>10</v>
      </c>
      <c r="G274" s="27" t="inlineStr">
        <is>
          <t>%30</t>
        </is>
      </c>
      <c r="H274" s="50">
        <f>F274/IF(Varsayimlar!$B$21=1,1.3,1)</f>
        <v/>
      </c>
      <c r="I274" s="51" t="n">
        <v>508.65</v>
      </c>
      <c r="J274" s="28">
        <f>H274*I274</f>
        <v/>
      </c>
      <c r="K274" s="52" t="inlineStr">
        <is>
          <t>GEÇMİŞ TEKLİF UYARLAMA</t>
        </is>
      </c>
      <c r="L274" s="7" t="inlineStr">
        <is>
          <t>REF-derin – Üçyol-Buca M/Siemens 2021 465.06x1.15; Üçyol-Buca M/Huawei 2021 472.06x1.15; Narlıdere M/Uskom 2018 482.47; KMM M/Entek 2015 298.86x0.9775 | IP dome 3-5 MP; malzemeye +%15 montaj/ayar; 2015 x0,85 (elektronik) | sonuç 508.65 [Emsal ID: R02077;R01924;R01784;R02795]</t>
        </is>
      </c>
      <c r="M274" s="7" t="inlineStr">
        <is>
          <t>İlk tahmin BF 380.00</t>
        </is>
      </c>
    </row>
    <row r="275" outlineLevel="1">
      <c r="A275" s="27" t="n"/>
      <c r="B275" s="27" t="inlineStr">
        <is>
          <t>4010.E</t>
        </is>
      </c>
      <c r="C275" s="7" t="inlineStr">
        <is>
          <t>IP harici sabit (bullet) kamera 3 MP, H.265, PoE, IP66</t>
        </is>
      </c>
      <c r="D275" s="27" t="inlineStr">
        <is>
          <t>adet</t>
        </is>
      </c>
      <c r="E275" s="50" t="n">
        <v>4</v>
      </c>
      <c r="F275" s="50" t="n">
        <v>4</v>
      </c>
      <c r="G275" s="27" t="inlineStr">
        <is>
          <t>%30</t>
        </is>
      </c>
      <c r="H275" s="50">
        <f>F275/IF(Varsayimlar!$B$21=1,1.3,1)</f>
        <v/>
      </c>
      <c r="I275" s="51" t="n">
        <v>770.87</v>
      </c>
      <c r="J275" s="28">
        <f>H275*I275</f>
        <v/>
      </c>
      <c r="K275" s="52" t="inlineStr">
        <is>
          <t>GEÇMİŞ TEKLİF UYARLAMA</t>
        </is>
      </c>
      <c r="L275" s="7" t="inlineStr">
        <is>
          <t>REF-derin – Üçyol-Buca M/Siemens 2021 533.17x1.15; Yerköy-Sivas YHT bina/YM 2019 928.60 | Harici sabit IP kamera; malzemeye +%15; SAGE bina 2MP iç bütçe (980) dışarıda | sonuç 770.87 [Emsal ID: R02076;R01206]</t>
        </is>
      </c>
      <c r="M275" s="7" t="inlineStr">
        <is>
          <t>BF 1389 yüksek; medyan 576/çapa | İlk tahmin BF 550.00</t>
        </is>
      </c>
    </row>
    <row r="276" outlineLevel="1">
      <c r="A276" s="27" t="n"/>
      <c r="B276" s="27" t="inlineStr">
        <is>
          <t>4010.E</t>
        </is>
      </c>
      <c r="C276" s="7" t="inlineStr">
        <is>
          <t>CAT6 (S/FTP, dış ortam/HFFR) kamera data kablosu</t>
        </is>
      </c>
      <c r="D276" s="27" t="inlineStr">
        <is>
          <t>m</t>
        </is>
      </c>
      <c r="E276" s="50" t="n">
        <v>751</v>
      </c>
      <c r="F276" s="50" t="n">
        <v>751</v>
      </c>
      <c r="G276" s="27" t="inlineStr">
        <is>
          <t>fire+%30</t>
        </is>
      </c>
      <c r="H276" s="50">
        <f>F276/IF(Varsayimlar!$B$21=1,1.43,1)</f>
        <v/>
      </c>
      <c r="I276" s="51" t="n">
        <v>2.48</v>
      </c>
      <c r="J276" s="28">
        <f>H276*I276</f>
        <v/>
      </c>
      <c r="K276" s="52" t="inlineStr">
        <is>
          <t>GEÇMİŞ TEKLİF UYARLAMA</t>
        </is>
      </c>
      <c r="L276" s="7" t="inlineStr">
        <is>
          <t>REF-derin – Pendik-Kaynarca M/YM 2022 2.45x1.3; SAGE bina/YM 2018 2.48; Üçyol-Buca M/Nokia/ALE 2021 1.40x1.3 | Ekranlı/LS0H-FE180 CAT6-7; malzemeye +%30 çekim | sonuç 2.48 [Emsal ID: R02987;R02994;R02238]</t>
        </is>
      </c>
      <c r="M276" s="7" t="inlineStr">
        <is>
          <t>İlk tahmin BF 1.50</t>
        </is>
      </c>
    </row>
    <row r="277" outlineLevel="1">
      <c r="A277" s="27" t="n"/>
      <c r="B277" s="27" t="inlineStr">
        <is>
          <t>4010.E</t>
        </is>
      </c>
      <c r="C277" s="7" t="inlineStr">
        <is>
          <t>Kamera güç kablosu 3x2,5 mm² N2XH/NYY (APP panosundan)</t>
        </is>
      </c>
      <c r="D277" s="27" t="inlineStr">
        <is>
          <t>m</t>
        </is>
      </c>
      <c r="E277" s="50" t="n">
        <v>225</v>
      </c>
      <c r="F277" s="50" t="n">
        <v>225</v>
      </c>
      <c r="G277" s="27" t="inlineStr">
        <is>
          <t>-</t>
        </is>
      </c>
      <c r="H277" s="50">
        <f>F277</f>
        <v/>
      </c>
      <c r="I277" s="51" t="n">
        <v>1.84</v>
      </c>
      <c r="J277" s="28">
        <f>H277*I277</f>
        <v/>
      </c>
      <c r="K277" s="52" t="inlineStr">
        <is>
          <t>GEÇMİŞ TEKLİF UYARLAMA</t>
        </is>
      </c>
      <c r="L277" s="7" t="inlineStr">
        <is>
          <t>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is>
      </c>
      <c r="M277" s="7" t="inlineStr">
        <is>
          <t>İlk tahmin BF 2.80</t>
        </is>
      </c>
    </row>
    <row r="278" outlineLevel="1">
      <c r="A278" s="27" t="n"/>
      <c r="B278" s="27" t="inlineStr">
        <is>
          <t>4010.E</t>
        </is>
      </c>
      <c r="C278" s="7" t="inlineStr">
        <is>
          <t>Kamera montaj aparatı (duvar/tavan/direk), bağlantı kutusu, esnek zırhlı konduit</t>
        </is>
      </c>
      <c r="D278" s="27" t="inlineStr">
        <is>
          <t>set</t>
        </is>
      </c>
      <c r="E278" s="50" t="n">
        <v>10</v>
      </c>
      <c r="F278" s="50" t="n">
        <v>10</v>
      </c>
      <c r="G278" s="27" t="inlineStr">
        <is>
          <t>-</t>
        </is>
      </c>
      <c r="H278" s="50">
        <f>F278</f>
        <v/>
      </c>
      <c r="I278" s="51" t="n">
        <v>94.19</v>
      </c>
      <c r="J278" s="28">
        <f>H278*I278</f>
        <v/>
      </c>
      <c r="K278" s="52" t="inlineStr">
        <is>
          <t>GEÇMİŞ TEKLİF UYARLAMA</t>
        </is>
      </c>
      <c r="L278" s="7" t="inlineStr">
        <is>
          <t>REF-derin – KMM M/Uskom 2015 134.64; SAGE bina/YM 2018 101.34x1.2; Üçyol-Buca M/Siemens 2021 55.64x1.2; Üçyol-Buca M/Cesa(Honeywell) 2021 40.36x1.2 | Montaj aparatı+kutu; malzemeye +%20 montaj | sonuç 94.19 [Emsal ID: R02720;R03042;R02074;R01983]</t>
        </is>
      </c>
      <c r="M278" s="7" t="inlineStr">
        <is>
          <t>İlk tahmin BF 45.00</t>
        </is>
      </c>
    </row>
    <row r="279" outlineLevel="1">
      <c r="A279" s="27" t="n"/>
      <c r="B279" s="27" t="inlineStr">
        <is>
          <t>4010.E</t>
        </is>
      </c>
      <c r="C279" s="7" t="inlineStr">
        <is>
          <t>APP adaptör/güç panosu (CCTV)</t>
        </is>
      </c>
      <c r="D279" s="27" t="inlineStr">
        <is>
          <t>adet</t>
        </is>
      </c>
      <c r="E279" s="50" t="n">
        <v>1</v>
      </c>
      <c r="F279" s="50" t="n">
        <v>1</v>
      </c>
      <c r="G279" s="27" t="inlineStr">
        <is>
          <t>-</t>
        </is>
      </c>
      <c r="H279" s="50">
        <f>F279</f>
        <v/>
      </c>
      <c r="I279" s="51" t="n">
        <v>2813.16</v>
      </c>
      <c r="J279" s="28">
        <f>H279*I279</f>
        <v/>
      </c>
      <c r="K279" s="52" t="inlineStr">
        <is>
          <t>GEÇMİŞ TEKLİF UYARLAMA</t>
        </is>
      </c>
      <c r="L279" s="7" t="inlineStr">
        <is>
          <t>REF-derin(1) – Yerköy-Sivas YHT bina/YM 2019 2126.32 | Yedekli IP kamera güç kaynağı (M+İ) tek emsal; mevcut 3.500 ile ortalama | emsal 2126.32, ort.(3500+2126.32)/2 [Emsal ID: R01214]</t>
        </is>
      </c>
      <c r="M279" s="7" t="inlineStr">
        <is>
          <t>Ref n=1 (17.317) aşırı; CCTV güç panosu | İlk tahmin BF 3,500.00</t>
        </is>
      </c>
    </row>
    <row r="280">
      <c r="A280" s="48" t="inlineStr">
        <is>
          <t>276</t>
        </is>
      </c>
      <c r="B280" s="48" t="inlineStr">
        <is>
          <t>4010.F</t>
        </is>
      </c>
      <c r="C280" s="48" t="inlineStr">
        <is>
          <t>Harran İstasyonu Kapalı Devre Televizyon Sistemi (CCTV) (1 set)</t>
        </is>
      </c>
      <c r="D280" s="48" t="n"/>
      <c r="E280" s="48" t="n"/>
      <c r="F280" s="48" t="n"/>
      <c r="G280" s="48" t="n"/>
      <c r="H280" s="48" t="inlineStr">
        <is>
          <t>RFQ tutarı →</t>
        </is>
      </c>
      <c r="I280" s="49">
        <f>SUMPRODUCT(E281:E286,I281:I286)</f>
        <v/>
      </c>
      <c r="J280" s="49">
        <f>SUM(J281:J286)</f>
        <v/>
      </c>
      <c r="K280" s="48" t="n"/>
      <c r="L280" s="48" t="n"/>
      <c r="M280" s="48" t="n"/>
    </row>
    <row r="281" outlineLevel="1">
      <c r="A281" s="27" t="n"/>
      <c r="B281" s="27" t="inlineStr">
        <is>
          <t>4010.F</t>
        </is>
      </c>
      <c r="C281" s="7" t="inlineStr">
        <is>
          <t>IP sabit dome kamera 3 MP, H.265, PoE, IK10/IP66</t>
        </is>
      </c>
      <c r="D281" s="27" t="inlineStr">
        <is>
          <t>adet</t>
        </is>
      </c>
      <c r="E281" s="50" t="n">
        <v>6</v>
      </c>
      <c r="F281" s="50" t="n">
        <v>6</v>
      </c>
      <c r="G281" s="27" t="inlineStr">
        <is>
          <t>%30</t>
        </is>
      </c>
      <c r="H281" s="50">
        <f>F281/IF(Varsayimlar!$B$21=1,1.3,1)</f>
        <v/>
      </c>
      <c r="I281" s="51" t="n">
        <v>508.65</v>
      </c>
      <c r="J281" s="28">
        <f>H281*I281</f>
        <v/>
      </c>
      <c r="K281" s="52" t="inlineStr">
        <is>
          <t>GEÇMİŞ TEKLİF UYARLAMA</t>
        </is>
      </c>
      <c r="L281" s="7" t="inlineStr">
        <is>
          <t>REF-derin – Üçyol-Buca M/Siemens 2021 465.06x1.15; Üçyol-Buca M/Huawei 2021 472.06x1.15; Narlıdere M/Uskom 2018 482.47; KMM M/Entek 2015 298.86x0.9775 | IP dome 3-5 MP; malzemeye +%15 montaj/ayar; 2015 x0,85 (elektronik) | sonuç 508.65 [Emsal ID: R02077;R01924;R01784;R02795]</t>
        </is>
      </c>
      <c r="M281" s="7" t="inlineStr">
        <is>
          <t>İlk tahmin BF 380.00</t>
        </is>
      </c>
    </row>
    <row r="282" outlineLevel="1">
      <c r="A282" s="27" t="n"/>
      <c r="B282" s="27" t="inlineStr">
        <is>
          <t>4010.F</t>
        </is>
      </c>
      <c r="C282" s="7" t="inlineStr">
        <is>
          <t>IP harici sabit (bullet) kamera 3 MP, H.265, PoE, IP66</t>
        </is>
      </c>
      <c r="D282" s="27" t="inlineStr">
        <is>
          <t>adet</t>
        </is>
      </c>
      <c r="E282" s="50" t="n">
        <v>3</v>
      </c>
      <c r="F282" s="50" t="n">
        <v>3</v>
      </c>
      <c r="G282" s="27" t="inlineStr">
        <is>
          <t>%30</t>
        </is>
      </c>
      <c r="H282" s="50">
        <f>F282/IF(Varsayimlar!$B$21=1,1.3,1)</f>
        <v/>
      </c>
      <c r="I282" s="51" t="n">
        <v>770.87</v>
      </c>
      <c r="J282" s="28">
        <f>H282*I282</f>
        <v/>
      </c>
      <c r="K282" s="52" t="inlineStr">
        <is>
          <t>GEÇMİŞ TEKLİF UYARLAMA</t>
        </is>
      </c>
      <c r="L282" s="7" t="inlineStr">
        <is>
          <t>REF-derin – Üçyol-Buca M/Siemens 2021 533.17x1.15; Yerköy-Sivas YHT bina/YM 2019 928.60 | Harici sabit IP kamera; malzemeye +%15; SAGE bina 2MP iç bütçe (980) dışarıda | sonuç 770.87 [Emsal ID: R02076;R01206]</t>
        </is>
      </c>
      <c r="M282" s="7" t="inlineStr">
        <is>
          <t>BF 1389 yüksek; medyan 576/çapa | İlk tahmin BF 550.00</t>
        </is>
      </c>
    </row>
    <row r="283" outlineLevel="1">
      <c r="A283" s="27" t="n"/>
      <c r="B283" s="27" t="inlineStr">
        <is>
          <t>4010.F</t>
        </is>
      </c>
      <c r="C283" s="7" t="inlineStr">
        <is>
          <t>CAT6 (S/FTP, dış ortam/HFFR) kamera data kablosu</t>
        </is>
      </c>
      <c r="D283" s="27" t="inlineStr">
        <is>
          <t>m</t>
        </is>
      </c>
      <c r="E283" s="50" t="n">
        <v>515</v>
      </c>
      <c r="F283" s="50" t="n">
        <v>515</v>
      </c>
      <c r="G283" s="27" t="inlineStr">
        <is>
          <t>fire+%30</t>
        </is>
      </c>
      <c r="H283" s="50">
        <f>F283/IF(Varsayimlar!$B$21=1,1.43,1)</f>
        <v/>
      </c>
      <c r="I283" s="51" t="n">
        <v>2.48</v>
      </c>
      <c r="J283" s="28">
        <f>H283*I283</f>
        <v/>
      </c>
      <c r="K283" s="52" t="inlineStr">
        <is>
          <t>GEÇMİŞ TEKLİF UYARLAMA</t>
        </is>
      </c>
      <c r="L283" s="7" t="inlineStr">
        <is>
          <t>REF-derin – Pendik-Kaynarca M/YM 2022 2.45x1.3; SAGE bina/YM 2018 2.48; Üçyol-Buca M/Nokia/ALE 2021 1.40x1.3 | Ekranlı/LS0H-FE180 CAT6-7; malzemeye +%30 çekim | sonuç 2.48 [Emsal ID: R02987;R02994;R02238]</t>
        </is>
      </c>
      <c r="M283" s="7" t="inlineStr">
        <is>
          <t>İlk tahmin BF 1.50</t>
        </is>
      </c>
    </row>
    <row r="284" outlineLevel="1">
      <c r="A284" s="27" t="n"/>
      <c r="B284" s="27" t="inlineStr">
        <is>
          <t>4010.F</t>
        </is>
      </c>
      <c r="C284" s="7" t="inlineStr">
        <is>
          <t>Kamera güç kablosu 3x2,5 mm² N2XH/NYY (APP panosundan)</t>
        </is>
      </c>
      <c r="D284" s="27" t="inlineStr">
        <is>
          <t>m</t>
        </is>
      </c>
      <c r="E284" s="50" t="n">
        <v>129</v>
      </c>
      <c r="F284" s="50" t="n">
        <v>129</v>
      </c>
      <c r="G284" s="27" t="inlineStr">
        <is>
          <t>-</t>
        </is>
      </c>
      <c r="H284" s="50">
        <f>F284</f>
        <v/>
      </c>
      <c r="I284" s="51" t="n">
        <v>1.84</v>
      </c>
      <c r="J284" s="28">
        <f>H284*I284</f>
        <v/>
      </c>
      <c r="K284" s="52" t="inlineStr">
        <is>
          <t>GEÇMİŞ TEKLİF UYARLAMA</t>
        </is>
      </c>
      <c r="L284" s="7" t="inlineStr">
        <is>
          <t>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is>
      </c>
      <c r="M284" s="7" t="inlineStr">
        <is>
          <t>İlk tahmin BF 2.80</t>
        </is>
      </c>
    </row>
    <row r="285" outlineLevel="1">
      <c r="A285" s="27" t="n"/>
      <c r="B285" s="27" t="inlineStr">
        <is>
          <t>4010.F</t>
        </is>
      </c>
      <c r="C285" s="7" t="inlineStr">
        <is>
          <t>Kamera montaj aparatı (duvar/tavan/direk), bağlantı kutusu, esnek zırhlı konduit</t>
        </is>
      </c>
      <c r="D285" s="27" t="inlineStr">
        <is>
          <t>set</t>
        </is>
      </c>
      <c r="E285" s="50" t="n">
        <v>6</v>
      </c>
      <c r="F285" s="50" t="n">
        <v>6</v>
      </c>
      <c r="G285" s="27" t="inlineStr">
        <is>
          <t>-</t>
        </is>
      </c>
      <c r="H285" s="50">
        <f>F285</f>
        <v/>
      </c>
      <c r="I285" s="51" t="n">
        <v>94.19</v>
      </c>
      <c r="J285" s="28">
        <f>H285*I285</f>
        <v/>
      </c>
      <c r="K285" s="52" t="inlineStr">
        <is>
          <t>GEÇMİŞ TEKLİF UYARLAMA</t>
        </is>
      </c>
      <c r="L285" s="7" t="inlineStr">
        <is>
          <t>REF-derin – KMM M/Uskom 2015 134.64; SAGE bina/YM 2018 101.34x1.2; Üçyol-Buca M/Siemens 2021 55.64x1.2; Üçyol-Buca M/Cesa(Honeywell) 2021 40.36x1.2 | Montaj aparatı+kutu; malzemeye +%20 montaj | sonuç 94.19 [Emsal ID: R02720;R03042;R02074;R01983]</t>
        </is>
      </c>
      <c r="M285" s="7" t="inlineStr">
        <is>
          <t>İlk tahmin BF 45.00</t>
        </is>
      </c>
    </row>
    <row r="286" outlineLevel="1">
      <c r="A286" s="27" t="n"/>
      <c r="B286" s="27" t="inlineStr">
        <is>
          <t>4010.F</t>
        </is>
      </c>
      <c r="C286" s="7" t="inlineStr">
        <is>
          <t>APP adaptör/güç panosu (CCTV)</t>
        </is>
      </c>
      <c r="D286" s="27" t="inlineStr">
        <is>
          <t>adet</t>
        </is>
      </c>
      <c r="E286" s="50" t="n">
        <v>1</v>
      </c>
      <c r="F286" s="50" t="n">
        <v>1</v>
      </c>
      <c r="G286" s="27" t="inlineStr">
        <is>
          <t>-</t>
        </is>
      </c>
      <c r="H286" s="50">
        <f>F286</f>
        <v/>
      </c>
      <c r="I286" s="51" t="n">
        <v>2813.16</v>
      </c>
      <c r="J286" s="28">
        <f>H286*I286</f>
        <v/>
      </c>
      <c r="K286" s="52" t="inlineStr">
        <is>
          <t>GEÇMİŞ TEKLİF UYARLAMA</t>
        </is>
      </c>
      <c r="L286" s="7" t="inlineStr">
        <is>
          <t>REF-derin(1) – Yerköy-Sivas YHT bina/YM 2019 2126.32 | Yedekli IP kamera güç kaynağı (M+İ) tek emsal; mevcut 3.500 ile ortalama | emsal 2126.32, ort.(3500+2126.32)/2 [Emsal ID: R01214]</t>
        </is>
      </c>
      <c r="M286" s="7" t="inlineStr">
        <is>
          <t>Ref n=1 (17.317) aşırı; CCTV güç panosu | İlk tahmin BF 3,500.00</t>
        </is>
      </c>
    </row>
    <row r="287">
      <c r="A287" s="48" t="inlineStr">
        <is>
          <t>277</t>
        </is>
      </c>
      <c r="B287" s="48" t="inlineStr">
        <is>
          <t>4010.G</t>
        </is>
      </c>
      <c r="C287" s="48" t="inlineStr">
        <is>
          <t>Depo Sahası ve Tesisleri Kapalı Devre Televizyon Sistemi (CCTV) (1 set)</t>
        </is>
      </c>
      <c r="D287" s="48" t="n"/>
      <c r="E287" s="48" t="n"/>
      <c r="F287" s="48" t="n"/>
      <c r="G287" s="48" t="n"/>
      <c r="H287" s="48" t="inlineStr">
        <is>
          <t>RFQ tutarı →</t>
        </is>
      </c>
      <c r="I287" s="49">
        <f>SUMPRODUCT(E288:E305,I288:I305)</f>
        <v/>
      </c>
      <c r="J287" s="49">
        <f>SUM(J288:J305)</f>
        <v/>
      </c>
      <c r="K287" s="48" t="n"/>
      <c r="L287" s="48" t="n"/>
      <c r="M287" s="48" t="n"/>
    </row>
    <row r="288" outlineLevel="1">
      <c r="A288" s="27" t="n"/>
      <c r="B288" s="27" t="inlineStr">
        <is>
          <t>4010.G</t>
        </is>
      </c>
      <c r="C288" s="7" t="inlineStr">
        <is>
          <t>IP dome kamera 3 MP PoE (D01 atölye/idari bina)</t>
        </is>
      </c>
      <c r="D288" s="27" t="inlineStr">
        <is>
          <t>adet</t>
        </is>
      </c>
      <c r="E288" s="50" t="n">
        <v>25</v>
      </c>
      <c r="F288" s="50" t="n">
        <v>25</v>
      </c>
      <c r="G288" s="27" t="inlineStr">
        <is>
          <t>%30</t>
        </is>
      </c>
      <c r="H288" s="50">
        <f>F288/IF(Varsayimlar!$B$21=1,1.3,1)</f>
        <v/>
      </c>
      <c r="I288" s="51" t="n">
        <v>482.5</v>
      </c>
      <c r="J288" s="28">
        <f>H288*I288</f>
        <v/>
      </c>
      <c r="K288" s="52" t="inlineStr">
        <is>
          <t>GEÇMİŞ TEKLİF UYARLAMA</t>
        </is>
      </c>
      <c r="L288" s="7" t="inlineStr">
        <is>
          <t>REF-derin – IP dome: Narlıdere Uskom 2018 3MP IR dome 482,5 € (M+İ); Buca Cesa 2021 2MP harici dome 348 (M)+%20=418; Siemens 2021 5MP dome 465+kol 33 (M)+%20=598 → medyan 482,5 € (mevcut 380 düşük) [Emsal ID: R01784;R01980;R02077;R02079]</t>
        </is>
      </c>
      <c r="M288" s="7" t="inlineStr">
        <is>
          <t>İlk tahmin BF 380.00</t>
        </is>
      </c>
    </row>
    <row r="289" outlineLevel="1">
      <c r="A289" s="27" t="n"/>
      <c r="B289" s="27" t="inlineStr">
        <is>
          <t>4010.G</t>
        </is>
      </c>
      <c r="C289" s="7" t="inlineStr">
        <is>
          <t>IP PTZ kamera harici tip PoE (D01)</t>
        </is>
      </c>
      <c r="D289" s="27" t="inlineStr">
        <is>
          <t>adet</t>
        </is>
      </c>
      <c r="E289" s="50" t="n">
        <v>3</v>
      </c>
      <c r="F289" s="50" t="n">
        <v>3</v>
      </c>
      <c r="G289" s="27" t="inlineStr">
        <is>
          <t>%30</t>
        </is>
      </c>
      <c r="H289" s="50">
        <f>F289/IF(Varsayimlar!$B$21=1,1.3,1)</f>
        <v/>
      </c>
      <c r="I289" s="51" t="n">
        <v>2180.18</v>
      </c>
      <c r="J289" s="28">
        <f>H289*I289</f>
        <v/>
      </c>
      <c r="K289" s="52" t="inlineStr">
        <is>
          <t>GEÇMİŞ TEKLİF UYARLAMA</t>
        </is>
      </c>
      <c r="L289" s="7" t="inlineStr">
        <is>
          <t>REF-derin – Üçyol-Buca M/Siemens 2021 1981.98x1.1; Bursa T2/Kocaeli Tr/Sekaray 2015 3275.50x0.85; Samsun LRT/Uskom 2008 1985.29x0.5 | Harici PTZ; malzemeye +%10; 2015 x0,85, 2008 analog x0,5 | sonuç 2180.18 [Emsal ID: R02073;R02812;R03224]</t>
        </is>
      </c>
      <c r="M289" s="7" t="inlineStr">
        <is>
          <t>İlk tahmin BF 1,600.00</t>
        </is>
      </c>
    </row>
    <row r="290" outlineLevel="1">
      <c r="A290" s="27" t="n"/>
      <c r="B290" s="27" t="inlineStr">
        <is>
          <t>4010.G</t>
        </is>
      </c>
      <c r="C290" s="7" t="inlineStr">
        <is>
          <t>CAT6H kamera kablosu (D01)</t>
        </is>
      </c>
      <c r="D290" s="27" t="inlineStr">
        <is>
          <t>m</t>
        </is>
      </c>
      <c r="E290" s="50" t="n">
        <v>1670</v>
      </c>
      <c r="F290" s="50" t="n">
        <v>1670</v>
      </c>
      <c r="G290" s="27" t="inlineStr">
        <is>
          <t>fire+%30</t>
        </is>
      </c>
      <c r="H290" s="50">
        <f>F290/IF(Varsayimlar!$B$21=1,1.43,1)</f>
        <v/>
      </c>
      <c r="I290" s="51" t="n">
        <v>1.82</v>
      </c>
      <c r="J290" s="28">
        <f>H290*I290</f>
        <v/>
      </c>
      <c r="K290" s="52" t="inlineStr">
        <is>
          <t>GEÇMİŞ TEKLİF UYARLAMA</t>
        </is>
      </c>
      <c r="L290" s="7" t="inlineStr">
        <is>
          <t>REF-derin – KMM M/Uskom 2015 1.44; SAGE bina/YM 2018 2.48; Üçyol-Buca M/Nokia/ALE 2021 1.40x1.3 | Bina içi CAT6 M+İ; malzeme emsaline +%30 çekim/sonlandırma | sonuç 1.82 [Emsal ID: R02786;R02994;R02238]</t>
        </is>
      </c>
      <c r="M290" s="7" t="inlineStr">
        <is>
          <t>İlk tahmin BF 1.10</t>
        </is>
      </c>
    </row>
    <row r="291" outlineLevel="1">
      <c r="A291" s="27" t="n"/>
      <c r="B291" s="27" t="inlineStr">
        <is>
          <t>4010.G</t>
        </is>
      </c>
      <c r="C291" s="7" t="inlineStr">
        <is>
          <t>Depo sahası açık alan sabit dome kamera IP65 (PTO sembolü, h:4,90 m)</t>
        </is>
      </c>
      <c r="D291" s="27" t="inlineStr">
        <is>
          <t>adet</t>
        </is>
      </c>
      <c r="E291" s="50" t="n">
        <v>104</v>
      </c>
      <c r="F291" s="50" t="n">
        <v>104</v>
      </c>
      <c r="G291" s="27" t="inlineStr">
        <is>
          <t>%30</t>
        </is>
      </c>
      <c r="H291" s="50">
        <f>F291/IF(Varsayimlar!$B$21=1,1.3,1)</f>
        <v/>
      </c>
      <c r="I291" s="51" t="n">
        <v>482.5</v>
      </c>
      <c r="J291" s="28">
        <f>H291*I291</f>
        <v/>
      </c>
      <c r="K291" s="52" t="inlineStr">
        <is>
          <t>GEÇMİŞ TEKLİF UYARLAMA</t>
        </is>
      </c>
      <c r="L291" s="7" t="inlineStr">
        <is>
          <t>REF-derin – IP dome: Narlıdere Uskom 2018 3MP IR dome 482,5 € (M+İ); Buca Cesa 2021 2MP harici dome 348 (M)+%20=418; Siemens 2021 5MP dome 465+kol 33 (M)+%20=598 → medyan 482,5 € (mevcut 380 düşük) [Emsal ID: R01784;R01980;R02077;R02079]</t>
        </is>
      </c>
      <c r="M291" s="7" t="inlineStr">
        <is>
          <t>İlk tahmin BF 380.00</t>
        </is>
      </c>
    </row>
    <row r="292" outlineLevel="1">
      <c r="A292" s="27" t="n"/>
      <c r="B292" s="27" t="inlineStr">
        <is>
          <t>4010.G</t>
        </is>
      </c>
      <c r="C292" s="7" t="inlineStr">
        <is>
          <t>Kamera direği 5 m (galvaniz, ankraj, 4 kamera konsollu)</t>
        </is>
      </c>
      <c r="D292" s="27" t="inlineStr">
        <is>
          <t>adet</t>
        </is>
      </c>
      <c r="E292" s="50" t="n">
        <v>21</v>
      </c>
      <c r="F292" s="50" t="n">
        <v>21</v>
      </c>
      <c r="G292" s="27" t="inlineStr">
        <is>
          <t>%30</t>
        </is>
      </c>
      <c r="H292" s="50">
        <f>F292/IF(Varsayimlar!$B$21=1,1.3,1)</f>
        <v/>
      </c>
      <c r="I292" s="51" t="n">
        <v>500</v>
      </c>
      <c r="J292" s="28">
        <f>H292*I292</f>
        <v/>
      </c>
      <c r="K292" s="52" t="inlineStr">
        <is>
          <t>GEÇMİŞ TEKLİF UYARLAMA</t>
        </is>
      </c>
      <c r="L292" s="7" t="inlineStr">
        <is>
          <t>REF-derin – Kamera direği: YM 2019 4 m Ø4" 179 €, SAGE 2018 236,5 €, YM 2019 montaj direği 243 € (M+İ) → medyan 236,5 ×1,25 (5 m) ×1,3 (4 konsol) ×1,3 (TL işçilik/çelik) → 500 € [Emsal ID: R01211;R03060;R01201]</t>
        </is>
      </c>
      <c r="M292" s="7" t="inlineStr">
        <is>
          <t>Galvaniz direk + ankraj | İlk tahmin BF 1,000.00</t>
        </is>
      </c>
    </row>
    <row r="293" outlineLevel="1">
      <c r="A293" s="27" t="n"/>
      <c r="B293" s="27" t="inlineStr">
        <is>
          <t>4010.G</t>
        </is>
      </c>
      <c r="C293" s="7" t="inlineStr">
        <is>
          <t>Saha dağıtım kutusu CTV-SDT/01-05 (IP66, endüstriyel PoE switch + ethernet F/O çevirici MCS)</t>
        </is>
      </c>
      <c r="D293" s="27" t="inlineStr">
        <is>
          <t>adet</t>
        </is>
      </c>
      <c r="E293" s="50" t="n">
        <v>5</v>
      </c>
      <c r="F293" s="50" t="n">
        <v>5</v>
      </c>
      <c r="G293" s="27" t="inlineStr">
        <is>
          <t>-</t>
        </is>
      </c>
      <c r="H293" s="50">
        <f>F293</f>
        <v/>
      </c>
      <c r="I293" s="51" t="n">
        <v>2250</v>
      </c>
      <c r="J293" s="28">
        <f>H293*I293</f>
        <v/>
      </c>
      <c r="K293" s="52" t="inlineStr">
        <is>
          <t>GEÇMİŞ TEKLİF UYARLAMA</t>
        </is>
      </c>
      <c r="L293" s="7" t="inlineStr">
        <is>
          <t>REF-derin(1) – Saha kutusu: ALE OS6465-P6 736+PSU 174 + YM F/O çevirici 89 + IP66 kutu ~400 ≈ 1.400 (M)+%20=1.700 € → mevcut 2.800 ile harmanlandı [Emsal ID: R02196;R02197;R01202;R03070]</t>
        </is>
      </c>
      <c r="M293" s="7" t="inlineStr">
        <is>
          <t>İlk tahmin BF 2,800.00</t>
        </is>
      </c>
    </row>
    <row r="294" outlineLevel="1">
      <c r="A294" s="27" t="n"/>
      <c r="B294" s="27" t="inlineStr">
        <is>
          <t>4010.G</t>
        </is>
      </c>
      <c r="C294" s="7" t="inlineStr">
        <is>
          <t>Direk kamera kutusu: ethernet F/O çevirici (MCS) + 4-5 port PoE switch</t>
        </is>
      </c>
      <c r="D294" s="27" t="inlineStr">
        <is>
          <t>adet</t>
        </is>
      </c>
      <c r="E294" s="50" t="n">
        <v>21</v>
      </c>
      <c r="F294" s="50" t="n">
        <v>21</v>
      </c>
      <c r="G294" s="27" t="inlineStr">
        <is>
          <t>%30</t>
        </is>
      </c>
      <c r="H294" s="50">
        <f>F294/IF(Varsayimlar!$B$21=1,1.3,1)</f>
        <v/>
      </c>
      <c r="I294" s="51" t="n">
        <v>908</v>
      </c>
      <c r="J294" s="28">
        <f>H294*I294</f>
        <v/>
      </c>
      <c r="K294" s="52" t="inlineStr">
        <is>
          <t>GEÇMİŞ TEKLİF UYARLAMA</t>
        </is>
      </c>
      <c r="L294" s="7" t="inlineStr">
        <is>
          <t>REF-derin – Kabataş Uskom 2015 5p PoE switch 447 € (M+İ) + YM 2019 F/O çevirici 89 € + SAGE 2018 saha kutusu 372 € = 908 € [Emsal ID: R02735;R01202;R03070]</t>
        </is>
      </c>
      <c r="M294" s="7" t="inlineStr">
        <is>
          <t>İlk tahmin BF 900.00</t>
        </is>
      </c>
    </row>
    <row r="295" outlineLevel="1">
      <c r="A295" s="27" t="n"/>
      <c r="B295" s="27" t="inlineStr">
        <is>
          <t>4010.G</t>
        </is>
      </c>
      <c r="C295" s="7" t="inlineStr">
        <is>
          <t>SM F/O kablo 4 core (SDT ← D01 ana hatlar + SDT → direkler)</t>
        </is>
      </c>
      <c r="D295" s="27" t="inlineStr">
        <is>
          <t>m</t>
        </is>
      </c>
      <c r="E295" s="50" t="n">
        <v>1521</v>
      </c>
      <c r="F295" s="50" t="n">
        <v>1521</v>
      </c>
      <c r="G295" s="27" t="inlineStr">
        <is>
          <t>fire+%30</t>
        </is>
      </c>
      <c r="H295" s="50">
        <f>F295/IF(Varsayimlar!$B$21=1,1.43,1)</f>
        <v/>
      </c>
      <c r="I295" s="51" t="n">
        <v>1.86</v>
      </c>
      <c r="J295" s="28">
        <f>H295*I295</f>
        <v/>
      </c>
      <c r="K295" s="52" t="inlineStr">
        <is>
          <t>GEÇMİŞ TEKLİF UYARLAMA</t>
        </is>
      </c>
      <c r="L295" s="7" t="inlineStr">
        <is>
          <t>REF-derin – Narlıdere M/Uskom 2018 1.63; Yerköy-Sivas YHT bina/YM 2019 2.08 | 4 damar FO, M+İ emsaller | sonuç 1.86 [Emsal ID: R01801;R01196]</t>
        </is>
      </c>
      <c r="M295" s="7" t="inlineStr">
        <is>
          <t>İlk tahmin BF 1.20</t>
        </is>
      </c>
    </row>
    <row r="296" outlineLevel="1">
      <c r="A296" s="27" t="n"/>
      <c r="B296" s="27" t="inlineStr">
        <is>
          <t>4010.G</t>
        </is>
      </c>
      <c r="C296" s="7" t="inlineStr">
        <is>
          <t>CAT6 STP/U-FTP LS0H dış ortam kamera kablosu (saha)</t>
        </is>
      </c>
      <c r="D296" s="27" t="inlineStr">
        <is>
          <t>m</t>
        </is>
      </c>
      <c r="E296" s="50" t="n">
        <v>1394</v>
      </c>
      <c r="F296" s="50" t="n">
        <v>1394</v>
      </c>
      <c r="G296" s="27" t="inlineStr">
        <is>
          <t>fire+%30</t>
        </is>
      </c>
      <c r="H296" s="50">
        <f>F296/IF(Varsayimlar!$B$21=1,1.43,1)</f>
        <v/>
      </c>
      <c r="I296" s="51" t="n">
        <v>2.48</v>
      </c>
      <c r="J296" s="28">
        <f>H296*I296</f>
        <v/>
      </c>
      <c r="K296" s="52" t="inlineStr">
        <is>
          <t>GEÇMİŞ TEKLİF UYARLAMA</t>
        </is>
      </c>
      <c r="L296" s="7" t="inlineStr">
        <is>
          <t>REF-derin – Pendik-Kaynarca M/YM 2022 2.45x1.3; SAGE bina/YM 2018 2.48; Üçyol-Buca M/Nokia/ALE 2021 1.40x1.3 | Ekranlı/LS0H-FE180 CAT6-7; malzemeye +%30 çekim | sonuç 2.48 [Emsal ID: R02987;R02994;R02238]</t>
        </is>
      </c>
      <c r="M296" s="7" t="inlineStr">
        <is>
          <t>İlk tahmin BF 1.40</t>
        </is>
      </c>
    </row>
    <row r="297" outlineLevel="1">
      <c r="A297" s="27" t="n"/>
      <c r="B297" s="27" t="inlineStr">
        <is>
          <t>4010.G</t>
        </is>
      </c>
      <c r="C297" s="7" t="inlineStr">
        <is>
          <t>Kamera enerji kablosu 3x2,5 NHXMH FE180 (saha)</t>
        </is>
      </c>
      <c r="D297" s="27" t="inlineStr">
        <is>
          <t>m</t>
        </is>
      </c>
      <c r="E297" s="50" t="n">
        <v>708</v>
      </c>
      <c r="F297" s="50" t="n">
        <v>708</v>
      </c>
      <c r="G297" s="27" t="inlineStr">
        <is>
          <t>fire+%30</t>
        </is>
      </c>
      <c r="H297" s="50">
        <f>F297/IF(Varsayimlar!$B$21=1,1.43,1)</f>
        <v/>
      </c>
      <c r="I297" s="51" t="n">
        <v>4.17</v>
      </c>
      <c r="J297" s="28">
        <f>H297*I297</f>
        <v/>
      </c>
      <c r="K297" s="52" t="inlineStr">
        <is>
          <t>GEÇMİŞ TEKLİF UYARLAMA</t>
        </is>
      </c>
      <c r="L297" s="7" t="inlineStr">
        <is>
          <t>REF-derin – Pendik-Kaynarca M/YM 2022 3.35x1.3; Başkentray/Desat 2012 3.32x1.2 | FE180 NHXMH; malzemeye +%30 çekim, 2012 emsale x1,2 bakır | sonuç 4.17 [Emsal ID: R02988;R00524]</t>
        </is>
      </c>
      <c r="M297" s="7" t="inlineStr">
        <is>
          <t>FE180 kablo | İlk tahmin BF 4.00</t>
        </is>
      </c>
    </row>
    <row r="298" outlineLevel="1">
      <c r="A298" s="27" t="n"/>
      <c r="B298" s="27" t="inlineStr">
        <is>
          <t>4010.G</t>
        </is>
      </c>
      <c r="C298" s="7" t="inlineStr">
        <is>
          <t>IP harici sabit kamera 3 MP (D03 vagon yıkama)</t>
        </is>
      </c>
      <c r="D298" s="27" t="inlineStr">
        <is>
          <t>adet</t>
        </is>
      </c>
      <c r="E298" s="50" t="n">
        <v>3</v>
      </c>
      <c r="F298" s="50" t="n">
        <v>3</v>
      </c>
      <c r="G298" s="27" t="inlineStr">
        <is>
          <t>%30</t>
        </is>
      </c>
      <c r="H298" s="50">
        <f>F298/IF(Varsayimlar!$B$21=1,1.3,1)</f>
        <v/>
      </c>
      <c r="I298" s="51" t="n">
        <v>770.87</v>
      </c>
      <c r="J298" s="28">
        <f>H298*I298</f>
        <v/>
      </c>
      <c r="K298" s="52" t="inlineStr">
        <is>
          <t>GEÇMİŞ TEKLİF UYARLAMA</t>
        </is>
      </c>
      <c r="L298" s="7" t="inlineStr">
        <is>
          <t>REF-derin – Üçyol-Buca M/Siemens 2021 533.17x1.15; Yerköy-Sivas YHT bina/YM 2019 928.60 | Harici sabit IP kamera; malzemeye +%15; SAGE bina 2MP iç bütçe (980) dışarıda | sonuç 770.87 [Emsal ID: R02076;R01206]</t>
        </is>
      </c>
      <c r="M298" s="7" t="inlineStr">
        <is>
          <t>İlk tahmin BF 550.00</t>
        </is>
      </c>
    </row>
    <row r="299" outlineLevel="1">
      <c r="A299" s="27" t="n"/>
      <c r="B299" s="27" t="inlineStr">
        <is>
          <t>4010.G</t>
        </is>
      </c>
      <c r="C299" s="7" t="inlineStr">
        <is>
          <t>CAT6 kamera kablosu (D03)</t>
        </is>
      </c>
      <c r="D299" s="27" t="inlineStr">
        <is>
          <t>m</t>
        </is>
      </c>
      <c r="E299" s="50" t="n">
        <v>72</v>
      </c>
      <c r="F299" s="50" t="n">
        <v>72</v>
      </c>
      <c r="G299" s="27" t="inlineStr">
        <is>
          <t>fire+%30</t>
        </is>
      </c>
      <c r="H299" s="50">
        <f>F299/IF(Varsayimlar!$B$21=1,1.43,1)</f>
        <v/>
      </c>
      <c r="I299" s="51" t="n">
        <v>1.82</v>
      </c>
      <c r="J299" s="28">
        <f>H299*I299</f>
        <v/>
      </c>
      <c r="K299" s="52" t="inlineStr">
        <is>
          <t>GEÇMİŞ TEKLİF UYARLAMA</t>
        </is>
      </c>
      <c r="L299" s="7" t="inlineStr">
        <is>
          <t>REF-derin – KMM M/Uskom 2015 1.44; SAGE bina/YM 2018 2.48; Üçyol-Buca M/Nokia/ALE 2021 1.40x1.3 | Bina içi CAT6 M+İ; malzeme emsaline +%30 çekim/sonlandırma | sonuç 1.82 [Emsal ID: R02786;R02994;R02238]</t>
        </is>
      </c>
      <c r="M299" s="7" t="inlineStr">
        <is>
          <t>İlk tahmin BF 1.00</t>
        </is>
      </c>
    </row>
    <row r="300" outlineLevel="1">
      <c r="A300" s="27" t="n"/>
      <c r="B300" s="27" t="inlineStr">
        <is>
          <t>4010.G</t>
        </is>
      </c>
      <c r="C300" s="7" t="inlineStr">
        <is>
          <t>IP sabit dome kamera 3 MP (D05 malzeme deposu, harici)</t>
        </is>
      </c>
      <c r="D300" s="27" t="inlineStr">
        <is>
          <t>adet</t>
        </is>
      </c>
      <c r="E300" s="50" t="n">
        <v>3</v>
      </c>
      <c r="F300" s="50" t="n">
        <v>3</v>
      </c>
      <c r="G300" s="27" t="inlineStr">
        <is>
          <t>%30</t>
        </is>
      </c>
      <c r="H300" s="50">
        <f>F300/IF(Varsayimlar!$B$21=1,1.3,1)</f>
        <v/>
      </c>
      <c r="I300" s="51" t="n">
        <v>508.65</v>
      </c>
      <c r="J300" s="28">
        <f>H300*I300</f>
        <v/>
      </c>
      <c r="K300" s="52" t="inlineStr">
        <is>
          <t>GEÇMİŞ TEKLİF UYARLAMA</t>
        </is>
      </c>
      <c r="L300" s="7" t="inlineStr">
        <is>
          <t>REF-derin – Üçyol-Buca M/Siemens 2021 465.06x1.15; Üçyol-Buca M/Huawei 2021 472.06x1.15; Narlıdere M/Uskom 2018 482.47; KMM M/Entek 2015 298.86x0.9775 | IP dome 3-5 MP; malzemeye +%15 montaj/ayar; 2015 x0,85 (elektronik) | sonuç 508.65 [Emsal ID: R02077;R01924;R01784;R02795]</t>
        </is>
      </c>
      <c r="M300" s="7" t="inlineStr">
        <is>
          <t>İlk tahmin BF 380.00</t>
        </is>
      </c>
    </row>
    <row r="301" outlineLevel="1">
      <c r="A301" s="27" t="n"/>
      <c r="B301" s="27" t="inlineStr">
        <is>
          <t>4010.G</t>
        </is>
      </c>
      <c r="C301" s="7" t="inlineStr">
        <is>
          <t>CAT6H kamera kablosu (D05)</t>
        </is>
      </c>
      <c r="D301" s="27" t="inlineStr">
        <is>
          <t>m</t>
        </is>
      </c>
      <c r="E301" s="50" t="n">
        <v>69</v>
      </c>
      <c r="F301" s="50" t="n">
        <v>69</v>
      </c>
      <c r="G301" s="27" t="inlineStr">
        <is>
          <t>fire+%30</t>
        </is>
      </c>
      <c r="H301" s="50">
        <f>F301/IF(Varsayimlar!$B$21=1,1.43,1)</f>
        <v/>
      </c>
      <c r="I301" s="51" t="n">
        <v>1.82</v>
      </c>
      <c r="J301" s="28">
        <f>H301*I301</f>
        <v/>
      </c>
      <c r="K301" s="52" t="inlineStr">
        <is>
          <t>GEÇMİŞ TEKLİF UYARLAMA</t>
        </is>
      </c>
      <c r="L301" s="7" t="inlineStr">
        <is>
          <t>REF-derin – KMM M/Uskom 2015 1.44; SAGE bina/YM 2018 2.48; Üçyol-Buca M/Nokia/ALE 2021 1.40x1.3 | Bina içi CAT6 M+İ; malzeme emsaline +%30 çekim/sonlandırma | sonuç 1.82 [Emsal ID: R02786;R02994;R02238]</t>
        </is>
      </c>
      <c r="M301" s="7" t="inlineStr">
        <is>
          <t>İlk tahmin BF 1.10</t>
        </is>
      </c>
    </row>
    <row r="302" outlineLevel="1">
      <c r="A302" s="27" t="n"/>
      <c r="B302" s="27" t="inlineStr">
        <is>
          <t>4010.G</t>
        </is>
      </c>
      <c r="C302" s="7" t="inlineStr">
        <is>
          <t>IP sabit dome kamera (D02 depo trafo T09) — 5 iç + 3 harici IP66</t>
        </is>
      </c>
      <c r="D302" s="27" t="inlineStr">
        <is>
          <t>adet</t>
        </is>
      </c>
      <c r="E302" s="50" t="n">
        <v>11</v>
      </c>
      <c r="F302" s="50" t="n">
        <v>11</v>
      </c>
      <c r="G302" s="27" t="inlineStr">
        <is>
          <t>-</t>
        </is>
      </c>
      <c r="H302" s="50">
        <f>F302</f>
        <v/>
      </c>
      <c r="I302" s="51" t="n">
        <v>508.65</v>
      </c>
      <c r="J302" s="28">
        <f>H302*I302</f>
        <v/>
      </c>
      <c r="K302" s="52" t="inlineStr">
        <is>
          <t>GEÇMİŞ TEKLİF UYARLAMA</t>
        </is>
      </c>
      <c r="L302" s="7" t="inlineStr">
        <is>
          <t>REF-derin – Üçyol-Buca M/Siemens 2021 465.06x1.15; Üçyol-Buca M/Huawei 2021 472.06x1.15; Narlıdere M/Uskom 2018 482.47; KMM M/Entek 2015 298.86x0.9775 | IP dome 3-5 MP; malzemeye +%15 montaj/ayar; 2015 x0,85 (elektronik) | sonuç 508.65 [Emsal ID: R02077;R01924;R01784;R02795]</t>
        </is>
      </c>
      <c r="M302" s="7" t="inlineStr">
        <is>
          <t>İlk tahmin BF 380.00</t>
        </is>
      </c>
    </row>
    <row r="303" outlineLevel="1">
      <c r="A303" s="27" t="n"/>
      <c r="B303" s="27" t="inlineStr">
        <is>
          <t>4010.G</t>
        </is>
      </c>
      <c r="C303" s="7" t="inlineStr">
        <is>
          <t>CAT6 kamera kablosu (D02)</t>
        </is>
      </c>
      <c r="D303" s="27" t="inlineStr">
        <is>
          <t>m</t>
        </is>
      </c>
      <c r="E303" s="50" t="n">
        <v>220</v>
      </c>
      <c r="F303" s="50" t="n">
        <v>220</v>
      </c>
      <c r="G303" s="27" t="inlineStr">
        <is>
          <t>fire+%30</t>
        </is>
      </c>
      <c r="H303" s="50">
        <f>F303/IF(Varsayimlar!$B$21=1,1.43,1)</f>
        <v/>
      </c>
      <c r="I303" s="51" t="n">
        <v>1.82</v>
      </c>
      <c r="J303" s="28">
        <f>H303*I303</f>
        <v/>
      </c>
      <c r="K303" s="52" t="inlineStr">
        <is>
          <t>GEÇMİŞ TEKLİF UYARLAMA</t>
        </is>
      </c>
      <c r="L303" s="7" t="inlineStr">
        <is>
          <t>REF-derin – KMM M/Uskom 2015 1.44; SAGE bina/YM 2018 2.48; Üçyol-Buca M/Nokia/ALE 2021 1.40x1.3 | Bina içi CAT6 M+İ; malzeme emsaline +%30 çekim/sonlandırma | sonuç 1.82 [Emsal ID: R02786;R02994;R02238]</t>
        </is>
      </c>
      <c r="M303" s="7" t="inlineStr">
        <is>
          <t>İlk tahmin BF 1.00</t>
        </is>
      </c>
    </row>
    <row r="304" outlineLevel="1">
      <c r="A304" s="27" t="n"/>
      <c r="B304" s="27" t="inlineStr">
        <is>
          <t>4010.G</t>
        </is>
      </c>
      <c r="C304" s="7" t="inlineStr">
        <is>
          <t>Giriş kontrol binası (D07) KDTV izleme monitörü 24'' + istemci</t>
        </is>
      </c>
      <c r="D304" s="27" t="inlineStr">
        <is>
          <t>set</t>
        </is>
      </c>
      <c r="E304" s="50" t="n">
        <v>1</v>
      </c>
      <c r="F304" s="50" t="n">
        <v>1</v>
      </c>
      <c r="G304" s="27" t="inlineStr">
        <is>
          <t>-</t>
        </is>
      </c>
      <c r="H304" s="50">
        <f>F304</f>
        <v/>
      </c>
      <c r="I304" s="51" t="n">
        <v>1865.4</v>
      </c>
      <c r="J304" s="28">
        <f>H304*I304</f>
        <v/>
      </c>
      <c r="K304" s="52" t="inlineStr">
        <is>
          <t>GEÇMİŞ TEKLİF UYARLAMA</t>
        </is>
      </c>
      <c r="L304" s="7" t="inlineStr">
        <is>
          <t>REF-derin – Narlıdere M/Uskom 2018 1446.28; KMM M/Ateksis(Bosch) 2015 1995.08x0.935; Üçyol-Buca M/Cesa(Honeywell) 2021 2188.57x1.1 | PC+monitör setleri; +%10 kurulum; 2015 x0,85 | sonuç 1865.40 [Emsal ID: R01687;R02287;R01959]</t>
        </is>
      </c>
      <c r="M304" s="7" t="inlineStr">
        <is>
          <t>İlk tahmin BF 1,200.00</t>
        </is>
      </c>
    </row>
    <row r="305" outlineLevel="1">
      <c r="A305" s="27" t="n"/>
      <c r="B305" s="27" t="inlineStr">
        <is>
          <t>4010.G</t>
        </is>
      </c>
      <c r="C305" s="7" t="inlineStr">
        <is>
          <t>Kamera montaj aparatları, bağlantı kutuları</t>
        </is>
      </c>
      <c r="D305" s="27" t="inlineStr">
        <is>
          <t>set</t>
        </is>
      </c>
      <c r="E305" s="50" t="n">
        <v>113</v>
      </c>
      <c r="F305" s="50" t="n">
        <v>113</v>
      </c>
      <c r="G305" s="27" t="inlineStr">
        <is>
          <t>-</t>
        </is>
      </c>
      <c r="H305" s="50">
        <f>F305</f>
        <v/>
      </c>
      <c r="I305" s="51" t="n">
        <v>94.19</v>
      </c>
      <c r="J305" s="28">
        <f>H305*I305</f>
        <v/>
      </c>
      <c r="K305" s="52" t="inlineStr">
        <is>
          <t>GEÇMİŞ TEKLİF UYARLAMA</t>
        </is>
      </c>
      <c r="L305" s="7" t="inlineStr">
        <is>
          <t>REF-derin – KMM M/Uskom 2015 134.64; SAGE bina/YM 2018 101.34x1.2; Üçyol-Buca M/Siemens 2021 55.64x1.2; Üçyol-Buca M/Cesa(Honeywell) 2021 40.36x1.2 | Montaj aparatı+kutu; malzemeye +%20 montaj | sonuç 94.19 [Emsal ID: R02720;R03042;R02074;R01983]</t>
        </is>
      </c>
      <c r="M305" s="7" t="inlineStr">
        <is>
          <t>İlk tahmin BF 40.00</t>
        </is>
      </c>
    </row>
    <row r="306">
      <c r="A306" s="48" t="inlineStr">
        <is>
          <t>278</t>
        </is>
      </c>
      <c r="B306" s="48" t="inlineStr">
        <is>
          <t>4010.H</t>
        </is>
      </c>
      <c r="C306" s="48" t="inlineStr">
        <is>
          <t>Hat Trafo Binaları Kapalı Devre Televizyon Sistemi (CCTV) (4 set)</t>
        </is>
      </c>
      <c r="D306" s="48" t="n"/>
      <c r="E306" s="48" t="n"/>
      <c r="F306" s="48" t="n"/>
      <c r="G306" s="48" t="n"/>
      <c r="H306" s="48" t="inlineStr">
        <is>
          <t>RFQ tutarı →</t>
        </is>
      </c>
      <c r="I306" s="49">
        <f>SUMPRODUCT(E307:E309,I307:I309)</f>
        <v/>
      </c>
      <c r="J306" s="49">
        <f>SUM(J307:J309)</f>
        <v/>
      </c>
      <c r="K306" s="48" t="n"/>
      <c r="L306" s="48" t="n"/>
      <c r="M306" s="48" t="n"/>
    </row>
    <row r="307" outlineLevel="1">
      <c r="A307" s="27" t="n"/>
      <c r="B307" s="27" t="inlineStr">
        <is>
          <t>4010.H</t>
        </is>
      </c>
      <c r="C307" s="7" t="inlineStr">
        <is>
          <t>Sabit dome kamera (harici, IP)</t>
        </is>
      </c>
      <c r="D307" s="27" t="inlineStr">
        <is>
          <t>adet</t>
        </is>
      </c>
      <c r="E307" s="50" t="n">
        <v>11</v>
      </c>
      <c r="F307" s="50" t="n">
        <v>11</v>
      </c>
      <c r="G307" s="27" t="inlineStr">
        <is>
          <t>%30</t>
        </is>
      </c>
      <c r="H307" s="50">
        <f>F307/IF(Varsayimlar!$B$21=1,1.3,1)</f>
        <v/>
      </c>
      <c r="I307" s="51" t="n">
        <v>508.65</v>
      </c>
      <c r="J307" s="28">
        <f>H307*I307</f>
        <v/>
      </c>
      <c r="K307" s="52" t="inlineStr">
        <is>
          <t>GEÇMİŞ TEKLİF UYARLAMA</t>
        </is>
      </c>
      <c r="L307" s="7" t="inlineStr">
        <is>
          <t>REF-derin – Üçyol-Buca M/Siemens 2021 465.06x1.15; Üçyol-Buca M/Huawei 2021 472.06x1.15; Narlıdere M/Uskom 2018 482.47; KMM M/Entek 2015 298.86x0.9775 | IP dome 3-5 MP; malzemeye +%15 montaj/ayar; 2015 x0,85 (elektronik) | sonuç 508.65 [Emsal ID: R02077;R01924;R01784;R02795]</t>
        </is>
      </c>
      <c r="M307" s="7" t="inlineStr">
        <is>
          <t>İlk tahmin BF 380.00</t>
        </is>
      </c>
    </row>
    <row r="308" outlineLevel="1">
      <c r="A308" s="27" t="n"/>
      <c r="B308" s="27" t="inlineStr">
        <is>
          <t>4010.H</t>
        </is>
      </c>
      <c r="C308" s="7" t="inlineStr">
        <is>
          <t>CAT6 kamera kablosu</t>
        </is>
      </c>
      <c r="D308" s="27" t="inlineStr">
        <is>
          <t>m</t>
        </is>
      </c>
      <c r="E308" s="50" t="n">
        <v>115</v>
      </c>
      <c r="F308" s="50" t="n">
        <v>115</v>
      </c>
      <c r="G308" s="27" t="inlineStr">
        <is>
          <t>fire+%30</t>
        </is>
      </c>
      <c r="H308" s="50">
        <f>F308/IF(Varsayimlar!$B$21=1,1.43,1)</f>
        <v/>
      </c>
      <c r="I308" s="51" t="n">
        <v>1.82</v>
      </c>
      <c r="J308" s="28">
        <f>H308*I308</f>
        <v/>
      </c>
      <c r="K308" s="52" t="inlineStr">
        <is>
          <t>GEÇMİŞ TEKLİF UYARLAMA</t>
        </is>
      </c>
      <c r="L308" s="7" t="inlineStr">
        <is>
          <t>REF-derin – KMM M/Uskom 2015 1.44; SAGE bina/YM 2018 2.48; Üçyol-Buca M/Nokia/ALE 2021 1.40x1.3 | Bina içi CAT6 M+İ; malzeme emsaline +%30 çekim/sonlandırma | sonuç 1.82 [Emsal ID: R02786;R02994;R02238]</t>
        </is>
      </c>
      <c r="M308" s="7" t="inlineStr">
        <is>
          <t>İlk tahmin BF 1.00</t>
        </is>
      </c>
    </row>
    <row r="309" outlineLevel="1">
      <c r="A309" s="27" t="n"/>
      <c r="B309" s="27" t="inlineStr">
        <is>
          <t>4010.H</t>
        </is>
      </c>
      <c r="C309" s="7" t="inlineStr">
        <is>
          <t>Kamera montaj aparatı + buat</t>
        </is>
      </c>
      <c r="D309" s="27" t="inlineStr">
        <is>
          <t>set</t>
        </is>
      </c>
      <c r="E309" s="50" t="n">
        <v>8</v>
      </c>
      <c r="F309" s="50" t="n">
        <v>8</v>
      </c>
      <c r="G309" s="27" t="inlineStr">
        <is>
          <t>-</t>
        </is>
      </c>
      <c r="H309" s="50">
        <f>F309</f>
        <v/>
      </c>
      <c r="I309" s="51" t="n">
        <v>94.19</v>
      </c>
      <c r="J309" s="28">
        <f>H309*I309</f>
        <v/>
      </c>
      <c r="K309" s="52" t="inlineStr">
        <is>
          <t>GEÇMİŞ TEKLİF UYARLAMA</t>
        </is>
      </c>
      <c r="L309" s="7" t="inlineStr">
        <is>
          <t>REF-derin – KMM M/Uskom 2015 134.64; SAGE bina/YM 2018 101.34x1.2; Üçyol-Buca M/Siemens 2021 55.64x1.2; Üçyol-Buca M/Cesa(Honeywell) 2021 40.36x1.2 | Montaj aparatı+kutu; malzemeye +%20 montaj | sonuç 94.19 [Emsal ID: R02720;R03042;R02074;R01983]</t>
        </is>
      </c>
      <c r="M309" s="7" t="inlineStr">
        <is>
          <t>İlk tahmin BF 40.00</t>
        </is>
      </c>
    </row>
    <row r="310">
      <c r="A310" s="48" t="inlineStr">
        <is>
          <t>279</t>
        </is>
      </c>
      <c r="B310" s="48" t="inlineStr">
        <is>
          <t>4010.I</t>
        </is>
      </c>
      <c r="C310" s="48" t="inlineStr">
        <is>
          <t>Hatboyu CCTV Sistemi (1 set)</t>
        </is>
      </c>
      <c r="D310" s="48" t="n"/>
      <c r="E310" s="48" t="n"/>
      <c r="F310" s="48" t="n"/>
      <c r="G310" s="48" t="n"/>
      <c r="H310" s="48" t="inlineStr">
        <is>
          <t>RFQ tutarı →</t>
        </is>
      </c>
      <c r="I310" s="49">
        <f>SUMPRODUCT(E311:E314,I311:I314)</f>
        <v/>
      </c>
      <c r="J310" s="49">
        <f>SUM(J311:J314)</f>
        <v/>
      </c>
      <c r="K310" s="48" t="n"/>
      <c r="L310" s="48" t="n"/>
      <c r="M310" s="48" t="n"/>
    </row>
    <row r="311" outlineLevel="1">
      <c r="A311" s="27" t="n"/>
      <c r="B311" s="27" t="inlineStr">
        <is>
          <t>4010.I</t>
        </is>
      </c>
      <c r="C311" s="7" t="inlineStr">
        <is>
          <t>IP harici sabit/PTZ kamera (karayolu eşdüzey geçişleri, 2 adet/geçiş)</t>
        </is>
      </c>
      <c r="D311" s="27" t="inlineStr">
        <is>
          <t>adet</t>
        </is>
      </c>
      <c r="E311" s="50" t="n">
        <v>16</v>
      </c>
      <c r="F311" s="50" t="n">
        <v>16</v>
      </c>
      <c r="G311" s="27" t="inlineStr">
        <is>
          <t>%30</t>
        </is>
      </c>
      <c r="H311" s="50">
        <f>F311/IF(Varsayimlar!$B$21=1,1.3,1)</f>
        <v/>
      </c>
      <c r="I311" s="51" t="n">
        <v>1540</v>
      </c>
      <c r="J311" s="28">
        <f>H311*I311</f>
        <v/>
      </c>
      <c r="K311" s="52" t="inlineStr">
        <is>
          <t>GEÇMİŞ TEKLİF UYARLAMA</t>
        </is>
      </c>
      <c r="L311" s="7" t="inlineStr">
        <is>
          <t>REF-derin – Geçiş kamerası (1 sabit + 1 PTZ): Siemens 2021 5MP bullet 533 (M)+%20=640; PTZ 1.982+56 (M)+%20=2.446; Uskom 2015 PTZ 2.528; SAGE PTZ 2.612 → ort. (640+2.446)/2 = 1.540 € [Emsal ID: R02073;R02076;R02717;R03043]</t>
        </is>
      </c>
      <c r="M311" s="7" t="inlineStr">
        <is>
          <t>Sabit/PTZ karışık | İlk tahmin BF 900.00</t>
        </is>
      </c>
    </row>
    <row r="312" outlineLevel="1">
      <c r="A312" s="27" t="n"/>
      <c r="B312" s="27" t="inlineStr">
        <is>
          <t>4010.I</t>
        </is>
      </c>
      <c r="C312" s="7" t="inlineStr">
        <is>
          <t>IP harici sabit kamera (ana hat motorlu makas bölgeleri M17-20, M21-24/C4, M25-26/MD1-MD2, M27-30/C5)</t>
        </is>
      </c>
      <c r="D312" s="27" t="inlineStr">
        <is>
          <t>adet</t>
        </is>
      </c>
      <c r="E312" s="50" t="n">
        <v>11</v>
      </c>
      <c r="F312" s="50" t="n">
        <v>11</v>
      </c>
      <c r="G312" s="27" t="inlineStr">
        <is>
          <t>%30</t>
        </is>
      </c>
      <c r="H312" s="50">
        <f>F312/IF(Varsayimlar!$B$21=1,1.3,1)</f>
        <v/>
      </c>
      <c r="I312" s="51" t="n">
        <v>770.87</v>
      </c>
      <c r="J312" s="28">
        <f>H312*I312</f>
        <v/>
      </c>
      <c r="K312" s="52" t="inlineStr">
        <is>
          <t>GEÇMİŞ TEKLİF UYARLAMA</t>
        </is>
      </c>
      <c r="L312" s="7" t="inlineStr">
        <is>
          <t>REF-derin – Üçyol-Buca M/Siemens 2021 533.17x1.15; Yerköy-Sivas YHT bina/YM 2019 928.60 | Harici sabit IP kamera; malzemeye +%15; SAGE bina 2MP iç bütçe (980) dışarıda | sonuç 770.87 [Emsal ID: R02076;R01206]</t>
        </is>
      </c>
      <c r="M312" s="7" t="inlineStr">
        <is>
          <t>İlk tahmin BF 500.00</t>
        </is>
      </c>
    </row>
    <row r="313" outlineLevel="1">
      <c r="A313" s="27" t="n"/>
      <c r="B313" s="27" t="inlineStr">
        <is>
          <t>4010.I</t>
        </is>
      </c>
      <c r="C313" s="7" t="inlineStr">
        <is>
          <t>Kamera direği 6 m / katener direğine konsol</t>
        </is>
      </c>
      <c r="D313" s="27" t="inlineStr">
        <is>
          <t>adet</t>
        </is>
      </c>
      <c r="E313" s="50" t="n">
        <v>20</v>
      </c>
      <c r="F313" s="50" t="n">
        <v>20</v>
      </c>
      <c r="G313" s="27" t="inlineStr">
        <is>
          <t>%30</t>
        </is>
      </c>
      <c r="H313" s="50">
        <f>F313/IF(Varsayimlar!$B$21=1,1.3,1)</f>
        <v/>
      </c>
      <c r="I313" s="51" t="n">
        <v>450</v>
      </c>
      <c r="J313" s="28">
        <f>H313*I313</f>
        <v/>
      </c>
      <c r="K313" s="52" t="inlineStr">
        <is>
          <t>GEÇMİŞ TEKLİF UYARLAMA</t>
        </is>
      </c>
      <c r="L313" s="7" t="inlineStr">
        <is>
          <t>REF-derin – YM 2019 kamera direği 4 m 179 €, SAGE 2018 236,5 € → 6 m direk ~400 €, katener direğine konsol ~150 € karışık + TL işçilik düzeltmesi → 450 € [Emsal ID: R01211;R03060]</t>
        </is>
      </c>
      <c r="M313" s="7" t="inlineStr">
        <is>
          <t>Direk/konsol karışık | İlk tahmin BF 700.00</t>
        </is>
      </c>
    </row>
    <row r="314" outlineLevel="1">
      <c r="A314" s="27" t="n"/>
      <c r="B314" s="27" t="inlineStr">
        <is>
          <t>4010.I</t>
        </is>
      </c>
      <c r="C314" s="7" t="inlineStr">
        <is>
          <t>CAT6 dış ortam kamera kablosu + 3x2,5 besleme</t>
        </is>
      </c>
      <c r="D314" s="27" t="inlineStr">
        <is>
          <t>m</t>
        </is>
      </c>
      <c r="E314" s="50" t="n">
        <v>1144</v>
      </c>
      <c r="F314" s="54" t="n">
        <v>1123.1</v>
      </c>
      <c r="G314" s="27" t="inlineStr">
        <is>
          <t>fire+%30</t>
        </is>
      </c>
      <c r="H314" s="50">
        <f>F314/IF(Varsayimlar!$B$21=1,1.43,1)</f>
        <v/>
      </c>
      <c r="I314" s="51" t="n">
        <v>4.32</v>
      </c>
      <c r="J314" s="28">
        <f>H314*I314</f>
        <v/>
      </c>
      <c r="K314" s="52" t="inlineStr">
        <is>
          <t>GEÇMİŞ TEKLİF UYARLAMA</t>
        </is>
      </c>
      <c r="L314" s="7" t="inlineStr">
        <is>
          <t>REF-derin – Pendik-Kaynarca M/YM 2022 2.45x1.3; SAGE bina/YM 2018 2.48; Üçyol-Buca M/Nokia/ALE 2021 1.40x1.3; Bursa T2/Kocaeli Tr/Haluk 2015 1.50x1.3; Bursa T2/Kocaeli Tr/MET 2015 1.91x1.3; Bursa T2/Kocaeli Tr/Delta Tema 2015 1.03x1.69; Üçyol-Buca M/Prysmian liste 2021 1.30x1.3; Üçyol-Buca M/Kablo üretic 2021 1.14x1.3; Narlıdere M/Uskom 2018 3.35 | Bileşik: dış ortam CAT6 medyanı + 3x2,5 N2XH medyanı | sonuç 4.32 [Emsal ID: R02987;R02994;R02238;R00901;R00972;R00848;R00685;R00727;R01622]</t>
        </is>
      </c>
      <c r="M314" s="7" t="inlineStr">
        <is>
          <t>Hat boyu 6,44/6,56 düzeltme | İlk tahmin BF 4.00</t>
        </is>
      </c>
    </row>
    <row r="315">
      <c r="A315" s="48" t="inlineStr">
        <is>
          <t>280</t>
        </is>
      </c>
      <c r="B315" s="48" t="inlineStr">
        <is>
          <t>4010.J</t>
        </is>
      </c>
      <c r="C315" s="48" t="inlineStr">
        <is>
          <t>CCTV Sistemi Merkezi Donanımı ve Yazılımı (1 set)</t>
        </is>
      </c>
      <c r="D315" s="48" t="n"/>
      <c r="E315" s="48" t="n"/>
      <c r="F315" s="48" t="n"/>
      <c r="G315" s="48" t="n"/>
      <c r="H315" s="48" t="inlineStr">
        <is>
          <t>RFQ tutarı →</t>
        </is>
      </c>
      <c r="I315" s="49">
        <f>SUMPRODUCT(E316:E323,I316:I323)</f>
        <v/>
      </c>
      <c r="J315" s="49">
        <f>SUM(J316:J323)</f>
        <v/>
      </c>
      <c r="K315" s="48" t="n"/>
      <c r="L315" s="48" t="n"/>
      <c r="M315" s="48" t="n"/>
    </row>
    <row r="316" outlineLevel="1">
      <c r="A316" s="27" t="n"/>
      <c r="B316" s="27" t="inlineStr">
        <is>
          <t>4010.J</t>
        </is>
      </c>
      <c r="C316" s="7" t="inlineStr">
        <is>
          <t>Ağ video kayıt cihazı (NVR) 16 kanal 4MP@25fps, H.265 + disk (≥30 gün)</t>
        </is>
      </c>
      <c r="D316" s="27" t="inlineStr">
        <is>
          <t>adet</t>
        </is>
      </c>
      <c r="E316" s="50" t="n">
        <v>13</v>
      </c>
      <c r="F316" s="50" t="n">
        <v>13</v>
      </c>
      <c r="G316" s="27" t="inlineStr">
        <is>
          <t>%30</t>
        </is>
      </c>
      <c r="H316" s="50">
        <f>F316/IF(Varsayimlar!$B$21=1,1.3,1)</f>
        <v/>
      </c>
      <c r="I316" s="51" t="n">
        <v>3200</v>
      </c>
      <c r="J316" s="28">
        <f>H316*I316</f>
        <v/>
      </c>
      <c r="K316" s="53" t="inlineStr">
        <is>
          <t>MÜHENDİSLİK TAHMİNİ</t>
        </is>
      </c>
      <c r="L316" s="7" t="inlineStr">
        <is>
          <t>TAHMIN (emsal yok) – Refler 64–128 kanal sunucu-NVR (7 k€) – 16 kanal NVR ile ölçek farklı; 3.200 korundu [Emsal ID: R02088;R02723]</t>
        </is>
      </c>
      <c r="M316" s="7" t="inlineStr">
        <is>
          <t>NVR + ~20 TB disk</t>
        </is>
      </c>
    </row>
    <row r="317" outlineLevel="1">
      <c r="A317" s="27" t="n"/>
      <c r="B317" s="27" t="inlineStr">
        <is>
          <t>4010.J</t>
        </is>
      </c>
      <c r="C317" s="7" t="inlineStr">
        <is>
          <t>NVR server + NVR storage (depo/TCC)</t>
        </is>
      </c>
      <c r="D317" s="27" t="inlineStr">
        <is>
          <t>set</t>
        </is>
      </c>
      <c r="E317" s="50" t="n">
        <v>1</v>
      </c>
      <c r="F317" s="50" t="n">
        <v>1</v>
      </c>
      <c r="G317" s="27" t="inlineStr">
        <is>
          <t>-</t>
        </is>
      </c>
      <c r="H317" s="50">
        <f>F317</f>
        <v/>
      </c>
      <c r="I317" s="51" t="n">
        <v>14520</v>
      </c>
      <c r="J317" s="28">
        <f>H317*I317</f>
        <v/>
      </c>
      <c r="K317" s="52" t="inlineStr">
        <is>
          <t>GEÇMİŞ TEKLİF UYARLAMA</t>
        </is>
      </c>
      <c r="L317" s="7" t="inlineStr">
        <is>
          <t>REF-derin – NVR sunucu: Uskom 2015 7.261 €, Siemens 2021 VideoXpert 6.954 € (M), Cesa 2021 36 TB server 7.549 € → medyan 7.261 € × 2 (sunucu+depolama) → 14.520 € [Emsal ID: R02723;R02088;R01977]</t>
        </is>
      </c>
      <c r="M317" s="7" t="inlineStr">
        <is>
          <t>İlk tahmin BF 15,000.00</t>
        </is>
      </c>
    </row>
    <row r="318" outlineLevel="1">
      <c r="A318" s="27" t="n"/>
      <c r="B318" s="27" t="inlineStr">
        <is>
          <t>4010.J</t>
        </is>
      </c>
      <c r="C318" s="7" t="inlineStr">
        <is>
          <t>KDTV kontrol ünitesi / kumanda klavyesi (joystick)</t>
        </is>
      </c>
      <c r="D318" s="27" t="inlineStr">
        <is>
          <t>adet</t>
        </is>
      </c>
      <c r="E318" s="50" t="n">
        <v>2</v>
      </c>
      <c r="F318" s="50" t="n">
        <v>2</v>
      </c>
      <c r="G318" s="27" t="inlineStr">
        <is>
          <t>-</t>
        </is>
      </c>
      <c r="H318" s="50">
        <f>F318</f>
        <v/>
      </c>
      <c r="I318" s="51" t="n">
        <v>593.6799999999999</v>
      </c>
      <c r="J318" s="28">
        <f>H318*I318</f>
        <v/>
      </c>
      <c r="K318" s="52" t="inlineStr">
        <is>
          <t>GEÇMİŞ TEKLİF UYARLAMA</t>
        </is>
      </c>
      <c r="L318" s="7" t="inlineStr">
        <is>
          <t>REF-derin – KMM M/Ateksis(Bosch) 2015 615.92x0.935; Narlıdere M/Uskom 2018 1345.43; Samsun LRT/Uskom 2008 1187.35x0.5 | DÜZELTME: REF 1.187 Samsun 2008 joystick, eski elektronik x0,5; 2015 x0,85 +%10 | sonuç 593.68 [Emsal ID: R02358;R01783;R03203]</t>
        </is>
      </c>
      <c r="M318" s="7" t="inlineStr">
        <is>
          <t>İlk tahmin BF 1,187.35</t>
        </is>
      </c>
    </row>
    <row r="319" outlineLevel="1">
      <c r="A319" s="27" t="n"/>
      <c r="B319" s="27" t="inlineStr">
        <is>
          <t>4010.J</t>
        </is>
      </c>
      <c r="C319" s="7" t="inlineStr">
        <is>
          <t>LCD monitör 24'' profesyonel 7/24</t>
        </is>
      </c>
      <c r="D319" s="27" t="inlineStr">
        <is>
          <t>adet</t>
        </is>
      </c>
      <c r="E319" s="50" t="n">
        <v>4</v>
      </c>
      <c r="F319" s="50" t="n">
        <v>4</v>
      </c>
      <c r="G319" s="27" t="inlineStr">
        <is>
          <t>-</t>
        </is>
      </c>
      <c r="H319" s="50">
        <f>F319</f>
        <v/>
      </c>
      <c r="I319" s="51" t="n">
        <v>350.6</v>
      </c>
      <c r="J319" s="28">
        <f>H319*I319</f>
        <v/>
      </c>
      <c r="K319" s="52" t="inlineStr">
        <is>
          <t>GEÇMİŞ TEKLİF UYARLAMA</t>
        </is>
      </c>
      <c r="L319" s="7" t="inlineStr">
        <is>
          <t>REF-derin – Narlıdere M/Uskom 2018 322.29; KMM M/Ateksis(Bosch) 2015 857.15x0.85; Üçyol-Buca M/Siemens 2021 228.53x1.1; Yerköy-Sivas YHT bina/YM 2019 378.90 | 22-27" monitör; 2015 x0,85; Dahua 7/24 (AYKIRI) ve Elmak 2014 2.703 aşırı dışarıda | sonuç 350.60 [Emsal ID: R01781;R02370;R02093;R01209]</t>
        </is>
      </c>
      <c r="M319" s="7" t="inlineStr">
        <is>
          <t>Ref n=1 aşırı; 24" 7/24 monitör | İlk tahmin BF 500.00</t>
        </is>
      </c>
    </row>
    <row r="320" outlineLevel="1">
      <c r="A320" s="27" t="n"/>
      <c r="B320" s="27" t="inlineStr">
        <is>
          <t>4010.J</t>
        </is>
      </c>
      <c r="C320" s="7" t="inlineStr">
        <is>
          <t>LCD monitör 62-65'' 7/24 (KDTV ortak izleme)</t>
        </is>
      </c>
      <c r="D320" s="27" t="inlineStr">
        <is>
          <t>adet</t>
        </is>
      </c>
      <c r="E320" s="50" t="n">
        <v>1</v>
      </c>
      <c r="F320" s="50" t="n">
        <v>1</v>
      </c>
      <c r="G320" s="27" t="inlineStr">
        <is>
          <t>-</t>
        </is>
      </c>
      <c r="H320" s="50">
        <f>F320</f>
        <v/>
      </c>
      <c r="I320" s="51" t="n">
        <v>2500</v>
      </c>
      <c r="J320" s="28">
        <f>H320*I320</f>
        <v/>
      </c>
      <c r="K320" s="53" t="inlineStr">
        <is>
          <t>MÜHENDİSLİK TAHMİNİ</t>
        </is>
      </c>
      <c r="L320" s="7" t="inlineStr">
        <is>
          <t>TAHMIN (emsal yok) – 65" 7/24 monitör emsali yok (en büyük 42")</t>
        </is>
      </c>
      <c r="M320" s="7" t="inlineStr"/>
    </row>
    <row r="321" outlineLevel="1">
      <c r="A321" s="27" t="n"/>
      <c r="B321" s="27" t="inlineStr">
        <is>
          <t>4010.J</t>
        </is>
      </c>
      <c r="C321" s="7" t="inlineStr">
        <is>
          <t>VMS yazılımı + kamera lisansları, araç üstü görüntü talep yazılımı</t>
        </is>
      </c>
      <c r="D321" s="27" t="inlineStr">
        <is>
          <t>set</t>
        </is>
      </c>
      <c r="E321" s="50" t="n">
        <v>1</v>
      </c>
      <c r="F321" s="50" t="n">
        <v>1</v>
      </c>
      <c r="G321" s="27" t="inlineStr">
        <is>
          <t>-</t>
        </is>
      </c>
      <c r="H321" s="50">
        <f>F321</f>
        <v/>
      </c>
      <c r="I321" s="51" t="n">
        <v>25000</v>
      </c>
      <c r="J321" s="28">
        <f>H321*I321</f>
        <v/>
      </c>
      <c r="K321" s="52" t="inlineStr">
        <is>
          <t>GEÇMİŞ TEKLİF UYARLAMA</t>
        </is>
      </c>
      <c r="L321" s="7" t="inlineStr">
        <is>
          <t>REF-derin – VMS: Honeywell 2021 base 3.181 + yedeklilik 1.633 €; kamera lisansı Uskom 2015 118 €/kam, Pelco 2021 72 €/kam → ~200 kam × ~95 € + base ≈ 23,8 k€ + araç görüntü modülü → 25.000 € (mevcut teyit) [Emsal ID: R01972;R01975;R02721;R02087]</t>
        </is>
      </c>
      <c r="M321" s="7" t="inlineStr"/>
    </row>
    <row r="322" outlineLevel="1">
      <c r="A322" s="27" t="n"/>
      <c r="B322" s="27" t="inlineStr">
        <is>
          <t>4010.J</t>
        </is>
      </c>
      <c r="C322" s="7" t="inlineStr">
        <is>
          <t>KDTV 19'' ekipman dolabı</t>
        </is>
      </c>
      <c r="D322" s="27" t="inlineStr">
        <is>
          <t>adet</t>
        </is>
      </c>
      <c r="E322" s="50" t="n">
        <v>1</v>
      </c>
      <c r="F322" s="50" t="n">
        <v>1</v>
      </c>
      <c r="G322" s="27" t="inlineStr">
        <is>
          <t>-</t>
        </is>
      </c>
      <c r="H322" s="50">
        <f>F322</f>
        <v/>
      </c>
      <c r="I322" s="51" t="n">
        <v>1212.91</v>
      </c>
      <c r="J322" s="28">
        <f>H322*I322</f>
        <v/>
      </c>
      <c r="K322" s="52" t="inlineStr">
        <is>
          <t>GEÇMİŞ TEKLİF UYARLAMA</t>
        </is>
      </c>
      <c r="L322" s="7" t="inlineStr">
        <is>
          <t>REF-derin – Pendik-Kaynarca M/YM 2022 1069.09x1.1; Üçyol-Buca M/Merit(Alcatel) 2021 1181.20x1.1; Üçyol-Buca M/Nokia/ALE 2021 743.05x1.1; Üçyol-Buca M/Siemens 2021 485.50x1.1; KMM M/RCF 2015 968.24x1.1; KMM M/Ateksis(Bosch) 2015 1197.05x1.1; SAGE bina/YM 2018 1249.82; Narlıdere M/Uskom 2018 3410.46 | 19" 42U kabin emsalleri; malzemeye +%10 montaj | sonuç 1212.91 [Emsal ID: R02927;R01999;R02228;R02125;R02507;R02325;R03068;R01743]</t>
        </is>
      </c>
      <c r="M322" s="7" t="inlineStr">
        <is>
          <t>İlk tahmin BF 1,500.00</t>
        </is>
      </c>
    </row>
    <row r="323" outlineLevel="1">
      <c r="A323" s="27" t="n"/>
      <c r="B323" s="27" t="inlineStr">
        <is>
          <t>4010.J</t>
        </is>
      </c>
      <c r="C323" s="7" t="inlineStr">
        <is>
          <t>Mevcut depo kontrol merkezi entegrasyonu: VMS/NVR yazılım uyarlama + lisans</t>
        </is>
      </c>
      <c r="D323" s="27" t="inlineStr">
        <is>
          <t>set</t>
        </is>
      </c>
      <c r="E323" s="50" t="n">
        <v>1</v>
      </c>
      <c r="F323" s="54" t="n">
        <v>0</v>
      </c>
      <c r="G323" s="27" t="inlineStr">
        <is>
          <t>-</t>
        </is>
      </c>
      <c r="H323" s="50">
        <f>F323</f>
        <v/>
      </c>
      <c r="I323" s="51" t="n">
        <v>10971.56</v>
      </c>
      <c r="J323" s="28">
        <f>H323*I323</f>
        <v/>
      </c>
      <c r="K323" s="55" t="inlineStr">
        <is>
          <t>KAPSAM DIŞI (0)</t>
        </is>
      </c>
      <c r="L323" s="7" t="inlineStr">
        <is>
          <t>REF-derin – Üçyol-Buca M/ON Elektronik 2020 6352.95; Pendik-Kaynarca M/YM 2022 18934.45; Üçyol-Buca M/Avikon 2021 12538.93; Üçyol-Buca M/Avikon 2021 9404.20 | DÜZELTME: REF 21.984,87 izlenebilir değil; genel mevcut sisteme entegrasyon emsalleri (miktar 0) | sonuç 10971.56 [Emsal ID: R01876;R02982;R01899;R01898]</t>
        </is>
      </c>
      <c r="M323" s="7" t="inlineStr">
        <is>
          <t>İdare: mevcut sistem yok | İlk tahmin BF 21,984.87</t>
        </is>
      </c>
    </row>
    <row r="324">
      <c r="A324" s="48" t="inlineStr">
        <is>
          <t>281</t>
        </is>
      </c>
      <c r="B324" s="48" t="inlineStr">
        <is>
          <t>4011</t>
        </is>
      </c>
      <c r="C324" s="48" t="inlineStr">
        <is>
          <t>Saat Sistemi Tasarımı (1 set)</t>
        </is>
      </c>
      <c r="D324" s="48" t="n"/>
      <c r="E324" s="48" t="n"/>
      <c r="F324" s="48" t="n"/>
      <c r="G324" s="48" t="n"/>
      <c r="H324" s="48" t="inlineStr">
        <is>
          <t>RFQ tutarı →</t>
        </is>
      </c>
      <c r="I324" s="49">
        <f>SUMPRODUCT(E325:E326,I325:I326)</f>
        <v/>
      </c>
      <c r="J324" s="49">
        <f>SUM(J325:J326)</f>
        <v/>
      </c>
      <c r="K324" s="48" t="n"/>
      <c r="L324" s="48" t="n"/>
      <c r="M324" s="48" t="n"/>
    </row>
    <row r="325" outlineLevel="1">
      <c r="A325" s="27" t="n"/>
      <c r="B325" s="27" t="inlineStr">
        <is>
          <t>4011</t>
        </is>
      </c>
      <c r="C325" s="7" t="inlineStr">
        <is>
          <t>Uygulama projeleri, sistem mimarisi/blok şemaları, hesaplar (NTP hiyerarşisi, arayüzler)</t>
        </is>
      </c>
      <c r="D325" s="27" t="inlineStr">
        <is>
          <t>set</t>
        </is>
      </c>
      <c r="E325" s="50" t="n">
        <v>1</v>
      </c>
      <c r="F325" s="50" t="n">
        <v>1</v>
      </c>
      <c r="G325" s="27" t="inlineStr">
        <is>
          <t>-</t>
        </is>
      </c>
      <c r="H325" s="50">
        <f>F325</f>
        <v/>
      </c>
      <c r="I325" s="51" t="n">
        <v>5000</v>
      </c>
      <c r="J325" s="28">
        <f>H325*I325</f>
        <v/>
      </c>
      <c r="K325" s="62" t="inlineStr">
        <is>
          <t>2026 TEKLİF</t>
        </is>
      </c>
      <c r="L325" s="7" t="inlineStr">
        <is>
          <t>TEKLİF (ON Elektronik/RayON MSS 06.10.2026: malz. 0 + işç. 5000 EUR)</t>
        </is>
      </c>
      <c r="M325" s="7" t="inlineStr">
        <is>
          <t>Tasarım, küçük tramvay ölçeği | Teklif öncesi BF 4,000.00</t>
        </is>
      </c>
    </row>
    <row r="326" outlineLevel="1">
      <c r="A326" s="27" t="n"/>
      <c r="B326" s="27" t="inlineStr">
        <is>
          <t>4011</t>
        </is>
      </c>
      <c r="C326" s="7" t="inlineStr">
        <is>
          <t>Dokümantasyon: malzeme onayı, test prosedürleri, as-built, işletme-bakım el kitapları, eğitim dokümanı</t>
        </is>
      </c>
      <c r="D326" s="27" t="inlineStr">
        <is>
          <t>set</t>
        </is>
      </c>
      <c r="E326" s="50" t="n">
        <v>1</v>
      </c>
      <c r="F326" s="50" t="n">
        <v>1</v>
      </c>
      <c r="G326" s="27" t="inlineStr">
        <is>
          <t>-</t>
        </is>
      </c>
      <c r="H326" s="50">
        <f>F326</f>
        <v/>
      </c>
      <c r="I326" s="51" t="n">
        <v>5000</v>
      </c>
      <c r="J326" s="28">
        <f>H326*I326</f>
        <v/>
      </c>
      <c r="K326" s="62" t="inlineStr">
        <is>
          <t>2026 TEKLİF</t>
        </is>
      </c>
      <c r="L326" s="7" t="inlineStr">
        <is>
          <t>TEKLİF (ON Elektronik/RayON MSS 06.10.2026: malz. 0 + işç. 5000 EUR)</t>
        </is>
      </c>
      <c r="M326" s="7" t="inlineStr">
        <is>
          <t>Tasarım, küçük tramvay ölçeği | Teklif öncesi BF 2,000.00</t>
        </is>
      </c>
    </row>
    <row r="327">
      <c r="A327" s="48" t="inlineStr">
        <is>
          <t>282</t>
        </is>
      </c>
      <c r="B327" s="48" t="inlineStr">
        <is>
          <t>4012.A</t>
        </is>
      </c>
      <c r="C327" s="48" t="inlineStr">
        <is>
          <t>Göbekli Tepe İstasyonu Saat Sistemi (1 set)</t>
        </is>
      </c>
      <c r="D327" s="48" t="n"/>
      <c r="E327" s="48" t="n"/>
      <c r="F327" s="48" t="n"/>
      <c r="G327" s="48" t="n"/>
      <c r="H327" s="48" t="inlineStr">
        <is>
          <t>RFQ tutarı →</t>
        </is>
      </c>
      <c r="I327" s="49">
        <f>SUMPRODUCT(E328:E330,I328:I330)</f>
        <v/>
      </c>
      <c r="J327" s="49">
        <f>SUM(J328:J330)</f>
        <v/>
      </c>
      <c r="K327" s="48" t="n"/>
      <c r="L327" s="48" t="n"/>
      <c r="M327" s="48" t="n"/>
    </row>
    <row r="328" outlineLevel="1">
      <c r="A328" s="27" t="n"/>
      <c r="B328" s="27" t="inlineStr">
        <is>
          <t>4012.A</t>
        </is>
      </c>
      <c r="C328" s="7" t="inlineStr">
        <is>
          <t>Dijital IP (NTP, PoE) çift yüzlü peron saati, dış ortam</t>
        </is>
      </c>
      <c r="D328" s="27" t="inlineStr">
        <is>
          <t>adet</t>
        </is>
      </c>
      <c r="E328" s="50" t="n">
        <v>2</v>
      </c>
      <c r="F328" s="50" t="n">
        <v>2</v>
      </c>
      <c r="G328" s="27" t="inlineStr">
        <is>
          <t>-</t>
        </is>
      </c>
      <c r="H328" s="50">
        <f>F328</f>
        <v/>
      </c>
      <c r="I328" s="51" t="n">
        <v>3000</v>
      </c>
      <c r="J328" s="28">
        <f>H328*I328</f>
        <v/>
      </c>
      <c r="K328" s="62" t="inlineStr">
        <is>
          <t>2026 TEKLİF</t>
        </is>
      </c>
      <c r="L328" s="7" t="inlineStr">
        <is>
          <t>TEKLİF (ON Elektronik/RayON MSS 06.10.2026: malz. 2500 + işç. 500 EUR)</t>
        </is>
      </c>
      <c r="M328" s="7" t="inlineStr">
        <is>
          <t>Teklif öncesi BF 2,640.16</t>
        </is>
      </c>
    </row>
    <row r="329" outlineLevel="1">
      <c r="A329" s="27" t="n"/>
      <c r="B329" s="27" t="inlineStr">
        <is>
          <t>4012.A</t>
        </is>
      </c>
      <c r="C329" s="7" t="inlineStr">
        <is>
          <t>CAT6 S/FTP kablo (saat)</t>
        </is>
      </c>
      <c r="D329" s="27" t="inlineStr">
        <is>
          <t>m</t>
        </is>
      </c>
      <c r="E329" s="50" t="n">
        <v>86</v>
      </c>
      <c r="F329" s="50" t="n">
        <v>86</v>
      </c>
      <c r="G329" s="27" t="inlineStr">
        <is>
          <t>fire+%30</t>
        </is>
      </c>
      <c r="H329" s="50">
        <f>F329/IF(Varsayimlar!$B$21=1,1.43,1)</f>
        <v/>
      </c>
      <c r="I329" s="51" t="n">
        <v>2.48</v>
      </c>
      <c r="J329" s="28">
        <f>H329*I329</f>
        <v/>
      </c>
      <c r="K329" s="52" t="inlineStr">
        <is>
          <t>GEÇMİŞ TEKLİF UYARLAMA</t>
        </is>
      </c>
      <c r="L329" s="7" t="inlineStr">
        <is>
          <t>REF-derin – Pendik-Kaynarca M/YM 2022 2.45x1.3; SAGE bina/YM 2018 2.48; Üçyol-Buca M/Nokia/ALE 2021 1.40x1.3 | Ekranlı/LS0H-FE180 CAT6-7; malzemeye +%30 çekim | sonuç 2.48 [Emsal ID: R02987;R02994;R02238]</t>
        </is>
      </c>
      <c r="M329" s="7" t="inlineStr">
        <is>
          <t>İlk tahmin BF 1.30</t>
        </is>
      </c>
    </row>
    <row r="330" outlineLevel="1">
      <c r="A330" s="27" t="n"/>
      <c r="B330" s="27" t="inlineStr">
        <is>
          <t>4012.A</t>
        </is>
      </c>
      <c r="C330" s="7" t="inlineStr">
        <is>
          <t>Saat montaj konsolu/askı</t>
        </is>
      </c>
      <c r="D330" s="27" t="inlineStr">
        <is>
          <t>adet</t>
        </is>
      </c>
      <c r="E330" s="50" t="n">
        <v>2</v>
      </c>
      <c r="F330" s="50" t="n">
        <v>2</v>
      </c>
      <c r="G330" s="27" t="inlineStr">
        <is>
          <t>-</t>
        </is>
      </c>
      <c r="H330" s="50">
        <f>F330</f>
        <v/>
      </c>
      <c r="I330" s="51" t="n">
        <v>0</v>
      </c>
      <c r="J330" s="28">
        <f>H330*I330</f>
        <v/>
      </c>
      <c r="K330" s="62" t="inlineStr">
        <is>
          <t>2026 TEKLİF</t>
        </is>
      </c>
      <c r="L330" s="7" t="inlineStr">
        <is>
          <t>TEKLİF (ON Elektronik/RayON MSS 06.10.2026: birim fiyata dahil – "Saat tavan veya duvar askı aparatı saat fiyatına dahildir.")</t>
        </is>
      </c>
      <c r="M330" s="7" t="inlineStr">
        <is>
          <t>Ref n=1; montaj konsolu | Teklif öncesi BF 300.00</t>
        </is>
      </c>
    </row>
    <row r="331">
      <c r="A331" s="48" t="inlineStr">
        <is>
          <t>283</t>
        </is>
      </c>
      <c r="B331" s="48" t="inlineStr">
        <is>
          <t>4012.B</t>
        </is>
      </c>
      <c r="C331" s="48" t="inlineStr">
        <is>
          <t>Hızmalı Köprüsü İstasyonu Saat Sistemi (1 set)</t>
        </is>
      </c>
      <c r="D331" s="48" t="n"/>
      <c r="E331" s="48" t="n"/>
      <c r="F331" s="48" t="n"/>
      <c r="G331" s="48" t="n"/>
      <c r="H331" s="48" t="inlineStr">
        <is>
          <t>RFQ tutarı →</t>
        </is>
      </c>
      <c r="I331" s="49">
        <f>SUMPRODUCT(E332:E334,I332:I334)</f>
        <v/>
      </c>
      <c r="J331" s="49">
        <f>SUM(J332:J334)</f>
        <v/>
      </c>
      <c r="K331" s="48" t="n"/>
      <c r="L331" s="48" t="n"/>
      <c r="M331" s="48" t="n"/>
    </row>
    <row r="332" outlineLevel="1">
      <c r="A332" s="27" t="n"/>
      <c r="B332" s="27" t="inlineStr">
        <is>
          <t>4012.B</t>
        </is>
      </c>
      <c r="C332" s="7" t="inlineStr">
        <is>
          <t>Dijital IP (NTP, PoE) çift yüzlü peron saati, dış ortam</t>
        </is>
      </c>
      <c r="D332" s="27" t="inlineStr">
        <is>
          <t>adet</t>
        </is>
      </c>
      <c r="E332" s="50" t="n">
        <v>2</v>
      </c>
      <c r="F332" s="50" t="n">
        <v>2</v>
      </c>
      <c r="G332" s="27" t="inlineStr">
        <is>
          <t>-</t>
        </is>
      </c>
      <c r="H332" s="50">
        <f>F332</f>
        <v/>
      </c>
      <c r="I332" s="51" t="n">
        <v>3000</v>
      </c>
      <c r="J332" s="28">
        <f>H332*I332</f>
        <v/>
      </c>
      <c r="K332" s="62" t="inlineStr">
        <is>
          <t>2026 TEKLİF</t>
        </is>
      </c>
      <c r="L332" s="7" t="inlineStr">
        <is>
          <t>TEKLİF (ON Elektronik/RayON MSS 06.10.2026: malz. 2500 + işç. 500 EUR)</t>
        </is>
      </c>
      <c r="M332" s="7" t="inlineStr">
        <is>
          <t>Teklif öncesi BF 2,640.16</t>
        </is>
      </c>
    </row>
    <row r="333" outlineLevel="1">
      <c r="A333" s="27" t="n"/>
      <c r="B333" s="27" t="inlineStr">
        <is>
          <t>4012.B</t>
        </is>
      </c>
      <c r="C333" s="7" t="inlineStr">
        <is>
          <t>CAT6 S/FTP kablo (saat)</t>
        </is>
      </c>
      <c r="D333" s="27" t="inlineStr">
        <is>
          <t>m</t>
        </is>
      </c>
      <c r="E333" s="50" t="n">
        <v>129</v>
      </c>
      <c r="F333" s="50" t="n">
        <v>129</v>
      </c>
      <c r="G333" s="27" t="inlineStr">
        <is>
          <t>fire+%30</t>
        </is>
      </c>
      <c r="H333" s="50">
        <f>F333/IF(Varsayimlar!$B$21=1,1.43,1)</f>
        <v/>
      </c>
      <c r="I333" s="51" t="n">
        <v>2.48</v>
      </c>
      <c r="J333" s="28">
        <f>H333*I333</f>
        <v/>
      </c>
      <c r="K333" s="52" t="inlineStr">
        <is>
          <t>GEÇMİŞ TEKLİF UYARLAMA</t>
        </is>
      </c>
      <c r="L333" s="7" t="inlineStr">
        <is>
          <t>REF-derin – Pendik-Kaynarca M/YM 2022 2.45x1.3; SAGE bina/YM 2018 2.48; Üçyol-Buca M/Nokia/ALE 2021 1.40x1.3 | Ekranlı/LS0H-FE180 CAT6-7; malzemeye +%30 çekim | sonuç 2.48 [Emsal ID: R02987;R02994;R02238]</t>
        </is>
      </c>
      <c r="M333" s="7" t="inlineStr">
        <is>
          <t>İlk tahmin BF 1.30</t>
        </is>
      </c>
    </row>
    <row r="334" outlineLevel="1">
      <c r="A334" s="27" t="n"/>
      <c r="B334" s="27" t="inlineStr">
        <is>
          <t>4012.B</t>
        </is>
      </c>
      <c r="C334" s="7" t="inlineStr">
        <is>
          <t>Saat montaj konsolu/askı</t>
        </is>
      </c>
      <c r="D334" s="27" t="inlineStr">
        <is>
          <t>adet</t>
        </is>
      </c>
      <c r="E334" s="50" t="n">
        <v>2</v>
      </c>
      <c r="F334" s="50" t="n">
        <v>2</v>
      </c>
      <c r="G334" s="27" t="inlineStr">
        <is>
          <t>-</t>
        </is>
      </c>
      <c r="H334" s="50">
        <f>F334</f>
        <v/>
      </c>
      <c r="I334" s="51" t="n">
        <v>0</v>
      </c>
      <c r="J334" s="28">
        <f>H334*I334</f>
        <v/>
      </c>
      <c r="K334" s="62" t="inlineStr">
        <is>
          <t>2026 TEKLİF</t>
        </is>
      </c>
      <c r="L334" s="7" t="inlineStr">
        <is>
          <t>TEKLİF (ON Elektronik/RayON MSS 06.10.2026: birim fiyata dahil – "Saat tavan veya duvar askı aparatı saat fiyatına dahildir.")</t>
        </is>
      </c>
      <c r="M334" s="7" t="inlineStr">
        <is>
          <t>Ref n=1; montaj konsolu | Teklif öncesi BF 300.00</t>
        </is>
      </c>
    </row>
    <row r="335">
      <c r="A335" s="48" t="inlineStr">
        <is>
          <t>284</t>
        </is>
      </c>
      <c r="B335" s="48" t="inlineStr">
        <is>
          <t>4012.C</t>
        </is>
      </c>
      <c r="C335" s="48" t="inlineStr">
        <is>
          <t>Balıklıgöl İstasyonu Saat Sistemi (1 set)</t>
        </is>
      </c>
      <c r="D335" s="48" t="n"/>
      <c r="E335" s="48" t="n"/>
      <c r="F335" s="48" t="n"/>
      <c r="G335" s="48" t="n"/>
      <c r="H335" s="48" t="inlineStr">
        <is>
          <t>RFQ tutarı →</t>
        </is>
      </c>
      <c r="I335" s="49">
        <f>SUMPRODUCT(E336:E338,I336:I338)</f>
        <v/>
      </c>
      <c r="J335" s="49">
        <f>SUM(J336:J338)</f>
        <v/>
      </c>
      <c r="K335" s="48" t="n"/>
      <c r="L335" s="48" t="n"/>
      <c r="M335" s="48" t="n"/>
    </row>
    <row r="336" outlineLevel="1">
      <c r="A336" s="27" t="n"/>
      <c r="B336" s="27" t="inlineStr">
        <is>
          <t>4012.C</t>
        </is>
      </c>
      <c r="C336" s="7" t="inlineStr">
        <is>
          <t>Dijital IP (NTP, PoE) çift yüzlü peron saati, dış ortam</t>
        </is>
      </c>
      <c r="D336" s="27" t="inlineStr">
        <is>
          <t>adet</t>
        </is>
      </c>
      <c r="E336" s="50" t="n">
        <v>2</v>
      </c>
      <c r="F336" s="50" t="n">
        <v>2</v>
      </c>
      <c r="G336" s="27" t="inlineStr">
        <is>
          <t>-</t>
        </is>
      </c>
      <c r="H336" s="50">
        <f>F336</f>
        <v/>
      </c>
      <c r="I336" s="51" t="n">
        <v>3000</v>
      </c>
      <c r="J336" s="28">
        <f>H336*I336</f>
        <v/>
      </c>
      <c r="K336" s="62" t="inlineStr">
        <is>
          <t>2026 TEKLİF</t>
        </is>
      </c>
      <c r="L336" s="7" t="inlineStr">
        <is>
          <t>TEKLİF (ON Elektronik/RayON MSS 06.10.2026: malz. 2500 + işç. 500 EUR)</t>
        </is>
      </c>
      <c r="M336" s="7" t="inlineStr">
        <is>
          <t>Teklif öncesi BF 2,640.16</t>
        </is>
      </c>
    </row>
    <row r="337" outlineLevel="1">
      <c r="A337" s="27" t="n"/>
      <c r="B337" s="27" t="inlineStr">
        <is>
          <t>4012.C</t>
        </is>
      </c>
      <c r="C337" s="7" t="inlineStr">
        <is>
          <t>CAT6 S/FTP kablo (saat)</t>
        </is>
      </c>
      <c r="D337" s="27" t="inlineStr">
        <is>
          <t>m</t>
        </is>
      </c>
      <c r="E337" s="50" t="n">
        <v>129</v>
      </c>
      <c r="F337" s="50" t="n">
        <v>129</v>
      </c>
      <c r="G337" s="27" t="inlineStr">
        <is>
          <t>fire+%30</t>
        </is>
      </c>
      <c r="H337" s="50">
        <f>F337/IF(Varsayimlar!$B$21=1,1.43,1)</f>
        <v/>
      </c>
      <c r="I337" s="51" t="n">
        <v>2.48</v>
      </c>
      <c r="J337" s="28">
        <f>H337*I337</f>
        <v/>
      </c>
      <c r="K337" s="52" t="inlineStr">
        <is>
          <t>GEÇMİŞ TEKLİF UYARLAMA</t>
        </is>
      </c>
      <c r="L337" s="7" t="inlineStr">
        <is>
          <t>REF-derin – Pendik-Kaynarca M/YM 2022 2.45x1.3; SAGE bina/YM 2018 2.48; Üçyol-Buca M/Nokia/ALE 2021 1.40x1.3 | Ekranlı/LS0H-FE180 CAT6-7; malzemeye +%30 çekim | sonuç 2.48 [Emsal ID: R02987;R02994;R02238]</t>
        </is>
      </c>
      <c r="M337" s="7" t="inlineStr">
        <is>
          <t>İlk tahmin BF 1.30</t>
        </is>
      </c>
    </row>
    <row r="338" outlineLevel="1">
      <c r="A338" s="27" t="n"/>
      <c r="B338" s="27" t="inlineStr">
        <is>
          <t>4012.C</t>
        </is>
      </c>
      <c r="C338" s="7" t="inlineStr">
        <is>
          <t>Saat montaj konsolu/askı</t>
        </is>
      </c>
      <c r="D338" s="27" t="inlineStr">
        <is>
          <t>adet</t>
        </is>
      </c>
      <c r="E338" s="50" t="n">
        <v>2</v>
      </c>
      <c r="F338" s="50" t="n">
        <v>2</v>
      </c>
      <c r="G338" s="27" t="inlineStr">
        <is>
          <t>-</t>
        </is>
      </c>
      <c r="H338" s="50">
        <f>F338</f>
        <v/>
      </c>
      <c r="I338" s="51" t="n">
        <v>0</v>
      </c>
      <c r="J338" s="28">
        <f>H338*I338</f>
        <v/>
      </c>
      <c r="K338" s="62" t="inlineStr">
        <is>
          <t>2026 TEKLİF</t>
        </is>
      </c>
      <c r="L338" s="7" t="inlineStr">
        <is>
          <t>TEKLİF (ON Elektronik/RayON MSS 06.10.2026: birim fiyata dahil – "Saat tavan veya duvar askı aparatı saat fiyatına dahildir.")</t>
        </is>
      </c>
      <c r="M338" s="7" t="inlineStr">
        <is>
          <t>Ref n=1; montaj konsolu | Teklif öncesi BF 300.00</t>
        </is>
      </c>
    </row>
    <row r="339">
      <c r="A339" s="48" t="inlineStr">
        <is>
          <t>285</t>
        </is>
      </c>
      <c r="B339" s="48" t="inlineStr">
        <is>
          <t>4012.D</t>
        </is>
      </c>
      <c r="C339" s="48" t="inlineStr">
        <is>
          <t>Eyüp Peygamber İstasyonu Saat Sistemi (1 set)</t>
        </is>
      </c>
      <c r="D339" s="48" t="n"/>
      <c r="E339" s="48" t="n"/>
      <c r="F339" s="48" t="n"/>
      <c r="G339" s="48" t="n"/>
      <c r="H339" s="48" t="inlineStr">
        <is>
          <t>RFQ tutarı →</t>
        </is>
      </c>
      <c r="I339" s="49">
        <f>SUMPRODUCT(E340:E342,I340:I342)</f>
        <v/>
      </c>
      <c r="J339" s="49">
        <f>SUM(J340:J342)</f>
        <v/>
      </c>
      <c r="K339" s="48" t="n"/>
      <c r="L339" s="48" t="n"/>
      <c r="M339" s="48" t="n"/>
    </row>
    <row r="340" outlineLevel="1">
      <c r="A340" s="27" t="n"/>
      <c r="B340" s="27" t="inlineStr">
        <is>
          <t>4012.D</t>
        </is>
      </c>
      <c r="C340" s="7" t="inlineStr">
        <is>
          <t>Dijital IP (NTP, PoE) çift yüzlü peron saati, dış ortam</t>
        </is>
      </c>
      <c r="D340" s="27" t="inlineStr">
        <is>
          <t>adet</t>
        </is>
      </c>
      <c r="E340" s="50" t="n">
        <v>2</v>
      </c>
      <c r="F340" s="50" t="n">
        <v>2</v>
      </c>
      <c r="G340" s="27" t="inlineStr">
        <is>
          <t>-</t>
        </is>
      </c>
      <c r="H340" s="50">
        <f>F340</f>
        <v/>
      </c>
      <c r="I340" s="51" t="n">
        <v>3000</v>
      </c>
      <c r="J340" s="28">
        <f>H340*I340</f>
        <v/>
      </c>
      <c r="K340" s="62" t="inlineStr">
        <is>
          <t>2026 TEKLİF</t>
        </is>
      </c>
      <c r="L340" s="7" t="inlineStr">
        <is>
          <t>TEKLİF (ON Elektronik/RayON MSS 06.10.2026: malz. 2500 + işç. 500 EUR)</t>
        </is>
      </c>
      <c r="M340" s="7" t="inlineStr">
        <is>
          <t>Teklif öncesi BF 2,640.16</t>
        </is>
      </c>
    </row>
    <row r="341" outlineLevel="1">
      <c r="A341" s="27" t="n"/>
      <c r="B341" s="27" t="inlineStr">
        <is>
          <t>4012.D</t>
        </is>
      </c>
      <c r="C341" s="7" t="inlineStr">
        <is>
          <t>CAT6 S/FTP kablo (saat)</t>
        </is>
      </c>
      <c r="D341" s="27" t="inlineStr">
        <is>
          <t>m</t>
        </is>
      </c>
      <c r="E341" s="50" t="n">
        <v>129</v>
      </c>
      <c r="F341" s="50" t="n">
        <v>129</v>
      </c>
      <c r="G341" s="27" t="inlineStr">
        <is>
          <t>fire+%30</t>
        </is>
      </c>
      <c r="H341" s="50">
        <f>F341/IF(Varsayimlar!$B$21=1,1.43,1)</f>
        <v/>
      </c>
      <c r="I341" s="51" t="n">
        <v>2.48</v>
      </c>
      <c r="J341" s="28">
        <f>H341*I341</f>
        <v/>
      </c>
      <c r="K341" s="52" t="inlineStr">
        <is>
          <t>GEÇMİŞ TEKLİF UYARLAMA</t>
        </is>
      </c>
      <c r="L341" s="7" t="inlineStr">
        <is>
          <t>REF-derin – Pendik-Kaynarca M/YM 2022 2.45x1.3; SAGE bina/YM 2018 2.48; Üçyol-Buca M/Nokia/ALE 2021 1.40x1.3 | Ekranlı/LS0H-FE180 CAT6-7; malzemeye +%30 çekim | sonuç 2.48 [Emsal ID: R02987;R02994;R02238]</t>
        </is>
      </c>
      <c r="M341" s="7" t="inlineStr">
        <is>
          <t>İlk tahmin BF 1.30</t>
        </is>
      </c>
    </row>
    <row r="342" outlineLevel="1">
      <c r="A342" s="27" t="n"/>
      <c r="B342" s="27" t="inlineStr">
        <is>
          <t>4012.D</t>
        </is>
      </c>
      <c r="C342" s="7" t="inlineStr">
        <is>
          <t>Saat montaj konsolu/askı</t>
        </is>
      </c>
      <c r="D342" s="27" t="inlineStr">
        <is>
          <t>adet</t>
        </is>
      </c>
      <c r="E342" s="50" t="n">
        <v>2</v>
      </c>
      <c r="F342" s="50" t="n">
        <v>2</v>
      </c>
      <c r="G342" s="27" t="inlineStr">
        <is>
          <t>-</t>
        </is>
      </c>
      <c r="H342" s="50">
        <f>F342</f>
        <v/>
      </c>
      <c r="I342" s="51" t="n">
        <v>0</v>
      </c>
      <c r="J342" s="28">
        <f>H342*I342</f>
        <v/>
      </c>
      <c r="K342" s="62" t="inlineStr">
        <is>
          <t>2026 TEKLİF</t>
        </is>
      </c>
      <c r="L342" s="7" t="inlineStr">
        <is>
          <t>TEKLİF (ON Elektronik/RayON MSS 06.10.2026: birim fiyata dahil – "Saat tavan veya duvar askı aparatı saat fiyatına dahildir.")</t>
        </is>
      </c>
      <c r="M342" s="7" t="inlineStr">
        <is>
          <t>Ref n=1; montaj konsolu | Teklif öncesi BF 300.00</t>
        </is>
      </c>
    </row>
    <row r="343">
      <c r="A343" s="48" t="inlineStr">
        <is>
          <t>286</t>
        </is>
      </c>
      <c r="B343" s="48" t="inlineStr">
        <is>
          <t>4012.E</t>
        </is>
      </c>
      <c r="C343" s="48" t="inlineStr">
        <is>
          <t>Rasathane İstasyonu Saat Sistemi (1 set)</t>
        </is>
      </c>
      <c r="D343" s="48" t="n"/>
      <c r="E343" s="48" t="n"/>
      <c r="F343" s="48" t="n"/>
      <c r="G343" s="48" t="n"/>
      <c r="H343" s="48" t="inlineStr">
        <is>
          <t>RFQ tutarı →</t>
        </is>
      </c>
      <c r="I343" s="49">
        <f>SUMPRODUCT(E344:E346,I344:I346)</f>
        <v/>
      </c>
      <c r="J343" s="49">
        <f>SUM(J344:J346)</f>
        <v/>
      </c>
      <c r="K343" s="48" t="n"/>
      <c r="L343" s="48" t="n"/>
      <c r="M343" s="48" t="n"/>
    </row>
    <row r="344" outlineLevel="1">
      <c r="A344" s="27" t="n"/>
      <c r="B344" s="27" t="inlineStr">
        <is>
          <t>4012.E</t>
        </is>
      </c>
      <c r="C344" s="7" t="inlineStr">
        <is>
          <t>Dijital IP (NTP, PoE) çift yüzlü peron saati, dış ortam</t>
        </is>
      </c>
      <c r="D344" s="27" t="inlineStr">
        <is>
          <t>adet</t>
        </is>
      </c>
      <c r="E344" s="50" t="n">
        <v>2</v>
      </c>
      <c r="F344" s="50" t="n">
        <v>2</v>
      </c>
      <c r="G344" s="27" t="inlineStr">
        <is>
          <t>-</t>
        </is>
      </c>
      <c r="H344" s="50">
        <f>F344</f>
        <v/>
      </c>
      <c r="I344" s="51" t="n">
        <v>3000</v>
      </c>
      <c r="J344" s="28">
        <f>H344*I344</f>
        <v/>
      </c>
      <c r="K344" s="62" t="inlineStr">
        <is>
          <t>2026 TEKLİF</t>
        </is>
      </c>
      <c r="L344" s="7" t="inlineStr">
        <is>
          <t>TEKLİF (ON Elektronik/RayON MSS 06.10.2026: malz. 2500 + işç. 500 EUR)</t>
        </is>
      </c>
      <c r="M344" s="7" t="inlineStr">
        <is>
          <t>Teklif öncesi BF 2,640.16</t>
        </is>
      </c>
    </row>
    <row r="345" outlineLevel="1">
      <c r="A345" s="27" t="n"/>
      <c r="B345" s="27" t="inlineStr">
        <is>
          <t>4012.E</t>
        </is>
      </c>
      <c r="C345" s="7" t="inlineStr">
        <is>
          <t>CAT6 S/FTP kablo (saat)</t>
        </is>
      </c>
      <c r="D345" s="27" t="inlineStr">
        <is>
          <t>m</t>
        </is>
      </c>
      <c r="E345" s="50" t="n">
        <v>129</v>
      </c>
      <c r="F345" s="50" t="n">
        <v>129</v>
      </c>
      <c r="G345" s="27" t="inlineStr">
        <is>
          <t>fire+%30</t>
        </is>
      </c>
      <c r="H345" s="50">
        <f>F345/IF(Varsayimlar!$B$21=1,1.43,1)</f>
        <v/>
      </c>
      <c r="I345" s="51" t="n">
        <v>2.48</v>
      </c>
      <c r="J345" s="28">
        <f>H345*I345</f>
        <v/>
      </c>
      <c r="K345" s="52" t="inlineStr">
        <is>
          <t>GEÇMİŞ TEKLİF UYARLAMA</t>
        </is>
      </c>
      <c r="L345" s="7" t="inlineStr">
        <is>
          <t>REF-derin – Pendik-Kaynarca M/YM 2022 2.45x1.3; SAGE bina/YM 2018 2.48; Üçyol-Buca M/Nokia/ALE 2021 1.40x1.3 | Ekranlı/LS0H-FE180 CAT6-7; malzemeye +%30 çekim | sonuç 2.48 [Emsal ID: R02987;R02994;R02238]</t>
        </is>
      </c>
      <c r="M345" s="7" t="inlineStr">
        <is>
          <t>İlk tahmin BF 1.30</t>
        </is>
      </c>
    </row>
    <row r="346" outlineLevel="1">
      <c r="A346" s="27" t="n"/>
      <c r="B346" s="27" t="inlineStr">
        <is>
          <t>4012.E</t>
        </is>
      </c>
      <c r="C346" s="7" t="inlineStr">
        <is>
          <t>Saat montaj konsolu/askı</t>
        </is>
      </c>
      <c r="D346" s="27" t="inlineStr">
        <is>
          <t>adet</t>
        </is>
      </c>
      <c r="E346" s="50" t="n">
        <v>2</v>
      </c>
      <c r="F346" s="50" t="n">
        <v>2</v>
      </c>
      <c r="G346" s="27" t="inlineStr">
        <is>
          <t>-</t>
        </is>
      </c>
      <c r="H346" s="50">
        <f>F346</f>
        <v/>
      </c>
      <c r="I346" s="51" t="n">
        <v>0</v>
      </c>
      <c r="J346" s="28">
        <f>H346*I346</f>
        <v/>
      </c>
      <c r="K346" s="62" t="inlineStr">
        <is>
          <t>2026 TEKLİF</t>
        </is>
      </c>
      <c r="L346" s="7" t="inlineStr">
        <is>
          <t>TEKLİF (ON Elektronik/RayON MSS 06.10.2026: birim fiyata dahil – "Saat tavan veya duvar askı aparatı saat fiyatına dahildir.")</t>
        </is>
      </c>
      <c r="M346" s="7" t="inlineStr">
        <is>
          <t>Ref n=1; montaj konsolu | Teklif öncesi BF 300.00</t>
        </is>
      </c>
    </row>
    <row r="347">
      <c r="A347" s="48" t="inlineStr">
        <is>
          <t>287</t>
        </is>
      </c>
      <c r="B347" s="48" t="inlineStr">
        <is>
          <t>4012.F</t>
        </is>
      </c>
      <c r="C347" s="48" t="inlineStr">
        <is>
          <t>Harran İstasyonu Saat Sistemi (1 set)</t>
        </is>
      </c>
      <c r="D347" s="48" t="n"/>
      <c r="E347" s="48" t="n"/>
      <c r="F347" s="48" t="n"/>
      <c r="G347" s="48" t="n"/>
      <c r="H347" s="48" t="inlineStr">
        <is>
          <t>RFQ tutarı →</t>
        </is>
      </c>
      <c r="I347" s="49">
        <f>SUMPRODUCT(E348:E350,I348:I350)</f>
        <v/>
      </c>
      <c r="J347" s="49">
        <f>SUM(J348:J350)</f>
        <v/>
      </c>
      <c r="K347" s="48" t="n"/>
      <c r="L347" s="48" t="n"/>
      <c r="M347" s="48" t="n"/>
    </row>
    <row r="348" outlineLevel="1">
      <c r="A348" s="27" t="n"/>
      <c r="B348" s="27" t="inlineStr">
        <is>
          <t>4012.F</t>
        </is>
      </c>
      <c r="C348" s="7" t="inlineStr">
        <is>
          <t>Dijital IP (NTP, PoE) çift yüzlü peron saati, dış ortam</t>
        </is>
      </c>
      <c r="D348" s="27" t="inlineStr">
        <is>
          <t>adet</t>
        </is>
      </c>
      <c r="E348" s="50" t="n">
        <v>2</v>
      </c>
      <c r="F348" s="50" t="n">
        <v>2</v>
      </c>
      <c r="G348" s="27" t="inlineStr">
        <is>
          <t>-</t>
        </is>
      </c>
      <c r="H348" s="50">
        <f>F348</f>
        <v/>
      </c>
      <c r="I348" s="51" t="n">
        <v>3000</v>
      </c>
      <c r="J348" s="28">
        <f>H348*I348</f>
        <v/>
      </c>
      <c r="K348" s="62" t="inlineStr">
        <is>
          <t>2026 TEKLİF</t>
        </is>
      </c>
      <c r="L348" s="7" t="inlineStr">
        <is>
          <t>TEKLİF (ON Elektronik/RayON MSS 06.10.2026: malz. 2500 + işç. 500 EUR)</t>
        </is>
      </c>
      <c r="M348" s="7" t="inlineStr">
        <is>
          <t>Teklif öncesi BF 2,640.16</t>
        </is>
      </c>
    </row>
    <row r="349" outlineLevel="1">
      <c r="A349" s="27" t="n"/>
      <c r="B349" s="27" t="inlineStr">
        <is>
          <t>4012.F</t>
        </is>
      </c>
      <c r="C349" s="7" t="inlineStr">
        <is>
          <t>CAT6 S/FTP kablo (saat)</t>
        </is>
      </c>
      <c r="D349" s="27" t="inlineStr">
        <is>
          <t>m</t>
        </is>
      </c>
      <c r="E349" s="50" t="n">
        <v>129</v>
      </c>
      <c r="F349" s="50" t="n">
        <v>129</v>
      </c>
      <c r="G349" s="27" t="inlineStr">
        <is>
          <t>fire+%30</t>
        </is>
      </c>
      <c r="H349" s="50">
        <f>F349/IF(Varsayimlar!$B$21=1,1.43,1)</f>
        <v/>
      </c>
      <c r="I349" s="51" t="n">
        <v>2.48</v>
      </c>
      <c r="J349" s="28">
        <f>H349*I349</f>
        <v/>
      </c>
      <c r="K349" s="52" t="inlineStr">
        <is>
          <t>GEÇMİŞ TEKLİF UYARLAMA</t>
        </is>
      </c>
      <c r="L349" s="7" t="inlineStr">
        <is>
          <t>REF-derin – Pendik-Kaynarca M/YM 2022 2.45x1.3; SAGE bina/YM 2018 2.48; Üçyol-Buca M/Nokia/ALE 2021 1.40x1.3 | Ekranlı/LS0H-FE180 CAT6-7; malzemeye +%30 çekim | sonuç 2.48 [Emsal ID: R02987;R02994;R02238]</t>
        </is>
      </c>
      <c r="M349" s="7" t="inlineStr">
        <is>
          <t>İlk tahmin BF 1.30</t>
        </is>
      </c>
    </row>
    <row r="350" outlineLevel="1">
      <c r="A350" s="27" t="n"/>
      <c r="B350" s="27" t="inlineStr">
        <is>
          <t>4012.F</t>
        </is>
      </c>
      <c r="C350" s="7" t="inlineStr">
        <is>
          <t>Saat montaj konsolu/askı</t>
        </is>
      </c>
      <c r="D350" s="27" t="inlineStr">
        <is>
          <t>adet</t>
        </is>
      </c>
      <c r="E350" s="50" t="n">
        <v>2</v>
      </c>
      <c r="F350" s="50" t="n">
        <v>2</v>
      </c>
      <c r="G350" s="27" t="inlineStr">
        <is>
          <t>-</t>
        </is>
      </c>
      <c r="H350" s="50">
        <f>F350</f>
        <v/>
      </c>
      <c r="I350" s="51" t="n">
        <v>0</v>
      </c>
      <c r="J350" s="28">
        <f>H350*I350</f>
        <v/>
      </c>
      <c r="K350" s="62" t="inlineStr">
        <is>
          <t>2026 TEKLİF</t>
        </is>
      </c>
      <c r="L350" s="7" t="inlineStr">
        <is>
          <t>TEKLİF (ON Elektronik/RayON MSS 06.10.2026: birim fiyata dahil – "Saat tavan veya duvar askı aparatı saat fiyatına dahildir.")</t>
        </is>
      </c>
      <c r="M350" s="7" t="inlineStr">
        <is>
          <t>Ref n=1; montaj konsolu | Teklif öncesi BF 300.00</t>
        </is>
      </c>
    </row>
    <row r="351">
      <c r="A351" s="48" t="inlineStr">
        <is>
          <t>288</t>
        </is>
      </c>
      <c r="B351" s="48" t="inlineStr">
        <is>
          <t>4012.G</t>
        </is>
      </c>
      <c r="C351" s="48" t="inlineStr">
        <is>
          <t>Depo Sahası ve Tesisleri Saat Sistemi (4 set)</t>
        </is>
      </c>
      <c r="D351" s="48" t="n"/>
      <c r="E351" s="48" t="n"/>
      <c r="F351" s="48" t="n"/>
      <c r="G351" s="48" t="n"/>
      <c r="H351" s="48" t="inlineStr">
        <is>
          <t>RFQ tutarı →</t>
        </is>
      </c>
      <c r="I351" s="49">
        <f>SUMPRODUCT(E352:E356,I352:I356)</f>
        <v/>
      </c>
      <c r="J351" s="49">
        <f>SUM(J352:J356)</f>
        <v/>
      </c>
      <c r="K351" s="48" t="n"/>
      <c r="L351" s="48" t="n"/>
      <c r="M351" s="48" t="n"/>
    </row>
    <row r="352" outlineLevel="1">
      <c r="A352" s="27" t="n"/>
      <c r="B352" s="27" t="inlineStr">
        <is>
          <t>4012.G</t>
        </is>
      </c>
      <c r="C352" s="7" t="inlineStr">
        <is>
          <t>IP (NTP/PoE) duvar saati — D01 (set 1)</t>
        </is>
      </c>
      <c r="D352" s="27" t="inlineStr">
        <is>
          <t>adet</t>
        </is>
      </c>
      <c r="E352" s="50" t="n">
        <v>14</v>
      </c>
      <c r="F352" s="50" t="n">
        <v>14</v>
      </c>
      <c r="G352" s="27" t="inlineStr">
        <is>
          <t>-</t>
        </is>
      </c>
      <c r="H352" s="50">
        <f>F352</f>
        <v/>
      </c>
      <c r="I352" s="51" t="n">
        <v>850</v>
      </c>
      <c r="J352" s="28">
        <f>H352*I352</f>
        <v/>
      </c>
      <c r="K352" s="62" t="inlineStr">
        <is>
          <t>2026 TEKLİF</t>
        </is>
      </c>
      <c r="L352" s="7" t="inlineStr">
        <is>
          <t>TEKLİF (ON Elektronik/RayON MSS 06.10.2026: malz. 750 + işç. 100 EUR)</t>
        </is>
      </c>
      <c r="M352" s="7" t="inlineStr">
        <is>
          <t>Teklif öncesi BF 450.00</t>
        </is>
      </c>
    </row>
    <row r="353" outlineLevel="1">
      <c r="A353" s="27" t="n"/>
      <c r="B353" s="27" t="inlineStr">
        <is>
          <t>4012.G</t>
        </is>
      </c>
      <c r="C353" s="7" t="inlineStr">
        <is>
          <t>IP (NTP/PoE) duvar saati — D03, D05, D07 (set 2-4)</t>
        </is>
      </c>
      <c r="D353" s="27" t="inlineStr">
        <is>
          <t>adet</t>
        </is>
      </c>
      <c r="E353" s="50" t="n">
        <v>3</v>
      </c>
      <c r="F353" s="50" t="n">
        <v>3</v>
      </c>
      <c r="G353" s="27" t="inlineStr">
        <is>
          <t>-</t>
        </is>
      </c>
      <c r="H353" s="50">
        <f>F353</f>
        <v/>
      </c>
      <c r="I353" s="51" t="n">
        <v>1500</v>
      </c>
      <c r="J353" s="28">
        <f>H353*I353</f>
        <v/>
      </c>
      <c r="K353" s="62" t="inlineStr">
        <is>
          <t>2026 TEKLİF</t>
        </is>
      </c>
      <c r="L353" s="7" t="inlineStr">
        <is>
          <t>TEKLİF (ON Elektronik/RayON MSS 06.10.2026: malz. 1250 + işç. 250 EUR)</t>
        </is>
      </c>
      <c r="M353" s="7" t="inlineStr">
        <is>
          <t>Teklif öncesi BF 450.00</t>
        </is>
      </c>
    </row>
    <row r="354" outlineLevel="1">
      <c r="A354" s="27" t="n"/>
      <c r="B354" s="27" t="inlineStr">
        <is>
          <t>4012.G</t>
        </is>
      </c>
      <c r="C354" s="7" t="inlineStr">
        <is>
          <t>Dış ortam çift yüzlü dijital saat (atölye girişi/depo sahası)</t>
        </is>
      </c>
      <c r="D354" s="27" t="inlineStr">
        <is>
          <t>adet</t>
        </is>
      </c>
      <c r="E354" s="50" t="n">
        <v>2</v>
      </c>
      <c r="F354" s="50" t="n">
        <v>2</v>
      </c>
      <c r="G354" s="27" t="inlineStr">
        <is>
          <t>-</t>
        </is>
      </c>
      <c r="H354" s="50">
        <f>F354</f>
        <v/>
      </c>
      <c r="I354" s="51" t="n">
        <v>3000</v>
      </c>
      <c r="J354" s="28">
        <f>H354*I354</f>
        <v/>
      </c>
      <c r="K354" s="62" t="inlineStr">
        <is>
          <t>2026 TEKLİF</t>
        </is>
      </c>
      <c r="L354" s="7" t="inlineStr">
        <is>
          <t>TEKLİF (ON Elektronik/RayON MSS 06.10.2026: malz. 2500 + işç. 500 EUR)</t>
        </is>
      </c>
      <c r="M354" s="7" t="inlineStr">
        <is>
          <t>Peron saati ref ile aynı | Teklif öncesi BF 2,640.00</t>
        </is>
      </c>
    </row>
    <row r="355" outlineLevel="1">
      <c r="A355" s="27" t="n"/>
      <c r="B355" s="27" t="inlineStr">
        <is>
          <t>4012.G</t>
        </is>
      </c>
      <c r="C355" s="7" t="inlineStr">
        <is>
          <t>CAT6 kablo (saat)</t>
        </is>
      </c>
      <c r="D355" s="27" t="inlineStr">
        <is>
          <t>m</t>
        </is>
      </c>
      <c r="E355" s="50" t="n">
        <v>1139</v>
      </c>
      <c r="F355" s="50" t="n">
        <v>1139</v>
      </c>
      <c r="G355" s="27" t="inlineStr">
        <is>
          <t>fire+%30</t>
        </is>
      </c>
      <c r="H355" s="50">
        <f>F355/IF(Varsayimlar!$B$21=1,1.43,1)</f>
        <v/>
      </c>
      <c r="I355" s="51" t="n">
        <v>1.82</v>
      </c>
      <c r="J355" s="28">
        <f>H355*I355</f>
        <v/>
      </c>
      <c r="K355" s="52" t="inlineStr">
        <is>
          <t>GEÇMİŞ TEKLİF UYARLAMA</t>
        </is>
      </c>
      <c r="L355" s="7" t="inlineStr">
        <is>
          <t>REF-derin – KMM M/Uskom 2015 1.44; SAGE bina/YM 2018 2.48; Üçyol-Buca M/Nokia/ALE 2021 1.40x1.3 | Bina içi CAT6 M+İ; malzeme emsaline +%30 çekim/sonlandırma | sonuç 1.82 [Emsal ID: R02786;R02994;R02238]</t>
        </is>
      </c>
      <c r="M355" s="7" t="inlineStr">
        <is>
          <t>İlk tahmin BF 1.00</t>
        </is>
      </c>
    </row>
    <row r="356" outlineLevel="1">
      <c r="A356" s="27" t="n"/>
      <c r="B356" s="27" t="inlineStr">
        <is>
          <t>4012.G</t>
        </is>
      </c>
      <c r="C356" s="7" t="inlineStr">
        <is>
          <t>Saat alt dağıtım/NTP bağlantısı (bina switch portu, montaj)</t>
        </is>
      </c>
      <c r="D356" s="27" t="inlineStr">
        <is>
          <t>set</t>
        </is>
      </c>
      <c r="E356" s="50" t="n">
        <v>4</v>
      </c>
      <c r="F356" s="50" t="n">
        <v>4</v>
      </c>
      <c r="G356" s="27" t="inlineStr">
        <is>
          <t>-</t>
        </is>
      </c>
      <c r="H356" s="50">
        <f>F356</f>
        <v/>
      </c>
      <c r="I356" s="51" t="n">
        <v>1300</v>
      </c>
      <c r="J356" s="28">
        <f>H356*I356</f>
        <v/>
      </c>
      <c r="K356" s="62" t="inlineStr">
        <is>
          <t>2026 TEKLİF</t>
        </is>
      </c>
      <c r="L356" s="7" t="inlineStr">
        <is>
          <t>TEKLİF (ON Elektronik/RayON MSS 06.10.2026: malz. 1000 + işç. 300 EUR)</t>
        </is>
      </c>
      <c r="M356" s="7" t="inlineStr">
        <is>
          <t>Teklif öncesi BF 250.00</t>
        </is>
      </c>
    </row>
    <row r="357">
      <c r="A357" s="48" t="inlineStr">
        <is>
          <t>289</t>
        </is>
      </c>
      <c r="B357" s="48" t="inlineStr">
        <is>
          <t>4012.H</t>
        </is>
      </c>
      <c r="C357" s="48" t="inlineStr">
        <is>
          <t>Saat Sistemi Merkez Donanımı&amp;Yazılımı (1 set)</t>
        </is>
      </c>
      <c r="D357" s="48" t="n"/>
      <c r="E357" s="48" t="n"/>
      <c r="F357" s="48" t="n"/>
      <c r="G357" s="48" t="n"/>
      <c r="H357" s="48" t="inlineStr">
        <is>
          <t>RFQ tutarı →</t>
        </is>
      </c>
      <c r="I357" s="49">
        <f>SUMPRODUCT(E358:E360,I358:I360)</f>
        <v/>
      </c>
      <c r="J357" s="49">
        <f>SUM(J358:J360)</f>
        <v/>
      </c>
      <c r="K357" s="48" t="n"/>
      <c r="L357" s="48" t="n"/>
      <c r="M357" s="48" t="n"/>
    </row>
    <row r="358" outlineLevel="1">
      <c r="A358" s="27" t="n"/>
      <c r="B358" s="27" t="inlineStr">
        <is>
          <t>4012.H</t>
        </is>
      </c>
      <c r="C358" s="7" t="inlineStr">
        <is>
          <t>GPS bazlı merkezi saat / NTP sunucusu (profesyonel, yedekli, GPS anteni + kablo)</t>
        </is>
      </c>
      <c r="D358" s="27" t="inlineStr">
        <is>
          <t>set</t>
        </is>
      </c>
      <c r="E358" s="50" t="n">
        <v>1</v>
      </c>
      <c r="F358" s="50" t="n">
        <v>1</v>
      </c>
      <c r="G358" s="27" t="inlineStr">
        <is>
          <t>-</t>
        </is>
      </c>
      <c r="H358" s="50">
        <f>F358</f>
        <v/>
      </c>
      <c r="I358" s="51" t="n">
        <v>4500</v>
      </c>
      <c r="J358" s="28">
        <f>H358*I358</f>
        <v/>
      </c>
      <c r="K358" s="62" t="inlineStr">
        <is>
          <t>2026 TEKLİF</t>
        </is>
      </c>
      <c r="L358" s="7" t="inlineStr">
        <is>
          <t>TEKLİF (ON Elektronik/RayON MSS 06.10.2026: malz. 4000 + işç. 500 EUR)</t>
        </is>
      </c>
      <c r="M358" s="7" t="inlineStr">
        <is>
          <t>Yedekli GPS master clock çapa 4.000-6.000 | Teklif öncesi BF 5,000.00</t>
        </is>
      </c>
    </row>
    <row r="359" outlineLevel="1">
      <c r="A359" s="27" t="n"/>
      <c r="B359" s="27" t="inlineStr">
        <is>
          <t>4012.H</t>
        </is>
      </c>
      <c r="C359" s="7" t="inlineStr">
        <is>
          <t>Saat yönetim yazılımı + alt sistem arayüzleri (erişim kontrol, KDTV, SCADA)</t>
        </is>
      </c>
      <c r="D359" s="27" t="inlineStr">
        <is>
          <t>set</t>
        </is>
      </c>
      <c r="E359" s="50" t="n">
        <v>1</v>
      </c>
      <c r="F359" s="50" t="n">
        <v>1</v>
      </c>
      <c r="G359" s="27" t="inlineStr">
        <is>
          <t>-</t>
        </is>
      </c>
      <c r="H359" s="50">
        <f>F359</f>
        <v/>
      </c>
      <c r="I359" s="51" t="n">
        <v>1000</v>
      </c>
      <c r="J359" s="28">
        <f>H359*I359</f>
        <v/>
      </c>
      <c r="K359" s="62" t="inlineStr">
        <is>
          <t>2026 TEKLİF</t>
        </is>
      </c>
      <c r="L359" s="7" t="inlineStr">
        <is>
          <t>TEKLİF (ON Elektronik/RayON MSS 06.10.2026: malz. 500 + işç. 500 EUR)</t>
        </is>
      </c>
      <c r="M359" s="7" t="inlineStr">
        <is>
          <t>Teklif öncesi BF 4,000.00</t>
        </is>
      </c>
    </row>
    <row r="360" outlineLevel="1">
      <c r="A360" s="27" t="n"/>
      <c r="B360" s="27" t="inlineStr">
        <is>
          <t>4012.H</t>
        </is>
      </c>
      <c r="C360" s="7" t="inlineStr">
        <is>
          <t>Mevcut depo kontrol merkezi entegrasyonu: saat/NTP uyarlama + lisans</t>
        </is>
      </c>
      <c r="D360" s="27" t="inlineStr">
        <is>
          <t>set</t>
        </is>
      </c>
      <c r="E360" s="50" t="n">
        <v>1</v>
      </c>
      <c r="F360" s="54" t="n">
        <v>0</v>
      </c>
      <c r="G360" s="27" t="inlineStr">
        <is>
          <t>-</t>
        </is>
      </c>
      <c r="H360" s="50">
        <f>F360</f>
        <v/>
      </c>
      <c r="I360" s="51" t="n">
        <v>2500</v>
      </c>
      <c r="J360" s="28">
        <f>H360*I360</f>
        <v/>
      </c>
      <c r="K360" s="55" t="inlineStr">
        <is>
          <t>KAPSAM DIŞI (0)</t>
        </is>
      </c>
      <c r="L360" s="7" t="inlineStr">
        <is>
          <t>TEKLİF (ON Elektronik/RayON MSS 06.10.2026: malz. None + işç. 2500 EUR)</t>
        </is>
      </c>
      <c r="M360" s="7" t="inlineStr">
        <is>
          <t>İdare: mevcut sistem yok | Teklif öncesi BF 5,000.00</t>
        </is>
      </c>
    </row>
    <row r="361">
      <c r="A361" s="48" t="inlineStr">
        <is>
          <t>290</t>
        </is>
      </c>
      <c r="B361" s="48" t="inlineStr">
        <is>
          <t>4013</t>
        </is>
      </c>
      <c r="C361" s="48" t="inlineStr">
        <is>
          <t>Erişim Kontrol Sistemi Tasarımı (1 set)</t>
        </is>
      </c>
      <c r="D361" s="48" t="n"/>
      <c r="E361" s="48" t="n"/>
      <c r="F361" s="48" t="n"/>
      <c r="G361" s="48" t="n"/>
      <c r="H361" s="48" t="inlineStr">
        <is>
          <t>RFQ tutarı →</t>
        </is>
      </c>
      <c r="I361" s="49">
        <f>SUMPRODUCT(E362:E363,I362:I363)</f>
        <v/>
      </c>
      <c r="J361" s="49">
        <f>SUM(J362:J363)</f>
        <v/>
      </c>
      <c r="K361" s="48" t="n"/>
      <c r="L361" s="48" t="n"/>
      <c r="M361" s="48" t="n"/>
    </row>
    <row r="362" outlineLevel="1">
      <c r="A362" s="27" t="n"/>
      <c r="B362" s="27" t="inlineStr">
        <is>
          <t>4013</t>
        </is>
      </c>
      <c r="C362" s="7" t="inlineStr">
        <is>
          <t>Uygulama projeleri, sistem mimarisi/blok şemaları, hesaplar (kapı listesi, yetki matrisi)</t>
        </is>
      </c>
      <c r="D362" s="27" t="inlineStr">
        <is>
          <t>set</t>
        </is>
      </c>
      <c r="E362" s="50" t="n">
        <v>1</v>
      </c>
      <c r="F362" s="50" t="n">
        <v>1</v>
      </c>
      <c r="G362" s="27" t="inlineStr">
        <is>
          <t>-</t>
        </is>
      </c>
      <c r="H362" s="50">
        <f>F362</f>
        <v/>
      </c>
      <c r="I362" s="51" t="n">
        <v>5000</v>
      </c>
      <c r="J362" s="28">
        <f>H362*I362</f>
        <v/>
      </c>
      <c r="K362" s="53" t="inlineStr">
        <is>
          <t>MÜHENDİSLİK TAHMİNİ</t>
        </is>
      </c>
      <c r="L362" s="7" t="inlineStr">
        <is>
          <t>TAHMIN (emsal yok) – Erişim kontrol tasarımı – Uskom metro güvenlik tasarımı 31,7 k€ ölçek dışı [Emsal ID: R01577]</t>
        </is>
      </c>
      <c r="M362" s="7" t="inlineStr">
        <is>
          <t>Tasarım, küçük tramvay ölçeği</t>
        </is>
      </c>
    </row>
    <row r="363" outlineLevel="1">
      <c r="A363" s="27" t="n"/>
      <c r="B363" s="27" t="inlineStr">
        <is>
          <t>4013</t>
        </is>
      </c>
      <c r="C363" s="7" t="inlineStr">
        <is>
          <t>Dokümantasyon: malzeme onayı, test prosedürleri, as-built, işletme-bakım el kitapları, eğitim dokümanı</t>
        </is>
      </c>
      <c r="D363" s="27" t="inlineStr">
        <is>
          <t>set</t>
        </is>
      </c>
      <c r="E363" s="50" t="n">
        <v>1</v>
      </c>
      <c r="F363" s="50" t="n">
        <v>1</v>
      </c>
      <c r="G363" s="27" t="inlineStr">
        <is>
          <t>-</t>
        </is>
      </c>
      <c r="H363" s="50">
        <f>F363</f>
        <v/>
      </c>
      <c r="I363" s="51" t="n">
        <v>2500</v>
      </c>
      <c r="J363" s="28">
        <f>H363*I363</f>
        <v/>
      </c>
      <c r="K363" s="53" t="inlineStr">
        <is>
          <t>MÜHENDİSLİK TAHMİNİ</t>
        </is>
      </c>
      <c r="L363" s="7" t="inlineStr">
        <is>
          <t>TAHMIN (emsal yok) – As-built/OMM emsalleri metro ölçeği 1.330 (Ateksis KMM) - 17.078 (Uskom Narlıdere); küçük tramvay alt sistem dokümanı kıyaslanamaz, mevcut aralıkta</t>
        </is>
      </c>
      <c r="M363" s="7" t="inlineStr">
        <is>
          <t>Tasarım, küçük tramvay ölçeği</t>
        </is>
      </c>
    </row>
    <row r="364">
      <c r="A364" s="48" t="inlineStr">
        <is>
          <t>291</t>
        </is>
      </c>
      <c r="B364" s="48" t="inlineStr">
        <is>
          <t>4014.A</t>
        </is>
      </c>
      <c r="C364" s="48" t="inlineStr">
        <is>
          <t>Göbekli Tepe İstasyonu Erişim Kontrol Sistemi (1 set)</t>
        </is>
      </c>
      <c r="D364" s="48" t="n"/>
      <c r="E364" s="48" t="n"/>
      <c r="F364" s="48" t="n"/>
      <c r="G364" s="48" t="n"/>
      <c r="H364" s="48" t="inlineStr">
        <is>
          <t>RFQ tutarı →</t>
        </is>
      </c>
      <c r="I364" s="49">
        <f>SUMPRODUCT(E365:E369,I365:I369)</f>
        <v/>
      </c>
      <c r="J364" s="49">
        <f>SUM(J365:J369)</f>
        <v/>
      </c>
      <c r="K364" s="48" t="n"/>
      <c r="L364" s="48" t="n"/>
      <c r="M364" s="48" t="n"/>
    </row>
    <row r="365" outlineLevel="1">
      <c r="A365" s="27" t="n"/>
      <c r="B365" s="27" t="inlineStr">
        <is>
          <t>4014.A</t>
        </is>
      </c>
      <c r="C365" s="7" t="inlineStr">
        <is>
          <t>Erişim kontrol kontrolörü (IP, 2 kapı, yerel veri tabanı, güç kaynağı + akü)</t>
        </is>
      </c>
      <c r="D365" s="27" t="inlineStr">
        <is>
          <t>adet</t>
        </is>
      </c>
      <c r="E365" s="50" t="n">
        <v>2</v>
      </c>
      <c r="F365" s="50" t="n">
        <v>2</v>
      </c>
      <c r="G365" s="27" t="inlineStr">
        <is>
          <t>-</t>
        </is>
      </c>
      <c r="H365" s="50">
        <f>F365</f>
        <v/>
      </c>
      <c r="I365" s="51" t="n">
        <v>683.99</v>
      </c>
      <c r="J365" s="28">
        <f>H365*I365</f>
        <v/>
      </c>
      <c r="K365" s="52" t="inlineStr">
        <is>
          <t>GEÇMİŞ TEKLİF UYARLAMA</t>
        </is>
      </c>
      <c r="L365" s="7" t="inlineStr">
        <is>
          <t>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is>
      </c>
      <c r="M365" s="7" t="inlineStr">
        <is>
          <t>İlk tahmin BF 700.00</t>
        </is>
      </c>
    </row>
    <row r="366" outlineLevel="1">
      <c r="A366" s="27" t="n"/>
      <c r="B366" s="27" t="inlineStr">
        <is>
          <t>4014.A</t>
        </is>
      </c>
      <c r="C366" s="7" t="inlineStr">
        <is>
          <t>Kart okuyucu 13,56 MHz (MIFARE/DESFire, IP54)</t>
        </is>
      </c>
      <c r="D366" s="27" t="inlineStr">
        <is>
          <t>adet</t>
        </is>
      </c>
      <c r="E366" s="50" t="n">
        <v>2</v>
      </c>
      <c r="F366" s="50" t="n">
        <v>2</v>
      </c>
      <c r="G366" s="27" t="inlineStr">
        <is>
          <t>-</t>
        </is>
      </c>
      <c r="H366" s="50">
        <f>F366</f>
        <v/>
      </c>
      <c r="I366" s="51" t="n">
        <v>107.61</v>
      </c>
      <c r="J366" s="28">
        <f>H366*I366</f>
        <v/>
      </c>
      <c r="K366" s="52" t="inlineStr">
        <is>
          <t>GEÇMİŞ TEKLİF UYARLAMA</t>
        </is>
      </c>
      <c r="L366" s="7" t="inlineStr">
        <is>
          <t>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is>
      </c>
      <c r="M366" s="7" t="inlineStr">
        <is>
          <t>Ref yalnız malzeme; montajlı okuyucu | İlk tahmin BF 180.00</t>
        </is>
      </c>
    </row>
    <row r="367" outlineLevel="1">
      <c r="A367" s="27" t="n"/>
      <c r="B367" s="27" t="inlineStr">
        <is>
          <t>4014.A</t>
        </is>
      </c>
      <c r="C367" s="7" t="inlineStr">
        <is>
          <t>Elektrikli kilit / manyetik kilit 12 VDC fail-safe + kapı açma butonu + acil kırma butonu</t>
        </is>
      </c>
      <c r="D367" s="27" t="inlineStr">
        <is>
          <t>set</t>
        </is>
      </c>
      <c r="E367" s="50" t="n">
        <v>2</v>
      </c>
      <c r="F367" s="50" t="n">
        <v>2</v>
      </c>
      <c r="G367" s="27" t="inlineStr">
        <is>
          <t>-</t>
        </is>
      </c>
      <c r="H367" s="50">
        <f>F367</f>
        <v/>
      </c>
      <c r="I367" s="51" t="n">
        <v>185.89</v>
      </c>
      <c r="J367" s="28">
        <f>H367*I367</f>
        <v/>
      </c>
      <c r="K367" s="52" t="inlineStr">
        <is>
          <t>GEÇMİŞ TEKLİF UYARLAMA</t>
        </is>
      </c>
      <c r="L367" s="7" t="inlineStr">
        <is>
          <t>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is>
      </c>
      <c r="M367" s="7" t="inlineStr">
        <is>
          <t>Ref yalnız kilit; buton+montaj dahil | İlk tahmin BF 300.00</t>
        </is>
      </c>
    </row>
    <row r="368" outlineLevel="1">
      <c r="A368" s="27" t="n"/>
      <c r="B368" s="27" t="inlineStr">
        <is>
          <t>4014.A</t>
        </is>
      </c>
      <c r="C368" s="7" t="inlineStr">
        <is>
          <t>Açık kapı tespit kontağı (manyetik)</t>
        </is>
      </c>
      <c r="D368" s="27" t="inlineStr">
        <is>
          <t>adet</t>
        </is>
      </c>
      <c r="E368" s="50" t="n">
        <v>4</v>
      </c>
      <c r="F368" s="50" t="n">
        <v>4</v>
      </c>
      <c r="G368" s="27" t="inlineStr">
        <is>
          <t>-</t>
        </is>
      </c>
      <c r="H368" s="50">
        <f>F368</f>
        <v/>
      </c>
      <c r="I368" s="51" t="n">
        <v>21.83</v>
      </c>
      <c r="J368" s="28">
        <f>H368*I368</f>
        <v/>
      </c>
      <c r="K368" s="52" t="inlineStr">
        <is>
          <t>GEÇMİŞ TEKLİF UYARLAMA</t>
        </is>
      </c>
      <c r="L368" s="7" t="inlineStr">
        <is>
          <t>REF-derin – Narlıdere M/Uskom 2018 18.32; SAGE bina/YM 2018 25.33 | Montajlı manyetik kontak (M+İ) emsalleri; malzeme-only 2-5 € emsaller işçiliksiz | sonuç 21.83 [Emsal ID: R01691;R03002]</t>
        </is>
      </c>
      <c r="M368" s="7" t="inlineStr">
        <is>
          <t>İlk tahmin BF 25.00</t>
        </is>
      </c>
    </row>
    <row r="369" outlineLevel="1">
      <c r="A369" s="27" t="n"/>
      <c r="B369" s="27" t="inlineStr">
        <is>
          <t>4014.A</t>
        </is>
      </c>
      <c r="C369" s="7" t="inlineStr">
        <is>
          <t>Erişim kontrol kablosu (LIHCH 4x0,75 / 6x0,22 + CAT6)</t>
        </is>
      </c>
      <c r="D369" s="27" t="inlineStr">
        <is>
          <t>m</t>
        </is>
      </c>
      <c r="E369" s="50" t="n">
        <v>72</v>
      </c>
      <c r="F369" s="50" t="n">
        <v>72</v>
      </c>
      <c r="G369" s="27" t="inlineStr">
        <is>
          <t>fire+%30</t>
        </is>
      </c>
      <c r="H369" s="50">
        <f>F369/IF(Varsayimlar!$B$21=1,1.43,1)</f>
        <v/>
      </c>
      <c r="I369" s="51" t="n">
        <v>2.7</v>
      </c>
      <c r="J369" s="28">
        <f>H369*I369</f>
        <v/>
      </c>
      <c r="K369" s="52" t="inlineStr">
        <is>
          <t>GEÇMİŞ TEKLİF UYARLAMA</t>
        </is>
      </c>
      <c r="L369" s="7" t="inlineStr">
        <is>
          <t>REF-derin – SAGE bina/YM 2018 2.70; SAGE bina/YM 2018 2.48; Pendik-Kaynarca M/YM 2022 2.52x1.3 | Erişim kontrol LIHCH kabloları, M+İ | sonuç 2.70 [Emsal ID: R03021;R03018;R02972]</t>
        </is>
      </c>
      <c r="M369" s="7" t="inlineStr">
        <is>
          <t>İlk tahmin BF 1.50</t>
        </is>
      </c>
    </row>
    <row r="370">
      <c r="A370" s="48" t="inlineStr">
        <is>
          <t>292</t>
        </is>
      </c>
      <c r="B370" s="48" t="inlineStr">
        <is>
          <t>4014.B</t>
        </is>
      </c>
      <c r="C370" s="48" t="inlineStr">
        <is>
          <t>Hızmalı Köprüsü İstasyonu Erişim Kontrol Sistemi (1 set)</t>
        </is>
      </c>
      <c r="D370" s="48" t="n"/>
      <c r="E370" s="48" t="n"/>
      <c r="F370" s="48" t="n"/>
      <c r="G370" s="48" t="n"/>
      <c r="H370" s="48" t="inlineStr">
        <is>
          <t>RFQ tutarı →</t>
        </is>
      </c>
      <c r="I370" s="49">
        <f>SUMPRODUCT(E371:E375,I371:I375)</f>
        <v/>
      </c>
      <c r="J370" s="49">
        <f>SUM(J371:J375)</f>
        <v/>
      </c>
      <c r="K370" s="48" t="n"/>
      <c r="L370" s="48" t="n"/>
      <c r="M370" s="48" t="n"/>
    </row>
    <row r="371" outlineLevel="1">
      <c r="A371" s="27" t="n"/>
      <c r="B371" s="27" t="inlineStr">
        <is>
          <t>4014.B</t>
        </is>
      </c>
      <c r="C371" s="7" t="inlineStr">
        <is>
          <t>Erişim kontrol kontrolörü (IP, 2 kapı, yerel veri tabanı, güç kaynağı + akü)</t>
        </is>
      </c>
      <c r="D371" s="27" t="inlineStr">
        <is>
          <t>adet</t>
        </is>
      </c>
      <c r="E371" s="50" t="n">
        <v>1</v>
      </c>
      <c r="F371" s="50" t="n">
        <v>1</v>
      </c>
      <c r="G371" s="27" t="inlineStr">
        <is>
          <t>-</t>
        </is>
      </c>
      <c r="H371" s="50">
        <f>F371</f>
        <v/>
      </c>
      <c r="I371" s="51" t="n">
        <v>683.99</v>
      </c>
      <c r="J371" s="28">
        <f>H371*I371</f>
        <v/>
      </c>
      <c r="K371" s="52" t="inlineStr">
        <is>
          <t>GEÇMİŞ TEKLİF UYARLAMA</t>
        </is>
      </c>
      <c r="L371" s="7" t="inlineStr">
        <is>
          <t>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is>
      </c>
      <c r="M371" s="7" t="inlineStr">
        <is>
          <t>İlk tahmin BF 700.00</t>
        </is>
      </c>
    </row>
    <row r="372" outlineLevel="1">
      <c r="A372" s="27" t="n"/>
      <c r="B372" s="27" t="inlineStr">
        <is>
          <t>4014.B</t>
        </is>
      </c>
      <c r="C372" s="7" t="inlineStr">
        <is>
          <t>Kart okuyucu 13,56 MHz (MIFARE/DESFire, IP54)</t>
        </is>
      </c>
      <c r="D372" s="27" t="inlineStr">
        <is>
          <t>adet</t>
        </is>
      </c>
      <c r="E372" s="50" t="n">
        <v>1</v>
      </c>
      <c r="F372" s="50" t="n">
        <v>1</v>
      </c>
      <c r="G372" s="27" t="inlineStr">
        <is>
          <t>-</t>
        </is>
      </c>
      <c r="H372" s="50">
        <f>F372</f>
        <v/>
      </c>
      <c r="I372" s="51" t="n">
        <v>107.61</v>
      </c>
      <c r="J372" s="28">
        <f>H372*I372</f>
        <v/>
      </c>
      <c r="K372" s="52" t="inlineStr">
        <is>
          <t>GEÇMİŞ TEKLİF UYARLAMA</t>
        </is>
      </c>
      <c r="L372" s="7" t="inlineStr">
        <is>
          <t>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is>
      </c>
      <c r="M372" s="7" t="inlineStr">
        <is>
          <t>Ref yalnız malzeme; montajlı okuyucu | İlk tahmin BF 180.00</t>
        </is>
      </c>
    </row>
    <row r="373" outlineLevel="1">
      <c r="A373" s="27" t="n"/>
      <c r="B373" s="27" t="inlineStr">
        <is>
          <t>4014.B</t>
        </is>
      </c>
      <c r="C373" s="7" t="inlineStr">
        <is>
          <t>Elektrikli kilit / manyetik kilit 12 VDC fail-safe + kapı açma butonu + acil kırma butonu</t>
        </is>
      </c>
      <c r="D373" s="27" t="inlineStr">
        <is>
          <t>set</t>
        </is>
      </c>
      <c r="E373" s="50" t="n">
        <v>1</v>
      </c>
      <c r="F373" s="50" t="n">
        <v>1</v>
      </c>
      <c r="G373" s="27" t="inlineStr">
        <is>
          <t>-</t>
        </is>
      </c>
      <c r="H373" s="50">
        <f>F373</f>
        <v/>
      </c>
      <c r="I373" s="51" t="n">
        <v>185.89</v>
      </c>
      <c r="J373" s="28">
        <f>H373*I373</f>
        <v/>
      </c>
      <c r="K373" s="52" t="inlineStr">
        <is>
          <t>GEÇMİŞ TEKLİF UYARLAMA</t>
        </is>
      </c>
      <c r="L373" s="7" t="inlineStr">
        <is>
          <t>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is>
      </c>
      <c r="M373" s="7" t="inlineStr">
        <is>
          <t>Ref yalnız kilit; buton+montaj dahil | İlk tahmin BF 300.00</t>
        </is>
      </c>
    </row>
    <row r="374" outlineLevel="1">
      <c r="A374" s="27" t="n"/>
      <c r="B374" s="27" t="inlineStr">
        <is>
          <t>4014.B</t>
        </is>
      </c>
      <c r="C374" s="7" t="inlineStr">
        <is>
          <t>Açık kapı tespit kontağı (manyetik)</t>
        </is>
      </c>
      <c r="D374" s="27" t="inlineStr">
        <is>
          <t>adet</t>
        </is>
      </c>
      <c r="E374" s="50" t="n">
        <v>2</v>
      </c>
      <c r="F374" s="50" t="n">
        <v>2</v>
      </c>
      <c r="G374" s="27" t="inlineStr">
        <is>
          <t>-</t>
        </is>
      </c>
      <c r="H374" s="50">
        <f>F374</f>
        <v/>
      </c>
      <c r="I374" s="51" t="n">
        <v>21.83</v>
      </c>
      <c r="J374" s="28">
        <f>H374*I374</f>
        <v/>
      </c>
      <c r="K374" s="52" t="inlineStr">
        <is>
          <t>GEÇMİŞ TEKLİF UYARLAMA</t>
        </is>
      </c>
      <c r="L374" s="7" t="inlineStr">
        <is>
          <t>REF-derin – Narlıdere M/Uskom 2018 18.32; SAGE bina/YM 2018 25.33 | Montajlı manyetik kontak (M+İ) emsalleri; malzeme-only 2-5 € emsaller işçiliksiz | sonuç 21.83 [Emsal ID: R01691;R03002]</t>
        </is>
      </c>
      <c r="M374" s="7" t="inlineStr">
        <is>
          <t>İlk tahmin BF 25.00</t>
        </is>
      </c>
    </row>
    <row r="375" outlineLevel="1">
      <c r="A375" s="27" t="n"/>
      <c r="B375" s="27" t="inlineStr">
        <is>
          <t>4014.B</t>
        </is>
      </c>
      <c r="C375" s="7" t="inlineStr">
        <is>
          <t>Erişim kontrol kablosu (LIHCH 4x0,75 / 6x0,22 + CAT6)</t>
        </is>
      </c>
      <c r="D375" s="27" t="inlineStr">
        <is>
          <t>m</t>
        </is>
      </c>
      <c r="E375" s="50" t="n">
        <v>36</v>
      </c>
      <c r="F375" s="50" t="n">
        <v>36</v>
      </c>
      <c r="G375" s="27" t="inlineStr">
        <is>
          <t>fire+%30</t>
        </is>
      </c>
      <c r="H375" s="50">
        <f>F375/IF(Varsayimlar!$B$21=1,1.43,1)</f>
        <v/>
      </c>
      <c r="I375" s="51" t="n">
        <v>2.7</v>
      </c>
      <c r="J375" s="28">
        <f>H375*I375</f>
        <v/>
      </c>
      <c r="K375" s="52" t="inlineStr">
        <is>
          <t>GEÇMİŞ TEKLİF UYARLAMA</t>
        </is>
      </c>
      <c r="L375" s="7" t="inlineStr">
        <is>
          <t>REF-derin – SAGE bina/YM 2018 2.70; SAGE bina/YM 2018 2.48; Pendik-Kaynarca M/YM 2022 2.52x1.3 | Erişim kontrol LIHCH kabloları, M+İ | sonuç 2.70 [Emsal ID: R03021;R03018;R02972]</t>
        </is>
      </c>
      <c r="M375" s="7" t="inlineStr">
        <is>
          <t>İlk tahmin BF 1.50</t>
        </is>
      </c>
    </row>
    <row r="376">
      <c r="A376" s="48" t="inlineStr">
        <is>
          <t>293</t>
        </is>
      </c>
      <c r="B376" s="48" t="inlineStr">
        <is>
          <t>4014.C</t>
        </is>
      </c>
      <c r="C376" s="48" t="inlineStr">
        <is>
          <t>Balıklıgöl İstasyonu Erişim Kontrol Sistemi (1 set)</t>
        </is>
      </c>
      <c r="D376" s="48" t="n"/>
      <c r="E376" s="48" t="n"/>
      <c r="F376" s="48" t="n"/>
      <c r="G376" s="48" t="n"/>
      <c r="H376" s="48" t="inlineStr">
        <is>
          <t>RFQ tutarı →</t>
        </is>
      </c>
      <c r="I376" s="49">
        <f>SUMPRODUCT(E377:E381,I377:I381)</f>
        <v/>
      </c>
      <c r="J376" s="49">
        <f>SUM(J377:J381)</f>
        <v/>
      </c>
      <c r="K376" s="48" t="n"/>
      <c r="L376" s="48" t="n"/>
      <c r="M376" s="48" t="n"/>
    </row>
    <row r="377" outlineLevel="1">
      <c r="A377" s="27" t="n"/>
      <c r="B377" s="27" t="inlineStr">
        <is>
          <t>4014.C</t>
        </is>
      </c>
      <c r="C377" s="7" t="inlineStr">
        <is>
          <t>Erişim kontrol kontrolörü (IP, 2 kapı, yerel veri tabanı, güç kaynağı + akü)</t>
        </is>
      </c>
      <c r="D377" s="27" t="inlineStr">
        <is>
          <t>adet</t>
        </is>
      </c>
      <c r="E377" s="50" t="n">
        <v>1</v>
      </c>
      <c r="F377" s="50" t="n">
        <v>1</v>
      </c>
      <c r="G377" s="27" t="inlineStr">
        <is>
          <t>-</t>
        </is>
      </c>
      <c r="H377" s="50">
        <f>F377</f>
        <v/>
      </c>
      <c r="I377" s="51" t="n">
        <v>683.99</v>
      </c>
      <c r="J377" s="28">
        <f>H377*I377</f>
        <v/>
      </c>
      <c r="K377" s="52" t="inlineStr">
        <is>
          <t>GEÇMİŞ TEKLİF UYARLAMA</t>
        </is>
      </c>
      <c r="L377" s="7" t="inlineStr">
        <is>
          <t>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is>
      </c>
      <c r="M377" s="7" t="inlineStr">
        <is>
          <t>İlk tahmin BF 700.00</t>
        </is>
      </c>
    </row>
    <row r="378" outlineLevel="1">
      <c r="A378" s="27" t="n"/>
      <c r="B378" s="27" t="inlineStr">
        <is>
          <t>4014.C</t>
        </is>
      </c>
      <c r="C378" s="7" t="inlineStr">
        <is>
          <t>Kart okuyucu 13,56 MHz (MIFARE/DESFire, IP54)</t>
        </is>
      </c>
      <c r="D378" s="27" t="inlineStr">
        <is>
          <t>adet</t>
        </is>
      </c>
      <c r="E378" s="50" t="n">
        <v>1</v>
      </c>
      <c r="F378" s="50" t="n">
        <v>1</v>
      </c>
      <c r="G378" s="27" t="inlineStr">
        <is>
          <t>-</t>
        </is>
      </c>
      <c r="H378" s="50">
        <f>F378</f>
        <v/>
      </c>
      <c r="I378" s="51" t="n">
        <v>107.61</v>
      </c>
      <c r="J378" s="28">
        <f>H378*I378</f>
        <v/>
      </c>
      <c r="K378" s="52" t="inlineStr">
        <is>
          <t>GEÇMİŞ TEKLİF UYARLAMA</t>
        </is>
      </c>
      <c r="L378" s="7" t="inlineStr">
        <is>
          <t>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is>
      </c>
      <c r="M378" s="7" t="inlineStr">
        <is>
          <t>Ref yalnız malzeme; montajlı okuyucu | İlk tahmin BF 180.00</t>
        </is>
      </c>
    </row>
    <row r="379" outlineLevel="1">
      <c r="A379" s="27" t="n"/>
      <c r="B379" s="27" t="inlineStr">
        <is>
          <t>4014.C</t>
        </is>
      </c>
      <c r="C379" s="7" t="inlineStr">
        <is>
          <t>Elektrikli kilit / manyetik kilit 12 VDC fail-safe + kapı açma butonu + acil kırma butonu</t>
        </is>
      </c>
      <c r="D379" s="27" t="inlineStr">
        <is>
          <t>set</t>
        </is>
      </c>
      <c r="E379" s="50" t="n">
        <v>1</v>
      </c>
      <c r="F379" s="50" t="n">
        <v>1</v>
      </c>
      <c r="G379" s="27" t="inlineStr">
        <is>
          <t>-</t>
        </is>
      </c>
      <c r="H379" s="50">
        <f>F379</f>
        <v/>
      </c>
      <c r="I379" s="51" t="n">
        <v>185.89</v>
      </c>
      <c r="J379" s="28">
        <f>H379*I379</f>
        <v/>
      </c>
      <c r="K379" s="52" t="inlineStr">
        <is>
          <t>GEÇMİŞ TEKLİF UYARLAMA</t>
        </is>
      </c>
      <c r="L379" s="7" t="inlineStr">
        <is>
          <t>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is>
      </c>
      <c r="M379" s="7" t="inlineStr">
        <is>
          <t>Ref yalnız kilit; buton+montaj dahil | İlk tahmin BF 300.00</t>
        </is>
      </c>
    </row>
    <row r="380" outlineLevel="1">
      <c r="A380" s="27" t="n"/>
      <c r="B380" s="27" t="inlineStr">
        <is>
          <t>4014.C</t>
        </is>
      </c>
      <c r="C380" s="7" t="inlineStr">
        <is>
          <t>Açık kapı tespit kontağı (manyetik)</t>
        </is>
      </c>
      <c r="D380" s="27" t="inlineStr">
        <is>
          <t>adet</t>
        </is>
      </c>
      <c r="E380" s="50" t="n">
        <v>2</v>
      </c>
      <c r="F380" s="50" t="n">
        <v>2</v>
      </c>
      <c r="G380" s="27" t="inlineStr">
        <is>
          <t>-</t>
        </is>
      </c>
      <c r="H380" s="50">
        <f>F380</f>
        <v/>
      </c>
      <c r="I380" s="51" t="n">
        <v>21.83</v>
      </c>
      <c r="J380" s="28">
        <f>H380*I380</f>
        <v/>
      </c>
      <c r="K380" s="52" t="inlineStr">
        <is>
          <t>GEÇMİŞ TEKLİF UYARLAMA</t>
        </is>
      </c>
      <c r="L380" s="7" t="inlineStr">
        <is>
          <t>REF-derin – Narlıdere M/Uskom 2018 18.32; SAGE bina/YM 2018 25.33 | Montajlı manyetik kontak (M+İ) emsalleri; malzeme-only 2-5 € emsaller işçiliksiz | sonuç 21.83 [Emsal ID: R01691;R03002]</t>
        </is>
      </c>
      <c r="M380" s="7" t="inlineStr">
        <is>
          <t>İlk tahmin BF 25.00</t>
        </is>
      </c>
    </row>
    <row r="381" outlineLevel="1">
      <c r="A381" s="27" t="n"/>
      <c r="B381" s="27" t="inlineStr">
        <is>
          <t>4014.C</t>
        </is>
      </c>
      <c r="C381" s="7" t="inlineStr">
        <is>
          <t>Erişim kontrol kablosu (LIHCH 4x0,75 / 6x0,22 + CAT6)</t>
        </is>
      </c>
      <c r="D381" s="27" t="inlineStr">
        <is>
          <t>m</t>
        </is>
      </c>
      <c r="E381" s="50" t="n">
        <v>36</v>
      </c>
      <c r="F381" s="50" t="n">
        <v>36</v>
      </c>
      <c r="G381" s="27" t="inlineStr">
        <is>
          <t>fire+%30</t>
        </is>
      </c>
      <c r="H381" s="50">
        <f>F381/IF(Varsayimlar!$B$21=1,1.43,1)</f>
        <v/>
      </c>
      <c r="I381" s="51" t="n">
        <v>2.7</v>
      </c>
      <c r="J381" s="28">
        <f>H381*I381</f>
        <v/>
      </c>
      <c r="K381" s="52" t="inlineStr">
        <is>
          <t>GEÇMİŞ TEKLİF UYARLAMA</t>
        </is>
      </c>
      <c r="L381" s="7" t="inlineStr">
        <is>
          <t>REF-derin – SAGE bina/YM 2018 2.70; SAGE bina/YM 2018 2.48; Pendik-Kaynarca M/YM 2022 2.52x1.3 | Erişim kontrol LIHCH kabloları, M+İ | sonuç 2.70 [Emsal ID: R03021;R03018;R02972]</t>
        </is>
      </c>
      <c r="M381" s="7" t="inlineStr">
        <is>
          <t>İlk tahmin BF 1.50</t>
        </is>
      </c>
    </row>
    <row r="382">
      <c r="A382" s="48" t="inlineStr">
        <is>
          <t>294</t>
        </is>
      </c>
      <c r="B382" s="48" t="inlineStr">
        <is>
          <t>4014.D</t>
        </is>
      </c>
      <c r="C382" s="48" t="inlineStr">
        <is>
          <t>Eyüp Peygamber İstasyonu Erişim Kontrol Sistemi (1 set)</t>
        </is>
      </c>
      <c r="D382" s="48" t="n"/>
      <c r="E382" s="48" t="n"/>
      <c r="F382" s="48" t="n"/>
      <c r="G382" s="48" t="n"/>
      <c r="H382" s="48" t="inlineStr">
        <is>
          <t>RFQ tutarı →</t>
        </is>
      </c>
      <c r="I382" s="49">
        <f>SUMPRODUCT(E383:E387,I383:I387)</f>
        <v/>
      </c>
      <c r="J382" s="49">
        <f>SUM(J383:J387)</f>
        <v/>
      </c>
      <c r="K382" s="48" t="n"/>
      <c r="L382" s="48" t="n"/>
      <c r="M382" s="48" t="n"/>
    </row>
    <row r="383" outlineLevel="1">
      <c r="A383" s="27" t="n"/>
      <c r="B383" s="27" t="inlineStr">
        <is>
          <t>4014.D</t>
        </is>
      </c>
      <c r="C383" s="7" t="inlineStr">
        <is>
          <t>Erişim kontrol kontrolörü (IP, 2 kapı, yerel veri tabanı, güç kaynağı + akü)</t>
        </is>
      </c>
      <c r="D383" s="27" t="inlineStr">
        <is>
          <t>adet</t>
        </is>
      </c>
      <c r="E383" s="50" t="n">
        <v>1</v>
      </c>
      <c r="F383" s="50" t="n">
        <v>1</v>
      </c>
      <c r="G383" s="27" t="inlineStr">
        <is>
          <t>-</t>
        </is>
      </c>
      <c r="H383" s="50">
        <f>F383</f>
        <v/>
      </c>
      <c r="I383" s="51" t="n">
        <v>683.99</v>
      </c>
      <c r="J383" s="28">
        <f>H383*I383</f>
        <v/>
      </c>
      <c r="K383" s="52" t="inlineStr">
        <is>
          <t>GEÇMİŞ TEKLİF UYARLAMA</t>
        </is>
      </c>
      <c r="L383" s="7" t="inlineStr">
        <is>
          <t>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is>
      </c>
      <c r="M383" s="7" t="inlineStr">
        <is>
          <t>İlk tahmin BF 700.00</t>
        </is>
      </c>
    </row>
    <row r="384" outlineLevel="1">
      <c r="A384" s="27" t="n"/>
      <c r="B384" s="27" t="inlineStr">
        <is>
          <t>4014.D</t>
        </is>
      </c>
      <c r="C384" s="7" t="inlineStr">
        <is>
          <t>Kart okuyucu 13,56 MHz (MIFARE/DESFire, IP54)</t>
        </is>
      </c>
      <c r="D384" s="27" t="inlineStr">
        <is>
          <t>adet</t>
        </is>
      </c>
      <c r="E384" s="50" t="n">
        <v>1</v>
      </c>
      <c r="F384" s="50" t="n">
        <v>1</v>
      </c>
      <c r="G384" s="27" t="inlineStr">
        <is>
          <t>-</t>
        </is>
      </c>
      <c r="H384" s="50">
        <f>F384</f>
        <v/>
      </c>
      <c r="I384" s="51" t="n">
        <v>107.61</v>
      </c>
      <c r="J384" s="28">
        <f>H384*I384</f>
        <v/>
      </c>
      <c r="K384" s="52" t="inlineStr">
        <is>
          <t>GEÇMİŞ TEKLİF UYARLAMA</t>
        </is>
      </c>
      <c r="L384" s="7" t="inlineStr">
        <is>
          <t>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is>
      </c>
      <c r="M384" s="7" t="inlineStr">
        <is>
          <t>Ref yalnız malzeme; montajlı okuyucu | İlk tahmin BF 180.00</t>
        </is>
      </c>
    </row>
    <row r="385" outlineLevel="1">
      <c r="A385" s="27" t="n"/>
      <c r="B385" s="27" t="inlineStr">
        <is>
          <t>4014.D</t>
        </is>
      </c>
      <c r="C385" s="7" t="inlineStr">
        <is>
          <t>Elektrikli kilit / manyetik kilit 12 VDC fail-safe + kapı açma butonu + acil kırma butonu</t>
        </is>
      </c>
      <c r="D385" s="27" t="inlineStr">
        <is>
          <t>set</t>
        </is>
      </c>
      <c r="E385" s="50" t="n">
        <v>1</v>
      </c>
      <c r="F385" s="50" t="n">
        <v>1</v>
      </c>
      <c r="G385" s="27" t="inlineStr">
        <is>
          <t>-</t>
        </is>
      </c>
      <c r="H385" s="50">
        <f>F385</f>
        <v/>
      </c>
      <c r="I385" s="51" t="n">
        <v>185.89</v>
      </c>
      <c r="J385" s="28">
        <f>H385*I385</f>
        <v/>
      </c>
      <c r="K385" s="52" t="inlineStr">
        <is>
          <t>GEÇMİŞ TEKLİF UYARLAMA</t>
        </is>
      </c>
      <c r="L385" s="7" t="inlineStr">
        <is>
          <t>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is>
      </c>
      <c r="M385" s="7" t="inlineStr">
        <is>
          <t>Ref yalnız kilit; buton+montaj dahil | İlk tahmin BF 300.00</t>
        </is>
      </c>
    </row>
    <row r="386" outlineLevel="1">
      <c r="A386" s="27" t="n"/>
      <c r="B386" s="27" t="inlineStr">
        <is>
          <t>4014.D</t>
        </is>
      </c>
      <c r="C386" s="7" t="inlineStr">
        <is>
          <t>Açık kapı tespit kontağı (manyetik)</t>
        </is>
      </c>
      <c r="D386" s="27" t="inlineStr">
        <is>
          <t>adet</t>
        </is>
      </c>
      <c r="E386" s="50" t="n">
        <v>2</v>
      </c>
      <c r="F386" s="50" t="n">
        <v>2</v>
      </c>
      <c r="G386" s="27" t="inlineStr">
        <is>
          <t>-</t>
        </is>
      </c>
      <c r="H386" s="50">
        <f>F386</f>
        <v/>
      </c>
      <c r="I386" s="51" t="n">
        <v>21.83</v>
      </c>
      <c r="J386" s="28">
        <f>H386*I386</f>
        <v/>
      </c>
      <c r="K386" s="52" t="inlineStr">
        <is>
          <t>GEÇMİŞ TEKLİF UYARLAMA</t>
        </is>
      </c>
      <c r="L386" s="7" t="inlineStr">
        <is>
          <t>REF-derin – Narlıdere M/Uskom 2018 18.32; SAGE bina/YM 2018 25.33 | Montajlı manyetik kontak (M+İ) emsalleri; malzeme-only 2-5 € emsaller işçiliksiz | sonuç 21.83 [Emsal ID: R01691;R03002]</t>
        </is>
      </c>
      <c r="M386" s="7" t="inlineStr">
        <is>
          <t>İlk tahmin BF 25.00</t>
        </is>
      </c>
    </row>
    <row r="387" outlineLevel="1">
      <c r="A387" s="27" t="n"/>
      <c r="B387" s="27" t="inlineStr">
        <is>
          <t>4014.D</t>
        </is>
      </c>
      <c r="C387" s="7" t="inlineStr">
        <is>
          <t>Erişim kontrol kablosu (LIHCH 4x0,75 / 6x0,22 + CAT6)</t>
        </is>
      </c>
      <c r="D387" s="27" t="inlineStr">
        <is>
          <t>m</t>
        </is>
      </c>
      <c r="E387" s="50" t="n">
        <v>36</v>
      </c>
      <c r="F387" s="50" t="n">
        <v>36</v>
      </c>
      <c r="G387" s="27" t="inlineStr">
        <is>
          <t>fire+%30</t>
        </is>
      </c>
      <c r="H387" s="50">
        <f>F387/IF(Varsayimlar!$B$21=1,1.43,1)</f>
        <v/>
      </c>
      <c r="I387" s="51" t="n">
        <v>2.7</v>
      </c>
      <c r="J387" s="28">
        <f>H387*I387</f>
        <v/>
      </c>
      <c r="K387" s="52" t="inlineStr">
        <is>
          <t>GEÇMİŞ TEKLİF UYARLAMA</t>
        </is>
      </c>
      <c r="L387" s="7" t="inlineStr">
        <is>
          <t>REF-derin – SAGE bina/YM 2018 2.70; SAGE bina/YM 2018 2.48; Pendik-Kaynarca M/YM 2022 2.52x1.3 | Erişim kontrol LIHCH kabloları, M+İ | sonuç 2.70 [Emsal ID: R03021;R03018;R02972]</t>
        </is>
      </c>
      <c r="M387" s="7" t="inlineStr">
        <is>
          <t>İlk tahmin BF 1.50</t>
        </is>
      </c>
    </row>
    <row r="388">
      <c r="A388" s="48" t="inlineStr">
        <is>
          <t>295</t>
        </is>
      </c>
      <c r="B388" s="48" t="inlineStr">
        <is>
          <t>4014.E</t>
        </is>
      </c>
      <c r="C388" s="48" t="inlineStr">
        <is>
          <t>Rasathane İstasyonu Erişim Kontrol Sistemi (1 set)</t>
        </is>
      </c>
      <c r="D388" s="48" t="n"/>
      <c r="E388" s="48" t="n"/>
      <c r="F388" s="48" t="n"/>
      <c r="G388" s="48" t="n"/>
      <c r="H388" s="48" t="inlineStr">
        <is>
          <t>RFQ tutarı →</t>
        </is>
      </c>
      <c r="I388" s="49">
        <f>SUMPRODUCT(E389:E393,I389:I393)</f>
        <v/>
      </c>
      <c r="J388" s="49">
        <f>SUM(J389:J393)</f>
        <v/>
      </c>
      <c r="K388" s="48" t="n"/>
      <c r="L388" s="48" t="n"/>
      <c r="M388" s="48" t="n"/>
    </row>
    <row r="389" outlineLevel="1">
      <c r="A389" s="27" t="n"/>
      <c r="B389" s="27" t="inlineStr">
        <is>
          <t>4014.E</t>
        </is>
      </c>
      <c r="C389" s="7" t="inlineStr">
        <is>
          <t>Erişim kontrol kontrolörü (IP, 2 kapı, yerel veri tabanı, güç kaynağı + akü)</t>
        </is>
      </c>
      <c r="D389" s="27" t="inlineStr">
        <is>
          <t>adet</t>
        </is>
      </c>
      <c r="E389" s="50" t="n">
        <v>1</v>
      </c>
      <c r="F389" s="50" t="n">
        <v>1</v>
      </c>
      <c r="G389" s="27" t="inlineStr">
        <is>
          <t>-</t>
        </is>
      </c>
      <c r="H389" s="50">
        <f>F389</f>
        <v/>
      </c>
      <c r="I389" s="51" t="n">
        <v>683.99</v>
      </c>
      <c r="J389" s="28">
        <f>H389*I389</f>
        <v/>
      </c>
      <c r="K389" s="52" t="inlineStr">
        <is>
          <t>GEÇMİŞ TEKLİF UYARLAMA</t>
        </is>
      </c>
      <c r="L389" s="7" t="inlineStr">
        <is>
          <t>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is>
      </c>
      <c r="M389" s="7" t="inlineStr">
        <is>
          <t>İlk tahmin BF 700.00</t>
        </is>
      </c>
    </row>
    <row r="390" outlineLevel="1">
      <c r="A390" s="27" t="n"/>
      <c r="B390" s="27" t="inlineStr">
        <is>
          <t>4014.E</t>
        </is>
      </c>
      <c r="C390" s="7" t="inlineStr">
        <is>
          <t>Kart okuyucu 13,56 MHz (MIFARE/DESFire, IP54)</t>
        </is>
      </c>
      <c r="D390" s="27" t="inlineStr">
        <is>
          <t>adet</t>
        </is>
      </c>
      <c r="E390" s="50" t="n">
        <v>1</v>
      </c>
      <c r="F390" s="50" t="n">
        <v>1</v>
      </c>
      <c r="G390" s="27" t="inlineStr">
        <is>
          <t>-</t>
        </is>
      </c>
      <c r="H390" s="50">
        <f>F390</f>
        <v/>
      </c>
      <c r="I390" s="51" t="n">
        <v>107.61</v>
      </c>
      <c r="J390" s="28">
        <f>H390*I390</f>
        <v/>
      </c>
      <c r="K390" s="52" t="inlineStr">
        <is>
          <t>GEÇMİŞ TEKLİF UYARLAMA</t>
        </is>
      </c>
      <c r="L390" s="7" t="inlineStr">
        <is>
          <t>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is>
      </c>
      <c r="M390" s="7" t="inlineStr">
        <is>
          <t>Ref yalnız malzeme; montajlı okuyucu | İlk tahmin BF 180.00</t>
        </is>
      </c>
    </row>
    <row r="391" outlineLevel="1">
      <c r="A391" s="27" t="n"/>
      <c r="B391" s="27" t="inlineStr">
        <is>
          <t>4014.E</t>
        </is>
      </c>
      <c r="C391" s="7" t="inlineStr">
        <is>
          <t>Elektrikli kilit / manyetik kilit 12 VDC fail-safe + kapı açma butonu + acil kırma butonu</t>
        </is>
      </c>
      <c r="D391" s="27" t="inlineStr">
        <is>
          <t>set</t>
        </is>
      </c>
      <c r="E391" s="50" t="n">
        <v>1</v>
      </c>
      <c r="F391" s="50" t="n">
        <v>1</v>
      </c>
      <c r="G391" s="27" t="inlineStr">
        <is>
          <t>-</t>
        </is>
      </c>
      <c r="H391" s="50">
        <f>F391</f>
        <v/>
      </c>
      <c r="I391" s="51" t="n">
        <v>185.89</v>
      </c>
      <c r="J391" s="28">
        <f>H391*I391</f>
        <v/>
      </c>
      <c r="K391" s="52" t="inlineStr">
        <is>
          <t>GEÇMİŞ TEKLİF UYARLAMA</t>
        </is>
      </c>
      <c r="L391" s="7" t="inlineStr">
        <is>
          <t>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is>
      </c>
      <c r="M391" s="7" t="inlineStr">
        <is>
          <t>Ref yalnız kilit; buton+montaj dahil | İlk tahmin BF 300.00</t>
        </is>
      </c>
    </row>
    <row r="392" outlineLevel="1">
      <c r="A392" s="27" t="n"/>
      <c r="B392" s="27" t="inlineStr">
        <is>
          <t>4014.E</t>
        </is>
      </c>
      <c r="C392" s="7" t="inlineStr">
        <is>
          <t>Açık kapı tespit kontağı (manyetik)</t>
        </is>
      </c>
      <c r="D392" s="27" t="inlineStr">
        <is>
          <t>adet</t>
        </is>
      </c>
      <c r="E392" s="50" t="n">
        <v>2</v>
      </c>
      <c r="F392" s="50" t="n">
        <v>2</v>
      </c>
      <c r="G392" s="27" t="inlineStr">
        <is>
          <t>-</t>
        </is>
      </c>
      <c r="H392" s="50">
        <f>F392</f>
        <v/>
      </c>
      <c r="I392" s="51" t="n">
        <v>21.83</v>
      </c>
      <c r="J392" s="28">
        <f>H392*I392</f>
        <v/>
      </c>
      <c r="K392" s="52" t="inlineStr">
        <is>
          <t>GEÇMİŞ TEKLİF UYARLAMA</t>
        </is>
      </c>
      <c r="L392" s="7" t="inlineStr">
        <is>
          <t>REF-derin – Narlıdere M/Uskom 2018 18.32; SAGE bina/YM 2018 25.33 | Montajlı manyetik kontak (M+İ) emsalleri; malzeme-only 2-5 € emsaller işçiliksiz | sonuç 21.83 [Emsal ID: R01691;R03002]</t>
        </is>
      </c>
      <c r="M392" s="7" t="inlineStr">
        <is>
          <t>İlk tahmin BF 25.00</t>
        </is>
      </c>
    </row>
    <row r="393" outlineLevel="1">
      <c r="A393" s="27" t="n"/>
      <c r="B393" s="27" t="inlineStr">
        <is>
          <t>4014.E</t>
        </is>
      </c>
      <c r="C393" s="7" t="inlineStr">
        <is>
          <t>Erişim kontrol kablosu (LIHCH 4x0,75 / 6x0,22 + CAT6)</t>
        </is>
      </c>
      <c r="D393" s="27" t="inlineStr">
        <is>
          <t>m</t>
        </is>
      </c>
      <c r="E393" s="50" t="n">
        <v>36</v>
      </c>
      <c r="F393" s="50" t="n">
        <v>36</v>
      </c>
      <c r="G393" s="27" t="inlineStr">
        <is>
          <t>fire+%30</t>
        </is>
      </c>
      <c r="H393" s="50">
        <f>F393/IF(Varsayimlar!$B$21=1,1.43,1)</f>
        <v/>
      </c>
      <c r="I393" s="51" t="n">
        <v>2.7</v>
      </c>
      <c r="J393" s="28">
        <f>H393*I393</f>
        <v/>
      </c>
      <c r="K393" s="52" t="inlineStr">
        <is>
          <t>GEÇMİŞ TEKLİF UYARLAMA</t>
        </is>
      </c>
      <c r="L393" s="7" t="inlineStr">
        <is>
          <t>REF-derin – SAGE bina/YM 2018 2.70; SAGE bina/YM 2018 2.48; Pendik-Kaynarca M/YM 2022 2.52x1.3 | Erişim kontrol LIHCH kabloları, M+İ | sonuç 2.70 [Emsal ID: R03021;R03018;R02972]</t>
        </is>
      </c>
      <c r="M393" s="7" t="inlineStr">
        <is>
          <t>İlk tahmin BF 1.50</t>
        </is>
      </c>
    </row>
    <row r="394">
      <c r="A394" s="48" t="inlineStr">
        <is>
          <t>296</t>
        </is>
      </c>
      <c r="B394" s="48" t="inlineStr">
        <is>
          <t>4014.F</t>
        </is>
      </c>
      <c r="C394" s="48" t="inlineStr">
        <is>
          <t>Harran İstasyonu Erişim Kontrol Sistemi (1 set)</t>
        </is>
      </c>
      <c r="D394" s="48" t="n"/>
      <c r="E394" s="48" t="n"/>
      <c r="F394" s="48" t="n"/>
      <c r="G394" s="48" t="n"/>
      <c r="H394" s="48" t="inlineStr">
        <is>
          <t>RFQ tutarı →</t>
        </is>
      </c>
      <c r="I394" s="49">
        <f>SUMPRODUCT(E395:E399,I395:I399)</f>
        <v/>
      </c>
      <c r="J394" s="49">
        <f>SUM(J395:J399)</f>
        <v/>
      </c>
      <c r="K394" s="48" t="n"/>
      <c r="L394" s="48" t="n"/>
      <c r="M394" s="48" t="n"/>
    </row>
    <row r="395" outlineLevel="1">
      <c r="A395" s="27" t="n"/>
      <c r="B395" s="27" t="inlineStr">
        <is>
          <t>4014.F</t>
        </is>
      </c>
      <c r="C395" s="7" t="inlineStr">
        <is>
          <t>Erişim kontrol kontrolörü (IP, 2 kapı, yerel veri tabanı, güç kaynağı + akü)</t>
        </is>
      </c>
      <c r="D395" s="27" t="inlineStr">
        <is>
          <t>adet</t>
        </is>
      </c>
      <c r="E395" s="50" t="n">
        <v>1</v>
      </c>
      <c r="F395" s="50" t="n">
        <v>1</v>
      </c>
      <c r="G395" s="27" t="inlineStr">
        <is>
          <t>-</t>
        </is>
      </c>
      <c r="H395" s="50">
        <f>F395</f>
        <v/>
      </c>
      <c r="I395" s="51" t="n">
        <v>683.99</v>
      </c>
      <c r="J395" s="28">
        <f>H395*I395</f>
        <v/>
      </c>
      <c r="K395" s="52" t="inlineStr">
        <is>
          <t>GEÇMİŞ TEKLİF UYARLAMA</t>
        </is>
      </c>
      <c r="L395" s="7" t="inlineStr">
        <is>
          <t>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is>
      </c>
      <c r="M395" s="7" t="inlineStr">
        <is>
          <t>İlk tahmin BF 700.00</t>
        </is>
      </c>
    </row>
    <row r="396" outlineLevel="1">
      <c r="A396" s="27" t="n"/>
      <c r="B396" s="27" t="inlineStr">
        <is>
          <t>4014.F</t>
        </is>
      </c>
      <c r="C396" s="7" t="inlineStr">
        <is>
          <t>Kart okuyucu 13,56 MHz (MIFARE/DESFire, IP54)</t>
        </is>
      </c>
      <c r="D396" s="27" t="inlineStr">
        <is>
          <t>adet</t>
        </is>
      </c>
      <c r="E396" s="50" t="n">
        <v>1</v>
      </c>
      <c r="F396" s="50" t="n">
        <v>1</v>
      </c>
      <c r="G396" s="27" t="inlineStr">
        <is>
          <t>-</t>
        </is>
      </c>
      <c r="H396" s="50">
        <f>F396</f>
        <v/>
      </c>
      <c r="I396" s="51" t="n">
        <v>107.61</v>
      </c>
      <c r="J396" s="28">
        <f>H396*I396</f>
        <v/>
      </c>
      <c r="K396" s="52" t="inlineStr">
        <is>
          <t>GEÇMİŞ TEKLİF UYARLAMA</t>
        </is>
      </c>
      <c r="L396" s="7" t="inlineStr">
        <is>
          <t>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is>
      </c>
      <c r="M396" s="7" t="inlineStr">
        <is>
          <t>Ref yalnız malzeme; montajlı okuyucu | İlk tahmin BF 180.00</t>
        </is>
      </c>
    </row>
    <row r="397" outlineLevel="1">
      <c r="A397" s="27" t="n"/>
      <c r="B397" s="27" t="inlineStr">
        <is>
          <t>4014.F</t>
        </is>
      </c>
      <c r="C397" s="7" t="inlineStr">
        <is>
          <t>Elektrikli kilit / manyetik kilit 12 VDC fail-safe + kapı açma butonu + acil kırma butonu</t>
        </is>
      </c>
      <c r="D397" s="27" t="inlineStr">
        <is>
          <t>set</t>
        </is>
      </c>
      <c r="E397" s="50" t="n">
        <v>1</v>
      </c>
      <c r="F397" s="50" t="n">
        <v>1</v>
      </c>
      <c r="G397" s="27" t="inlineStr">
        <is>
          <t>-</t>
        </is>
      </c>
      <c r="H397" s="50">
        <f>F397</f>
        <v/>
      </c>
      <c r="I397" s="51" t="n">
        <v>185.89</v>
      </c>
      <c r="J397" s="28">
        <f>H397*I397</f>
        <v/>
      </c>
      <c r="K397" s="52" t="inlineStr">
        <is>
          <t>GEÇMİŞ TEKLİF UYARLAMA</t>
        </is>
      </c>
      <c r="L397" s="7" t="inlineStr">
        <is>
          <t>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is>
      </c>
      <c r="M397" s="7" t="inlineStr">
        <is>
          <t>Ref yalnız kilit; buton+montaj dahil | İlk tahmin BF 300.00</t>
        </is>
      </c>
    </row>
    <row r="398" outlineLevel="1">
      <c r="A398" s="27" t="n"/>
      <c r="B398" s="27" t="inlineStr">
        <is>
          <t>4014.F</t>
        </is>
      </c>
      <c r="C398" s="7" t="inlineStr">
        <is>
          <t>Açık kapı tespit kontağı (manyetik)</t>
        </is>
      </c>
      <c r="D398" s="27" t="inlineStr">
        <is>
          <t>adet</t>
        </is>
      </c>
      <c r="E398" s="50" t="n">
        <v>2</v>
      </c>
      <c r="F398" s="50" t="n">
        <v>2</v>
      </c>
      <c r="G398" s="27" t="inlineStr">
        <is>
          <t>-</t>
        </is>
      </c>
      <c r="H398" s="50">
        <f>F398</f>
        <v/>
      </c>
      <c r="I398" s="51" t="n">
        <v>21.83</v>
      </c>
      <c r="J398" s="28">
        <f>H398*I398</f>
        <v/>
      </c>
      <c r="K398" s="52" t="inlineStr">
        <is>
          <t>GEÇMİŞ TEKLİF UYARLAMA</t>
        </is>
      </c>
      <c r="L398" s="7" t="inlineStr">
        <is>
          <t>REF-derin – Narlıdere M/Uskom 2018 18.32; SAGE bina/YM 2018 25.33 | Montajlı manyetik kontak (M+İ) emsalleri; malzeme-only 2-5 € emsaller işçiliksiz | sonuç 21.83 [Emsal ID: R01691;R03002]</t>
        </is>
      </c>
      <c r="M398" s="7" t="inlineStr">
        <is>
          <t>İlk tahmin BF 25.00</t>
        </is>
      </c>
    </row>
    <row r="399" outlineLevel="1">
      <c r="A399" s="27" t="n"/>
      <c r="B399" s="27" t="inlineStr">
        <is>
          <t>4014.F</t>
        </is>
      </c>
      <c r="C399" s="7" t="inlineStr">
        <is>
          <t>Erişim kontrol kablosu (LIHCH 4x0,75 / 6x0,22 + CAT6)</t>
        </is>
      </c>
      <c r="D399" s="27" t="inlineStr">
        <is>
          <t>m</t>
        </is>
      </c>
      <c r="E399" s="50" t="n">
        <v>36</v>
      </c>
      <c r="F399" s="50" t="n">
        <v>36</v>
      </c>
      <c r="G399" s="27" t="inlineStr">
        <is>
          <t>fire+%30</t>
        </is>
      </c>
      <c r="H399" s="50">
        <f>F399/IF(Varsayimlar!$B$21=1,1.43,1)</f>
        <v/>
      </c>
      <c r="I399" s="51" t="n">
        <v>2.7</v>
      </c>
      <c r="J399" s="28">
        <f>H399*I399</f>
        <v/>
      </c>
      <c r="K399" s="52" t="inlineStr">
        <is>
          <t>GEÇMİŞ TEKLİF UYARLAMA</t>
        </is>
      </c>
      <c r="L399" s="7" t="inlineStr">
        <is>
          <t>REF-derin – SAGE bina/YM 2018 2.70; SAGE bina/YM 2018 2.48; Pendik-Kaynarca M/YM 2022 2.52x1.3 | Erişim kontrol LIHCH kabloları, M+İ | sonuç 2.70 [Emsal ID: R03021;R03018;R02972]</t>
        </is>
      </c>
      <c r="M399" s="7" t="inlineStr">
        <is>
          <t>İlk tahmin BF 1.50</t>
        </is>
      </c>
    </row>
    <row r="400">
      <c r="A400" s="48" t="inlineStr">
        <is>
          <t>297</t>
        </is>
      </c>
      <c r="B400" s="48" t="inlineStr">
        <is>
          <t>4014.G</t>
        </is>
      </c>
      <c r="C400" s="48" t="inlineStr">
        <is>
          <t>Depo Sahası ve Tesisleri Erişim Kontrol Sistemi (1 set)</t>
        </is>
      </c>
      <c r="D400" s="48" t="n"/>
      <c r="E400" s="48" t="n"/>
      <c r="F400" s="48" t="n"/>
      <c r="G400" s="48" t="n"/>
      <c r="H400" s="48" t="inlineStr">
        <is>
          <t>RFQ tutarı →</t>
        </is>
      </c>
      <c r="I400" s="49">
        <f>SUMPRODUCT(E401:E405,I401:I405)</f>
        <v/>
      </c>
      <c r="J400" s="49">
        <f>SUM(J401:J405)</f>
        <v/>
      </c>
      <c r="K400" s="48" t="n"/>
      <c r="L400" s="48" t="n"/>
      <c r="M400" s="48" t="n"/>
    </row>
    <row r="401" outlineLevel="1">
      <c r="A401" s="27" t="n"/>
      <c r="B401" s="27" t="inlineStr">
        <is>
          <t>4014.G</t>
        </is>
      </c>
      <c r="C401" s="7" t="inlineStr">
        <is>
          <t>Kart okuyuculu kapı seti (okuyucu + elektrikli/manyetik kilit + çıkış butonu + acil buton + kontak)</t>
        </is>
      </c>
      <c r="D401" s="27" t="inlineStr">
        <is>
          <t>set</t>
        </is>
      </c>
      <c r="E401" s="50" t="n">
        <v>9</v>
      </c>
      <c r="F401" s="50" t="n">
        <v>9</v>
      </c>
      <c r="G401" s="27" t="inlineStr">
        <is>
          <t>-</t>
        </is>
      </c>
      <c r="H401" s="50">
        <f>F401</f>
        <v/>
      </c>
      <c r="I401" s="51" t="n">
        <v>700</v>
      </c>
      <c r="J401" s="28">
        <f>H401*I401</f>
        <v/>
      </c>
      <c r="K401" s="52" t="inlineStr">
        <is>
          <t>GEÇMİŞ TEKLİF UYARLAMA</t>
        </is>
      </c>
      <c r="L401" s="7" t="inlineStr">
        <is>
          <t>REF-derin(1) – Kapı seti bileşen: okuyucu 59 € + manyetik kilit 41–56 € + buton/kontak ~60 € + AMC2 4 kapılı kontrolör 951/4 = 238 € → 413 € (M) +%30 = 537 € → mevcut 850 ile harmanlandı [Emsal ID: R01966;R01967;R02280;R02102;R02100]</t>
        </is>
      </c>
      <c r="M401" s="7" t="inlineStr">
        <is>
          <t>Çapa 600-900/kapı | İlk tahmin BF 850.00</t>
        </is>
      </c>
    </row>
    <row r="402" outlineLevel="1">
      <c r="A402" s="27" t="n"/>
      <c r="B402" s="27" t="inlineStr">
        <is>
          <t>4014.G</t>
        </is>
      </c>
      <c r="C402" s="7" t="inlineStr">
        <is>
          <t>Erişim kontrol kontrolörü (IP, 4 kapı) + güç kaynağı/akü</t>
        </is>
      </c>
      <c r="D402" s="27" t="inlineStr">
        <is>
          <t>adet</t>
        </is>
      </c>
      <c r="E402" s="50" t="n">
        <v>3</v>
      </c>
      <c r="F402" s="50" t="n">
        <v>3</v>
      </c>
      <c r="G402" s="27" t="inlineStr">
        <is>
          <t>-</t>
        </is>
      </c>
      <c r="H402" s="50">
        <f>F402</f>
        <v/>
      </c>
      <c r="I402" s="51" t="n">
        <v>1080.17</v>
      </c>
      <c r="J402" s="28">
        <f>H402*I402</f>
        <v/>
      </c>
      <c r="K402" s="52" t="inlineStr">
        <is>
          <t>GEÇMİŞ TEKLİF UYARLAMA</t>
        </is>
      </c>
      <c r="L402" s="7" t="inlineStr">
        <is>
          <t>REF-derin – KMM M/Ateksis(Bosch) 2015 950.99x1.02; KMM M/Ateksis(Bosch) 2015 756.80x1.02; Üçyol-Buca M/Cesa(Honeywell) 2021 495.93x1.2; Narlıdere M/Uskom 2018 308.23 | 4 okuyuculu kontrolör (+%20; 2015 x0,85) + PSU/akü | sonuç 1080.17 [Emsal ID: R02301;R02282;R01960;R01689]</t>
        </is>
      </c>
      <c r="M402" s="7" t="inlineStr">
        <is>
          <t>İlk tahmin BF 1,100.00</t>
        </is>
      </c>
    </row>
    <row r="403" outlineLevel="1">
      <c r="A403" s="27" t="n"/>
      <c r="B403" s="27" t="inlineStr">
        <is>
          <t>4014.G</t>
        </is>
      </c>
      <c r="C403" s="7" t="inlineStr">
        <is>
          <t>D02 depo trafo giriş güvenlik paneli (GGP) + I/O modülü + manyetik kontak</t>
        </is>
      </c>
      <c r="D403" s="27" t="inlineStr">
        <is>
          <t>set</t>
        </is>
      </c>
      <c r="E403" s="50" t="n">
        <v>1</v>
      </c>
      <c r="F403" s="50" t="n">
        <v>1</v>
      </c>
      <c r="G403" s="27" t="inlineStr">
        <is>
          <t>-</t>
        </is>
      </c>
      <c r="H403" s="50">
        <f>F403</f>
        <v/>
      </c>
      <c r="I403" s="51" t="n">
        <v>1200</v>
      </c>
      <c r="J403" s="28">
        <f>H403*I403</f>
        <v/>
      </c>
      <c r="K403" s="53" t="inlineStr">
        <is>
          <t>MÜHENDİSLİK TAHMİNİ</t>
        </is>
      </c>
      <c r="L403" s="7" t="inlineStr">
        <is>
          <t>TAHMIN (emsal yok) – GGP set emsali yok</t>
        </is>
      </c>
      <c r="M403" s="7" t="inlineStr"/>
    </row>
    <row r="404" outlineLevel="1">
      <c r="A404" s="27" t="n"/>
      <c r="B404" s="27" t="inlineStr">
        <is>
          <t>4014.G</t>
        </is>
      </c>
      <c r="C404" s="7" t="inlineStr">
        <is>
          <t>Erişim kablosu (LIHCH okuyucu/kilit + LIYCY kontak)</t>
        </is>
      </c>
      <c r="D404" s="27" t="inlineStr">
        <is>
          <t>m</t>
        </is>
      </c>
      <c r="E404" s="50" t="n">
        <v>556</v>
      </c>
      <c r="F404" s="50" t="n">
        <v>556</v>
      </c>
      <c r="G404" s="27" t="inlineStr">
        <is>
          <t>fire+%30</t>
        </is>
      </c>
      <c r="H404" s="50">
        <f>F404/IF(Varsayimlar!$B$21=1,1.43,1)</f>
        <v/>
      </c>
      <c r="I404" s="51" t="n">
        <v>2.7</v>
      </c>
      <c r="J404" s="28">
        <f>H404*I404</f>
        <v/>
      </c>
      <c r="K404" s="52" t="inlineStr">
        <is>
          <t>GEÇMİŞ TEKLİF UYARLAMA</t>
        </is>
      </c>
      <c r="L404" s="7" t="inlineStr">
        <is>
          <t>REF-derin – SAGE bina/YM 2018 2.70; SAGE bina/YM 2018 2.48; Pendik-Kaynarca M/YM 2022 2.52x1.3 | Erişim kontrol LIHCH kabloları, M+İ | sonuç 2.70 [Emsal ID: R03021;R03018;R02972]</t>
        </is>
      </c>
      <c r="M404" s="7" t="inlineStr">
        <is>
          <t>İlk tahmin BF 1.40</t>
        </is>
      </c>
    </row>
    <row r="405" outlineLevel="1">
      <c r="A405" s="27" t="n"/>
      <c r="B405" s="27" t="inlineStr">
        <is>
          <t>4014.G</t>
        </is>
      </c>
      <c r="C405" s="7" t="inlineStr">
        <is>
          <t>Temassız personel kimlik kartı</t>
        </is>
      </c>
      <c r="D405" s="27" t="inlineStr">
        <is>
          <t>adet</t>
        </is>
      </c>
      <c r="E405" s="50" t="n">
        <v>150</v>
      </c>
      <c r="F405" s="50" t="n">
        <v>150</v>
      </c>
      <c r="G405" s="27" t="inlineStr">
        <is>
          <t>-</t>
        </is>
      </c>
      <c r="H405" s="50">
        <f>F405</f>
        <v/>
      </c>
      <c r="I405" s="51" t="n">
        <v>7.17</v>
      </c>
      <c r="J405" s="28">
        <f>H405*I405</f>
        <v/>
      </c>
      <c r="K405" s="52" t="inlineStr">
        <is>
          <t>GEÇMİŞ TEKLİF UYARLAMA</t>
        </is>
      </c>
      <c r="L405" s="7" t="inlineStr">
        <is>
          <t>REF-derin – Narlıdere M/Uskom 2018 5.91; SAGE bina/YM 2018 8.44 | Kart malzeme, montaj yok | sonuç 7.17 [Emsal ID: R01692;R03016]</t>
        </is>
      </c>
      <c r="M405" s="7" t="inlineStr">
        <is>
          <t>İlk tahmin BF 4.00</t>
        </is>
      </c>
    </row>
    <row r="406">
      <c r="A406" s="48" t="inlineStr">
        <is>
          <t>298</t>
        </is>
      </c>
      <c r="B406" s="48" t="inlineStr">
        <is>
          <t>4014.H</t>
        </is>
      </c>
      <c r="C406" s="48" t="inlineStr">
        <is>
          <t>Hat Trafo Binaları Erişim Kontrol Sistemi (4 set)</t>
        </is>
      </c>
      <c r="D406" s="48" t="n"/>
      <c r="E406" s="48" t="n"/>
      <c r="F406" s="48" t="n"/>
      <c r="G406" s="48" t="n"/>
      <c r="H406" s="48" t="inlineStr">
        <is>
          <t>RFQ tutarı →</t>
        </is>
      </c>
      <c r="I406" s="49">
        <f>SUMPRODUCT(E407:E411,I407:I411)</f>
        <v/>
      </c>
      <c r="J406" s="49">
        <f>SUM(J407:J411)</f>
        <v/>
      </c>
      <c r="K406" s="48" t="n"/>
      <c r="L406" s="48" t="n"/>
      <c r="M406" s="48" t="n"/>
    </row>
    <row r="407" outlineLevel="1">
      <c r="A407" s="27" t="n"/>
      <c r="B407" s="27" t="inlineStr">
        <is>
          <t>4014.H</t>
        </is>
      </c>
      <c r="C407" s="7" t="inlineStr">
        <is>
          <t>Giriş güvenlik paneli (GGP)</t>
        </is>
      </c>
      <c r="D407" s="27" t="inlineStr">
        <is>
          <t>adet</t>
        </is>
      </c>
      <c r="E407" s="50" t="n">
        <v>4</v>
      </c>
      <c r="F407" s="50" t="n">
        <v>4</v>
      </c>
      <c r="G407" s="27" t="inlineStr">
        <is>
          <t>-</t>
        </is>
      </c>
      <c r="H407" s="50">
        <f>F407</f>
        <v/>
      </c>
      <c r="I407" s="51" t="n">
        <v>900</v>
      </c>
      <c r="J407" s="28">
        <f>H407*I407</f>
        <v/>
      </c>
      <c r="K407" s="53" t="inlineStr">
        <is>
          <t>MÜHENDİSLİK TAHMİNİ</t>
        </is>
      </c>
      <c r="L407" s="7" t="inlineStr">
        <is>
          <t>TAHMIN (emsal yok) – GGP/hırsız alarm paneli kalem emsali yok (anahat BAS setleri kıyaslanamaz)</t>
        </is>
      </c>
      <c r="M407" s="7" t="inlineStr"/>
    </row>
    <row r="408" outlineLevel="1">
      <c r="A408" s="27" t="n"/>
      <c r="B408" s="27" t="inlineStr">
        <is>
          <t>4014.H</t>
        </is>
      </c>
      <c r="C408" s="7" t="inlineStr">
        <is>
          <t>G/Ç (I/O) modülü</t>
        </is>
      </c>
      <c r="D408" s="27" t="inlineStr">
        <is>
          <t>adet</t>
        </is>
      </c>
      <c r="E408" s="50" t="n">
        <v>4</v>
      </c>
      <c r="F408" s="50" t="n">
        <v>4</v>
      </c>
      <c r="G408" s="27" t="inlineStr">
        <is>
          <t>-</t>
        </is>
      </c>
      <c r="H408" s="50">
        <f>F408</f>
        <v/>
      </c>
      <c r="I408" s="51" t="n">
        <v>254.76</v>
      </c>
      <c r="J408" s="28">
        <f>H408*I408</f>
        <v/>
      </c>
      <c r="K408" s="52" t="inlineStr">
        <is>
          <t>GEÇMİŞ TEKLİF UYARLAMA</t>
        </is>
      </c>
      <c r="L408" s="7" t="inlineStr">
        <is>
          <t>REF-derin – Narlıdere M/Uskom 2018 254.76; Narlıdere M/Uskom 2018 177.05x1.2; Üçyol-Buca M/Siemens 2021 548.84x1.2 | 4-8 I/O modülü; +%20 montaj | sonuç 254.76 [Emsal ID: R01690;R01701;R02110]</t>
        </is>
      </c>
      <c r="M408" s="7" t="inlineStr">
        <is>
          <t>İlk tahmin BF 250.00</t>
        </is>
      </c>
    </row>
    <row r="409" outlineLevel="1">
      <c r="A409" s="27" t="n"/>
      <c r="B409" s="27" t="inlineStr">
        <is>
          <t>4014.H</t>
        </is>
      </c>
      <c r="C409" s="7" t="inlineStr">
        <is>
          <t>Manyetik kapı kontağı</t>
        </is>
      </c>
      <c r="D409" s="27" t="inlineStr">
        <is>
          <t>adet</t>
        </is>
      </c>
      <c r="E409" s="50" t="n">
        <v>28</v>
      </c>
      <c r="F409" s="50" t="n">
        <v>28</v>
      </c>
      <c r="G409" s="27" t="inlineStr">
        <is>
          <t>-</t>
        </is>
      </c>
      <c r="H409" s="50">
        <f>F409</f>
        <v/>
      </c>
      <c r="I409" s="51" t="n">
        <v>21.83</v>
      </c>
      <c r="J409" s="28">
        <f>H409*I409</f>
        <v/>
      </c>
      <c r="K409" s="52" t="inlineStr">
        <is>
          <t>GEÇMİŞ TEKLİF UYARLAMA</t>
        </is>
      </c>
      <c r="L409" s="7" t="inlineStr">
        <is>
          <t>REF-derin – Narlıdere M/Uskom 2018 18.32; SAGE bina/YM 2018 25.33 | Montajlı manyetik kontak (M+İ) emsalleri; malzeme-only 2-5 € emsaller işçiliksiz | sonuç 21.83 [Emsal ID: R01691;R03002]</t>
        </is>
      </c>
      <c r="M409" s="7" t="inlineStr">
        <is>
          <t>İlk tahmin BF 25.00</t>
        </is>
      </c>
    </row>
    <row r="410" outlineLevel="1">
      <c r="A410" s="27" t="n"/>
      <c r="B410" s="27" t="inlineStr">
        <is>
          <t>4014.H</t>
        </is>
      </c>
      <c r="C410" s="7" t="inlineStr">
        <is>
          <t>Giriş güvenlik sistem hattı 2x1,5 mm² LiYCY</t>
        </is>
      </c>
      <c r="D410" s="27" t="inlineStr">
        <is>
          <t>m</t>
        </is>
      </c>
      <c r="E410" s="50" t="n">
        <v>176</v>
      </c>
      <c r="F410" s="50" t="n">
        <v>176</v>
      </c>
      <c r="G410" s="27" t="inlineStr">
        <is>
          <t>fire %10</t>
        </is>
      </c>
      <c r="H410" s="50">
        <f>F410/IF(Varsayimlar!$B$21=1,1.1,1)</f>
        <v/>
      </c>
      <c r="I410" s="51" t="n">
        <v>1.69</v>
      </c>
      <c r="J410" s="28">
        <f>H410*I410</f>
        <v/>
      </c>
      <c r="K410" s="52" t="inlineStr">
        <is>
          <t>GEÇMİŞ TEKLİF UYARLAMA</t>
        </is>
      </c>
      <c r="L410" s="7" t="inlineStr">
        <is>
          <t>REF-derin – Pendik-Kaynarca M/YM 2022 1.30x1.3; Pendik-Kaynarca M/YM 2022 1.42x1.3; Narlıdere M/Uskom 2018 1.68 | 2x1,5 ekranlı/halojensiz; malzemeye +%30 | sonuç 1.69 [Emsal ID: R02974;R02959;R01755]</t>
        </is>
      </c>
      <c r="M410" s="7" t="inlineStr">
        <is>
          <t>İlk tahmin BF 1.50</t>
        </is>
      </c>
    </row>
    <row r="411" outlineLevel="1">
      <c r="A411" s="27" t="n"/>
      <c r="B411" s="27" t="inlineStr">
        <is>
          <t>4014.H</t>
        </is>
      </c>
      <c r="C411" s="7" t="inlineStr">
        <is>
          <t>Kart okuyucu + elektrikli kilit + çıkış butonu (ana giriş kapısı)</t>
        </is>
      </c>
      <c r="D411" s="27" t="inlineStr">
        <is>
          <t>set</t>
        </is>
      </c>
      <c r="E411" s="50" t="n">
        <v>4</v>
      </c>
      <c r="F411" s="50" t="n">
        <v>4</v>
      </c>
      <c r="G411" s="27" t="inlineStr">
        <is>
          <t>-</t>
        </is>
      </c>
      <c r="H411" s="50">
        <f>F411</f>
        <v/>
      </c>
      <c r="I411" s="51" t="n">
        <v>293.5</v>
      </c>
      <c r="J411" s="28">
        <f>H411*I411</f>
        <v/>
      </c>
      <c r="K411" s="52" t="inlineStr">
        <is>
          <t>GEÇMİŞ TEKLİF UYARLAMA</t>
        </is>
      </c>
      <c r="L411" s="7" t="inlineStr">
        <is>
          <t>REF-derin – Üçyol-Buca M/Siemens 2021 23.40x1.25; Pendik-Kaynarca M/YM 2022 115.84x1.25; Üçyol-Buca M/Cesa(Honeywell) 2021 59.10x1.25; KMM M/Ateksis(Bosch) 2015 85.12x1.25; Narlıdere M/Uskom 2018 87.05x1.25; SAGE bina/YM 2018 177.34;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okuyucu medyanı + kilit seti (kilit+buton+kırma+braket x1,3) | sonuç 293.50 [Emsal ID: R02102;R02966;R01966;R02274;R01702;R02998;R01967;R02100;R02967;R01704;R02297;R02103;R01703;R03001;R02104;R01970;R03000;R01968]</t>
        </is>
      </c>
      <c r="M411" s="7" t="inlineStr">
        <is>
          <t>İlk tahmin BF 750.00</t>
        </is>
      </c>
    </row>
    <row r="412">
      <c r="A412" s="48" t="inlineStr">
        <is>
          <t>299</t>
        </is>
      </c>
      <c r="B412" s="48" t="inlineStr">
        <is>
          <t>4014.I</t>
        </is>
      </c>
      <c r="C412" s="48" t="inlineStr">
        <is>
          <t>Erişim Kontrol Sistemi Merkezi Donanımı ve Yazılımı (1 set)</t>
        </is>
      </c>
      <c r="D412" s="48" t="n"/>
      <c r="E412" s="48" t="n"/>
      <c r="F412" s="48" t="n"/>
      <c r="G412" s="48" t="n"/>
      <c r="H412" s="48" t="inlineStr">
        <is>
          <t>RFQ tutarı →</t>
        </is>
      </c>
      <c r="I412" s="49">
        <f>SUMPRODUCT(E413:E415,I413:I415)</f>
        <v/>
      </c>
      <c r="J412" s="49">
        <f>SUM(J413:J415)</f>
        <v/>
      </c>
      <c r="K412" s="48" t="n"/>
      <c r="L412" s="48" t="n"/>
      <c r="M412" s="48" t="n"/>
    </row>
    <row r="413" outlineLevel="1">
      <c r="A413" s="27" t="n"/>
      <c r="B413" s="27" t="inlineStr">
        <is>
          <t>4014.I</t>
        </is>
      </c>
      <c r="C413" s="7" t="inlineStr">
        <is>
          <t>Erişim kontrol ana sunucusu + iş istasyonu (2D grafik arayüz) + yazılım/lisans</t>
        </is>
      </c>
      <c r="D413" s="27" t="inlineStr">
        <is>
          <t>set</t>
        </is>
      </c>
      <c r="E413" s="50" t="n">
        <v>1</v>
      </c>
      <c r="F413" s="50" t="n">
        <v>1</v>
      </c>
      <c r="G413" s="27" t="inlineStr">
        <is>
          <t>-</t>
        </is>
      </c>
      <c r="H413" s="50">
        <f>F413</f>
        <v/>
      </c>
      <c r="I413" s="51" t="n">
        <v>8650</v>
      </c>
      <c r="J413" s="28">
        <f>H413*I413</f>
        <v/>
      </c>
      <c r="K413" s="52" t="inlineStr">
        <is>
          <t>GEÇMİŞ TEKLİF UYARLAMA</t>
        </is>
      </c>
      <c r="L413" s="7" t="inlineStr">
        <is>
          <t>REF-derin(1) – Pendik 2022 ACS sunucu+kabin 5.040 € + Siemens 2021 istemci PC 1.262 € + küçük lisans ~2.000 € = 8.300 € → mevcut 9.000 ile harmanlandı [Emsal ID: R02971;R02092]</t>
        </is>
      </c>
      <c r="M413" s="7" t="inlineStr">
        <is>
          <t>İlk tahmin BF 9,000.00</t>
        </is>
      </c>
    </row>
    <row r="414" outlineLevel="1">
      <c r="A414" s="27" t="n"/>
      <c r="B414" s="27" t="inlineStr">
        <is>
          <t>4014.I</t>
        </is>
      </c>
      <c r="C414" s="7" t="inlineStr">
        <is>
          <t>Kart tanımlama/basma ünitesi (kart yazıcı + masaüstü okuyucu)</t>
        </is>
      </c>
      <c r="D414" s="27" t="inlineStr">
        <is>
          <t>set</t>
        </is>
      </c>
      <c r="E414" s="50" t="n">
        <v>1</v>
      </c>
      <c r="F414" s="50" t="n">
        <v>1</v>
      </c>
      <c r="G414" s="27" t="inlineStr">
        <is>
          <t>-</t>
        </is>
      </c>
      <c r="H414" s="50">
        <f>F414</f>
        <v/>
      </c>
      <c r="I414" s="51" t="n">
        <v>1991.09</v>
      </c>
      <c r="J414" s="28">
        <f>H414*I414</f>
        <v/>
      </c>
      <c r="K414" s="52" t="inlineStr">
        <is>
          <t>GEÇMİŞ TEKLİF UYARLAMA</t>
        </is>
      </c>
      <c r="L414" s="7" t="inlineStr">
        <is>
          <t>REF-derin – Üçyol-Buca M/Siemens 2021 1507.74; SAGE bina/YM 2018 2274.44 | Kart yazıcı medyanı + masaüstü okuyucu 100 € (tahmin) | sonuç 1991.09 [Emsal ID: R02094;R03015]</t>
        </is>
      </c>
      <c r="M414" s="7" t="inlineStr">
        <is>
          <t>İlk tahmin BF 2,500.00</t>
        </is>
      </c>
    </row>
    <row r="415" outlineLevel="1">
      <c r="A415" s="27" t="n"/>
      <c r="B415" s="27" t="inlineStr">
        <is>
          <t>4014.I</t>
        </is>
      </c>
      <c r="C415" s="7" t="inlineStr">
        <is>
          <t>Mevcut depo kontrol merkezi entegrasyonu: erişim kontrol yazılım uyarlama + lisans</t>
        </is>
      </c>
      <c r="D415" s="27" t="inlineStr">
        <is>
          <t>set</t>
        </is>
      </c>
      <c r="E415" s="50" t="n">
        <v>1</v>
      </c>
      <c r="F415" s="54" t="n">
        <v>0</v>
      </c>
      <c r="G415" s="27" t="inlineStr">
        <is>
          <t>-</t>
        </is>
      </c>
      <c r="H415" s="50">
        <f>F415</f>
        <v/>
      </c>
      <c r="I415" s="51" t="n">
        <v>5000</v>
      </c>
      <c r="J415" s="28">
        <f>H415*I415</f>
        <v/>
      </c>
      <c r="K415" s="55" t="inlineStr">
        <is>
          <t>KAPSAM DIŞI (0)</t>
        </is>
      </c>
      <c r="L415" s="7" t="inlineStr">
        <is>
          <t>TAHMIN (emsal yok) – Emsal yok (miktar 0)</t>
        </is>
      </c>
      <c r="M415" s="7" t="inlineStr">
        <is>
          <t>İdare: mevcut sistem yok</t>
        </is>
      </c>
    </row>
    <row r="416">
      <c r="A416" s="48" t="inlineStr">
        <is>
          <t>300</t>
        </is>
      </c>
      <c r="B416" s="48" t="inlineStr">
        <is>
          <t>4015</t>
        </is>
      </c>
      <c r="C416" s="48" t="inlineStr">
        <is>
          <t>Sistem Kontrol ve Veri Toplama Sistemi (SCADA) Tasarımı (1 set)</t>
        </is>
      </c>
      <c r="D416" s="48" t="n"/>
      <c r="E416" s="48" t="n"/>
      <c r="F416" s="48" t="n"/>
      <c r="G416" s="48" t="n"/>
      <c r="H416" s="48" t="inlineStr">
        <is>
          <t>RFQ tutarı →</t>
        </is>
      </c>
      <c r="I416" s="49">
        <f>SUMPRODUCT(E417:E418,I417:I418)</f>
        <v/>
      </c>
      <c r="J416" s="49">
        <f>SUM(J417:J418)</f>
        <v/>
      </c>
      <c r="K416" s="48" t="n"/>
      <c r="L416" s="48" t="n"/>
      <c r="M416" s="48" t="n"/>
    </row>
    <row r="417" outlineLevel="1">
      <c r="A417" s="27" t="n"/>
      <c r="B417" s="27" t="inlineStr">
        <is>
          <t>4015</t>
        </is>
      </c>
      <c r="C417" s="7" t="inlineStr">
        <is>
          <t>Uygulama projeleri, sistem mimarisi/blok şemaları, hesaplar (I/O listesi, HMI sayfaları, IEC 60870-5-104)</t>
        </is>
      </c>
      <c r="D417" s="27" t="inlineStr">
        <is>
          <t>set</t>
        </is>
      </c>
      <c r="E417" s="50" t="n">
        <v>1</v>
      </c>
      <c r="F417" s="50" t="n">
        <v>1</v>
      </c>
      <c r="G417" s="27" t="inlineStr">
        <is>
          <t>-</t>
        </is>
      </c>
      <c r="H417" s="50">
        <f>F417</f>
        <v/>
      </c>
      <c r="I417" s="51" t="n">
        <v>30440</v>
      </c>
      <c r="J417" s="28">
        <f>H417*I417</f>
        <v/>
      </c>
      <c r="K417" s="52" t="inlineStr">
        <is>
          <t>GEÇMİŞ TEKLİF UYARLAMA</t>
        </is>
      </c>
      <c r="L417" s="7" t="inlineStr">
        <is>
          <t>REF-derin(1) – Narlıdere Elmak 2018 SCADA/ECS tasarımı 32.881 € (7 ist. metro) → mevcut 28.000 ile harmanlandı [Emsal ID: R01524]</t>
        </is>
      </c>
      <c r="M417" s="7" t="inlineStr">
        <is>
          <t>Tasarım, küçük tramvay ölçeği | İlk tahmin BF 28,000.00</t>
        </is>
      </c>
    </row>
    <row r="418" outlineLevel="1">
      <c r="A418" s="27" t="n"/>
      <c r="B418" s="27" t="inlineStr">
        <is>
          <t>4015</t>
        </is>
      </c>
      <c r="C418" s="7" t="inlineStr">
        <is>
          <t>Dokümantasyon: malzeme onayı, test prosedürleri, as-built, işletme-bakım el kitapları, eğitim dokümanı</t>
        </is>
      </c>
      <c r="D418" s="27" t="inlineStr">
        <is>
          <t>set</t>
        </is>
      </c>
      <c r="E418" s="50" t="n">
        <v>1</v>
      </c>
      <c r="F418" s="50" t="n">
        <v>1</v>
      </c>
      <c r="G418" s="27" t="inlineStr">
        <is>
          <t>-</t>
        </is>
      </c>
      <c r="H418" s="50">
        <f>F418</f>
        <v/>
      </c>
      <c r="I418" s="51" t="n">
        <v>10000</v>
      </c>
      <c r="J418" s="28">
        <f>H418*I418</f>
        <v/>
      </c>
      <c r="K418" s="53" t="inlineStr">
        <is>
          <t>MÜHENDİSLİK TAHMİNİ</t>
        </is>
      </c>
      <c r="L418" s="7" t="inlineStr">
        <is>
          <t>TAHMIN (emsal yok) – SCADA dokümantasyon – emsal yok</t>
        </is>
      </c>
      <c r="M418" s="7" t="inlineStr">
        <is>
          <t>Tasarım, küçük tramvay ölçeği</t>
        </is>
      </c>
    </row>
    <row r="419">
      <c r="A419" s="48" t="inlineStr">
        <is>
          <t>301</t>
        </is>
      </c>
      <c r="B419" s="48" t="inlineStr">
        <is>
          <t>4016.A</t>
        </is>
      </c>
      <c r="C419" s="48" t="inlineStr">
        <is>
          <t>Göbekli Tepe İstasyonu Sistem Kontrol ve Veri Toplama Sistemi (SCADA) (1 set)</t>
        </is>
      </c>
      <c r="D419" s="48" t="n"/>
      <c r="E419" s="48" t="n"/>
      <c r="F419" s="48" t="n"/>
      <c r="G419" s="48" t="n"/>
      <c r="H419" s="48" t="inlineStr">
        <is>
          <t>RFQ tutarı →</t>
        </is>
      </c>
      <c r="I419" s="49">
        <f>SUMPRODUCT(E420:E422,I420:I422)</f>
        <v/>
      </c>
      <c r="J419" s="49">
        <f>SUM(J420:J422)</f>
        <v/>
      </c>
      <c r="K419" s="48" t="n"/>
      <c r="L419" s="48" t="n"/>
      <c r="M419" s="48" t="n"/>
    </row>
    <row r="420" outlineLevel="1">
      <c r="A420" s="27" t="n"/>
      <c r="B420" s="27" t="inlineStr">
        <is>
          <t>4016.A</t>
        </is>
      </c>
      <c r="C420" s="7" t="inlineStr">
        <is>
          <t>SCADA RIO panosu (PLC/RIO, 32 DI + 8 DO modül, IEC 60870-5-104/Modbus TCP, 24VDC besleme)</t>
        </is>
      </c>
      <c r="D420" s="27" t="inlineStr">
        <is>
          <t>adet</t>
        </is>
      </c>
      <c r="E420" s="50" t="n">
        <v>2</v>
      </c>
      <c r="F420" s="50" t="n">
        <v>2</v>
      </c>
      <c r="G420" s="27" t="inlineStr">
        <is>
          <t>-</t>
        </is>
      </c>
      <c r="H420" s="50">
        <f>F420</f>
        <v/>
      </c>
      <c r="I420" s="51" t="n">
        <v>4500</v>
      </c>
      <c r="J420" s="28">
        <f>H420*I420</f>
        <v/>
      </c>
      <c r="K420" s="53" t="inlineStr">
        <is>
          <t>MÜHENDİSLİK TAHMİNİ</t>
        </is>
      </c>
      <c r="L420" s="7" t="inlineStr">
        <is>
          <t>TAHMIN (emsal yok) – RIO 32DI+8DO pano – Samsun 2008 yalnız RIO modülü 376 €; korundu [Emsal ID: R03164]</t>
        </is>
      </c>
      <c r="M420" s="7" t="inlineStr"/>
    </row>
    <row r="421" outlineLevel="1">
      <c r="A421" s="27" t="n"/>
      <c r="B421" s="27" t="inlineStr">
        <is>
          <t>4016.A</t>
        </is>
      </c>
      <c r="C421" s="7" t="inlineStr">
        <is>
          <t>Kontrol kablosu 10x1,5 mm² LIHCH (ADP, APP, UPS → rack/RIO)</t>
        </is>
      </c>
      <c r="D421" s="27" t="inlineStr">
        <is>
          <t>m</t>
        </is>
      </c>
      <c r="E421" s="50" t="n">
        <v>92</v>
      </c>
      <c r="F421" s="50" t="n">
        <v>92</v>
      </c>
      <c r="G421" s="27" t="inlineStr">
        <is>
          <t>-</t>
        </is>
      </c>
      <c r="H421" s="50">
        <f>F421</f>
        <v/>
      </c>
      <c r="I421" s="51" t="n">
        <v>4.5</v>
      </c>
      <c r="J421" s="28">
        <f>H421*I421</f>
        <v/>
      </c>
      <c r="K421" s="53" t="inlineStr">
        <is>
          <t>MÜHENDİSLİK TAHMİNİ</t>
        </is>
      </c>
      <c r="L421" s="7" t="inlineStr">
        <is>
          <t>TAHMIN (emsal yok) – 10x1,5 LIHCH emsali yok (yalnız 8x0,75)</t>
        </is>
      </c>
      <c r="M421" s="7" t="inlineStr"/>
    </row>
    <row r="422" outlineLevel="1">
      <c r="A422" s="27" t="n"/>
      <c r="B422" s="27" t="inlineStr">
        <is>
          <t>4016.A</t>
        </is>
      </c>
      <c r="C422" s="7" t="inlineStr">
        <is>
          <t>Kontrol kablosu 4x0,22 LIHCH (turnike/biletmatik durum kontağı)</t>
        </is>
      </c>
      <c r="D422" s="27" t="inlineStr">
        <is>
          <t>m</t>
        </is>
      </c>
      <c r="E422" s="50" t="n">
        <v>58</v>
      </c>
      <c r="F422" s="50" t="n">
        <v>58</v>
      </c>
      <c r="G422" s="27" t="inlineStr">
        <is>
          <t>fire+%30</t>
        </is>
      </c>
      <c r="H422" s="50">
        <f>F422/IF(Varsayimlar!$B$21=1,1.43,1)</f>
        <v/>
      </c>
      <c r="I422" s="51" t="n">
        <v>1.5</v>
      </c>
      <c r="J422" s="28">
        <f>H422*I422</f>
        <v/>
      </c>
      <c r="K422" s="52" t="inlineStr">
        <is>
          <t>GEÇMİŞ TEKLİF UYARLAMA</t>
        </is>
      </c>
      <c r="L422" s="7" t="inlineStr">
        <is>
          <t>REF-derin – Pendik-Kaynarca M/YM 2022 1.15x1.3; Pendik-Kaynarca M/YM 2022 0.20x1.3; SAGE bina/YM 2018 2.70 | İnce kesitli LIHCH; malzemeye +%30 | sonuç 1.50 [Emsal ID: R02960;R02973;R03019]</t>
        </is>
      </c>
      <c r="M422" s="7" t="inlineStr">
        <is>
          <t>İlk tahmin BF 1.20</t>
        </is>
      </c>
    </row>
    <row r="423">
      <c r="A423" s="48" t="inlineStr">
        <is>
          <t>302</t>
        </is>
      </c>
      <c r="B423" s="48" t="inlineStr">
        <is>
          <t>4016.B</t>
        </is>
      </c>
      <c r="C423" s="48" t="inlineStr">
        <is>
          <t>Hızmalı Köprüsü İstasyonu Sistem Kontrol ve Veri Toplama Sistemi (SCADA) (1 set)</t>
        </is>
      </c>
      <c r="D423" s="48" t="n"/>
      <c r="E423" s="48" t="n"/>
      <c r="F423" s="48" t="n"/>
      <c r="G423" s="48" t="n"/>
      <c r="H423" s="48" t="inlineStr">
        <is>
          <t>RFQ tutarı →</t>
        </is>
      </c>
      <c r="I423" s="49">
        <f>SUMPRODUCT(E424:E426,I424:I426)</f>
        <v/>
      </c>
      <c r="J423" s="49">
        <f>SUM(J424:J426)</f>
        <v/>
      </c>
      <c r="K423" s="48" t="n"/>
      <c r="L423" s="48" t="n"/>
      <c r="M423" s="48" t="n"/>
    </row>
    <row r="424" outlineLevel="1">
      <c r="A424" s="27" t="n"/>
      <c r="B424" s="27" t="inlineStr">
        <is>
          <t>4016.B</t>
        </is>
      </c>
      <c r="C424" s="7" t="inlineStr">
        <is>
          <t>SCADA RIO panosu (PLC/RIO, 32 DI + 8 DO modül, IEC 60870-5-104/Modbus TCP, 24VDC besleme)</t>
        </is>
      </c>
      <c r="D424" s="27" t="inlineStr">
        <is>
          <t>adet</t>
        </is>
      </c>
      <c r="E424" s="50" t="n">
        <v>1</v>
      </c>
      <c r="F424" s="50" t="n">
        <v>1</v>
      </c>
      <c r="G424" s="27" t="inlineStr">
        <is>
          <t>-</t>
        </is>
      </c>
      <c r="H424" s="50">
        <f>F424</f>
        <v/>
      </c>
      <c r="I424" s="51" t="n">
        <v>4621.07</v>
      </c>
      <c r="J424" s="28">
        <f>H424*I424</f>
        <v/>
      </c>
      <c r="K424" s="52" t="inlineStr">
        <is>
          <t>GEÇMİŞ TEKLİF UYARLAMA</t>
        </is>
      </c>
      <c r="L424" s="7" t="inlineStr">
        <is>
          <t>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is>
      </c>
      <c r="M424" s="7" t="inlineStr">
        <is>
          <t>İlk tahmin BF 4,500.00</t>
        </is>
      </c>
    </row>
    <row r="425" outlineLevel="1">
      <c r="A425" s="27" t="n"/>
      <c r="B425" s="27" t="inlineStr">
        <is>
          <t>4016.B</t>
        </is>
      </c>
      <c r="C425" s="7" t="inlineStr">
        <is>
          <t>Kontrol kablosu 10x1,5 mm² LIHCH (ADP, APP, UPS → rack/RIO)</t>
        </is>
      </c>
      <c r="D425" s="27" t="inlineStr">
        <is>
          <t>m</t>
        </is>
      </c>
      <c r="E425" s="50" t="n">
        <v>46</v>
      </c>
      <c r="F425" s="50" t="n">
        <v>46</v>
      </c>
      <c r="G425" s="27" t="inlineStr">
        <is>
          <t>-</t>
        </is>
      </c>
      <c r="H425" s="50">
        <f>F425</f>
        <v/>
      </c>
      <c r="I425" s="51" t="n">
        <v>4.5</v>
      </c>
      <c r="J425" s="28">
        <f>H425*I425</f>
        <v/>
      </c>
      <c r="K425" s="53" t="inlineStr">
        <is>
          <t>MÜHENDİSLİK TAHMİNİ</t>
        </is>
      </c>
      <c r="L425" s="7" t="inlineStr">
        <is>
          <t>TAHMIN (emsal yok) – 10x1,5 LIHCH emsali yok (yalnız 8x0,75)</t>
        </is>
      </c>
      <c r="M425" s="7" t="inlineStr"/>
    </row>
    <row r="426" outlineLevel="1">
      <c r="A426" s="27" t="n"/>
      <c r="B426" s="27" t="inlineStr">
        <is>
          <t>4016.B</t>
        </is>
      </c>
      <c r="C426" s="7" t="inlineStr">
        <is>
          <t>Kontrol kablosu 4x0,22 LIHCH (turnike/biletmatik durum kontağı)</t>
        </is>
      </c>
      <c r="D426" s="27" t="inlineStr">
        <is>
          <t>m</t>
        </is>
      </c>
      <c r="E426" s="50" t="n">
        <v>29</v>
      </c>
      <c r="F426" s="50" t="n">
        <v>29</v>
      </c>
      <c r="G426" s="27" t="inlineStr">
        <is>
          <t>fire+%30</t>
        </is>
      </c>
      <c r="H426" s="50">
        <f>F426/IF(Varsayimlar!$B$21=1,1.43,1)</f>
        <v/>
      </c>
      <c r="I426" s="51" t="n">
        <v>1.5</v>
      </c>
      <c r="J426" s="28">
        <f>H426*I426</f>
        <v/>
      </c>
      <c r="K426" s="52" t="inlineStr">
        <is>
          <t>GEÇMİŞ TEKLİF UYARLAMA</t>
        </is>
      </c>
      <c r="L426" s="7" t="inlineStr">
        <is>
          <t>REF-derin – Pendik-Kaynarca M/YM 2022 1.15x1.3; Pendik-Kaynarca M/YM 2022 0.20x1.3; SAGE bina/YM 2018 2.70 | İnce kesitli LIHCH; malzemeye +%30 | sonuç 1.50 [Emsal ID: R02960;R02973;R03019]</t>
        </is>
      </c>
      <c r="M426" s="7" t="inlineStr">
        <is>
          <t>İlk tahmin BF 1.20</t>
        </is>
      </c>
    </row>
    <row r="427">
      <c r="A427" s="48" t="inlineStr">
        <is>
          <t>303</t>
        </is>
      </c>
      <c r="B427" s="48" t="inlineStr">
        <is>
          <t>4016.C</t>
        </is>
      </c>
      <c r="C427" s="48" t="inlineStr">
        <is>
          <t>Balıklıgöl İstasyonu Sistem Kontrol ve Veri Toplama Sistemi (SCADA) (1 set)</t>
        </is>
      </c>
      <c r="D427" s="48" t="n"/>
      <c r="E427" s="48" t="n"/>
      <c r="F427" s="48" t="n"/>
      <c r="G427" s="48" t="n"/>
      <c r="H427" s="48" t="inlineStr">
        <is>
          <t>RFQ tutarı →</t>
        </is>
      </c>
      <c r="I427" s="49">
        <f>SUMPRODUCT(E428:E430,I428:I430)</f>
        <v/>
      </c>
      <c r="J427" s="49">
        <f>SUM(J428:J430)</f>
        <v/>
      </c>
      <c r="K427" s="48" t="n"/>
      <c r="L427" s="48" t="n"/>
      <c r="M427" s="48" t="n"/>
    </row>
    <row r="428" outlineLevel="1">
      <c r="A428" s="27" t="n"/>
      <c r="B428" s="27" t="inlineStr">
        <is>
          <t>4016.C</t>
        </is>
      </c>
      <c r="C428" s="7" t="inlineStr">
        <is>
          <t>SCADA RIO panosu (PLC/RIO, 32 DI + 8 DO modül, IEC 60870-5-104/Modbus TCP, 24VDC besleme)</t>
        </is>
      </c>
      <c r="D428" s="27" t="inlineStr">
        <is>
          <t>adet</t>
        </is>
      </c>
      <c r="E428" s="50" t="n">
        <v>1</v>
      </c>
      <c r="F428" s="50" t="n">
        <v>1</v>
      </c>
      <c r="G428" s="27" t="inlineStr">
        <is>
          <t>-</t>
        </is>
      </c>
      <c r="H428" s="50">
        <f>F428</f>
        <v/>
      </c>
      <c r="I428" s="51" t="n">
        <v>4621.07</v>
      </c>
      <c r="J428" s="28">
        <f>H428*I428</f>
        <v/>
      </c>
      <c r="K428" s="52" t="inlineStr">
        <is>
          <t>GEÇMİŞ TEKLİF UYARLAMA</t>
        </is>
      </c>
      <c r="L428" s="7" t="inlineStr">
        <is>
          <t>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is>
      </c>
      <c r="M428" s="7" t="inlineStr">
        <is>
          <t>İlk tahmin BF 4,500.00</t>
        </is>
      </c>
    </row>
    <row r="429" outlineLevel="1">
      <c r="A429" s="27" t="n"/>
      <c r="B429" s="27" t="inlineStr">
        <is>
          <t>4016.C</t>
        </is>
      </c>
      <c r="C429" s="7" t="inlineStr">
        <is>
          <t>Kontrol kablosu 10x1,5 mm² LIHCH (ADP, APP, UPS → rack/RIO)</t>
        </is>
      </c>
      <c r="D429" s="27" t="inlineStr">
        <is>
          <t>m</t>
        </is>
      </c>
      <c r="E429" s="50" t="n">
        <v>46</v>
      </c>
      <c r="F429" s="50" t="n">
        <v>46</v>
      </c>
      <c r="G429" s="27" t="inlineStr">
        <is>
          <t>-</t>
        </is>
      </c>
      <c r="H429" s="50">
        <f>F429</f>
        <v/>
      </c>
      <c r="I429" s="51" t="n">
        <v>4.5</v>
      </c>
      <c r="J429" s="28">
        <f>H429*I429</f>
        <v/>
      </c>
      <c r="K429" s="53" t="inlineStr">
        <is>
          <t>MÜHENDİSLİK TAHMİNİ</t>
        </is>
      </c>
      <c r="L429" s="7" t="inlineStr">
        <is>
          <t>TAHMIN (emsal yok) – 10x1,5 LIHCH emsali yok (yalnız 8x0,75)</t>
        </is>
      </c>
      <c r="M429" s="7" t="inlineStr"/>
    </row>
    <row r="430" outlineLevel="1">
      <c r="A430" s="27" t="n"/>
      <c r="B430" s="27" t="inlineStr">
        <is>
          <t>4016.C</t>
        </is>
      </c>
      <c r="C430" s="7" t="inlineStr">
        <is>
          <t>Kontrol kablosu 4x0,22 LIHCH (turnike/biletmatik durum kontağı)</t>
        </is>
      </c>
      <c r="D430" s="27" t="inlineStr">
        <is>
          <t>m</t>
        </is>
      </c>
      <c r="E430" s="50" t="n">
        <v>29</v>
      </c>
      <c r="F430" s="50" t="n">
        <v>29</v>
      </c>
      <c r="G430" s="27" t="inlineStr">
        <is>
          <t>fire+%30</t>
        </is>
      </c>
      <c r="H430" s="50">
        <f>F430/IF(Varsayimlar!$B$21=1,1.43,1)</f>
        <v/>
      </c>
      <c r="I430" s="51" t="n">
        <v>1.5</v>
      </c>
      <c r="J430" s="28">
        <f>H430*I430</f>
        <v/>
      </c>
      <c r="K430" s="52" t="inlineStr">
        <is>
          <t>GEÇMİŞ TEKLİF UYARLAMA</t>
        </is>
      </c>
      <c r="L430" s="7" t="inlineStr">
        <is>
          <t>REF-derin – Pendik-Kaynarca M/YM 2022 1.15x1.3; Pendik-Kaynarca M/YM 2022 0.20x1.3; SAGE bina/YM 2018 2.70 | İnce kesitli LIHCH; malzemeye +%30 | sonuç 1.50 [Emsal ID: R02960;R02973;R03019]</t>
        </is>
      </c>
      <c r="M430" s="7" t="inlineStr">
        <is>
          <t>İlk tahmin BF 1.20</t>
        </is>
      </c>
    </row>
    <row r="431">
      <c r="A431" s="48" t="inlineStr">
        <is>
          <t>304</t>
        </is>
      </c>
      <c r="B431" s="48" t="inlineStr">
        <is>
          <t>4016.D</t>
        </is>
      </c>
      <c r="C431" s="48" t="inlineStr">
        <is>
          <t>Eyüp Peygamber İstasyonu Sistem Kontrol ve Veri Toplama Sistemi (SCADA) (1 set)</t>
        </is>
      </c>
      <c r="D431" s="48" t="n"/>
      <c r="E431" s="48" t="n"/>
      <c r="F431" s="48" t="n"/>
      <c r="G431" s="48" t="n"/>
      <c r="H431" s="48" t="inlineStr">
        <is>
          <t>RFQ tutarı →</t>
        </is>
      </c>
      <c r="I431" s="49">
        <f>SUMPRODUCT(E432:E434,I432:I434)</f>
        <v/>
      </c>
      <c r="J431" s="49">
        <f>SUM(J432:J434)</f>
        <v/>
      </c>
      <c r="K431" s="48" t="n"/>
      <c r="L431" s="48" t="n"/>
      <c r="M431" s="48" t="n"/>
    </row>
    <row r="432" outlineLevel="1">
      <c r="A432" s="27" t="n"/>
      <c r="B432" s="27" t="inlineStr">
        <is>
          <t>4016.D</t>
        </is>
      </c>
      <c r="C432" s="7" t="inlineStr">
        <is>
          <t>SCADA RIO panosu (PLC/RIO, 32 DI + 8 DO modül, IEC 60870-5-104/Modbus TCP, 24VDC besleme)</t>
        </is>
      </c>
      <c r="D432" s="27" t="inlineStr">
        <is>
          <t>adet</t>
        </is>
      </c>
      <c r="E432" s="50" t="n">
        <v>1</v>
      </c>
      <c r="F432" s="50" t="n">
        <v>1</v>
      </c>
      <c r="G432" s="27" t="inlineStr">
        <is>
          <t>-</t>
        </is>
      </c>
      <c r="H432" s="50">
        <f>F432</f>
        <v/>
      </c>
      <c r="I432" s="51" t="n">
        <v>4621.07</v>
      </c>
      <c r="J432" s="28">
        <f>H432*I432</f>
        <v/>
      </c>
      <c r="K432" s="52" t="inlineStr">
        <is>
          <t>GEÇMİŞ TEKLİF UYARLAMA</t>
        </is>
      </c>
      <c r="L432" s="7" t="inlineStr">
        <is>
          <t>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is>
      </c>
      <c r="M432" s="7" t="inlineStr">
        <is>
          <t>İlk tahmin BF 4,500.00</t>
        </is>
      </c>
    </row>
    <row r="433" outlineLevel="1">
      <c r="A433" s="27" t="n"/>
      <c r="B433" s="27" t="inlineStr">
        <is>
          <t>4016.D</t>
        </is>
      </c>
      <c r="C433" s="7" t="inlineStr">
        <is>
          <t>Kontrol kablosu 10x1,5 mm² LIHCH (ADP, APP, UPS → rack/RIO)</t>
        </is>
      </c>
      <c r="D433" s="27" t="inlineStr">
        <is>
          <t>m</t>
        </is>
      </c>
      <c r="E433" s="50" t="n">
        <v>46</v>
      </c>
      <c r="F433" s="50" t="n">
        <v>46</v>
      </c>
      <c r="G433" s="27" t="inlineStr">
        <is>
          <t>-</t>
        </is>
      </c>
      <c r="H433" s="50">
        <f>F433</f>
        <v/>
      </c>
      <c r="I433" s="51" t="n">
        <v>4.5</v>
      </c>
      <c r="J433" s="28">
        <f>H433*I433</f>
        <v/>
      </c>
      <c r="K433" s="53" t="inlineStr">
        <is>
          <t>MÜHENDİSLİK TAHMİNİ</t>
        </is>
      </c>
      <c r="L433" s="7" t="inlineStr">
        <is>
          <t>TAHMIN (emsal yok) – 10x1,5 LIHCH emsali yok (yalnız 8x0,75)</t>
        </is>
      </c>
      <c r="M433" s="7" t="inlineStr"/>
    </row>
    <row r="434" outlineLevel="1">
      <c r="A434" s="27" t="n"/>
      <c r="B434" s="27" t="inlineStr">
        <is>
          <t>4016.D</t>
        </is>
      </c>
      <c r="C434" s="7" t="inlineStr">
        <is>
          <t>Kontrol kablosu 4x0,22 LIHCH (turnike/biletmatik durum kontağı)</t>
        </is>
      </c>
      <c r="D434" s="27" t="inlineStr">
        <is>
          <t>m</t>
        </is>
      </c>
      <c r="E434" s="50" t="n">
        <v>29</v>
      </c>
      <c r="F434" s="50" t="n">
        <v>29</v>
      </c>
      <c r="G434" s="27" t="inlineStr">
        <is>
          <t>fire+%30</t>
        </is>
      </c>
      <c r="H434" s="50">
        <f>F434/IF(Varsayimlar!$B$21=1,1.43,1)</f>
        <v/>
      </c>
      <c r="I434" s="51" t="n">
        <v>1.5</v>
      </c>
      <c r="J434" s="28">
        <f>H434*I434</f>
        <v/>
      </c>
      <c r="K434" s="52" t="inlineStr">
        <is>
          <t>GEÇMİŞ TEKLİF UYARLAMA</t>
        </is>
      </c>
      <c r="L434" s="7" t="inlineStr">
        <is>
          <t>REF-derin – Pendik-Kaynarca M/YM 2022 1.15x1.3; Pendik-Kaynarca M/YM 2022 0.20x1.3; SAGE bina/YM 2018 2.70 | İnce kesitli LIHCH; malzemeye +%30 | sonuç 1.50 [Emsal ID: R02960;R02973;R03019]</t>
        </is>
      </c>
      <c r="M434" s="7" t="inlineStr">
        <is>
          <t>İlk tahmin BF 1.20</t>
        </is>
      </c>
    </row>
    <row r="435">
      <c r="A435" s="48" t="inlineStr">
        <is>
          <t>305</t>
        </is>
      </c>
      <c r="B435" s="48" t="inlineStr">
        <is>
          <t>4016.E</t>
        </is>
      </c>
      <c r="C435" s="48" t="inlineStr">
        <is>
          <t>Rasathane İstasyonu Sistem Kontrol ve Veri Toplama Sistemi (SCADA) (1 set)</t>
        </is>
      </c>
      <c r="D435" s="48" t="n"/>
      <c r="E435" s="48" t="n"/>
      <c r="F435" s="48" t="n"/>
      <c r="G435" s="48" t="n"/>
      <c r="H435" s="48" t="inlineStr">
        <is>
          <t>RFQ tutarı →</t>
        </is>
      </c>
      <c r="I435" s="49">
        <f>SUMPRODUCT(E436:E438,I436:I438)</f>
        <v/>
      </c>
      <c r="J435" s="49">
        <f>SUM(J436:J438)</f>
        <v/>
      </c>
      <c r="K435" s="48" t="n"/>
      <c r="L435" s="48" t="n"/>
      <c r="M435" s="48" t="n"/>
    </row>
    <row r="436" outlineLevel="1">
      <c r="A436" s="27" t="n"/>
      <c r="B436" s="27" t="inlineStr">
        <is>
          <t>4016.E</t>
        </is>
      </c>
      <c r="C436" s="7" t="inlineStr">
        <is>
          <t>SCADA RIO panosu (PLC/RIO, 32 DI + 8 DO modül, IEC 60870-5-104/Modbus TCP, 24VDC besleme)</t>
        </is>
      </c>
      <c r="D436" s="27" t="inlineStr">
        <is>
          <t>adet</t>
        </is>
      </c>
      <c r="E436" s="50" t="n">
        <v>1</v>
      </c>
      <c r="F436" s="50" t="n">
        <v>1</v>
      </c>
      <c r="G436" s="27" t="inlineStr">
        <is>
          <t>-</t>
        </is>
      </c>
      <c r="H436" s="50">
        <f>F436</f>
        <v/>
      </c>
      <c r="I436" s="51" t="n">
        <v>4621.07</v>
      </c>
      <c r="J436" s="28">
        <f>H436*I436</f>
        <v/>
      </c>
      <c r="K436" s="52" t="inlineStr">
        <is>
          <t>GEÇMİŞ TEKLİF UYARLAMA</t>
        </is>
      </c>
      <c r="L436" s="7" t="inlineStr">
        <is>
          <t>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is>
      </c>
      <c r="M436" s="7" t="inlineStr">
        <is>
          <t>İlk tahmin BF 4,500.00</t>
        </is>
      </c>
    </row>
    <row r="437" outlineLevel="1">
      <c r="A437" s="27" t="n"/>
      <c r="B437" s="27" t="inlineStr">
        <is>
          <t>4016.E</t>
        </is>
      </c>
      <c r="C437" s="7" t="inlineStr">
        <is>
          <t>Kontrol kablosu 10x1,5 mm² LIHCH (ADP, APP, UPS → rack/RIO)</t>
        </is>
      </c>
      <c r="D437" s="27" t="inlineStr">
        <is>
          <t>m</t>
        </is>
      </c>
      <c r="E437" s="50" t="n">
        <v>46</v>
      </c>
      <c r="F437" s="50" t="n">
        <v>46</v>
      </c>
      <c r="G437" s="27" t="inlineStr">
        <is>
          <t>-</t>
        </is>
      </c>
      <c r="H437" s="50">
        <f>F437</f>
        <v/>
      </c>
      <c r="I437" s="51" t="n">
        <v>4.5</v>
      </c>
      <c r="J437" s="28">
        <f>H437*I437</f>
        <v/>
      </c>
      <c r="K437" s="53" t="inlineStr">
        <is>
          <t>MÜHENDİSLİK TAHMİNİ</t>
        </is>
      </c>
      <c r="L437" s="7" t="inlineStr">
        <is>
          <t>TAHMIN (emsal yok) – 10x1,5 LIHCH emsali yok (yalnız 8x0,75)</t>
        </is>
      </c>
      <c r="M437" s="7" t="inlineStr"/>
    </row>
    <row r="438" outlineLevel="1">
      <c r="A438" s="27" t="n"/>
      <c r="B438" s="27" t="inlineStr">
        <is>
          <t>4016.E</t>
        </is>
      </c>
      <c r="C438" s="7" t="inlineStr">
        <is>
          <t>Kontrol kablosu 4x0,22 LIHCH (turnike/biletmatik durum kontağı)</t>
        </is>
      </c>
      <c r="D438" s="27" t="inlineStr">
        <is>
          <t>m</t>
        </is>
      </c>
      <c r="E438" s="50" t="n">
        <v>29</v>
      </c>
      <c r="F438" s="50" t="n">
        <v>29</v>
      </c>
      <c r="G438" s="27" t="inlineStr">
        <is>
          <t>fire+%30</t>
        </is>
      </c>
      <c r="H438" s="50">
        <f>F438/IF(Varsayimlar!$B$21=1,1.43,1)</f>
        <v/>
      </c>
      <c r="I438" s="51" t="n">
        <v>1.5</v>
      </c>
      <c r="J438" s="28">
        <f>H438*I438</f>
        <v/>
      </c>
      <c r="K438" s="52" t="inlineStr">
        <is>
          <t>GEÇMİŞ TEKLİF UYARLAMA</t>
        </is>
      </c>
      <c r="L438" s="7" t="inlineStr">
        <is>
          <t>REF-derin – Pendik-Kaynarca M/YM 2022 1.15x1.3; Pendik-Kaynarca M/YM 2022 0.20x1.3; SAGE bina/YM 2018 2.70 | İnce kesitli LIHCH; malzemeye +%30 | sonuç 1.50 [Emsal ID: R02960;R02973;R03019]</t>
        </is>
      </c>
      <c r="M438" s="7" t="inlineStr">
        <is>
          <t>İlk tahmin BF 1.20</t>
        </is>
      </c>
    </row>
    <row r="439">
      <c r="A439" s="48" t="inlineStr">
        <is>
          <t>306</t>
        </is>
      </c>
      <c r="B439" s="48" t="inlineStr">
        <is>
          <t>4016.F</t>
        </is>
      </c>
      <c r="C439" s="48" t="inlineStr">
        <is>
          <t>Harran İstasyonu Sistem Kontrol ve Veri Toplama Sistemi (SCADA) (1 set)</t>
        </is>
      </c>
      <c r="D439" s="48" t="n"/>
      <c r="E439" s="48" t="n"/>
      <c r="F439" s="48" t="n"/>
      <c r="G439" s="48" t="n"/>
      <c r="H439" s="48" t="inlineStr">
        <is>
          <t>RFQ tutarı →</t>
        </is>
      </c>
      <c r="I439" s="49">
        <f>SUMPRODUCT(E440:E442,I440:I442)</f>
        <v/>
      </c>
      <c r="J439" s="49">
        <f>SUM(J440:J442)</f>
        <v/>
      </c>
      <c r="K439" s="48" t="n"/>
      <c r="L439" s="48" t="n"/>
      <c r="M439" s="48" t="n"/>
    </row>
    <row r="440" outlineLevel="1">
      <c r="A440" s="27" t="n"/>
      <c r="B440" s="27" t="inlineStr">
        <is>
          <t>4016.F</t>
        </is>
      </c>
      <c r="C440" s="7" t="inlineStr">
        <is>
          <t>SCADA RIO panosu (PLC/RIO, 32 DI + 8 DO modül, IEC 60870-5-104/Modbus TCP, 24VDC besleme)</t>
        </is>
      </c>
      <c r="D440" s="27" t="inlineStr">
        <is>
          <t>adet</t>
        </is>
      </c>
      <c r="E440" s="50" t="n">
        <v>1</v>
      </c>
      <c r="F440" s="50" t="n">
        <v>1</v>
      </c>
      <c r="G440" s="27" t="inlineStr">
        <is>
          <t>-</t>
        </is>
      </c>
      <c r="H440" s="50">
        <f>F440</f>
        <v/>
      </c>
      <c r="I440" s="51" t="n">
        <v>4621.07</v>
      </c>
      <c r="J440" s="28">
        <f>H440*I440</f>
        <v/>
      </c>
      <c r="K440" s="52" t="inlineStr">
        <is>
          <t>GEÇMİŞ TEKLİF UYARLAMA</t>
        </is>
      </c>
      <c r="L440" s="7" t="inlineStr">
        <is>
          <t>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is>
      </c>
      <c r="M440" s="7" t="inlineStr">
        <is>
          <t>İlk tahmin BF 4,500.00</t>
        </is>
      </c>
    </row>
    <row r="441" outlineLevel="1">
      <c r="A441" s="27" t="n"/>
      <c r="B441" s="27" t="inlineStr">
        <is>
          <t>4016.F</t>
        </is>
      </c>
      <c r="C441" s="7" t="inlineStr">
        <is>
          <t>Kontrol kablosu 10x1,5 mm² LIHCH (ADP, APP, UPS → rack/RIO)</t>
        </is>
      </c>
      <c r="D441" s="27" t="inlineStr">
        <is>
          <t>m</t>
        </is>
      </c>
      <c r="E441" s="50" t="n">
        <v>46</v>
      </c>
      <c r="F441" s="50" t="n">
        <v>46</v>
      </c>
      <c r="G441" s="27" t="inlineStr">
        <is>
          <t>-</t>
        </is>
      </c>
      <c r="H441" s="50">
        <f>F441</f>
        <v/>
      </c>
      <c r="I441" s="51" t="n">
        <v>4.5</v>
      </c>
      <c r="J441" s="28">
        <f>H441*I441</f>
        <v/>
      </c>
      <c r="K441" s="53" t="inlineStr">
        <is>
          <t>MÜHENDİSLİK TAHMİNİ</t>
        </is>
      </c>
      <c r="L441" s="7" t="inlineStr">
        <is>
          <t>TAHMIN (emsal yok) – 10x1,5 LIHCH emsali yok (yalnız 8x0,75)</t>
        </is>
      </c>
      <c r="M441" s="7" t="inlineStr"/>
    </row>
    <row r="442" outlineLevel="1">
      <c r="A442" s="27" t="n"/>
      <c r="B442" s="27" t="inlineStr">
        <is>
          <t>4016.F</t>
        </is>
      </c>
      <c r="C442" s="7" t="inlineStr">
        <is>
          <t>Kontrol kablosu 4x0,22 LIHCH (turnike/biletmatik durum kontağı)</t>
        </is>
      </c>
      <c r="D442" s="27" t="inlineStr">
        <is>
          <t>m</t>
        </is>
      </c>
      <c r="E442" s="50" t="n">
        <v>29</v>
      </c>
      <c r="F442" s="50" t="n">
        <v>29</v>
      </c>
      <c r="G442" s="27" t="inlineStr">
        <is>
          <t>fire+%30</t>
        </is>
      </c>
      <c r="H442" s="50">
        <f>F442/IF(Varsayimlar!$B$21=1,1.43,1)</f>
        <v/>
      </c>
      <c r="I442" s="51" t="n">
        <v>1.5</v>
      </c>
      <c r="J442" s="28">
        <f>H442*I442</f>
        <v/>
      </c>
      <c r="K442" s="52" t="inlineStr">
        <is>
          <t>GEÇMİŞ TEKLİF UYARLAMA</t>
        </is>
      </c>
      <c r="L442" s="7" t="inlineStr">
        <is>
          <t>REF-derin – Pendik-Kaynarca M/YM 2022 1.15x1.3; Pendik-Kaynarca M/YM 2022 0.20x1.3; SAGE bina/YM 2018 2.70 | İnce kesitli LIHCH; malzemeye +%30 | sonuç 1.50 [Emsal ID: R02960;R02973;R03019]</t>
        </is>
      </c>
      <c r="M442" s="7" t="inlineStr">
        <is>
          <t>İlk tahmin BF 1.20</t>
        </is>
      </c>
    </row>
    <row r="443">
      <c r="A443" s="48" t="inlineStr">
        <is>
          <t>307</t>
        </is>
      </c>
      <c r="B443" s="48" t="inlineStr">
        <is>
          <t>4016.G</t>
        </is>
      </c>
      <c r="C443" s="48" t="inlineStr">
        <is>
          <t>Depo Sahası ve Tesisleri Sistem Kontrol ve Veri Toplama Sistemi (SCADA) (1 set)</t>
        </is>
      </c>
      <c r="D443" s="48" t="n"/>
      <c r="E443" s="48" t="n"/>
      <c r="F443" s="48" t="n"/>
      <c r="G443" s="48" t="n"/>
      <c r="H443" s="48" t="inlineStr">
        <is>
          <t>RFQ tutarı →</t>
        </is>
      </c>
      <c r="I443" s="49">
        <f>SUMPRODUCT(E444:E446,I444:I446)</f>
        <v/>
      </c>
      <c r="J443" s="49">
        <f>SUM(J444:J446)</f>
        <v/>
      </c>
      <c r="K443" s="48" t="n"/>
      <c r="L443" s="48" t="n"/>
      <c r="M443" s="48" t="n"/>
    </row>
    <row r="444" outlineLevel="1">
      <c r="A444" s="27" t="n"/>
      <c r="B444" s="27" t="inlineStr">
        <is>
          <t>4016.G</t>
        </is>
      </c>
      <c r="C444" s="7" t="inlineStr">
        <is>
          <t>RTU/PLC panosu sıcak yedekli (D02 depo trafo T09 + D01 mekanik/yangın/jeneratör sinyalleri)</t>
        </is>
      </c>
      <c r="D444" s="27" t="inlineStr">
        <is>
          <t>adet</t>
        </is>
      </c>
      <c r="E444" s="50" t="n">
        <v>2</v>
      </c>
      <c r="F444" s="50" t="n">
        <v>2</v>
      </c>
      <c r="G444" s="27" t="inlineStr">
        <is>
          <t>-</t>
        </is>
      </c>
      <c r="H444" s="50">
        <f>F444</f>
        <v/>
      </c>
      <c r="I444" s="51" t="n">
        <v>18714</v>
      </c>
      <c r="J444" s="28">
        <f>H444*I444</f>
        <v/>
      </c>
      <c r="K444" s="52" t="inlineStr">
        <is>
          <t>GEÇMİŞ TEKLİF UYARLAMA</t>
        </is>
      </c>
      <c r="L444" s="7" t="inlineStr">
        <is>
          <t>REF-derin(1) – Konya tramvay Elmak 2013 RTU panosu ve ekipmanları 19.428 €/set → mevcut 18.000 ile harmanlandı [Emsal ID: R02256]</t>
        </is>
      </c>
      <c r="M444" s="7" t="inlineStr">
        <is>
          <t>İlk tahmin BF 18,000.00</t>
        </is>
      </c>
    </row>
    <row r="445" outlineLevel="1">
      <c r="A445" s="27" t="n"/>
      <c r="B445" s="27" t="inlineStr">
        <is>
          <t>4016.G</t>
        </is>
      </c>
      <c r="C445" s="7" t="inlineStr">
        <is>
          <t>RIO panosu (D03, D05, D06, D07 binaları)</t>
        </is>
      </c>
      <c r="D445" s="27" t="inlineStr">
        <is>
          <t>adet</t>
        </is>
      </c>
      <c r="E445" s="50" t="n">
        <v>4</v>
      </c>
      <c r="F445" s="50" t="n">
        <v>4</v>
      </c>
      <c r="G445" s="27" t="inlineStr">
        <is>
          <t>-</t>
        </is>
      </c>
      <c r="H445" s="50">
        <f>F445</f>
        <v/>
      </c>
      <c r="I445" s="51" t="n">
        <v>5000</v>
      </c>
      <c r="J445" s="28">
        <f>H445*I445</f>
        <v/>
      </c>
      <c r="K445" s="53" t="inlineStr">
        <is>
          <t>MÜHENDİSLİK TAHMİNİ</t>
        </is>
      </c>
      <c r="L445" s="7" t="inlineStr">
        <is>
          <t>TAHMIN (emsal yok) – RIO panosu – emsal yok [Emsal ID: R03164]</t>
        </is>
      </c>
      <c r="M445" s="7" t="inlineStr"/>
    </row>
    <row r="446" outlineLevel="1">
      <c r="A446" s="27" t="n"/>
      <c r="B446" s="27" t="inlineStr">
        <is>
          <t>4016.G</t>
        </is>
      </c>
      <c r="C446" s="7" t="inlineStr">
        <is>
          <t>Kontrol kablosu (LIHCH 12x1 / 10x1,5) sinyal toplama</t>
        </is>
      </c>
      <c r="D446" s="27" t="inlineStr">
        <is>
          <t>m</t>
        </is>
      </c>
      <c r="E446" s="50" t="n">
        <v>1144</v>
      </c>
      <c r="F446" s="50" t="n">
        <v>1144</v>
      </c>
      <c r="G446" s="27" t="inlineStr">
        <is>
          <t>fire+%30</t>
        </is>
      </c>
      <c r="H446" s="50">
        <f>F446/IF(Varsayimlar!$B$21=1,1.43,1)</f>
        <v/>
      </c>
      <c r="I446" s="51" t="n">
        <v>4.5</v>
      </c>
      <c r="J446" s="28">
        <f>H446*I446</f>
        <v/>
      </c>
      <c r="K446" s="53" t="inlineStr">
        <is>
          <t>MÜHENDİSLİK TAHMİNİ</t>
        </is>
      </c>
      <c r="L446" s="7" t="inlineStr">
        <is>
          <t>TAHMIN (emsal yok) – 12x1/10x1,5 emsali yok</t>
        </is>
      </c>
      <c r="M446" s="7" t="inlineStr"/>
    </row>
    <row r="447">
      <c r="A447" s="48" t="inlineStr">
        <is>
          <t>308</t>
        </is>
      </c>
      <c r="B447" s="48" t="inlineStr">
        <is>
          <t>4016.H</t>
        </is>
      </c>
      <c r="C447" s="48" t="inlineStr">
        <is>
          <t>Hat Trafo Binaları Sistem Kontrol ve Veri Toplama Sistemi (SCADA) (4 set)</t>
        </is>
      </c>
      <c r="D447" s="48" t="n"/>
      <c r="E447" s="48" t="n"/>
      <c r="F447" s="48" t="n"/>
      <c r="G447" s="48" t="n"/>
      <c r="H447" s="48" t="inlineStr">
        <is>
          <t>RFQ tutarı →</t>
        </is>
      </c>
      <c r="I447" s="49">
        <f>SUMPRODUCT(E448:E449,I448:I449)</f>
        <v/>
      </c>
      <c r="J447" s="49">
        <f>SUM(J448:J449)</f>
        <v/>
      </c>
      <c r="K447" s="48" t="n"/>
      <c r="L447" s="48" t="n"/>
      <c r="M447" s="48" t="n"/>
    </row>
    <row r="448" outlineLevel="1">
      <c r="A448" s="27" t="n"/>
      <c r="B448" s="27" t="inlineStr">
        <is>
          <t>4016.H</t>
        </is>
      </c>
      <c r="C448" s="7" t="inlineStr">
        <is>
          <t>RTU/PLC panosu (sıcak yedekli CPU, DI/DO modülleri, 24VDC çift besleme, IEC 60870-5-104)</t>
        </is>
      </c>
      <c r="D448" s="27" t="inlineStr">
        <is>
          <t>adet</t>
        </is>
      </c>
      <c r="E448" s="50" t="n">
        <v>4</v>
      </c>
      <c r="F448" s="50" t="n">
        <v>4</v>
      </c>
      <c r="G448" s="27" t="inlineStr">
        <is>
          <t>-</t>
        </is>
      </c>
      <c r="H448" s="50">
        <f>F448</f>
        <v/>
      </c>
      <c r="I448" s="51" t="n">
        <v>31480</v>
      </c>
      <c r="J448" s="28">
        <f>H448*I448</f>
        <v/>
      </c>
      <c r="K448" s="52" t="inlineStr">
        <is>
          <t>GEÇMİŞ TEKLİF UYARLAMA</t>
        </is>
      </c>
      <c r="L448" s="7" t="inlineStr">
        <is>
          <t>REF-derin – RTU sıcak yedekli: Konya tramvay Elmak 2013 19.428 €, Üsküdar Siemens 2011 PCS-RTU 32.973 €, Başkentray Usluel 2012 42.374 €, CDE 29.983 € → medyan 31.480 € [Emsal ID: R02256;R03405;R03638;R03832]</t>
        </is>
      </c>
      <c r="M448" s="7" t="inlineStr">
        <is>
          <t>ANA ref 36.171/set baz alındı | İlk tahmin BF 34,000.00</t>
        </is>
      </c>
    </row>
    <row r="449" outlineLevel="1">
      <c r="A449" s="27" t="n"/>
      <c r="B449" s="27" t="inlineStr">
        <is>
          <t>4016.H</t>
        </is>
      </c>
      <c r="C449" s="7" t="inlineStr">
        <is>
          <t>Kontrol kablosu (DI toplama: kapı, sıcaklık, yangın, UPS, 24VDC)</t>
        </is>
      </c>
      <c r="D449" s="27" t="inlineStr">
        <is>
          <t>m</t>
        </is>
      </c>
      <c r="E449" s="50" t="n">
        <v>687</v>
      </c>
      <c r="F449" s="50" t="n">
        <v>687</v>
      </c>
      <c r="G449" s="27" t="inlineStr">
        <is>
          <t>-</t>
        </is>
      </c>
      <c r="H449" s="50">
        <f>F449</f>
        <v/>
      </c>
      <c r="I449" s="51" t="n">
        <v>4</v>
      </c>
      <c r="J449" s="28">
        <f>H449*I449</f>
        <v/>
      </c>
      <c r="K449" s="53" t="inlineStr">
        <is>
          <t>MÜHENDİSLİK TAHMİNİ</t>
        </is>
      </c>
      <c r="L449" s="7" t="inlineStr">
        <is>
          <t>TAHMIN (emsal yok) – Çok damarlı kontrol kablosu emsali yok</t>
        </is>
      </c>
      <c r="M449" s="7" t="inlineStr"/>
    </row>
    <row r="450">
      <c r="A450" s="48" t="inlineStr">
        <is>
          <t>309</t>
        </is>
      </c>
      <c r="B450" s="48" t="inlineStr">
        <is>
          <t>4016.I</t>
        </is>
      </c>
      <c r="C450" s="48" t="inlineStr">
        <is>
          <t>Sistem Kontrol ve Veri Toplama Sistemi (SCADA) Merkezi Donanımı&amp;Yazılımı (1 set)</t>
        </is>
      </c>
      <c r="D450" s="48" t="n"/>
      <c r="E450" s="48" t="n"/>
      <c r="F450" s="48" t="n"/>
      <c r="G450" s="48" t="n"/>
      <c r="H450" s="48" t="inlineStr">
        <is>
          <t>RFQ tutarı →</t>
        </is>
      </c>
      <c r="I450" s="49">
        <f>SUMPRODUCT(E451:E460,I451:I460)</f>
        <v/>
      </c>
      <c r="J450" s="49">
        <f>SUM(J451:J460)</f>
        <v/>
      </c>
      <c r="K450" s="48" t="n"/>
      <c r="L450" s="48" t="n"/>
      <c r="M450" s="48" t="n"/>
    </row>
    <row r="451" outlineLevel="1">
      <c r="A451" s="27" t="n"/>
      <c r="B451" s="27" t="inlineStr">
        <is>
          <t>4016.I</t>
        </is>
      </c>
      <c r="C451" s="7" t="inlineStr">
        <is>
          <t>SCADA sunucusu sıcak yedekli (2 adet) + arşiv (historian) sunucusu (≥3 ay)</t>
        </is>
      </c>
      <c r="D451" s="27" t="inlineStr">
        <is>
          <t>set</t>
        </is>
      </c>
      <c r="E451" s="50" t="n">
        <v>1</v>
      </c>
      <c r="F451" s="50" t="n">
        <v>1</v>
      </c>
      <c r="G451" s="27" t="inlineStr">
        <is>
          <t>-</t>
        </is>
      </c>
      <c r="H451" s="50">
        <f>F451</f>
        <v/>
      </c>
      <c r="I451" s="51" t="n">
        <v>21000</v>
      </c>
      <c r="J451" s="28">
        <f>H451*I451</f>
        <v/>
      </c>
      <c r="K451" s="52" t="inlineStr">
        <is>
          <t>GEÇMİŞ TEKLİF UYARLAMA</t>
        </is>
      </c>
      <c r="L451" s="7" t="inlineStr">
        <is>
          <t>REF-derin – SCADA sunucuları: Uskom 2018 DB sunucu 6.107 €, ana sunucu 5.450 €, Avikon 2021 merkezi sunucu 5.956 €, Thales 2012 6.608 € → medyan ~6.100 × 3 sunucu × 1,15 → 21.000 € [Emsal ID: R01778;R01685;R01900;R01255]</t>
        </is>
      </c>
      <c r="M451" s="7" t="inlineStr">
        <is>
          <t>İlk tahmin BF 30,000.00</t>
        </is>
      </c>
    </row>
    <row r="452" outlineLevel="1">
      <c r="A452" s="27" t="n"/>
      <c r="B452" s="27" t="inlineStr">
        <is>
          <t>4016.I</t>
        </is>
      </c>
      <c r="C452" s="7" t="inlineStr">
        <is>
          <t>SCADA operatör iş istasyonu + 2x 21-24'' monitör, klavye/fare</t>
        </is>
      </c>
      <c r="D452" s="27" t="inlineStr">
        <is>
          <t>adet</t>
        </is>
      </c>
      <c r="E452" s="50" t="n">
        <v>2</v>
      </c>
      <c r="F452" s="50" t="n">
        <v>2</v>
      </c>
      <c r="G452" s="27" t="inlineStr">
        <is>
          <t>-</t>
        </is>
      </c>
      <c r="H452" s="50">
        <f>F452</f>
        <v/>
      </c>
      <c r="I452" s="51" t="n">
        <v>2166</v>
      </c>
      <c r="J452" s="28">
        <f>H452*I452</f>
        <v/>
      </c>
      <c r="K452" s="52" t="inlineStr">
        <is>
          <t>GEÇMİŞ TEKLİF UYARLAMA</t>
        </is>
      </c>
      <c r="L452" s="7" t="inlineStr">
        <is>
          <t>REF-derin – Operatör PC+2 monitör: Uskom 2018 2 monitörlü istasyon 3.127+2×322=3.771; Siemens 2021 1.682+2×133 (M)+%10=2.143; Cesa 2021 2.189; Uskom 2018 workstation 1.446 → medyan 2.166 € [Emsal ID: R01780;R01781;R02083;R01959;R01687]</t>
        </is>
      </c>
      <c r="M452" s="7" t="inlineStr">
        <is>
          <t>İlk tahmin BF 3,500.00</t>
        </is>
      </c>
    </row>
    <row r="453" outlineLevel="1">
      <c r="A453" s="27" t="n"/>
      <c r="B453" s="27" t="inlineStr">
        <is>
          <t>4016.I</t>
        </is>
      </c>
      <c r="C453" s="7" t="inlineStr">
        <is>
          <t>Ray potansiyeli/kaçak akım izleme bilgisayarı + 21-24'' monitör</t>
        </is>
      </c>
      <c r="D453" s="27" t="inlineStr">
        <is>
          <t>adet</t>
        </is>
      </c>
      <c r="E453" s="50" t="n">
        <v>1</v>
      </c>
      <c r="F453" s="50" t="n">
        <v>1</v>
      </c>
      <c r="G453" s="27" t="inlineStr">
        <is>
          <t>-</t>
        </is>
      </c>
      <c r="H453" s="50">
        <f>F453</f>
        <v/>
      </c>
      <c r="I453" s="51" t="n">
        <v>1865.4</v>
      </c>
      <c r="J453" s="28">
        <f>H453*I453</f>
        <v/>
      </c>
      <c r="K453" s="52" t="inlineStr">
        <is>
          <t>GEÇMİŞ TEKLİF UYARLAMA</t>
        </is>
      </c>
      <c r="L453" s="7" t="inlineStr">
        <is>
          <t>REF-derin – Narlıdere M/Uskom 2018 1446.28; KMM M/Ateksis(Bosch) 2015 1995.08x0.935; Üçyol-Buca M/Cesa(Honeywell) 2021 2188.57x1.1 | PC+monitör setleri; +%10 kurulum; 2015 x0,85 | sonuç 1865.40 [Emsal ID: R01687;R02287;R01959]</t>
        </is>
      </c>
      <c r="M453" s="7" t="inlineStr">
        <is>
          <t>İlk tahmin BF 2,000.00</t>
        </is>
      </c>
    </row>
    <row r="454" outlineLevel="1">
      <c r="A454" s="27" t="n"/>
      <c r="B454" s="27" t="inlineStr">
        <is>
          <t>4016.I</t>
        </is>
      </c>
      <c r="C454" s="7" t="inlineStr">
        <is>
          <t>Sunucu KVM switch + SCADA 19'' sunucu kabini</t>
        </is>
      </c>
      <c r="D454" s="27" t="inlineStr">
        <is>
          <t>set</t>
        </is>
      </c>
      <c r="E454" s="50" t="n">
        <v>1</v>
      </c>
      <c r="F454" s="50" t="n">
        <v>1</v>
      </c>
      <c r="G454" s="27" t="inlineStr">
        <is>
          <t>-</t>
        </is>
      </c>
      <c r="H454" s="50">
        <f>F454</f>
        <v/>
      </c>
      <c r="I454" s="51" t="n">
        <v>1712.91</v>
      </c>
      <c r="J454" s="28">
        <f>H454*I454</f>
        <v/>
      </c>
      <c r="K454" s="52" t="inlineStr">
        <is>
          <t>GEÇMİŞ TEKLİF UYARLAMA</t>
        </is>
      </c>
      <c r="L454" s="7" t="inlineStr">
        <is>
          <t>REF-derin – Pendik-Kaynarca M/YM 2022 1069.09x1.1; Üçyol-Buca M/Merit(Alcatel) 2021 1181.20x1.1; Üçyol-Buca M/Nokia/ALE 2021 743.05x1.1; Üçyol-Buca M/Siemens 2021 485.50x1.1; KMM M/RCF 2015 968.24x1.1; KMM M/Ateksis(Bosch) 2015 1197.05x1.1; SAGE bina/YM 2018 1249.82; Narlıdere M/Uskom 2018 3410.46 | Kabin emsal medyanı (+%10 montaj) + KVM switch 500 € (emsal yok, tahmin) | sonuç 1712.91 [Emsal ID: R02927;R01999;R02228;R02125;R02507;R02325;R03068;R01743]</t>
        </is>
      </c>
      <c r="M454" s="7" t="inlineStr">
        <is>
          <t>İlk tahmin BF 3,000.00</t>
        </is>
      </c>
    </row>
    <row r="455" outlineLevel="1">
      <c r="A455" s="27" t="n"/>
      <c r="B455" s="27" t="inlineStr">
        <is>
          <t>4016.I</t>
        </is>
      </c>
      <c r="C455" s="7" t="inlineStr">
        <is>
          <t>A3 renkli lazer ağ yazıcısı (tarayıcılı)</t>
        </is>
      </c>
      <c r="D455" s="27" t="inlineStr">
        <is>
          <t>adet</t>
        </is>
      </c>
      <c r="E455" s="50" t="n">
        <v>1</v>
      </c>
      <c r="F455" s="50" t="n">
        <v>1</v>
      </c>
      <c r="G455" s="27" t="inlineStr">
        <is>
          <t>-</t>
        </is>
      </c>
      <c r="H455" s="50">
        <f>F455</f>
        <v/>
      </c>
      <c r="I455" s="51" t="n">
        <v>1688.83</v>
      </c>
      <c r="J455" s="28">
        <f>H455*I455</f>
        <v/>
      </c>
      <c r="K455" s="52" t="inlineStr">
        <is>
          <t>GEÇMİŞ TEKLİF UYARLAMA</t>
        </is>
      </c>
      <c r="L455" s="7" t="inlineStr">
        <is>
          <t>REF-derin(1) – Samsun LRT/Uskom 2008 2755.31x0.5 | Samsun 2008 renkli lazer x0,5; Siemens 2011 A3 (AYKIRI) dışarıda; tek emsal, ortalama | emsal 1377.65, ort.(2000+1377.65)/2 [Emsal ID: R03172]</t>
        </is>
      </c>
      <c r="M455" s="7" t="inlineStr">
        <is>
          <t>İlk tahmin BF 2,000.00</t>
        </is>
      </c>
    </row>
    <row r="456" outlineLevel="1">
      <c r="A456" s="27" t="n"/>
      <c r="B456" s="27" t="inlineStr">
        <is>
          <t>4016.I</t>
        </is>
      </c>
      <c r="C456" s="7" t="inlineStr">
        <is>
          <t>Barkovizyon / VDU mimik panel 62-65'' (2 adet, multi-display)</t>
        </is>
      </c>
      <c r="D456" s="27" t="inlineStr">
        <is>
          <t>adet</t>
        </is>
      </c>
      <c r="E456" s="50" t="n">
        <v>2</v>
      </c>
      <c r="F456" s="50" t="n">
        <v>2</v>
      </c>
      <c r="G456" s="27" t="inlineStr">
        <is>
          <t>-</t>
        </is>
      </c>
      <c r="H456" s="50">
        <f>F456</f>
        <v/>
      </c>
      <c r="I456" s="51" t="n">
        <v>2500</v>
      </c>
      <c r="J456" s="28">
        <f>H456*I456</f>
        <v/>
      </c>
      <c r="K456" s="53" t="inlineStr">
        <is>
          <t>MÜHENDİSLİK TAHMİNİ</t>
        </is>
      </c>
      <c r="L456" s="7" t="inlineStr">
        <is>
          <t>TAHMIN (emsal yok) – 65" VDU: YM 2019 42" monitör 1.504 €, Avikon 55" endüstriyel ekran 3.317 € – boyut/tip farklı; 2.500 korundu [Emsal ID: R01208;R01895]</t>
        </is>
      </c>
      <c r="M456" s="7" t="inlineStr"/>
    </row>
    <row r="457" outlineLevel="1">
      <c r="A457" s="27" t="n"/>
      <c r="B457" s="27" t="inlineStr">
        <is>
          <t>4016.I</t>
        </is>
      </c>
      <c r="C457" s="7" t="inlineStr">
        <is>
          <t>TCC ergonomik kontrol konsolu (≥4 pozisyon) + 6 ergonomik koltuk, 3D yerleşim projesi</t>
        </is>
      </c>
      <c r="D457" s="27" t="inlineStr">
        <is>
          <t>set</t>
        </is>
      </c>
      <c r="E457" s="50" t="n">
        <v>1</v>
      </c>
      <c r="F457" s="50" t="n">
        <v>1</v>
      </c>
      <c r="G457" s="27" t="inlineStr">
        <is>
          <t>-</t>
        </is>
      </c>
      <c r="H457" s="50">
        <f>F457</f>
        <v/>
      </c>
      <c r="I457" s="51" t="n">
        <v>22000</v>
      </c>
      <c r="J457" s="28">
        <f>H457*I457</f>
        <v/>
      </c>
      <c r="K457" s="53" t="inlineStr">
        <is>
          <t>MÜHENDİSLİK TAHMİNİ</t>
        </is>
      </c>
      <c r="L457" s="7" t="inlineStr">
        <is>
          <t>TAHMIN (emsal yok) – TCC ergonomik konsol – emsal yok</t>
        </is>
      </c>
      <c r="M457" s="7" t="inlineStr"/>
    </row>
    <row r="458" outlineLevel="1">
      <c r="A458" s="27" t="n"/>
      <c r="B458" s="27" t="inlineStr">
        <is>
          <t>4016.I</t>
        </is>
      </c>
      <c r="C458" s="7" t="inlineStr">
        <is>
          <t>SCADA ana lisans/yazılım, HMI sayfaları, enerji tüketim analizi modülü, test-devreye alma, eğitim</t>
        </is>
      </c>
      <c r="D458" s="27" t="inlineStr">
        <is>
          <t>set</t>
        </is>
      </c>
      <c r="E458" s="50" t="n">
        <v>1</v>
      </c>
      <c r="F458" s="50" t="n">
        <v>1</v>
      </c>
      <c r="G458" s="27" t="inlineStr">
        <is>
          <t>-</t>
        </is>
      </c>
      <c r="H458" s="50">
        <f>F458</f>
        <v/>
      </c>
      <c r="I458" s="51" t="n">
        <v>41580</v>
      </c>
      <c r="J458" s="28">
        <f>H458*I458</f>
        <v/>
      </c>
      <c r="K458" s="52" t="inlineStr">
        <is>
          <t>GEÇMİŞ TEKLİF UYARLAMA</t>
        </is>
      </c>
      <c r="L458" s="7" t="inlineStr">
        <is>
          <t>REF-derin(1) – Konya tramvay Elmak 2013 RTU programlama 34.808 € + geliştirme 3.349 € = 38.157 € → mevcut 45.000 ile harmanlandı [Emsal ID: R02252;R02255]</t>
        </is>
      </c>
      <c r="M458" s="7" t="inlineStr">
        <is>
          <t>İlk tahmin BF 45,000.00</t>
        </is>
      </c>
    </row>
    <row r="459" outlineLevel="1">
      <c r="A459" s="27" t="n"/>
      <c r="B459" s="27" t="inlineStr">
        <is>
          <t>4016.I</t>
        </is>
      </c>
      <c r="C459" s="7" t="inlineStr">
        <is>
          <t>Bakım bilgisayarı (laptop)</t>
        </is>
      </c>
      <c r="D459" s="27" t="inlineStr">
        <is>
          <t>adet</t>
        </is>
      </c>
      <c r="E459" s="50" t="n">
        <v>1</v>
      </c>
      <c r="F459" s="50" t="n">
        <v>1</v>
      </c>
      <c r="G459" s="27" t="inlineStr">
        <is>
          <t>-</t>
        </is>
      </c>
      <c r="H459" s="50">
        <f>F459</f>
        <v/>
      </c>
      <c r="I459" s="51" t="n">
        <v>1695.47</v>
      </c>
      <c r="J459" s="28">
        <f>H459*I459</f>
        <v/>
      </c>
      <c r="K459" s="52" t="inlineStr">
        <is>
          <t>GEÇMİŞ TEKLİF UYARLAMA</t>
        </is>
      </c>
      <c r="L459" s="7" t="inlineStr">
        <is>
          <t>REF-derin(1) – Samsun LRT/Uskom 2008 4727.37x0.4 | Samsun 2008 taşınabilir PC x0,4 BT düzeltmesi; tek emsal, ortalama | emsal 1890.95, ort.(1500+1890.95)/2 [Emsal ID: R03105]</t>
        </is>
      </c>
      <c r="M459" s="7" t="inlineStr">
        <is>
          <t>İlk tahmin BF 1,500.00</t>
        </is>
      </c>
    </row>
    <row r="460" outlineLevel="1">
      <c r="A460" s="27" t="n"/>
      <c r="B460" s="27" t="inlineStr">
        <is>
          <t>4016.I</t>
        </is>
      </c>
      <c r="C460" s="7" t="inlineStr">
        <is>
          <t>Mevcut depo kontrol merkezi entegrasyonu: SCADA yazılım uyarlama + lisans (HMI/veri tabanı birleştirme)</t>
        </is>
      </c>
      <c r="D460" s="27" t="inlineStr">
        <is>
          <t>set</t>
        </is>
      </c>
      <c r="E460" s="50" t="n">
        <v>1</v>
      </c>
      <c r="F460" s="54" t="n">
        <v>0</v>
      </c>
      <c r="G460" s="27" t="inlineStr">
        <is>
          <t>-</t>
        </is>
      </c>
      <c r="H460" s="50">
        <f>F460</f>
        <v/>
      </c>
      <c r="I460" s="51" t="n">
        <v>16269.47</v>
      </c>
      <c r="J460" s="28">
        <f>H460*I460</f>
        <v/>
      </c>
      <c r="K460" s="55" t="inlineStr">
        <is>
          <t>KAPSAM DIŞI (0)</t>
        </is>
      </c>
      <c r="L460" s="7" t="inlineStr">
        <is>
          <t>REF-derin(1) – Üçyol-Buca M/Avikon 2021 12538.93 | Kapı/SCADA entegrasyon bedeli tek emsal; ortalama (miktar 0) | emsal 12538.93, ort.(20000+12538.93)/2 [Emsal ID: R01899]</t>
        </is>
      </c>
      <c r="M460" s="7" t="inlineStr">
        <is>
          <t>İdare: mevcut sistem yok | İlk tahmin BF 20,000.00</t>
        </is>
      </c>
    </row>
    <row r="461">
      <c r="A461" s="48" t="inlineStr">
        <is>
          <t>310</t>
        </is>
      </c>
      <c r="B461" s="48" t="inlineStr">
        <is>
          <t>4017</t>
        </is>
      </c>
      <c r="C461" s="48" t="inlineStr">
        <is>
          <t>Yolcu Bilgilendirme Sistemi Tasarımı (1 set)</t>
        </is>
      </c>
      <c r="D461" s="48" t="n"/>
      <c r="E461" s="48" t="n"/>
      <c r="F461" s="48" t="n"/>
      <c r="G461" s="48" t="n"/>
      <c r="H461" s="48" t="inlineStr">
        <is>
          <t>RFQ tutarı →</t>
        </is>
      </c>
      <c r="I461" s="49">
        <f>SUMPRODUCT(E462:E463,I462:I463)</f>
        <v/>
      </c>
      <c r="J461" s="49">
        <f>SUM(J462:J463)</f>
        <v/>
      </c>
      <c r="K461" s="48" t="n"/>
      <c r="L461" s="48" t="n"/>
      <c r="M461" s="48" t="n"/>
    </row>
    <row r="462" outlineLevel="1">
      <c r="A462" s="27" t="n"/>
      <c r="B462" s="27" t="inlineStr">
        <is>
          <t>4017</t>
        </is>
      </c>
      <c r="C462" s="7" t="inlineStr">
        <is>
          <t>Uygulama projeleri, sistem mimarisi/blok şemaları, hesaplar (ekran yerleşimi, AVLS/sinyalizasyon arayüzleri)</t>
        </is>
      </c>
      <c r="D462" s="27" t="inlineStr">
        <is>
          <t>set</t>
        </is>
      </c>
      <c r="E462" s="50" t="n">
        <v>1</v>
      </c>
      <c r="F462" s="50" t="n">
        <v>1</v>
      </c>
      <c r="G462" s="27" t="inlineStr">
        <is>
          <t>-</t>
        </is>
      </c>
      <c r="H462" s="50">
        <f>F462</f>
        <v/>
      </c>
      <c r="I462" s="51" t="n">
        <v>16000</v>
      </c>
      <c r="J462" s="28">
        <f>H462*I462</f>
        <v/>
      </c>
      <c r="K462" s="62" t="inlineStr">
        <is>
          <t>2026 TEKLİF</t>
        </is>
      </c>
      <c r="L462" s="7" t="inlineStr">
        <is>
          <t>TEKLİF (ON Elektronik/RayON YBS 06.10.2026: malz. 1000 + işç. 15000 EUR)</t>
        </is>
      </c>
      <c r="M462" s="7" t="inlineStr">
        <is>
          <t>Tasarım, küçük tramvay ölçeği | Teklif öncesi BF 8,000.00</t>
        </is>
      </c>
    </row>
    <row r="463" outlineLevel="1">
      <c r="A463" s="27" t="n"/>
      <c r="B463" s="27" t="inlineStr">
        <is>
          <t>4017</t>
        </is>
      </c>
      <c r="C463" s="7" t="inlineStr">
        <is>
          <t>Dokümantasyon: malzeme onayı, test prosedürleri, as-built, işletme-bakım el kitapları, eğitim dokümanı</t>
        </is>
      </c>
      <c r="D463" s="27" t="inlineStr">
        <is>
          <t>set</t>
        </is>
      </c>
      <c r="E463" s="50" t="n">
        <v>1</v>
      </c>
      <c r="F463" s="50" t="n">
        <v>1</v>
      </c>
      <c r="G463" s="27" t="inlineStr">
        <is>
          <t>-</t>
        </is>
      </c>
      <c r="H463" s="50">
        <f>F463</f>
        <v/>
      </c>
      <c r="I463" s="51" t="n">
        <v>10000</v>
      </c>
      <c r="J463" s="28">
        <f>H463*I463</f>
        <v/>
      </c>
      <c r="K463" s="62" t="inlineStr">
        <is>
          <t>2026 TEKLİF</t>
        </is>
      </c>
      <c r="L463" s="7" t="inlineStr">
        <is>
          <t>TEKLİF (ON Elektronik/RayON YBS 06.10.2026: malz. 0 + işç. 10000 EUR)</t>
        </is>
      </c>
      <c r="M463" s="7" t="inlineStr">
        <is>
          <t>Tasarım, küçük tramvay ölçeği | Teklif öncesi BF 3,500.00</t>
        </is>
      </c>
    </row>
    <row r="464">
      <c r="A464" s="48" t="inlineStr">
        <is>
          <t>311</t>
        </is>
      </c>
      <c r="B464" s="48" t="inlineStr">
        <is>
          <t>4018.A</t>
        </is>
      </c>
      <c r="C464" s="48" t="inlineStr">
        <is>
          <t>Göbekli Tepe İstasyonu Yolcu Bilgilendirme Sistemi (1 set)</t>
        </is>
      </c>
      <c r="D464" s="48" t="n"/>
      <c r="E464" s="48" t="n"/>
      <c r="F464" s="48" t="n"/>
      <c r="G464" s="48" t="n"/>
      <c r="H464" s="48" t="inlineStr">
        <is>
          <t>RFQ tutarı →</t>
        </is>
      </c>
      <c r="I464" s="49">
        <f>SUMPRODUCT(E465:E468,I465:I468)</f>
        <v/>
      </c>
      <c r="J464" s="49">
        <f>SUM(J465:J468)</f>
        <v/>
      </c>
      <c r="K464" s="48" t="n"/>
      <c r="L464" s="48" t="n"/>
      <c r="M464" s="48" t="n"/>
    </row>
    <row r="465" outlineLevel="1">
      <c r="A465" s="27" t="n"/>
      <c r="B465" s="27" t="inlineStr">
        <is>
          <t>4018.A</t>
        </is>
      </c>
      <c r="C465" s="7" t="inlineStr">
        <is>
          <t>Yolcu bilgilendirme ekranı (IP, LED TV profesyonel 7/24, dış ortam muhafazalı, 43-55'')</t>
        </is>
      </c>
      <c r="D465" s="27" t="inlineStr">
        <is>
          <t>adet</t>
        </is>
      </c>
      <c r="E465" s="50" t="n">
        <v>4</v>
      </c>
      <c r="F465" s="50" t="n">
        <v>4</v>
      </c>
      <c r="G465" s="27" t="inlineStr">
        <is>
          <t>-</t>
        </is>
      </c>
      <c r="H465" s="50">
        <f>F465</f>
        <v/>
      </c>
      <c r="I465" s="51" t="n">
        <v>3500</v>
      </c>
      <c r="J465" s="28">
        <f>H465*I465</f>
        <v/>
      </c>
      <c r="K465" s="62" t="inlineStr">
        <is>
          <t>2026 TEKLİF</t>
        </is>
      </c>
      <c r="L465" s="7" t="inlineStr">
        <is>
          <t>TEKLİF (ON Elektronik/RayON YBS 06.10.2026: malz. 3000 + işç. 500 EUR)</t>
        </is>
      </c>
      <c r="M465" s="7" t="inlineStr">
        <is>
          <t>Teklif öncesi BF 4,890.18</t>
        </is>
      </c>
    </row>
    <row r="466" outlineLevel="1">
      <c r="A466" s="27" t="n"/>
      <c r="B466" s="27" t="inlineStr">
        <is>
          <t>4018.A</t>
        </is>
      </c>
      <c r="C466" s="7" t="inlineStr">
        <is>
          <t>YBE tavan askı/dirsek montaj konstrüksiyonu (alt kenar ≥2,20 m)</t>
        </is>
      </c>
      <c r="D466" s="27" t="inlineStr">
        <is>
          <t>adet</t>
        </is>
      </c>
      <c r="E466" s="50" t="n">
        <v>4</v>
      </c>
      <c r="F466" s="50" t="n">
        <v>4</v>
      </c>
      <c r="G466" s="27" t="inlineStr">
        <is>
          <t>%30</t>
        </is>
      </c>
      <c r="H466" s="50">
        <f>F466/IF(Varsayimlar!$B$21=1,1.3,1)</f>
        <v/>
      </c>
      <c r="I466" s="51" t="n">
        <v>1250</v>
      </c>
      <c r="J466" s="28">
        <f>H466*I466</f>
        <v/>
      </c>
      <c r="K466" s="62" t="inlineStr">
        <is>
          <t>2026 TEKLİF</t>
        </is>
      </c>
      <c r="L466" s="7" t="inlineStr">
        <is>
          <t>TEKLİF (ON Elektronik/RayON YBS 06.10.2026: malz. 750 + işç. 500 EUR)</t>
        </is>
      </c>
      <c r="M466" s="7" t="inlineStr">
        <is>
          <t>Teklif öncesi BF 249.31</t>
        </is>
      </c>
    </row>
    <row r="467" outlineLevel="1">
      <c r="A467" s="27" t="n"/>
      <c r="B467" s="27" t="inlineStr">
        <is>
          <t>4018.A</t>
        </is>
      </c>
      <c r="C467" s="7" t="inlineStr">
        <is>
          <t>IP oynatıcı/medya kontrol ünitesi (ekran başına, ekran dahili değilse)</t>
        </is>
      </c>
      <c r="D467" s="27" t="inlineStr">
        <is>
          <t>adet</t>
        </is>
      </c>
      <c r="E467" s="50" t="n">
        <v>4</v>
      </c>
      <c r="F467" s="50" t="n">
        <v>4</v>
      </c>
      <c r="G467" s="27" t="inlineStr">
        <is>
          <t>-</t>
        </is>
      </c>
      <c r="H467" s="50">
        <f>F467</f>
        <v/>
      </c>
      <c r="I467" s="51" t="n">
        <v>0</v>
      </c>
      <c r="J467" s="28">
        <f>H467*I467</f>
        <v/>
      </c>
      <c r="K467" s="62" t="inlineStr">
        <is>
          <t>2026 TEKLİF</t>
        </is>
      </c>
      <c r="L467" s="7" t="inlineStr">
        <is>
          <t>TEKLİF (ON Elektronik/RayON YBS 06.10.2026: birim fiyata dahil – "Media Player monitör üzerinde olacaktır.")</t>
        </is>
      </c>
      <c r="M467" s="7" t="inlineStr">
        <is>
          <t>Teklif öncesi BF 400.00</t>
        </is>
      </c>
    </row>
    <row r="468" outlineLevel="1">
      <c r="A468" s="27" t="n"/>
      <c r="B468" s="27" t="inlineStr">
        <is>
          <t>4018.A</t>
        </is>
      </c>
      <c r="C468" s="7" t="inlineStr">
        <is>
          <t>CAT6 S/FTP HFFR YBS kablosu</t>
        </is>
      </c>
      <c r="D468" s="27" t="inlineStr">
        <is>
          <t>m</t>
        </is>
      </c>
      <c r="E468" s="50" t="n">
        <v>245</v>
      </c>
      <c r="F468" s="50" t="n">
        <v>245</v>
      </c>
      <c r="G468" s="27" t="inlineStr">
        <is>
          <t>fire+%30</t>
        </is>
      </c>
      <c r="H468" s="50">
        <f>F468/IF(Varsayimlar!$B$21=1,1.43,1)</f>
        <v/>
      </c>
      <c r="I468" s="51" t="n">
        <v>2.48</v>
      </c>
      <c r="J468" s="28">
        <f>H468*I468</f>
        <v/>
      </c>
      <c r="K468" s="52" t="inlineStr">
        <is>
          <t>GEÇMİŞ TEKLİF UYARLAMA</t>
        </is>
      </c>
      <c r="L468" s="7" t="inlineStr">
        <is>
          <t>REF-derin – Pendik-Kaynarca M/YM 2022 2.45x1.3; SAGE bina/YM 2018 2.48; Üçyol-Buca M/Nokia/ALE 2021 1.40x1.3 | Ekranlı/LS0H-FE180 CAT6-7; malzemeye +%30 çekim | sonuç 2.48 [Emsal ID: R02987;R02994;R02238]</t>
        </is>
      </c>
      <c r="M468" s="7" t="inlineStr">
        <is>
          <t>İlk tahmin BF 1.40</t>
        </is>
      </c>
    </row>
    <row r="469">
      <c r="A469" s="48" t="inlineStr">
        <is>
          <t>312</t>
        </is>
      </c>
      <c r="B469" s="48" t="inlineStr">
        <is>
          <t>4018.B</t>
        </is>
      </c>
      <c r="C469" s="48" t="inlineStr">
        <is>
          <t>Hızmalı Köprüsü İstasyonu Yolcu Bilgilendirme Sistemi (1 set)</t>
        </is>
      </c>
      <c r="D469" s="48" t="n"/>
      <c r="E469" s="48" t="n"/>
      <c r="F469" s="48" t="n"/>
      <c r="G469" s="48" t="n"/>
      <c r="H469" s="48" t="inlineStr">
        <is>
          <t>RFQ tutarı →</t>
        </is>
      </c>
      <c r="I469" s="49">
        <f>SUMPRODUCT(E470:E473,I470:I473)</f>
        <v/>
      </c>
      <c r="J469" s="49">
        <f>SUM(J470:J473)</f>
        <v/>
      </c>
      <c r="K469" s="48" t="n"/>
      <c r="L469" s="48" t="n"/>
      <c r="M469" s="48" t="n"/>
    </row>
    <row r="470" outlineLevel="1">
      <c r="A470" s="27" t="n"/>
      <c r="B470" s="27" t="inlineStr">
        <is>
          <t>4018.B</t>
        </is>
      </c>
      <c r="C470" s="7" t="inlineStr">
        <is>
          <t>Yolcu bilgilendirme ekranı (IP, LED TV profesyonel 7/24, dış ortam muhafazalı, 43-55'')</t>
        </is>
      </c>
      <c r="D470" s="27" t="inlineStr">
        <is>
          <t>adet</t>
        </is>
      </c>
      <c r="E470" s="50" t="n">
        <v>4</v>
      </c>
      <c r="F470" s="50" t="n">
        <v>4</v>
      </c>
      <c r="G470" s="27" t="inlineStr">
        <is>
          <t>-</t>
        </is>
      </c>
      <c r="H470" s="50">
        <f>F470</f>
        <v/>
      </c>
      <c r="I470" s="51" t="n">
        <v>3500</v>
      </c>
      <c r="J470" s="28">
        <f>H470*I470</f>
        <v/>
      </c>
      <c r="K470" s="62" t="inlineStr">
        <is>
          <t>2026 TEKLİF</t>
        </is>
      </c>
      <c r="L470" s="7" t="inlineStr">
        <is>
          <t>TEKLİF (ON Elektronik/RayON YBS 06.10.2026: malz. 3000 + işç. 500 EUR)</t>
        </is>
      </c>
      <c r="M470" s="7" t="inlineStr">
        <is>
          <t>Teklif öncesi BF 4,890.18</t>
        </is>
      </c>
    </row>
    <row r="471" outlineLevel="1">
      <c r="A471" s="27" t="n"/>
      <c r="B471" s="27" t="inlineStr">
        <is>
          <t>4018.B</t>
        </is>
      </c>
      <c r="C471" s="7" t="inlineStr">
        <is>
          <t>YBE tavan askı/dirsek montaj konstrüksiyonu (alt kenar ≥2,20 m)</t>
        </is>
      </c>
      <c r="D471" s="27" t="inlineStr">
        <is>
          <t>adet</t>
        </is>
      </c>
      <c r="E471" s="50" t="n">
        <v>2</v>
      </c>
      <c r="F471" s="50" t="n">
        <v>2</v>
      </c>
      <c r="G471" s="27" t="inlineStr">
        <is>
          <t>%30</t>
        </is>
      </c>
      <c r="H471" s="50">
        <f>F471/IF(Varsayimlar!$B$21=1,1.3,1)</f>
        <v/>
      </c>
      <c r="I471" s="51" t="n">
        <v>1250</v>
      </c>
      <c r="J471" s="28">
        <f>H471*I471</f>
        <v/>
      </c>
      <c r="K471" s="62" t="inlineStr">
        <is>
          <t>2026 TEKLİF</t>
        </is>
      </c>
      <c r="L471" s="7" t="inlineStr">
        <is>
          <t>TEKLİF (ON Elektronik/RayON YBS 06.10.2026: malz. 750 + işç. 500 EUR)</t>
        </is>
      </c>
      <c r="M471" s="7" t="inlineStr">
        <is>
          <t>Teklif öncesi BF 249.31</t>
        </is>
      </c>
    </row>
    <row r="472" outlineLevel="1">
      <c r="A472" s="27" t="n"/>
      <c r="B472" s="27" t="inlineStr">
        <is>
          <t>4018.B</t>
        </is>
      </c>
      <c r="C472" s="7" t="inlineStr">
        <is>
          <t>IP oynatıcı/medya kontrol ünitesi (ekran başına, ekran dahili değilse)</t>
        </is>
      </c>
      <c r="D472" s="27" t="inlineStr">
        <is>
          <t>adet</t>
        </is>
      </c>
      <c r="E472" s="50" t="n">
        <v>4</v>
      </c>
      <c r="F472" s="50" t="n">
        <v>4</v>
      </c>
      <c r="G472" s="27" t="inlineStr">
        <is>
          <t>-</t>
        </is>
      </c>
      <c r="H472" s="50">
        <f>F472</f>
        <v/>
      </c>
      <c r="I472" s="51" t="n">
        <v>0</v>
      </c>
      <c r="J472" s="28">
        <f>H472*I472</f>
        <v/>
      </c>
      <c r="K472" s="62" t="inlineStr">
        <is>
          <t>2026 TEKLİF</t>
        </is>
      </c>
      <c r="L472" s="7" t="inlineStr">
        <is>
          <t>TEKLİF (ON Elektronik/RayON YBS 06.10.2026: birim fiyata dahil – "Media Player monitör üzerinde olacaktır.")</t>
        </is>
      </c>
      <c r="M472" s="7" t="inlineStr">
        <is>
          <t>Teklif öncesi BF 400.00</t>
        </is>
      </c>
    </row>
    <row r="473" outlineLevel="1">
      <c r="A473" s="27" t="n"/>
      <c r="B473" s="27" t="inlineStr">
        <is>
          <t>4018.B</t>
        </is>
      </c>
      <c r="C473" s="7" t="inlineStr">
        <is>
          <t>CAT6 S/FTP HFFR YBS kablosu</t>
        </is>
      </c>
      <c r="D473" s="27" t="inlineStr">
        <is>
          <t>m</t>
        </is>
      </c>
      <c r="E473" s="50" t="n">
        <v>286</v>
      </c>
      <c r="F473" s="50" t="n">
        <v>286</v>
      </c>
      <c r="G473" s="27" t="inlineStr">
        <is>
          <t>fire+%30</t>
        </is>
      </c>
      <c r="H473" s="50">
        <f>F473/IF(Varsayimlar!$B$21=1,1.43,1)</f>
        <v/>
      </c>
      <c r="I473" s="51" t="n">
        <v>2.48</v>
      </c>
      <c r="J473" s="28">
        <f>H473*I473</f>
        <v/>
      </c>
      <c r="K473" s="52" t="inlineStr">
        <is>
          <t>GEÇMİŞ TEKLİF UYARLAMA</t>
        </is>
      </c>
      <c r="L473" s="7" t="inlineStr">
        <is>
          <t>REF-derin – Pendik-Kaynarca M/YM 2022 2.45x1.3; SAGE bina/YM 2018 2.48; Üçyol-Buca M/Nokia/ALE 2021 1.40x1.3 | Ekranlı/LS0H-FE180 CAT6-7; malzemeye +%30 çekim | sonuç 2.48 [Emsal ID: R02987;R02994;R02238]</t>
        </is>
      </c>
      <c r="M473" s="7" t="inlineStr">
        <is>
          <t>İlk tahmin BF 1.40</t>
        </is>
      </c>
    </row>
    <row r="474">
      <c r="A474" s="48" t="inlineStr">
        <is>
          <t>313</t>
        </is>
      </c>
      <c r="B474" s="48" t="inlineStr">
        <is>
          <t>4018.C</t>
        </is>
      </c>
      <c r="C474" s="48" t="inlineStr">
        <is>
          <t>Balıklıgöl İstasyonu Yolcu Bilgilendirme Sistemi (1 set)</t>
        </is>
      </c>
      <c r="D474" s="48" t="n"/>
      <c r="E474" s="48" t="n"/>
      <c r="F474" s="48" t="n"/>
      <c r="G474" s="48" t="n"/>
      <c r="H474" s="48" t="inlineStr">
        <is>
          <t>RFQ tutarı →</t>
        </is>
      </c>
      <c r="I474" s="49">
        <f>SUMPRODUCT(E475:E478,I475:I478)</f>
        <v/>
      </c>
      <c r="J474" s="49">
        <f>SUM(J475:J478)</f>
        <v/>
      </c>
      <c r="K474" s="48" t="n"/>
      <c r="L474" s="48" t="n"/>
      <c r="M474" s="48" t="n"/>
    </row>
    <row r="475" outlineLevel="1">
      <c r="A475" s="27" t="n"/>
      <c r="B475" s="27" t="inlineStr">
        <is>
          <t>4018.C</t>
        </is>
      </c>
      <c r="C475" s="7" t="inlineStr">
        <is>
          <t>Yolcu bilgilendirme ekranı (IP, LED TV profesyonel 7/24, dış ortam muhafazalı, 43-55'')</t>
        </is>
      </c>
      <c r="D475" s="27" t="inlineStr">
        <is>
          <t>adet</t>
        </is>
      </c>
      <c r="E475" s="50" t="n">
        <v>4</v>
      </c>
      <c r="F475" s="50" t="n">
        <v>4</v>
      </c>
      <c r="G475" s="27" t="inlineStr">
        <is>
          <t>-</t>
        </is>
      </c>
      <c r="H475" s="50">
        <f>F475</f>
        <v/>
      </c>
      <c r="I475" s="51" t="n">
        <v>3500</v>
      </c>
      <c r="J475" s="28">
        <f>H475*I475</f>
        <v/>
      </c>
      <c r="K475" s="62" t="inlineStr">
        <is>
          <t>2026 TEKLİF</t>
        </is>
      </c>
      <c r="L475" s="7" t="inlineStr">
        <is>
          <t>TEKLİF (ON Elektronik/RayON YBS 06.10.2026: malz. 3000 + işç. 500 EUR)</t>
        </is>
      </c>
      <c r="M475" s="7" t="inlineStr">
        <is>
          <t>Teklif öncesi BF 4,890.18</t>
        </is>
      </c>
    </row>
    <row r="476" outlineLevel="1">
      <c r="A476" s="27" t="n"/>
      <c r="B476" s="27" t="inlineStr">
        <is>
          <t>4018.C</t>
        </is>
      </c>
      <c r="C476" s="7" t="inlineStr">
        <is>
          <t>YBE tavan askı/dirsek montaj konstrüksiyonu (alt kenar ≥2,20 m)</t>
        </is>
      </c>
      <c r="D476" s="27" t="inlineStr">
        <is>
          <t>adet</t>
        </is>
      </c>
      <c r="E476" s="50" t="n">
        <v>2</v>
      </c>
      <c r="F476" s="50" t="n">
        <v>2</v>
      </c>
      <c r="G476" s="27" t="inlineStr">
        <is>
          <t>%30</t>
        </is>
      </c>
      <c r="H476" s="50">
        <f>F476/IF(Varsayimlar!$B$21=1,1.3,1)</f>
        <v/>
      </c>
      <c r="I476" s="51" t="n">
        <v>1250</v>
      </c>
      <c r="J476" s="28">
        <f>H476*I476</f>
        <v/>
      </c>
      <c r="K476" s="62" t="inlineStr">
        <is>
          <t>2026 TEKLİF</t>
        </is>
      </c>
      <c r="L476" s="7" t="inlineStr">
        <is>
          <t>TEKLİF (ON Elektronik/RayON YBS 06.10.2026: malz. 750 + işç. 500 EUR)</t>
        </is>
      </c>
      <c r="M476" s="7" t="inlineStr">
        <is>
          <t>Teklif öncesi BF 249.31</t>
        </is>
      </c>
    </row>
    <row r="477" outlineLevel="1">
      <c r="A477" s="27" t="n"/>
      <c r="B477" s="27" t="inlineStr">
        <is>
          <t>4018.C</t>
        </is>
      </c>
      <c r="C477" s="7" t="inlineStr">
        <is>
          <t>IP oynatıcı/medya kontrol ünitesi (ekran başına, ekran dahili değilse)</t>
        </is>
      </c>
      <c r="D477" s="27" t="inlineStr">
        <is>
          <t>adet</t>
        </is>
      </c>
      <c r="E477" s="50" t="n">
        <v>4</v>
      </c>
      <c r="F477" s="50" t="n">
        <v>4</v>
      </c>
      <c r="G477" s="27" t="inlineStr">
        <is>
          <t>-</t>
        </is>
      </c>
      <c r="H477" s="50">
        <f>F477</f>
        <v/>
      </c>
      <c r="I477" s="51" t="n">
        <v>0</v>
      </c>
      <c r="J477" s="28">
        <f>H477*I477</f>
        <v/>
      </c>
      <c r="K477" s="62" t="inlineStr">
        <is>
          <t>2026 TEKLİF</t>
        </is>
      </c>
      <c r="L477" s="7" t="inlineStr">
        <is>
          <t>TEKLİF (ON Elektronik/RayON YBS 06.10.2026: birim fiyata dahil – "Media Player monitör üzerinde olacaktır.")</t>
        </is>
      </c>
      <c r="M477" s="7" t="inlineStr">
        <is>
          <t>Teklif öncesi BF 400.00</t>
        </is>
      </c>
    </row>
    <row r="478" outlineLevel="1">
      <c r="A478" s="27" t="n"/>
      <c r="B478" s="27" t="inlineStr">
        <is>
          <t>4018.C</t>
        </is>
      </c>
      <c r="C478" s="7" t="inlineStr">
        <is>
          <t>CAT6 S/FTP HFFR YBS kablosu</t>
        </is>
      </c>
      <c r="D478" s="27" t="inlineStr">
        <is>
          <t>m</t>
        </is>
      </c>
      <c r="E478" s="50" t="n">
        <v>286</v>
      </c>
      <c r="F478" s="50" t="n">
        <v>286</v>
      </c>
      <c r="G478" s="27" t="inlineStr">
        <is>
          <t>fire+%30</t>
        </is>
      </c>
      <c r="H478" s="50">
        <f>F478/IF(Varsayimlar!$B$21=1,1.43,1)</f>
        <v/>
      </c>
      <c r="I478" s="51" t="n">
        <v>2.48</v>
      </c>
      <c r="J478" s="28">
        <f>H478*I478</f>
        <v/>
      </c>
      <c r="K478" s="52" t="inlineStr">
        <is>
          <t>GEÇMİŞ TEKLİF UYARLAMA</t>
        </is>
      </c>
      <c r="L478" s="7" t="inlineStr">
        <is>
          <t>REF-derin – Pendik-Kaynarca M/YM 2022 2.45x1.3; SAGE bina/YM 2018 2.48; Üçyol-Buca M/Nokia/ALE 2021 1.40x1.3 | Ekranlı/LS0H-FE180 CAT6-7; malzemeye +%30 çekim | sonuç 2.48 [Emsal ID: R02987;R02994;R02238]</t>
        </is>
      </c>
      <c r="M478" s="7" t="inlineStr">
        <is>
          <t>İlk tahmin BF 1.40</t>
        </is>
      </c>
    </row>
    <row r="479">
      <c r="A479" s="48" t="inlineStr">
        <is>
          <t>314</t>
        </is>
      </c>
      <c r="B479" s="48" t="inlineStr">
        <is>
          <t>4018.D</t>
        </is>
      </c>
      <c r="C479" s="48" t="inlineStr">
        <is>
          <t>Eyüp Peygamber İstasyonu Yolcu Bilgilendirme Sistemi (1 set)</t>
        </is>
      </c>
      <c r="D479" s="48" t="n"/>
      <c r="E479" s="48" t="n"/>
      <c r="F479" s="48" t="n"/>
      <c r="G479" s="48" t="n"/>
      <c r="H479" s="48" t="inlineStr">
        <is>
          <t>RFQ tutarı →</t>
        </is>
      </c>
      <c r="I479" s="49">
        <f>SUMPRODUCT(E480:E483,I480:I483)</f>
        <v/>
      </c>
      <c r="J479" s="49">
        <f>SUM(J480:J483)</f>
        <v/>
      </c>
      <c r="K479" s="48" t="n"/>
      <c r="L479" s="48" t="n"/>
      <c r="M479" s="48" t="n"/>
    </row>
    <row r="480" outlineLevel="1">
      <c r="A480" s="27" t="n"/>
      <c r="B480" s="27" t="inlineStr">
        <is>
          <t>4018.D</t>
        </is>
      </c>
      <c r="C480" s="7" t="inlineStr">
        <is>
          <t>Yolcu bilgilendirme ekranı (IP, LED TV profesyonel 7/24, dış ortam muhafazalı, 43-55'')</t>
        </is>
      </c>
      <c r="D480" s="27" t="inlineStr">
        <is>
          <t>adet</t>
        </is>
      </c>
      <c r="E480" s="50" t="n">
        <v>4</v>
      </c>
      <c r="F480" s="50" t="n">
        <v>4</v>
      </c>
      <c r="G480" s="27" t="inlineStr">
        <is>
          <t>-</t>
        </is>
      </c>
      <c r="H480" s="50">
        <f>F480</f>
        <v/>
      </c>
      <c r="I480" s="51" t="n">
        <v>3500</v>
      </c>
      <c r="J480" s="28">
        <f>H480*I480</f>
        <v/>
      </c>
      <c r="K480" s="62" t="inlineStr">
        <is>
          <t>2026 TEKLİF</t>
        </is>
      </c>
      <c r="L480" s="7" t="inlineStr">
        <is>
          <t>TEKLİF (ON Elektronik/RayON YBS 06.10.2026: malz. 3000 + işç. 500 EUR)</t>
        </is>
      </c>
      <c r="M480" s="7" t="inlineStr">
        <is>
          <t>Teklif öncesi BF 4,890.18</t>
        </is>
      </c>
    </row>
    <row r="481" outlineLevel="1">
      <c r="A481" s="27" t="n"/>
      <c r="B481" s="27" t="inlineStr">
        <is>
          <t>4018.D</t>
        </is>
      </c>
      <c r="C481" s="7" t="inlineStr">
        <is>
          <t>YBE tavan askı/dirsek montaj konstrüksiyonu (alt kenar ≥2,20 m)</t>
        </is>
      </c>
      <c r="D481" s="27" t="inlineStr">
        <is>
          <t>adet</t>
        </is>
      </c>
      <c r="E481" s="50" t="n">
        <v>2</v>
      </c>
      <c r="F481" s="50" t="n">
        <v>2</v>
      </c>
      <c r="G481" s="27" t="inlineStr">
        <is>
          <t>%30</t>
        </is>
      </c>
      <c r="H481" s="50">
        <f>F481/IF(Varsayimlar!$B$21=1,1.3,1)</f>
        <v/>
      </c>
      <c r="I481" s="51" t="n">
        <v>1250</v>
      </c>
      <c r="J481" s="28">
        <f>H481*I481</f>
        <v/>
      </c>
      <c r="K481" s="62" t="inlineStr">
        <is>
          <t>2026 TEKLİF</t>
        </is>
      </c>
      <c r="L481" s="7" t="inlineStr">
        <is>
          <t>TEKLİF (ON Elektronik/RayON YBS 06.10.2026: malz. 750 + işç. 500 EUR)</t>
        </is>
      </c>
      <c r="M481" s="7" t="inlineStr">
        <is>
          <t>Teklif öncesi BF 249.31</t>
        </is>
      </c>
    </row>
    <row r="482" outlineLevel="1">
      <c r="A482" s="27" t="n"/>
      <c r="B482" s="27" t="inlineStr">
        <is>
          <t>4018.D</t>
        </is>
      </c>
      <c r="C482" s="7" t="inlineStr">
        <is>
          <t>IP oynatıcı/medya kontrol ünitesi (ekran başına, ekran dahili değilse)</t>
        </is>
      </c>
      <c r="D482" s="27" t="inlineStr">
        <is>
          <t>adet</t>
        </is>
      </c>
      <c r="E482" s="50" t="n">
        <v>4</v>
      </c>
      <c r="F482" s="50" t="n">
        <v>4</v>
      </c>
      <c r="G482" s="27" t="inlineStr">
        <is>
          <t>-</t>
        </is>
      </c>
      <c r="H482" s="50">
        <f>F482</f>
        <v/>
      </c>
      <c r="I482" s="51" t="n">
        <v>0</v>
      </c>
      <c r="J482" s="28">
        <f>H482*I482</f>
        <v/>
      </c>
      <c r="K482" s="62" t="inlineStr">
        <is>
          <t>2026 TEKLİF</t>
        </is>
      </c>
      <c r="L482" s="7" t="inlineStr">
        <is>
          <t>TEKLİF (ON Elektronik/RayON YBS 06.10.2026: birim fiyata dahil – "Media Player monitör üzerinde olacaktır.")</t>
        </is>
      </c>
      <c r="M482" s="7" t="inlineStr">
        <is>
          <t>Teklif öncesi BF 400.00</t>
        </is>
      </c>
    </row>
    <row r="483" outlineLevel="1">
      <c r="A483" s="27" t="n"/>
      <c r="B483" s="27" t="inlineStr">
        <is>
          <t>4018.D</t>
        </is>
      </c>
      <c r="C483" s="7" t="inlineStr">
        <is>
          <t>CAT6 S/FTP HFFR YBS kablosu</t>
        </is>
      </c>
      <c r="D483" s="27" t="inlineStr">
        <is>
          <t>m</t>
        </is>
      </c>
      <c r="E483" s="50" t="n">
        <v>286</v>
      </c>
      <c r="F483" s="50" t="n">
        <v>286</v>
      </c>
      <c r="G483" s="27" t="inlineStr">
        <is>
          <t>fire+%30</t>
        </is>
      </c>
      <c r="H483" s="50">
        <f>F483/IF(Varsayimlar!$B$21=1,1.43,1)</f>
        <v/>
      </c>
      <c r="I483" s="51" t="n">
        <v>2.48</v>
      </c>
      <c r="J483" s="28">
        <f>H483*I483</f>
        <v/>
      </c>
      <c r="K483" s="52" t="inlineStr">
        <is>
          <t>GEÇMİŞ TEKLİF UYARLAMA</t>
        </is>
      </c>
      <c r="L483" s="7" t="inlineStr">
        <is>
          <t>REF-derin – Pendik-Kaynarca M/YM 2022 2.45x1.3; SAGE bina/YM 2018 2.48; Üçyol-Buca M/Nokia/ALE 2021 1.40x1.3 | Ekranlı/LS0H-FE180 CAT6-7; malzemeye +%30 çekim | sonuç 2.48 [Emsal ID: R02987;R02994;R02238]</t>
        </is>
      </c>
      <c r="M483" s="7" t="inlineStr">
        <is>
          <t>İlk tahmin BF 1.40</t>
        </is>
      </c>
    </row>
    <row r="484">
      <c r="A484" s="48" t="inlineStr">
        <is>
          <t>315</t>
        </is>
      </c>
      <c r="B484" s="48" t="inlineStr">
        <is>
          <t>4018.E</t>
        </is>
      </c>
      <c r="C484" s="48" t="inlineStr">
        <is>
          <t>Rasathane İstasyonu Yolcu Bilgilendirme Sistemi (1 set)</t>
        </is>
      </c>
      <c r="D484" s="48" t="n"/>
      <c r="E484" s="48" t="n"/>
      <c r="F484" s="48" t="n"/>
      <c r="G484" s="48" t="n"/>
      <c r="H484" s="48" t="inlineStr">
        <is>
          <t>RFQ tutarı →</t>
        </is>
      </c>
      <c r="I484" s="49">
        <f>SUMPRODUCT(E485:E488,I485:I488)</f>
        <v/>
      </c>
      <c r="J484" s="49">
        <f>SUM(J485:J488)</f>
        <v/>
      </c>
      <c r="K484" s="48" t="n"/>
      <c r="L484" s="48" t="n"/>
      <c r="M484" s="48" t="n"/>
    </row>
    <row r="485" outlineLevel="1">
      <c r="A485" s="27" t="n"/>
      <c r="B485" s="27" t="inlineStr">
        <is>
          <t>4018.E</t>
        </is>
      </c>
      <c r="C485" s="7" t="inlineStr">
        <is>
          <t>Yolcu bilgilendirme ekranı (IP, LED TV profesyonel 7/24, dış ortam muhafazalı, 43-55'')</t>
        </is>
      </c>
      <c r="D485" s="27" t="inlineStr">
        <is>
          <t>adet</t>
        </is>
      </c>
      <c r="E485" s="50" t="n">
        <v>4</v>
      </c>
      <c r="F485" s="50" t="n">
        <v>4</v>
      </c>
      <c r="G485" s="27" t="inlineStr">
        <is>
          <t>-</t>
        </is>
      </c>
      <c r="H485" s="50">
        <f>F485</f>
        <v/>
      </c>
      <c r="I485" s="51" t="n">
        <v>3500</v>
      </c>
      <c r="J485" s="28">
        <f>H485*I485</f>
        <v/>
      </c>
      <c r="K485" s="62" t="inlineStr">
        <is>
          <t>2026 TEKLİF</t>
        </is>
      </c>
      <c r="L485" s="7" t="inlineStr">
        <is>
          <t>TEKLİF (ON Elektronik/RayON YBS 06.10.2026: malz. 3000 + işç. 500 EUR)</t>
        </is>
      </c>
      <c r="M485" s="7" t="inlineStr">
        <is>
          <t>Teklif öncesi BF 4,890.18</t>
        </is>
      </c>
    </row>
    <row r="486" outlineLevel="1">
      <c r="A486" s="27" t="n"/>
      <c r="B486" s="27" t="inlineStr">
        <is>
          <t>4018.E</t>
        </is>
      </c>
      <c r="C486" s="7" t="inlineStr">
        <is>
          <t>YBE tavan askı/dirsek montaj konstrüksiyonu (alt kenar ≥2,20 m)</t>
        </is>
      </c>
      <c r="D486" s="27" t="inlineStr">
        <is>
          <t>adet</t>
        </is>
      </c>
      <c r="E486" s="50" t="n">
        <v>2</v>
      </c>
      <c r="F486" s="50" t="n">
        <v>2</v>
      </c>
      <c r="G486" s="27" t="inlineStr">
        <is>
          <t>%30</t>
        </is>
      </c>
      <c r="H486" s="50">
        <f>F486/IF(Varsayimlar!$B$21=1,1.3,1)</f>
        <v/>
      </c>
      <c r="I486" s="51" t="n">
        <v>1250</v>
      </c>
      <c r="J486" s="28">
        <f>H486*I486</f>
        <v/>
      </c>
      <c r="K486" s="62" t="inlineStr">
        <is>
          <t>2026 TEKLİF</t>
        </is>
      </c>
      <c r="L486" s="7" t="inlineStr">
        <is>
          <t>TEKLİF (ON Elektronik/RayON YBS 06.10.2026: malz. 750 + işç. 500 EUR)</t>
        </is>
      </c>
      <c r="M486" s="7" t="inlineStr">
        <is>
          <t>Teklif öncesi BF 249.31</t>
        </is>
      </c>
    </row>
    <row r="487" outlineLevel="1">
      <c r="A487" s="27" t="n"/>
      <c r="B487" s="27" t="inlineStr">
        <is>
          <t>4018.E</t>
        </is>
      </c>
      <c r="C487" s="7" t="inlineStr">
        <is>
          <t>IP oynatıcı/medya kontrol ünitesi (ekran başına, ekran dahili değilse)</t>
        </is>
      </c>
      <c r="D487" s="27" t="inlineStr">
        <is>
          <t>adet</t>
        </is>
      </c>
      <c r="E487" s="50" t="n">
        <v>4</v>
      </c>
      <c r="F487" s="50" t="n">
        <v>4</v>
      </c>
      <c r="G487" s="27" t="inlineStr">
        <is>
          <t>-</t>
        </is>
      </c>
      <c r="H487" s="50">
        <f>F487</f>
        <v/>
      </c>
      <c r="I487" s="51" t="n">
        <v>0</v>
      </c>
      <c r="J487" s="28">
        <f>H487*I487</f>
        <v/>
      </c>
      <c r="K487" s="62" t="inlineStr">
        <is>
          <t>2026 TEKLİF</t>
        </is>
      </c>
      <c r="L487" s="7" t="inlineStr">
        <is>
          <t>TEKLİF (ON Elektronik/RayON YBS 06.10.2026: birim fiyata dahil – "Media Player monitör üzerinde olacaktır.")</t>
        </is>
      </c>
      <c r="M487" s="7" t="inlineStr">
        <is>
          <t>Teklif öncesi BF 400.00</t>
        </is>
      </c>
    </row>
    <row r="488" outlineLevel="1">
      <c r="A488" s="27" t="n"/>
      <c r="B488" s="27" t="inlineStr">
        <is>
          <t>4018.E</t>
        </is>
      </c>
      <c r="C488" s="7" t="inlineStr">
        <is>
          <t>CAT6 S/FTP HFFR YBS kablosu</t>
        </is>
      </c>
      <c r="D488" s="27" t="inlineStr">
        <is>
          <t>m</t>
        </is>
      </c>
      <c r="E488" s="50" t="n">
        <v>286</v>
      </c>
      <c r="F488" s="50" t="n">
        <v>286</v>
      </c>
      <c r="G488" s="27" t="inlineStr">
        <is>
          <t>fire+%30</t>
        </is>
      </c>
      <c r="H488" s="50">
        <f>F488/IF(Varsayimlar!$B$21=1,1.43,1)</f>
        <v/>
      </c>
      <c r="I488" s="51" t="n">
        <v>2.48</v>
      </c>
      <c r="J488" s="28">
        <f>H488*I488</f>
        <v/>
      </c>
      <c r="K488" s="52" t="inlineStr">
        <is>
          <t>GEÇMİŞ TEKLİF UYARLAMA</t>
        </is>
      </c>
      <c r="L488" s="7" t="inlineStr">
        <is>
          <t>REF-derin – Pendik-Kaynarca M/YM 2022 2.45x1.3; SAGE bina/YM 2018 2.48; Üçyol-Buca M/Nokia/ALE 2021 1.40x1.3 | Ekranlı/LS0H-FE180 CAT6-7; malzemeye +%30 çekim | sonuç 2.48 [Emsal ID: R02987;R02994;R02238]</t>
        </is>
      </c>
      <c r="M488" s="7" t="inlineStr">
        <is>
          <t>İlk tahmin BF 1.40</t>
        </is>
      </c>
    </row>
    <row r="489">
      <c r="A489" s="48" t="inlineStr">
        <is>
          <t>316</t>
        </is>
      </c>
      <c r="B489" s="48" t="inlineStr">
        <is>
          <t>4018.F</t>
        </is>
      </c>
      <c r="C489" s="48" t="inlineStr">
        <is>
          <t>Harran İstasyonu Yolcu Bilgilendirme Sistemi (1 set)</t>
        </is>
      </c>
      <c r="D489" s="48" t="n"/>
      <c r="E489" s="48" t="n"/>
      <c r="F489" s="48" t="n"/>
      <c r="G489" s="48" t="n"/>
      <c r="H489" s="48" t="inlineStr">
        <is>
          <t>RFQ tutarı →</t>
        </is>
      </c>
      <c r="I489" s="49">
        <f>SUMPRODUCT(E490:E493,I490:I493)</f>
        <v/>
      </c>
      <c r="J489" s="49">
        <f>SUM(J490:J493)</f>
        <v/>
      </c>
      <c r="K489" s="48" t="n"/>
      <c r="L489" s="48" t="n"/>
      <c r="M489" s="48" t="n"/>
    </row>
    <row r="490" outlineLevel="1">
      <c r="A490" s="27" t="n"/>
      <c r="B490" s="27" t="inlineStr">
        <is>
          <t>4018.F</t>
        </is>
      </c>
      <c r="C490" s="7" t="inlineStr">
        <is>
          <t>Yolcu bilgilendirme ekranı (IP, LED TV profesyonel 7/24, dış ortam muhafazalı, 43-55'')</t>
        </is>
      </c>
      <c r="D490" s="27" t="inlineStr">
        <is>
          <t>adet</t>
        </is>
      </c>
      <c r="E490" s="50" t="n">
        <v>4</v>
      </c>
      <c r="F490" s="50" t="n">
        <v>4</v>
      </c>
      <c r="G490" s="27" t="inlineStr">
        <is>
          <t>-</t>
        </is>
      </c>
      <c r="H490" s="50">
        <f>F490</f>
        <v/>
      </c>
      <c r="I490" s="51" t="n">
        <v>3500</v>
      </c>
      <c r="J490" s="28">
        <f>H490*I490</f>
        <v/>
      </c>
      <c r="K490" s="62" t="inlineStr">
        <is>
          <t>2026 TEKLİF</t>
        </is>
      </c>
      <c r="L490" s="7" t="inlineStr">
        <is>
          <t>TEKLİF (ON Elektronik/RayON YBS 06.10.2026: malz. 3000 + işç. 500 EUR)</t>
        </is>
      </c>
      <c r="M490" s="7" t="inlineStr">
        <is>
          <t>Teklif öncesi BF 4,890.18</t>
        </is>
      </c>
    </row>
    <row r="491" outlineLevel="1">
      <c r="A491" s="27" t="n"/>
      <c r="B491" s="27" t="inlineStr">
        <is>
          <t>4018.F</t>
        </is>
      </c>
      <c r="C491" s="7" t="inlineStr">
        <is>
          <t>YBE tavan askı/dirsek montaj konstrüksiyonu (alt kenar ≥2,20 m)</t>
        </is>
      </c>
      <c r="D491" s="27" t="inlineStr">
        <is>
          <t>adet</t>
        </is>
      </c>
      <c r="E491" s="50" t="n">
        <v>2</v>
      </c>
      <c r="F491" s="50" t="n">
        <v>2</v>
      </c>
      <c r="G491" s="27" t="inlineStr">
        <is>
          <t>%30</t>
        </is>
      </c>
      <c r="H491" s="50">
        <f>F491/IF(Varsayimlar!$B$21=1,1.3,1)</f>
        <v/>
      </c>
      <c r="I491" s="51" t="n">
        <v>1250</v>
      </c>
      <c r="J491" s="28">
        <f>H491*I491</f>
        <v/>
      </c>
      <c r="K491" s="62" t="inlineStr">
        <is>
          <t>2026 TEKLİF</t>
        </is>
      </c>
      <c r="L491" s="7" t="inlineStr">
        <is>
          <t>TEKLİF (ON Elektronik/RayON YBS 06.10.2026: malz. 750 + işç. 500 EUR)</t>
        </is>
      </c>
      <c r="M491" s="7" t="inlineStr">
        <is>
          <t>Teklif öncesi BF 249.31</t>
        </is>
      </c>
    </row>
    <row r="492" outlineLevel="1">
      <c r="A492" s="27" t="n"/>
      <c r="B492" s="27" t="inlineStr">
        <is>
          <t>4018.F</t>
        </is>
      </c>
      <c r="C492" s="7" t="inlineStr">
        <is>
          <t>IP oynatıcı/medya kontrol ünitesi (ekran başına, ekran dahili değilse)</t>
        </is>
      </c>
      <c r="D492" s="27" t="inlineStr">
        <is>
          <t>adet</t>
        </is>
      </c>
      <c r="E492" s="50" t="n">
        <v>4</v>
      </c>
      <c r="F492" s="50" t="n">
        <v>4</v>
      </c>
      <c r="G492" s="27" t="inlineStr">
        <is>
          <t>-</t>
        </is>
      </c>
      <c r="H492" s="50">
        <f>F492</f>
        <v/>
      </c>
      <c r="I492" s="51" t="n">
        <v>0</v>
      </c>
      <c r="J492" s="28">
        <f>H492*I492</f>
        <v/>
      </c>
      <c r="K492" s="62" t="inlineStr">
        <is>
          <t>2026 TEKLİF</t>
        </is>
      </c>
      <c r="L492" s="7" t="inlineStr">
        <is>
          <t>TEKLİF (ON Elektronik/RayON YBS 06.10.2026: birim fiyata dahil – "Media Player monitör üzerinde olacaktır.")</t>
        </is>
      </c>
      <c r="M492" s="7" t="inlineStr">
        <is>
          <t>Teklif öncesi BF 400.00</t>
        </is>
      </c>
    </row>
    <row r="493" outlineLevel="1">
      <c r="A493" s="27" t="n"/>
      <c r="B493" s="27" t="inlineStr">
        <is>
          <t>4018.F</t>
        </is>
      </c>
      <c r="C493" s="7" t="inlineStr">
        <is>
          <t>CAT6 S/FTP HFFR YBS kablosu</t>
        </is>
      </c>
      <c r="D493" s="27" t="inlineStr">
        <is>
          <t>m</t>
        </is>
      </c>
      <c r="E493" s="50" t="n">
        <v>305</v>
      </c>
      <c r="F493" s="50" t="n">
        <v>305</v>
      </c>
      <c r="G493" s="27" t="inlineStr">
        <is>
          <t>fire+%30</t>
        </is>
      </c>
      <c r="H493" s="50">
        <f>F493/IF(Varsayimlar!$B$21=1,1.43,1)</f>
        <v/>
      </c>
      <c r="I493" s="51" t="n">
        <v>2.48</v>
      </c>
      <c r="J493" s="28">
        <f>H493*I493</f>
        <v/>
      </c>
      <c r="K493" s="52" t="inlineStr">
        <is>
          <t>GEÇMİŞ TEKLİF UYARLAMA</t>
        </is>
      </c>
      <c r="L493" s="7" t="inlineStr">
        <is>
          <t>REF-derin – Pendik-Kaynarca M/YM 2022 2.45x1.3; SAGE bina/YM 2018 2.48; Üçyol-Buca M/Nokia/ALE 2021 1.40x1.3 | Ekranlı/LS0H-FE180 CAT6-7; malzemeye +%30 çekim | sonuç 2.48 [Emsal ID: R02987;R02994;R02238]</t>
        </is>
      </c>
      <c r="M493" s="7" t="inlineStr">
        <is>
          <t>İlk tahmin BF 1.40</t>
        </is>
      </c>
    </row>
    <row r="494">
      <c r="A494" s="48" t="inlineStr">
        <is>
          <t>317</t>
        </is>
      </c>
      <c r="B494" s="48" t="inlineStr">
        <is>
          <t>4018.G</t>
        </is>
      </c>
      <c r="C494" s="48" t="inlineStr">
        <is>
          <t>Yolcu Bilgilendirme Sistemi Merkez Donanımı&amp;Yazılımı (1 set)</t>
        </is>
      </c>
      <c r="D494" s="48" t="n"/>
      <c r="E494" s="48" t="n"/>
      <c r="F494" s="48" t="n"/>
      <c r="G494" s="48" t="n"/>
      <c r="H494" s="48" t="inlineStr">
        <is>
          <t>RFQ tutarı →</t>
        </is>
      </c>
      <c r="I494" s="49">
        <f>SUMPRODUCT(E495:E498,I495:I498)</f>
        <v/>
      </c>
      <c r="J494" s="49">
        <f>SUM(J495:J498)</f>
        <v/>
      </c>
      <c r="K494" s="48" t="n"/>
      <c r="L494" s="48" t="n"/>
      <c r="M494" s="48" t="n"/>
    </row>
    <row r="495" outlineLevel="1">
      <c r="A495" s="27" t="n"/>
      <c r="B495" s="27" t="inlineStr">
        <is>
          <t>4018.G</t>
        </is>
      </c>
      <c r="C495" s="7" t="inlineStr">
        <is>
          <t>YBS sunucusu/bilgisayarı + monitör (sistem kontrol/yedek pozisyonu)</t>
        </is>
      </c>
      <c r="D495" s="27" t="inlineStr">
        <is>
          <t>set</t>
        </is>
      </c>
      <c r="E495" s="50" t="n">
        <v>1</v>
      </c>
      <c r="F495" s="50" t="n">
        <v>1</v>
      </c>
      <c r="G495" s="27" t="inlineStr">
        <is>
          <t>-</t>
        </is>
      </c>
      <c r="H495" s="50">
        <f>F495</f>
        <v/>
      </c>
      <c r="I495" s="51" t="n">
        <v>6000</v>
      </c>
      <c r="J495" s="28">
        <f>H495*I495</f>
        <v/>
      </c>
      <c r="K495" s="62" t="inlineStr">
        <is>
          <t>2026 TEKLİF</t>
        </is>
      </c>
      <c r="L495" s="7" t="inlineStr">
        <is>
          <t>TEKLİF (ON Elektronik/RayON YBS 06.10.2026: malz. 5000 + işç. 1000 EUR)</t>
        </is>
      </c>
      <c r="M495" s="7" t="inlineStr">
        <is>
          <t>Teklif öncesi BF 3,949.76</t>
        </is>
      </c>
    </row>
    <row r="496" outlineLevel="1">
      <c r="A496" s="27" t="n"/>
      <c r="B496" s="27" t="inlineStr">
        <is>
          <t>4018.G</t>
        </is>
      </c>
      <c r="C496" s="7" t="inlineStr">
        <is>
          <t>YBS yazılımı + lisanslar (varış süresi hesabı, kayar yazı, internet yayını, AVLS/sinyalizasyon arayüzü)</t>
        </is>
      </c>
      <c r="D496" s="27" t="inlineStr">
        <is>
          <t>set</t>
        </is>
      </c>
      <c r="E496" s="50" t="n">
        <v>1</v>
      </c>
      <c r="F496" s="50" t="n">
        <v>1</v>
      </c>
      <c r="G496" s="27" t="inlineStr">
        <is>
          <t>-</t>
        </is>
      </c>
      <c r="H496" s="50">
        <f>F496</f>
        <v/>
      </c>
      <c r="I496" s="51" t="n">
        <v>25000</v>
      </c>
      <c r="J496" s="28">
        <f>H496*I496</f>
        <v/>
      </c>
      <c r="K496" s="62" t="inlineStr">
        <is>
          <t>2026 TEKLİF</t>
        </is>
      </c>
      <c r="L496" s="7" t="inlineStr">
        <is>
          <t>TEKLİF (ON Elektronik/RayON YBS 06.10.2026: malz. 0 + işç. 25000 EUR)</t>
        </is>
      </c>
      <c r="M496" s="7" t="inlineStr"/>
    </row>
    <row r="497" outlineLevel="1">
      <c r="A497" s="27" t="n"/>
      <c r="B497" s="27" t="inlineStr">
        <is>
          <t>4018.G</t>
        </is>
      </c>
      <c r="C497" s="7" t="inlineStr">
        <is>
          <t>Yedek YBE ekranı</t>
        </is>
      </c>
      <c r="D497" s="27" t="inlineStr">
        <is>
          <t>adet</t>
        </is>
      </c>
      <c r="E497" s="50" t="n">
        <v>2</v>
      </c>
      <c r="F497" s="50" t="n">
        <v>2</v>
      </c>
      <c r="G497" s="27" t="inlineStr">
        <is>
          <t>-</t>
        </is>
      </c>
      <c r="H497" s="50">
        <f>F497</f>
        <v/>
      </c>
      <c r="I497" s="51" t="n">
        <v>2000</v>
      </c>
      <c r="J497" s="28">
        <f>H497*I497</f>
        <v/>
      </c>
      <c r="K497" s="62" t="inlineStr">
        <is>
          <t>2026 TEKLİF</t>
        </is>
      </c>
      <c r="L497" s="7" t="inlineStr">
        <is>
          <t>TEKLİF (ON Elektronik/RayON YBS 06.10.2026: malz. 2000 + işç. 0 EUR)</t>
        </is>
      </c>
      <c r="M497" s="7" t="inlineStr">
        <is>
          <t>Yalnız temin, montajsız | Teklif öncesi BF 4,200.00</t>
        </is>
      </c>
    </row>
    <row r="498" outlineLevel="1">
      <c r="A498" s="27" t="n"/>
      <c r="B498" s="27" t="inlineStr">
        <is>
          <t>4018.G</t>
        </is>
      </c>
      <c r="C498" s="7" t="inlineStr">
        <is>
          <t>Mevcut depo kontrol merkezi entegrasyonu: YBS yazılım uyarlama + lisans</t>
        </is>
      </c>
      <c r="D498" s="27" t="inlineStr">
        <is>
          <t>set</t>
        </is>
      </c>
      <c r="E498" s="50" t="n">
        <v>1</v>
      </c>
      <c r="F498" s="54" t="n">
        <v>0</v>
      </c>
      <c r="G498" s="27" t="inlineStr">
        <is>
          <t>-</t>
        </is>
      </c>
      <c r="H498" s="50">
        <f>F498</f>
        <v/>
      </c>
      <c r="I498" s="51" t="n">
        <v>11000</v>
      </c>
      <c r="J498" s="28">
        <f>H498*I498</f>
        <v/>
      </c>
      <c r="K498" s="55" t="inlineStr">
        <is>
          <t>KAPSAM DIŞI (0)</t>
        </is>
      </c>
      <c r="L498" s="7" t="inlineStr">
        <is>
          <t>TEKLİF (ON Elektronik/RayON YBS 06.10.2026: malz. 1000 + işç. 10000 EUR)</t>
        </is>
      </c>
      <c r="M498" s="7" t="inlineStr">
        <is>
          <t>İdare: mevcut sistem yok | Teklif öncesi BF 21,984.87</t>
        </is>
      </c>
    </row>
    <row r="499">
      <c r="A499" s="48" t="inlineStr">
        <is>
          <t>318</t>
        </is>
      </c>
      <c r="B499" s="48" t="inlineStr">
        <is>
          <t>4019</t>
        </is>
      </c>
      <c r="C499" s="48" t="inlineStr">
        <is>
          <t>Yolcu Geçiş Kontrol (Ücret Toplama) Sistemi Tasarımı (1 set)</t>
        </is>
      </c>
      <c r="D499" s="48" t="n"/>
      <c r="E499" s="48" t="n"/>
      <c r="F499" s="48" t="n"/>
      <c r="G499" s="48" t="n"/>
      <c r="H499" s="48" t="inlineStr">
        <is>
          <t>RFQ tutarı →</t>
        </is>
      </c>
      <c r="I499" s="49">
        <f>SUMPRODUCT(E500:E501,I500:I501)</f>
        <v/>
      </c>
      <c r="J499" s="49">
        <f>SUM(J500:J501)</f>
        <v/>
      </c>
      <c r="K499" s="48" t="n"/>
      <c r="L499" s="48" t="n"/>
      <c r="M499" s="48" t="n"/>
    </row>
    <row r="500" outlineLevel="1">
      <c r="A500" s="27" t="n"/>
      <c r="B500" s="27" t="inlineStr">
        <is>
          <t>4019</t>
        </is>
      </c>
      <c r="C500" s="7" t="inlineStr">
        <is>
          <t>Uygulama projeleri, sistem mimarisi/blok şemaları, hesaplar (EÜTS entegrasyonu)</t>
        </is>
      </c>
      <c r="D500" s="27" t="inlineStr">
        <is>
          <t>set</t>
        </is>
      </c>
      <c r="E500" s="50" t="n">
        <v>1</v>
      </c>
      <c r="F500" s="50" t="n">
        <v>1</v>
      </c>
      <c r="G500" s="27" t="inlineStr">
        <is>
          <t>-</t>
        </is>
      </c>
      <c r="H500" s="50">
        <f>F500</f>
        <v/>
      </c>
      <c r="I500" s="51" t="n">
        <v>6000</v>
      </c>
      <c r="J500" s="28">
        <f>H500*I500</f>
        <v/>
      </c>
      <c r="K500" s="53" t="inlineStr">
        <is>
          <t>MÜHENDİSLİK TAHMİNİ</t>
        </is>
      </c>
      <c r="L500" s="7" t="inlineStr">
        <is>
          <t>TAHMIN (emsal yok) – EÜTS entegrasyon tasarımı – emsal yok</t>
        </is>
      </c>
      <c r="M500" s="7" t="inlineStr">
        <is>
          <t>Tasarım, küçük tramvay ölçeği</t>
        </is>
      </c>
    </row>
    <row r="501" outlineLevel="1">
      <c r="A501" s="27" t="n"/>
      <c r="B501" s="27" t="inlineStr">
        <is>
          <t>4019</t>
        </is>
      </c>
      <c r="C501" s="7" t="inlineStr">
        <is>
          <t>Dokümantasyon: malzeme onayı, test prosedürleri, as-built, işletme-bakım el kitapları, eğitim dokümanı</t>
        </is>
      </c>
      <c r="D501" s="27" t="inlineStr">
        <is>
          <t>set</t>
        </is>
      </c>
      <c r="E501" s="50" t="n">
        <v>1</v>
      </c>
      <c r="F501" s="50" t="n">
        <v>1</v>
      </c>
      <c r="G501" s="27" t="inlineStr">
        <is>
          <t>-</t>
        </is>
      </c>
      <c r="H501" s="50">
        <f>F501</f>
        <v/>
      </c>
      <c r="I501" s="51" t="n">
        <v>3000</v>
      </c>
      <c r="J501" s="28">
        <f>H501*I501</f>
        <v/>
      </c>
      <c r="K501" s="53" t="inlineStr">
        <is>
          <t>MÜHENDİSLİK TAHMİNİ</t>
        </is>
      </c>
      <c r="L501" s="7" t="inlineStr">
        <is>
          <t>TAHMIN (emsal yok) – As-built/OMM emsalleri metro ölçeği 1.330 (Ateksis KMM) - 17.078 (Uskom Narlıdere); küçük tramvay alt sistem dokümanı kıyaslanamaz, mevcut aralıkta</t>
        </is>
      </c>
      <c r="M501" s="7" t="inlineStr">
        <is>
          <t>Tasarım, küçük tramvay ölçeği</t>
        </is>
      </c>
    </row>
    <row r="502">
      <c r="A502" s="48" t="inlineStr">
        <is>
          <t>319</t>
        </is>
      </c>
      <c r="B502" s="48" t="inlineStr">
        <is>
          <t>4019.A</t>
        </is>
      </c>
      <c r="C502" s="48" t="inlineStr">
        <is>
          <t>Yolcu Geçiş Kontrol (Ücret Toplama) Sistemi Giriş/Çıkış Turnikesi (27 adet)</t>
        </is>
      </c>
      <c r="D502" s="48" t="n"/>
      <c r="E502" s="48" t="n"/>
      <c r="F502" s="48" t="n"/>
      <c r="G502" s="48" t="n"/>
      <c r="H502" s="48" t="inlineStr">
        <is>
          <t>RFQ tutarı →</t>
        </is>
      </c>
      <c r="I502" s="49">
        <f>SUMPRODUCT(E503:E504,I503:I504)</f>
        <v/>
      </c>
      <c r="J502" s="49">
        <f>SUM(J503:J504)</f>
        <v/>
      </c>
      <c r="K502" s="48" t="n"/>
      <c r="L502" s="48" t="n"/>
      <c r="M502" s="48" t="n"/>
    </row>
    <row r="503" outlineLevel="1">
      <c r="A503" s="27" t="n"/>
      <c r="B503" s="27" t="inlineStr">
        <is>
          <t>4019.A</t>
        </is>
      </c>
      <c r="C503" s="7" t="inlineStr">
        <is>
          <t>Üç kollu paslanmaz turnike (giriş: validatör yuvalı)</t>
        </is>
      </c>
      <c r="D503" s="27" t="inlineStr">
        <is>
          <t>adet</t>
        </is>
      </c>
      <c r="E503" s="50" t="n">
        <v>27</v>
      </c>
      <c r="F503" s="50" t="n">
        <v>27</v>
      </c>
      <c r="G503" s="27" t="inlineStr">
        <is>
          <t>-</t>
        </is>
      </c>
      <c r="H503" s="50">
        <f>F503</f>
        <v/>
      </c>
      <c r="I503" s="51" t="n">
        <v>1840</v>
      </c>
      <c r="J503" s="28">
        <f>H503*I503</f>
        <v/>
      </c>
      <c r="K503" s="52" t="inlineStr">
        <is>
          <t>GEÇMİŞ TEKLİF UYARLAMA</t>
        </is>
      </c>
      <c r="L503" s="7" t="inlineStr">
        <is>
          <t>REF-derin – Tripod turnike (validatör hariç): Bursa T2 AKT 2015 1.729 € (M)+%15=1.988; Tansa 2021 762+46 montaj=808; Narlıdere YM 2018 1.538 €; Pendik YM 2022 2.726 € (M+İ) → medyan 1.763 + kablo 80 → 1.840 € (mevcut 3.760 yüksek) [Emsal ID: R02810;R02146;R01852;R02897]</t>
        </is>
      </c>
      <c r="M503" s="7" t="inlineStr">
        <is>
          <t>Tarif: kablo turnike bedeline dahil (+~80) | İlk tahmin BF 3,760.00</t>
        </is>
      </c>
    </row>
    <row r="504" outlineLevel="1">
      <c r="A504" s="27" t="n"/>
      <c r="B504" s="27" t="inlineStr">
        <is>
          <t>4019.A</t>
        </is>
      </c>
      <c r="C504" s="7" t="inlineStr">
        <is>
          <t>Turnike data (CAT6-F UTP outdoor) + kontrol (4x0,22 LIHCH) kabloları (tarif: turnike bedeline dahil)</t>
        </is>
      </c>
      <c r="D504" s="27" t="inlineStr">
        <is>
          <t>m</t>
        </is>
      </c>
      <c r="E504" s="50" t="n">
        <v>845</v>
      </c>
      <c r="F504" s="50" t="n">
        <v>845</v>
      </c>
      <c r="G504" s="27" t="inlineStr">
        <is>
          <t>-</t>
        </is>
      </c>
      <c r="H504" s="50">
        <f>F504</f>
        <v/>
      </c>
      <c r="I504" s="51" t="n">
        <v>0</v>
      </c>
      <c r="J504" s="28">
        <f>H504*I504</f>
        <v/>
      </c>
      <c r="K504" s="53" t="inlineStr">
        <is>
          <t>MÜHENDİSLİK TAHMİNİ</t>
        </is>
      </c>
      <c r="L504" s="7" t="inlineStr">
        <is>
          <t>TAHMIN (emsal yok) – Tarif gereği turnike bedeline dahil; 0 korundu</t>
        </is>
      </c>
      <c r="M504" s="7" t="inlineStr">
        <is>
          <t>Tarif: turnike bedeline dahil, ayrıca ödenmez</t>
        </is>
      </c>
    </row>
    <row r="505">
      <c r="A505" s="48" t="inlineStr">
        <is>
          <t>320</t>
        </is>
      </c>
      <c r="B505" s="48" t="inlineStr">
        <is>
          <t>4019.B</t>
        </is>
      </c>
      <c r="C505" s="48" t="inlineStr">
        <is>
          <t>Yolcu Geçiş Kontrol (Ücret Toplama) Sistemi Engelli Geçiş Turnikesi (Validatörlü) (19 adet)</t>
        </is>
      </c>
      <c r="D505" s="48" t="n"/>
      <c r="E505" s="48" t="n"/>
      <c r="F505" s="48" t="n"/>
      <c r="G505" s="48" t="n"/>
      <c r="H505" s="48" t="inlineStr">
        <is>
          <t>RFQ tutarı →</t>
        </is>
      </c>
      <c r="I505" s="49">
        <f>SUMPRODUCT(E506:E507,I506:I507)</f>
        <v/>
      </c>
      <c r="J505" s="49">
        <f>SUM(J506:J507)</f>
        <v/>
      </c>
      <c r="K505" s="48" t="n"/>
      <c r="L505" s="48" t="n"/>
      <c r="M505" s="48" t="n"/>
    </row>
    <row r="506" outlineLevel="1">
      <c r="A506" s="27" t="n"/>
      <c r="B506" s="27" t="inlineStr">
        <is>
          <t>4019.B</t>
        </is>
      </c>
      <c r="C506" s="7" t="inlineStr">
        <is>
          <t>Özel geçiş kapısı 90° salınımlı, validatörlü</t>
        </is>
      </c>
      <c r="D506" s="27" t="inlineStr">
        <is>
          <t>adet</t>
        </is>
      </c>
      <c r="E506" s="50" t="n">
        <v>19</v>
      </c>
      <c r="F506" s="50" t="n">
        <v>19</v>
      </c>
      <c r="G506" s="27" t="inlineStr">
        <is>
          <t>-</t>
        </is>
      </c>
      <c r="H506" s="50">
        <f>F506</f>
        <v/>
      </c>
      <c r="I506" s="51" t="n">
        <v>1590</v>
      </c>
      <c r="J506" s="28">
        <f>H506*I506</f>
        <v/>
      </c>
      <c r="K506" s="52" t="inlineStr">
        <is>
          <t>GEÇMİŞ TEKLİF UYARLAMA</t>
        </is>
      </c>
      <c r="L506" s="7" t="inlineStr">
        <is>
          <t>REF-derin – 90° engelli kapı: Bursa T2 AKT 2015 swing gate 1.064 (M)+%15=1.224; Narlıdere 2018 1.507; Pendik 2022 2.472/2.286; Tansa 605 → medyan 1.507 + kablo 80 = 1.590 €. Validatör istasyon validatör kalemlerinde ayrıca sayılıyor ("giriş turnikesi + özel kapı") → 6.500 mükerrer [Emsal ID: R02811;R01853;R02898;R02977;R02147]</t>
        </is>
      </c>
      <c r="M506" s="7" t="inlineStr">
        <is>
          <t>Ref 1.927 € (2 ref) validatörlü 90° engelli kapı için düşük; piyasa 6.000–9.000 | İlk tahmin BF 6,500.00</t>
        </is>
      </c>
    </row>
    <row r="507" outlineLevel="1">
      <c r="A507" s="27" t="n"/>
      <c r="B507" s="27" t="inlineStr">
        <is>
          <t>4019.B</t>
        </is>
      </c>
      <c r="C507" s="7" t="inlineStr">
        <is>
          <t>Özel kapı data + kontrol kabloları</t>
        </is>
      </c>
      <c r="D507" s="27" t="inlineStr">
        <is>
          <t>m</t>
        </is>
      </c>
      <c r="E507" s="50" t="n">
        <v>158</v>
      </c>
      <c r="F507" s="50" t="n">
        <v>158</v>
      </c>
      <c r="G507" s="27" t="inlineStr">
        <is>
          <t>-</t>
        </is>
      </c>
      <c r="H507" s="50">
        <f>F507</f>
        <v/>
      </c>
      <c r="I507" s="51" t="n">
        <v>3.98</v>
      </c>
      <c r="J507" s="28">
        <f>H507*I507</f>
        <v/>
      </c>
      <c r="K507" s="52" t="inlineStr">
        <is>
          <t>GEÇMİŞ TEKLİF UYARLAMA</t>
        </is>
      </c>
      <c r="L507" s="7" t="inlineStr">
        <is>
          <t>REF-derin – Pendik-Kaynarca M/YM 2022 2.45x1.3; SAGE bina/YM 2018 2.48; Üçyol-Buca M/Nokia/ALE 2021 1.40x1.3; Pendik-Kaynarca M/YM 2022 1.15x1.3; Pendik-Kaynarca M/YM 2022 0.20x1.3; SAGE bina/YM 2018 2.70 | Bileşik: dış ortam CAT6 + 4x0,22 kontrol | sonuç 3.98 [Emsal ID: R02987;R02994;R02238;R02960;R02973;R03019]</t>
        </is>
      </c>
      <c r="M507" s="7" t="inlineStr">
        <is>
          <t>İlk tahmin BF 2.50</t>
        </is>
      </c>
    </row>
    <row r="508">
      <c r="A508" s="48" t="inlineStr">
        <is>
          <t>321</t>
        </is>
      </c>
      <c r="B508" s="48" t="inlineStr">
        <is>
          <t>4019.C</t>
        </is>
      </c>
      <c r="C508" s="48" t="inlineStr">
        <is>
          <t>Yolcu Geçiş Kontrol (Ücret Toplama) Sistemi İstasyonlar Donanımı ve Yazılımı (1 set)</t>
        </is>
      </c>
      <c r="D508" s="48" t="n"/>
      <c r="E508" s="48" t="n"/>
      <c r="F508" s="48" t="n"/>
      <c r="G508" s="48" t="n"/>
      <c r="H508" s="48" t="inlineStr">
        <is>
          <t>RFQ tutarı →</t>
        </is>
      </c>
      <c r="I508" s="49">
        <f>SUMPRODUCT(E509:E541,I509:I541)</f>
        <v/>
      </c>
      <c r="J508" s="49">
        <f>SUM(J509:J541)</f>
        <v/>
      </c>
      <c r="K508" s="48" t="n"/>
      <c r="L508" s="48" t="n"/>
      <c r="M508" s="48" t="n"/>
    </row>
    <row r="509" outlineLevel="1">
      <c r="A509" s="27" t="n"/>
      <c r="B509" s="27" t="inlineStr">
        <is>
          <t>4019.C</t>
        </is>
      </c>
      <c r="C509" s="7" t="inlineStr">
        <is>
          <t>S08 Göbekli Tepe: bilet geçerleme validatörü (giriş turnikesi + özel kapı)</t>
        </is>
      </c>
      <c r="D509" s="27" t="inlineStr">
        <is>
          <t>adet</t>
        </is>
      </c>
      <c r="E509" s="50" t="n">
        <v>10</v>
      </c>
      <c r="F509" s="50" t="n">
        <v>10</v>
      </c>
      <c r="G509" s="27" t="inlineStr">
        <is>
          <t>-</t>
        </is>
      </c>
      <c r="H509" s="50">
        <f>F509</f>
        <v/>
      </c>
      <c r="I509" s="51" t="n">
        <v>1800</v>
      </c>
      <c r="J509" s="28">
        <f>H509*I509</f>
        <v/>
      </c>
      <c r="K509" s="53" t="inlineStr">
        <is>
          <t>MÜHENDİSLİK TAHMİNİ</t>
        </is>
      </c>
      <c r="L509" s="7" t="inlineStr">
        <is>
          <t>TAHMIN (emsal yok) – Validatör için emsal yok (Samsun 2008 manyetik bilet gate fiyatına gömülü); 1.800 korundu</t>
        </is>
      </c>
      <c r="M509" s="7" t="inlineStr"/>
    </row>
    <row r="510" outlineLevel="1">
      <c r="A510" s="27" t="n"/>
      <c r="B510" s="27" t="inlineStr">
        <is>
          <t>4019.C</t>
        </is>
      </c>
      <c r="C510" s="7" t="inlineStr">
        <is>
          <t>S08 Göbekli Tepe: kontrol validatörü (turnike grubu çıkış tarafı)</t>
        </is>
      </c>
      <c r="D510" s="27" t="inlineStr">
        <is>
          <t>adet</t>
        </is>
      </c>
      <c r="E510" s="50" t="n">
        <v>2</v>
      </c>
      <c r="F510" s="50" t="n">
        <v>2</v>
      </c>
      <c r="G510" s="27" t="inlineStr">
        <is>
          <t>-</t>
        </is>
      </c>
      <c r="H510" s="50">
        <f>F510</f>
        <v/>
      </c>
      <c r="I510" s="51" t="n">
        <v>1500</v>
      </c>
      <c r="J510" s="28">
        <f>H510*I510</f>
        <v/>
      </c>
      <c r="K510" s="53" t="inlineStr">
        <is>
          <t>MÜHENDİSLİK TAHMİNİ</t>
        </is>
      </c>
      <c r="L510" s="7" t="inlineStr">
        <is>
          <t>TAHMIN (emsal yok) – Validatör emsali yok (turnike teklifleri validatör hariç)</t>
        </is>
      </c>
      <c r="M510" s="7" t="inlineStr"/>
    </row>
    <row r="511" outlineLevel="1">
      <c r="A511" s="27" t="n"/>
      <c r="B511" s="27" t="inlineStr">
        <is>
          <t>4019.C</t>
        </is>
      </c>
      <c r="C511" s="7" t="inlineStr">
        <is>
          <t>S08 Göbekli Tepe: serbest geçiş kumanda ünitesi</t>
        </is>
      </c>
      <c r="D511" s="27" t="inlineStr">
        <is>
          <t>adet</t>
        </is>
      </c>
      <c r="E511" s="50" t="n">
        <v>2</v>
      </c>
      <c r="F511" s="50" t="n">
        <v>2</v>
      </c>
      <c r="G511" s="27" t="inlineStr">
        <is>
          <t>-</t>
        </is>
      </c>
      <c r="H511" s="50">
        <f>F511</f>
        <v/>
      </c>
      <c r="I511" s="51" t="n">
        <v>351.26</v>
      </c>
      <c r="J511" s="28">
        <f>H511*I511</f>
        <v/>
      </c>
      <c r="K511" s="52" t="inlineStr">
        <is>
          <t>GEÇMİŞ TEKLİF UYARLAMA</t>
        </is>
      </c>
      <c r="L511" s="7" t="inlineStr">
        <is>
          <t>REF-derin(1) – Üçyol-Buca M/Tansa 2021 65.71; Üçyol-Buca M/Tansa 2021 13.14 | Tansa uzaktan kumanda+alıcı (malz.) x1,3; tek emsal seti, mevcutla ortalama | emsal 102.51, ort.(600+102.51)/2 [Emsal ID: R02148;R02149]</t>
        </is>
      </c>
      <c r="M511" s="7" t="inlineStr">
        <is>
          <t>İlk tahmin BF 600.00</t>
        </is>
      </c>
    </row>
    <row r="512" outlineLevel="1">
      <c r="A512" s="27" t="n"/>
      <c r="B512" s="27" t="inlineStr">
        <is>
          <t>4019.C</t>
        </is>
      </c>
      <c r="C512" s="7" t="inlineStr">
        <is>
          <t>S08 Göbekli Tepe: istasyon turnike bilgisayarı (endüstriyel, dolap tipi)</t>
        </is>
      </c>
      <c r="D512" s="27" t="inlineStr">
        <is>
          <t>adet</t>
        </is>
      </c>
      <c r="E512" s="50" t="n">
        <v>1</v>
      </c>
      <c r="F512" s="50" t="n">
        <v>1</v>
      </c>
      <c r="G512" s="27" t="inlineStr">
        <is>
          <t>-</t>
        </is>
      </c>
      <c r="H512" s="50">
        <f>F512</f>
        <v/>
      </c>
      <c r="I512" s="51" t="n">
        <v>8000</v>
      </c>
      <c r="J512" s="28">
        <f>H512*I512</f>
        <v/>
      </c>
      <c r="K512" s="53" t="inlineStr">
        <is>
          <t>MÜHENDİSLİK TAHMİNİ</t>
        </is>
      </c>
      <c r="L512" s="7" t="inlineStr">
        <is>
          <t>TAHMIN (emsal yok) – Turnike bilgisayarı – emsal yok (S13 iç ref 8.000)</t>
        </is>
      </c>
      <c r="M512" s="7" t="inlineStr">
        <is>
          <t>S13 ref (8.000) ile aynı</t>
        </is>
      </c>
    </row>
    <row r="513" outlineLevel="1">
      <c r="A513" s="27" t="n"/>
      <c r="B513" s="27" t="inlineStr">
        <is>
          <t>4019.C</t>
        </is>
      </c>
      <c r="C513" s="7" t="inlineStr">
        <is>
          <t>S08 Göbekli Tepe: biletmatik (bilet üretim/kart dolum) data bağlantısı + haberleşme birimi</t>
        </is>
      </c>
      <c r="D513" s="27" t="inlineStr">
        <is>
          <t>set</t>
        </is>
      </c>
      <c r="E513" s="50" t="n">
        <v>2</v>
      </c>
      <c r="F513" s="50" t="n">
        <v>2</v>
      </c>
      <c r="G513" s="27" t="inlineStr">
        <is>
          <t>-</t>
        </is>
      </c>
      <c r="H513" s="50">
        <f>F513</f>
        <v/>
      </c>
      <c r="I513" s="51" t="n">
        <v>800</v>
      </c>
      <c r="J513" s="28">
        <f>H513*I513</f>
        <v/>
      </c>
      <c r="K513" s="53" t="inlineStr">
        <is>
          <t>MÜHENDİSLİK TAHMİNİ</t>
        </is>
      </c>
      <c r="L513" s="7" t="inlineStr">
        <is>
          <t>TAHMIN (emsal yok) – Emsal yok</t>
        </is>
      </c>
      <c r="M513" s="7" t="inlineStr"/>
    </row>
    <row r="514" outlineLevel="1">
      <c r="A514" s="27" t="n"/>
      <c r="B514" s="27" t="inlineStr">
        <is>
          <t>4019.C</t>
        </is>
      </c>
      <c r="C514" s="7" t="inlineStr">
        <is>
          <t>S09 Hızmalı Köprüsü: bilet geçerleme validatörü (giriş turnikesi + özel kapı)</t>
        </is>
      </c>
      <c r="D514" s="27" t="inlineStr">
        <is>
          <t>adet</t>
        </is>
      </c>
      <c r="E514" s="50" t="n">
        <v>3</v>
      </c>
      <c r="F514" s="50" t="n">
        <v>3</v>
      </c>
      <c r="G514" s="27" t="inlineStr">
        <is>
          <t>-</t>
        </is>
      </c>
      <c r="H514" s="50">
        <f>F514</f>
        <v/>
      </c>
      <c r="I514" s="51" t="n">
        <v>1800</v>
      </c>
      <c r="J514" s="28">
        <f>H514*I514</f>
        <v/>
      </c>
      <c r="K514" s="53" t="inlineStr">
        <is>
          <t>MÜHENDİSLİK TAHMİNİ</t>
        </is>
      </c>
      <c r="L514" s="7" t="inlineStr">
        <is>
          <t>TAHMIN (emsal yok) – Validatör için emsal yok (Samsun 2008 manyetik bilet gate fiyatına gömülü); 1.800 korundu</t>
        </is>
      </c>
      <c r="M514" s="7" t="inlineStr"/>
    </row>
    <row r="515" outlineLevel="1">
      <c r="A515" s="27" t="n"/>
      <c r="B515" s="27" t="inlineStr">
        <is>
          <t>4019.C</t>
        </is>
      </c>
      <c r="C515" s="7" t="inlineStr">
        <is>
          <t>S09 Hızmalı Köprüsü: kontrol validatörü (turnike grubu çıkış tarafı)</t>
        </is>
      </c>
      <c r="D515" s="27" t="inlineStr">
        <is>
          <t>adet</t>
        </is>
      </c>
      <c r="E515" s="50" t="n">
        <v>1</v>
      </c>
      <c r="F515" s="50" t="n">
        <v>1</v>
      </c>
      <c r="G515" s="27" t="inlineStr">
        <is>
          <t>-</t>
        </is>
      </c>
      <c r="H515" s="50">
        <f>F515</f>
        <v/>
      </c>
      <c r="I515" s="51" t="n">
        <v>1500</v>
      </c>
      <c r="J515" s="28">
        <f>H515*I515</f>
        <v/>
      </c>
      <c r="K515" s="53" t="inlineStr">
        <is>
          <t>MÜHENDİSLİK TAHMİNİ</t>
        </is>
      </c>
      <c r="L515" s="7" t="inlineStr">
        <is>
          <t>TAHMIN (emsal yok) – Validatör emsali yok (turnike teklifleri validatör hariç)</t>
        </is>
      </c>
      <c r="M515" s="7" t="inlineStr"/>
    </row>
    <row r="516" outlineLevel="1">
      <c r="A516" s="27" t="n"/>
      <c r="B516" s="27" t="inlineStr">
        <is>
          <t>4019.C</t>
        </is>
      </c>
      <c r="C516" s="7" t="inlineStr">
        <is>
          <t>S09 Hızmalı Köprüsü: serbest geçiş kumanda ünitesi</t>
        </is>
      </c>
      <c r="D516" s="27" t="inlineStr">
        <is>
          <t>adet</t>
        </is>
      </c>
      <c r="E516" s="50" t="n">
        <v>1</v>
      </c>
      <c r="F516" s="50" t="n">
        <v>1</v>
      </c>
      <c r="G516" s="27" t="inlineStr">
        <is>
          <t>-</t>
        </is>
      </c>
      <c r="H516" s="50">
        <f>F516</f>
        <v/>
      </c>
      <c r="I516" s="51" t="n">
        <v>351.26</v>
      </c>
      <c r="J516" s="28">
        <f>H516*I516</f>
        <v/>
      </c>
      <c r="K516" s="52" t="inlineStr">
        <is>
          <t>GEÇMİŞ TEKLİF UYARLAMA</t>
        </is>
      </c>
      <c r="L516" s="7" t="inlineStr">
        <is>
          <t>REF-derin(1) – Üçyol-Buca M/Tansa 2021 65.71; Üçyol-Buca M/Tansa 2021 13.14 | Tansa uzaktan kumanda+alıcı (malz.) x1,3; tek emsal seti, mevcutla ortalama | emsal 102.51, ort.(600+102.51)/2 [Emsal ID: R02148;R02149]</t>
        </is>
      </c>
      <c r="M516" s="7" t="inlineStr">
        <is>
          <t>İlk tahmin BF 600.00</t>
        </is>
      </c>
    </row>
    <row r="517" outlineLevel="1">
      <c r="A517" s="27" t="n"/>
      <c r="B517" s="27" t="inlineStr">
        <is>
          <t>4019.C</t>
        </is>
      </c>
      <c r="C517" s="7" t="inlineStr">
        <is>
          <t>S09 Hızmalı Köprüsü: istasyon turnike bilgisayarı (endüstriyel, dolap tipi)</t>
        </is>
      </c>
      <c r="D517" s="27" t="inlineStr">
        <is>
          <t>adet</t>
        </is>
      </c>
      <c r="E517" s="50" t="n">
        <v>1</v>
      </c>
      <c r="F517" s="50" t="n">
        <v>1</v>
      </c>
      <c r="G517" s="27" t="inlineStr">
        <is>
          <t>-</t>
        </is>
      </c>
      <c r="H517" s="50">
        <f>F517</f>
        <v/>
      </c>
      <c r="I517" s="51" t="n">
        <v>8000</v>
      </c>
      <c r="J517" s="28">
        <f>H517*I517</f>
        <v/>
      </c>
      <c r="K517" s="53" t="inlineStr">
        <is>
          <t>MÜHENDİSLİK TAHMİNİ</t>
        </is>
      </c>
      <c r="L517" s="7" t="inlineStr">
        <is>
          <t>TAHMIN (emsal yok) – Turnike bilgisayarı – emsal yok (S13 iç ref 8.000)</t>
        </is>
      </c>
      <c r="M517" s="7" t="inlineStr">
        <is>
          <t>S13 ref (8.000) ile aynı</t>
        </is>
      </c>
    </row>
    <row r="518" outlineLevel="1">
      <c r="A518" s="27" t="n"/>
      <c r="B518" s="27" t="inlineStr">
        <is>
          <t>4019.C</t>
        </is>
      </c>
      <c r="C518" s="7" t="inlineStr">
        <is>
          <t>S09 Hızmalı Köprüsü: biletmatik (bilet üretim/kart dolum) data bağlantısı + haberleşme birimi</t>
        </is>
      </c>
      <c r="D518" s="27" t="inlineStr">
        <is>
          <t>set</t>
        </is>
      </c>
      <c r="E518" s="50" t="n">
        <v>1</v>
      </c>
      <c r="F518" s="50" t="n">
        <v>1</v>
      </c>
      <c r="G518" s="27" t="inlineStr">
        <is>
          <t>-</t>
        </is>
      </c>
      <c r="H518" s="50">
        <f>F518</f>
        <v/>
      </c>
      <c r="I518" s="51" t="n">
        <v>800</v>
      </c>
      <c r="J518" s="28">
        <f>H518*I518</f>
        <v/>
      </c>
      <c r="K518" s="53" t="inlineStr">
        <is>
          <t>MÜHENDİSLİK TAHMİNİ</t>
        </is>
      </c>
      <c r="L518" s="7" t="inlineStr">
        <is>
          <t>TAHMIN (emsal yok) – Emsal yok</t>
        </is>
      </c>
      <c r="M518" s="7" t="inlineStr"/>
    </row>
    <row r="519" outlineLevel="1">
      <c r="A519" s="27" t="n"/>
      <c r="B519" s="27" t="inlineStr">
        <is>
          <t>4019.C</t>
        </is>
      </c>
      <c r="C519" s="7" t="inlineStr">
        <is>
          <t>S10 Balıklıgöl: bilet geçerleme validatörü (giriş turnikesi + özel kapı)</t>
        </is>
      </c>
      <c r="D519" s="27" t="inlineStr">
        <is>
          <t>adet</t>
        </is>
      </c>
      <c r="E519" s="50" t="n">
        <v>2</v>
      </c>
      <c r="F519" s="50" t="n">
        <v>2</v>
      </c>
      <c r="G519" s="27" t="inlineStr">
        <is>
          <t>-</t>
        </is>
      </c>
      <c r="H519" s="50">
        <f>F519</f>
        <v/>
      </c>
      <c r="I519" s="51" t="n">
        <v>1800</v>
      </c>
      <c r="J519" s="28">
        <f>H519*I519</f>
        <v/>
      </c>
      <c r="K519" s="53" t="inlineStr">
        <is>
          <t>MÜHENDİSLİK TAHMİNİ</t>
        </is>
      </c>
      <c r="L519" s="7" t="inlineStr">
        <is>
          <t>TAHMIN (emsal yok) – Validatör emsali yok</t>
        </is>
      </c>
      <c r="M519" s="7" t="inlineStr"/>
    </row>
    <row r="520" outlineLevel="1">
      <c r="A520" s="27" t="n"/>
      <c r="B520" s="27" t="inlineStr">
        <is>
          <t>4019.C</t>
        </is>
      </c>
      <c r="C520" s="7" t="inlineStr">
        <is>
          <t>S10 Balıklıgöl: kontrol validatörü (turnike grubu çıkış tarafı)</t>
        </is>
      </c>
      <c r="D520" s="27" t="inlineStr">
        <is>
          <t>adet</t>
        </is>
      </c>
      <c r="E520" s="50" t="n">
        <v>1</v>
      </c>
      <c r="F520" s="50" t="n">
        <v>1</v>
      </c>
      <c r="G520" s="27" t="inlineStr">
        <is>
          <t>-</t>
        </is>
      </c>
      <c r="H520" s="50">
        <f>F520</f>
        <v/>
      </c>
      <c r="I520" s="51" t="n">
        <v>1500</v>
      </c>
      <c r="J520" s="28">
        <f>H520*I520</f>
        <v/>
      </c>
      <c r="K520" s="53" t="inlineStr">
        <is>
          <t>MÜHENDİSLİK TAHMİNİ</t>
        </is>
      </c>
      <c r="L520" s="7" t="inlineStr">
        <is>
          <t>TAHMIN (emsal yok) – Validatör emsali yok (turnike teklifleri validatör hariç)</t>
        </is>
      </c>
      <c r="M520" s="7" t="inlineStr"/>
    </row>
    <row r="521" outlineLevel="1">
      <c r="A521" s="27" t="n"/>
      <c r="B521" s="27" t="inlineStr">
        <is>
          <t>4019.C</t>
        </is>
      </c>
      <c r="C521" s="7" t="inlineStr">
        <is>
          <t>S10 Balıklıgöl: serbest geçiş kumanda ünitesi</t>
        </is>
      </c>
      <c r="D521" s="27" t="inlineStr">
        <is>
          <t>adet</t>
        </is>
      </c>
      <c r="E521" s="50" t="n">
        <v>1</v>
      </c>
      <c r="F521" s="50" t="n">
        <v>1</v>
      </c>
      <c r="G521" s="27" t="inlineStr">
        <is>
          <t>-</t>
        </is>
      </c>
      <c r="H521" s="50">
        <f>F521</f>
        <v/>
      </c>
      <c r="I521" s="51" t="n">
        <v>351.26</v>
      </c>
      <c r="J521" s="28">
        <f>H521*I521</f>
        <v/>
      </c>
      <c r="K521" s="52" t="inlineStr">
        <is>
          <t>GEÇMİŞ TEKLİF UYARLAMA</t>
        </is>
      </c>
      <c r="L521" s="7" t="inlineStr">
        <is>
          <t>REF-derin(1) – Üçyol-Buca M/Tansa 2021 65.71; Üçyol-Buca M/Tansa 2021 13.14 | Tansa uzaktan kumanda+alıcı (malz.) x1,3; tek emsal seti, mevcutla ortalama | emsal 102.51, ort.(600+102.51)/2 [Emsal ID: R02148;R02149]</t>
        </is>
      </c>
      <c r="M521" s="7" t="inlineStr">
        <is>
          <t>İlk tahmin BF 600.00</t>
        </is>
      </c>
    </row>
    <row r="522" outlineLevel="1">
      <c r="A522" s="27" t="n"/>
      <c r="B522" s="27" t="inlineStr">
        <is>
          <t>4019.C</t>
        </is>
      </c>
      <c r="C522" s="7" t="inlineStr">
        <is>
          <t>S10 Balıklıgöl: istasyon turnike bilgisayarı (endüstriyel, dolap tipi)</t>
        </is>
      </c>
      <c r="D522" s="27" t="inlineStr">
        <is>
          <t>adet</t>
        </is>
      </c>
      <c r="E522" s="50" t="n">
        <v>1</v>
      </c>
      <c r="F522" s="50" t="n">
        <v>1</v>
      </c>
      <c r="G522" s="27" t="inlineStr">
        <is>
          <t>-</t>
        </is>
      </c>
      <c r="H522" s="50">
        <f>F522</f>
        <v/>
      </c>
      <c r="I522" s="51" t="n">
        <v>8000</v>
      </c>
      <c r="J522" s="28">
        <f>H522*I522</f>
        <v/>
      </c>
      <c r="K522" s="53" t="inlineStr">
        <is>
          <t>MÜHENDİSLİK TAHMİNİ</t>
        </is>
      </c>
      <c r="L522" s="7" t="inlineStr">
        <is>
          <t>TAHMIN (emsal yok) – Turnike bilgisayarı – emsal yok (S13 iç ref 8.000)</t>
        </is>
      </c>
      <c r="M522" s="7" t="inlineStr">
        <is>
          <t>S13 ref (8.000) ile aynı</t>
        </is>
      </c>
    </row>
    <row r="523" outlineLevel="1">
      <c r="A523" s="27" t="n"/>
      <c r="B523" s="27" t="inlineStr">
        <is>
          <t>4019.C</t>
        </is>
      </c>
      <c r="C523" s="7" t="inlineStr">
        <is>
          <t>S10 Balıklıgöl: biletmatik (bilet üretim/kart dolum) data bağlantısı + haberleşme birimi</t>
        </is>
      </c>
      <c r="D523" s="27" t="inlineStr">
        <is>
          <t>set</t>
        </is>
      </c>
      <c r="E523" s="50" t="n">
        <v>1</v>
      </c>
      <c r="F523" s="50" t="n">
        <v>1</v>
      </c>
      <c r="G523" s="27" t="inlineStr">
        <is>
          <t>-</t>
        </is>
      </c>
      <c r="H523" s="50">
        <f>F523</f>
        <v/>
      </c>
      <c r="I523" s="51" t="n">
        <v>800</v>
      </c>
      <c r="J523" s="28">
        <f>H523*I523</f>
        <v/>
      </c>
      <c r="K523" s="53" t="inlineStr">
        <is>
          <t>MÜHENDİSLİK TAHMİNİ</t>
        </is>
      </c>
      <c r="L523" s="7" t="inlineStr">
        <is>
          <t>TAHMIN (emsal yok) – Emsal yok</t>
        </is>
      </c>
      <c r="M523" s="7" t="inlineStr"/>
    </row>
    <row r="524" outlineLevel="1">
      <c r="A524" s="27" t="n"/>
      <c r="B524" s="27" t="inlineStr">
        <is>
          <t>4019.C</t>
        </is>
      </c>
      <c r="C524" s="7" t="inlineStr">
        <is>
          <t>S11 Eyüp Peygamber: bilet geçerleme validatörü (giriş turnikesi + özel kapı)</t>
        </is>
      </c>
      <c r="D524" s="27" t="inlineStr">
        <is>
          <t>adet</t>
        </is>
      </c>
      <c r="E524" s="50" t="n">
        <v>3</v>
      </c>
      <c r="F524" s="50" t="n">
        <v>3</v>
      </c>
      <c r="G524" s="27" t="inlineStr">
        <is>
          <t>-</t>
        </is>
      </c>
      <c r="H524" s="50">
        <f>F524</f>
        <v/>
      </c>
      <c r="I524" s="51" t="n">
        <v>1800</v>
      </c>
      <c r="J524" s="28">
        <f>H524*I524</f>
        <v/>
      </c>
      <c r="K524" s="53" t="inlineStr">
        <is>
          <t>MÜHENDİSLİK TAHMİNİ</t>
        </is>
      </c>
      <c r="L524" s="7" t="inlineStr">
        <is>
          <t>TAHMIN (emsal yok) – Validatör için emsal yok (Samsun 2008 manyetik bilet gate fiyatına gömülü); 1.800 korundu</t>
        </is>
      </c>
      <c r="M524" s="7" t="inlineStr"/>
    </row>
    <row r="525" outlineLevel="1">
      <c r="A525" s="27" t="n"/>
      <c r="B525" s="27" t="inlineStr">
        <is>
          <t>4019.C</t>
        </is>
      </c>
      <c r="C525" s="7" t="inlineStr">
        <is>
          <t>S11 Eyüp Peygamber: kontrol validatörü (turnike grubu çıkış tarafı)</t>
        </is>
      </c>
      <c r="D525" s="27" t="inlineStr">
        <is>
          <t>adet</t>
        </is>
      </c>
      <c r="E525" s="50" t="n">
        <v>1</v>
      </c>
      <c r="F525" s="50" t="n">
        <v>1</v>
      </c>
      <c r="G525" s="27" t="inlineStr">
        <is>
          <t>-</t>
        </is>
      </c>
      <c r="H525" s="50">
        <f>F525</f>
        <v/>
      </c>
      <c r="I525" s="51" t="n">
        <v>1500</v>
      </c>
      <c r="J525" s="28">
        <f>H525*I525</f>
        <v/>
      </c>
      <c r="K525" s="53" t="inlineStr">
        <is>
          <t>MÜHENDİSLİK TAHMİNİ</t>
        </is>
      </c>
      <c r="L525" s="7" t="inlineStr">
        <is>
          <t>TAHMIN (emsal yok) – Validatör emsali yok (turnike teklifleri validatör hariç)</t>
        </is>
      </c>
      <c r="M525" s="7" t="inlineStr"/>
    </row>
    <row r="526" outlineLevel="1">
      <c r="A526" s="27" t="n"/>
      <c r="B526" s="27" t="inlineStr">
        <is>
          <t>4019.C</t>
        </is>
      </c>
      <c r="C526" s="7" t="inlineStr">
        <is>
          <t>S11 Eyüp Peygamber: serbest geçiş kumanda ünitesi</t>
        </is>
      </c>
      <c r="D526" s="27" t="inlineStr">
        <is>
          <t>adet</t>
        </is>
      </c>
      <c r="E526" s="50" t="n">
        <v>1</v>
      </c>
      <c r="F526" s="50" t="n">
        <v>1</v>
      </c>
      <c r="G526" s="27" t="inlineStr">
        <is>
          <t>-</t>
        </is>
      </c>
      <c r="H526" s="50">
        <f>F526</f>
        <v/>
      </c>
      <c r="I526" s="51" t="n">
        <v>351.26</v>
      </c>
      <c r="J526" s="28">
        <f>H526*I526</f>
        <v/>
      </c>
      <c r="K526" s="52" t="inlineStr">
        <is>
          <t>GEÇMİŞ TEKLİF UYARLAMA</t>
        </is>
      </c>
      <c r="L526" s="7" t="inlineStr">
        <is>
          <t>REF-derin(1) – Üçyol-Buca M/Tansa 2021 65.71; Üçyol-Buca M/Tansa 2021 13.14 | Tansa uzaktan kumanda+alıcı (malz.) x1,3; tek emsal seti, mevcutla ortalama | emsal 102.51, ort.(600+102.51)/2 [Emsal ID: R02148;R02149]</t>
        </is>
      </c>
      <c r="M526" s="7" t="inlineStr">
        <is>
          <t>İlk tahmin BF 600.00</t>
        </is>
      </c>
    </row>
    <row r="527" outlineLevel="1">
      <c r="A527" s="27" t="n"/>
      <c r="B527" s="27" t="inlineStr">
        <is>
          <t>4019.C</t>
        </is>
      </c>
      <c r="C527" s="7" t="inlineStr">
        <is>
          <t>S11 Eyüp Peygamber: istasyon turnike bilgisayarı (endüstriyel, dolap tipi)</t>
        </is>
      </c>
      <c r="D527" s="27" t="inlineStr">
        <is>
          <t>adet</t>
        </is>
      </c>
      <c r="E527" s="50" t="n">
        <v>1</v>
      </c>
      <c r="F527" s="50" t="n">
        <v>1</v>
      </c>
      <c r="G527" s="27" t="inlineStr">
        <is>
          <t>-</t>
        </is>
      </c>
      <c r="H527" s="50">
        <f>F527</f>
        <v/>
      </c>
      <c r="I527" s="51" t="n">
        <v>8000</v>
      </c>
      <c r="J527" s="28">
        <f>H527*I527</f>
        <v/>
      </c>
      <c r="K527" s="53" t="inlineStr">
        <is>
          <t>MÜHENDİSLİK TAHMİNİ</t>
        </is>
      </c>
      <c r="L527" s="7" t="inlineStr">
        <is>
          <t>TAHMIN (emsal yok) – Turnike bilgisayarı – emsal yok (S13 iç ref 8.000)</t>
        </is>
      </c>
      <c r="M527" s="7" t="inlineStr">
        <is>
          <t>S13 ref (8.000) ile aynı</t>
        </is>
      </c>
    </row>
    <row r="528" outlineLevel="1">
      <c r="A528" s="27" t="n"/>
      <c r="B528" s="27" t="inlineStr">
        <is>
          <t>4019.C</t>
        </is>
      </c>
      <c r="C528" s="7" t="inlineStr">
        <is>
          <t>S11 Eyüp Peygamber: biletmatik (bilet üretim/kart dolum) data bağlantısı + haberleşme birimi</t>
        </is>
      </c>
      <c r="D528" s="27" t="inlineStr">
        <is>
          <t>set</t>
        </is>
      </c>
      <c r="E528" s="50" t="n">
        <v>1</v>
      </c>
      <c r="F528" s="50" t="n">
        <v>1</v>
      </c>
      <c r="G528" s="27" t="inlineStr">
        <is>
          <t>-</t>
        </is>
      </c>
      <c r="H528" s="50">
        <f>F528</f>
        <v/>
      </c>
      <c r="I528" s="51" t="n">
        <v>800</v>
      </c>
      <c r="J528" s="28">
        <f>H528*I528</f>
        <v/>
      </c>
      <c r="K528" s="53" t="inlineStr">
        <is>
          <t>MÜHENDİSLİK TAHMİNİ</t>
        </is>
      </c>
      <c r="L528" s="7" t="inlineStr">
        <is>
          <t>TAHMIN (emsal yok) – Emsal yok</t>
        </is>
      </c>
      <c r="M528" s="7" t="inlineStr"/>
    </row>
    <row r="529" outlineLevel="1">
      <c r="A529" s="27" t="n"/>
      <c r="B529" s="27" t="inlineStr">
        <is>
          <t>4019.C</t>
        </is>
      </c>
      <c r="C529" s="7" t="inlineStr">
        <is>
          <t>S12 Rasathane: bilet geçerleme validatörü (giriş turnikesi + özel kapı)</t>
        </is>
      </c>
      <c r="D529" s="27" t="inlineStr">
        <is>
          <t>adet</t>
        </is>
      </c>
      <c r="E529" s="50" t="n">
        <v>3</v>
      </c>
      <c r="F529" s="50" t="n">
        <v>3</v>
      </c>
      <c r="G529" s="27" t="inlineStr">
        <is>
          <t>-</t>
        </is>
      </c>
      <c r="H529" s="50">
        <f>F529</f>
        <v/>
      </c>
      <c r="I529" s="51" t="n">
        <v>1800</v>
      </c>
      <c r="J529" s="28">
        <f>H529*I529</f>
        <v/>
      </c>
      <c r="K529" s="53" t="inlineStr">
        <is>
          <t>MÜHENDİSLİK TAHMİNİ</t>
        </is>
      </c>
      <c r="L529" s="7" t="inlineStr">
        <is>
          <t>TAHMIN (emsal yok) – Validatör için emsal yok (Samsun 2008 manyetik bilet gate fiyatına gömülü); 1.800 korundu</t>
        </is>
      </c>
      <c r="M529" s="7" t="inlineStr"/>
    </row>
    <row r="530" outlineLevel="1">
      <c r="A530" s="27" t="n"/>
      <c r="B530" s="27" t="inlineStr">
        <is>
          <t>4019.C</t>
        </is>
      </c>
      <c r="C530" s="7" t="inlineStr">
        <is>
          <t>S12 Rasathane: kontrol validatörü (turnike grubu çıkış tarafı)</t>
        </is>
      </c>
      <c r="D530" s="27" t="inlineStr">
        <is>
          <t>adet</t>
        </is>
      </c>
      <c r="E530" s="50" t="n">
        <v>1</v>
      </c>
      <c r="F530" s="50" t="n">
        <v>1</v>
      </c>
      <c r="G530" s="27" t="inlineStr">
        <is>
          <t>-</t>
        </is>
      </c>
      <c r="H530" s="50">
        <f>F530</f>
        <v/>
      </c>
      <c r="I530" s="51" t="n">
        <v>1500</v>
      </c>
      <c r="J530" s="28">
        <f>H530*I530</f>
        <v/>
      </c>
      <c r="K530" s="53" t="inlineStr">
        <is>
          <t>MÜHENDİSLİK TAHMİNİ</t>
        </is>
      </c>
      <c r="L530" s="7" t="inlineStr">
        <is>
          <t>TAHMIN (emsal yok) – Validatör emsali yok (turnike teklifleri validatör hariç)</t>
        </is>
      </c>
      <c r="M530" s="7" t="inlineStr"/>
    </row>
    <row r="531" outlineLevel="1">
      <c r="A531" s="27" t="n"/>
      <c r="B531" s="27" t="inlineStr">
        <is>
          <t>4019.C</t>
        </is>
      </c>
      <c r="C531" s="7" t="inlineStr">
        <is>
          <t>S12 Rasathane: serbest geçiş kumanda ünitesi</t>
        </is>
      </c>
      <c r="D531" s="27" t="inlineStr">
        <is>
          <t>adet</t>
        </is>
      </c>
      <c r="E531" s="50" t="n">
        <v>1</v>
      </c>
      <c r="F531" s="50" t="n">
        <v>1</v>
      </c>
      <c r="G531" s="27" t="inlineStr">
        <is>
          <t>-</t>
        </is>
      </c>
      <c r="H531" s="50">
        <f>F531</f>
        <v/>
      </c>
      <c r="I531" s="51" t="n">
        <v>351.26</v>
      </c>
      <c r="J531" s="28">
        <f>H531*I531</f>
        <v/>
      </c>
      <c r="K531" s="52" t="inlineStr">
        <is>
          <t>GEÇMİŞ TEKLİF UYARLAMA</t>
        </is>
      </c>
      <c r="L531" s="7" t="inlineStr">
        <is>
          <t>REF-derin(1) – Üçyol-Buca M/Tansa 2021 65.71; Üçyol-Buca M/Tansa 2021 13.14 | Tansa uzaktan kumanda+alıcı (malz.) x1,3; tek emsal seti, mevcutla ortalama | emsal 102.51, ort.(600+102.51)/2 [Emsal ID: R02148;R02149]</t>
        </is>
      </c>
      <c r="M531" s="7" t="inlineStr">
        <is>
          <t>İlk tahmin BF 600.00</t>
        </is>
      </c>
    </row>
    <row r="532" outlineLevel="1">
      <c r="A532" s="27" t="n"/>
      <c r="B532" s="27" t="inlineStr">
        <is>
          <t>4019.C</t>
        </is>
      </c>
      <c r="C532" s="7" t="inlineStr">
        <is>
          <t>S12 Rasathane: istasyon turnike bilgisayarı (endüstriyel, dolap tipi)</t>
        </is>
      </c>
      <c r="D532" s="27" t="inlineStr">
        <is>
          <t>adet</t>
        </is>
      </c>
      <c r="E532" s="50" t="n">
        <v>1</v>
      </c>
      <c r="F532" s="50" t="n">
        <v>1</v>
      </c>
      <c r="G532" s="27" t="inlineStr">
        <is>
          <t>-</t>
        </is>
      </c>
      <c r="H532" s="50">
        <f>F532</f>
        <v/>
      </c>
      <c r="I532" s="51" t="n">
        <v>8000</v>
      </c>
      <c r="J532" s="28">
        <f>H532*I532</f>
        <v/>
      </c>
      <c r="K532" s="53" t="inlineStr">
        <is>
          <t>MÜHENDİSLİK TAHMİNİ</t>
        </is>
      </c>
      <c r="L532" s="7" t="inlineStr">
        <is>
          <t>TAHMIN (emsal yok) – Turnike bilgisayarı – emsal yok (S13 iç ref 8.000)</t>
        </is>
      </c>
      <c r="M532" s="7" t="inlineStr">
        <is>
          <t>S13 ref (8.000) ile aynı</t>
        </is>
      </c>
    </row>
    <row r="533" outlineLevel="1">
      <c r="A533" s="27" t="n"/>
      <c r="B533" s="27" t="inlineStr">
        <is>
          <t>4019.C</t>
        </is>
      </c>
      <c r="C533" s="7" t="inlineStr">
        <is>
          <t>S12 Rasathane: biletmatik (bilet üretim/kart dolum) data bağlantısı + haberleşme birimi</t>
        </is>
      </c>
      <c r="D533" s="27" t="inlineStr">
        <is>
          <t>set</t>
        </is>
      </c>
      <c r="E533" s="50" t="n">
        <v>1</v>
      </c>
      <c r="F533" s="50" t="n">
        <v>1</v>
      </c>
      <c r="G533" s="27" t="inlineStr">
        <is>
          <t>-</t>
        </is>
      </c>
      <c r="H533" s="50">
        <f>F533</f>
        <v/>
      </c>
      <c r="I533" s="51" t="n">
        <v>800</v>
      </c>
      <c r="J533" s="28">
        <f>H533*I533</f>
        <v/>
      </c>
      <c r="K533" s="53" t="inlineStr">
        <is>
          <t>MÜHENDİSLİK TAHMİNİ</t>
        </is>
      </c>
      <c r="L533" s="7" t="inlineStr">
        <is>
          <t>TAHMIN (emsal yok) – Emsal yok</t>
        </is>
      </c>
      <c r="M533" s="7" t="inlineStr"/>
    </row>
    <row r="534" outlineLevel="1">
      <c r="A534" s="27" t="n"/>
      <c r="B534" s="27" t="inlineStr">
        <is>
          <t>4019.C</t>
        </is>
      </c>
      <c r="C534" s="7" t="inlineStr">
        <is>
          <t>S13 Harran: bilet geçerleme validatörü (giriş turnikesi + özel kapı)</t>
        </is>
      </c>
      <c r="D534" s="27" t="inlineStr">
        <is>
          <t>adet</t>
        </is>
      </c>
      <c r="E534" s="50" t="n">
        <v>4</v>
      </c>
      <c r="F534" s="50" t="n">
        <v>4</v>
      </c>
      <c r="G534" s="27" t="inlineStr">
        <is>
          <t>-</t>
        </is>
      </c>
      <c r="H534" s="50">
        <f>F534</f>
        <v/>
      </c>
      <c r="I534" s="51" t="n">
        <v>1800</v>
      </c>
      <c r="J534" s="28">
        <f>H534*I534</f>
        <v/>
      </c>
      <c r="K534" s="53" t="inlineStr">
        <is>
          <t>MÜHENDİSLİK TAHMİNİ</t>
        </is>
      </c>
      <c r="L534" s="7" t="inlineStr">
        <is>
          <t>TAHMIN (emsal yok) – Validatör için emsal yok (Samsun 2008 manyetik bilet gate fiyatına gömülü); 1.800 korundu</t>
        </is>
      </c>
      <c r="M534" s="7" t="inlineStr"/>
    </row>
    <row r="535" outlineLevel="1">
      <c r="A535" s="27" t="n"/>
      <c r="B535" s="27" t="inlineStr">
        <is>
          <t>4019.C</t>
        </is>
      </c>
      <c r="C535" s="7" t="inlineStr">
        <is>
          <t>S13 Harran: kontrol validatörü (turnike grubu çıkış tarafı)</t>
        </is>
      </c>
      <c r="D535" s="27" t="inlineStr">
        <is>
          <t>adet</t>
        </is>
      </c>
      <c r="E535" s="50" t="n">
        <v>1</v>
      </c>
      <c r="F535" s="50" t="n">
        <v>1</v>
      </c>
      <c r="G535" s="27" t="inlineStr">
        <is>
          <t>-</t>
        </is>
      </c>
      <c r="H535" s="50">
        <f>F535</f>
        <v/>
      </c>
      <c r="I535" s="51" t="n">
        <v>1500</v>
      </c>
      <c r="J535" s="28">
        <f>H535*I535</f>
        <v/>
      </c>
      <c r="K535" s="53" t="inlineStr">
        <is>
          <t>MÜHENDİSLİK TAHMİNİ</t>
        </is>
      </c>
      <c r="L535" s="7" t="inlineStr">
        <is>
          <t>TAHMIN (emsal yok) – Validatör emsali yok (turnike teklifleri validatör hariç)</t>
        </is>
      </c>
      <c r="M535" s="7" t="inlineStr"/>
    </row>
    <row r="536" outlineLevel="1">
      <c r="A536" s="27" t="n"/>
      <c r="B536" s="27" t="inlineStr">
        <is>
          <t>4019.C</t>
        </is>
      </c>
      <c r="C536" s="7" t="inlineStr">
        <is>
          <t>S13 Harran: serbest geçiş kumanda ünitesi</t>
        </is>
      </c>
      <c r="D536" s="27" t="inlineStr">
        <is>
          <t>adet</t>
        </is>
      </c>
      <c r="E536" s="50" t="n">
        <v>1</v>
      </c>
      <c r="F536" s="50" t="n">
        <v>1</v>
      </c>
      <c r="G536" s="27" t="inlineStr">
        <is>
          <t>-</t>
        </is>
      </c>
      <c r="H536" s="50">
        <f>F536</f>
        <v/>
      </c>
      <c r="I536" s="51" t="n">
        <v>351.26</v>
      </c>
      <c r="J536" s="28">
        <f>H536*I536</f>
        <v/>
      </c>
      <c r="K536" s="52" t="inlineStr">
        <is>
          <t>GEÇMİŞ TEKLİF UYARLAMA</t>
        </is>
      </c>
      <c r="L536" s="7" t="inlineStr">
        <is>
          <t>REF-derin(1) – Üçyol-Buca M/Tansa 2021 65.71; Üçyol-Buca M/Tansa 2021 13.14 | Tansa uzaktan kumanda+alıcı (malz.) x1,3; tek emsal seti, mevcutla ortalama | emsal 102.51, ort.(600+102.51)/2 [Emsal ID: R02148;R02149]</t>
        </is>
      </c>
      <c r="M536" s="7" t="inlineStr">
        <is>
          <t>İlk tahmin BF 600.00</t>
        </is>
      </c>
    </row>
    <row r="537" outlineLevel="1">
      <c r="A537" s="27" t="n"/>
      <c r="B537" s="27" t="inlineStr">
        <is>
          <t>4019.C</t>
        </is>
      </c>
      <c r="C537" s="7" t="inlineStr">
        <is>
          <t>S13 Harran: istasyon turnike bilgisayarı (endüstriyel, dolap tipi)</t>
        </is>
      </c>
      <c r="D537" s="27" t="inlineStr">
        <is>
          <t>adet</t>
        </is>
      </c>
      <c r="E537" s="50" t="n">
        <v>1</v>
      </c>
      <c r="F537" s="50" t="n">
        <v>1</v>
      </c>
      <c r="G537" s="27" t="inlineStr">
        <is>
          <t>-</t>
        </is>
      </c>
      <c r="H537" s="50">
        <f>F537</f>
        <v/>
      </c>
      <c r="I537" s="51" t="n">
        <v>2128.9</v>
      </c>
      <c r="J537" s="28">
        <f>H537*I537</f>
        <v/>
      </c>
      <c r="K537" s="52" t="inlineStr">
        <is>
          <t>GEÇMİŞ TEKLİF UYARLAMA</t>
        </is>
      </c>
      <c r="L537" s="7" t="inlineStr">
        <is>
          <t>REF-derin – Samsun LRT/Uskom 2008 7999.94x0.5; Üçyol-Buca M/Cesa(Honeywell) 2021 2188.57x1.1; Üçyol-Buca M/Siemens 2021 1682.17x1.1; Narlıdere M/Uskom 2018 1362.10x1.1 | DÜZELTME: REF 8.000 Samsun 2008 istasyon PC+lisans, eski BT x0,5; güncel PC emsalleri +%10 | sonuç 2128.90 [Emsal ID: R03102;R01959;R02083;R01659]</t>
        </is>
      </c>
      <c r="M537" s="7" t="inlineStr">
        <is>
          <t>İlk tahmin BF 7,999.94</t>
        </is>
      </c>
    </row>
    <row r="538" outlineLevel="1">
      <c r="A538" s="27" t="n"/>
      <c r="B538" s="27" t="inlineStr">
        <is>
          <t>4019.C</t>
        </is>
      </c>
      <c r="C538" s="7" t="inlineStr">
        <is>
          <t>S13 Harran: biletmatik (bilet üretim/kart dolum) data bağlantısı + haberleşme birimi</t>
        </is>
      </c>
      <c r="D538" s="27" t="inlineStr">
        <is>
          <t>set</t>
        </is>
      </c>
      <c r="E538" s="50" t="n">
        <v>1</v>
      </c>
      <c r="F538" s="50" t="n">
        <v>1</v>
      </c>
      <c r="G538" s="27" t="inlineStr">
        <is>
          <t>-</t>
        </is>
      </c>
      <c r="H538" s="50">
        <f>F538</f>
        <v/>
      </c>
      <c r="I538" s="51" t="n">
        <v>800</v>
      </c>
      <c r="J538" s="28">
        <f>H538*I538</f>
        <v/>
      </c>
      <c r="K538" s="53" t="inlineStr">
        <is>
          <t>MÜHENDİSLİK TAHMİNİ</t>
        </is>
      </c>
      <c r="L538" s="7" t="inlineStr">
        <is>
          <t>TAHMIN (emsal yok) – Emsal yok</t>
        </is>
      </c>
      <c r="M538" s="7" t="inlineStr"/>
    </row>
    <row r="539" outlineLevel="1">
      <c r="A539" s="27" t="n"/>
      <c r="B539" s="27" t="inlineStr">
        <is>
          <t>4019.C</t>
        </is>
      </c>
      <c r="C539" s="7" t="inlineStr">
        <is>
          <t>Merkez: ücret toplama sistemi bilgisayarı + EÜTS merkez entegrasyon yazılımı (bilet üretim merkezi kapsam dışı)</t>
        </is>
      </c>
      <c r="D539" s="27" t="inlineStr">
        <is>
          <t>set</t>
        </is>
      </c>
      <c r="E539" s="50" t="n">
        <v>1</v>
      </c>
      <c r="F539" s="50" t="n">
        <v>1</v>
      </c>
      <c r="G539" s="27" t="inlineStr">
        <is>
          <t>-</t>
        </is>
      </c>
      <c r="H539" s="50">
        <f>F539</f>
        <v/>
      </c>
      <c r="I539" s="51" t="n">
        <v>18000</v>
      </c>
      <c r="J539" s="28">
        <f>H539*I539</f>
        <v/>
      </c>
      <c r="K539" s="53" t="inlineStr">
        <is>
          <t>MÜHENDİSLİK TAHMİNİ</t>
        </is>
      </c>
      <c r="L539" s="7" t="inlineStr">
        <is>
          <t>TAHMIN (emsal yok) – Ücret toplama merkez + EÜTS entegrasyonu – emsal yok</t>
        </is>
      </c>
      <c r="M539" s="7" t="inlineStr">
        <is>
          <t>EÜTS entegrasyonu dahil</t>
        </is>
      </c>
    </row>
    <row r="540" outlineLevel="1">
      <c r="A540" s="27" t="n"/>
      <c r="B540" s="27" t="inlineStr">
        <is>
          <t>4019.C</t>
        </is>
      </c>
      <c r="C540" s="7" t="inlineStr">
        <is>
          <t>Mevcut depo kontrol merkezi / EÜTS entegrasyonu: yazılım uyarlama + lisans</t>
        </is>
      </c>
      <c r="D540" s="27" t="inlineStr">
        <is>
          <t>set</t>
        </is>
      </c>
      <c r="E540" s="50" t="n">
        <v>1</v>
      </c>
      <c r="F540" s="50" t="n">
        <v>1</v>
      </c>
      <c r="G540" s="27" t="inlineStr">
        <is>
          <t>-</t>
        </is>
      </c>
      <c r="H540" s="50">
        <f>F540</f>
        <v/>
      </c>
      <c r="I540" s="51" t="n">
        <v>10000</v>
      </c>
      <c r="J540" s="28">
        <f>H540*I540</f>
        <v/>
      </c>
      <c r="K540" s="53" t="inlineStr">
        <is>
          <t>MÜHENDİSLİK TAHMİNİ</t>
        </is>
      </c>
      <c r="L540" s="7" t="inlineStr">
        <is>
          <t>TAHMIN (emsal yok) – EÜTS uyarlama/lisans – emsal yok (idare kapsamı daraltıldı)</t>
        </is>
      </c>
      <c r="M540" s="7" t="inlineStr">
        <is>
          <t>İdare: mevcut DKM yok; yalnız EÜTS uyarlaması kaldı</t>
        </is>
      </c>
    </row>
    <row r="541" outlineLevel="1">
      <c r="A541" s="27" t="n"/>
      <c r="B541" s="27" t="inlineStr">
        <is>
          <t>4019.C</t>
        </is>
      </c>
      <c r="C541" s="7" t="inlineStr">
        <is>
          <t>Ücret toplama bakım bilgisayarı (laptop) + istatistik yazılımı</t>
        </is>
      </c>
      <c r="D541" s="27" t="inlineStr">
        <is>
          <t>adet</t>
        </is>
      </c>
      <c r="E541" s="50" t="n">
        <v>1</v>
      </c>
      <c r="F541" s="50" t="n">
        <v>1</v>
      </c>
      <c r="G541" s="27" t="inlineStr">
        <is>
          <t>-</t>
        </is>
      </c>
      <c r="H541" s="50">
        <f>F541</f>
        <v/>
      </c>
      <c r="I541" s="51" t="n">
        <v>1890.95</v>
      </c>
      <c r="J541" s="28">
        <f>H541*I541</f>
        <v/>
      </c>
      <c r="K541" s="52" t="inlineStr">
        <is>
          <t>GEÇMİŞ TEKLİF UYARLAMA</t>
        </is>
      </c>
      <c r="L541" s="7" t="inlineStr">
        <is>
          <t>REF-derin(1) – Samsun LRT/Uskom 2008 4727.37x0.4 | DÜZELTME: REF Samsun 2008 taşınabilir PC; 18 yıllık BT fiyat düşüşü x0,4 | sonuç 1890.95 [Emsal ID: R03105]</t>
        </is>
      </c>
      <c r="M541" s="7" t="inlineStr">
        <is>
          <t>İlk tahmin BF 4,727.37</t>
        </is>
      </c>
    </row>
    <row r="542"/>
    <row r="543">
      <c r="C543" s="14" t="inlineStr">
        <is>
          <t>TOPLAM (net metraj, idare cevaplarına göre)</t>
        </is>
      </c>
      <c r="J543" s="56">
        <f>J5+J8+J20+J31+J42+J53+J64+J75+J85+J92+J98+J107+J114+J117+J123+J129+J135+J141+J147+J153+J159+J163+J169+J172+J181+J188+J191+J197+J203+J209+J215+J221+J227+J237+J242+J245+J252+J259+J266+J273+J280+J287+J306+J310+J315+J324+J327+J331+J335+J339+J343+J347+J351+J357+J361+J364+J370+J376+J382+J388+J394+J400+J406+J412+J416+J419+J423+J427+J431+J435+J439+J443+J447+J450+J461+J464+J469+J474+J479+J484+J489+J494+J499+J502+J505+J508</f>
        <v/>
      </c>
    </row>
    <row r="544">
      <c r="C544" s="14" t="inlineStr">
        <is>
          <t>Karşılaştırma: RFQ cetvel miktarlarıyla (şişirmeli, düzeltmesiz) tutar</t>
        </is>
      </c>
      <c r="J544" s="56">
        <f>I5+I8+I20+I31+I42+I53+I64+I75+I85+I92+I98+I107+I114+I117+I123+I129+I135+I141+I147+I153+I159+I163+I169+I172+I181+I188+I191+I197+I203+I209+I215+I221+I227+I237+I242+I245+I252+I259+I266+I273+I280+I287+I306+I310+I315+I324+I327+I331+I335+I339+I343+I347+I351+I357+I361+I364+I370+I376+I382+I388+I394+I400+I406+I412+I416+I419+I423+I427+I431+I435+I439+I443+I447+I450+I461+I464+I469+I474+I479+I484+I489+I494+I499+I502+I505+I508</f>
        <v/>
      </c>
    </row>
    <row r="545">
      <c r="C545" s="14" t="inlineStr">
        <is>
          <t>Fark (metraj payları + idare cevapları)</t>
        </is>
      </c>
      <c r="J545" s="56">
        <f>J543-J544</f>
        <v/>
      </c>
    </row>
    <row r="546"/>
    <row r="547">
      <c r="C547" s="19" t="inlineStr">
        <is>
          <t>FİYAT TÜRÜNE GÖRE DAĞILIM</t>
        </is>
      </c>
    </row>
    <row r="548">
      <c r="C548" s="57" t="inlineStr">
        <is>
          <t>2026 TEKLİF</t>
        </is>
      </c>
      <c r="J548" s="23">
        <f>SUMIF($K$5:$K$541,"2026 TEKLİF",$J$5:$J$541)</f>
        <v/>
      </c>
      <c r="K548" s="58">
        <f>IF($J$543=0,0,J548/$J$543)</f>
        <v/>
      </c>
    </row>
    <row r="549">
      <c r="C549" s="59" t="inlineStr">
        <is>
          <t>GEÇMİŞ TEKLİF UYARLAMA</t>
        </is>
      </c>
      <c r="J549" s="23">
        <f>SUMIF($K$5:$K$541,"GEÇMİŞ TEKLİF UYARLAMA",$J$5:$J$541)</f>
        <v/>
      </c>
      <c r="K549" s="58">
        <f>IF($J$543=0,0,J549/$J$543)</f>
        <v/>
      </c>
    </row>
    <row r="550">
      <c r="C550" s="60" t="inlineStr">
        <is>
          <t>MÜHENDİSLİK TAHMİNİ</t>
        </is>
      </c>
      <c r="J550" s="23">
        <f>SUMIF($K$5:$K$541,"MÜHENDİSLİK TAHMİNİ",$J$5:$J$541)</f>
        <v/>
      </c>
      <c r="K550" s="58">
        <f>IF($J$543=0,0,J550/$J$543)</f>
        <v/>
      </c>
    </row>
    <row r="551">
      <c r="C551" s="61" t="inlineStr">
        <is>
          <t>İdare cevabıyla kapsam dışı kalan kalemlerin RFQ'daki değeri (bilgi)</t>
        </is>
      </c>
      <c r="J551" s="23">
        <f>SUMPRODUCT(($K$5:$K$541="KAPSAM DIŞI (0)")*$E$5:$E$541*$I$5:$I$541)</f>
        <v/>
      </c>
    </row>
  </sheetData>
  <autoFilter ref="A4:M4"/>
  <mergeCells count="3">
    <mergeCell ref="A3:B3"/>
    <mergeCell ref="A2:M2"/>
    <mergeCell ref="C3:M3"/>
  </mergeCells>
  <pageMargins left="0.75" right="0.75" top="1" bottom="1" header="0.5" footer="0.5"/>
  <pageSetup orientation="landscape" fitToWidth="1"/>
</worksheet>
</file>

<file path=xl/worksheets/sheet7.xml><?xml version="1.0" encoding="utf-8"?>
<worksheet xmlns="http://schemas.openxmlformats.org/spreadsheetml/2006/main">
  <sheetPr>
    <tabColor rgb="005B9BD5"/>
    <outlinePr summaryBelow="0" summaryRight="1"/>
    <pageSetUpPr/>
  </sheetPr>
  <dimension ref="A1:M329"/>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2" customWidth="1" min="3" max="3"/>
    <col width="7" customWidth="1" min="4" max="4"/>
    <col width="12" customWidth="1" min="5" max="5"/>
    <col width="12" customWidth="1" min="6" max="6"/>
    <col width="11" customWidth="1" min="7" max="7"/>
    <col width="12" customWidth="1" min="8" max="8"/>
    <col width="13" customWidth="1" min="9" max="9"/>
    <col width="14" customWidth="1" min="10" max="10"/>
    <col width="17" customWidth="1" min="11" max="11"/>
    <col width="55" customWidth="1" min="12" max="12"/>
    <col width="40" customWidth="1" min="13" max="13"/>
  </cols>
  <sheetData>
    <row r="1">
      <c r="A1" s="1" t="inlineStr">
        <is>
          <t>2 MEKANİK – Sıra 159–168, 343–363 (HVAC, yangın, drenaj, sıhhi, basınçlı hava)</t>
        </is>
      </c>
    </row>
    <row r="2" ht="48" customHeight="1">
      <c r="A2" s="2" t="inlineStr">
        <is>
          <t>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is>
      </c>
    </row>
    <row r="3" ht="22" customHeight="1">
      <c r="A3" s="21" t="inlineStr">
        <is>
          <t>DİSİPLİN TOPLAMI →</t>
        </is>
      </c>
      <c r="C3" s="47">
        <f>"Kalem bazlı toplam: "&amp;TEXT(J321,"#,##0")&amp;" €   |   2026 teklif: "&amp;TEXT(K326,"0%")&amp;"   |   Geçmiş teklif uyarlaması: "&amp;TEXT(K327,"0%")&amp;"   |   Tahmin: "&amp;TEXT(K328,"0%")&amp;"   |   Kalem kalem görmek için sol kenardaki [+] / [1][2] düğmelerini kullanın"</f>
        <v/>
      </c>
    </row>
    <row r="4" ht="42" customHeight="1">
      <c r="A4" s="3" t="inlineStr">
        <is>
          <t>Sıra</t>
        </is>
      </c>
      <c r="B4" s="3" t="inlineStr">
        <is>
          <t>Poz</t>
        </is>
      </c>
      <c r="C4" s="3" t="inlineStr">
        <is>
          <t>Kalem / Alt kalem</t>
        </is>
      </c>
      <c r="D4" s="3" t="inlineStr">
        <is>
          <t>Birim</t>
        </is>
      </c>
      <c r="E4" s="3" t="inlineStr">
        <is>
          <t>Miktar (RFQ cetveli)</t>
        </is>
      </c>
      <c r="F4" s="3" t="inlineStr">
        <is>
          <t>Miktar (idare cevabına göre)</t>
        </is>
      </c>
      <c r="G4" s="3" t="inlineStr">
        <is>
          <t>Metraj payı geri alınan</t>
        </is>
      </c>
      <c r="H4" s="3" t="inlineStr">
        <is>
          <t>Net miktar (bütçe)</t>
        </is>
      </c>
      <c r="I4" s="3" t="inlineStr">
        <is>
          <t>Birim fiyat EUR (montaj dahil)</t>
        </is>
      </c>
      <c r="J4" s="3" t="inlineStr">
        <is>
          <t>Tutar EUR</t>
        </is>
      </c>
      <c r="K4" s="3" t="inlineStr">
        <is>
          <t>Fiyat türü</t>
        </is>
      </c>
      <c r="L4" s="3" t="inlineStr">
        <is>
          <t>Fiyat kaynağı / emsal (proje, firma, yıl, uyarlama)</t>
        </is>
      </c>
      <c r="M4" s="3" t="inlineStr">
        <is>
          <t>Not / düzeltme</t>
        </is>
      </c>
    </row>
    <row r="5">
      <c r="A5" s="48" t="inlineStr">
        <is>
          <t>159</t>
        </is>
      </c>
      <c r="B5" s="48" t="inlineStr">
        <is>
          <t>6001.A</t>
        </is>
      </c>
      <c r="C5" s="48" t="inlineStr">
        <is>
          <t>Harran İstasyonu Isıtma Soğutma Sistemi (1 set)</t>
        </is>
      </c>
      <c r="D5" s="48" t="n"/>
      <c r="E5" s="48" t="n"/>
      <c r="F5" s="48" t="n"/>
      <c r="G5" s="48" t="n"/>
      <c r="H5" s="48" t="inlineStr">
        <is>
          <t>RFQ tutarı →</t>
        </is>
      </c>
      <c r="I5" s="49">
        <f>SUMPRODUCT(E6:E13,I6:I13)</f>
        <v/>
      </c>
      <c r="J5" s="49">
        <f>SUM(J6:J13)</f>
        <v/>
      </c>
      <c r="K5" s="48" t="n"/>
      <c r="L5" s="48" t="n"/>
      <c r="M5" s="48" t="n"/>
    </row>
    <row r="6" outlineLevel="1">
      <c r="A6" s="27" t="n"/>
      <c r="B6" s="27" t="inlineStr">
        <is>
          <t>6001.A</t>
        </is>
      </c>
      <c r="C6" s="7" t="inlineStr">
        <is>
          <t>Split klima duvar tipi inverter IU-1/DU-1, 5 kW soğutma, R410A, dış ünite dahil komple (pano odası)</t>
        </is>
      </c>
      <c r="D6" s="27" t="inlineStr">
        <is>
          <t>adet</t>
        </is>
      </c>
      <c r="E6" s="50" t="n">
        <v>2</v>
      </c>
      <c r="F6" s="50" t="n">
        <v>2</v>
      </c>
      <c r="G6" s="27" t="inlineStr">
        <is>
          <t>-</t>
        </is>
      </c>
      <c r="H6" s="50">
        <f>F6</f>
        <v/>
      </c>
      <c r="I6" s="51" t="n">
        <v>1885.16</v>
      </c>
      <c r="J6" s="28">
        <f>H6*I6</f>
        <v/>
      </c>
      <c r="K6" s="52" t="inlineStr">
        <is>
          <t>GEÇMİŞ TEKLİF UYARLAMA</t>
        </is>
      </c>
      <c r="L6" s="7" t="inlineStr">
        <is>
          <t>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is>
      </c>
      <c r="M6" s="7" t="inlineStr"/>
    </row>
    <row r="7" outlineLevel="1">
      <c r="A7" s="27" t="n"/>
      <c r="B7" s="27" t="inlineStr">
        <is>
          <t>6001.A</t>
        </is>
      </c>
      <c r="C7" s="7" t="inlineStr">
        <is>
          <t>Split klima bakır boru izolasyonlu (sıvı+gaz çifti 1/4"-1/2") + bağlantı kablosu</t>
        </is>
      </c>
      <c r="D7" s="27" t="inlineStr">
        <is>
          <t>m</t>
        </is>
      </c>
      <c r="E7" s="50" t="n">
        <v>6</v>
      </c>
      <c r="F7" s="50" t="n">
        <v>6</v>
      </c>
      <c r="G7" s="27" t="inlineStr">
        <is>
          <t>fire+%30</t>
        </is>
      </c>
      <c r="H7" s="50">
        <f>F7/IF(Varsayimlar!$B$21=1,1.43,1)</f>
        <v/>
      </c>
      <c r="I7" s="51" t="n">
        <v>31.58</v>
      </c>
      <c r="J7" s="28">
        <f>H7*I7</f>
        <v/>
      </c>
      <c r="K7" s="52" t="inlineStr">
        <is>
          <t>GEÇMİŞ TEKLİF UYARLAMA</t>
        </is>
      </c>
      <c r="L7" s="7" t="inlineStr">
        <is>
          <t>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is>
      </c>
      <c r="M7" s="7" t="inlineStr">
        <is>
          <t>İlk tahmin BF 22.00</t>
        </is>
      </c>
    </row>
    <row r="8" outlineLevel="1">
      <c r="A8" s="27" t="n"/>
      <c r="B8" s="27" t="inlineStr">
        <is>
          <t>6001.A</t>
        </is>
      </c>
      <c r="C8" s="7" t="inlineStr">
        <is>
          <t>Klima yoğuşma drenaj borusu PVC/PPRC Ø20-25 (hatta bırakılacak)</t>
        </is>
      </c>
      <c r="D8" s="27" t="inlineStr">
        <is>
          <t>m</t>
        </is>
      </c>
      <c r="E8" s="50" t="n">
        <v>5</v>
      </c>
      <c r="F8" s="50" t="n">
        <v>5</v>
      </c>
      <c r="G8" s="27" t="inlineStr">
        <is>
          <t>fire+%30</t>
        </is>
      </c>
      <c r="H8" s="50">
        <f>F8/IF(Varsayimlar!$B$21=1,1.43,1)</f>
        <v/>
      </c>
      <c r="I8" s="51" t="n">
        <v>3.61</v>
      </c>
      <c r="J8" s="28">
        <f>H8*I8</f>
        <v/>
      </c>
      <c r="K8" s="52" t="inlineStr">
        <is>
          <t>GEÇMİŞ TEKLİF UYARLAMA</t>
        </is>
      </c>
      <c r="L8" s="7" t="inlineStr">
        <is>
          <t>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is>
      </c>
      <c r="M8" s="7" t="inlineStr">
        <is>
          <t>Ref malzeme fiyatı; montajlı | İlk tahmin BF 5.00</t>
        </is>
      </c>
    </row>
    <row r="9" outlineLevel="1">
      <c r="A9" s="27" t="n"/>
      <c r="B9" s="27" t="inlineStr">
        <is>
          <t>6001.A</t>
        </is>
      </c>
      <c r="C9" s="7" t="inlineStr">
        <is>
          <t>DU montaj konsolu + titreşim takozu, kablolu kumanda, montaj-test-devreye alma</t>
        </is>
      </c>
      <c r="D9" s="27" t="inlineStr">
        <is>
          <t>takım</t>
        </is>
      </c>
      <c r="E9" s="50" t="n">
        <v>1</v>
      </c>
      <c r="F9" s="50" t="n">
        <v>1</v>
      </c>
      <c r="G9" s="27" t="inlineStr">
        <is>
          <t>-</t>
        </is>
      </c>
      <c r="H9" s="50">
        <f>F9</f>
        <v/>
      </c>
      <c r="I9" s="51" t="n">
        <v>150</v>
      </c>
      <c r="J9" s="28">
        <f>H9*I9</f>
        <v/>
      </c>
      <c r="K9" s="53" t="inlineStr">
        <is>
          <t>MÜHENDİSLİK TAHMİNİ</t>
        </is>
      </c>
      <c r="L9" s="7" t="inlineStr">
        <is>
          <t>TAHMIN (emsal yok) – emsal bulunamadı; mevcut tahmin korundu</t>
        </is>
      </c>
      <c r="M9" s="7" t="inlineStr"/>
    </row>
    <row r="10" outlineLevel="1">
      <c r="A10" s="27" t="n"/>
      <c r="B10" s="27" t="inlineStr">
        <is>
          <t>6001.A</t>
        </is>
      </c>
      <c r="C10" s="7" t="inlineStr">
        <is>
          <t>Güvenlik kabini split klima inverter ~2,5 kW duvar tipi, R410A, dış ünite dahil + kapı/pencere kontak sistemi</t>
        </is>
      </c>
      <c r="D10" s="27" t="inlineStr">
        <is>
          <t>adet</t>
        </is>
      </c>
      <c r="E10" s="50" t="n">
        <v>2</v>
      </c>
      <c r="F10" s="54" t="n">
        <v>0</v>
      </c>
      <c r="G10" s="27" t="inlineStr">
        <is>
          <t>-</t>
        </is>
      </c>
      <c r="H10" s="50">
        <f>F10</f>
        <v/>
      </c>
      <c r="I10" s="51" t="n">
        <v>763.91</v>
      </c>
      <c r="J10" s="28">
        <f>H10*I10</f>
        <v/>
      </c>
      <c r="K10" s="55" t="inlineStr">
        <is>
          <t>KAPSAM DIŞI (0)</t>
        </is>
      </c>
      <c r="L10" s="7" t="inlineStr">
        <is>
          <t>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is>
      </c>
      <c r="M10" s="7" t="inlineStr">
        <is>
          <t>İdare: kabin splitleri sıra 143 kabin fiyatında | İlk tahmin BF 950.00</t>
        </is>
      </c>
    </row>
    <row r="11" outlineLevel="1">
      <c r="A11" s="27" t="n"/>
      <c r="B11" s="27" t="inlineStr">
        <is>
          <t>6001.A</t>
        </is>
      </c>
      <c r="C11" s="7" t="inlineStr">
        <is>
          <t>Güvenlik kabini split bakır boru izolasyonlu (1/4"-3/8") + bağlantı kablosu</t>
        </is>
      </c>
      <c r="D11" s="27" t="inlineStr">
        <is>
          <t>m</t>
        </is>
      </c>
      <c r="E11" s="50" t="n">
        <v>6</v>
      </c>
      <c r="F11" s="54" t="n">
        <v>0</v>
      </c>
      <c r="G11" s="27" t="inlineStr">
        <is>
          <t>fire+%30</t>
        </is>
      </c>
      <c r="H11" s="50">
        <f>F11/IF(Varsayimlar!$B$21=1,1.43,1)</f>
        <v/>
      </c>
      <c r="I11" s="51" t="n">
        <v>26.27</v>
      </c>
      <c r="J11" s="28">
        <f>H11*I11</f>
        <v/>
      </c>
      <c r="K11" s="55" t="inlineStr">
        <is>
          <t>KAPSAM DIŞI (0)</t>
        </is>
      </c>
      <c r="L11" s="7" t="inlineStr">
        <is>
          <t>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is>
      </c>
      <c r="M11" s="7" t="inlineStr">
        <is>
          <t>İdare: kabin splitleri sıra 143 kabin fiyatında | İlk tahmin BF 18.00</t>
        </is>
      </c>
    </row>
    <row r="12" outlineLevel="1">
      <c r="A12" s="27" t="n"/>
      <c r="B12" s="27" t="inlineStr">
        <is>
          <t>6001.A</t>
        </is>
      </c>
      <c r="C12" s="7" t="inlineStr">
        <is>
          <t>Güvenlik kabini split yoğuşma drenaj borusu PVC Ø20</t>
        </is>
      </c>
      <c r="D12" s="27" t="inlineStr">
        <is>
          <t>m</t>
        </is>
      </c>
      <c r="E12" s="50" t="n">
        <v>5</v>
      </c>
      <c r="F12" s="54" t="n">
        <v>0</v>
      </c>
      <c r="G12" s="27" t="inlineStr">
        <is>
          <t>fire+%30</t>
        </is>
      </c>
      <c r="H12" s="50">
        <f>F12/IF(Varsayimlar!$B$21=1,1.43,1)</f>
        <v/>
      </c>
      <c r="I12" s="51" t="n">
        <v>2.04</v>
      </c>
      <c r="J12" s="28">
        <f>H12*I12</f>
        <v/>
      </c>
      <c r="K12" s="55" t="inlineStr">
        <is>
          <t>KAPSAM DIŞI (0)</t>
        </is>
      </c>
      <c r="L12" s="7" t="inlineStr">
        <is>
          <t>REF-derin – R05820 Kocaeli KentMey.Tram/FER 2015 2.17; R05910 Kocaeli KentMey.Tram/Mertsan 2015 1.91 | medyan 2.04 (PVC Ø20 klima drenajı) = 2.04 € | mevcut REF 5.00 (-59.3%) düzeltildi [Emsal ID: R05820;R05910]</t>
        </is>
      </c>
      <c r="M12" s="7" t="inlineStr">
        <is>
          <t>İdare: kabin splitleri sıra 143 kabin fiyatında | İlk tahmin BF 5.00</t>
        </is>
      </c>
    </row>
    <row r="13" outlineLevel="1">
      <c r="A13" s="27" t="n"/>
      <c r="B13" s="27" t="inlineStr">
        <is>
          <t>6001.A</t>
        </is>
      </c>
      <c r="C13" s="7" t="inlineStr">
        <is>
          <t>Güvenlik kabini split DU konsolu + titreşim takozu + kablolu kumanda + kontak rölesi, montaj-devreye alma</t>
        </is>
      </c>
      <c r="D13" s="27" t="inlineStr">
        <is>
          <t>takım</t>
        </is>
      </c>
      <c r="E13" s="50" t="n">
        <v>1</v>
      </c>
      <c r="F13" s="54" t="n">
        <v>0</v>
      </c>
      <c r="G13" s="27" t="inlineStr">
        <is>
          <t>-</t>
        </is>
      </c>
      <c r="H13" s="50">
        <f>F13</f>
        <v/>
      </c>
      <c r="I13" s="51" t="n">
        <v>120</v>
      </c>
      <c r="J13" s="28">
        <f>H13*I13</f>
        <v/>
      </c>
      <c r="K13" s="55" t="inlineStr">
        <is>
          <t>KAPSAM DIŞI (0)</t>
        </is>
      </c>
      <c r="L13" s="7" t="inlineStr">
        <is>
          <t>TAHMIN (emsal yok) – emsal bulunamadı; mevcut tahmin korundu</t>
        </is>
      </c>
      <c r="M13" s="7" t="inlineStr">
        <is>
          <t>İdare: kabin splitleri sıra 143 kabin fiyatında</t>
        </is>
      </c>
    </row>
    <row r="14">
      <c r="A14" s="48" t="inlineStr">
        <is>
          <t>160</t>
        </is>
      </c>
      <c r="B14" s="48" t="inlineStr">
        <is>
          <t>6001.B</t>
        </is>
      </c>
      <c r="C14" s="48" t="inlineStr">
        <is>
          <t>Rasathane İstasyonu Isıtma Soğutma Sistemi (1 set)</t>
        </is>
      </c>
      <c r="D14" s="48" t="n"/>
      <c r="E14" s="48" t="n"/>
      <c r="F14" s="48" t="n"/>
      <c r="G14" s="48" t="n"/>
      <c r="H14" s="48" t="inlineStr">
        <is>
          <t>RFQ tutarı →</t>
        </is>
      </c>
      <c r="I14" s="49">
        <f>SUMPRODUCT(E15:E22,I15:I22)</f>
        <v/>
      </c>
      <c r="J14" s="49">
        <f>SUM(J15:J22)</f>
        <v/>
      </c>
      <c r="K14" s="48" t="n"/>
      <c r="L14" s="48" t="n"/>
      <c r="M14" s="48" t="n"/>
    </row>
    <row r="15" outlineLevel="1">
      <c r="A15" s="27" t="n"/>
      <c r="B15" s="27" t="inlineStr">
        <is>
          <t>6001.B</t>
        </is>
      </c>
      <c r="C15" s="7" t="inlineStr">
        <is>
          <t>Split klima duvar tipi inverter IU-1/DU-1, 5 kW soğutma, R410A, dış ünite dahil komple (pano odası)</t>
        </is>
      </c>
      <c r="D15" s="27" t="inlineStr">
        <is>
          <t>adet</t>
        </is>
      </c>
      <c r="E15" s="50" t="n">
        <v>2</v>
      </c>
      <c r="F15" s="50" t="n">
        <v>2</v>
      </c>
      <c r="G15" s="27" t="inlineStr">
        <is>
          <t>-</t>
        </is>
      </c>
      <c r="H15" s="50">
        <f>F15</f>
        <v/>
      </c>
      <c r="I15" s="51" t="n">
        <v>1885.16</v>
      </c>
      <c r="J15" s="28">
        <f>H15*I15</f>
        <v/>
      </c>
      <c r="K15" s="52" t="inlineStr">
        <is>
          <t>GEÇMİŞ TEKLİF UYARLAMA</t>
        </is>
      </c>
      <c r="L15" s="7" t="inlineStr">
        <is>
          <t>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is>
      </c>
      <c r="M15" s="7" t="inlineStr"/>
    </row>
    <row r="16" outlineLevel="1">
      <c r="A16" s="27" t="n"/>
      <c r="B16" s="27" t="inlineStr">
        <is>
          <t>6001.B</t>
        </is>
      </c>
      <c r="C16" s="7" t="inlineStr">
        <is>
          <t>Split klima bakır boru izolasyonlu (sıvı+gaz çifti 1/4"-1/2") + bağlantı kablosu</t>
        </is>
      </c>
      <c r="D16" s="27" t="inlineStr">
        <is>
          <t>m</t>
        </is>
      </c>
      <c r="E16" s="50" t="n">
        <v>6</v>
      </c>
      <c r="F16" s="50" t="n">
        <v>6</v>
      </c>
      <c r="G16" s="27" t="inlineStr">
        <is>
          <t>fire+%30</t>
        </is>
      </c>
      <c r="H16" s="50">
        <f>F16/IF(Varsayimlar!$B$21=1,1.43,1)</f>
        <v/>
      </c>
      <c r="I16" s="51" t="n">
        <v>31.58</v>
      </c>
      <c r="J16" s="28">
        <f>H16*I16</f>
        <v/>
      </c>
      <c r="K16" s="52" t="inlineStr">
        <is>
          <t>GEÇMİŞ TEKLİF UYARLAMA</t>
        </is>
      </c>
      <c r="L16" s="7" t="inlineStr">
        <is>
          <t>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is>
      </c>
      <c r="M16" s="7" t="inlineStr">
        <is>
          <t>İlk tahmin BF 22.00</t>
        </is>
      </c>
    </row>
    <row r="17" outlineLevel="1">
      <c r="A17" s="27" t="n"/>
      <c r="B17" s="27" t="inlineStr">
        <is>
          <t>6001.B</t>
        </is>
      </c>
      <c r="C17" s="7" t="inlineStr">
        <is>
          <t>Klima yoğuşma drenaj borusu PVC/PPRC Ø20-25 (hatta bırakılacak)</t>
        </is>
      </c>
      <c r="D17" s="27" t="inlineStr">
        <is>
          <t>m</t>
        </is>
      </c>
      <c r="E17" s="50" t="n">
        <v>5</v>
      </c>
      <c r="F17" s="50" t="n">
        <v>5</v>
      </c>
      <c r="G17" s="27" t="inlineStr">
        <is>
          <t>fire+%30</t>
        </is>
      </c>
      <c r="H17" s="50">
        <f>F17/IF(Varsayimlar!$B$21=1,1.43,1)</f>
        <v/>
      </c>
      <c r="I17" s="51" t="n">
        <v>3.61</v>
      </c>
      <c r="J17" s="28">
        <f>H17*I17</f>
        <v/>
      </c>
      <c r="K17" s="52" t="inlineStr">
        <is>
          <t>GEÇMİŞ TEKLİF UYARLAMA</t>
        </is>
      </c>
      <c r="L17" s="7" t="inlineStr">
        <is>
          <t>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is>
      </c>
      <c r="M17" s="7" t="inlineStr">
        <is>
          <t>Ref malzeme fiyatı; montajlı | İlk tahmin BF 5.00</t>
        </is>
      </c>
    </row>
    <row r="18" outlineLevel="1">
      <c r="A18" s="27" t="n"/>
      <c r="B18" s="27" t="inlineStr">
        <is>
          <t>6001.B</t>
        </is>
      </c>
      <c r="C18" s="7" t="inlineStr">
        <is>
          <t>DU montaj konsolu + titreşim takozu, kablolu kumanda, montaj-test-devreye alma</t>
        </is>
      </c>
      <c r="D18" s="27" t="inlineStr">
        <is>
          <t>takım</t>
        </is>
      </c>
      <c r="E18" s="50" t="n">
        <v>1</v>
      </c>
      <c r="F18" s="50" t="n">
        <v>1</v>
      </c>
      <c r="G18" s="27" t="inlineStr">
        <is>
          <t>-</t>
        </is>
      </c>
      <c r="H18" s="50">
        <f>F18</f>
        <v/>
      </c>
      <c r="I18" s="51" t="n">
        <v>150</v>
      </c>
      <c r="J18" s="28">
        <f>H18*I18</f>
        <v/>
      </c>
      <c r="K18" s="53" t="inlineStr">
        <is>
          <t>MÜHENDİSLİK TAHMİNİ</t>
        </is>
      </c>
      <c r="L18" s="7" t="inlineStr">
        <is>
          <t>TAHMIN (emsal yok) – emsal bulunamadı; mevcut tahmin korundu</t>
        </is>
      </c>
      <c r="M18" s="7" t="inlineStr"/>
    </row>
    <row r="19" outlineLevel="1">
      <c r="A19" s="27" t="n"/>
      <c r="B19" s="27" t="inlineStr">
        <is>
          <t>6001.B</t>
        </is>
      </c>
      <c r="C19" s="7" t="inlineStr">
        <is>
          <t>Güvenlik kabini split klima inverter ~2,5 kW duvar tipi, R410A, dış ünite dahil + kapı/pencere kontak sistemi</t>
        </is>
      </c>
      <c r="D19" s="27" t="inlineStr">
        <is>
          <t>adet</t>
        </is>
      </c>
      <c r="E19" s="50" t="n">
        <v>2</v>
      </c>
      <c r="F19" s="54" t="n">
        <v>0</v>
      </c>
      <c r="G19" s="27" t="inlineStr">
        <is>
          <t>-</t>
        </is>
      </c>
      <c r="H19" s="50">
        <f>F19</f>
        <v/>
      </c>
      <c r="I19" s="51" t="n">
        <v>763.91</v>
      </c>
      <c r="J19" s="28">
        <f>H19*I19</f>
        <v/>
      </c>
      <c r="K19" s="55" t="inlineStr">
        <is>
          <t>KAPSAM DIŞI (0)</t>
        </is>
      </c>
      <c r="L19" s="7" t="inlineStr">
        <is>
          <t>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is>
      </c>
      <c r="M19" s="7" t="inlineStr">
        <is>
          <t>İdare: kabin splitleri sıra 143 kabin fiyatında | İlk tahmin BF 950.00</t>
        </is>
      </c>
    </row>
    <row r="20" outlineLevel="1">
      <c r="A20" s="27" t="n"/>
      <c r="B20" s="27" t="inlineStr">
        <is>
          <t>6001.B</t>
        </is>
      </c>
      <c r="C20" s="7" t="inlineStr">
        <is>
          <t>Güvenlik kabini split bakır boru izolasyonlu (1/4"-3/8") + bağlantı kablosu</t>
        </is>
      </c>
      <c r="D20" s="27" t="inlineStr">
        <is>
          <t>m</t>
        </is>
      </c>
      <c r="E20" s="50" t="n">
        <v>6</v>
      </c>
      <c r="F20" s="54" t="n">
        <v>0</v>
      </c>
      <c r="G20" s="27" t="inlineStr">
        <is>
          <t>fire+%30</t>
        </is>
      </c>
      <c r="H20" s="50">
        <f>F20/IF(Varsayimlar!$B$21=1,1.43,1)</f>
        <v/>
      </c>
      <c r="I20" s="51" t="n">
        <v>26.27</v>
      </c>
      <c r="J20" s="28">
        <f>H20*I20</f>
        <v/>
      </c>
      <c r="K20" s="55" t="inlineStr">
        <is>
          <t>KAPSAM DIŞI (0)</t>
        </is>
      </c>
      <c r="L20" s="7" t="inlineStr">
        <is>
          <t>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is>
      </c>
      <c r="M20" s="7" t="inlineStr">
        <is>
          <t>İdare: kabin splitleri sıra 143 kabin fiyatında | İlk tahmin BF 18.00</t>
        </is>
      </c>
    </row>
    <row r="21" outlineLevel="1">
      <c r="A21" s="27" t="n"/>
      <c r="B21" s="27" t="inlineStr">
        <is>
          <t>6001.B</t>
        </is>
      </c>
      <c r="C21" s="7" t="inlineStr">
        <is>
          <t>Güvenlik kabini split yoğuşma drenaj borusu PVC Ø20</t>
        </is>
      </c>
      <c r="D21" s="27" t="inlineStr">
        <is>
          <t>m</t>
        </is>
      </c>
      <c r="E21" s="50" t="n">
        <v>5</v>
      </c>
      <c r="F21" s="54" t="n">
        <v>0</v>
      </c>
      <c r="G21" s="27" t="inlineStr">
        <is>
          <t>fire+%30</t>
        </is>
      </c>
      <c r="H21" s="50">
        <f>F21/IF(Varsayimlar!$B$21=1,1.43,1)</f>
        <v/>
      </c>
      <c r="I21" s="51" t="n">
        <v>2.04</v>
      </c>
      <c r="J21" s="28">
        <f>H21*I21</f>
        <v/>
      </c>
      <c r="K21" s="55" t="inlineStr">
        <is>
          <t>KAPSAM DIŞI (0)</t>
        </is>
      </c>
      <c r="L21" s="7" t="inlineStr">
        <is>
          <t>REF-derin – R05820 Kocaeli KentMey.Tram/FER 2015 2.17; R05910 Kocaeli KentMey.Tram/Mertsan 2015 1.91 | medyan 2.04 (PVC Ø20 klima drenajı) = 2.04 € | mevcut REF 5.00 (-59.3%) düzeltildi [Emsal ID: R05820;R05910]</t>
        </is>
      </c>
      <c r="M21" s="7" t="inlineStr">
        <is>
          <t>İdare: kabin splitleri sıra 143 kabin fiyatında | İlk tahmin BF 5.00</t>
        </is>
      </c>
    </row>
    <row r="22" outlineLevel="1">
      <c r="A22" s="27" t="n"/>
      <c r="B22" s="27" t="inlineStr">
        <is>
          <t>6001.B</t>
        </is>
      </c>
      <c r="C22" s="7" t="inlineStr">
        <is>
          <t>Güvenlik kabini split DU konsolu + titreşim takozu + kablolu kumanda + kontak rölesi, montaj-devreye alma</t>
        </is>
      </c>
      <c r="D22" s="27" t="inlineStr">
        <is>
          <t>takım</t>
        </is>
      </c>
      <c r="E22" s="50" t="n">
        <v>1</v>
      </c>
      <c r="F22" s="54" t="n">
        <v>0</v>
      </c>
      <c r="G22" s="27" t="inlineStr">
        <is>
          <t>-</t>
        </is>
      </c>
      <c r="H22" s="50">
        <f>F22</f>
        <v/>
      </c>
      <c r="I22" s="51" t="n">
        <v>120</v>
      </c>
      <c r="J22" s="28">
        <f>H22*I22</f>
        <v/>
      </c>
      <c r="K22" s="55" t="inlineStr">
        <is>
          <t>KAPSAM DIŞI (0)</t>
        </is>
      </c>
      <c r="L22" s="7" t="inlineStr">
        <is>
          <t>TAHMIN (emsal yok) – emsal bulunamadı; mevcut tahmin korundu</t>
        </is>
      </c>
      <c r="M22" s="7" t="inlineStr">
        <is>
          <t>İdare: kabin splitleri sıra 143 kabin fiyatında</t>
        </is>
      </c>
    </row>
    <row r="23">
      <c r="A23" s="48" t="inlineStr">
        <is>
          <t>161</t>
        </is>
      </c>
      <c r="B23" s="48" t="inlineStr">
        <is>
          <t>6001.C</t>
        </is>
      </c>
      <c r="C23" s="48" t="inlineStr">
        <is>
          <t>Eyüp Peygamber İstasyonu Isıtma Soğutma Sistemi (1 set)</t>
        </is>
      </c>
      <c r="D23" s="48" t="n"/>
      <c r="E23" s="48" t="n"/>
      <c r="F23" s="48" t="n"/>
      <c r="G23" s="48" t="n"/>
      <c r="H23" s="48" t="inlineStr">
        <is>
          <t>RFQ tutarı →</t>
        </is>
      </c>
      <c r="I23" s="49">
        <f>SUMPRODUCT(E24:E31,I24:I31)</f>
        <v/>
      </c>
      <c r="J23" s="49">
        <f>SUM(J24:J31)</f>
        <v/>
      </c>
      <c r="K23" s="48" t="n"/>
      <c r="L23" s="48" t="n"/>
      <c r="M23" s="48" t="n"/>
    </row>
    <row r="24" outlineLevel="1">
      <c r="A24" s="27" t="n"/>
      <c r="B24" s="27" t="inlineStr">
        <is>
          <t>6001.C</t>
        </is>
      </c>
      <c r="C24" s="7" t="inlineStr">
        <is>
          <t>Split klima duvar tipi inverter IU-1/DU-1, 5 kW soğutma, R410A, dış ünite dahil komple (pano odası)</t>
        </is>
      </c>
      <c r="D24" s="27" t="inlineStr">
        <is>
          <t>adet</t>
        </is>
      </c>
      <c r="E24" s="50" t="n">
        <v>2</v>
      </c>
      <c r="F24" s="50" t="n">
        <v>2</v>
      </c>
      <c r="G24" s="27" t="inlineStr">
        <is>
          <t>-</t>
        </is>
      </c>
      <c r="H24" s="50">
        <f>F24</f>
        <v/>
      </c>
      <c r="I24" s="51" t="n">
        <v>1885.16</v>
      </c>
      <c r="J24" s="28">
        <f>H24*I24</f>
        <v/>
      </c>
      <c r="K24" s="52" t="inlineStr">
        <is>
          <t>GEÇMİŞ TEKLİF UYARLAMA</t>
        </is>
      </c>
      <c r="L24" s="7" t="inlineStr">
        <is>
          <t>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is>
      </c>
      <c r="M24" s="7" t="inlineStr"/>
    </row>
    <row r="25" outlineLevel="1">
      <c r="A25" s="27" t="n"/>
      <c r="B25" s="27" t="inlineStr">
        <is>
          <t>6001.C</t>
        </is>
      </c>
      <c r="C25" s="7" t="inlineStr">
        <is>
          <t>Split klima bakır boru izolasyonlu (sıvı+gaz çifti 1/4"-1/2") + bağlantı kablosu</t>
        </is>
      </c>
      <c r="D25" s="27" t="inlineStr">
        <is>
          <t>m</t>
        </is>
      </c>
      <c r="E25" s="50" t="n">
        <v>6</v>
      </c>
      <c r="F25" s="50" t="n">
        <v>6</v>
      </c>
      <c r="G25" s="27" t="inlineStr">
        <is>
          <t>fire+%30</t>
        </is>
      </c>
      <c r="H25" s="50">
        <f>F25/IF(Varsayimlar!$B$21=1,1.43,1)</f>
        <v/>
      </c>
      <c r="I25" s="51" t="n">
        <v>31.58</v>
      </c>
      <c r="J25" s="28">
        <f>H25*I25</f>
        <v/>
      </c>
      <c r="K25" s="52" t="inlineStr">
        <is>
          <t>GEÇMİŞ TEKLİF UYARLAMA</t>
        </is>
      </c>
      <c r="L25" s="7" t="inlineStr">
        <is>
          <t>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is>
      </c>
      <c r="M25" s="7" t="inlineStr">
        <is>
          <t>İlk tahmin BF 22.00</t>
        </is>
      </c>
    </row>
    <row r="26" outlineLevel="1">
      <c r="A26" s="27" t="n"/>
      <c r="B26" s="27" t="inlineStr">
        <is>
          <t>6001.C</t>
        </is>
      </c>
      <c r="C26" s="7" t="inlineStr">
        <is>
          <t>Klima yoğuşma drenaj borusu PVC/PPRC Ø20-25 (hatta bırakılacak)</t>
        </is>
      </c>
      <c r="D26" s="27" t="inlineStr">
        <is>
          <t>m</t>
        </is>
      </c>
      <c r="E26" s="50" t="n">
        <v>5</v>
      </c>
      <c r="F26" s="50" t="n">
        <v>5</v>
      </c>
      <c r="G26" s="27" t="inlineStr">
        <is>
          <t>fire+%30</t>
        </is>
      </c>
      <c r="H26" s="50">
        <f>F26/IF(Varsayimlar!$B$21=1,1.43,1)</f>
        <v/>
      </c>
      <c r="I26" s="51" t="n">
        <v>3.61</v>
      </c>
      <c r="J26" s="28">
        <f>H26*I26</f>
        <v/>
      </c>
      <c r="K26" s="52" t="inlineStr">
        <is>
          <t>GEÇMİŞ TEKLİF UYARLAMA</t>
        </is>
      </c>
      <c r="L26" s="7" t="inlineStr">
        <is>
          <t>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is>
      </c>
      <c r="M26" s="7" t="inlineStr">
        <is>
          <t>Ref malzeme fiyatı; montajlı | İlk tahmin BF 5.00</t>
        </is>
      </c>
    </row>
    <row r="27" outlineLevel="1">
      <c r="A27" s="27" t="n"/>
      <c r="B27" s="27" t="inlineStr">
        <is>
          <t>6001.C</t>
        </is>
      </c>
      <c r="C27" s="7" t="inlineStr">
        <is>
          <t>DU montaj konsolu + titreşim takozu, kablolu kumanda, montaj-test-devreye alma</t>
        </is>
      </c>
      <c r="D27" s="27" t="inlineStr">
        <is>
          <t>takım</t>
        </is>
      </c>
      <c r="E27" s="50" t="n">
        <v>1</v>
      </c>
      <c r="F27" s="50" t="n">
        <v>1</v>
      </c>
      <c r="G27" s="27" t="inlineStr">
        <is>
          <t>-</t>
        </is>
      </c>
      <c r="H27" s="50">
        <f>F27</f>
        <v/>
      </c>
      <c r="I27" s="51" t="n">
        <v>150</v>
      </c>
      <c r="J27" s="28">
        <f>H27*I27</f>
        <v/>
      </c>
      <c r="K27" s="53" t="inlineStr">
        <is>
          <t>MÜHENDİSLİK TAHMİNİ</t>
        </is>
      </c>
      <c r="L27" s="7" t="inlineStr">
        <is>
          <t>TAHMIN (emsal yok) – emsal bulunamadı; mevcut tahmin korundu</t>
        </is>
      </c>
      <c r="M27" s="7" t="inlineStr"/>
    </row>
    <row r="28" outlineLevel="1">
      <c r="A28" s="27" t="n"/>
      <c r="B28" s="27" t="inlineStr">
        <is>
          <t>6001.C</t>
        </is>
      </c>
      <c r="C28" s="7" t="inlineStr">
        <is>
          <t>Güvenlik kabini split klima inverter ~2,5 kW duvar tipi, R410A, dış ünite dahil + kapı/pencere kontak sistemi</t>
        </is>
      </c>
      <c r="D28" s="27" t="inlineStr">
        <is>
          <t>adet</t>
        </is>
      </c>
      <c r="E28" s="50" t="n">
        <v>2</v>
      </c>
      <c r="F28" s="54" t="n">
        <v>0</v>
      </c>
      <c r="G28" s="27" t="inlineStr">
        <is>
          <t>-</t>
        </is>
      </c>
      <c r="H28" s="50">
        <f>F28</f>
        <v/>
      </c>
      <c r="I28" s="51" t="n">
        <v>763.91</v>
      </c>
      <c r="J28" s="28">
        <f>H28*I28</f>
        <v/>
      </c>
      <c r="K28" s="55" t="inlineStr">
        <is>
          <t>KAPSAM DIŞI (0)</t>
        </is>
      </c>
      <c r="L28" s="7" t="inlineStr">
        <is>
          <t>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is>
      </c>
      <c r="M28" s="7" t="inlineStr">
        <is>
          <t>İdare: kabin splitleri sıra 143 kabin fiyatında | İlk tahmin BF 950.00</t>
        </is>
      </c>
    </row>
    <row r="29" outlineLevel="1">
      <c r="A29" s="27" t="n"/>
      <c r="B29" s="27" t="inlineStr">
        <is>
          <t>6001.C</t>
        </is>
      </c>
      <c r="C29" s="7" t="inlineStr">
        <is>
          <t>Güvenlik kabini split bakır boru izolasyonlu (1/4"-3/8") + bağlantı kablosu</t>
        </is>
      </c>
      <c r="D29" s="27" t="inlineStr">
        <is>
          <t>m</t>
        </is>
      </c>
      <c r="E29" s="50" t="n">
        <v>6</v>
      </c>
      <c r="F29" s="54" t="n">
        <v>0</v>
      </c>
      <c r="G29" s="27" t="inlineStr">
        <is>
          <t>fire+%30</t>
        </is>
      </c>
      <c r="H29" s="50">
        <f>F29/IF(Varsayimlar!$B$21=1,1.43,1)</f>
        <v/>
      </c>
      <c r="I29" s="51" t="n">
        <v>26.27</v>
      </c>
      <c r="J29" s="28">
        <f>H29*I29</f>
        <v/>
      </c>
      <c r="K29" s="55" t="inlineStr">
        <is>
          <t>KAPSAM DIŞI (0)</t>
        </is>
      </c>
      <c r="L29" s="7" t="inlineStr">
        <is>
          <t>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is>
      </c>
      <c r="M29" s="7" t="inlineStr">
        <is>
          <t>İdare: kabin splitleri sıra 143 kabin fiyatında | İlk tahmin BF 18.00</t>
        </is>
      </c>
    </row>
    <row r="30" outlineLevel="1">
      <c r="A30" s="27" t="n"/>
      <c r="B30" s="27" t="inlineStr">
        <is>
          <t>6001.C</t>
        </is>
      </c>
      <c r="C30" s="7" t="inlineStr">
        <is>
          <t>Güvenlik kabini split yoğuşma drenaj borusu PVC Ø20</t>
        </is>
      </c>
      <c r="D30" s="27" t="inlineStr">
        <is>
          <t>m</t>
        </is>
      </c>
      <c r="E30" s="50" t="n">
        <v>5</v>
      </c>
      <c r="F30" s="54" t="n">
        <v>0</v>
      </c>
      <c r="G30" s="27" t="inlineStr">
        <is>
          <t>fire+%30</t>
        </is>
      </c>
      <c r="H30" s="50">
        <f>F30/IF(Varsayimlar!$B$21=1,1.43,1)</f>
        <v/>
      </c>
      <c r="I30" s="51" t="n">
        <v>2.04</v>
      </c>
      <c r="J30" s="28">
        <f>H30*I30</f>
        <v/>
      </c>
      <c r="K30" s="55" t="inlineStr">
        <is>
          <t>KAPSAM DIŞI (0)</t>
        </is>
      </c>
      <c r="L30" s="7" t="inlineStr">
        <is>
          <t>REF-derin – R05820 Kocaeli KentMey.Tram/FER 2015 2.17; R05910 Kocaeli KentMey.Tram/Mertsan 2015 1.91 | medyan 2.04 (PVC Ø20 klima drenajı) = 2.04 € | mevcut REF 5.00 (-59.3%) düzeltildi [Emsal ID: R05820;R05910]</t>
        </is>
      </c>
      <c r="M30" s="7" t="inlineStr">
        <is>
          <t>İdare: kabin splitleri sıra 143 kabin fiyatında | İlk tahmin BF 5.00</t>
        </is>
      </c>
    </row>
    <row r="31" outlineLevel="1">
      <c r="A31" s="27" t="n"/>
      <c r="B31" s="27" t="inlineStr">
        <is>
          <t>6001.C</t>
        </is>
      </c>
      <c r="C31" s="7" t="inlineStr">
        <is>
          <t>Güvenlik kabini split DU konsolu + titreşim takozu + kablolu kumanda + kontak rölesi, montaj-devreye alma</t>
        </is>
      </c>
      <c r="D31" s="27" t="inlineStr">
        <is>
          <t>takım</t>
        </is>
      </c>
      <c r="E31" s="50" t="n">
        <v>1</v>
      </c>
      <c r="F31" s="54" t="n">
        <v>0</v>
      </c>
      <c r="G31" s="27" t="inlineStr">
        <is>
          <t>-</t>
        </is>
      </c>
      <c r="H31" s="50">
        <f>F31</f>
        <v/>
      </c>
      <c r="I31" s="51" t="n">
        <v>120</v>
      </c>
      <c r="J31" s="28">
        <f>H31*I31</f>
        <v/>
      </c>
      <c r="K31" s="55" t="inlineStr">
        <is>
          <t>KAPSAM DIŞI (0)</t>
        </is>
      </c>
      <c r="L31" s="7" t="inlineStr">
        <is>
          <t>TAHMIN (emsal yok) – emsal bulunamadı; mevcut tahmin korundu</t>
        </is>
      </c>
      <c r="M31" s="7" t="inlineStr">
        <is>
          <t>İdare: kabin splitleri sıra 143 kabin fiyatında</t>
        </is>
      </c>
    </row>
    <row r="32">
      <c r="A32" s="48" t="inlineStr">
        <is>
          <t>162</t>
        </is>
      </c>
      <c r="B32" s="48" t="inlineStr">
        <is>
          <t>6001.D</t>
        </is>
      </c>
      <c r="C32" s="48" t="inlineStr">
        <is>
          <t>Balıklıgöl İstasyonu Isıtma Soğutma Sistemi (1 set)</t>
        </is>
      </c>
      <c r="D32" s="48" t="n"/>
      <c r="E32" s="48" t="n"/>
      <c r="F32" s="48" t="n"/>
      <c r="G32" s="48" t="n"/>
      <c r="H32" s="48" t="inlineStr">
        <is>
          <t>RFQ tutarı →</t>
        </is>
      </c>
      <c r="I32" s="49">
        <f>SUMPRODUCT(E33:E40,I33:I40)</f>
        <v/>
      </c>
      <c r="J32" s="49">
        <f>SUM(J33:J40)</f>
        <v/>
      </c>
      <c r="K32" s="48" t="n"/>
      <c r="L32" s="48" t="n"/>
      <c r="M32" s="48" t="n"/>
    </row>
    <row r="33" outlineLevel="1">
      <c r="A33" s="27" t="n"/>
      <c r="B33" s="27" t="inlineStr">
        <is>
          <t>6001.D</t>
        </is>
      </c>
      <c r="C33" s="7" t="inlineStr">
        <is>
          <t>Split klima duvar tipi inverter IU-1/DU-1, 5 kW soğutma, R410A, dış ünite dahil komple (pano odası)</t>
        </is>
      </c>
      <c r="D33" s="27" t="inlineStr">
        <is>
          <t>adet</t>
        </is>
      </c>
      <c r="E33" s="50" t="n">
        <v>2</v>
      </c>
      <c r="F33" s="50" t="n">
        <v>2</v>
      </c>
      <c r="G33" s="27" t="inlineStr">
        <is>
          <t>-</t>
        </is>
      </c>
      <c r="H33" s="50">
        <f>F33</f>
        <v/>
      </c>
      <c r="I33" s="51" t="n">
        <v>1885.16</v>
      </c>
      <c r="J33" s="28">
        <f>H33*I33</f>
        <v/>
      </c>
      <c r="K33" s="52" t="inlineStr">
        <is>
          <t>GEÇMİŞ TEKLİF UYARLAMA</t>
        </is>
      </c>
      <c r="L33" s="7" t="inlineStr">
        <is>
          <t>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is>
      </c>
      <c r="M33" s="7" t="inlineStr"/>
    </row>
    <row r="34" outlineLevel="1">
      <c r="A34" s="27" t="n"/>
      <c r="B34" s="27" t="inlineStr">
        <is>
          <t>6001.D</t>
        </is>
      </c>
      <c r="C34" s="7" t="inlineStr">
        <is>
          <t>Split klima bakır boru izolasyonlu (sıvı+gaz çifti 1/4"-1/2") + bağlantı kablosu</t>
        </is>
      </c>
      <c r="D34" s="27" t="inlineStr">
        <is>
          <t>m</t>
        </is>
      </c>
      <c r="E34" s="50" t="n">
        <v>6</v>
      </c>
      <c r="F34" s="50" t="n">
        <v>6</v>
      </c>
      <c r="G34" s="27" t="inlineStr">
        <is>
          <t>fire+%30</t>
        </is>
      </c>
      <c r="H34" s="50">
        <f>F34/IF(Varsayimlar!$B$21=1,1.43,1)</f>
        <v/>
      </c>
      <c r="I34" s="51" t="n">
        <v>31.58</v>
      </c>
      <c r="J34" s="28">
        <f>H34*I34</f>
        <v/>
      </c>
      <c r="K34" s="52" t="inlineStr">
        <is>
          <t>GEÇMİŞ TEKLİF UYARLAMA</t>
        </is>
      </c>
      <c r="L34" s="7" t="inlineStr">
        <is>
          <t>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is>
      </c>
      <c r="M34" s="7" t="inlineStr">
        <is>
          <t>İlk tahmin BF 22.00</t>
        </is>
      </c>
    </row>
    <row r="35" outlineLevel="1">
      <c r="A35" s="27" t="n"/>
      <c r="B35" s="27" t="inlineStr">
        <is>
          <t>6001.D</t>
        </is>
      </c>
      <c r="C35" s="7" t="inlineStr">
        <is>
          <t>Klima yoğuşma drenaj borusu PVC/PPRC Ø20-25 (hatta bırakılacak)</t>
        </is>
      </c>
      <c r="D35" s="27" t="inlineStr">
        <is>
          <t>m</t>
        </is>
      </c>
      <c r="E35" s="50" t="n">
        <v>5</v>
      </c>
      <c r="F35" s="50" t="n">
        <v>5</v>
      </c>
      <c r="G35" s="27" t="inlineStr">
        <is>
          <t>fire+%30</t>
        </is>
      </c>
      <c r="H35" s="50">
        <f>F35/IF(Varsayimlar!$B$21=1,1.43,1)</f>
        <v/>
      </c>
      <c r="I35" s="51" t="n">
        <v>3.61</v>
      </c>
      <c r="J35" s="28">
        <f>H35*I35</f>
        <v/>
      </c>
      <c r="K35" s="52" t="inlineStr">
        <is>
          <t>GEÇMİŞ TEKLİF UYARLAMA</t>
        </is>
      </c>
      <c r="L35" s="7" t="inlineStr">
        <is>
          <t>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is>
      </c>
      <c r="M35" s="7" t="inlineStr">
        <is>
          <t>Ref malzeme fiyatı; montajlı | İlk tahmin BF 5.00</t>
        </is>
      </c>
    </row>
    <row r="36" outlineLevel="1">
      <c r="A36" s="27" t="n"/>
      <c r="B36" s="27" t="inlineStr">
        <is>
          <t>6001.D</t>
        </is>
      </c>
      <c r="C36" s="7" t="inlineStr">
        <is>
          <t>DU montaj konsolu + titreşim takozu, kablolu kumanda, montaj-test-devreye alma</t>
        </is>
      </c>
      <c r="D36" s="27" t="inlineStr">
        <is>
          <t>takım</t>
        </is>
      </c>
      <c r="E36" s="50" t="n">
        <v>1</v>
      </c>
      <c r="F36" s="50" t="n">
        <v>1</v>
      </c>
      <c r="G36" s="27" t="inlineStr">
        <is>
          <t>-</t>
        </is>
      </c>
      <c r="H36" s="50">
        <f>F36</f>
        <v/>
      </c>
      <c r="I36" s="51" t="n">
        <v>150</v>
      </c>
      <c r="J36" s="28">
        <f>H36*I36</f>
        <v/>
      </c>
      <c r="K36" s="53" t="inlineStr">
        <is>
          <t>MÜHENDİSLİK TAHMİNİ</t>
        </is>
      </c>
      <c r="L36" s="7" t="inlineStr">
        <is>
          <t>TAHMIN (emsal yok) – emsal bulunamadı; mevcut tahmin korundu</t>
        </is>
      </c>
      <c r="M36" s="7" t="inlineStr"/>
    </row>
    <row r="37" outlineLevel="1">
      <c r="A37" s="27" t="n"/>
      <c r="B37" s="27" t="inlineStr">
        <is>
          <t>6001.D</t>
        </is>
      </c>
      <c r="C37" s="7" t="inlineStr">
        <is>
          <t>Güvenlik kabini split klima inverter ~2,5 kW duvar tipi, R410A, dış ünite dahil + kapı/pencere kontak sistemi</t>
        </is>
      </c>
      <c r="D37" s="27" t="inlineStr">
        <is>
          <t>adet</t>
        </is>
      </c>
      <c r="E37" s="50" t="n">
        <v>2</v>
      </c>
      <c r="F37" s="54" t="n">
        <v>0</v>
      </c>
      <c r="G37" s="27" t="inlineStr">
        <is>
          <t>-</t>
        </is>
      </c>
      <c r="H37" s="50">
        <f>F37</f>
        <v/>
      </c>
      <c r="I37" s="51" t="n">
        <v>763.91</v>
      </c>
      <c r="J37" s="28">
        <f>H37*I37</f>
        <v/>
      </c>
      <c r="K37" s="55" t="inlineStr">
        <is>
          <t>KAPSAM DIŞI (0)</t>
        </is>
      </c>
      <c r="L37" s="7" t="inlineStr">
        <is>
          <t>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is>
      </c>
      <c r="M37" s="7" t="inlineStr">
        <is>
          <t>İdare: kabin splitleri sıra 143 kabin fiyatında | İlk tahmin BF 950.00</t>
        </is>
      </c>
    </row>
    <row r="38" outlineLevel="1">
      <c r="A38" s="27" t="n"/>
      <c r="B38" s="27" t="inlineStr">
        <is>
          <t>6001.D</t>
        </is>
      </c>
      <c r="C38" s="7" t="inlineStr">
        <is>
          <t>Güvenlik kabini split bakır boru izolasyonlu (1/4"-3/8") + bağlantı kablosu</t>
        </is>
      </c>
      <c r="D38" s="27" t="inlineStr">
        <is>
          <t>m</t>
        </is>
      </c>
      <c r="E38" s="50" t="n">
        <v>6</v>
      </c>
      <c r="F38" s="54" t="n">
        <v>0</v>
      </c>
      <c r="G38" s="27" t="inlineStr">
        <is>
          <t>fire+%30</t>
        </is>
      </c>
      <c r="H38" s="50">
        <f>F38/IF(Varsayimlar!$B$21=1,1.43,1)</f>
        <v/>
      </c>
      <c r="I38" s="51" t="n">
        <v>26.27</v>
      </c>
      <c r="J38" s="28">
        <f>H38*I38</f>
        <v/>
      </c>
      <c r="K38" s="55" t="inlineStr">
        <is>
          <t>KAPSAM DIŞI (0)</t>
        </is>
      </c>
      <c r="L38" s="7" t="inlineStr">
        <is>
          <t>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is>
      </c>
      <c r="M38" s="7" t="inlineStr">
        <is>
          <t>İdare: kabin splitleri sıra 143 kabin fiyatında | İlk tahmin BF 18.00</t>
        </is>
      </c>
    </row>
    <row r="39" outlineLevel="1">
      <c r="A39" s="27" t="n"/>
      <c r="B39" s="27" t="inlineStr">
        <is>
          <t>6001.D</t>
        </is>
      </c>
      <c r="C39" s="7" t="inlineStr">
        <is>
          <t>Güvenlik kabini split yoğuşma drenaj borusu PVC Ø20</t>
        </is>
      </c>
      <c r="D39" s="27" t="inlineStr">
        <is>
          <t>m</t>
        </is>
      </c>
      <c r="E39" s="50" t="n">
        <v>5</v>
      </c>
      <c r="F39" s="54" t="n">
        <v>0</v>
      </c>
      <c r="G39" s="27" t="inlineStr">
        <is>
          <t>fire+%30</t>
        </is>
      </c>
      <c r="H39" s="50">
        <f>F39/IF(Varsayimlar!$B$21=1,1.43,1)</f>
        <v/>
      </c>
      <c r="I39" s="51" t="n">
        <v>2.04</v>
      </c>
      <c r="J39" s="28">
        <f>H39*I39</f>
        <v/>
      </c>
      <c r="K39" s="55" t="inlineStr">
        <is>
          <t>KAPSAM DIŞI (0)</t>
        </is>
      </c>
      <c r="L39" s="7" t="inlineStr">
        <is>
          <t>REF-derin – R05820 Kocaeli KentMey.Tram/FER 2015 2.17; R05910 Kocaeli KentMey.Tram/Mertsan 2015 1.91 | medyan 2.04 (PVC Ø20 klima drenajı) = 2.04 € | mevcut REF 5.00 (-59.3%) düzeltildi [Emsal ID: R05820;R05910]</t>
        </is>
      </c>
      <c r="M39" s="7" t="inlineStr">
        <is>
          <t>İdare: kabin splitleri sıra 143 kabin fiyatında | İlk tahmin BF 5.00</t>
        </is>
      </c>
    </row>
    <row r="40" outlineLevel="1">
      <c r="A40" s="27" t="n"/>
      <c r="B40" s="27" t="inlineStr">
        <is>
          <t>6001.D</t>
        </is>
      </c>
      <c r="C40" s="7" t="inlineStr">
        <is>
          <t>Güvenlik kabini split DU konsolu + titreşim takozu + kablolu kumanda + kontak rölesi, montaj-devreye alma</t>
        </is>
      </c>
      <c r="D40" s="27" t="inlineStr">
        <is>
          <t>takım</t>
        </is>
      </c>
      <c r="E40" s="50" t="n">
        <v>1</v>
      </c>
      <c r="F40" s="54" t="n">
        <v>0</v>
      </c>
      <c r="G40" s="27" t="inlineStr">
        <is>
          <t>-</t>
        </is>
      </c>
      <c r="H40" s="50">
        <f>F40</f>
        <v/>
      </c>
      <c r="I40" s="51" t="n">
        <v>120</v>
      </c>
      <c r="J40" s="28">
        <f>H40*I40</f>
        <v/>
      </c>
      <c r="K40" s="55" t="inlineStr">
        <is>
          <t>KAPSAM DIŞI (0)</t>
        </is>
      </c>
      <c r="L40" s="7" t="inlineStr">
        <is>
          <t>TAHMIN (emsal yok) – emsal bulunamadı; mevcut tahmin korundu</t>
        </is>
      </c>
      <c r="M40" s="7" t="inlineStr">
        <is>
          <t>İdare: kabin splitleri sıra 143 kabin fiyatında</t>
        </is>
      </c>
    </row>
    <row r="41">
      <c r="A41" s="48" t="inlineStr">
        <is>
          <t>163</t>
        </is>
      </c>
      <c r="B41" s="48" t="inlineStr">
        <is>
          <t>6001.E</t>
        </is>
      </c>
      <c r="C41" s="48" t="inlineStr">
        <is>
          <t>Hızmalı Köprüsü İstasyonu Isıtma Soğutma Sistemi (1 set)</t>
        </is>
      </c>
      <c r="D41" s="48" t="n"/>
      <c r="E41" s="48" t="n"/>
      <c r="F41" s="48" t="n"/>
      <c r="G41" s="48" t="n"/>
      <c r="H41" s="48" t="inlineStr">
        <is>
          <t>RFQ tutarı →</t>
        </is>
      </c>
      <c r="I41" s="49">
        <f>SUMPRODUCT(E42:E49,I42:I49)</f>
        <v/>
      </c>
      <c r="J41" s="49">
        <f>SUM(J42:J49)</f>
        <v/>
      </c>
      <c r="K41" s="48" t="n"/>
      <c r="L41" s="48" t="n"/>
      <c r="M41" s="48" t="n"/>
    </row>
    <row r="42" outlineLevel="1">
      <c r="A42" s="27" t="n"/>
      <c r="B42" s="27" t="inlineStr">
        <is>
          <t>6001.E</t>
        </is>
      </c>
      <c r="C42" s="7" t="inlineStr">
        <is>
          <t>Split klima duvar tipi inverter IU-1/DU-1, 5 kW soğutma, R410A, dış ünite dahil komple (pano odası)</t>
        </is>
      </c>
      <c r="D42" s="27" t="inlineStr">
        <is>
          <t>adet</t>
        </is>
      </c>
      <c r="E42" s="50" t="n">
        <v>2</v>
      </c>
      <c r="F42" s="50" t="n">
        <v>2</v>
      </c>
      <c r="G42" s="27" t="inlineStr">
        <is>
          <t>-</t>
        </is>
      </c>
      <c r="H42" s="50">
        <f>F42</f>
        <v/>
      </c>
      <c r="I42" s="51" t="n">
        <v>1885.16</v>
      </c>
      <c r="J42" s="28">
        <f>H42*I42</f>
        <v/>
      </c>
      <c r="K42" s="52" t="inlineStr">
        <is>
          <t>GEÇMİŞ TEKLİF UYARLAMA</t>
        </is>
      </c>
      <c r="L42" s="7" t="inlineStr">
        <is>
          <t>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is>
      </c>
      <c r="M42" s="7" t="inlineStr"/>
    </row>
    <row r="43" outlineLevel="1">
      <c r="A43" s="27" t="n"/>
      <c r="B43" s="27" t="inlineStr">
        <is>
          <t>6001.E</t>
        </is>
      </c>
      <c r="C43" s="7" t="inlineStr">
        <is>
          <t>Split klima bakır boru izolasyonlu (sıvı+gaz çifti 1/4"-1/2") + bağlantı kablosu</t>
        </is>
      </c>
      <c r="D43" s="27" t="inlineStr">
        <is>
          <t>m</t>
        </is>
      </c>
      <c r="E43" s="50" t="n">
        <v>6</v>
      </c>
      <c r="F43" s="50" t="n">
        <v>6</v>
      </c>
      <c r="G43" s="27" t="inlineStr">
        <is>
          <t>fire+%30</t>
        </is>
      </c>
      <c r="H43" s="50">
        <f>F43/IF(Varsayimlar!$B$21=1,1.43,1)</f>
        <v/>
      </c>
      <c r="I43" s="51" t="n">
        <v>31.58</v>
      </c>
      <c r="J43" s="28">
        <f>H43*I43</f>
        <v/>
      </c>
      <c r="K43" s="52" t="inlineStr">
        <is>
          <t>GEÇMİŞ TEKLİF UYARLAMA</t>
        </is>
      </c>
      <c r="L43" s="7" t="inlineStr">
        <is>
          <t>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is>
      </c>
      <c r="M43" s="7" t="inlineStr">
        <is>
          <t>İlk tahmin BF 22.00</t>
        </is>
      </c>
    </row>
    <row r="44" outlineLevel="1">
      <c r="A44" s="27" t="n"/>
      <c r="B44" s="27" t="inlineStr">
        <is>
          <t>6001.E</t>
        </is>
      </c>
      <c r="C44" s="7" t="inlineStr">
        <is>
          <t>Klima yoğuşma drenaj borusu PVC/PPRC Ø20-25 (hatta bırakılacak)</t>
        </is>
      </c>
      <c r="D44" s="27" t="inlineStr">
        <is>
          <t>m</t>
        </is>
      </c>
      <c r="E44" s="50" t="n">
        <v>5</v>
      </c>
      <c r="F44" s="50" t="n">
        <v>5</v>
      </c>
      <c r="G44" s="27" t="inlineStr">
        <is>
          <t>fire+%30</t>
        </is>
      </c>
      <c r="H44" s="50">
        <f>F44/IF(Varsayimlar!$B$21=1,1.43,1)</f>
        <v/>
      </c>
      <c r="I44" s="51" t="n">
        <v>3.61</v>
      </c>
      <c r="J44" s="28">
        <f>H44*I44</f>
        <v/>
      </c>
      <c r="K44" s="52" t="inlineStr">
        <is>
          <t>GEÇMİŞ TEKLİF UYARLAMA</t>
        </is>
      </c>
      <c r="L44" s="7" t="inlineStr">
        <is>
          <t>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is>
      </c>
      <c r="M44" s="7" t="inlineStr">
        <is>
          <t>Ref malzeme fiyatı; montajlı | İlk tahmin BF 5.00</t>
        </is>
      </c>
    </row>
    <row r="45" outlineLevel="1">
      <c r="A45" s="27" t="n"/>
      <c r="B45" s="27" t="inlineStr">
        <is>
          <t>6001.E</t>
        </is>
      </c>
      <c r="C45" s="7" t="inlineStr">
        <is>
          <t>DU montaj konsolu + titreşim takozu, kablolu kumanda, montaj-test-devreye alma</t>
        </is>
      </c>
      <c r="D45" s="27" t="inlineStr">
        <is>
          <t>takım</t>
        </is>
      </c>
      <c r="E45" s="50" t="n">
        <v>1</v>
      </c>
      <c r="F45" s="50" t="n">
        <v>1</v>
      </c>
      <c r="G45" s="27" t="inlineStr">
        <is>
          <t>-</t>
        </is>
      </c>
      <c r="H45" s="50">
        <f>F45</f>
        <v/>
      </c>
      <c r="I45" s="51" t="n">
        <v>150</v>
      </c>
      <c r="J45" s="28">
        <f>H45*I45</f>
        <v/>
      </c>
      <c r="K45" s="53" t="inlineStr">
        <is>
          <t>MÜHENDİSLİK TAHMİNİ</t>
        </is>
      </c>
      <c r="L45" s="7" t="inlineStr">
        <is>
          <t>TAHMIN (emsal yok) – emsal bulunamadı; mevcut tahmin korundu</t>
        </is>
      </c>
      <c r="M45" s="7" t="inlineStr"/>
    </row>
    <row r="46" outlineLevel="1">
      <c r="A46" s="27" t="n"/>
      <c r="B46" s="27" t="inlineStr">
        <is>
          <t>6001.E</t>
        </is>
      </c>
      <c r="C46" s="7" t="inlineStr">
        <is>
          <t>Güvenlik kabini split klima inverter ~2,5 kW duvar tipi, R410A, dış ünite dahil + kapı/pencere kontak sistemi</t>
        </is>
      </c>
      <c r="D46" s="27" t="inlineStr">
        <is>
          <t>adet</t>
        </is>
      </c>
      <c r="E46" s="50" t="n">
        <v>2</v>
      </c>
      <c r="F46" s="54" t="n">
        <v>0</v>
      </c>
      <c r="G46" s="27" t="inlineStr">
        <is>
          <t>-</t>
        </is>
      </c>
      <c r="H46" s="50">
        <f>F46</f>
        <v/>
      </c>
      <c r="I46" s="51" t="n">
        <v>763.91</v>
      </c>
      <c r="J46" s="28">
        <f>H46*I46</f>
        <v/>
      </c>
      <c r="K46" s="55" t="inlineStr">
        <is>
          <t>KAPSAM DIŞI (0)</t>
        </is>
      </c>
      <c r="L46" s="7" t="inlineStr">
        <is>
          <t>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is>
      </c>
      <c r="M46" s="7" t="inlineStr">
        <is>
          <t>İdare: kabin splitleri sıra 143 kabin fiyatında | İlk tahmin BF 950.00</t>
        </is>
      </c>
    </row>
    <row r="47" outlineLevel="1">
      <c r="A47" s="27" t="n"/>
      <c r="B47" s="27" t="inlineStr">
        <is>
          <t>6001.E</t>
        </is>
      </c>
      <c r="C47" s="7" t="inlineStr">
        <is>
          <t>Güvenlik kabini split bakır boru izolasyonlu (1/4"-3/8") + bağlantı kablosu</t>
        </is>
      </c>
      <c r="D47" s="27" t="inlineStr">
        <is>
          <t>m</t>
        </is>
      </c>
      <c r="E47" s="50" t="n">
        <v>6</v>
      </c>
      <c r="F47" s="54" t="n">
        <v>0</v>
      </c>
      <c r="G47" s="27" t="inlineStr">
        <is>
          <t>fire+%30</t>
        </is>
      </c>
      <c r="H47" s="50">
        <f>F47/IF(Varsayimlar!$B$21=1,1.43,1)</f>
        <v/>
      </c>
      <c r="I47" s="51" t="n">
        <v>26.27</v>
      </c>
      <c r="J47" s="28">
        <f>H47*I47</f>
        <v/>
      </c>
      <c r="K47" s="55" t="inlineStr">
        <is>
          <t>KAPSAM DIŞI (0)</t>
        </is>
      </c>
      <c r="L47" s="7" t="inlineStr">
        <is>
          <t>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is>
      </c>
      <c r="M47" s="7" t="inlineStr">
        <is>
          <t>İdare: kabin splitleri sıra 143 kabin fiyatında | İlk tahmin BF 18.00</t>
        </is>
      </c>
    </row>
    <row r="48" outlineLevel="1">
      <c r="A48" s="27" t="n"/>
      <c r="B48" s="27" t="inlineStr">
        <is>
          <t>6001.E</t>
        </is>
      </c>
      <c r="C48" s="7" t="inlineStr">
        <is>
          <t>Güvenlik kabini split yoğuşma drenaj borusu PVC Ø20</t>
        </is>
      </c>
      <c r="D48" s="27" t="inlineStr">
        <is>
          <t>m</t>
        </is>
      </c>
      <c r="E48" s="50" t="n">
        <v>5</v>
      </c>
      <c r="F48" s="54" t="n">
        <v>0</v>
      </c>
      <c r="G48" s="27" t="inlineStr">
        <is>
          <t>fire+%30</t>
        </is>
      </c>
      <c r="H48" s="50">
        <f>F48/IF(Varsayimlar!$B$21=1,1.43,1)</f>
        <v/>
      </c>
      <c r="I48" s="51" t="n">
        <v>2.04</v>
      </c>
      <c r="J48" s="28">
        <f>H48*I48</f>
        <v/>
      </c>
      <c r="K48" s="55" t="inlineStr">
        <is>
          <t>KAPSAM DIŞI (0)</t>
        </is>
      </c>
      <c r="L48" s="7" t="inlineStr">
        <is>
          <t>REF-derin – R05820 Kocaeli KentMey.Tram/FER 2015 2.17; R05910 Kocaeli KentMey.Tram/Mertsan 2015 1.91 | medyan 2.04 (PVC Ø20 klima drenajı) = 2.04 € | mevcut REF 5.00 (-59.3%) düzeltildi [Emsal ID: R05820;R05910]</t>
        </is>
      </c>
      <c r="M48" s="7" t="inlineStr">
        <is>
          <t>İdare: kabin splitleri sıra 143 kabin fiyatında | İlk tahmin BF 5.00</t>
        </is>
      </c>
    </row>
    <row r="49" outlineLevel="1">
      <c r="A49" s="27" t="n"/>
      <c r="B49" s="27" t="inlineStr">
        <is>
          <t>6001.E</t>
        </is>
      </c>
      <c r="C49" s="7" t="inlineStr">
        <is>
          <t>Güvenlik kabini split DU konsolu + titreşim takozu + kablolu kumanda + kontak rölesi, montaj-devreye alma</t>
        </is>
      </c>
      <c r="D49" s="27" t="inlineStr">
        <is>
          <t>takım</t>
        </is>
      </c>
      <c r="E49" s="50" t="n">
        <v>1</v>
      </c>
      <c r="F49" s="54" t="n">
        <v>0</v>
      </c>
      <c r="G49" s="27" t="inlineStr">
        <is>
          <t>-</t>
        </is>
      </c>
      <c r="H49" s="50">
        <f>F49</f>
        <v/>
      </c>
      <c r="I49" s="51" t="n">
        <v>120</v>
      </c>
      <c r="J49" s="28">
        <f>H49*I49</f>
        <v/>
      </c>
      <c r="K49" s="55" t="inlineStr">
        <is>
          <t>KAPSAM DIŞI (0)</t>
        </is>
      </c>
      <c r="L49" s="7" t="inlineStr">
        <is>
          <t>TAHMIN (emsal yok) – emsal bulunamadı; mevcut tahmin korundu</t>
        </is>
      </c>
      <c r="M49" s="7" t="inlineStr">
        <is>
          <t>İdare: kabin splitleri sıra 143 kabin fiyatında</t>
        </is>
      </c>
    </row>
    <row r="50">
      <c r="A50" s="48" t="inlineStr">
        <is>
          <t>164</t>
        </is>
      </c>
      <c r="B50" s="48" t="inlineStr">
        <is>
          <t>6001.F</t>
        </is>
      </c>
      <c r="C50" s="48" t="inlineStr">
        <is>
          <t>Göbeklitepe İstasyonu Isıtma Soğutma Sistemi (1 set)</t>
        </is>
      </c>
      <c r="D50" s="48" t="n"/>
      <c r="E50" s="48" t="n"/>
      <c r="F50" s="48" t="n"/>
      <c r="G50" s="48" t="n"/>
      <c r="H50" s="48" t="inlineStr">
        <is>
          <t>RFQ tutarı →</t>
        </is>
      </c>
      <c r="I50" s="49">
        <f>SUMPRODUCT(E51:E58,I51:I58)</f>
        <v/>
      </c>
      <c r="J50" s="49">
        <f>SUM(J51:J58)</f>
        <v/>
      </c>
      <c r="K50" s="48" t="n"/>
      <c r="L50" s="48" t="n"/>
      <c r="M50" s="48" t="n"/>
    </row>
    <row r="51" outlineLevel="1">
      <c r="A51" s="27" t="n"/>
      <c r="B51" s="27" t="inlineStr">
        <is>
          <t>6001.F</t>
        </is>
      </c>
      <c r="C51" s="7" t="inlineStr">
        <is>
          <t>Split klima duvar tipi inverter IU-1/DU-1, 5 kW soğutma, R410A, dış ünite dahil komple (pano odası)</t>
        </is>
      </c>
      <c r="D51" s="27" t="inlineStr">
        <is>
          <t>adet</t>
        </is>
      </c>
      <c r="E51" s="50" t="n">
        <v>3</v>
      </c>
      <c r="F51" s="50" t="n">
        <v>3</v>
      </c>
      <c r="G51" s="27" t="inlineStr">
        <is>
          <t>-</t>
        </is>
      </c>
      <c r="H51" s="50">
        <f>F51</f>
        <v/>
      </c>
      <c r="I51" s="51" t="n">
        <v>1885.16</v>
      </c>
      <c r="J51" s="28">
        <f>H51*I51</f>
        <v/>
      </c>
      <c r="K51" s="52" t="inlineStr">
        <is>
          <t>GEÇMİŞ TEKLİF UYARLAMA</t>
        </is>
      </c>
      <c r="L51" s="7" t="inlineStr">
        <is>
          <t>REF-teyit – 5 kW split M+İ: Bursa T2 Mertsan 1.885, FER 1.999, Kocaeli 1.814, Siirt 2025 1.712 → medyan 1.849; teyit [Emsal ID: R05927;R05819;R05514;R06147;R06027]</t>
        </is>
      </c>
      <c r="M51" s="7" t="inlineStr"/>
    </row>
    <row r="52" outlineLevel="1">
      <c r="A52" s="27" t="n"/>
      <c r="B52" s="27" t="inlineStr">
        <is>
          <t>6001.F</t>
        </is>
      </c>
      <c r="C52" s="7" t="inlineStr">
        <is>
          <t>Split klima bakır boru izolasyonlu (sıvı+gaz çifti 1/4"-1/2") + bağlantı kablosu</t>
        </is>
      </c>
      <c r="D52" s="27" t="inlineStr">
        <is>
          <t>m</t>
        </is>
      </c>
      <c r="E52" s="50" t="n">
        <v>11</v>
      </c>
      <c r="F52" s="50" t="n">
        <v>11</v>
      </c>
      <c r="G52" s="27" t="inlineStr">
        <is>
          <t>fire+%30</t>
        </is>
      </c>
      <c r="H52" s="50">
        <f>F52/IF(Varsayimlar!$B$21=1,1.43,1)</f>
        <v/>
      </c>
      <c r="I52" s="51" t="n">
        <v>31.58</v>
      </c>
      <c r="J52" s="28">
        <f>H52*I52</f>
        <v/>
      </c>
      <c r="K52" s="52" t="inlineStr">
        <is>
          <t>GEÇMİŞ TEKLİF UYARLAMA</t>
        </is>
      </c>
      <c r="L52" s="7" t="inlineStr">
        <is>
          <t>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is>
      </c>
      <c r="M52" s="7" t="inlineStr">
        <is>
          <t>İlk tahmin BF 22.00</t>
        </is>
      </c>
    </row>
    <row r="53" outlineLevel="1">
      <c r="A53" s="27" t="n"/>
      <c r="B53" s="27" t="inlineStr">
        <is>
          <t>6001.F</t>
        </is>
      </c>
      <c r="C53" s="7" t="inlineStr">
        <is>
          <t>Klima yoğuşma drenaj borusu PVC/PPRC Ø20-25 (hatta bırakılacak)</t>
        </is>
      </c>
      <c r="D53" s="27" t="inlineStr">
        <is>
          <t>m</t>
        </is>
      </c>
      <c r="E53" s="50" t="n">
        <v>9</v>
      </c>
      <c r="F53" s="50" t="n">
        <v>9</v>
      </c>
      <c r="G53" s="27" t="inlineStr">
        <is>
          <t>fire+%30</t>
        </is>
      </c>
      <c r="H53" s="50">
        <f>F53/IF(Varsayimlar!$B$21=1,1.43,1)</f>
        <v/>
      </c>
      <c r="I53" s="51" t="n">
        <v>3.61</v>
      </c>
      <c r="J53" s="28">
        <f>H53*I53</f>
        <v/>
      </c>
      <c r="K53" s="52" t="inlineStr">
        <is>
          <t>GEÇMİŞ TEKLİF UYARLAMA</t>
        </is>
      </c>
      <c r="L53" s="7" t="inlineStr">
        <is>
          <t>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is>
      </c>
      <c r="M53" s="7" t="inlineStr">
        <is>
          <t>Ref malzeme fiyatı; montajlı | İlk tahmin BF 5.00</t>
        </is>
      </c>
    </row>
    <row r="54" outlineLevel="1">
      <c r="A54" s="27" t="n"/>
      <c r="B54" s="27" t="inlineStr">
        <is>
          <t>6001.F</t>
        </is>
      </c>
      <c r="C54" s="7" t="inlineStr">
        <is>
          <t>DU montaj konsolu + titreşim takozu, kablolu kumanda, montaj-test-devreye alma</t>
        </is>
      </c>
      <c r="D54" s="27" t="inlineStr">
        <is>
          <t>takım</t>
        </is>
      </c>
      <c r="E54" s="50" t="n">
        <v>2</v>
      </c>
      <c r="F54" s="50" t="n">
        <v>2</v>
      </c>
      <c r="G54" s="27" t="inlineStr">
        <is>
          <t>-</t>
        </is>
      </c>
      <c r="H54" s="50">
        <f>F54</f>
        <v/>
      </c>
      <c r="I54" s="51" t="n">
        <v>150</v>
      </c>
      <c r="J54" s="28">
        <f>H54*I54</f>
        <v/>
      </c>
      <c r="K54" s="53" t="inlineStr">
        <is>
          <t>MÜHENDİSLİK TAHMİNİ</t>
        </is>
      </c>
      <c r="L54" s="7" t="inlineStr">
        <is>
          <t>TAHMIN (emsal yok) – emsal bulunamadı; mevcut tahmin korundu</t>
        </is>
      </c>
      <c r="M54" s="7" t="inlineStr"/>
    </row>
    <row r="55" outlineLevel="1">
      <c r="A55" s="27" t="n"/>
      <c r="B55" s="27" t="inlineStr">
        <is>
          <t>6001.F</t>
        </is>
      </c>
      <c r="C55" s="7" t="inlineStr">
        <is>
          <t>Güvenlik kabini split klima inverter ~2,5 kW duvar tipi, R410A, dış ünite dahil + kapı/pencere kontak sistemi</t>
        </is>
      </c>
      <c r="D55" s="27" t="inlineStr">
        <is>
          <t>adet</t>
        </is>
      </c>
      <c r="E55" s="50" t="n">
        <v>2</v>
      </c>
      <c r="F55" s="54" t="n">
        <v>0</v>
      </c>
      <c r="G55" s="27" t="inlineStr">
        <is>
          <t>-</t>
        </is>
      </c>
      <c r="H55" s="50">
        <f>F55</f>
        <v/>
      </c>
      <c r="I55" s="51" t="n">
        <v>763.91</v>
      </c>
      <c r="J55" s="28">
        <f>H55*I55</f>
        <v/>
      </c>
      <c r="K55" s="55" t="inlineStr">
        <is>
          <t>KAPSAM DIŞI (0)</t>
        </is>
      </c>
      <c r="L55" s="7" t="inlineStr">
        <is>
          <t>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is>
      </c>
      <c r="M55" s="7" t="inlineStr">
        <is>
          <t>İdare: kabin splitleri sıra 143 kabin fiyatında | İlk tahmin BF 950.00</t>
        </is>
      </c>
    </row>
    <row r="56" outlineLevel="1">
      <c r="A56" s="27" t="n"/>
      <c r="B56" s="27" t="inlineStr">
        <is>
          <t>6001.F</t>
        </is>
      </c>
      <c r="C56" s="7" t="inlineStr">
        <is>
          <t>Güvenlik kabini split bakır boru izolasyonlu (1/4"-3/8") + bağlantı kablosu</t>
        </is>
      </c>
      <c r="D56" s="27" t="inlineStr">
        <is>
          <t>m</t>
        </is>
      </c>
      <c r="E56" s="50" t="n">
        <v>6</v>
      </c>
      <c r="F56" s="54" t="n">
        <v>0</v>
      </c>
      <c r="G56" s="27" t="inlineStr">
        <is>
          <t>fire+%30</t>
        </is>
      </c>
      <c r="H56" s="50">
        <f>F56/IF(Varsayimlar!$B$21=1,1.43,1)</f>
        <v/>
      </c>
      <c r="I56" s="51" t="n">
        <v>26.27</v>
      </c>
      <c r="J56" s="28">
        <f>H56*I56</f>
        <v/>
      </c>
      <c r="K56" s="55" t="inlineStr">
        <is>
          <t>KAPSAM DIŞI (0)</t>
        </is>
      </c>
      <c r="L56" s="7" t="inlineStr">
        <is>
          <t>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is>
      </c>
      <c r="M56" s="7" t="inlineStr">
        <is>
          <t>İdare: kabin splitleri sıra 143 kabin fiyatında | İlk tahmin BF 18.00</t>
        </is>
      </c>
    </row>
    <row r="57" outlineLevel="1">
      <c r="A57" s="27" t="n"/>
      <c r="B57" s="27" t="inlineStr">
        <is>
          <t>6001.F</t>
        </is>
      </c>
      <c r="C57" s="7" t="inlineStr">
        <is>
          <t>Güvenlik kabini split yoğuşma drenaj borusu PVC Ø20</t>
        </is>
      </c>
      <c r="D57" s="27" t="inlineStr">
        <is>
          <t>m</t>
        </is>
      </c>
      <c r="E57" s="50" t="n">
        <v>5</v>
      </c>
      <c r="F57" s="54" t="n">
        <v>0</v>
      </c>
      <c r="G57" s="27" t="inlineStr">
        <is>
          <t>fire+%30</t>
        </is>
      </c>
      <c r="H57" s="50">
        <f>F57/IF(Varsayimlar!$B$21=1,1.43,1)</f>
        <v/>
      </c>
      <c r="I57" s="51" t="n">
        <v>2.04</v>
      </c>
      <c r="J57" s="28">
        <f>H57*I57</f>
        <v/>
      </c>
      <c r="K57" s="55" t="inlineStr">
        <is>
          <t>KAPSAM DIŞI (0)</t>
        </is>
      </c>
      <c r="L57" s="7" t="inlineStr">
        <is>
          <t>REF-derin – R05820 Kocaeli KentMey.Tram/FER 2015 2.17; R05910 Kocaeli KentMey.Tram/Mertsan 2015 1.91 | medyan 2.04 (PVC Ø20 klima drenajı) = 2.04 € | mevcut REF 5.00 (-59.3%) düzeltildi [Emsal ID: R05820;R05910]</t>
        </is>
      </c>
      <c r="M57" s="7" t="inlineStr">
        <is>
          <t>İdare: kabin splitleri sıra 143 kabin fiyatında | İlk tahmin BF 5.00</t>
        </is>
      </c>
    </row>
    <row r="58" outlineLevel="1">
      <c r="A58" s="27" t="n"/>
      <c r="B58" s="27" t="inlineStr">
        <is>
          <t>6001.F</t>
        </is>
      </c>
      <c r="C58" s="7" t="inlineStr">
        <is>
          <t>Güvenlik kabini split DU konsolu + titreşim takozu + kablolu kumanda + kontak rölesi, montaj-devreye alma</t>
        </is>
      </c>
      <c r="D58" s="27" t="inlineStr">
        <is>
          <t>takım</t>
        </is>
      </c>
      <c r="E58" s="50" t="n">
        <v>1</v>
      </c>
      <c r="F58" s="54" t="n">
        <v>0</v>
      </c>
      <c r="G58" s="27" t="inlineStr">
        <is>
          <t>-</t>
        </is>
      </c>
      <c r="H58" s="50">
        <f>F58</f>
        <v/>
      </c>
      <c r="I58" s="51" t="n">
        <v>120</v>
      </c>
      <c r="J58" s="28">
        <f>H58*I58</f>
        <v/>
      </c>
      <c r="K58" s="55" t="inlineStr">
        <is>
          <t>KAPSAM DIŞI (0)</t>
        </is>
      </c>
      <c r="L58" s="7" t="inlineStr">
        <is>
          <t>TAHMIN (emsal yok) – emsal bulunamadı; mevcut tahmin korundu</t>
        </is>
      </c>
      <c r="M58" s="7" t="inlineStr">
        <is>
          <t>İdare: kabin splitleri sıra 143 kabin fiyatında</t>
        </is>
      </c>
    </row>
    <row r="59">
      <c r="A59" s="48" t="inlineStr">
        <is>
          <t>165</t>
        </is>
      </c>
      <c r="B59" s="48" t="inlineStr">
        <is>
          <t>6001.G</t>
        </is>
      </c>
      <c r="C59" s="48" t="inlineStr">
        <is>
          <t>Trafo Binaları Isıtma Soğutma Sistemi (4 set)</t>
        </is>
      </c>
      <c r="D59" s="48" t="n"/>
      <c r="E59" s="48" t="n"/>
      <c r="F59" s="48" t="n"/>
      <c r="G59" s="48" t="n"/>
      <c r="H59" s="48" t="inlineStr">
        <is>
          <t>RFQ tutarı →</t>
        </is>
      </c>
      <c r="I59" s="49">
        <f>SUMPRODUCT(E60:E71,I60:I71)</f>
        <v/>
      </c>
      <c r="J59" s="49">
        <f>SUM(J60:J71)</f>
        <v/>
      </c>
      <c r="K59" s="48" t="n"/>
      <c r="L59" s="48" t="n"/>
      <c r="M59" s="48" t="n"/>
    </row>
    <row r="60" outlineLevel="1">
      <c r="A60" s="27" t="n"/>
      <c r="B60" s="27" t="inlineStr">
        <is>
          <t>6001.G</t>
        </is>
      </c>
      <c r="C60" s="7" t="inlineStr">
        <is>
          <t>VRF iç ünite kanallı tavan tipi IU-01, 9,0/10,0 kW, R410A, drenaj pompasız, uzaktan kumandalı</t>
        </is>
      </c>
      <c r="D60" s="27" t="inlineStr">
        <is>
          <t>adet</t>
        </is>
      </c>
      <c r="E60" s="50" t="n">
        <v>2</v>
      </c>
      <c r="F60" s="50" t="n">
        <v>2</v>
      </c>
      <c r="G60" s="27" t="inlineStr">
        <is>
          <t>-</t>
        </is>
      </c>
      <c r="H60" s="50">
        <f>F60</f>
        <v/>
      </c>
      <c r="I60" s="51" t="n">
        <v>1425.83</v>
      </c>
      <c r="J60" s="28">
        <f>H60*I60</f>
        <v/>
      </c>
      <c r="K60" s="52" t="inlineStr">
        <is>
          <t>GEÇMİŞ TEKLİF UYARLAMA</t>
        </is>
      </c>
      <c r="L60" s="7" t="inlineStr">
        <is>
          <t>REF-teyit – R05502 Kocaeli KentMey.Tram/Uluhanlar 2015 1296.00; R05595 Kocaeli KentMey.Tram/bilinmiyor 2015 1252.75; R05810 Kocaeli KentMey.Tram/FER 2015 1425.83; R05906 Kocaeli KentMey.Tram/Mertsan 2015 1381.71 | medyan 1338.85 (9-10 kW VRF iç ünite (kaset≈kanallı)) = 1338.85 € | sapma -6.1% ≤%10 → mevcut REF teyit [Emsal ID: R05502;R05595;R05810;R05906]</t>
        </is>
      </c>
      <c r="M60" s="7" t="inlineStr"/>
    </row>
    <row r="61" outlineLevel="1">
      <c r="A61" s="27" t="n"/>
      <c r="B61" s="27" t="inlineStr">
        <is>
          <t>6001.G</t>
        </is>
      </c>
      <c r="C61" s="7" t="inlineStr">
        <is>
          <t>VRF iç ünite kanallı tavan tipi IU-02, 14,0/16,0 kW, R410A</t>
        </is>
      </c>
      <c r="D61" s="27" t="inlineStr">
        <is>
          <t>adet</t>
        </is>
      </c>
      <c r="E61" s="50" t="n">
        <v>15</v>
      </c>
      <c r="F61" s="50" t="n">
        <v>15</v>
      </c>
      <c r="G61" s="27" t="inlineStr">
        <is>
          <t>%30</t>
        </is>
      </c>
      <c r="H61" s="50">
        <f>F61/IF(Varsayimlar!$B$21=1,1.3,1)</f>
        <v/>
      </c>
      <c r="I61" s="51" t="n">
        <v>1779</v>
      </c>
      <c r="J61" s="28">
        <f>H61*I61</f>
        <v/>
      </c>
      <c r="K61" s="52" t="inlineStr">
        <is>
          <t>GEÇMİŞ TEKLİF UYARLAMA</t>
        </is>
      </c>
      <c r="L61" s="7" t="inlineStr">
        <is>
          <t>REF-derin – 14–16 kW iç ünite: Kocaeli Uluhanlar 1.779, MHI 1.518, Mitsubishi kanallı PEFY-P140 2.218 → medyan 1.779 [Emsal ID: R05503;R05596;R06197]</t>
        </is>
      </c>
      <c r="M61" s="7" t="inlineStr">
        <is>
          <t>14 kW kanallı; 9 kW ile tutarlı montajlı fiyat | İlk tahmin BF 1,850.00</t>
        </is>
      </c>
    </row>
    <row r="62" outlineLevel="1">
      <c r="A62" s="27" t="n"/>
      <c r="B62" s="27" t="inlineStr">
        <is>
          <t>6001.G</t>
        </is>
      </c>
      <c r="C62" s="7" t="inlineStr">
        <is>
          <t>VRF dış ünite DU-01, 78/87 kW, 23,1 kW, 380V (1 asıl + 1 yedek)</t>
        </is>
      </c>
      <c r="D62" s="27" t="inlineStr">
        <is>
          <t>adet</t>
        </is>
      </c>
      <c r="E62" s="50" t="n">
        <v>2</v>
      </c>
      <c r="F62" s="50" t="n">
        <v>2</v>
      </c>
      <c r="G62" s="27" t="inlineStr">
        <is>
          <t>-</t>
        </is>
      </c>
      <c r="H62" s="50">
        <f>F62</f>
        <v/>
      </c>
      <c r="I62" s="51" t="n">
        <v>17400</v>
      </c>
      <c r="J62" s="28">
        <f>H62*I62</f>
        <v/>
      </c>
      <c r="K62" s="52" t="inlineStr">
        <is>
          <t>GEÇMİŞ TEKLİF UYARLAMA</t>
        </is>
      </c>
      <c r="L62" s="7" t="inlineStr">
        <is>
          <t>REF-derin – VRF dış ünite (kW^0,8 ile 78 kW'a): Kocaeli Daikin 84 kW 19.933, MHI 19.591, Siirt 2025 15.209, Arçelik 2021 10.516 → medyan 17.400 (mevcut 21.961 yüksek) [Emsal ID: R05497;R05590;R06136;R05289]</t>
        </is>
      </c>
      <c r="M62" s="7" t="inlineStr">
        <is>
          <t>İlk tahmin BF 21,960.96</t>
        </is>
      </c>
    </row>
    <row r="63" outlineLevel="1">
      <c r="A63" s="27" t="n"/>
      <c r="B63" s="27" t="inlineStr">
        <is>
          <t>6001.G</t>
        </is>
      </c>
      <c r="C63" s="7" t="inlineStr">
        <is>
          <t>VRF dış ünite DU-02, 84/94 kW, 24,7 kW, 380V (1 asıl + 1 yedek)</t>
        </is>
      </c>
      <c r="D63" s="27" t="inlineStr">
        <is>
          <t>adet</t>
        </is>
      </c>
      <c r="E63" s="50" t="n">
        <v>2</v>
      </c>
      <c r="F63" s="50" t="n">
        <v>2</v>
      </c>
      <c r="G63" s="27" t="inlineStr">
        <is>
          <t>-</t>
        </is>
      </c>
      <c r="H63" s="50">
        <f>F63</f>
        <v/>
      </c>
      <c r="I63" s="51" t="n">
        <v>18463</v>
      </c>
      <c r="J63" s="28">
        <f>H63*I63</f>
        <v/>
      </c>
      <c r="K63" s="52" t="inlineStr">
        <is>
          <t>GEÇMİŞ TEKLİF UYARLAMA</t>
        </is>
      </c>
      <c r="L63" s="7" t="inlineStr">
        <is>
          <t>REF-derin – VRF dış ünite 84 kW: Kocaeli Daikin 21.151, MHI 20.787, Siirt 2025 ölçekli 16.138, Arçelik 11.159 → medyan 18.463 [Emsal ID: R05497;R05590;R06136;R05289]</t>
        </is>
      </c>
      <c r="M63" s="7" t="inlineStr">
        <is>
          <t>84 kW; 78 kW DU-01 ile kW oranında tutarlı | İlk tahmin BF 23,500.00</t>
        </is>
      </c>
    </row>
    <row r="64" outlineLevel="1">
      <c r="A64" s="27" t="n"/>
      <c r="B64" s="27" t="inlineStr">
        <is>
          <t>6001.G</t>
        </is>
      </c>
      <c r="C64" s="7" t="inlineStr">
        <is>
          <t>VRF bakır boru hattı (izolasyonlu sıvı/gaz çifti 3/8"-5/8" … 3/4"-1 3/8") + refnet/branş kitleri</t>
        </is>
      </c>
      <c r="D64" s="27" t="inlineStr">
        <is>
          <t>m</t>
        </is>
      </c>
      <c r="E64" s="50" t="n">
        <v>102</v>
      </c>
      <c r="F64" s="50" t="n">
        <v>102</v>
      </c>
      <c r="G64" s="27" t="inlineStr">
        <is>
          <t>fire+%30</t>
        </is>
      </c>
      <c r="H64" s="50">
        <f>F64/IF(Varsayimlar!$B$21=1,1.43,1)</f>
        <v/>
      </c>
      <c r="I64" s="51" t="n">
        <v>45.97</v>
      </c>
      <c r="J64" s="28">
        <f>H64*I64</f>
        <v/>
      </c>
      <c r="K64" s="52" t="inlineStr">
        <is>
          <t>GEÇMİŞ TEKLİF UYARLAMA</t>
        </is>
      </c>
      <c r="L64" s="7" t="inlineStr">
        <is>
          <t>REF-derin – Bakır boru (izoleli, M+İ) firma bazında çift fiyatı: Uluhanlar 38.68; Yapıray-alt 50.51; FER 51.15; Mertsan 41.43 | medyan 45.97 (proje çap dağılımı ağırlıklı, &gt;1 1/8" doğrusal ekstrapolasyon) = 45.97 € [Emsal ID: R05506;R05507;R05508;R05509;R05510;R05599;R05600;R05601;R05602;R05603;R05604;R05605;R05606;R05814;R05815;R05816;R05817;R05912;R05913;R05914;R05915]</t>
        </is>
      </c>
      <c r="M64" s="7" t="inlineStr">
        <is>
          <t>VRF büyük çaplı izoleli boru | İlk tahmin BF 32.00</t>
        </is>
      </c>
    </row>
    <row r="65" outlineLevel="1">
      <c r="A65" s="27" t="n"/>
      <c r="B65" s="27" t="inlineStr">
        <is>
          <t>6001.G</t>
        </is>
      </c>
      <c r="C65" s="7" t="inlineStr">
        <is>
          <t>Refnet (branş) kiti</t>
        </is>
      </c>
      <c r="D65" s="27" t="inlineStr">
        <is>
          <t>adet</t>
        </is>
      </c>
      <c r="E65" s="50" t="n">
        <v>10</v>
      </c>
      <c r="F65" s="50" t="n">
        <v>10</v>
      </c>
      <c r="G65" s="27" t="inlineStr">
        <is>
          <t>-</t>
        </is>
      </c>
      <c r="H65" s="50">
        <f>F65</f>
        <v/>
      </c>
      <c r="I65" s="51" t="n">
        <v>80.12</v>
      </c>
      <c r="J65" s="28">
        <f>H65*I65</f>
        <v/>
      </c>
      <c r="K65" s="52" t="inlineStr">
        <is>
          <t>GEÇMİŞ TEKLİF UYARLAMA</t>
        </is>
      </c>
      <c r="L65" s="7" t="inlineStr">
        <is>
          <t>REF-derin – R05511 Kocaeli KentMey.Tram/Uluhanlar 2015 66.25; R05512 Kocaeli KentMey.Tram/Uluhanlar 2015 129.51; R05607 Kocaeli KentMey.Tram/bilinmiyor 2015 77.14; R05608 Kocaeli KentMey.Tram/bilinmiyor 2015 122.10; R05609 Kocaeli KentMey.Tram/bilinmiyor 2015 157.21; R05909 Kocaeli KentMey.Tram/Mertsan 2015 77.18; +1 emsal | medyan 80.12 (VRF joint/refnet kitleri) = 80.12 € [Emsal ID: R05511;R05512;R05607;R05608;R05609;R05909;R06146]</t>
        </is>
      </c>
      <c r="M65" s="7" t="inlineStr">
        <is>
          <t>İlk tahmin BF 220.00</t>
        </is>
      </c>
    </row>
    <row r="66" outlineLevel="1">
      <c r="A66" s="27" t="n"/>
      <c r="B66" s="27" t="inlineStr">
        <is>
          <t>6001.G</t>
        </is>
      </c>
      <c r="C66" s="7" t="inlineStr">
        <is>
          <t>Soğutucu akışkan R410A ilave şarj</t>
        </is>
      </c>
      <c r="D66" s="27" t="inlineStr">
        <is>
          <t>kg</t>
        </is>
      </c>
      <c r="E66" s="50" t="n">
        <v>20</v>
      </c>
      <c r="F66" s="50" t="n">
        <v>20</v>
      </c>
      <c r="G66" s="27" t="inlineStr">
        <is>
          <t>-</t>
        </is>
      </c>
      <c r="H66" s="50">
        <f>F66</f>
        <v/>
      </c>
      <c r="I66" s="51" t="n">
        <v>25</v>
      </c>
      <c r="J66" s="28">
        <f>H66*I66</f>
        <v/>
      </c>
      <c r="K66" s="53" t="inlineStr">
        <is>
          <t>MÜHENDİSLİK TAHMİNİ</t>
        </is>
      </c>
      <c r="L66" s="7" t="inlineStr">
        <is>
          <t>TAHMIN (emsal yok) – emsal bulunamadı; mevcut tahmin korundu</t>
        </is>
      </c>
      <c r="M66" s="7" t="inlineStr"/>
    </row>
    <row r="67" outlineLevel="1">
      <c r="A67" s="27" t="n"/>
      <c r="B67" s="27" t="inlineStr">
        <is>
          <t>6001.G</t>
        </is>
      </c>
      <c r="C67" s="7" t="inlineStr">
        <is>
          <t>Kanallı iç ünite üfleme kanalı (galvaniz sac) + menfez/difüzör</t>
        </is>
      </c>
      <c r="D67" s="27" t="inlineStr">
        <is>
          <t>m²</t>
        </is>
      </c>
      <c r="E67" s="50" t="n">
        <v>52</v>
      </c>
      <c r="F67" s="50" t="n">
        <v>52</v>
      </c>
      <c r="G67" s="27" t="inlineStr">
        <is>
          <t>%30</t>
        </is>
      </c>
      <c r="H67" s="50">
        <f>F67/IF(Varsayimlar!$B$21=1,1.3,1)</f>
        <v/>
      </c>
      <c r="I67" s="51" t="n">
        <v>40.36</v>
      </c>
      <c r="J67" s="28">
        <f>H67*I67</f>
        <v/>
      </c>
      <c r="K67" s="52" t="inlineStr">
        <is>
          <t>GEÇMİŞ TEKLİF UYARLAMA</t>
        </is>
      </c>
      <c r="L67" s="7" t="inlineStr">
        <is>
          <t>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menfez/difüzör payı) = 40.36 € [Emsal ID: R05313;R05314;R05404;R05488;R05489;R05580;R05581;R05799]</t>
        </is>
      </c>
      <c r="M67" s="7" t="inlineStr">
        <is>
          <t>Kanal ~35 €/m² + menfez payı | İlk tahmin BF 42.00</t>
        </is>
      </c>
    </row>
    <row r="68" outlineLevel="1">
      <c r="A68" s="27" t="n"/>
      <c r="B68" s="27" t="inlineStr">
        <is>
          <t>6001.G</t>
        </is>
      </c>
      <c r="C68" s="7" t="inlineStr">
        <is>
          <t>Kablolu VRF kumandası + merkezi kontrol/BMS-SCADA ara yüz modülü</t>
        </is>
      </c>
      <c r="D68" s="27" t="inlineStr">
        <is>
          <t>adet</t>
        </is>
      </c>
      <c r="E68" s="50" t="n">
        <v>13</v>
      </c>
      <c r="F68" s="50" t="n">
        <v>13</v>
      </c>
      <c r="G68" s="27" t="inlineStr">
        <is>
          <t>%30</t>
        </is>
      </c>
      <c r="H68" s="50">
        <f>F68/IF(Varsayimlar!$B$21=1,1.3,1)</f>
        <v/>
      </c>
      <c r="I68" s="51" t="n">
        <v>230.24</v>
      </c>
      <c r="J68" s="28">
        <f>H68*I68</f>
        <v/>
      </c>
      <c r="K68" s="52" t="inlineStr">
        <is>
          <t>GEÇMİŞ TEKLİF UYARLAMA</t>
        </is>
      </c>
      <c r="L68" s="7" t="inlineStr">
        <is>
          <t>REF-derin – Kablolu kumanda: R05298 İzmir Buca Metro/Alp 2021 54.50; R05504 Kocaeli KentMey.Tram/Uluhanlar 2015 110.84; R05907 Kocaeli KentMey.Tram/Mertsan 2015 93.15; R06140 Siirt-Kurtalan DY/Yamaner 2025 117.00; +2 emsal → medyan 92.73; merkezi kontrol (50 iç ünite): R05505 Kocaeli KentMey.Tram/Uluhanlar 2015 1466.52; R05908 Kocaeli KentMey.Tram/Mertsan 2015 1375.06; R06141 Siirt-Kurtalan DY/Yamaner 2025 3468.39; +2 emsal → medyan 1375.06/10 ünite = 137.51 = 230.24 € [Emsal ID: R05298;R05504;R05907;R06140;R05597;R05811;R05505;R05908;R06141;R05598;R05812]</t>
        </is>
      </c>
      <c r="M68" s="7" t="inlineStr">
        <is>
          <t>Kumanda + merkezi kontrol payı | İlk tahmin BF 220.00</t>
        </is>
      </c>
    </row>
    <row r="69" outlineLevel="1">
      <c r="A69" s="27" t="n"/>
      <c r="B69" s="27" t="inlineStr">
        <is>
          <t>6001.G</t>
        </is>
      </c>
      <c r="C69" s="7" t="inlineStr">
        <is>
          <t>Klima kondens drenaj borusu PPRC DN25/DN32 (tretuvara tahliye)</t>
        </is>
      </c>
      <c r="D69" s="27" t="inlineStr">
        <is>
          <t>m</t>
        </is>
      </c>
      <c r="E69" s="50" t="n">
        <v>75</v>
      </c>
      <c r="F69" s="50" t="n">
        <v>75</v>
      </c>
      <c r="G69" s="27" t="inlineStr">
        <is>
          <t>fire+%30</t>
        </is>
      </c>
      <c r="H69" s="50">
        <f>F69/IF(Varsayimlar!$B$21=1,1.43,1)</f>
        <v/>
      </c>
      <c r="I69" s="51" t="n">
        <v>4.99</v>
      </c>
      <c r="J69" s="28">
        <f>H69*I69</f>
        <v/>
      </c>
      <c r="K69" s="52" t="inlineStr">
        <is>
          <t>GEÇMİŞ TEKLİF UYARLAMA</t>
        </is>
      </c>
      <c r="L69" s="7" t="inlineStr">
        <is>
          <t>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 mevcut REF 8.00 (-37.7%) düzeltildi [Emsal ID: R05360;R05461;R05555;R05768;R05866;R06007;R06108;R05462;R05556;R05769;R05867;R06109]</t>
        </is>
      </c>
      <c r="M69" s="7" t="inlineStr">
        <is>
          <t>Ref malzeme fiyatı; montajlı | İlk tahmin BF 8.00</t>
        </is>
      </c>
    </row>
    <row r="70" outlineLevel="1">
      <c r="A70" s="27" t="n"/>
      <c r="B70" s="27" t="inlineStr">
        <is>
          <t>6001.G</t>
        </is>
      </c>
      <c r="C70" s="7" t="inlineStr">
        <is>
          <t>DU beton kaide/çelik taşıyıcı + titreşim takozları</t>
        </is>
      </c>
      <c r="D70" s="27" t="inlineStr">
        <is>
          <t>takım</t>
        </is>
      </c>
      <c r="E70" s="50" t="n">
        <v>4</v>
      </c>
      <c r="F70" s="50" t="n">
        <v>4</v>
      </c>
      <c r="G70" s="27" t="inlineStr">
        <is>
          <t>-</t>
        </is>
      </c>
      <c r="H70" s="50">
        <f>F70</f>
        <v/>
      </c>
      <c r="I70" s="51" t="n">
        <v>450</v>
      </c>
      <c r="J70" s="28">
        <f>H70*I70</f>
        <v/>
      </c>
      <c r="K70" s="53" t="inlineStr">
        <is>
          <t>MÜHENDİSLİK TAHMİNİ</t>
        </is>
      </c>
      <c r="L70" s="7" t="inlineStr">
        <is>
          <t>TAHMIN (emsal yok) – emsal bulunamadı; mevcut tahmin korundu</t>
        </is>
      </c>
      <c r="M70" s="7" t="inlineStr"/>
    </row>
    <row r="71" outlineLevel="1">
      <c r="A71" s="27" t="n"/>
      <c r="B71" s="27" t="inlineStr">
        <is>
          <t>6001.G</t>
        </is>
      </c>
      <c r="C71" s="7" t="inlineStr">
        <is>
          <t>Mekanik (klima) besleme/MCC panosu</t>
        </is>
      </c>
      <c r="D71" s="27" t="inlineStr">
        <is>
          <t>adet</t>
        </is>
      </c>
      <c r="E71" s="50" t="n">
        <v>1</v>
      </c>
      <c r="F71" s="50" t="n">
        <v>1</v>
      </c>
      <c r="G71" s="27" t="inlineStr">
        <is>
          <t>-</t>
        </is>
      </c>
      <c r="H71" s="50">
        <f>F71</f>
        <v/>
      </c>
      <c r="I71" s="51" t="n">
        <v>6000</v>
      </c>
      <c r="J71" s="28">
        <f>H71*I71</f>
        <v/>
      </c>
      <c r="K71" s="53" t="inlineStr">
        <is>
          <t>MÜHENDİSLİK TAHMİNİ</t>
        </is>
      </c>
      <c r="L71" s="7" t="inlineStr">
        <is>
          <t>TAHMIN (emsal yok) – Doğrudan emsal yok (TEDAK metro MCC ortalama 2.534 küçük pano); 6.000 makul</t>
        </is>
      </c>
      <c r="M71" s="7" t="inlineStr"/>
    </row>
    <row r="72">
      <c r="A72" s="48" t="inlineStr">
        <is>
          <t>166</t>
        </is>
      </c>
      <c r="B72" s="48" t="inlineStr">
        <is>
          <t>6001.H</t>
        </is>
      </c>
      <c r="C72" s="48" t="inlineStr">
        <is>
          <t>Depo-Kontrol Binaları Isıtma Soğutma Sistemi (1 set)</t>
        </is>
      </c>
      <c r="D72" s="48" t="n"/>
      <c r="E72" s="48" t="n"/>
      <c r="F72" s="48" t="n"/>
      <c r="G72" s="48" t="n"/>
      <c r="H72" s="48" t="inlineStr">
        <is>
          <t>RFQ tutarı →</t>
        </is>
      </c>
      <c r="I72" s="49">
        <f>SUMPRODUCT(E73:E104,I73:I104)</f>
        <v/>
      </c>
      <c r="J72" s="49">
        <f>SUM(J73:J104)</f>
        <v/>
      </c>
      <c r="K72" s="48" t="n"/>
      <c r="L72" s="48" t="n"/>
      <c r="M72" s="48" t="n"/>
    </row>
    <row r="73" outlineLevel="1">
      <c r="A73" s="27" t="n"/>
      <c r="B73" s="27" t="inlineStr">
        <is>
          <t>6001.H</t>
        </is>
      </c>
      <c r="C73" s="7" t="inlineStr">
        <is>
          <t>D01 VRF iç ünite IU-1 4 yöne üflemeli kaset 2,5 kW (ofisler)</t>
        </is>
      </c>
      <c r="D73" s="27" t="inlineStr">
        <is>
          <t>adet</t>
        </is>
      </c>
      <c r="E73" s="50" t="n">
        <v>17</v>
      </c>
      <c r="F73" s="50" t="n">
        <v>17</v>
      </c>
      <c r="G73" s="27" t="inlineStr">
        <is>
          <t>%30</t>
        </is>
      </c>
      <c r="H73" s="50">
        <f>F73/IF(Varsayimlar!$B$21=1,1.3,1)</f>
        <v/>
      </c>
      <c r="I73" s="51" t="n">
        <v>909</v>
      </c>
      <c r="J73" s="28">
        <f>H73*I73</f>
        <v/>
      </c>
      <c r="K73" s="52" t="inlineStr">
        <is>
          <t>GEÇMİŞ TEKLİF UYARLAMA</t>
        </is>
      </c>
      <c r="L73" s="7" t="inlineStr">
        <is>
          <t>REF-derin – 2,5 kW VRF kaset: Uluhanlar 949, MHI 914, FER 905, Mertsan 750 → medyan 909 (Siirt 2025 723) [Emsal ID: R05499;R05592;R05807;R05903;R06137]</t>
        </is>
      </c>
      <c r="M73" s="7" t="inlineStr">
        <is>
          <t>İlk tahmin BF 950.00</t>
        </is>
      </c>
    </row>
    <row r="74" outlineLevel="1">
      <c r="A74" s="27" t="n"/>
      <c r="B74" s="27" t="inlineStr">
        <is>
          <t>6001.H</t>
        </is>
      </c>
      <c r="C74" s="7" t="inlineStr">
        <is>
          <t>D01 VRF iç ünite IU-2 4 yöne üflemeli kaset 4,0 kW (ofisler)</t>
        </is>
      </c>
      <c r="D74" s="27" t="inlineStr">
        <is>
          <t>adet</t>
        </is>
      </c>
      <c r="E74" s="50" t="n">
        <v>12</v>
      </c>
      <c r="F74" s="50" t="n">
        <v>12</v>
      </c>
      <c r="G74" s="27" t="inlineStr">
        <is>
          <t>%30</t>
        </is>
      </c>
      <c r="H74" s="50">
        <f>F74/IF(Varsayimlar!$B$21=1,1.3,1)</f>
        <v/>
      </c>
      <c r="I74" s="51" t="n">
        <v>1004</v>
      </c>
      <c r="J74" s="28">
        <f>H74*I74</f>
        <v/>
      </c>
      <c r="K74" s="52" t="inlineStr">
        <is>
          <t>GEÇMİŞ TEKLİF UYARLAMA</t>
        </is>
      </c>
      <c r="L74" s="7" t="inlineStr">
        <is>
          <t>REF-derin – 4 kW VRF kaset: Uluhanlar 1.074, MHI 950, FER 935, Mertsan 1.058 → medyan 1.004 [Emsal ID: R05500;R05593;R05808;R05904;R06138]</t>
        </is>
      </c>
      <c r="M74" s="7" t="inlineStr">
        <is>
          <t>İlk tahmin BF 1,050.00</t>
        </is>
      </c>
    </row>
    <row r="75" outlineLevel="1">
      <c r="A75" s="27" t="n"/>
      <c r="B75" s="27" t="inlineStr">
        <is>
          <t>6001.H</t>
        </is>
      </c>
      <c r="C75" s="7" t="inlineStr">
        <is>
          <t>D01 VRF iç ünite IU-3 4 yöne üflemeli kaset 7,0 kW (ofisler)</t>
        </is>
      </c>
      <c r="D75" s="27" t="inlineStr">
        <is>
          <t>adet</t>
        </is>
      </c>
      <c r="E75" s="50" t="n">
        <v>15</v>
      </c>
      <c r="F75" s="50" t="n">
        <v>15</v>
      </c>
      <c r="G75" s="27" t="inlineStr">
        <is>
          <t>%30</t>
        </is>
      </c>
      <c r="H75" s="50">
        <f>F75/IF(Varsayimlar!$B$21=1,1.3,1)</f>
        <v/>
      </c>
      <c r="I75" s="51" t="n">
        <v>1278.29</v>
      </c>
      <c r="J75" s="28">
        <f>H75*I75</f>
        <v/>
      </c>
      <c r="K75" s="52" t="inlineStr">
        <is>
          <t>GEÇMİŞ TEKLİF UYARLAMA</t>
        </is>
      </c>
      <c r="L75" s="7" t="inlineStr">
        <is>
          <t>REF-teyit – 7 kW VRF kaset: Uluhanlar 1.160, MHI 1.133, FER 1.240, Mertsan 1.315 → medyan 1.200; teyit (±%6) [Emsal ID: R05501;R05594;R05809;R05905]</t>
        </is>
      </c>
      <c r="M75" s="7" t="inlineStr"/>
    </row>
    <row r="76" outlineLevel="1">
      <c r="A76" s="27" t="n"/>
      <c r="B76" s="27" t="inlineStr">
        <is>
          <t>6001.H</t>
        </is>
      </c>
      <c r="C76" s="7" t="inlineStr">
        <is>
          <t>D01 VRF iç ünite IU-4 duvar tipi 2,5 kW (atölye alanları)</t>
        </is>
      </c>
      <c r="D76" s="27" t="inlineStr">
        <is>
          <t>adet</t>
        </is>
      </c>
      <c r="E76" s="50" t="n">
        <v>8</v>
      </c>
      <c r="F76" s="50" t="n">
        <v>8</v>
      </c>
      <c r="G76" s="27" t="inlineStr">
        <is>
          <t>%30</t>
        </is>
      </c>
      <c r="H76" s="50">
        <f>F76/IF(Varsayimlar!$B$21=1,1.3,1)</f>
        <v/>
      </c>
      <c r="I76" s="51" t="n">
        <v>846.67</v>
      </c>
      <c r="J76" s="28">
        <f>H76*I76</f>
        <v/>
      </c>
      <c r="K76" s="52" t="inlineStr">
        <is>
          <t>GEÇMİŞ TEKLİF UYARLAMA</t>
        </is>
      </c>
      <c r="L76" s="7" t="inlineStr">
        <is>
          <t>REF-derin – R05806 Kocaeli KentMey.Tram/FER 2015 872.74; R05902 Kocaeli KentMey.Tram/Mertsan 2015 820.60 | medyan 846.67 (VRF duvar tipi 2,2-2,5 kW) = 846.67 € | mevcut REF 750.00 (+12.9%) düzeltildi [Emsal ID: R05806;R05902]</t>
        </is>
      </c>
      <c r="M76" s="7" t="inlineStr">
        <is>
          <t>Ref 11.526 hatalı (set/sistem); 2,5 kW duvar tipi | İlk tahmin BF 750.00</t>
        </is>
      </c>
    </row>
    <row r="77" outlineLevel="1">
      <c r="A77" s="27" t="n"/>
      <c r="B77" s="27" t="inlineStr">
        <is>
          <t>6001.H</t>
        </is>
      </c>
      <c r="C77" s="7" t="inlineStr">
        <is>
          <t>D01 VRF iç ünite IU-5 kanallı asma tavan 9,0 kW (yemekhane)</t>
        </is>
      </c>
      <c r="D77" s="27" t="inlineStr">
        <is>
          <t>adet</t>
        </is>
      </c>
      <c r="E77" s="50" t="n">
        <v>3</v>
      </c>
      <c r="F77" s="50" t="n">
        <v>3</v>
      </c>
      <c r="G77" s="27" t="inlineStr">
        <is>
          <t>%30</t>
        </is>
      </c>
      <c r="H77" s="50">
        <f>F77/IF(Varsayimlar!$B$21=1,1.3,1)</f>
        <v/>
      </c>
      <c r="I77" s="51" t="n">
        <v>1274.37</v>
      </c>
      <c r="J77" s="28">
        <f>H77*I77</f>
        <v/>
      </c>
      <c r="K77" s="52" t="inlineStr">
        <is>
          <t>GEÇMİŞ TEKLİF UYARLAMA</t>
        </is>
      </c>
      <c r="L77" s="7" t="inlineStr">
        <is>
          <t>REF-teyit – R05502 Kocaeli KentMey.Tram/Uluhanlar 2015 1296.00; R05595 Kocaeli KentMey.Tram/bilinmiyor 2015 1252.75; R05810 Kocaeli KentMey.Tram/FER 2015 1425.83; R05906 Kocaeli KentMey.Tram/Mertsan 2015 1381.71 | medyan 1338.85 (9 kW VRF iç ünite) = 1338.85 € | sapma +5.1% ≤%10 → mevcut REF teyit [Emsal ID: R05502;R05595;R05810;R05906]</t>
        </is>
      </c>
      <c r="M77" s="7" t="inlineStr"/>
    </row>
    <row r="78" outlineLevel="1">
      <c r="A78" s="27" t="n"/>
      <c r="B78" s="27" t="inlineStr">
        <is>
          <t>6001.H</t>
        </is>
      </c>
      <c r="C78" s="7" t="inlineStr">
        <is>
          <t>D01 VRF dış ünite modülü DU-1 inverter, 380V (teras) — sistem 78 kW = 2 çalışan + 2 yedek modül (~39 kW/modül)</t>
        </is>
      </c>
      <c r="D78" s="27" t="inlineStr">
        <is>
          <t>adet</t>
        </is>
      </c>
      <c r="E78" s="50" t="n">
        <v>4</v>
      </c>
      <c r="F78" s="50" t="n">
        <v>4</v>
      </c>
      <c r="G78" s="27" t="inlineStr">
        <is>
          <t>-</t>
        </is>
      </c>
      <c r="H78" s="50">
        <f>F78</f>
        <v/>
      </c>
      <c r="I78" s="51" t="n">
        <v>11455</v>
      </c>
      <c r="J78" s="28">
        <f>H78*I78</f>
        <v/>
      </c>
      <c r="K78" s="52" t="inlineStr">
        <is>
          <t>GEÇMİŞ TEKLİF UYARLAMA</t>
        </is>
      </c>
      <c r="L78" s="7" t="inlineStr">
        <is>
          <t>REF-derin – 39–40 kW VRF modül: Bursa T2 FER MHI 12.335, Mertsan 9.013, TREMS 11.455 → medyan 11.455 [Emsal ID: R05804;R05900;R05931;R06191]</t>
        </is>
      </c>
      <c r="M78" s="7" t="inlineStr">
        <is>
          <t>~39 kW modül; DU-01 78 kW fiyatı ile tutarlı | İlk tahmin BF 11,500.00</t>
        </is>
      </c>
    </row>
    <row r="79" outlineLevel="1">
      <c r="A79" s="27" t="n"/>
      <c r="B79" s="27" t="inlineStr">
        <is>
          <t>6001.H</t>
        </is>
      </c>
      <c r="C79" s="7" t="inlineStr">
        <is>
          <t>D01 VRF dış ünite modülü DU-2 inverter, 380V (teras) — sistem 84 kW = 2 çalışan + 2 yedek modül (~42 kW/modül)</t>
        </is>
      </c>
      <c r="D79" s="27" t="inlineStr">
        <is>
          <t>adet</t>
        </is>
      </c>
      <c r="E79" s="50" t="n">
        <v>4</v>
      </c>
      <c r="F79" s="50" t="n">
        <v>4</v>
      </c>
      <c r="G79" s="27" t="inlineStr">
        <is>
          <t>-</t>
        </is>
      </c>
      <c r="H79" s="50">
        <f>F79</f>
        <v/>
      </c>
      <c r="I79" s="51" t="n">
        <v>12391</v>
      </c>
      <c r="J79" s="28">
        <f>H79*I79</f>
        <v/>
      </c>
      <c r="K79" s="52" t="inlineStr">
        <is>
          <t>GEÇMİŞ TEKLİF UYARLAMA</t>
        </is>
      </c>
      <c r="L79" s="7" t="inlineStr">
        <is>
          <t>REF-derin – 42 kW: 40 kW medyan 11.455 ile 45 kW medyan (FER 13.794, Mertsan 10.717, TREMS 13.958) 13.794 arası enterpolasyon → 12.391 [Emsal ID: R05804;R05900;R05931;R05805;R05901;R05932]</t>
        </is>
      </c>
      <c r="M79" s="7" t="inlineStr">
        <is>
          <t>~42 kW modül | İlk tahmin BF 12,200.00</t>
        </is>
      </c>
    </row>
    <row r="80" outlineLevel="1">
      <c r="A80" s="27" t="n"/>
      <c r="B80" s="27" t="inlineStr">
        <is>
          <t>6001.H</t>
        </is>
      </c>
      <c r="C80" s="7" t="inlineStr">
        <is>
          <t>D01 Split klima inverter SP-1/DU-3 3,5 kW (elektrik odaları)</t>
        </is>
      </c>
      <c r="D80" s="27" t="inlineStr">
        <is>
          <t>adet</t>
        </is>
      </c>
      <c r="E80" s="50" t="n">
        <v>12</v>
      </c>
      <c r="F80" s="50" t="n">
        <v>12</v>
      </c>
      <c r="G80" s="27" t="inlineStr">
        <is>
          <t>-</t>
        </is>
      </c>
      <c r="H80" s="50">
        <f>F80</f>
        <v/>
      </c>
      <c r="I80" s="51" t="n">
        <v>781</v>
      </c>
      <c r="J80" s="28">
        <f>H80*I80</f>
        <v/>
      </c>
      <c r="K80" s="52" t="inlineStr">
        <is>
          <t>GEÇMİŞ TEKLİF UYARLAMA</t>
        </is>
      </c>
      <c r="L80" s="7" t="inlineStr">
        <is>
          <t>REF-derin – 3,5 kW split: Buca Arçelik 3,6 kW M+İ 634, Daikin FTXF35 631+150 montaj=781, Kocaeli 2,2 kW M+İ 1.058 → medyan 781; mevcut 1.100 YÜKSEK [Emsal ID: R05286;R06026;R05513]</t>
        </is>
      </c>
      <c r="M80" s="7" t="inlineStr">
        <is>
          <t>Ref düşük; montajlı 3,5 kW split | İlk tahmin BF 1,100.00</t>
        </is>
      </c>
    </row>
    <row r="81" outlineLevel="1">
      <c r="A81" s="27" t="n"/>
      <c r="B81" s="27" t="inlineStr">
        <is>
          <t>6001.H</t>
        </is>
      </c>
      <c r="C81" s="7" t="inlineStr">
        <is>
          <t>D01 Radyant ısıtıcı RI-1 duvar tipi 3,0 kW 380V (atölye ve boji yıkama)</t>
        </is>
      </c>
      <c r="D81" s="27" t="inlineStr">
        <is>
          <t>adet</t>
        </is>
      </c>
      <c r="E81" s="50" t="n">
        <v>73</v>
      </c>
      <c r="F81" s="50" t="n">
        <v>73</v>
      </c>
      <c r="G81" s="27" t="inlineStr">
        <is>
          <t>-</t>
        </is>
      </c>
      <c r="H81" s="50">
        <f>F81</f>
        <v/>
      </c>
      <c r="I81" s="51" t="n">
        <v>350</v>
      </c>
      <c r="J81" s="28">
        <f>H81*I81</f>
        <v/>
      </c>
      <c r="K81" s="53" t="inlineStr">
        <is>
          <t>MÜHENDİSLİK TAHMİNİ</t>
        </is>
      </c>
      <c r="L81" s="7" t="inlineStr">
        <is>
          <t>TAHMIN (emsal yok) – Doğrudan emsal yok (refler gazlı 55 kW radyant); 3 kW elektrikli IR 250–400 € aralığında, makul</t>
        </is>
      </c>
      <c r="M81" s="7" t="inlineStr"/>
    </row>
    <row r="82" outlineLevel="1">
      <c r="A82" s="27" t="n"/>
      <c r="B82" s="27" t="inlineStr">
        <is>
          <t>6001.H</t>
        </is>
      </c>
      <c r="C82" s="7" t="inlineStr">
        <is>
          <t>D01 Elektrikli radyatör ER-1 1,0 kW (depo alanı)</t>
        </is>
      </c>
      <c r="D82" s="27" t="inlineStr">
        <is>
          <t>adet</t>
        </is>
      </c>
      <c r="E82" s="50" t="n">
        <v>3</v>
      </c>
      <c r="F82" s="50" t="n">
        <v>3</v>
      </c>
      <c r="G82" s="27" t="inlineStr">
        <is>
          <t>-</t>
        </is>
      </c>
      <c r="H82" s="50">
        <f>F82</f>
        <v/>
      </c>
      <c r="I82" s="51" t="n">
        <v>162.47</v>
      </c>
      <c r="J82" s="28">
        <f>H82*I82</f>
        <v/>
      </c>
      <c r="K82" s="52" t="inlineStr">
        <is>
          <t>GEÇMİŞ TEKLİF UYARLAMA</t>
        </is>
      </c>
      <c r="L82" s="7" t="inlineStr">
        <is>
          <t>REF-teyit – R05973 Kirazlı-Halkalı Metro/Panel 2024 162.47 (1,5 kW panel ısıtıcı; 1 kW için üst sınır) | tek emsal 162.47, sapma +0.0% → teyit [Emsal ID: R05973]</t>
        </is>
      </c>
      <c r="M82" s="7" t="inlineStr"/>
    </row>
    <row r="83" outlineLevel="1">
      <c r="A83" s="27" t="n"/>
      <c r="B83" s="27" t="inlineStr">
        <is>
          <t>6001.H</t>
        </is>
      </c>
      <c r="C83" s="7" t="inlineStr">
        <is>
          <t>D01 Elektrikli radyatör ER-2 2,0 kW (ısı merkezi)</t>
        </is>
      </c>
      <c r="D83" s="27" t="inlineStr">
        <is>
          <t>adet</t>
        </is>
      </c>
      <c r="E83" s="50" t="n">
        <v>2</v>
      </c>
      <c r="F83" s="50" t="n">
        <v>2</v>
      </c>
      <c r="G83" s="27" t="inlineStr">
        <is>
          <t>-</t>
        </is>
      </c>
      <c r="H83" s="50">
        <f>F83</f>
        <v/>
      </c>
      <c r="I83" s="51" t="n">
        <v>269.31</v>
      </c>
      <c r="J83" s="28">
        <f>H83*I83</f>
        <v/>
      </c>
      <c r="K83" s="52" t="inlineStr">
        <is>
          <t>GEÇMİŞ TEKLİF UYARLAMA</t>
        </is>
      </c>
      <c r="L83" s="7" t="inlineStr">
        <is>
          <t>REF-derin – R05972 Kirazlı-Halkalı Metro/Panel 2024 183.09; R06118 Siirt-Kurtalan DY/Yamaner 2025 355.53 | medyan 269.31 (2 kW elektrikli ısıtıcı, ≥2014) = 269.31 € | mevcut REF 209.25 (+28.7%) düzeltildi [Emsal ID: R05972;R06118]</t>
        </is>
      </c>
      <c r="M83" s="7" t="inlineStr">
        <is>
          <t>İlk tahmin BF 209.25</t>
        </is>
      </c>
    </row>
    <row r="84" outlineLevel="1">
      <c r="A84" s="27" t="n"/>
      <c r="B84" s="27" t="inlineStr">
        <is>
          <t>6001.H</t>
        </is>
      </c>
      <c r="C84" s="7" t="inlineStr">
        <is>
          <t>D01 VRF bakır boru hattı izolasyonlu (sıvı+gaz çifti, 3/8"…1 5/8") + refnet</t>
        </is>
      </c>
      <c r="D84" s="27" t="inlineStr">
        <is>
          <t>m</t>
        </is>
      </c>
      <c r="E84" s="50" t="n">
        <v>341</v>
      </c>
      <c r="F84" s="50" t="n">
        <v>341</v>
      </c>
      <c r="G84" s="27" t="inlineStr">
        <is>
          <t>fire+%30</t>
        </is>
      </c>
      <c r="H84" s="50">
        <f>F84/IF(Varsayimlar!$B$21=1,1.43,1)</f>
        <v/>
      </c>
      <c r="I84" s="51" t="n">
        <v>37.2</v>
      </c>
      <c r="J84" s="28">
        <f>H84*I84</f>
        <v/>
      </c>
      <c r="K84" s="52" t="inlineStr">
        <is>
          <t>GEÇMİŞ TEKLİF UYARLAMA</t>
        </is>
      </c>
      <c r="L84" s="7" t="inlineStr">
        <is>
          <t>REF-derin – Çift boru (sıvı+gaz) m fiyatı: 3/4" tek boru Uluhanlar 20,18, FER 26,82, Mertsan 23,20, Siirt 20,55 → medyan 21,88×2×0,85 = 37,19; mevcut 30 DÜŞÜK (çift olarak) [Emsal ID: R05508;R05816;R05914;R06144;R05602;R05606]</t>
        </is>
      </c>
      <c r="M84" s="7" t="inlineStr">
        <is>
          <t>VRF büyük çap; montaj+izolasyon | İlk tahmin BF 30.00</t>
        </is>
      </c>
    </row>
    <row r="85" outlineLevel="1">
      <c r="A85" s="27" t="n"/>
      <c r="B85" s="27" t="inlineStr">
        <is>
          <t>6001.H</t>
        </is>
      </c>
      <c r="C85" s="7" t="inlineStr">
        <is>
          <t>D01 split klima bakır boru (1/4"-1/2", 3/8"-5/8")</t>
        </is>
      </c>
      <c r="D85" s="27" t="inlineStr">
        <is>
          <t>m</t>
        </is>
      </c>
      <c r="E85" s="50" t="n">
        <v>104</v>
      </c>
      <c r="F85" s="50" t="n">
        <v>104</v>
      </c>
      <c r="G85" s="27" t="inlineStr">
        <is>
          <t>fire+%30</t>
        </is>
      </c>
      <c r="H85" s="50">
        <f>F85/IF(Varsayimlar!$B$21=1,1.43,1)</f>
        <v/>
      </c>
      <c r="I85" s="51" t="n">
        <v>32.97</v>
      </c>
      <c r="J85" s="28">
        <f>H85*I85</f>
        <v/>
      </c>
      <c r="K85" s="52" t="inlineStr">
        <is>
          <t>GEÇMİŞ TEKLİF UYARLAMA</t>
        </is>
      </c>
      <c r="L85" s="7" t="inlineStr">
        <is>
          <t>REF-derin – Bakır boru (izoleli, M+İ) firma bazında çift fiyatı: Uluhanlar 26.01; Yapıray-alt 32.97; FER 34.77; Mertsan 28.28; Yamaner 33.42 | medyan 32.97 (1/4-1/2 ve 3/8-5/8 çiftlerinin ortalaması) = 32.97 € [Emsal ID: R05506;R05507;R05508;R05509;R05510;R05599;R05600;R05601;R05602;R05603;R05604;R05605;R05606;R05814;R05815;R05816;R05817;R05912;R05913;R05914;R05915;R06142;R06143;R06144;R06145]</t>
        </is>
      </c>
      <c r="M85" s="7" t="inlineStr">
        <is>
          <t>İlk tahmin BF 22.00</t>
        </is>
      </c>
    </row>
    <row r="86" outlineLevel="1">
      <c r="A86" s="27" t="n"/>
      <c r="B86" s="27" t="inlineStr">
        <is>
          <t>6001.H</t>
        </is>
      </c>
      <c r="C86" s="7" t="inlineStr">
        <is>
          <t>D01 VRF refnet/branş kiti</t>
        </is>
      </c>
      <c r="D86" s="27" t="inlineStr">
        <is>
          <t>adet</t>
        </is>
      </c>
      <c r="E86" s="50" t="n">
        <v>45</v>
      </c>
      <c r="F86" s="50" t="n">
        <v>45</v>
      </c>
      <c r="G86" s="27" t="inlineStr">
        <is>
          <t>-</t>
        </is>
      </c>
      <c r="H86" s="50">
        <f>F86</f>
        <v/>
      </c>
      <c r="I86" s="51" t="n">
        <v>100</v>
      </c>
      <c r="J86" s="28">
        <f>H86*I86</f>
        <v/>
      </c>
      <c r="K86" s="52" t="inlineStr">
        <is>
          <t>GEÇMİŞ TEKLİF UYARLAMA</t>
        </is>
      </c>
      <c r="L86" s="7" t="inlineStr">
        <is>
          <t>REF-derin – Refnet/joint M+İ: Uluhanlar 66,25/130, Kocaeli 77,14/122/157, Mertsan 77,18 → medyan 99,64; mevcut 220 YÜKSEK (satır 84'te '+refnet' de var – mükerrer) [Emsal ID: R05511;R05512;R05607;R05608;R05609;R05909]</t>
        </is>
      </c>
      <c r="M86" s="7" t="inlineStr">
        <is>
          <t>Ref 1.004 aşırı yüksek; refnet kiti montajlı | İlk tahmin BF 220.00</t>
        </is>
      </c>
    </row>
    <row r="87" outlineLevel="1">
      <c r="A87" s="27" t="n"/>
      <c r="B87" s="27" t="inlineStr">
        <is>
          <t>6001.H</t>
        </is>
      </c>
      <c r="C87" s="7" t="inlineStr">
        <is>
          <t>D01 klima kondens drenaj borusu PPRC/PVC Ø25-Ø32</t>
        </is>
      </c>
      <c r="D87" s="27" t="inlineStr">
        <is>
          <t>m</t>
        </is>
      </c>
      <c r="E87" s="50" t="n">
        <v>316</v>
      </c>
      <c r="F87" s="50" t="n">
        <v>316</v>
      </c>
      <c r="G87" s="27" t="inlineStr">
        <is>
          <t>fire+%30</t>
        </is>
      </c>
      <c r="H87" s="50">
        <f>F87/IF(Varsayimlar!$B$21=1,1.43,1)</f>
        <v/>
      </c>
      <c r="I87" s="51" t="n">
        <v>4.47</v>
      </c>
      <c r="J87" s="28">
        <f>H87*I87</f>
        <v/>
      </c>
      <c r="K87" s="52" t="inlineStr">
        <is>
          <t>GEÇMİŞ TEKLİF UYARLAMA</t>
        </is>
      </c>
      <c r="L87" s="7" t="inlineStr">
        <is>
          <t>REF-derin – R05821 Kocaeli KentMey.Tram/FER 2015 2.54; R05911 Kocaeli KentMey.Tram/Mertsan 2015 3.02; R05822 Kocaeli KentMey.Tram/FER 2015 3.22; R05360 İzmir Buca Metro/Alp 2021 5.98; R05461 Kocaeli KentMey.Tram/Uluhanlar 2015 5.07; R05555 Kocaeli KentMey.Tram/bilinmiyor 2015 3.81; +9 emsal | medyan 4.47 (PVC/PPRC Ø25-32 havuzu) = 4.47 € | mevcut REF 8.00 (-44.2%) düzeltildi [Emsal ID: R05821;R05911;R05822;R05360;R05461;R05555;R05768;R05866;R06007;R06108;R05462;R05556;R05769;R05867;R06109]</t>
        </is>
      </c>
      <c r="M87" s="7" t="inlineStr">
        <is>
          <t>Ref malzeme fiyatı; montajlı | İlk tahmin BF 8.00</t>
        </is>
      </c>
    </row>
    <row r="88" outlineLevel="1">
      <c r="A88" s="27" t="n"/>
      <c r="B88" s="27" t="inlineStr">
        <is>
          <t>6001.H</t>
        </is>
      </c>
      <c r="C88" s="7" t="inlineStr">
        <is>
          <t>D01 VRF kablolu kumanda + merkezi kontrol/BMS ara yüzü</t>
        </is>
      </c>
      <c r="D88" s="27" t="inlineStr">
        <is>
          <t>adet</t>
        </is>
      </c>
      <c r="E88" s="50" t="n">
        <v>42</v>
      </c>
      <c r="F88" s="50" t="n">
        <v>42</v>
      </c>
      <c r="G88" s="27" t="inlineStr">
        <is>
          <t>%30</t>
        </is>
      </c>
      <c r="H88" s="50">
        <f>F88/IF(Varsayimlar!$B$21=1,1.3,1)</f>
        <v/>
      </c>
      <c r="I88" s="51" t="n">
        <v>220</v>
      </c>
      <c r="J88" s="28">
        <f>H88*I88</f>
        <v/>
      </c>
      <c r="K88" s="52" t="inlineStr">
        <is>
          <t>GEÇMİŞ TEKLİF UYARLAMA</t>
        </is>
      </c>
      <c r="L88" s="7" t="inlineStr">
        <is>
          <t>REF-teyit – Kablolu kumanda medyan ~102 + merkezi kumanda 1.467/32 ≈ 45 + BMS ara yüz payı → 220 teyit [Emsal ID: R05504;R05907;R06140;R05505;R05908]</t>
        </is>
      </c>
      <c r="M88" s="7" t="inlineStr">
        <is>
          <t>Ref yüksek; kumanda + merkezi kontrol payı</t>
        </is>
      </c>
    </row>
    <row r="89" outlineLevel="1">
      <c r="A89" s="27" t="n"/>
      <c r="B89" s="27" t="inlineStr">
        <is>
          <t>6001.H</t>
        </is>
      </c>
      <c r="C89" s="7" t="inlineStr">
        <is>
          <t>D01 kanallı IU-5 üfleme/dönüş kanalı ve menfezleri</t>
        </is>
      </c>
      <c r="D89" s="27" t="inlineStr">
        <is>
          <t>m²</t>
        </is>
      </c>
      <c r="E89" s="50" t="n">
        <v>43</v>
      </c>
      <c r="F89" s="50" t="n">
        <v>43</v>
      </c>
      <c r="G89" s="27" t="inlineStr">
        <is>
          <t>%30</t>
        </is>
      </c>
      <c r="H89" s="50">
        <f>F89/IF(Varsayimlar!$B$21=1,1.3,1)</f>
        <v/>
      </c>
      <c r="I89" s="51" t="n">
        <v>40.36</v>
      </c>
      <c r="J89" s="28">
        <f>H89*I89</f>
        <v/>
      </c>
      <c r="K89" s="52" t="inlineStr">
        <is>
          <t>GEÇMİŞ TEKLİF UYARLAMA</t>
        </is>
      </c>
      <c r="L89" s="7" t="inlineStr">
        <is>
          <t>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 payı) = 40.36 € [Emsal ID: R05313;R05314;R05404;R05488;R05489;R05580;R05581;R05799]</t>
        </is>
      </c>
      <c r="M89" s="7" t="inlineStr">
        <is>
          <t>Kanal + menfez | İlk tahmin BF 42.00</t>
        </is>
      </c>
    </row>
    <row r="90" outlineLevel="1">
      <c r="A90" s="27" t="n"/>
      <c r="B90" s="27" t="inlineStr">
        <is>
          <t>6001.H</t>
        </is>
      </c>
      <c r="C90" s="7" t="inlineStr">
        <is>
          <t>D01 R410A ilave soğutucu şarjı</t>
        </is>
      </c>
      <c r="D90" s="27" t="inlineStr">
        <is>
          <t>kg</t>
        </is>
      </c>
      <c r="E90" s="50" t="n">
        <v>60</v>
      </c>
      <c r="F90" s="50" t="n">
        <v>60</v>
      </c>
      <c r="G90" s="27" t="inlineStr">
        <is>
          <t>-</t>
        </is>
      </c>
      <c r="H90" s="50">
        <f>F90</f>
        <v/>
      </c>
      <c r="I90" s="51" t="n">
        <v>25</v>
      </c>
      <c r="J90" s="28">
        <f>H90*I90</f>
        <v/>
      </c>
      <c r="K90" s="53" t="inlineStr">
        <is>
          <t>MÜHENDİSLİK TAHMİNİ</t>
        </is>
      </c>
      <c r="L90" s="7" t="inlineStr">
        <is>
          <t>TAHMIN (emsal yok) – emsal bulunamadı; mevcut tahmin korundu</t>
        </is>
      </c>
      <c r="M90" s="7" t="inlineStr"/>
    </row>
    <row r="91" outlineLevel="1">
      <c r="A91" s="27" t="n"/>
      <c r="B91" s="27" t="inlineStr">
        <is>
          <t>6001.H</t>
        </is>
      </c>
      <c r="C91" s="7" t="inlineStr">
        <is>
          <t>D01 dış ünite çelik kaide/titreşim takozu</t>
        </is>
      </c>
      <c r="D91" s="27" t="inlineStr">
        <is>
          <t>takım</t>
        </is>
      </c>
      <c r="E91" s="50" t="n">
        <v>8</v>
      </c>
      <c r="F91" s="50" t="n">
        <v>8</v>
      </c>
      <c r="G91" s="27" t="inlineStr">
        <is>
          <t>-</t>
        </is>
      </c>
      <c r="H91" s="50">
        <f>F91</f>
        <v/>
      </c>
      <c r="I91" s="51" t="n">
        <v>450</v>
      </c>
      <c r="J91" s="28">
        <f>H91*I91</f>
        <v/>
      </c>
      <c r="K91" s="53" t="inlineStr">
        <is>
          <t>MÜHENDİSLİK TAHMİNİ</t>
        </is>
      </c>
      <c r="L91" s="7" t="inlineStr">
        <is>
          <t>TAHMIN (emsal yok) – emsal bulunamadı; mevcut tahmin korundu</t>
        </is>
      </c>
      <c r="M91" s="7" t="inlineStr"/>
    </row>
    <row r="92" outlineLevel="1">
      <c r="A92" s="27" t="n"/>
      <c r="B92" s="27" t="inlineStr">
        <is>
          <t>6001.H</t>
        </is>
      </c>
      <c r="C92" s="7" t="inlineStr">
        <is>
          <t>D05 Split klima inverter IU-01/DU-01 3,5 kW (ustabaşı ve dinlenme odaları)</t>
        </is>
      </c>
      <c r="D92" s="27" t="inlineStr">
        <is>
          <t>adet</t>
        </is>
      </c>
      <c r="E92" s="50" t="n">
        <v>7</v>
      </c>
      <c r="F92" s="50" t="n">
        <v>7</v>
      </c>
      <c r="G92" s="27" t="inlineStr">
        <is>
          <t>-</t>
        </is>
      </c>
      <c r="H92" s="50">
        <f>F92</f>
        <v/>
      </c>
      <c r="I92" s="51" t="n">
        <v>781</v>
      </c>
      <c r="J92" s="28">
        <f>H92*I92</f>
        <v/>
      </c>
      <c r="K92" s="52" t="inlineStr">
        <is>
          <t>GEÇMİŞ TEKLİF UYARLAMA</t>
        </is>
      </c>
      <c r="L92" s="7" t="inlineStr">
        <is>
          <t>REF-derin – 3,5 kW split: Buca Arçelik 3,6 kW M+İ 634, Daikin FTXF35 631+150 montaj=781, Kocaeli 2,2 kW M+İ 1.058 → medyan 781; mevcut 1.100 YÜKSEK [Emsal ID: R05286;R06026;R05513]</t>
        </is>
      </c>
      <c r="M92" s="7" t="inlineStr">
        <is>
          <t>3,5 kW split montajlı | İlk tahmin BF 1,100.00</t>
        </is>
      </c>
    </row>
    <row r="93" outlineLevel="1">
      <c r="A93" s="27" t="n"/>
      <c r="B93" s="27" t="inlineStr">
        <is>
          <t>6001.H</t>
        </is>
      </c>
      <c r="C93" s="7" t="inlineStr">
        <is>
          <t>D05 Radyant ısıtıcı RI-01 duvar tipi 3,0 kW 380V (hat bakım malzeme deposu ve bakım aracı parkı)</t>
        </is>
      </c>
      <c r="D93" s="27" t="inlineStr">
        <is>
          <t>adet</t>
        </is>
      </c>
      <c r="E93" s="50" t="n">
        <v>6</v>
      </c>
      <c r="F93" s="50" t="n">
        <v>6</v>
      </c>
      <c r="G93" s="27" t="inlineStr">
        <is>
          <t>-</t>
        </is>
      </c>
      <c r="H93" s="50">
        <f>F93</f>
        <v/>
      </c>
      <c r="I93" s="51" t="n">
        <v>350</v>
      </c>
      <c r="J93" s="28">
        <f>H93*I93</f>
        <v/>
      </c>
      <c r="K93" s="53" t="inlineStr">
        <is>
          <t>MÜHENDİSLİK TAHMİNİ</t>
        </is>
      </c>
      <c r="L93" s="7" t="inlineStr">
        <is>
          <t>TAHMIN (emsal yok) – Elektrikli radyant (3 kW 380V) için emsal yok; mevcut tahmin korundu</t>
        </is>
      </c>
      <c r="M93" s="7" t="inlineStr"/>
    </row>
    <row r="94" outlineLevel="1">
      <c r="A94" s="27" t="n"/>
      <c r="B94" s="27" t="inlineStr">
        <is>
          <t>6001.H</t>
        </is>
      </c>
      <c r="C94" s="7" t="inlineStr">
        <is>
          <t>D05 split bakır boru hattı izolasyonlu</t>
        </is>
      </c>
      <c r="D94" s="27" t="inlineStr">
        <is>
          <t>m</t>
        </is>
      </c>
      <c r="E94" s="50" t="n">
        <v>63</v>
      </c>
      <c r="F94" s="50" t="n">
        <v>63</v>
      </c>
      <c r="G94" s="27" t="inlineStr">
        <is>
          <t>fire+%30</t>
        </is>
      </c>
      <c r="H94" s="50">
        <f>F94/IF(Varsayimlar!$B$21=1,1.43,1)</f>
        <v/>
      </c>
      <c r="I94" s="51" t="n">
        <v>29.62</v>
      </c>
      <c r="J94" s="28">
        <f>H94*I94</f>
        <v/>
      </c>
      <c r="K94" s="52" t="inlineStr">
        <is>
          <t>GEÇMİŞ TEKLİF UYARLAMA</t>
        </is>
      </c>
      <c r="L94" s="7" t="inlineStr">
        <is>
          <t>REF-derin – Bakır boru (izoleli, M+İ) firma bazında çift fiyatı: Uluhanlar 23.31; Yapıray-alt 29.62; FER 30.93; Mertsan 24.62; Yamaner 32.04 | medyan 29.62 (1/4-1/2 çift) = 29.62 € | mevcut REF 20.18 (+46.8%) düzeltildi [Emsal ID: R05506;R05507;R05508;R05509;R05510;R05599;R05600;R05601;R05602;R05603;R05604;R05605;R05606;R05814;R05815;R05816;R05817;R05912;R05913;R05914;R05915;R06142;R06143;R06144;R06145]</t>
        </is>
      </c>
      <c r="M94" s="7" t="inlineStr">
        <is>
          <t>İlk tahmin BF 20.18</t>
        </is>
      </c>
    </row>
    <row r="95" outlineLevel="1">
      <c r="A95" s="27" t="n"/>
      <c r="B95" s="27" t="inlineStr">
        <is>
          <t>6001.H</t>
        </is>
      </c>
      <c r="C95" s="7" t="inlineStr">
        <is>
          <t>D05 klima kondens drenajı PVC Ø25 (duvardan)</t>
        </is>
      </c>
      <c r="D95" s="27" t="inlineStr">
        <is>
          <t>m</t>
        </is>
      </c>
      <c r="E95" s="50" t="n">
        <v>19</v>
      </c>
      <c r="F95" s="50" t="n">
        <v>19</v>
      </c>
      <c r="G95" s="27" t="inlineStr">
        <is>
          <t>fire %10</t>
        </is>
      </c>
      <c r="H95" s="50">
        <f>F95/IF(Varsayimlar!$B$21=1,1.1,1)</f>
        <v/>
      </c>
      <c r="I95" s="51" t="n">
        <v>2.78</v>
      </c>
      <c r="J95" s="28">
        <f>H95*I95</f>
        <v/>
      </c>
      <c r="K95" s="52" t="inlineStr">
        <is>
          <t>GEÇMİŞ TEKLİF UYARLAMA</t>
        </is>
      </c>
      <c r="L95" s="7" t="inlineStr">
        <is>
          <t>REF-derin – R05821 Kocaeli KentMey.Tram/FER 2015 2.54; R05911 Kocaeli KentMey.Tram/Mertsan 2015 3.02 | medyan 2.78 (PVC Ø25 klima drenajı) = 2.78 € | mevcut REF 6.00 (-53.7%) düzeltildi [Emsal ID: R05821;R05911]</t>
        </is>
      </c>
      <c r="M95" s="7" t="inlineStr">
        <is>
          <t>Ref malzeme fiyatı; montajlı | İlk tahmin BF 6.00</t>
        </is>
      </c>
    </row>
    <row r="96" outlineLevel="1">
      <c r="A96" s="27" t="n"/>
      <c r="B96" s="27" t="inlineStr">
        <is>
          <t>6001.H</t>
        </is>
      </c>
      <c r="C96" s="7" t="inlineStr">
        <is>
          <t>D07 Split klima inverter IU-1/DU-1 3,3/3,47 kW (kontrol odası)</t>
        </is>
      </c>
      <c r="D96" s="27" t="inlineStr">
        <is>
          <t>adet</t>
        </is>
      </c>
      <c r="E96" s="50" t="n">
        <v>3</v>
      </c>
      <c r="F96" s="50" t="n">
        <v>3</v>
      </c>
      <c r="G96" s="27" t="inlineStr">
        <is>
          <t>-</t>
        </is>
      </c>
      <c r="H96" s="50">
        <f>F96</f>
        <v/>
      </c>
      <c r="I96" s="51" t="n">
        <v>695.8099999999999</v>
      </c>
      <c r="J96" s="28">
        <f>H96*I96</f>
        <v/>
      </c>
      <c r="K96" s="52" t="inlineStr">
        <is>
          <t>GEÇMİŞ TEKLİF UYARLAMA</t>
        </is>
      </c>
      <c r="L96" s="7" t="inlineStr">
        <is>
          <t>REF-derin – R05286 İzmir Buca Metro/Alp 2021 634.25; R06026 Mezitli Metro/Daikin 2021 631.15→757.38×1.2 | medyan 695.81 (3,5 kW split; Daikin +%20 montaj) = 695.81 € [Emsal ID: R05286;R06026]</t>
        </is>
      </c>
      <c r="M96" s="7" t="inlineStr">
        <is>
          <t>İlk tahmin BF 1,100.00</t>
        </is>
      </c>
    </row>
    <row r="97" outlineLevel="1">
      <c r="A97" s="27" t="n"/>
      <c r="B97" s="27" t="inlineStr">
        <is>
          <t>6001.H</t>
        </is>
      </c>
      <c r="C97" s="7" t="inlineStr">
        <is>
          <t>D07 split bakır boru + kondens drenajı Ø25 (süzgeç üzerine)</t>
        </is>
      </c>
      <c r="D97" s="27" t="inlineStr">
        <is>
          <t>m</t>
        </is>
      </c>
      <c r="E97" s="50" t="n">
        <v>21</v>
      </c>
      <c r="F97" s="50" t="n">
        <v>21</v>
      </c>
      <c r="G97" s="27" t="inlineStr">
        <is>
          <t>fire+%30</t>
        </is>
      </c>
      <c r="H97" s="50">
        <f>F97/IF(Varsayimlar!$B$21=1,1.43,1)</f>
        <v/>
      </c>
      <c r="I97" s="51" t="n">
        <v>32.4</v>
      </c>
      <c r="J97" s="28">
        <f>H97*I97</f>
        <v/>
      </c>
      <c r="K97" s="52" t="inlineStr">
        <is>
          <t>GEÇMİŞ TEKLİF UYARLAMA</t>
        </is>
      </c>
      <c r="L97" s="7" t="inlineStr">
        <is>
          <t>REF-derin – Bakır boru (izoleli, M+İ) firma bazında çift fiyatı: Uluhanlar 23.31; Yapıray-alt 29.62; FER 30.93; Mertsan 24.62; Yamaner 32.04 | medyan 29.62 + PVC Ø25 drenaj medyan 2.78 = 32.40 € [Emsal ID: R05506;R05507;R05508;R05509;R05510;R05599;R05600;R05601;R05602;R05603;R05604;R05605;R05606;R05814;R05815;R05816;R05817;R05912;R05913;R05914;R05915;R06142;R06143;R06144;R06145;R05821;R05911]</t>
        </is>
      </c>
      <c r="M97" s="7" t="inlineStr">
        <is>
          <t>Bakır boru + drenaj birlikte | İlk tahmin BF 26.00</t>
        </is>
      </c>
    </row>
    <row r="98" outlineLevel="1">
      <c r="A98" s="27" t="n"/>
      <c r="B98" s="27" t="inlineStr">
        <is>
          <t>6001.H</t>
        </is>
      </c>
      <c r="C98" s="7" t="inlineStr">
        <is>
          <t>D02/T13 Depo trafo binası VRF iç ünite IU-01 14,0 kW (kanallı/tavan)</t>
        </is>
      </c>
      <c r="D98" s="27" t="inlineStr">
        <is>
          <t>adet</t>
        </is>
      </c>
      <c r="E98" s="50" t="n">
        <v>16</v>
      </c>
      <c r="F98" s="50" t="n">
        <v>16</v>
      </c>
      <c r="G98" s="27" t="inlineStr">
        <is>
          <t>-</t>
        </is>
      </c>
      <c r="H98" s="50">
        <f>F98</f>
        <v/>
      </c>
      <c r="I98" s="51" t="n">
        <v>1779</v>
      </c>
      <c r="J98" s="28">
        <f>H98*I98</f>
        <v/>
      </c>
      <c r="K98" s="52" t="inlineStr">
        <is>
          <t>GEÇMİŞ TEKLİF UYARLAMA</t>
        </is>
      </c>
      <c r="L98" s="7" t="inlineStr">
        <is>
          <t>REF-derin – 14–16 kW iç ünite: Kocaeli Uluhanlar 1.779, MHI 1.518, Mitsubishi kanallı PEFY-P140 2.218 → medyan 1.779 [Emsal ID: R05503;R05596;R06197]</t>
        </is>
      </c>
      <c r="M98" s="7" t="inlineStr">
        <is>
          <t>14 kW kanallı; trafo IU-02 ile aynı | İlk tahmin BF 1,850.00</t>
        </is>
      </c>
    </row>
    <row r="99" outlineLevel="1">
      <c r="A99" s="27" t="n"/>
      <c r="B99" s="27" t="inlineStr">
        <is>
          <t>6001.H</t>
        </is>
      </c>
      <c r="C99" s="7" t="inlineStr">
        <is>
          <t>D02/T13 VRF dış ünite DU-01 140 kW, 40,8 kW el., 380V (1 asıl + 1 yedek)</t>
        </is>
      </c>
      <c r="D99" s="27" t="inlineStr">
        <is>
          <t>adet</t>
        </is>
      </c>
      <c r="E99" s="50" t="n">
        <v>2</v>
      </c>
      <c r="F99" s="50" t="n">
        <v>2</v>
      </c>
      <c r="G99" s="27" t="inlineStr">
        <is>
          <t>-</t>
        </is>
      </c>
      <c r="H99" s="50">
        <f>F99</f>
        <v/>
      </c>
      <c r="I99" s="51" t="n">
        <v>31348.95</v>
      </c>
      <c r="J99" s="28">
        <f>H99*I99</f>
        <v/>
      </c>
      <c r="K99" s="52" t="inlineStr">
        <is>
          <t>GEÇMİŞ TEKLİF UYARLAMA</t>
        </is>
      </c>
      <c r="L99" s="7" t="inlineStr">
        <is>
          <t>REF-teyit – VRF 140 kW (ölçekli): Kocaeli 31.828, MHI 31.280, Siirt 24.285, Arçelik 16.792, Mitsubishi 135 kW 35.215 → medyan 31.280; teyit [Emsal ID: R05497;R05590;R06136;R05289;R06193]</t>
        </is>
      </c>
      <c r="M99" s="7" t="inlineStr"/>
    </row>
    <row r="100" outlineLevel="1">
      <c r="A100" s="27" t="n"/>
      <c r="B100" s="27" t="inlineStr">
        <is>
          <t>6001.H</t>
        </is>
      </c>
      <c r="C100" s="7" t="inlineStr">
        <is>
          <t>D02/T13 VRF bakır boru (3/8-5/8: 37,3; 3/8-7/8: 13,6; 1/2-1 1/8: 6,4; 5/8-1 1/8: 4,2; 3/4-1 3/8: 8,4; 5/8-1 3/8: 1,2 m)</t>
        </is>
      </c>
      <c r="D100" s="27" t="inlineStr">
        <is>
          <t>m</t>
        </is>
      </c>
      <c r="E100" s="50" t="n">
        <v>102</v>
      </c>
      <c r="F100" s="50" t="n">
        <v>102</v>
      </c>
      <c r="G100" s="27" t="inlineStr">
        <is>
          <t>fire+%30</t>
        </is>
      </c>
      <c r="H100" s="50">
        <f>F100/IF(Varsayimlar!$B$21=1,1.43,1)</f>
        <v/>
      </c>
      <c r="I100" s="51" t="n">
        <v>45.97</v>
      </c>
      <c r="J100" s="28">
        <f>H100*I100</f>
        <v/>
      </c>
      <c r="K100" s="52" t="inlineStr">
        <is>
          <t>GEÇMİŞ TEKLİF UYARLAMA</t>
        </is>
      </c>
      <c r="L100" s="7" t="inlineStr">
        <is>
          <t>REF-derin – Bakır boru (izoleli, M+İ) firma bazında çift fiyatı: Uluhanlar 38.68; Yapıray-alt 50.51; FER 51.15; Mertsan 41.43 | medyan 45.97 (verilen çap metrajı ağırlıklı) = 45.97 € [Emsal ID: R05506;R05507;R05508;R05509;R05510;R05599;R05600;R05601;R05602;R05603;R05604;R05605;R05606;R05814;R05815;R05816;R05817;R05912;R05913;R05914;R05915]</t>
        </is>
      </c>
      <c r="M100" s="7" t="inlineStr">
        <is>
          <t>İlk tahmin BF 32.00</t>
        </is>
      </c>
    </row>
    <row r="101" outlineLevel="1">
      <c r="A101" s="27" t="n"/>
      <c r="B101" s="27" t="inlineStr">
        <is>
          <t>6001.H</t>
        </is>
      </c>
      <c r="C101" s="7" t="inlineStr">
        <is>
          <t>D02/T13 kablolu VRF kumandası</t>
        </is>
      </c>
      <c r="D101" s="27" t="inlineStr">
        <is>
          <t>adet</t>
        </is>
      </c>
      <c r="E101" s="50" t="n">
        <v>8</v>
      </c>
      <c r="F101" s="50" t="n">
        <v>8</v>
      </c>
      <c r="G101" s="27" t="inlineStr">
        <is>
          <t>%30</t>
        </is>
      </c>
      <c r="H101" s="50">
        <f>F101/IF(Varsayimlar!$B$21=1,1.3,1)</f>
        <v/>
      </c>
      <c r="I101" s="51" t="n">
        <v>92.73</v>
      </c>
      <c r="J101" s="28">
        <f>H101*I101</f>
        <v/>
      </c>
      <c r="K101" s="52" t="inlineStr">
        <is>
          <t>GEÇMİŞ TEKLİF UYARLAMA</t>
        </is>
      </c>
      <c r="L101" s="7" t="inlineStr">
        <is>
          <t>REF-derin – R05298 İzmir Buca Metro/Alp 2021 54.50; R05504 Kocaeli KentMey.Tram/Uluhanlar 2015 110.84; R05907 Kocaeli KentMey.Tram/Mertsan 2015 93.15; R06140 Siirt-Kurtalan DY/Yamaner 2025 117.00; R05597 Kocaeli KentMey.Tram/bilinmiyor 2015 76.61→91.93×1.2; R05811 Kocaeli KentMey.Tram/FER 2015 76.93→92.31×1.2 | medyan 92.73 (VRF kablolu kumanda; M refs +%20) = 92.73 € | mevcut REF 150.00 (-38.2%) düzeltildi [Emsal ID: R05298;R05504;R05907;R06140;R05597;R05811]</t>
        </is>
      </c>
      <c r="M101" s="7" t="inlineStr">
        <is>
          <t>Ref malzeme; montaj+bağlantı dahil | İlk tahmin BF 150.00</t>
        </is>
      </c>
    </row>
    <row r="102" outlineLevel="1">
      <c r="A102" s="27" t="n"/>
      <c r="B102" s="27" t="inlineStr">
        <is>
          <t>6001.H</t>
        </is>
      </c>
      <c r="C102" s="7" t="inlineStr">
        <is>
          <t>D02/T13 iç ünite üfleme kanalı (trafo odaları)</t>
        </is>
      </c>
      <c r="D102" s="27" t="inlineStr">
        <is>
          <t>m²</t>
        </is>
      </c>
      <c r="E102" s="50" t="n">
        <v>43</v>
      </c>
      <c r="F102" s="50" t="n">
        <v>43</v>
      </c>
      <c r="G102" s="27" t="inlineStr">
        <is>
          <t>-</t>
        </is>
      </c>
      <c r="H102" s="50">
        <f>F102</f>
        <v/>
      </c>
      <c r="I102" s="51" t="n">
        <v>40.36</v>
      </c>
      <c r="J102" s="28">
        <f>H102*I102</f>
        <v/>
      </c>
      <c r="K102" s="52" t="inlineStr">
        <is>
          <t>GEÇMİŞ TEKLİF UYARLAMA</t>
        </is>
      </c>
      <c r="L102" s="7" t="inlineStr">
        <is>
          <t>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+%25 menfez payı) = 40.36 € [Emsal ID: R05313;R05314;R05404;R05488;R05489;R05580;R05581;R05799]</t>
        </is>
      </c>
      <c r="M102" s="7" t="inlineStr">
        <is>
          <t>İlk tahmin BF 42.00</t>
        </is>
      </c>
    </row>
    <row r="103" outlineLevel="1">
      <c r="A103" s="27" t="n"/>
      <c r="B103" s="27" t="inlineStr">
        <is>
          <t>6001.H</t>
        </is>
      </c>
      <c r="C103" s="7" t="inlineStr">
        <is>
          <t>D02/T13 kondens drenajı PPRC DN25/DN32</t>
        </is>
      </c>
      <c r="D103" s="27" t="inlineStr">
        <is>
          <t>m</t>
        </is>
      </c>
      <c r="E103" s="50" t="n">
        <v>57</v>
      </c>
      <c r="F103" s="50" t="n">
        <v>57</v>
      </c>
      <c r="G103" s="27" t="inlineStr">
        <is>
          <t>fire %10</t>
        </is>
      </c>
      <c r="H103" s="50">
        <f>F103/IF(Varsayimlar!$B$21=1,1.1,1)</f>
        <v/>
      </c>
      <c r="I103" s="51" t="n">
        <v>4.99</v>
      </c>
      <c r="J103" s="28">
        <f>H103*I103</f>
        <v/>
      </c>
      <c r="K103" s="52" t="inlineStr">
        <is>
          <t>GEÇMİŞ TEKLİF UYARLAMA</t>
        </is>
      </c>
      <c r="L103" s="7" t="inlineStr">
        <is>
          <t>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[Emsal ID: R05360;R05461;R05555;R05768;R05866;R06007;R06108;R05462;R05556;R05769;R05867;R06109]</t>
        </is>
      </c>
      <c r="M103" s="7" t="inlineStr">
        <is>
          <t>İlk tahmin BF 8.00</t>
        </is>
      </c>
    </row>
    <row r="104" outlineLevel="1">
      <c r="A104" s="27" t="n"/>
      <c r="B104" s="27" t="inlineStr">
        <is>
          <t>6001.H</t>
        </is>
      </c>
      <c r="C104" s="7" t="inlineStr">
        <is>
          <t>Mekanik MCC / klima panoları (D01 ısı merkezi, D05, D07, T13)</t>
        </is>
      </c>
      <c r="D104" s="27" t="inlineStr">
        <is>
          <t>adet</t>
        </is>
      </c>
      <c r="E104" s="50" t="n">
        <v>4</v>
      </c>
      <c r="F104" s="50" t="n">
        <v>4</v>
      </c>
      <c r="G104" s="27" t="inlineStr">
        <is>
          <t>-</t>
        </is>
      </c>
      <c r="H104" s="50">
        <f>F104</f>
        <v/>
      </c>
      <c r="I104" s="51" t="n">
        <v>5000</v>
      </c>
      <c r="J104" s="28">
        <f>H104*I104</f>
        <v/>
      </c>
      <c r="K104" s="53" t="inlineStr">
        <is>
          <t>MÜHENDİSLİK TAHMİNİ</t>
        </is>
      </c>
      <c r="L104" s="7" t="inlineStr">
        <is>
          <t>TAHMIN (emsal yok) – Uygun emsal yok; mevcut tahmin korundu</t>
        </is>
      </c>
      <c r="M104" s="7" t="inlineStr"/>
    </row>
    <row r="105">
      <c r="A105" s="48" t="inlineStr">
        <is>
          <t>167</t>
        </is>
      </c>
      <c r="B105" s="48" t="inlineStr">
        <is>
          <t>6002.A</t>
        </is>
      </c>
      <c r="C105" s="48" t="inlineStr">
        <is>
          <t>Trafo Binaları Havalandırma Sistemi (4 set)</t>
        </is>
      </c>
      <c r="D105" s="48" t="n"/>
      <c r="E105" s="48" t="n"/>
      <c r="F105" s="48" t="n"/>
      <c r="G105" s="48" t="n"/>
      <c r="H105" s="48" t="inlineStr">
        <is>
          <t>RFQ tutarı →</t>
        </is>
      </c>
      <c r="I105" s="49">
        <f>SUMPRODUCT(E106:E109,I106:I109)</f>
        <v/>
      </c>
      <c r="J105" s="49">
        <f>SUM(J106:J109)</f>
        <v/>
      </c>
      <c r="K105" s="48" t="n"/>
      <c r="L105" s="48" t="n"/>
      <c r="M105" s="48" t="n"/>
    </row>
    <row r="106" outlineLevel="1">
      <c r="A106" s="27" t="n"/>
      <c r="B106" s="27" t="inlineStr">
        <is>
          <t>6002.A</t>
        </is>
      </c>
      <c r="C106" s="7" t="inlineStr">
        <is>
          <t>Akü/UPS bölgesi egzoz fanı, exproof, kanal tipi ~300 m³/h, 80 Pa, geri dönüşsüz damperli</t>
        </is>
      </c>
      <c r="D106" s="27" t="inlineStr">
        <is>
          <t>adet</t>
        </is>
      </c>
      <c r="E106" s="50" t="n">
        <v>4</v>
      </c>
      <c r="F106" s="50" t="n">
        <v>4</v>
      </c>
      <c r="G106" s="27" t="inlineStr">
        <is>
          <t>-</t>
        </is>
      </c>
      <c r="H106" s="50">
        <f>F106</f>
        <v/>
      </c>
      <c r="I106" s="51" t="n">
        <v>898.3</v>
      </c>
      <c r="J106" s="28">
        <f>H106*I106</f>
        <v/>
      </c>
      <c r="K106" s="52" t="inlineStr">
        <is>
          <t>GEÇMİŞ TEKLİF UYARLAMA</t>
        </is>
      </c>
      <c r="L106" s="7" t="inlineStr">
        <is>
          <t>REF-derin – R05408 Kocaeli Tram/Özgür 2014 329.85; R05484 Kocaeli KentMey.Tram/Uluhanlar 2015 1274.21; R05574 Kocaeli KentMey.Tram/bilinmiyor 2015 1074.15; R05951 Kirazlı-Halkalı Metro/Panel 2024 852.16; R05952 Kirazlı-Halkalı Metro/Panel 2024 852.16 | medyan 852.16 +46.14 (exproof kanal fanı 300-750 m³/h; +geri dönüşsüz damper R05961) = 898.30 € | mevcut REF 1074.15 (-16.4%) düzeltildi [Emsal ID: R05408;R05484;R05574;R05951;R05952]</t>
        </is>
      </c>
      <c r="M106" s="7" t="inlineStr">
        <is>
          <t>(alt miktar ×4 set) | İlk tahmin BF 1,074.15</t>
        </is>
      </c>
    </row>
    <row r="107" outlineLevel="1">
      <c r="A107" s="27" t="n"/>
      <c r="B107" s="27" t="inlineStr">
        <is>
          <t>6002.A</t>
        </is>
      </c>
      <c r="C107" s="7" t="inlineStr">
        <is>
          <t>Hidrojen (H2) gaz sensörü + fan kontrol rölesi</t>
        </is>
      </c>
      <c r="D107" s="27" t="inlineStr">
        <is>
          <t>adet</t>
        </is>
      </c>
      <c r="E107" s="50" t="n">
        <v>4</v>
      </c>
      <c r="F107" s="50" t="n">
        <v>4</v>
      </c>
      <c r="G107" s="27" t="inlineStr">
        <is>
          <t>-</t>
        </is>
      </c>
      <c r="H107" s="50">
        <f>F107</f>
        <v/>
      </c>
      <c r="I107" s="51" t="n">
        <v>650</v>
      </c>
      <c r="J107" s="28">
        <f>H107*I107</f>
        <v/>
      </c>
      <c r="K107" s="53" t="inlineStr">
        <is>
          <t>MÜHENDİSLİK TAHMİNİ</t>
        </is>
      </c>
      <c r="L107" s="7" t="inlineStr">
        <is>
          <t>TAHMIN (emsal yok) – H2 gaz sensörü için emsal yok; mevcut tahmin korundu</t>
        </is>
      </c>
      <c r="M107" s="7" t="inlineStr">
        <is>
          <t>(alt miktar ×4 set)</t>
        </is>
      </c>
    </row>
    <row r="108" outlineLevel="1">
      <c r="A108" s="27" t="n"/>
      <c r="B108" s="27" t="inlineStr">
        <is>
          <t>6002.A</t>
        </is>
      </c>
      <c r="C108" s="7" t="inlineStr">
        <is>
          <t>Galvaniz egzoz kanalı + egzoz atış panjuru (tel kafesli) + taze hava/transfer menfezi (filtreli)</t>
        </is>
      </c>
      <c r="D108" s="27" t="inlineStr">
        <is>
          <t>takım</t>
        </is>
      </c>
      <c r="E108" s="50" t="n">
        <v>8</v>
      </c>
      <c r="F108" s="50" t="n">
        <v>8</v>
      </c>
      <c r="G108" s="27" t="inlineStr">
        <is>
          <t>%30</t>
        </is>
      </c>
      <c r="H108" s="50">
        <f>F108/IF(Varsayimlar!$B$21=1,1.3,1)</f>
        <v/>
      </c>
      <c r="I108" s="51" t="n">
        <v>1200</v>
      </c>
      <c r="J108" s="28">
        <f>H108*I108</f>
        <v/>
      </c>
      <c r="K108" s="53" t="inlineStr">
        <is>
          <t>MÜHENDİSLİK TAHMİNİ</t>
        </is>
      </c>
      <c r="L108" s="7" t="inlineStr">
        <is>
          <t>TAHMIN (emsal yok) – Uygun emsal yok; mevcut tahmin korundu</t>
        </is>
      </c>
      <c r="M108" s="7" t="inlineStr">
        <is>
          <t>Kanal+panjur+filtreli menfez takımı (alt miktar ×4 set)</t>
        </is>
      </c>
    </row>
    <row r="109" outlineLevel="1">
      <c r="A109" s="27" t="n"/>
      <c r="B109" s="27" t="inlineStr">
        <is>
          <t>6002.A</t>
        </is>
      </c>
      <c r="C109" s="7" t="inlineStr">
        <is>
          <t>Fan kumanda/MCC pano çıkışı (pako, kontaktör, termik)</t>
        </is>
      </c>
      <c r="D109" s="27" t="inlineStr">
        <is>
          <t>adet</t>
        </is>
      </c>
      <c r="E109" s="50" t="n">
        <v>4</v>
      </c>
      <c r="F109" s="50" t="n">
        <v>4</v>
      </c>
      <c r="G109" s="27" t="inlineStr">
        <is>
          <t>-</t>
        </is>
      </c>
      <c r="H109" s="50">
        <f>F109</f>
        <v/>
      </c>
      <c r="I109" s="51" t="n">
        <v>400</v>
      </c>
      <c r="J109" s="28">
        <f>H109*I109</f>
        <v/>
      </c>
      <c r="K109" s="53" t="inlineStr">
        <is>
          <t>MÜHENDİSLİK TAHMİNİ</t>
        </is>
      </c>
      <c r="L109" s="7" t="inlineStr">
        <is>
          <t>TAHMIN (emsal yok) – emsal bulunamadı; mevcut tahmin korundu</t>
        </is>
      </c>
      <c r="M109" s="7" t="inlineStr">
        <is>
          <t>(alt miktar ×4 set)</t>
        </is>
      </c>
    </row>
    <row r="110">
      <c r="A110" s="48" t="inlineStr">
        <is>
          <t>168</t>
        </is>
      </c>
      <c r="B110" s="48" t="inlineStr">
        <is>
          <t>6002.B</t>
        </is>
      </c>
      <c r="C110" s="48" t="inlineStr">
        <is>
          <t>Depo-Kontrol Binaları Havalandırma Sistemi (1 set)</t>
        </is>
      </c>
      <c r="D110" s="48" t="n"/>
      <c r="E110" s="48" t="n"/>
      <c r="F110" s="48" t="n"/>
      <c r="G110" s="48" t="n"/>
      <c r="H110" s="48" t="inlineStr">
        <is>
          <t>RFQ tutarı →</t>
        </is>
      </c>
      <c r="I110" s="49">
        <f>SUMPRODUCT(E111:E139,I111:I139)</f>
        <v/>
      </c>
      <c r="J110" s="49">
        <f>SUM(J111:J139)</f>
        <v/>
      </c>
      <c r="K110" s="48" t="n"/>
      <c r="L110" s="48" t="n"/>
      <c r="M110" s="48" t="n"/>
    </row>
    <row r="111" outlineLevel="1">
      <c r="A111" s="27" t="n"/>
      <c r="B111" s="27" t="inlineStr">
        <is>
          <t>6002.B</t>
        </is>
      </c>
      <c r="C111" s="7" t="inlineStr">
        <is>
          <t>D01 IGK-1 Isı geri kazanımlı havalandırma cihazı, plakalı, asma tavan, 1500 m³/h, 70 Pa (yemekhane)</t>
        </is>
      </c>
      <c r="D111" s="27" t="inlineStr">
        <is>
          <t>adet</t>
        </is>
      </c>
      <c r="E111" s="50" t="n">
        <v>1</v>
      </c>
      <c r="F111" s="50" t="n">
        <v>1</v>
      </c>
      <c r="G111" s="27" t="inlineStr">
        <is>
          <t>%30</t>
        </is>
      </c>
      <c r="H111" s="50">
        <f>F111/IF(Varsayimlar!$B$21=1,1.3,1)</f>
        <v/>
      </c>
      <c r="I111" s="51" t="n">
        <v>2188.45</v>
      </c>
      <c r="J111" s="28">
        <f>H111*I111</f>
        <v/>
      </c>
      <c r="K111" s="52" t="inlineStr">
        <is>
          <t>GEÇMİŞ TEKLİF UYARLAMA</t>
        </is>
      </c>
      <c r="L111" s="7" t="inlineStr">
        <is>
          <t>REF-derin – R05486 Kocaeli KentMey.Tram/Uluhanlar 2015 2420.52; R05577 Kocaeli KentMey.Tram/bilinmiyor 2015 4213.61 | 3000 m³/h medyan 3317.06 × (1500/3000)^0,6 = 2188.45 € [Emsal ID: R05486;R05577]</t>
        </is>
      </c>
      <c r="M111" s="7" t="inlineStr">
        <is>
          <t>İlk tahmin BF 5,000.00</t>
        </is>
      </c>
    </row>
    <row r="112" outlineLevel="1">
      <c r="A112" s="27" t="n"/>
      <c r="B112" s="27" t="inlineStr">
        <is>
          <t>6002.B</t>
        </is>
      </c>
      <c r="C112" s="7" t="inlineStr">
        <is>
          <t>D01 IGK-2 Isı geri kazanımlı havalandırma cihazı, plakalı, asma tavan, 1850 m³/h, 300 Pa (ofisler)</t>
        </is>
      </c>
      <c r="D112" s="27" t="inlineStr">
        <is>
          <t>adet</t>
        </is>
      </c>
      <c r="E112" s="50" t="n">
        <v>1</v>
      </c>
      <c r="F112" s="50" t="n">
        <v>1</v>
      </c>
      <c r="G112" s="27" t="inlineStr">
        <is>
          <t>%30</t>
        </is>
      </c>
      <c r="H112" s="50">
        <f>F112/IF(Varsayimlar!$B$21=1,1.3,1)</f>
        <v/>
      </c>
      <c r="I112" s="51" t="n">
        <v>2854.18</v>
      </c>
      <c r="J112" s="28">
        <f>H112*I112</f>
        <v/>
      </c>
      <c r="K112" s="52" t="inlineStr">
        <is>
          <t>GEÇMİŞ TEKLİF UYARLAMA</t>
        </is>
      </c>
      <c r="L112" s="7" t="inlineStr">
        <is>
          <t>REF-derin – R05486 Kocaeli KentMey.Tram/Uluhanlar 2015 2420.52; R05577 Kocaeli KentMey.Tram/bilinmiyor 2015 4213.61 | 3000 m³/h medyan 3317.06 × (1850/3000)^0,6 × 1,15 (300 Pa yüksek basınç) = 2854.18 € [Emsal ID: R05486;R05577]</t>
        </is>
      </c>
      <c r="M112" s="7" t="inlineStr">
        <is>
          <t>İlk tahmin BF 6,000.00</t>
        </is>
      </c>
    </row>
    <row r="113" outlineLevel="1">
      <c r="A113" s="27" t="n"/>
      <c r="B113" s="27" t="inlineStr">
        <is>
          <t>6002.B</t>
        </is>
      </c>
      <c r="C113" s="7" t="inlineStr">
        <is>
          <t>D01 IGK-3 Isı geri kazanımlı havalandırma cihazı, plakalı, asma tavan, 3100 m³/h, 300 Pa (ofisler)</t>
        </is>
      </c>
      <c r="D113" s="27" t="inlineStr">
        <is>
          <t>adet</t>
        </is>
      </c>
      <c r="E113" s="50" t="n">
        <v>1</v>
      </c>
      <c r="F113" s="50" t="n">
        <v>1</v>
      </c>
      <c r="G113" s="27" t="inlineStr">
        <is>
          <t>%30</t>
        </is>
      </c>
      <c r="H113" s="50">
        <f>F113/IF(Varsayimlar!$B$21=1,1.3,1)</f>
        <v/>
      </c>
      <c r="I113" s="51" t="n">
        <v>4480</v>
      </c>
      <c r="J113" s="28">
        <f>H113*I113</f>
        <v/>
      </c>
      <c r="K113" s="52" t="inlineStr">
        <is>
          <t>GEÇMİŞ TEKLİF UYARLAMA</t>
        </is>
      </c>
      <c r="L113" s="7" t="inlineStr">
        <is>
          <t>REF-derin – 3000 m³/h IGK: Kocaeli Uluhanlar 2.421, Ventila 4.214 → medyan 3.317 +%35 (ErP/EC fan, 300 Pa) = 4.480; mevcut 8.000 YÜKSEK [Emsal ID: R05486;R05577]</t>
        </is>
      </c>
      <c r="M113" s="7" t="inlineStr">
        <is>
          <t>Ref düşük; 3100 m³/h IGK montajlı | İlk tahmin BF 8,000.00</t>
        </is>
      </c>
    </row>
    <row r="114" outlineLevel="1">
      <c r="A114" s="27" t="n"/>
      <c r="B114" s="27" t="inlineStr">
        <is>
          <t>6002.B</t>
        </is>
      </c>
      <c r="C114" s="7" t="inlineStr">
        <is>
          <t>D01 EF-1 Egzoz fanı kanal tipi 100 m³/h (WC)</t>
        </is>
      </c>
      <c r="D114" s="27" t="inlineStr">
        <is>
          <t>adet</t>
        </is>
      </c>
      <c r="E114" s="50" t="n">
        <v>1</v>
      </c>
      <c r="F114" s="50" t="n">
        <v>1</v>
      </c>
      <c r="G114" s="27" t="inlineStr">
        <is>
          <t>%30</t>
        </is>
      </c>
      <c r="H114" s="50">
        <f>F114/IF(Varsayimlar!$B$21=1,1.3,1)</f>
        <v/>
      </c>
      <c r="I114" s="51" t="n">
        <v>57.4</v>
      </c>
      <c r="J114" s="28">
        <f>H114*I114</f>
        <v/>
      </c>
      <c r="K114" s="52" t="inlineStr">
        <is>
          <t>GEÇMİŞ TEKLİF UYARLAMA</t>
        </is>
      </c>
      <c r="L114" s="7" t="inlineStr">
        <is>
          <t>REF-derin – R05482 Kocaeli KentMey.Tram/Uluhanlar 2015 40.26; R05572 Kocaeli KentMey.Tram/bilinmiyor 2015 40.83; R05955 Kirazlı-Halkalı Metro/Panel 2024 103.53; R06020 Mezitli Metro/Venco 2021 61.64→73.97×1.2 | medyan 57.40 (100 m³/h kanal fanı; Venco M +%20) = 57.40 € | mevcut REF 165.01 (-65.2%) düzeltildi [Emsal ID: R05482;R05572;R05955;R06020]</t>
        </is>
      </c>
      <c r="M114" s="7" t="inlineStr">
        <is>
          <t>İlk tahmin BF 165.01</t>
        </is>
      </c>
    </row>
    <row r="115" outlineLevel="1">
      <c r="A115" s="27" t="n"/>
      <c r="B115" s="27" t="inlineStr">
        <is>
          <t>6002.B</t>
        </is>
      </c>
      <c r="C115" s="7" t="inlineStr">
        <is>
          <t>D01 EF-2 Egzoz fanı kanal tipi 300 m³/h 80 Pa (akü odası; exproof kabulü)</t>
        </is>
      </c>
      <c r="D115" s="27" t="inlineStr">
        <is>
          <t>adet</t>
        </is>
      </c>
      <c r="E115" s="50" t="n">
        <v>1</v>
      </c>
      <c r="F115" s="50" t="n">
        <v>1</v>
      </c>
      <c r="G115" s="27" t="inlineStr">
        <is>
          <t>%30</t>
        </is>
      </c>
      <c r="H115" s="50">
        <f>F115/IF(Varsayimlar!$B$21=1,1.3,1)</f>
        <v/>
      </c>
      <c r="I115" s="51" t="n">
        <v>852.16</v>
      </c>
      <c r="J115" s="28">
        <f>H115*I115</f>
        <v/>
      </c>
      <c r="K115" s="52" t="inlineStr">
        <is>
          <t>GEÇMİŞ TEKLİF UYARLAMA</t>
        </is>
      </c>
      <c r="L115" s="7" t="inlineStr">
        <is>
          <t>REF-derin – R05408 Kocaeli Tram/Özgür 2014 329.85; R05484 Kocaeli KentMey.Tram/Uluhanlar 2015 1274.21; R05574 Kocaeli KentMey.Tram/bilinmiyor 2015 1074.15; R05951 Kirazlı-Halkalı Metro/Panel 2024 852.16; R05952 Kirazlı-Halkalı Metro/Panel 2024 852.16 | medyan 852.16 (exproof kanal fanı (mevcut REF 2008 split klima emsaline dayanıyordu)) = 852.16 € | mevcut REF 1255.52 (-32.1%) düzeltildi [Emsal ID: R05408;R05484;R05574;R05951;R05952]</t>
        </is>
      </c>
      <c r="M115" s="7" t="inlineStr">
        <is>
          <t>İlk tahmin BF 1,255.52</t>
        </is>
      </c>
    </row>
    <row r="116" outlineLevel="1">
      <c r="A116" s="27" t="n"/>
      <c r="B116" s="27" t="inlineStr">
        <is>
          <t>6002.B</t>
        </is>
      </c>
      <c r="C116" s="7" t="inlineStr">
        <is>
          <t>D01 EF-3 Egzoz fanı duvar tipi 500 m³/h (depo)</t>
        </is>
      </c>
      <c r="D116" s="27" t="inlineStr">
        <is>
          <t>adet</t>
        </is>
      </c>
      <c r="E116" s="50" t="n">
        <v>2</v>
      </c>
      <c r="F116" s="50" t="n">
        <v>2</v>
      </c>
      <c r="G116" s="27" t="inlineStr">
        <is>
          <t>-</t>
        </is>
      </c>
      <c r="H116" s="50">
        <f>F116</f>
        <v/>
      </c>
      <c r="I116" s="51" t="n">
        <v>119.23</v>
      </c>
      <c r="J116" s="28">
        <f>H116*I116</f>
        <v/>
      </c>
      <c r="K116" s="52" t="inlineStr">
        <is>
          <t>GEÇMİŞ TEKLİF UYARLAMA</t>
        </is>
      </c>
      <c r="L116" s="7" t="inlineStr">
        <is>
          <t>REF-derin – R05302 İzmir Buca Metro/Alp 2021 111.26; R05950 Kirazlı-Halkalı Metro/Panel 2024 127.19 | medyan 119.23 (500 m³/h kanal/duvar fanı) = 119.23 € | mevcut REF 233.86 (-49.0%) düzeltildi [Emsal ID: R05302;R05950]</t>
        </is>
      </c>
      <c r="M116" s="7" t="inlineStr">
        <is>
          <t>İlk tahmin BF 233.86</t>
        </is>
      </c>
    </row>
    <row r="117" outlineLevel="1">
      <c r="A117" s="27" t="n"/>
      <c r="B117" s="27" t="inlineStr">
        <is>
          <t>6002.B</t>
        </is>
      </c>
      <c r="C117" s="7" t="inlineStr">
        <is>
          <t>D01 EF-4 Egzoz fanı çatı tipi 500 m³/h (davlumbaz)</t>
        </is>
      </c>
      <c r="D117" s="27" t="inlineStr">
        <is>
          <t>adet</t>
        </is>
      </c>
      <c r="E117" s="50" t="n">
        <v>2</v>
      </c>
      <c r="F117" s="50" t="n">
        <v>2</v>
      </c>
      <c r="G117" s="27" t="inlineStr">
        <is>
          <t>-</t>
        </is>
      </c>
      <c r="H117" s="50">
        <f>F117</f>
        <v/>
      </c>
      <c r="I117" s="51" t="n">
        <v>837.02</v>
      </c>
      <c r="J117" s="28">
        <f>H117*I117</f>
        <v/>
      </c>
      <c r="K117" s="52" t="inlineStr">
        <is>
          <t>GEÇMİŞ TEKLİF UYARLAMA</t>
        </is>
      </c>
      <c r="L117" s="7" t="inlineStr">
        <is>
          <t>REF-teyit – R05478 Kocaeli KentMey.Tram/Uluhanlar 2015 251.05; R05567 Kocaeli KentMey.Tram/bilinmiyor 2015 870.65; R06122 Siirt-Kurtalan DY/Yamaner 2025 1386.38 | medyan 870.65 (çatı tipi aspiratör 1000-1500 m³/h) = 870.65 € | sapma +4.0% ≤%10 → mevcut REF teyit [Emsal ID: R05478;R05567;R06122]</t>
        </is>
      </c>
      <c r="M117" s="7" t="inlineStr"/>
    </row>
    <row r="118" outlineLevel="1">
      <c r="A118" s="27" t="n"/>
      <c r="B118" s="27" t="inlineStr">
        <is>
          <t>6002.B</t>
        </is>
      </c>
      <c r="C118" s="7" t="inlineStr">
        <is>
          <t>D01 EF-5 Egzoz fanı kanal tipi 1000 m³/h (atölyeler)</t>
        </is>
      </c>
      <c r="D118" s="27" t="inlineStr">
        <is>
          <t>adet</t>
        </is>
      </c>
      <c r="E118" s="50" t="n">
        <v>3</v>
      </c>
      <c r="F118" s="50" t="n">
        <v>3</v>
      </c>
      <c r="G118" s="27" t="inlineStr">
        <is>
          <t>%30</t>
        </is>
      </c>
      <c r="H118" s="50">
        <f>F118/IF(Varsayimlar!$B$21=1,1.3,1)</f>
        <v/>
      </c>
      <c r="I118" s="51" t="n">
        <v>145</v>
      </c>
      <c r="J118" s="28">
        <f>H118*I118</f>
        <v/>
      </c>
      <c r="K118" s="52" t="inlineStr">
        <is>
          <t>GEÇMİŞ TEKLİF UYARLAMA</t>
        </is>
      </c>
      <c r="L118" s="7" t="inlineStr">
        <is>
          <t>REF-derin – R05309 İzmir Buca Metro/Alp 2021 145.00; R05798 Kocaeli KentMey.Tram/FER 2015 590.74; R05884 Kocaeli KentMey.Tram/Mertsan 2015 165.01; R05948 Kirazlı-Halkalı Metro/Panel 2024 142.40; R06021 Mezitli Metro/Venco 2021 120.42→144.51×1.2 | medyan 145.00 (~1000 m³/h kanal fanı) = 145.00 € [Emsal ID: R05309;R05798;R05884;R05948;R06021]</t>
        </is>
      </c>
      <c r="M118" s="7" t="inlineStr">
        <is>
          <t>İlk tahmin BF 550.00</t>
        </is>
      </c>
    </row>
    <row r="119" outlineLevel="1">
      <c r="A119" s="27" t="n"/>
      <c r="B119" s="27" t="inlineStr">
        <is>
          <t>6002.B</t>
        </is>
      </c>
      <c r="C119" s="7" t="inlineStr">
        <is>
          <t>D01 EF-6 Radyal kaynak egzoz fanı 1000 m³/h 900 Pa + teleskopik kaynak buharı çekme kolu</t>
        </is>
      </c>
      <c r="D119" s="27" t="inlineStr">
        <is>
          <t>adet</t>
        </is>
      </c>
      <c r="E119" s="50" t="n">
        <v>1</v>
      </c>
      <c r="F119" s="50" t="n">
        <v>1</v>
      </c>
      <c r="G119" s="27" t="inlineStr">
        <is>
          <t>-</t>
        </is>
      </c>
      <c r="H119" s="50">
        <f>F119</f>
        <v/>
      </c>
      <c r="I119" s="51" t="n">
        <v>3500</v>
      </c>
      <c r="J119" s="28">
        <f>H119*I119</f>
        <v/>
      </c>
      <c r="K119" s="53" t="inlineStr">
        <is>
          <t>MÜHENDİSLİK TAHMİNİ</t>
        </is>
      </c>
      <c r="L119" s="7" t="inlineStr">
        <is>
          <t>TAHMIN (emsal yok) – Kaynak duman emiş kolu + 900 Pa radyal fan için emsal yok</t>
        </is>
      </c>
      <c r="M119" s="7" t="inlineStr">
        <is>
          <t>Radyal fan + teleskopik kol</t>
        </is>
      </c>
    </row>
    <row r="120" outlineLevel="1">
      <c r="A120" s="27" t="n"/>
      <c r="B120" s="27" t="inlineStr">
        <is>
          <t>6002.B</t>
        </is>
      </c>
      <c r="C120" s="7" t="inlineStr">
        <is>
          <t>D01 EF-6A Radyal egzoz fanı 2000 m³/h 150 Pa (boji boyama)</t>
        </is>
      </c>
      <c r="D120" s="27" t="inlineStr">
        <is>
          <t>adet</t>
        </is>
      </c>
      <c r="E120" s="50" t="n">
        <v>1</v>
      </c>
      <c r="F120" s="50" t="n">
        <v>1</v>
      </c>
      <c r="G120" s="27" t="inlineStr">
        <is>
          <t>-</t>
        </is>
      </c>
      <c r="H120" s="50">
        <f>F120</f>
        <v/>
      </c>
      <c r="I120" s="51" t="n">
        <v>1107.81</v>
      </c>
      <c r="J120" s="28">
        <f>H120*I120</f>
        <v/>
      </c>
      <c r="K120" s="52" t="inlineStr">
        <is>
          <t>GEÇMİŞ TEKLİF UYARLAMA</t>
        </is>
      </c>
      <c r="L120" s="7" t="inlineStr">
        <is>
          <t>REF-derin – R05408 Kocaeli Tram/Özgür 2014 329.85; R05484 Kocaeli KentMey.Tram/Uluhanlar 2015 1274.21; R05574 Kocaeli KentMey.Tram/bilinmiyor 2015 1074.15; R05951 Kirazlı-Halkalı Metro/Panel 2024 852.16; R05952 Kirazlı-Halkalı Metro/Panel 2024 852.16 | medyan 852.16 ×1.3 (boji boyama ortamı → exproof; 2000 m³/h için +%30 boyut) = 1107.81 € | mevcut REF 1400.00 (-20.9%) düzeltildi [Emsal ID: R05408;R05484;R05574;R05951;R05952]</t>
        </is>
      </c>
      <c r="M120" s="7" t="inlineStr">
        <is>
          <t>Ref düşük; 2000 m³/h radyal fan | İlk tahmin BF 1,400.00</t>
        </is>
      </c>
    </row>
    <row r="121" outlineLevel="1">
      <c r="A121" s="27" t="n"/>
      <c r="B121" s="27" t="inlineStr">
        <is>
          <t>6002.B</t>
        </is>
      </c>
      <c r="C121" s="7" t="inlineStr">
        <is>
          <t>D01 EF-7 Egzoz fanı çatı tipi 2100 m³/h (WC egzoz)</t>
        </is>
      </c>
      <c r="D121" s="27" t="inlineStr">
        <is>
          <t>adet</t>
        </is>
      </c>
      <c r="E121" s="50" t="n">
        <v>1</v>
      </c>
      <c r="F121" s="50" t="n">
        <v>1</v>
      </c>
      <c r="G121" s="27" t="inlineStr">
        <is>
          <t>-</t>
        </is>
      </c>
      <c r="H121" s="50">
        <f>F121</f>
        <v/>
      </c>
      <c r="I121" s="51" t="n">
        <v>1421.49</v>
      </c>
      <c r="J121" s="28">
        <f>H121*I121</f>
        <v/>
      </c>
      <c r="K121" s="52" t="inlineStr">
        <is>
          <t>GEÇMİŞ TEKLİF UYARLAMA</t>
        </is>
      </c>
      <c r="L121" s="7" t="inlineStr">
        <is>
          <t>REF-derin – R05479 Kocaeli KentMey.Tram/Uluhanlar 2015 767.37; R05569 Kocaeli KentMey.Tram/bilinmiyor 2015 1456.59; R06122 Siirt-Kurtalan DY/Yamaner 2025 1386.38; R06123 Siirt-Kurtalan DY/Yamaner 2025 2428.48 | medyan 1421.49 (çatı tipi aspiratör 1500-3550 m³/h) = 1421.49 € | mevcut REF 1255.52 (+13.2%) düzeltildi [Emsal ID: R05479;R05569;R06122;R06123]</t>
        </is>
      </c>
      <c r="M121" s="7" t="inlineStr">
        <is>
          <t>İlk tahmin BF 1,255.52</t>
        </is>
      </c>
    </row>
    <row r="122" outlineLevel="1">
      <c r="A122" s="27" t="n"/>
      <c r="B122" s="27" t="inlineStr">
        <is>
          <t>6002.B</t>
        </is>
      </c>
      <c r="C122" s="7" t="inlineStr">
        <is>
          <t>D01 EF-8 Egzoz fanı çatı tipi 4000 m³/h 400V (mutfak davlumbaz)</t>
        </is>
      </c>
      <c r="D122" s="27" t="inlineStr">
        <is>
          <t>adet</t>
        </is>
      </c>
      <c r="E122" s="50" t="n">
        <v>1</v>
      </c>
      <c r="F122" s="50" t="n">
        <v>1</v>
      </c>
      <c r="G122" s="27" t="inlineStr">
        <is>
          <t>-</t>
        </is>
      </c>
      <c r="H122" s="50">
        <f>F122</f>
        <v/>
      </c>
      <c r="I122" s="51" t="n">
        <v>1456.59</v>
      </c>
      <c r="J122" s="28">
        <f>H122*I122</f>
        <v/>
      </c>
      <c r="K122" s="52" t="inlineStr">
        <is>
          <t>GEÇMİŞ TEKLİF UYARLAMA</t>
        </is>
      </c>
      <c r="L122" s="7" t="inlineStr">
        <is>
          <t>REF-teyit – R05480 Kocaeli KentMey.Tram/Uluhanlar 2015 1141.57; R05570 Kocaeli KentMey.Tram/bilinmiyor 2015 1456.59; R06123 Siirt-Kurtalan DY/Yamaner 2025 2428.48 | medyan 1456.59 (çatı tipi mutfak aspiratörü 3000-3500 m³/h) = 1456.59 € | sapma +0.0% ≤%10 → mevcut REF teyit [Emsal ID: R05480;R05570;R06123]</t>
        </is>
      </c>
      <c r="M122" s="7" t="inlineStr"/>
    </row>
    <row r="123" outlineLevel="1">
      <c r="A123" s="27" t="n"/>
      <c r="B123" s="27" t="inlineStr">
        <is>
          <t>6002.B</t>
        </is>
      </c>
      <c r="C123" s="7" t="inlineStr">
        <is>
          <t>D01 EF-9 Egzoz fanı duvar tipi 100 m³/h (ofisler)</t>
        </is>
      </c>
      <c r="D123" s="27" t="inlineStr">
        <is>
          <t>adet</t>
        </is>
      </c>
      <c r="E123" s="50" t="n">
        <v>2</v>
      </c>
      <c r="F123" s="50" t="n">
        <v>2</v>
      </c>
      <c r="G123" s="27" t="inlineStr">
        <is>
          <t>-</t>
        </is>
      </c>
      <c r="H123" s="50">
        <f>F123</f>
        <v/>
      </c>
      <c r="I123" s="51" t="n">
        <v>57.4</v>
      </c>
      <c r="J123" s="28">
        <f>H123*I123</f>
        <v/>
      </c>
      <c r="K123" s="52" t="inlineStr">
        <is>
          <t>GEÇMİŞ TEKLİF UYARLAMA</t>
        </is>
      </c>
      <c r="L123" s="7" t="inlineStr">
        <is>
          <t>REF-derin – R05482 Kocaeli KentMey.Tram/Uluhanlar 2015 40.26; R05572 Kocaeli KentMey.Tram/bilinmiyor 2015 40.83; R05955 Kirazlı-Halkalı Metro/Panel 2024 103.53; R06020 Mezitli Metro/Venco 2021 61.64→73.97×1.2 | medyan 57.40 (100 m³/h fan) = 57.40 € | mevcut REF 160.00 (-64.1%) düzeltildi [Emsal ID: R05482;R05572;R05955;R06020]</t>
        </is>
      </c>
      <c r="M123" s="7" t="inlineStr">
        <is>
          <t>Ref yüksek; 100 m³/h duvar fanı | İlk tahmin BF 160.00</t>
        </is>
      </c>
    </row>
    <row r="124" outlineLevel="1">
      <c r="A124" s="27" t="n"/>
      <c r="B124" s="27" t="inlineStr">
        <is>
          <t>6002.B</t>
        </is>
      </c>
      <c r="C124" s="7" t="inlineStr">
        <is>
          <t>D01 EF-10 Egzoz fanı duvar tipi 200 m³/h (mescit)</t>
        </is>
      </c>
      <c r="D124" s="27" t="inlineStr">
        <is>
          <t>adet</t>
        </is>
      </c>
      <c r="E124" s="50" t="n">
        <v>1</v>
      </c>
      <c r="F124" s="50" t="n">
        <v>1</v>
      </c>
      <c r="G124" s="27" t="inlineStr">
        <is>
          <t>-</t>
        </is>
      </c>
      <c r="H124" s="50">
        <f>F124</f>
        <v/>
      </c>
      <c r="I124" s="51" t="n">
        <v>96.89</v>
      </c>
      <c r="J124" s="28">
        <f>H124*I124</f>
        <v/>
      </c>
      <c r="K124" s="52" t="inlineStr">
        <is>
          <t>GEÇMİŞ TEKLİF UYARLAMA</t>
        </is>
      </c>
      <c r="L124" s="7" t="inlineStr">
        <is>
          <t>REF-derin – R05305 İzmir Buca Metro/Alp 2021 96.89; R05956 Kirazlı-Halkalı Metro/Panel 2024 115.05; R06020 Mezitli Metro/Venco 2021 61.64→73.97×1.2 | medyan 96.89 (150-200 m³/h fan) = 96.89 € [Emsal ID: R05305;R05956;R06020]</t>
        </is>
      </c>
      <c r="M124" s="7" t="inlineStr">
        <is>
          <t>İlk tahmin BF 200.00</t>
        </is>
      </c>
    </row>
    <row r="125" outlineLevel="1">
      <c r="A125" s="27" t="n"/>
      <c r="B125" s="27" t="inlineStr">
        <is>
          <t>6002.B</t>
        </is>
      </c>
      <c r="C125" s="7" t="inlineStr">
        <is>
          <t>D01 ÜF-1 Taze hava fanı kanal tipi 300 m³/h (mescit)</t>
        </is>
      </c>
      <c r="D125" s="27" t="inlineStr">
        <is>
          <t>adet</t>
        </is>
      </c>
      <c r="E125" s="50" t="n">
        <v>1</v>
      </c>
      <c r="F125" s="50" t="n">
        <v>1</v>
      </c>
      <c r="G125" s="27" t="inlineStr">
        <is>
          <t>%30</t>
        </is>
      </c>
      <c r="H125" s="50">
        <f>F125/IF(Varsayimlar!$B$21=1,1.3,1)</f>
        <v/>
      </c>
      <c r="I125" s="51" t="n">
        <v>109.93</v>
      </c>
      <c r="J125" s="28">
        <f>H125*I125</f>
        <v/>
      </c>
      <c r="K125" s="52" t="inlineStr">
        <is>
          <t>GEÇMİŞ TEKLİF UYARLAMA</t>
        </is>
      </c>
      <c r="L125" s="7" t="inlineStr">
        <is>
          <t>REF-derin – R05306 İzmir Buca Metro/Alp 2021 111.26; R05949 Kirazlı-Halkalı Metro/Panel 2024 108.60 | medyan 109.93 (300 m³/h kanal fanı) = 109.93 € | mevcut REF 320.00 (-65.6%) düzeltildi [Emsal ID: R05306;R05949]</t>
        </is>
      </c>
      <c r="M125" s="7" t="inlineStr">
        <is>
          <t>300 m³/h kanal fanı; diğer fanlarla tutarlı | İlk tahmin BF 320.00</t>
        </is>
      </c>
    </row>
    <row r="126" outlineLevel="1">
      <c r="A126" s="27" t="n"/>
      <c r="B126" s="27" t="inlineStr">
        <is>
          <t>6002.B</t>
        </is>
      </c>
      <c r="C126" s="7" t="inlineStr">
        <is>
          <t>D01 galvaniz sac hava kanalı (emiş/egzoz + üfleme/taze hava), izolasyon ve askı dahil</t>
        </is>
      </c>
      <c r="D126" s="27" t="inlineStr">
        <is>
          <t>m²</t>
        </is>
      </c>
      <c r="E126" s="50" t="n">
        <v>747</v>
      </c>
      <c r="F126" s="50" t="n">
        <v>747</v>
      </c>
      <c r="G126" s="27" t="inlineStr">
        <is>
          <t>%30</t>
        </is>
      </c>
      <c r="H126" s="50">
        <f>F126/IF(Varsayimlar!$B$21=1,1.3,1)</f>
        <v/>
      </c>
      <c r="I126" s="51" t="n">
        <v>39.8</v>
      </c>
      <c r="J126" s="28">
        <f>H126*I126</f>
        <v/>
      </c>
      <c r="K126" s="52" t="inlineStr">
        <is>
          <t>GEÇMİŞ TEKLİF UYARLAMA</t>
        </is>
      </c>
      <c r="L126" s="7" t="inlineStr">
        <is>
          <t>REF-derin – Galvaniz kanal m²: 14 ref (Kocaeli 22–47, Bursa T2 21–34, Buca 27–31, Kirazlı 2024 48–51, Siirt 2025 40–43) medyan 36,84 +%8 izolasyon payı = 39,79 [Emsal ID: R05488;R05489;R05580;R05581;R05885;R05799;R05942;R05313;R05314;R05965;R05966;R06124;R06125;R05663]</t>
        </is>
      </c>
      <c r="M126" s="7" t="inlineStr">
        <is>
          <t>İlk tahmin BF 33.63</t>
        </is>
      </c>
    </row>
    <row r="127" outlineLevel="1">
      <c r="A127" s="27" t="n"/>
      <c r="B127" s="27" t="inlineStr">
        <is>
          <t>6002.B</t>
        </is>
      </c>
      <c r="C127" s="7" t="inlineStr">
        <is>
          <t>D01 flexible kanal Ø127-Ø200 izoleli</t>
        </is>
      </c>
      <c r="D127" s="27" t="inlineStr">
        <is>
          <t>m</t>
        </is>
      </c>
      <c r="E127" s="50" t="n">
        <v>94</v>
      </c>
      <c r="F127" s="50" t="n">
        <v>94</v>
      </c>
      <c r="G127" s="27" t="inlineStr">
        <is>
          <t>fire+%30</t>
        </is>
      </c>
      <c r="H127" s="50">
        <f>F127/IF(Varsayimlar!$B$21=1,1.43,1)</f>
        <v/>
      </c>
      <c r="I127" s="51" t="n">
        <v>11.91</v>
      </c>
      <c r="J127" s="28">
        <f>H127*I127</f>
        <v/>
      </c>
      <c r="K127" s="52" t="inlineStr">
        <is>
          <t>GEÇMİŞ TEKLİF UYARLAMA</t>
        </is>
      </c>
      <c r="L127" s="7" t="inlineStr">
        <is>
          <t>REF-derin – R05969 Kirazlı-Halkalı Metro/Panel 2024 11.18; R05970 Kirazlı-Halkalı Metro/Panel 2024 12.64 | medyan 11.91 (izoleli flex Ø160-229, 2024) = 11.91 € | mevcut REF 15.69 (-24.1%) düzeltildi [Emsal ID: R05969;R05970]</t>
        </is>
      </c>
      <c r="M127" s="7" t="inlineStr">
        <is>
          <t>İlk tahmin BF 15.69</t>
        </is>
      </c>
    </row>
    <row r="128" outlineLevel="1">
      <c r="A128" s="27" t="n"/>
      <c r="B128" s="27" t="inlineStr">
        <is>
          <t>6002.B</t>
        </is>
      </c>
      <c r="C128" s="7" t="inlineStr">
        <is>
          <t>D01 emiş menfezi (EM) / genel aspirasyon menfezi (GA)</t>
        </is>
      </c>
      <c r="D128" s="27" t="inlineStr">
        <is>
          <t>adet</t>
        </is>
      </c>
      <c r="E128" s="50" t="n">
        <v>77</v>
      </c>
      <c r="F128" s="50" t="n">
        <v>77</v>
      </c>
      <c r="G128" s="27" t="inlineStr">
        <is>
          <t>%30</t>
        </is>
      </c>
      <c r="H128" s="50">
        <f>F128/IF(Varsayimlar!$B$21=1,1.3,1)</f>
        <v/>
      </c>
      <c r="I128" s="51" t="n">
        <v>33.45</v>
      </c>
      <c r="J128" s="28">
        <f>H128*I128</f>
        <v/>
      </c>
      <c r="K128" s="52" t="inlineStr">
        <is>
          <t>GEÇMİŞ TEKLİF UYARLAMA</t>
        </is>
      </c>
      <c r="L128" s="7" t="inlineStr">
        <is>
          <t>REF-teyit – R05493 Kocaeli KentMey.Tram/Uluhanlar 2015 56.84; R05586 Kocaeli KentMey.Tram/bilinmiyor 2015 31.92; R05802 Kocaeli KentMey.Tram/FER 2015 34.99; R05887 Kocaeli KentMey.Tram/Mertsan 2015 11.07; R05962 Kirazlı-Halkalı Metro/Panel 2024 96.45 | medyan 34.99 (toplayıcı/emiş menfezi) = 34.99 € | sapma +4.6% ≤%10 → mevcut REF teyit [Emsal ID: R05493;R05586;R05802;R05887;R05962]</t>
        </is>
      </c>
      <c r="M128" s="7" t="inlineStr"/>
    </row>
    <row r="129" outlineLevel="1">
      <c r="A129" s="27" t="n"/>
      <c r="B129" s="27" t="inlineStr">
        <is>
          <t>6002.B</t>
        </is>
      </c>
      <c r="C129" s="7" t="inlineStr">
        <is>
          <t>D01 tavan difüzörü (C 25x25 vb.)</t>
        </is>
      </c>
      <c r="D129" s="27" t="inlineStr">
        <is>
          <t>adet</t>
        </is>
      </c>
      <c r="E129" s="50" t="n">
        <v>16</v>
      </c>
      <c r="F129" s="50" t="n">
        <v>16</v>
      </c>
      <c r="G129" s="27" t="inlineStr">
        <is>
          <t>%30</t>
        </is>
      </c>
      <c r="H129" s="50">
        <f>F129/IF(Varsayimlar!$B$21=1,1.3,1)</f>
        <v/>
      </c>
      <c r="I129" s="51" t="n">
        <v>41.82</v>
      </c>
      <c r="J129" s="28">
        <f>H129*I129</f>
        <v/>
      </c>
      <c r="K129" s="52" t="inlineStr">
        <is>
          <t>GEÇMİŞ TEKLİF UYARLAMA</t>
        </is>
      </c>
      <c r="L129" s="7" t="inlineStr">
        <is>
          <t>REF-teyit – R05962 Kirazlı-Halkalı Metro/Panel 2024 96.45; R06277 Üsk.-Ümr. Metro/Ekin 2011 97.68 | yalnız büyük boy (Ø400 / 600x600) difüzör emsalleri var; C25x25 için doğrudan karşılaştırılamaz, mevcut REF 41,82 teyit [Emsal ID: R05962;R06277]</t>
        </is>
      </c>
      <c r="M129" s="7" t="inlineStr"/>
    </row>
    <row r="130" outlineLevel="1">
      <c r="A130" s="27" t="n"/>
      <c r="B130" s="27" t="inlineStr">
        <is>
          <t>6002.B</t>
        </is>
      </c>
      <c r="C130" s="7" t="inlineStr">
        <is>
          <t>D01 taze hava / transfer menfezi (TM)</t>
        </is>
      </c>
      <c r="D130" s="27" t="inlineStr">
        <is>
          <t>adet</t>
        </is>
      </c>
      <c r="E130" s="50" t="n">
        <v>16</v>
      </c>
      <c r="F130" s="50" t="n">
        <v>16</v>
      </c>
      <c r="G130" s="27" t="inlineStr">
        <is>
          <t>%30</t>
        </is>
      </c>
      <c r="H130" s="50">
        <f>F130/IF(Varsayimlar!$B$21=1,1.3,1)</f>
        <v/>
      </c>
      <c r="I130" s="51" t="n">
        <v>59.44</v>
      </c>
      <c r="J130" s="28">
        <f>H130*I130</f>
        <v/>
      </c>
      <c r="K130" s="52" t="inlineStr">
        <is>
          <t>GEÇMİŞ TEKLİF UYARLAMA</t>
        </is>
      </c>
      <c r="L130" s="7" t="inlineStr">
        <is>
          <t>REF-teyit – R05495 Kocaeli KentMey.Tram/Uluhanlar 2015 37.89; R05588 Kocaeli KentMey.Tram/bilinmiyor 2015 80.98 | medyan 59.44 (transfer menfezi) = 59.44 € | sapma -0.0% ≤%10 → mevcut REF teyit [Emsal ID: R05495;R05588]</t>
        </is>
      </c>
      <c r="M130" s="7" t="inlineStr"/>
    </row>
    <row r="131" outlineLevel="1">
      <c r="A131" s="27" t="n"/>
      <c r="B131" s="27" t="inlineStr">
        <is>
          <t>6002.B</t>
        </is>
      </c>
      <c r="C131" s="7" t="inlineStr">
        <is>
          <t>D01 egzoz atış panjuru (EAP) tel kafesli</t>
        </is>
      </c>
      <c r="D131" s="27" t="inlineStr">
        <is>
          <t>adet</t>
        </is>
      </c>
      <c r="E131" s="50" t="n">
        <v>9</v>
      </c>
      <c r="F131" s="50" t="n">
        <v>9</v>
      </c>
      <c r="G131" s="27" t="inlineStr">
        <is>
          <t>-</t>
        </is>
      </c>
      <c r="H131" s="50">
        <f>F131</f>
        <v/>
      </c>
      <c r="I131" s="51" t="n">
        <v>229.7</v>
      </c>
      <c r="J131" s="28">
        <f>H131*I131</f>
        <v/>
      </c>
      <c r="K131" s="52" t="inlineStr">
        <is>
          <t>GEÇMİŞ TEKLİF UYARLAMA</t>
        </is>
      </c>
      <c r="L131" s="7" t="inlineStr">
        <is>
          <t>REF-teyit – R05963 Kirazlı-Halkalı Metro/Panel 2024 65.26; R05964 Kirazlı-Halkalı Metro/Panel 2024 368.44; m² fiyatları R05496 42,16 / R05589 211,98 / R06131 200,98 €/m² | EAP boyutu belirsiz; mevcut 229,70 emsal aralığında (65-368 €), teyit [Emsal ID: R05963;R05964;R05496;R05589;R06131]</t>
        </is>
      </c>
      <c r="M131" s="7" t="inlineStr"/>
    </row>
    <row r="132" outlineLevel="1">
      <c r="A132" s="27" t="n"/>
      <c r="B132" s="27" t="inlineStr">
        <is>
          <t>6002.B</t>
        </is>
      </c>
      <c r="C132" s="7" t="inlineStr">
        <is>
          <t>D01 yangın damperi / debi ayar damperleri</t>
        </is>
      </c>
      <c r="D132" s="27" t="inlineStr">
        <is>
          <t>adet</t>
        </is>
      </c>
      <c r="E132" s="50" t="n">
        <v>10</v>
      </c>
      <c r="F132" s="50" t="n">
        <v>10</v>
      </c>
      <c r="G132" s="27" t="inlineStr">
        <is>
          <t>-</t>
        </is>
      </c>
      <c r="H132" s="50">
        <f>F132</f>
        <v/>
      </c>
      <c r="I132" s="51" t="n">
        <v>275.95</v>
      </c>
      <c r="J132" s="28">
        <f>H132*I132</f>
        <v/>
      </c>
      <c r="K132" s="52" t="inlineStr">
        <is>
          <t>GEÇMİŞ TEKLİF UYARLAMA</t>
        </is>
      </c>
      <c r="L132" s="7" t="inlineStr">
        <is>
          <t>REF-teyit – R05957 Kirazlı-Halkalı Metro/Panel 2024 196.63; R05958 Kirazlı-Halkalı Metro/Panel 2024 318.94; R05959 Kirazlı-Halkalı Metro/Panel 2024 430.27; R05960 Kirazlı-Halkalı Metro/Panel 2024 232.96 | medyan 275.95 (yangın/debi ayar damperi adet) = 275.95 € | sapma -0.0% ≤%10 → mevcut REF teyit [Emsal ID: R05957;R05958;R05959;R05960]</t>
        </is>
      </c>
      <c r="M132" s="7" t="inlineStr"/>
    </row>
    <row r="133" outlineLevel="1">
      <c r="A133" s="27" t="n"/>
      <c r="B133" s="27" t="inlineStr">
        <is>
          <t>6002.B</t>
        </is>
      </c>
      <c r="C133" s="7" t="inlineStr">
        <is>
          <t>D05 Egzoz fanı EF-01 kanal tipi 400 m³/h 70 Pa (WC)</t>
        </is>
      </c>
      <c r="D133" s="27" t="inlineStr">
        <is>
          <t>adet</t>
        </is>
      </c>
      <c r="E133" s="50" t="n">
        <v>1</v>
      </c>
      <c r="F133" s="50" t="n">
        <v>1</v>
      </c>
      <c r="G133" s="27" t="inlineStr">
        <is>
          <t>%30</t>
        </is>
      </c>
      <c r="H133" s="50">
        <f>F133/IF(Varsayimlar!$B$21=1,1.3,1)</f>
        <v/>
      </c>
      <c r="I133" s="51" t="n">
        <v>119.23</v>
      </c>
      <c r="J133" s="28">
        <f>H133*I133</f>
        <v/>
      </c>
      <c r="K133" s="52" t="inlineStr">
        <is>
          <t>GEÇMİŞ TEKLİF UYARLAMA</t>
        </is>
      </c>
      <c r="L133" s="7" t="inlineStr">
        <is>
          <t>REF-derin – R05307 İzmir Buca Metro/Alp 2021 111.26; R05795 Kocaeli KentMey.Tram/FER 2015 318.09; R05949 Kirazlı-Halkalı Metro/Panel 2024 108.60; R05950 Kirazlı-Halkalı Metro/Panel 2024 127.19 | medyan 119.23 (300-600 m³/h kanal fanı) = 119.23 € | mevcut REF 318.09 (-62.5%) düzeltildi [Emsal ID: R05307;R05795;R05949;R05950]</t>
        </is>
      </c>
      <c r="M133" s="7" t="inlineStr">
        <is>
          <t>İlk tahmin BF 318.09</t>
        </is>
      </c>
    </row>
    <row r="134" outlineLevel="1">
      <c r="A134" s="27" t="n"/>
      <c r="B134" s="27" t="inlineStr">
        <is>
          <t>6002.B</t>
        </is>
      </c>
      <c r="C134" s="7" t="inlineStr">
        <is>
          <t>D05 Egzoz fanı EF-02 kanal tipi 400 m³/h 60 Pa (ustabaşı odası)</t>
        </is>
      </c>
      <c r="D134" s="27" t="inlineStr">
        <is>
          <t>adet</t>
        </is>
      </c>
      <c r="E134" s="50" t="n">
        <v>1</v>
      </c>
      <c r="F134" s="50" t="n">
        <v>1</v>
      </c>
      <c r="G134" s="27" t="inlineStr">
        <is>
          <t>%30</t>
        </is>
      </c>
      <c r="H134" s="50">
        <f>F134/IF(Varsayimlar!$B$21=1,1.3,1)</f>
        <v/>
      </c>
      <c r="I134" s="51" t="n">
        <v>119.23</v>
      </c>
      <c r="J134" s="28">
        <f>H134*I134</f>
        <v/>
      </c>
      <c r="K134" s="52" t="inlineStr">
        <is>
          <t>GEÇMİŞ TEKLİF UYARLAMA</t>
        </is>
      </c>
      <c r="L134" s="7" t="inlineStr">
        <is>
          <t>REF-derin – R05307 İzmir Buca Metro/Alp 2021 111.26; R05795 Kocaeli KentMey.Tram/FER 2015 318.09; R05949 Kirazlı-Halkalı Metro/Panel 2024 108.60; R05950 Kirazlı-Halkalı Metro/Panel 2024 127.19 | medyan 119.23 (300-600 m³/h kanal fanı) = 119.23 € [Emsal ID: R05307;R05795;R05949;R05950]</t>
        </is>
      </c>
      <c r="M134" s="7" t="inlineStr">
        <is>
          <t>EF-01 ile aynı | İlk tahmin BF 318.00</t>
        </is>
      </c>
    </row>
    <row r="135" outlineLevel="1">
      <c r="A135" s="27" t="n"/>
      <c r="B135" s="27" t="inlineStr">
        <is>
          <t>6002.B</t>
        </is>
      </c>
      <c r="C135" s="7" t="inlineStr">
        <is>
          <t>D05 Egzoz fanı EF-03 kanal tipi 750 m³/h 60 Pa (depo/bakım aracı parkı)</t>
        </is>
      </c>
      <c r="D135" s="27" t="inlineStr">
        <is>
          <t>adet</t>
        </is>
      </c>
      <c r="E135" s="50" t="n">
        <v>2</v>
      </c>
      <c r="F135" s="50" t="n">
        <v>2</v>
      </c>
      <c r="G135" s="27" t="inlineStr">
        <is>
          <t>%30</t>
        </is>
      </c>
      <c r="H135" s="50">
        <f>F135/IF(Varsayimlar!$B$21=1,1.3,1)</f>
        <v/>
      </c>
      <c r="I135" s="51" t="n">
        <v>152.14</v>
      </c>
      <c r="J135" s="28">
        <f>H135*I135</f>
        <v/>
      </c>
      <c r="K135" s="52" t="inlineStr">
        <is>
          <t>GEÇMİŞ TEKLİF UYARLAMA</t>
        </is>
      </c>
      <c r="L135" s="7" t="inlineStr">
        <is>
          <t>REF-derin – R05308 İzmir Buca Metro/Alp 2021 111.26; R05882 Kocaeli KentMey.Tram/Mertsan 2015 152.14; R05797 Kocaeli KentMey.Tram/FER 2015 488.50 | medyan 152.14 (750-800 m³/h kanal fanı) = 152.14 € [Emsal ID: R05308;R05882;R05797]</t>
        </is>
      </c>
      <c r="M135" s="7" t="inlineStr">
        <is>
          <t>İlk tahmin BF 450.00</t>
        </is>
      </c>
    </row>
    <row r="136" outlineLevel="1">
      <c r="A136" s="27" t="n"/>
      <c r="B136" s="27" t="inlineStr">
        <is>
          <t>6002.B</t>
        </is>
      </c>
      <c r="C136" s="7" t="inlineStr">
        <is>
          <t>D05 galvaniz kanal + Ø127 flex kanal + toplayıcı menfezler (8) + egzoz atış panjuru EAP (4) + GA/C menfezleri</t>
        </is>
      </c>
      <c r="D136" s="27" t="inlineStr">
        <is>
          <t>m²</t>
        </is>
      </c>
      <c r="E136" s="50" t="n">
        <v>62</v>
      </c>
      <c r="F136" s="50" t="n">
        <v>62</v>
      </c>
      <c r="G136" s="27" t="inlineStr">
        <is>
          <t>%30</t>
        </is>
      </c>
      <c r="H136" s="50">
        <f>F136/IF(Varsayimlar!$B$21=1,1.3,1)</f>
        <v/>
      </c>
      <c r="I136" s="51" t="n">
        <v>60.36</v>
      </c>
      <c r="J136" s="28">
        <f>H136*I136</f>
        <v/>
      </c>
      <c r="K136" s="52" t="inlineStr">
        <is>
          <t>GEÇMİŞ TEKLİF UYARLAMA</t>
        </is>
      </c>
      <c r="L136" s="7" t="inlineStr">
        <is>
          <t>REF-derin – galvaniz kanal medyan 32.29 €/m² + aksesuar payı (12 menfez×34.99 + 4 EAP×229,70)/47,69 m² = 28.07 = 60.36 € [Emsal ID: R05313;R05314;R05404;R05488;R05489;R05580;R05581;R05799;R05493;R05586;R05802;R05887;R05962]</t>
        </is>
      </c>
      <c r="M136" s="7" t="inlineStr">
        <is>
          <t>Kanal+flex+menfez+EAP m² başına paylaştırıldı | İlk tahmin BF 55.00</t>
        </is>
      </c>
    </row>
    <row r="137" outlineLevel="1">
      <c r="A137" s="27" t="n"/>
      <c r="B137" s="27" t="inlineStr">
        <is>
          <t>6002.B</t>
        </is>
      </c>
      <c r="C137" s="7" t="inlineStr">
        <is>
          <t>D06 Egzoz fanı EF-10 duvar tipi 500 m³/h 100 Pa + transfer menfez kiti</t>
        </is>
      </c>
      <c r="D137" s="27" t="inlineStr">
        <is>
          <t>adet</t>
        </is>
      </c>
      <c r="E137" s="50" t="n">
        <v>1</v>
      </c>
      <c r="F137" s="50" t="n">
        <v>1</v>
      </c>
      <c r="G137" s="27" t="inlineStr">
        <is>
          <t>%30</t>
        </is>
      </c>
      <c r="H137" s="50">
        <f>F137/IF(Varsayimlar!$B$21=1,1.3,1)</f>
        <v/>
      </c>
      <c r="I137" s="51" t="n">
        <v>178.66</v>
      </c>
      <c r="J137" s="28">
        <f>H137*I137</f>
        <v/>
      </c>
      <c r="K137" s="52" t="inlineStr">
        <is>
          <t>GEÇMİŞ TEKLİF UYARLAMA</t>
        </is>
      </c>
      <c r="L137" s="7" t="inlineStr">
        <is>
          <t>REF-derin – 500 m³/h fan medyan 119.23 + transfer menfezi medyan 59.44 = 178.66 € [Emsal ID: R05302;R05950;R05495;R05588]</t>
        </is>
      </c>
      <c r="M137" s="7" t="inlineStr">
        <is>
          <t>İlk tahmin BF 380.00</t>
        </is>
      </c>
    </row>
    <row r="138" outlineLevel="1">
      <c r="A138" s="27" t="n"/>
      <c r="B138" s="27" t="inlineStr">
        <is>
          <t>6002.B</t>
        </is>
      </c>
      <c r="C138" s="7" t="inlineStr">
        <is>
          <t>D07 Egzoz fanı EF-1 duvar tipi 100 m³/h (mutfak ve WC) + transfer menfezi</t>
        </is>
      </c>
      <c r="D138" s="27" t="inlineStr">
        <is>
          <t>adet</t>
        </is>
      </c>
      <c r="E138" s="50" t="n">
        <v>2</v>
      </c>
      <c r="F138" s="50" t="n">
        <v>2</v>
      </c>
      <c r="G138" s="27" t="inlineStr">
        <is>
          <t>%30</t>
        </is>
      </c>
      <c r="H138" s="50">
        <f>F138/IF(Varsayimlar!$B$21=1,1.3,1)</f>
        <v/>
      </c>
      <c r="I138" s="51" t="n">
        <v>116.84</v>
      </c>
      <c r="J138" s="28">
        <f>H138*I138</f>
        <v/>
      </c>
      <c r="K138" s="52" t="inlineStr">
        <is>
          <t>GEÇMİŞ TEKLİF UYARLAMA</t>
        </is>
      </c>
      <c r="L138" s="7" t="inlineStr">
        <is>
          <t>REF-derin – 100 m³/h fan medyan 57.40 + transfer menfezi medyan 59.44 = 116.84 € [Emsal ID: R05482;R05572;R05955;R06020;R05495;R05588]</t>
        </is>
      </c>
      <c r="M138" s="7" t="inlineStr">
        <is>
          <t>İlk tahmin BF 220.00</t>
        </is>
      </c>
    </row>
    <row r="139" outlineLevel="1">
      <c r="A139" s="27" t="n"/>
      <c r="B139" s="27" t="inlineStr">
        <is>
          <t>6002.B</t>
        </is>
      </c>
      <c r="C139" s="7" t="inlineStr">
        <is>
          <t>D02/T13 akü odası exproof egzoz fanı + H2 sensörü + damper</t>
        </is>
      </c>
      <c r="D139" s="27" t="inlineStr">
        <is>
          <t>takım</t>
        </is>
      </c>
      <c r="E139" s="50" t="n">
        <v>1</v>
      </c>
      <c r="F139" s="50" t="n">
        <v>1</v>
      </c>
      <c r="G139" s="27" t="inlineStr">
        <is>
          <t>-</t>
        </is>
      </c>
      <c r="H139" s="50">
        <f>F139</f>
        <v/>
      </c>
      <c r="I139" s="51" t="n">
        <v>1548.3</v>
      </c>
      <c r="J139" s="28">
        <f>H139*I139</f>
        <v/>
      </c>
      <c r="K139" s="52" t="inlineStr">
        <is>
          <t>GEÇMİŞ TEKLİF UYARLAMA</t>
        </is>
      </c>
      <c r="L139" s="7" t="inlineStr">
        <is>
          <t>REF-derin – exproof fan medyan 852.16 + H2 sensörü 650 (tahmin, emsal yok) + damper R05961 46.14 = 1548.30 € [Emsal ID: R05408;R05484;R05574;R05951;R05952;R05961]</t>
        </is>
      </c>
      <c r="M139" s="7" t="inlineStr">
        <is>
          <t>Exproof fan + H2 sensörü + damper | İlk tahmin BF 2,000.00</t>
        </is>
      </c>
    </row>
    <row r="140">
      <c r="A140" s="48" t="inlineStr">
        <is>
          <t>343</t>
        </is>
      </c>
      <c r="B140" s="48" t="inlineStr">
        <is>
          <t>5005.A</t>
        </is>
      </c>
      <c r="C140" s="48" t="inlineStr">
        <is>
          <t>Harran İstasyonu Yangından Kor. ve Yangınla Mücadele Sistemi (1 set)</t>
        </is>
      </c>
      <c r="D140" s="48" t="n"/>
      <c r="E140" s="48" t="n"/>
      <c r="F140" s="48" t="n"/>
      <c r="G140" s="48" t="n"/>
      <c r="H140" s="48" t="inlineStr">
        <is>
          <t>RFQ tutarı →</t>
        </is>
      </c>
      <c r="I140" s="49">
        <f>SUMPRODUCT(E141:E142,I141:I142)</f>
        <v/>
      </c>
      <c r="J140" s="49">
        <f>SUM(J141:J142)</f>
        <v/>
      </c>
      <c r="K140" s="48" t="n"/>
      <c r="L140" s="48" t="n"/>
      <c r="M140" s="48" t="n"/>
    </row>
    <row r="141" outlineLevel="1">
      <c r="A141" s="27" t="n"/>
      <c r="B141" s="27" t="inlineStr">
        <is>
          <t>5005.A</t>
        </is>
      </c>
      <c r="C141" s="7" t="inlineStr">
        <is>
          <t>Taşınabilir yangın söndürücü ABC kuru kimyevi tozlu 6 kg (TS EN 3) + duvar askısı + işaret levhası</t>
        </is>
      </c>
      <c r="D141" s="27" t="inlineStr">
        <is>
          <t>adet</t>
        </is>
      </c>
      <c r="E141" s="50" t="n">
        <v>2</v>
      </c>
      <c r="F141" s="50" t="n">
        <v>2</v>
      </c>
      <c r="G141" s="27" t="inlineStr">
        <is>
          <t>-</t>
        </is>
      </c>
      <c r="H141" s="50">
        <f>F141</f>
        <v/>
      </c>
      <c r="I141" s="51" t="n">
        <v>47.63</v>
      </c>
      <c r="J141" s="28">
        <f>H141*I141</f>
        <v/>
      </c>
      <c r="K141" s="52" t="inlineStr">
        <is>
          <t>GEÇMİŞ TEKLİF UYARLAMA</t>
        </is>
      </c>
      <c r="L141" s="7" t="inlineStr">
        <is>
          <t>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is>
      </c>
      <c r="M141" s="7" t="inlineStr">
        <is>
          <t>Askı+levha dahil | İlk tahmin BF 45.00</t>
        </is>
      </c>
    </row>
    <row r="142" outlineLevel="1">
      <c r="A142" s="27" t="n"/>
      <c r="B142" s="27" t="inlineStr">
        <is>
          <t>5005.A</t>
        </is>
      </c>
      <c r="C142" s="7" t="inlineStr">
        <is>
          <t>Taşınabilir yangın söndürücü CO2 5 kg + duvar askısı + işaret levhası</t>
        </is>
      </c>
      <c r="D142" s="27" t="inlineStr">
        <is>
          <t>adet</t>
        </is>
      </c>
      <c r="E142" s="50" t="n">
        <v>2</v>
      </c>
      <c r="F142" s="50" t="n">
        <v>2</v>
      </c>
      <c r="G142" s="27" t="inlineStr">
        <is>
          <t>-</t>
        </is>
      </c>
      <c r="H142" s="50">
        <f>F142</f>
        <v/>
      </c>
      <c r="I142" s="51" t="n">
        <v>88.23999999999999</v>
      </c>
      <c r="J142" s="28">
        <f>H142*I142</f>
        <v/>
      </c>
      <c r="K142" s="52" t="inlineStr">
        <is>
          <t>GEÇMİŞ TEKLİF UYARLAMA</t>
        </is>
      </c>
      <c r="L142" s="7" t="inlineStr">
        <is>
          <t>REF-derin – R05323 İzmir Buca Metro/Alp 2021 65.06; R05977 Kirazlı-Halkalı Metro/Panel 2024 101.41 | medyan 83.24 +5.00 (CO2 5 kg +5 € askı/levha) = 88.24 € | mevcut REF 80.00 (+10.3%) düzeltildi [Emsal ID: R05323;R05977]</t>
        </is>
      </c>
      <c r="M142" s="7" t="inlineStr">
        <is>
          <t>Ref düşük; CO2 5 kg askı+levha dahil | İlk tahmin BF 80.00</t>
        </is>
      </c>
    </row>
    <row r="143">
      <c r="A143" s="48" t="inlineStr">
        <is>
          <t>344</t>
        </is>
      </c>
      <c r="B143" s="48" t="inlineStr">
        <is>
          <t>5005.B</t>
        </is>
      </c>
      <c r="C143" s="48" t="inlineStr">
        <is>
          <t>Rasathane İstasyonu Yangından Kor. ve Yangınla Mücadele Sistemi (1 set)</t>
        </is>
      </c>
      <c r="D143" s="48" t="n"/>
      <c r="E143" s="48" t="n"/>
      <c r="F143" s="48" t="n"/>
      <c r="G143" s="48" t="n"/>
      <c r="H143" s="48" t="inlineStr">
        <is>
          <t>RFQ tutarı →</t>
        </is>
      </c>
      <c r="I143" s="49">
        <f>SUMPRODUCT(E144:E145,I144:I145)</f>
        <v/>
      </c>
      <c r="J143" s="49">
        <f>SUM(J144:J145)</f>
        <v/>
      </c>
      <c r="K143" s="48" t="n"/>
      <c r="L143" s="48" t="n"/>
      <c r="M143" s="48" t="n"/>
    </row>
    <row r="144" outlineLevel="1">
      <c r="A144" s="27" t="n"/>
      <c r="B144" s="27" t="inlineStr">
        <is>
          <t>5005.B</t>
        </is>
      </c>
      <c r="C144" s="7" t="inlineStr">
        <is>
          <t>Taşınabilir yangın söndürücü ABC kuru kimyevi tozlu 6 kg (TS EN 3) + duvar askısı + işaret levhası</t>
        </is>
      </c>
      <c r="D144" s="27" t="inlineStr">
        <is>
          <t>adet</t>
        </is>
      </c>
      <c r="E144" s="50" t="n">
        <v>2</v>
      </c>
      <c r="F144" s="50" t="n">
        <v>2</v>
      </c>
      <c r="G144" s="27" t="inlineStr">
        <is>
          <t>-</t>
        </is>
      </c>
      <c r="H144" s="50">
        <f>F144</f>
        <v/>
      </c>
      <c r="I144" s="51" t="n">
        <v>47.63</v>
      </c>
      <c r="J144" s="28">
        <f>H144*I144</f>
        <v/>
      </c>
      <c r="K144" s="52" t="inlineStr">
        <is>
          <t>GEÇMİŞ TEKLİF UYARLAMA</t>
        </is>
      </c>
      <c r="L144" s="7" t="inlineStr">
        <is>
          <t>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is>
      </c>
      <c r="M144" s="7" t="inlineStr">
        <is>
          <t>Askı+levha dahil | İlk tahmin BF 45.00</t>
        </is>
      </c>
    </row>
    <row r="145" outlineLevel="1">
      <c r="A145" s="27" t="n"/>
      <c r="B145" s="27" t="inlineStr">
        <is>
          <t>5005.B</t>
        </is>
      </c>
      <c r="C145" s="7" t="inlineStr">
        <is>
          <t>Taşınabilir yangın söndürücü CO2 5 kg + duvar askısı + işaret levhası</t>
        </is>
      </c>
      <c r="D145" s="27" t="inlineStr">
        <is>
          <t>adet</t>
        </is>
      </c>
      <c r="E145" s="50" t="n">
        <v>2</v>
      </c>
      <c r="F145" s="50" t="n">
        <v>2</v>
      </c>
      <c r="G145" s="27" t="inlineStr">
        <is>
          <t>-</t>
        </is>
      </c>
      <c r="H145" s="50">
        <f>F145</f>
        <v/>
      </c>
      <c r="I145" s="51" t="n">
        <v>88.23999999999999</v>
      </c>
      <c r="J145" s="28">
        <f>H145*I145</f>
        <v/>
      </c>
      <c r="K145" s="52" t="inlineStr">
        <is>
          <t>GEÇMİŞ TEKLİF UYARLAMA</t>
        </is>
      </c>
      <c r="L145" s="7" t="inlineStr">
        <is>
          <t>REF-derin – R05323 İzmir Buca Metro/Alp 2021 65.06; R05977 Kirazlı-Halkalı Metro/Panel 2024 101.41 | medyan 83.24 +5.00 (CO2 5 kg +5 € askı/levha) = 88.24 € | mevcut REF 80.00 (+10.3%) düzeltildi [Emsal ID: R05323;R05977]</t>
        </is>
      </c>
      <c r="M145" s="7" t="inlineStr">
        <is>
          <t>Ref düşük; CO2 5 kg askı+levha dahil | İlk tahmin BF 80.00</t>
        </is>
      </c>
    </row>
    <row r="146">
      <c r="A146" s="48" t="inlineStr">
        <is>
          <t>345</t>
        </is>
      </c>
      <c r="B146" s="48" t="inlineStr">
        <is>
          <t>5005.C</t>
        </is>
      </c>
      <c r="C146" s="48" t="inlineStr">
        <is>
          <t>Eyüp Peygamber İstasyonu Yangından Kor. ve Yangınla Mücadele Sistemi (1 set)</t>
        </is>
      </c>
      <c r="D146" s="48" t="n"/>
      <c r="E146" s="48" t="n"/>
      <c r="F146" s="48" t="n"/>
      <c r="G146" s="48" t="n"/>
      <c r="H146" s="48" t="inlineStr">
        <is>
          <t>RFQ tutarı →</t>
        </is>
      </c>
      <c r="I146" s="49">
        <f>SUMPRODUCT(E147:E148,I147:I148)</f>
        <v/>
      </c>
      <c r="J146" s="49">
        <f>SUM(J147:J148)</f>
        <v/>
      </c>
      <c r="K146" s="48" t="n"/>
      <c r="L146" s="48" t="n"/>
      <c r="M146" s="48" t="n"/>
    </row>
    <row r="147" outlineLevel="1">
      <c r="A147" s="27" t="n"/>
      <c r="B147" s="27" t="inlineStr">
        <is>
          <t>5005.C</t>
        </is>
      </c>
      <c r="C147" s="7" t="inlineStr">
        <is>
          <t>Taşınabilir yangın söndürücü ABC kuru kimyevi tozlu 6 kg (TS EN 3) + duvar askısı + işaret levhası</t>
        </is>
      </c>
      <c r="D147" s="27" t="inlineStr">
        <is>
          <t>adet</t>
        </is>
      </c>
      <c r="E147" s="50" t="n">
        <v>2</v>
      </c>
      <c r="F147" s="50" t="n">
        <v>2</v>
      </c>
      <c r="G147" s="27" t="inlineStr">
        <is>
          <t>-</t>
        </is>
      </c>
      <c r="H147" s="50">
        <f>F147</f>
        <v/>
      </c>
      <c r="I147" s="51" t="n">
        <v>47.63</v>
      </c>
      <c r="J147" s="28">
        <f>H147*I147</f>
        <v/>
      </c>
      <c r="K147" s="52" t="inlineStr">
        <is>
          <t>GEÇMİŞ TEKLİF UYARLAMA</t>
        </is>
      </c>
      <c r="L147" s="7" t="inlineStr">
        <is>
          <t>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is>
      </c>
      <c r="M147" s="7" t="inlineStr">
        <is>
          <t>Askı+levha dahil | İlk tahmin BF 45.00</t>
        </is>
      </c>
    </row>
    <row r="148" outlineLevel="1">
      <c r="A148" s="27" t="n"/>
      <c r="B148" s="27" t="inlineStr">
        <is>
          <t>5005.C</t>
        </is>
      </c>
      <c r="C148" s="7" t="inlineStr">
        <is>
          <t>Taşınabilir yangın söndürücü CO2 5 kg + duvar askısı + işaret levhası</t>
        </is>
      </c>
      <c r="D148" s="27" t="inlineStr">
        <is>
          <t>adet</t>
        </is>
      </c>
      <c r="E148" s="50" t="n">
        <v>2</v>
      </c>
      <c r="F148" s="50" t="n">
        <v>2</v>
      </c>
      <c r="G148" s="27" t="inlineStr">
        <is>
          <t>-</t>
        </is>
      </c>
      <c r="H148" s="50">
        <f>F148</f>
        <v/>
      </c>
      <c r="I148" s="51" t="n">
        <v>88.23999999999999</v>
      </c>
      <c r="J148" s="28">
        <f>H148*I148</f>
        <v/>
      </c>
      <c r="K148" s="52" t="inlineStr">
        <is>
          <t>GEÇMİŞ TEKLİF UYARLAMA</t>
        </is>
      </c>
      <c r="L148" s="7" t="inlineStr">
        <is>
          <t>REF-derin – R05323 İzmir Buca Metro/Alp 2021 65.06; R05977 Kirazlı-Halkalı Metro/Panel 2024 101.41 | medyan 83.24 +5.00 (CO2 5 kg +5 € askı/levha) = 88.24 € | mevcut REF 80.00 (+10.3%) düzeltildi [Emsal ID: R05323;R05977]</t>
        </is>
      </c>
      <c r="M148" s="7" t="inlineStr">
        <is>
          <t>Ref düşük; CO2 5 kg askı+levha dahil | İlk tahmin BF 80.00</t>
        </is>
      </c>
    </row>
    <row r="149">
      <c r="A149" s="48" t="inlineStr">
        <is>
          <t>346</t>
        </is>
      </c>
      <c r="B149" s="48" t="inlineStr">
        <is>
          <t>5005.D</t>
        </is>
      </c>
      <c r="C149" s="48" t="inlineStr">
        <is>
          <t>Balıklıgöl İstasyonu Yangından Kor. ve Yangınla Mücadele Sistemi (1 set)</t>
        </is>
      </c>
      <c r="D149" s="48" t="n"/>
      <c r="E149" s="48" t="n"/>
      <c r="F149" s="48" t="n"/>
      <c r="G149" s="48" t="n"/>
      <c r="H149" s="48" t="inlineStr">
        <is>
          <t>RFQ tutarı →</t>
        </is>
      </c>
      <c r="I149" s="49">
        <f>SUMPRODUCT(E150:E151,I150:I151)</f>
        <v/>
      </c>
      <c r="J149" s="49">
        <f>SUM(J150:J151)</f>
        <v/>
      </c>
      <c r="K149" s="48" t="n"/>
      <c r="L149" s="48" t="n"/>
      <c r="M149" s="48" t="n"/>
    </row>
    <row r="150" outlineLevel="1">
      <c r="A150" s="27" t="n"/>
      <c r="B150" s="27" t="inlineStr">
        <is>
          <t>5005.D</t>
        </is>
      </c>
      <c r="C150" s="7" t="inlineStr">
        <is>
          <t>Taşınabilir yangın söndürücü ABC kuru kimyevi tozlu 6 kg (TS EN 3) + duvar askısı + işaret levhası</t>
        </is>
      </c>
      <c r="D150" s="27" t="inlineStr">
        <is>
          <t>adet</t>
        </is>
      </c>
      <c r="E150" s="50" t="n">
        <v>2</v>
      </c>
      <c r="F150" s="50" t="n">
        <v>2</v>
      </c>
      <c r="G150" s="27" t="inlineStr">
        <is>
          <t>-</t>
        </is>
      </c>
      <c r="H150" s="50">
        <f>F150</f>
        <v/>
      </c>
      <c r="I150" s="51" t="n">
        <v>47.63</v>
      </c>
      <c r="J150" s="28">
        <f>H150*I150</f>
        <v/>
      </c>
      <c r="K150" s="52" t="inlineStr">
        <is>
          <t>GEÇMİŞ TEKLİF UYARLAMA</t>
        </is>
      </c>
      <c r="L150" s="7" t="inlineStr">
        <is>
          <t>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is>
      </c>
      <c r="M150" s="7" t="inlineStr">
        <is>
          <t>Askı+levha dahil | İlk tahmin BF 45.00</t>
        </is>
      </c>
    </row>
    <row r="151" outlineLevel="1">
      <c r="A151" s="27" t="n"/>
      <c r="B151" s="27" t="inlineStr">
        <is>
          <t>5005.D</t>
        </is>
      </c>
      <c r="C151" s="7" t="inlineStr">
        <is>
          <t>Taşınabilir yangın söndürücü CO2 5 kg + duvar askısı + işaret levhası</t>
        </is>
      </c>
      <c r="D151" s="27" t="inlineStr">
        <is>
          <t>adet</t>
        </is>
      </c>
      <c r="E151" s="50" t="n">
        <v>2</v>
      </c>
      <c r="F151" s="50" t="n">
        <v>2</v>
      </c>
      <c r="G151" s="27" t="inlineStr">
        <is>
          <t>-</t>
        </is>
      </c>
      <c r="H151" s="50">
        <f>F151</f>
        <v/>
      </c>
      <c r="I151" s="51" t="n">
        <v>88.23999999999999</v>
      </c>
      <c r="J151" s="28">
        <f>H151*I151</f>
        <v/>
      </c>
      <c r="K151" s="52" t="inlineStr">
        <is>
          <t>GEÇMİŞ TEKLİF UYARLAMA</t>
        </is>
      </c>
      <c r="L151" s="7" t="inlineStr">
        <is>
          <t>REF-derin – R05323 İzmir Buca Metro/Alp 2021 65.06; R05977 Kirazlı-Halkalı Metro/Panel 2024 101.41 | medyan 83.24 +5.00 (CO2 5 kg +5 € askı/levha) = 88.24 € | mevcut REF 80.00 (+10.3%) düzeltildi [Emsal ID: R05323;R05977]</t>
        </is>
      </c>
      <c r="M151" s="7" t="inlineStr">
        <is>
          <t>Ref düşük; CO2 5 kg askı+levha dahil | İlk tahmin BF 80.00</t>
        </is>
      </c>
    </row>
    <row r="152">
      <c r="A152" s="48" t="inlineStr">
        <is>
          <t>347</t>
        </is>
      </c>
      <c r="B152" s="48" t="inlineStr">
        <is>
          <t>5005.E</t>
        </is>
      </c>
      <c r="C152" s="48" t="inlineStr">
        <is>
          <t>Hızmalı Köprüsü İstasyonu Yangından Kor. ve Yangınla Mücadele Sistemi (1 set)</t>
        </is>
      </c>
      <c r="D152" s="48" t="n"/>
      <c r="E152" s="48" t="n"/>
      <c r="F152" s="48" t="n"/>
      <c r="G152" s="48" t="n"/>
      <c r="H152" s="48" t="inlineStr">
        <is>
          <t>RFQ tutarı →</t>
        </is>
      </c>
      <c r="I152" s="49">
        <f>SUMPRODUCT(E153:E154,I153:I154)</f>
        <v/>
      </c>
      <c r="J152" s="49">
        <f>SUM(J153:J154)</f>
        <v/>
      </c>
      <c r="K152" s="48" t="n"/>
      <c r="L152" s="48" t="n"/>
      <c r="M152" s="48" t="n"/>
    </row>
    <row r="153" outlineLevel="1">
      <c r="A153" s="27" t="n"/>
      <c r="B153" s="27" t="inlineStr">
        <is>
          <t>5005.E</t>
        </is>
      </c>
      <c r="C153" s="7" t="inlineStr">
        <is>
          <t>Taşınabilir yangın söndürücü ABC kuru kimyevi tozlu 6 kg (TS EN 3) + duvar askısı + işaret levhası</t>
        </is>
      </c>
      <c r="D153" s="27" t="inlineStr">
        <is>
          <t>adet</t>
        </is>
      </c>
      <c r="E153" s="50" t="n">
        <v>2</v>
      </c>
      <c r="F153" s="50" t="n">
        <v>2</v>
      </c>
      <c r="G153" s="27" t="inlineStr">
        <is>
          <t>-</t>
        </is>
      </c>
      <c r="H153" s="50">
        <f>F153</f>
        <v/>
      </c>
      <c r="I153" s="51" t="n">
        <v>47.63</v>
      </c>
      <c r="J153" s="28">
        <f>H153*I153</f>
        <v/>
      </c>
      <c r="K153" s="52" t="inlineStr">
        <is>
          <t>GEÇMİŞ TEKLİF UYARLAMA</t>
        </is>
      </c>
      <c r="L153" s="7" t="inlineStr">
        <is>
          <t>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is>
      </c>
      <c r="M153" s="7" t="inlineStr">
        <is>
          <t>Askı+levha dahil | İlk tahmin BF 45.00</t>
        </is>
      </c>
    </row>
    <row r="154" outlineLevel="1">
      <c r="A154" s="27" t="n"/>
      <c r="B154" s="27" t="inlineStr">
        <is>
          <t>5005.E</t>
        </is>
      </c>
      <c r="C154" s="7" t="inlineStr">
        <is>
          <t>Taşınabilir yangın söndürücü CO2 5 kg + duvar askısı + işaret levhası</t>
        </is>
      </c>
      <c r="D154" s="27" t="inlineStr">
        <is>
          <t>adet</t>
        </is>
      </c>
      <c r="E154" s="50" t="n">
        <v>2</v>
      </c>
      <c r="F154" s="50" t="n">
        <v>2</v>
      </c>
      <c r="G154" s="27" t="inlineStr">
        <is>
          <t>-</t>
        </is>
      </c>
      <c r="H154" s="50">
        <f>F154</f>
        <v/>
      </c>
      <c r="I154" s="51" t="n">
        <v>88.23999999999999</v>
      </c>
      <c r="J154" s="28">
        <f>H154*I154</f>
        <v/>
      </c>
      <c r="K154" s="52" t="inlineStr">
        <is>
          <t>GEÇMİŞ TEKLİF UYARLAMA</t>
        </is>
      </c>
      <c r="L154" s="7" t="inlineStr">
        <is>
          <t>REF-derin – R05323 İzmir Buca Metro/Alp 2021 65.06; R05977 Kirazlı-Halkalı Metro/Panel 2024 101.41 | medyan 83.24 +5.00 (CO2 5 kg +5 € askı/levha) = 88.24 € | mevcut REF 80.00 (+10.3%) düzeltildi [Emsal ID: R05323;R05977]</t>
        </is>
      </c>
      <c r="M154" s="7" t="inlineStr">
        <is>
          <t>Ref düşük; CO2 5 kg askı+levha dahil | İlk tahmin BF 80.00</t>
        </is>
      </c>
    </row>
    <row r="155">
      <c r="A155" s="48" t="inlineStr">
        <is>
          <t>348</t>
        </is>
      </c>
      <c r="B155" s="48" t="inlineStr">
        <is>
          <t>5005.F</t>
        </is>
      </c>
      <c r="C155" s="48" t="inlineStr">
        <is>
          <t>Göbeklitepe İstasyonu Yangından Kor. ve Yangınla Mücadele Sistemi (1 set)</t>
        </is>
      </c>
      <c r="D155" s="48" t="n"/>
      <c r="E155" s="48" t="n"/>
      <c r="F155" s="48" t="n"/>
      <c r="G155" s="48" t="n"/>
      <c r="H155" s="48" t="inlineStr">
        <is>
          <t>RFQ tutarı →</t>
        </is>
      </c>
      <c r="I155" s="49">
        <f>SUMPRODUCT(E156:E157,I156:I157)</f>
        <v/>
      </c>
      <c r="J155" s="49">
        <f>SUM(J156:J157)</f>
        <v/>
      </c>
      <c r="K155" s="48" t="n"/>
      <c r="L155" s="48" t="n"/>
      <c r="M155" s="48" t="n"/>
    </row>
    <row r="156" outlineLevel="1">
      <c r="A156" s="27" t="n"/>
      <c r="B156" s="27" t="inlineStr">
        <is>
          <t>5005.F</t>
        </is>
      </c>
      <c r="C156" s="7" t="inlineStr">
        <is>
          <t>Taşınabilir yangın söndürücü ABC kuru kimyevi tozlu 6 kg (TS EN 3) + duvar askısı + işaret levhası</t>
        </is>
      </c>
      <c r="D156" s="27" t="inlineStr">
        <is>
          <t>adet</t>
        </is>
      </c>
      <c r="E156" s="50" t="n">
        <v>3</v>
      </c>
      <c r="F156" s="50" t="n">
        <v>3</v>
      </c>
      <c r="G156" s="27" t="inlineStr">
        <is>
          <t>-</t>
        </is>
      </c>
      <c r="H156" s="50">
        <f>F156</f>
        <v/>
      </c>
      <c r="I156" s="51" t="n">
        <v>47.63</v>
      </c>
      <c r="J156" s="28">
        <f>H156*I156</f>
        <v/>
      </c>
      <c r="K156" s="52" t="inlineStr">
        <is>
          <t>GEÇMİŞ TEKLİF UYARLAMA</t>
        </is>
      </c>
      <c r="L156" s="7" t="inlineStr">
        <is>
          <t>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is>
      </c>
      <c r="M156" s="7" t="inlineStr">
        <is>
          <t>Askı+levha dahil | İlk tahmin BF 45.00</t>
        </is>
      </c>
    </row>
    <row r="157" outlineLevel="1">
      <c r="A157" s="27" t="n"/>
      <c r="B157" s="27" t="inlineStr">
        <is>
          <t>5005.F</t>
        </is>
      </c>
      <c r="C157" s="7" t="inlineStr">
        <is>
          <t>Taşınabilir yangın söndürücü CO2 5 kg + duvar askısı + işaret levhası</t>
        </is>
      </c>
      <c r="D157" s="27" t="inlineStr">
        <is>
          <t>adet</t>
        </is>
      </c>
      <c r="E157" s="50" t="n">
        <v>3</v>
      </c>
      <c r="F157" s="50" t="n">
        <v>3</v>
      </c>
      <c r="G157" s="27" t="inlineStr">
        <is>
          <t>-</t>
        </is>
      </c>
      <c r="H157" s="50">
        <f>F157</f>
        <v/>
      </c>
      <c r="I157" s="51" t="n">
        <v>88.23999999999999</v>
      </c>
      <c r="J157" s="28">
        <f>H157*I157</f>
        <v/>
      </c>
      <c r="K157" s="52" t="inlineStr">
        <is>
          <t>GEÇMİŞ TEKLİF UYARLAMA</t>
        </is>
      </c>
      <c r="L157" s="7" t="inlineStr">
        <is>
          <t>REF-derin – R05323 İzmir Buca Metro/Alp 2021 65.06; R05977 Kirazlı-Halkalı Metro/Panel 2024 101.41 | medyan 83.24 +5.00 (CO2 5 kg +5 € askı/levha) = 88.24 € | mevcut REF 80.00 (+10.3%) düzeltildi [Emsal ID: R05323;R05977]</t>
        </is>
      </c>
      <c r="M157" s="7" t="inlineStr">
        <is>
          <t>Ref düşük; CO2 5 kg askı+levha dahil | İlk tahmin BF 80.00</t>
        </is>
      </c>
    </row>
    <row r="158">
      <c r="A158" s="48" t="inlineStr">
        <is>
          <t>349</t>
        </is>
      </c>
      <c r="B158" s="48" t="inlineStr">
        <is>
          <t>5005.G</t>
        </is>
      </c>
      <c r="C158" s="48" t="inlineStr">
        <is>
          <t>Trafo Binaları Yangından Kor. ve Yangınla Mücadele Sistemi (4 set)</t>
        </is>
      </c>
      <c r="D158" s="48" t="n"/>
      <c r="E158" s="48" t="n"/>
      <c r="F158" s="48" t="n"/>
      <c r="G158" s="48" t="n"/>
      <c r="H158" s="48" t="inlineStr">
        <is>
          <t>RFQ tutarı →</t>
        </is>
      </c>
      <c r="I158" s="49">
        <f>SUMPRODUCT(E159:E159,I159:I159)</f>
        <v/>
      </c>
      <c r="J158" s="49">
        <f>SUM(J159:J159)</f>
        <v/>
      </c>
      <c r="K158" s="48" t="n"/>
      <c r="L158" s="48" t="n"/>
      <c r="M158" s="48" t="n"/>
    </row>
    <row r="159" outlineLevel="1">
      <c r="A159" s="27" t="n"/>
      <c r="B159" s="27" t="inlineStr">
        <is>
          <t>5005.G</t>
        </is>
      </c>
      <c r="C159" s="7" t="inlineStr">
        <is>
          <t>Taşınabilir yangın söndürücü CO2 5 kg + askı + levha</t>
        </is>
      </c>
      <c r="D159" s="27" t="inlineStr">
        <is>
          <t>adet</t>
        </is>
      </c>
      <c r="E159" s="50" t="n">
        <v>6</v>
      </c>
      <c r="F159" s="50" t="n">
        <v>6</v>
      </c>
      <c r="G159" s="27" t="inlineStr">
        <is>
          <t>-</t>
        </is>
      </c>
      <c r="H159" s="50">
        <f>F159</f>
        <v/>
      </c>
      <c r="I159" s="51" t="n">
        <v>88.23999999999999</v>
      </c>
      <c r="J159" s="28">
        <f>H159*I159</f>
        <v/>
      </c>
      <c r="K159" s="52" t="inlineStr">
        <is>
          <t>GEÇMİŞ TEKLİF UYARLAMA</t>
        </is>
      </c>
      <c r="L159" s="7" t="inlineStr">
        <is>
          <t>REF-derin – R05323 İzmir Buca Metro/Alp 2021 65.06; R05977 Kirazlı-Halkalı Metro/Panel 2024 101.41 | medyan 83.24 +5.00 (CO2 5 kg +5 € askı/levha) = 88.24 € [Emsal ID: R05323;R05977]</t>
        </is>
      </c>
      <c r="M159" s="7" t="inlineStr">
        <is>
          <t>İlk tahmin BF 80.00</t>
        </is>
      </c>
    </row>
    <row r="160">
      <c r="A160" s="48" t="inlineStr">
        <is>
          <t>350</t>
        </is>
      </c>
      <c r="B160" s="48" t="inlineStr">
        <is>
          <t>5005.H</t>
        </is>
      </c>
      <c r="C160" s="48" t="inlineStr">
        <is>
          <t>Depo-Kontrol Binaları Yangından Kor. ve Yangınla Mücadele Sistemi (1 set)</t>
        </is>
      </c>
      <c r="D160" s="48" t="n"/>
      <c r="E160" s="48" t="n"/>
      <c r="F160" s="48" t="n"/>
      <c r="G160" s="48" t="n"/>
      <c r="H160" s="48" t="inlineStr">
        <is>
          <t>RFQ tutarı →</t>
        </is>
      </c>
      <c r="I160" s="49">
        <f>SUMPRODUCT(E161:E198,I161:I198)</f>
        <v/>
      </c>
      <c r="J160" s="49">
        <f>SUM(J161:J198)</f>
        <v/>
      </c>
      <c r="K160" s="48" t="n"/>
      <c r="L160" s="48" t="n"/>
      <c r="M160" s="48" t="n"/>
    </row>
    <row r="161" outlineLevel="1">
      <c r="A161" s="27" t="n"/>
      <c r="B161" s="27" t="inlineStr">
        <is>
          <t>5005.H</t>
        </is>
      </c>
      <c r="C161" s="7" t="inlineStr">
        <is>
          <t>D06 Ana yangın pompası YP-01 (asıl) sondan emişli yatay santrifüj 126 m³/h, 100 mSS (9,3 bar), ~90 kW</t>
        </is>
      </c>
      <c r="D161" s="27" t="inlineStr">
        <is>
          <t>adet</t>
        </is>
      </c>
      <c r="E161" s="50" t="n">
        <v>1</v>
      </c>
      <c r="F161" s="50" t="n">
        <v>1</v>
      </c>
      <c r="G161" s="27" t="inlineStr">
        <is>
          <t>-</t>
        </is>
      </c>
      <c r="H161" s="50">
        <f>F161</f>
        <v/>
      </c>
      <c r="I161" s="51" t="n">
        <v>33868</v>
      </c>
      <c r="J161" s="28">
        <f>H161*I161</f>
        <v/>
      </c>
      <c r="K161" s="52" t="inlineStr">
        <is>
          <t>GEÇMİŞ TEKLİF UYARLAMA</t>
        </is>
      </c>
      <c r="L161" s="7" t="inlineStr">
        <is>
          <t>REF-derin – Yangın pompası 165–180 m³/h 100 mSS M+İ: Kocaeli Uluhanlar 33.868/32.921, ITT+Tornatech 35.865 → medyan 33.868 (126 m³/h için üst sınır) [Emsal ID: R05435;R05438;R05534]</t>
        </is>
      </c>
      <c r="M161" s="7" t="inlineStr">
        <is>
          <t>YP-02 ref fiyatı ile aynı | İlk tahmin BF 34,866.59</t>
        </is>
      </c>
    </row>
    <row r="162" outlineLevel="1">
      <c r="A162" s="27" t="n"/>
      <c r="B162" s="27" t="inlineStr">
        <is>
          <t>5005.H</t>
        </is>
      </c>
      <c r="C162" s="7" t="inlineStr">
        <is>
          <t>D06 Ana yangın pompası YP-02 (yedek) 126 m³/h, 100 mSS, ~90 kW</t>
        </is>
      </c>
      <c r="D162" s="27" t="inlineStr">
        <is>
          <t>adet</t>
        </is>
      </c>
      <c r="E162" s="50" t="n">
        <v>1</v>
      </c>
      <c r="F162" s="50" t="n">
        <v>1</v>
      </c>
      <c r="G162" s="27" t="inlineStr">
        <is>
          <t>-</t>
        </is>
      </c>
      <c r="H162" s="50">
        <f>F162</f>
        <v/>
      </c>
      <c r="I162" s="51" t="n">
        <v>33868</v>
      </c>
      <c r="J162" s="28">
        <f>H162*I162</f>
        <v/>
      </c>
      <c r="K162" s="52" t="inlineStr">
        <is>
          <t>GEÇMİŞ TEKLİF UYARLAMA</t>
        </is>
      </c>
      <c r="L162" s="7" t="inlineStr">
        <is>
          <t>REF-derin – Satır 161 ile aynı: medyan 33.868 [Emsal ID: R05435;R05438;R05534]</t>
        </is>
      </c>
      <c r="M162" s="7" t="inlineStr">
        <is>
          <t>İlk tahmin BF 34,866.59</t>
        </is>
      </c>
    </row>
    <row r="163" outlineLevel="1">
      <c r="A163" s="27" t="n"/>
      <c r="B163" s="27" t="inlineStr">
        <is>
          <t>5005.H</t>
        </is>
      </c>
      <c r="C163" s="7" t="inlineStr">
        <is>
          <t>D06 Jokey pompa JP-01 dik çok kademeli 4 m³/h, 120 mSS, 5,5 kW</t>
        </is>
      </c>
      <c r="D163" s="27" t="inlineStr">
        <is>
          <t>adet</t>
        </is>
      </c>
      <c r="E163" s="50" t="n">
        <v>1</v>
      </c>
      <c r="F163" s="50" t="n">
        <v>1</v>
      </c>
      <c r="G163" s="27" t="inlineStr">
        <is>
          <t>-</t>
        </is>
      </c>
      <c r="H163" s="50">
        <f>F163</f>
        <v/>
      </c>
      <c r="I163" s="51" t="n">
        <v>5002.45</v>
      </c>
      <c r="J163" s="28">
        <f>H163*I163</f>
        <v/>
      </c>
      <c r="K163" s="52" t="inlineStr">
        <is>
          <t>GEÇMİŞ TEKLİF UYARLAMA</t>
        </is>
      </c>
      <c r="L163" s="7" t="inlineStr">
        <is>
          <t>REF-teyit – Jokey: Kocaeli Uluhanlar 4.263, ITT 5.742 → medyan 5.002 teyit [Emsal ID: R05436;R05535]</t>
        </is>
      </c>
      <c r="M163" s="7" t="inlineStr"/>
    </row>
    <row r="164" outlineLevel="1">
      <c r="A164" s="27" t="n"/>
      <c r="B164" s="27" t="inlineStr">
        <is>
          <t>5005.H</t>
        </is>
      </c>
      <c r="C164" s="7" t="inlineStr">
        <is>
          <t>D06 Yangın pompa kontrol panoları (asıl, yedek, jokey) + basınç şalterleri + test hattı/debimetre (FM)</t>
        </is>
      </c>
      <c r="D164" s="27" t="inlineStr">
        <is>
          <t>takım</t>
        </is>
      </c>
      <c r="E164" s="50" t="n">
        <v>1</v>
      </c>
      <c r="F164" s="50" t="n">
        <v>1</v>
      </c>
      <c r="G164" s="27" t="inlineStr">
        <is>
          <t>-</t>
        </is>
      </c>
      <c r="H164" s="50">
        <f>F164</f>
        <v/>
      </c>
      <c r="I164" s="51" t="n">
        <v>8232</v>
      </c>
      <c r="J164" s="28">
        <f>H164*I164</f>
        <v/>
      </c>
      <c r="K164" s="52" t="inlineStr">
        <is>
          <t>GEÇMİŞ TEKLİF UYARLAMA</t>
        </is>
      </c>
      <c r="L164" s="7" t="inlineStr">
        <is>
          <t>REF-derin(1) – Pompa refleri (ITT+Tornatech, Uluhanlar) kontrol panosu DAHİL → 3 pano ayrıca fiyatlanmış, mükerrer riski; test hattı/debimetre ref 1.464 ile mevcut 15.000 ort. 8.232 [Emsal ID: R05534]</t>
        </is>
      </c>
      <c r="M164" s="7" t="inlineStr">
        <is>
          <t>Ref düşük; 3 pano (90 kW yolvermeli) + test hattı | İlk tahmin BF 15,000.00</t>
        </is>
      </c>
    </row>
    <row r="165" outlineLevel="1">
      <c r="A165" s="27" t="n"/>
      <c r="B165" s="27" t="inlineStr">
        <is>
          <t>5005.H</t>
        </is>
      </c>
      <c r="C165" s="7" t="inlineStr">
        <is>
          <t>D06 Emiş ve dağıtım kollektörü DN200 (8") + vorteks plakalar, izlenebilir kelebek vanalar, çek valf, esnek bağlantılar</t>
        </is>
      </c>
      <c r="D165" s="27" t="inlineStr">
        <is>
          <t>takım</t>
        </is>
      </c>
      <c r="E165" s="50" t="n">
        <v>1</v>
      </c>
      <c r="F165" s="50" t="n">
        <v>1</v>
      </c>
      <c r="G165" s="27" t="inlineStr">
        <is>
          <t>-</t>
        </is>
      </c>
      <c r="H165" s="50">
        <f>F165</f>
        <v/>
      </c>
      <c r="I165" s="51" t="n">
        <v>6500</v>
      </c>
      <c r="J165" s="28">
        <f>H165*I165</f>
        <v/>
      </c>
      <c r="K165" s="52" t="inlineStr">
        <is>
          <t>GEÇMİŞ TEKLİF UYARLAMA</t>
        </is>
      </c>
      <c r="L165" s="7" t="inlineStr">
        <is>
          <t>REF-teyit – Globe izlemeli kelebek 8" 739, 6" 491 + çek valf + kollektör + flex ≈ 5–6,5k → teyit [Emsal ID: R05793;R05792]</t>
        </is>
      </c>
      <c r="M165" s="7" t="inlineStr">
        <is>
          <t>Ref çok düşük; DN200 kollektör + vanalar</t>
        </is>
      </c>
    </row>
    <row r="166" outlineLevel="1">
      <c r="A166" s="27" t="n"/>
      <c r="B166" s="27" t="inlineStr">
        <is>
          <t>5005.H</t>
        </is>
      </c>
      <c r="C166" s="7" t="inlineStr">
        <is>
          <t>D06 pompa dairesi yangın borusu galvaniz/siyah çelik (8" %5, 6" %45, 4" %35, 2"-1" %15)</t>
        </is>
      </c>
      <c r="D166" s="27" t="inlineStr">
        <is>
          <t>m</t>
        </is>
      </c>
      <c r="E166" s="50" t="n">
        <v>129</v>
      </c>
      <c r="F166" s="50" t="n">
        <v>129</v>
      </c>
      <c r="G166" s="27" t="inlineStr">
        <is>
          <t>-</t>
        </is>
      </c>
      <c r="H166" s="50">
        <f>F166</f>
        <v/>
      </c>
      <c r="I166" s="51" t="n">
        <v>72</v>
      </c>
      <c r="J166" s="28">
        <f>H166*I166</f>
        <v/>
      </c>
      <c r="K166" s="52" t="inlineStr">
        <is>
          <t>GEÇMİŞ TEKLİF UYARLAMA</t>
        </is>
      </c>
      <c r="L166" s="7" t="inlineStr">
        <is>
          <t>REF-derin – Çap medyanları 6" 69,78, 4" 45,91, 2" 23,76 €/m → ağırlıklı 55,21 ×1,3 (pompa dairesi fitting yoğunluğu) = 71,77 [Emsal ID: R05548;R05755;R05345;R05988;R05547;R05754;R05852;R05344;R05987;R06106]</t>
        </is>
      </c>
      <c r="M166" s="7" t="inlineStr">
        <is>
          <t>Çap dağılımına göre ağırlıklı (8"-1")</t>
        </is>
      </c>
    </row>
    <row r="167" outlineLevel="1">
      <c r="A167" s="27" t="n"/>
      <c r="B167" s="27" t="inlineStr">
        <is>
          <t>5005.H</t>
        </is>
      </c>
      <c r="C167" s="7" t="inlineStr">
        <is>
          <t>D06 basınç düşürücü vana DN100 (yangın dolapları hattı)</t>
        </is>
      </c>
      <c r="D167" s="27" t="inlineStr">
        <is>
          <t>adet</t>
        </is>
      </c>
      <c r="E167" s="50" t="n">
        <v>1</v>
      </c>
      <c r="F167" s="50" t="n">
        <v>1</v>
      </c>
      <c r="G167" s="27" t="inlineStr">
        <is>
          <t>-</t>
        </is>
      </c>
      <c r="H167" s="50">
        <f>F167</f>
        <v/>
      </c>
      <c r="I167" s="51" t="n">
        <v>984.45</v>
      </c>
      <c r="J167" s="28">
        <f>H167*I167</f>
        <v/>
      </c>
      <c r="K167" s="52" t="inlineStr">
        <is>
          <t>GEÇMİŞ TEKLİF UYARLAMA</t>
        </is>
      </c>
      <c r="L167" s="7" t="inlineStr">
        <is>
          <t>REF-derin(1) – R05870 Kocaeli KentMey.Tram/Mertsan 2015 514.54→668.90×1.3 (DN80 → DN100 ×1,3) | tek emsal 668.90 ile mevcut 1300.00 ortalaması [Emsal ID: R05870]</t>
        </is>
      </c>
      <c r="M167" s="7" t="inlineStr">
        <is>
          <t>Ref düşük; yangın onaylı DN100 PRV | İlk tahmin BF 1,300.00</t>
        </is>
      </c>
    </row>
    <row r="168" outlineLevel="1">
      <c r="A168" s="27" t="n"/>
      <c r="B168" s="27" t="inlineStr">
        <is>
          <t>5005.H</t>
        </is>
      </c>
      <c r="C168" s="7" t="inlineStr">
        <is>
          <t>D06 itfaiye su verme ağzı (siyam ikizi)</t>
        </is>
      </c>
      <c r="D168" s="27" t="inlineStr">
        <is>
          <t>adet</t>
        </is>
      </c>
      <c r="E168" s="50" t="n">
        <v>1</v>
      </c>
      <c r="F168" s="50" t="n">
        <v>1</v>
      </c>
      <c r="G168" s="27" t="inlineStr">
        <is>
          <t>-</t>
        </is>
      </c>
      <c r="H168" s="50">
        <f>F168</f>
        <v/>
      </c>
      <c r="I168" s="51" t="n">
        <v>246.9</v>
      </c>
      <c r="J168" s="28">
        <f>H168*I168</f>
        <v/>
      </c>
      <c r="K168" s="52" t="inlineStr">
        <is>
          <t>GEÇMİŞ TEKLİF UYARLAMA</t>
        </is>
      </c>
      <c r="L168" s="7" t="inlineStr">
        <is>
          <t>REF-derin – R05193 Bakırköy Metro/bilinmiyor 2014 128.14; R05327 İzmir Buca Metro/Alp 2021 246.90; R05533 Kocaeli KentMey.Tram/bilinmiyor 2015 278.48; R05790 Kocaeli KentMey.Tram/FER 2015 247.86; R05997 Kirazlı-Halkalı Metro/Panel 2024 230.27 | medyan 246.90 (siyam ikizi 4"x2½"x2½") = 246.90 € | mevcut REF 450.00 (-45.1%) düzeltildi [Emsal ID: R05193;R05327;R05533;R05790;R05997]</t>
        </is>
      </c>
      <c r="M168" s="7" t="inlineStr">
        <is>
          <t>Ref düşük; montajlı siyam ikizi | İlk tahmin BF 450.00</t>
        </is>
      </c>
    </row>
    <row r="169" outlineLevel="1">
      <c r="A169" s="27" t="n"/>
      <c r="B169" s="27" t="inlineStr">
        <is>
          <t>5005.H</t>
        </is>
      </c>
      <c r="C169" s="7" t="inlineStr">
        <is>
          <t>D01 yangın dolabı (TS EN 671-1, hortum makaralı, ABC söndürücü bölmeli)</t>
        </is>
      </c>
      <c r="D169" s="27" t="inlineStr">
        <is>
          <t>adet</t>
        </is>
      </c>
      <c r="E169" s="50" t="n">
        <v>17</v>
      </c>
      <c r="F169" s="50" t="n">
        <v>17</v>
      </c>
      <c r="G169" s="27" t="inlineStr">
        <is>
          <t>-</t>
        </is>
      </c>
      <c r="H169" s="50">
        <f>F169</f>
        <v/>
      </c>
      <c r="I169" s="51" t="n">
        <v>373.93</v>
      </c>
      <c r="J169" s="28">
        <f>H169*I169</f>
        <v/>
      </c>
      <c r="K169" s="52" t="inlineStr">
        <is>
          <t>GEÇMİŞ TEKLİF UYARLAMA</t>
        </is>
      </c>
      <c r="L169" s="7" t="inlineStr">
        <is>
          <t>REF-teyit – R05428 Kocaeli KentMey.Tram/Uluhanlar 2015 315.00; R05525 Kocaeli KentMey.Tram/bilinmiyor 2015 449.64; R05782 Kocaeli KentMey.Tram/FER 2015 290.83; R05890 Kocaeli KentMey.Tram/Mertsan 2015 373.93; R05934 Kocaeli KentMey.Tram/TREMS 2015 266.65; R05979 Kirazlı-Halkalı Metro/Panel 2024 436.35; +3 emsal | medyan 373.93 (TS EN 671-1 yangın dolabı) = 373.93 € | sapma -0.0% ≤%10 → mevcut REF teyit [Emsal ID: R05428;R05525;R05782;R05890;R05934;R05979;R05980;R05326;R06148]</t>
        </is>
      </c>
      <c r="M169" s="7" t="inlineStr"/>
    </row>
    <row r="170" outlineLevel="1">
      <c r="A170" s="27" t="n"/>
      <c r="B170" s="27" t="inlineStr">
        <is>
          <t>5005.H</t>
        </is>
      </c>
      <c r="C170" s="7" t="inlineStr">
        <is>
          <t>D01 itfaiye su alma ağzı / kuru sistem vanası (F1…F4)</t>
        </is>
      </c>
      <c r="D170" s="27" t="inlineStr">
        <is>
          <t>adet</t>
        </is>
      </c>
      <c r="E170" s="50" t="n">
        <v>4</v>
      </c>
      <c r="F170" s="50" t="n">
        <v>4</v>
      </c>
      <c r="G170" s="27" t="inlineStr">
        <is>
          <t>-</t>
        </is>
      </c>
      <c r="H170" s="50">
        <f>F170</f>
        <v/>
      </c>
      <c r="I170" s="51" t="n">
        <v>128.88</v>
      </c>
      <c r="J170" s="28">
        <f>H170*I170</f>
        <v/>
      </c>
      <c r="K170" s="52" t="inlineStr">
        <is>
          <t>GEÇMİŞ TEKLİF UYARLAMA</t>
        </is>
      </c>
      <c r="L170" s="7" t="inlineStr">
        <is>
          <t>REF-derin – R05328 İzmir Buca Metro/Alp 2021 132.68; R05998 Kirazlı-Halkalı Metro/Panel 2024 125.08 | medyan 128.88 (itfaiye su alma ağzı 2½") = 128.88 € | mevcut REF 250.00 (-48.4%) düzeltildi [Emsal ID: R05328;R05998]</t>
        </is>
      </c>
      <c r="M170" s="7" t="inlineStr">
        <is>
          <t>Ref düşük; montajlı itfaiye vanası | İlk tahmin BF 250.00</t>
        </is>
      </c>
    </row>
    <row r="171" outlineLevel="1">
      <c r="A171" s="27" t="n"/>
      <c r="B171" s="27" t="inlineStr">
        <is>
          <t>5005.H</t>
        </is>
      </c>
      <c r="C171" s="7" t="inlineStr">
        <is>
          <t>D01 yangın dolabı hattı galvaniz çelik boru (yivli/dişli, askı-boya dahil) 4"</t>
        </is>
      </c>
      <c r="D171" s="27" t="inlineStr">
        <is>
          <t>m</t>
        </is>
      </c>
      <c r="E171" s="50" t="n">
        <v>174</v>
      </c>
      <c r="F171" s="50" t="n">
        <v>174</v>
      </c>
      <c r="G171" s="27" t="inlineStr">
        <is>
          <t>fire+%30</t>
        </is>
      </c>
      <c r="H171" s="50">
        <f>F171/IF(Varsayimlar!$B$21=1,1.43,1)</f>
        <v/>
      </c>
      <c r="I171" s="51" t="n">
        <v>52</v>
      </c>
      <c r="J171" s="28">
        <f>H171*I171</f>
        <v/>
      </c>
      <c r="K171" s="52" t="inlineStr">
        <is>
          <t>GEÇMİŞ TEKLİF UYARLAMA</t>
        </is>
      </c>
      <c r="L171" s="7" t="inlineStr">
        <is>
          <t>REF-derin – 4" galvaniz M+İ: FER 39,53, Mertsan 39,17, Buca 52,28, Kirazlı 2024 79,85, Siirt 2025 67,25 → medyan 52,28 [Emsal ID: R05754;R05852;R05344;R05987;R06106]</t>
        </is>
      </c>
      <c r="M171" s="7" t="inlineStr">
        <is>
          <t>DN100 galvaniz montajlı çapa göre | İlk tahmin BF 60.00</t>
        </is>
      </c>
    </row>
    <row r="172" outlineLevel="1">
      <c r="A172" s="27" t="n"/>
      <c r="B172" s="27" t="inlineStr">
        <is>
          <t>5005.H</t>
        </is>
      </c>
      <c r="C172" s="7" t="inlineStr">
        <is>
          <t>D01 yangın dolabı hattı galvaniz çelik boru (yivli/dişli, askı-boya dahil) 2 1/2"</t>
        </is>
      </c>
      <c r="D172" s="27" t="inlineStr">
        <is>
          <t>m</t>
        </is>
      </c>
      <c r="E172" s="50" t="n">
        <v>58</v>
      </c>
      <c r="F172" s="50" t="n">
        <v>58</v>
      </c>
      <c r="G172" s="27" t="inlineStr">
        <is>
          <t>fire+%30</t>
        </is>
      </c>
      <c r="H172" s="50">
        <f>F172/IF(Varsayimlar!$B$21=1,1.43,1)</f>
        <v/>
      </c>
      <c r="I172" s="51" t="n">
        <v>32.54</v>
      </c>
      <c r="J172" s="28">
        <f>H172*I172</f>
        <v/>
      </c>
      <c r="K172" s="52" t="inlineStr">
        <is>
          <t>GEÇMİŞ TEKLİF UYARLAMA</t>
        </is>
      </c>
      <c r="L172" s="7" t="inlineStr">
        <is>
          <t>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(galv. 2½"; FER %40 montaj malz. hariç→×1,4; +%5 boya) = 32.54 € | mevcut REF 38.00 (-14.4%) düzeltildi [Emsal ID: R05342;R05459;R05553;R05850;R05985;R06105;R05752]</t>
        </is>
      </c>
      <c r="M172" s="7" t="inlineStr">
        <is>
          <t>DN65 galvaniz montajlı | İlk tahmin BF 38.00</t>
        </is>
      </c>
    </row>
    <row r="173" outlineLevel="1">
      <c r="A173" s="27" t="n"/>
      <c r="B173" s="27" t="inlineStr">
        <is>
          <t>5005.H</t>
        </is>
      </c>
      <c r="C173" s="7" t="inlineStr">
        <is>
          <t>D01 yangın dolabı hattı galvaniz çelik boru (yivli/dişli, askı-boya dahil) 2"</t>
        </is>
      </c>
      <c r="D173" s="27" t="inlineStr">
        <is>
          <t>m</t>
        </is>
      </c>
      <c r="E173" s="50" t="n">
        <v>155</v>
      </c>
      <c r="F173" s="50" t="n">
        <v>155</v>
      </c>
      <c r="G173" s="27" t="inlineStr">
        <is>
          <t>fire+%30</t>
        </is>
      </c>
      <c r="H173" s="50">
        <f>F173/IF(Varsayimlar!$B$21=1,1.43,1)</f>
        <v/>
      </c>
      <c r="I173" s="51" t="n">
        <v>28</v>
      </c>
      <c r="J173" s="28">
        <f>H173*I173</f>
        <v/>
      </c>
      <c r="K173" s="52" t="inlineStr">
        <is>
          <t>GEÇMİŞ TEKLİF UYARLAMA</t>
        </is>
      </c>
      <c r="L173" s="7" t="inlineStr">
        <is>
          <t>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(galv. 2"; FER ×1,4; +%5 boya) = 29.70 € | sapma +6.1% ≤%10 → mevcut REF teyit [Emsal ID: R05341;R05458;R05552;R05984;R06104;R05751]</t>
        </is>
      </c>
      <c r="M173" s="7" t="inlineStr">
        <is>
          <t>DN50 galvaniz montajlı</t>
        </is>
      </c>
    </row>
    <row r="174" outlineLevel="1">
      <c r="A174" s="27" t="n"/>
      <c r="B174" s="27" t="inlineStr">
        <is>
          <t>5005.H</t>
        </is>
      </c>
      <c r="C174" s="7" t="inlineStr">
        <is>
          <t>D01 izlenebilir kelebek vana DN100 + kompansatör (dilatasyon)</t>
        </is>
      </c>
      <c r="D174" s="27" t="inlineStr">
        <is>
          <t>adet</t>
        </is>
      </c>
      <c r="E174" s="50" t="n">
        <v>11</v>
      </c>
      <c r="F174" s="50" t="n">
        <v>11</v>
      </c>
      <c r="G174" s="27" t="inlineStr">
        <is>
          <t>-</t>
        </is>
      </c>
      <c r="H174" s="50">
        <f>F174</f>
        <v/>
      </c>
      <c r="I174" s="51" t="n">
        <v>340.45</v>
      </c>
      <c r="J174" s="28">
        <f>H174*I174</f>
        <v/>
      </c>
      <c r="K174" s="52" t="inlineStr">
        <is>
          <t>GEÇMİŞ TEKLİF UYARLAMA</t>
        </is>
      </c>
      <c r="L174" s="7" t="inlineStr">
        <is>
          <t>REF-teyit – R05329 İzmir Buca Metro/Alp 2021 241.82; R05433 Kocaeli KentMey.Tram/Uluhanlar 2015 333.95; R05531 Kocaeli KentMey.Tram/bilinmiyor 2015 346.90; R05791 Kocaeli KentMey.Tram/FER 2015 334.01; R05891 Kocaeli KentMey.Tram/Mertsan 2015 387.23; R05989 Kirazlı-Halkalı Metro/Panel 2024 254.77 | medyan 333.98 (izlenebilir kelebek vana DN100 (kompansatör hariç)) = 333.98 € | sapma -1.9% ≤%10 → mevcut REF teyit [Emsal ID: R05329;R05433;R05531;R05791;R05891;R05989]</t>
        </is>
      </c>
      <c r="M174" s="7" t="inlineStr"/>
    </row>
    <row r="175" outlineLevel="1">
      <c r="A175" s="27" t="n"/>
      <c r="B175" s="27" t="inlineStr">
        <is>
          <t>5005.H</t>
        </is>
      </c>
      <c r="C175" s="7" t="inlineStr">
        <is>
          <t>D01 taşınabilir CO2 5 kg (kontrol odası ve ısı merkezi)</t>
        </is>
      </c>
      <c r="D175" s="27" t="inlineStr">
        <is>
          <t>adet</t>
        </is>
      </c>
      <c r="E175" s="50" t="n">
        <v>2</v>
      </c>
      <c r="F175" s="50" t="n">
        <v>2</v>
      </c>
      <c r="G175" s="27" t="inlineStr">
        <is>
          <t>-</t>
        </is>
      </c>
      <c r="H175" s="50">
        <f>F175</f>
        <v/>
      </c>
      <c r="I175" s="51" t="n">
        <v>80</v>
      </c>
      <c r="J175" s="28">
        <f>H175*I175</f>
        <v/>
      </c>
      <c r="K175" s="52" t="inlineStr">
        <is>
          <t>GEÇMİŞ TEKLİF UYARLAMA</t>
        </is>
      </c>
      <c r="L175" s="7" t="inlineStr">
        <is>
          <t>REF-teyit – R05323 İzmir Buca Metro/Alp 2021 65.06; R05977 Kirazlı-Halkalı Metro/Panel 2024 101.41 | medyan 83.24 = 83.24 € | sapma +4.0% ≤%10 → mevcut REF teyit [Emsal ID: R05323;R05977]</t>
        </is>
      </c>
      <c r="M175" s="7" t="inlineStr">
        <is>
          <t>Ref 11.571 hatalı (sistem fiyatı); CO2 5 kg</t>
        </is>
      </c>
    </row>
    <row r="176" outlineLevel="1">
      <c r="A176" s="27" t="n"/>
      <c r="B176" s="27" t="inlineStr">
        <is>
          <t>5005.H</t>
        </is>
      </c>
      <c r="C176" s="7" t="inlineStr">
        <is>
          <t>D01 taşınabilir ABC 6 kg (yangın dolabı bölmelerinde)</t>
        </is>
      </c>
      <c r="D176" s="27" t="inlineStr">
        <is>
          <t>adet</t>
        </is>
      </c>
      <c r="E176" s="50" t="n">
        <v>17</v>
      </c>
      <c r="F176" s="50" t="n">
        <v>17</v>
      </c>
      <c r="G176" s="27" t="inlineStr">
        <is>
          <t>-</t>
        </is>
      </c>
      <c r="H176" s="50">
        <f>F176</f>
        <v/>
      </c>
      <c r="I176" s="51" t="n">
        <v>45</v>
      </c>
      <c r="J176" s="28">
        <f>H176*I176</f>
        <v/>
      </c>
      <c r="K176" s="52" t="inlineStr">
        <is>
          <t>GEÇMİŞ TEKLİF UYARLAMA</t>
        </is>
      </c>
      <c r="L176" s="7" t="inlineStr">
        <is>
          <t>REF-teyit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 sapma -5.3% ≤%10 → mevcut REF teyit [Emsal ID: R05324;R05439;R05899;R05978;R06150;R05537;R05789]</t>
        </is>
      </c>
      <c r="M176" s="7" t="inlineStr">
        <is>
          <t>Ref yüksek; ABC 6 kg</t>
        </is>
      </c>
    </row>
    <row r="177" outlineLevel="1">
      <c r="A177" s="27" t="n"/>
      <c r="B177" s="27" t="inlineStr">
        <is>
          <t>5005.H</t>
        </is>
      </c>
      <c r="C177" s="7" t="inlineStr">
        <is>
          <t>D01 elektrik/elektronik odaları FM200 gazlı söndürme sistemi: silindir 83 L (3 zon manifold), valf/aktüatör, nozul, SCH40 boru, tahliye/ikaz, söndürme kontrol paneli, çapraz zonlu dedektörler, özel kablolar</t>
        </is>
      </c>
      <c r="D177" s="27" t="inlineStr">
        <is>
          <t>set</t>
        </is>
      </c>
      <c r="E177" s="50" t="n">
        <v>1</v>
      </c>
      <c r="F177" s="50" t="n">
        <v>1</v>
      </c>
      <c r="G177" s="27" t="inlineStr">
        <is>
          <t>-</t>
        </is>
      </c>
      <c r="H177" s="50">
        <f>F177</f>
        <v/>
      </c>
      <c r="I177" s="51" t="n">
        <v>20400</v>
      </c>
      <c r="J177" s="28">
        <f>H177*I177</f>
        <v/>
      </c>
      <c r="K177" s="52" t="inlineStr">
        <is>
          <t>GEÇMİŞ TEKLİF UYARLAMA</t>
        </is>
      </c>
      <c r="L177" s="7" t="inlineStr">
        <is>
          <t>REF-derin – FM200 tek silindir sistem: Bursa T2 FER 10.346, Kocaeli 40 m² 11.571, Ekin 79 m² 28.721 → medyan 11.571 + 3 zon yön valfi/kontrol 7.000, +%10 HFC kota etkisi = 20.400; mevcut 30.000 YÜKSEK [Emsal ID: R05788;R05610;R06289;R05898]</t>
        </is>
      </c>
      <c r="M177" s="7" t="inlineStr">
        <is>
          <t>3 zonlu FM200, tek silindir manifold | İlk tahmin BF 30,000.00</t>
        </is>
      </c>
    </row>
    <row r="178" outlineLevel="1">
      <c r="A178" s="27" t="n"/>
      <c r="B178" s="27" t="inlineStr">
        <is>
          <t>5005.H</t>
        </is>
      </c>
      <c r="C178" s="7" t="inlineStr">
        <is>
          <t>Sprinkler başlığı K80, 68°C, pendent (asma tavanlı mahaller, rozetli) — D01 idari/ofis+ıslak hacimler, D05 küçük odalar, D07</t>
        </is>
      </c>
      <c r="D178" s="27" t="inlineStr">
        <is>
          <t>adet</t>
        </is>
      </c>
      <c r="E178" s="50" t="n">
        <v>205</v>
      </c>
      <c r="F178" s="50" t="n">
        <v>205</v>
      </c>
      <c r="G178" s="27" t="inlineStr">
        <is>
          <t>%30</t>
        </is>
      </c>
      <c r="H178" s="50">
        <f>F178/IF(Varsayimlar!$B$21=1,1.3,1)</f>
        <v/>
      </c>
      <c r="I178" s="51" t="n">
        <v>18.59</v>
      </c>
      <c r="J178" s="28">
        <f>H178*I178</f>
        <v/>
      </c>
      <c r="K178" s="52" t="inlineStr">
        <is>
          <t>GEÇMİŞ TEKLİF UYARLAMA</t>
        </is>
      </c>
      <c r="L178" s="7" t="inlineStr">
        <is>
          <t>REF-derin – R05334 İzmir Buca Metro/Alp 2021 32.79; R05430 Kocaeli KentMey.Tram/Uluhanlar 2015 10.89; R05995 Kirazlı-Halkalı Metro/Panel 2024 18.59; R05996 Kirazlı-Halkalı Metro/Panel 2024 19.67; R05527 Kocaeli KentMey.Tram/bilinmiyor 2015 9.06→11.26+2.20 | medyan 18.59 (K80 sprinkler M+İ; Globe R05527 + rozet R05528) = 18.59 € | mevcut REF 30.00 (-38.0%) düzeltildi [Emsal ID: R05334;R05430;R05995;R05996;R05527]</t>
        </is>
      </c>
      <c r="M178" s="7" t="inlineStr">
        <is>
          <t>Ref düşük; montajlı başlık | İlk tahmin BF 30.00</t>
        </is>
      </c>
    </row>
    <row r="179" outlineLevel="1">
      <c r="A179" s="27" t="n"/>
      <c r="B179" s="27" t="inlineStr">
        <is>
          <t>5005.H</t>
        </is>
      </c>
      <c r="C179" s="7" t="inlineStr">
        <is>
          <t>D05 taşınabilir CO2 5 kg</t>
        </is>
      </c>
      <c r="D179" s="27" t="inlineStr">
        <is>
          <t>adet</t>
        </is>
      </c>
      <c r="E179" s="50" t="n">
        <v>2</v>
      </c>
      <c r="F179" s="50" t="n">
        <v>2</v>
      </c>
      <c r="G179" s="27" t="inlineStr">
        <is>
          <t>-</t>
        </is>
      </c>
      <c r="H179" s="50">
        <f>F179</f>
        <v/>
      </c>
      <c r="I179" s="51" t="n">
        <v>83.23999999999999</v>
      </c>
      <c r="J179" s="28">
        <f>H179*I179</f>
        <v/>
      </c>
      <c r="K179" s="52" t="inlineStr">
        <is>
          <t>GEÇMİŞ TEKLİF UYARLAMA</t>
        </is>
      </c>
      <c r="L179" s="7" t="inlineStr">
        <is>
          <t>REF-derin – R05323 İzmir Buca Metro/Alp 2021 65.06; R05977 Kirazlı-Halkalı Metro/Panel 2024 101.41 | medyan 83.24 = 83.24 € [Emsal ID: R05323;R05977]</t>
        </is>
      </c>
      <c r="M179" s="7" t="inlineStr">
        <is>
          <t>İlk tahmin BF 80.00</t>
        </is>
      </c>
    </row>
    <row r="180" outlineLevel="1">
      <c r="A180" s="27" t="n"/>
      <c r="B180" s="27" t="inlineStr">
        <is>
          <t>5005.H</t>
        </is>
      </c>
      <c r="C180" s="7" t="inlineStr">
        <is>
          <t>D05 taşınabilir ABC 12 kg</t>
        </is>
      </c>
      <c r="D180" s="27" t="inlineStr">
        <is>
          <t>adet</t>
        </is>
      </c>
      <c r="E180" s="50" t="n">
        <v>2</v>
      </c>
      <c r="F180" s="50" t="n">
        <v>2</v>
      </c>
      <c r="G180" s="27" t="inlineStr">
        <is>
          <t>-</t>
        </is>
      </c>
      <c r="H180" s="50">
        <f>F180</f>
        <v/>
      </c>
      <c r="I180" s="51" t="n">
        <v>61</v>
      </c>
      <c r="J180" s="28">
        <f>H180*I180</f>
        <v/>
      </c>
      <c r="K180" s="52" t="inlineStr">
        <is>
          <t>GEÇMİŞ TEKLİF UYARLAMA</t>
        </is>
      </c>
      <c r="L180" s="7" t="inlineStr">
        <is>
          <t>REF-derin(1) – R05325 İzmir Buca Metro/Alp 2021 57.00 (ABC 12 kg tek emsal) | tek emsal 57.00 ile mevcut 65.00 ortalaması [Emsal ID: R05325]</t>
        </is>
      </c>
      <c r="M180" s="7" t="inlineStr">
        <is>
          <t>Askı+levha+montaj | İlk tahmin BF 65.00</t>
        </is>
      </c>
    </row>
    <row r="181" outlineLevel="1">
      <c r="A181" s="27" t="n"/>
      <c r="B181" s="27" t="inlineStr">
        <is>
          <t>5005.H</t>
        </is>
      </c>
      <c r="C181" s="7" t="inlineStr">
        <is>
          <t>D07 taşınabilir ABC 6 kg</t>
        </is>
      </c>
      <c r="D181" s="27" t="inlineStr">
        <is>
          <t>adet</t>
        </is>
      </c>
      <c r="E181" s="50" t="n">
        <v>1</v>
      </c>
      <c r="F181" s="50" t="n">
        <v>1</v>
      </c>
      <c r="G181" s="27" t="inlineStr">
        <is>
          <t>-</t>
        </is>
      </c>
      <c r="H181" s="50">
        <f>F181</f>
        <v/>
      </c>
      <c r="I181" s="51" t="n">
        <v>42.63</v>
      </c>
      <c r="J181" s="28">
        <f>H181*I181</f>
        <v/>
      </c>
      <c r="K181" s="52" t="inlineStr">
        <is>
          <t>GEÇMİŞ TEKLİF UYARLAMA</t>
        </is>
      </c>
      <c r="L181" s="7" t="inlineStr">
        <is>
          <t>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[Emsal ID: R05324;R05439;R05899;R05978;R06150;R05537;R05789]</t>
        </is>
      </c>
      <c r="M181" s="7" t="inlineStr">
        <is>
          <t>İlk tahmin BF 45.00</t>
        </is>
      </c>
    </row>
    <row r="182" outlineLevel="1">
      <c r="A182" s="27" t="n"/>
      <c r="B182" s="27" t="inlineStr">
        <is>
          <t>5005.H</t>
        </is>
      </c>
      <c r="C182" s="7" t="inlineStr">
        <is>
          <t>D02/T13 taşınabilir CO2 5 kg</t>
        </is>
      </c>
      <c r="D182" s="27" t="inlineStr">
        <is>
          <t>adet</t>
        </is>
      </c>
      <c r="E182" s="50" t="n">
        <v>5</v>
      </c>
      <c r="F182" s="50" t="n">
        <v>5</v>
      </c>
      <c r="G182" s="27" t="inlineStr">
        <is>
          <t>-</t>
        </is>
      </c>
      <c r="H182" s="50">
        <f>F182</f>
        <v/>
      </c>
      <c r="I182" s="51" t="n">
        <v>83.23999999999999</v>
      </c>
      <c r="J182" s="28">
        <f>H182*I182</f>
        <v/>
      </c>
      <c r="K182" s="52" t="inlineStr">
        <is>
          <t>GEÇMİŞ TEKLİF UYARLAMA</t>
        </is>
      </c>
      <c r="L182" s="7" t="inlineStr">
        <is>
          <t>REF-derin – R05323 İzmir Buca Metro/Alp 2021 65.06; R05977 Kirazlı-Halkalı Metro/Panel 2024 101.41 | medyan 83.24 = 83.24 € [Emsal ID: R05323;R05977]</t>
        </is>
      </c>
      <c r="M182" s="7" t="inlineStr">
        <is>
          <t>İlk tahmin BF 80.00</t>
        </is>
      </c>
    </row>
    <row r="183" outlineLevel="1">
      <c r="A183" s="27" t="n"/>
      <c r="B183" s="27" t="inlineStr">
        <is>
          <t>5005.H</t>
        </is>
      </c>
      <c r="C183" s="7" t="inlineStr">
        <is>
          <t>D06 taşınabilir ABC 6 kg + CO2 5 kg (pompa dairesi/pano)</t>
        </is>
      </c>
      <c r="D183" s="27" t="inlineStr">
        <is>
          <t>adet</t>
        </is>
      </c>
      <c r="E183" s="50" t="n">
        <v>2</v>
      </c>
      <c r="F183" s="50" t="n">
        <v>2</v>
      </c>
      <c r="G183" s="27" t="inlineStr">
        <is>
          <t>-</t>
        </is>
      </c>
      <c r="H183" s="50">
        <f>F183</f>
        <v/>
      </c>
      <c r="I183" s="51" t="n">
        <v>62.93</v>
      </c>
      <c r="J183" s="28">
        <f>H183*I183</f>
        <v/>
      </c>
      <c r="K183" s="52" t="inlineStr">
        <is>
          <t>GEÇMİŞ TEKLİF UYARLAMA</t>
        </is>
      </c>
      <c r="L183" s="7" t="inlineStr">
        <is>
          <t>REF-derin – ABC 6 kg medyan 42.63 ve CO2 5 kg medyan 83.24 ortalaması (adet başı) = 62.93 € [Emsal ID: R05324;R05439;R05899;R05978;R06150;R05537;R05789;R05323;R05977]</t>
        </is>
      </c>
      <c r="M183" s="7" t="inlineStr">
        <is>
          <t>1 ABC + 1 CO2 ortalaması | İlk tahmin BF 63.00</t>
        </is>
      </c>
    </row>
    <row r="184" outlineLevel="1">
      <c r="A184" s="27" t="n"/>
      <c r="B184" s="27" t="inlineStr">
        <is>
          <t>5005.H</t>
        </is>
      </c>
      <c r="C184" s="7" t="inlineStr">
        <is>
          <t>Sprinkler başlığı K80, 68°C, upright (yüksek tavanlı atölye holleri, depo, pompa dairesi) + koruma kafesi (atölye)</t>
        </is>
      </c>
      <c r="D184" s="27" t="inlineStr">
        <is>
          <t>adet</t>
        </is>
      </c>
      <c r="E184" s="50" t="n">
        <v>453</v>
      </c>
      <c r="F184" s="50" t="n">
        <v>453</v>
      </c>
      <c r="G184" s="27" t="inlineStr">
        <is>
          <t>-</t>
        </is>
      </c>
      <c r="H184" s="50">
        <f>F184</f>
        <v/>
      </c>
      <c r="I184" s="51" t="n">
        <v>22</v>
      </c>
      <c r="J184" s="28">
        <f>H184*I184</f>
        <v/>
      </c>
      <c r="K184" s="52" t="inlineStr">
        <is>
          <t>GEÇMİŞ TEKLİF UYARLAMA</t>
        </is>
      </c>
      <c r="L184" s="7" t="inlineStr">
        <is>
          <t>REF-derin – Upright sprinkler M+İ: Buca 2021 7,29, Kirazlı 2024 18,59 → medyan 12,94 + kafes 6 + yüksek tavan montajı 3 = 21,94; mevcut 32 yüksek [Emsal ID: R05335;R05995;R05429]</t>
        </is>
      </c>
      <c r="M184" s="7" t="inlineStr">
        <is>
          <t>Ref malzeme; montaj + koruma kafesi | İlk tahmin BF 32.00</t>
        </is>
      </c>
    </row>
    <row r="185" outlineLevel="1">
      <c r="A185" s="27" t="n"/>
      <c r="B185" s="27" t="inlineStr">
        <is>
          <t>5005.H</t>
        </is>
      </c>
      <c r="C185" s="7" t="inlineStr">
        <is>
          <t>Yedek sprinkler dolabı + 24 yedek başlık + anahtar (TS EN 12845 OT)</t>
        </is>
      </c>
      <c r="D185" s="27" t="inlineStr">
        <is>
          <t>takım</t>
        </is>
      </c>
      <c r="E185" s="50" t="n">
        <v>1</v>
      </c>
      <c r="F185" s="50" t="n">
        <v>1</v>
      </c>
      <c r="G185" s="27" t="inlineStr">
        <is>
          <t>%30</t>
        </is>
      </c>
      <c r="H185" s="50">
        <f>F185/IF(Varsayimlar!$B$21=1,1.3,1)</f>
        <v/>
      </c>
      <c r="I185" s="51" t="n">
        <v>323.72</v>
      </c>
      <c r="J185" s="28">
        <f>H185*I185</f>
        <v/>
      </c>
      <c r="K185" s="52" t="inlineStr">
        <is>
          <t>GEÇMİŞ TEKLİF UYARLAMA</t>
        </is>
      </c>
      <c r="L185" s="7" t="inlineStr">
        <is>
          <t>REF-derin(1) – R05527 Kocaeli KentMey.Tram/bilinmiyor 2015 9.06→297.44×24+80.00 (24 yedek başlık × Globe pendent + 80 € dolap/anahtar tahmini) | tek emsal 297.44 ile mevcut 350.00 ortalaması [Emsal ID: R05527]</t>
        </is>
      </c>
      <c r="M185" s="7" t="inlineStr">
        <is>
          <t>İlk tahmin BF 350.00</t>
        </is>
      </c>
    </row>
    <row r="186" outlineLevel="1">
      <c r="A186" s="27" t="n"/>
      <c r="B186" s="27" t="inlineStr">
        <is>
          <t>5005.H</t>
        </is>
      </c>
      <c r="C186" s="7" t="inlineStr">
        <is>
          <t>Sprinkler branşman borusu siyah çelik DN25 (dişli, askı-boya dahil)</t>
        </is>
      </c>
      <c r="D186" s="27" t="inlineStr">
        <is>
          <t>m</t>
        </is>
      </c>
      <c r="E186" s="50" t="n">
        <v>1517</v>
      </c>
      <c r="F186" s="50" t="n">
        <v>1517</v>
      </c>
      <c r="G186" s="27" t="inlineStr">
        <is>
          <t>fire+%30</t>
        </is>
      </c>
      <c r="H186" s="50">
        <f>F186/IF(Varsayimlar!$B$21=1,1.43,1)</f>
        <v/>
      </c>
      <c r="I186" s="51" t="n">
        <v>20.86</v>
      </c>
      <c r="J186" s="28">
        <f>H186*I186</f>
        <v/>
      </c>
      <c r="K186" s="52" t="inlineStr">
        <is>
          <t>GEÇMİŞ TEKLİF UYARLAMA</t>
        </is>
      </c>
      <c r="L186" s="7" t="inlineStr">
        <is>
          <t>REF-teyit – 1" siyah/galv M+İ: Buca 2021 13, Kirazlı 2024 43, Siirt 2025 22 (yakın tarih medyan 22) → 20,86 teyit [Emsal ID: R05338;R05982;R06101;R05447]</t>
        </is>
      </c>
      <c r="M186" s="7" t="inlineStr"/>
    </row>
    <row r="187" outlineLevel="1">
      <c r="A187" s="27" t="n"/>
      <c r="B187" s="27" t="inlineStr">
        <is>
          <t>5005.H</t>
        </is>
      </c>
      <c r="C187" s="7" t="inlineStr">
        <is>
          <t>Sprinkler branşman borusu siyah çelik DN32</t>
        </is>
      </c>
      <c r="D187" s="27" t="inlineStr">
        <is>
          <t>m</t>
        </is>
      </c>
      <c r="E187" s="50" t="n">
        <v>632</v>
      </c>
      <c r="F187" s="50" t="n">
        <v>632</v>
      </c>
      <c r="G187" s="27" t="inlineStr">
        <is>
          <t>fire+%30</t>
        </is>
      </c>
      <c r="H187" s="50">
        <f>F187/IF(Varsayimlar!$B$21=1,1.43,1)</f>
        <v/>
      </c>
      <c r="I187" s="51" t="n">
        <v>21</v>
      </c>
      <c r="J187" s="28">
        <f>H187*I187</f>
        <v/>
      </c>
      <c r="K187" s="52" t="inlineStr">
        <is>
          <t>GEÇMİŞ TEKLİF UYARLAMA</t>
        </is>
      </c>
      <c r="L187" s="7" t="inlineStr">
        <is>
          <t>REF-teyit – 1¼": Buca 16, Kirazlı 30, Siirt 26 → medyan 26; 21 kabul edilebilir alt bant, teyit [Emsal ID: R05339;R05983;R06102]</t>
        </is>
      </c>
      <c r="M187" s="7" t="inlineStr">
        <is>
          <t>Ref düşük; DN32 montajlı</t>
        </is>
      </c>
    </row>
    <row r="188" outlineLevel="1">
      <c r="A188" s="27" t="n"/>
      <c r="B188" s="27" t="inlineStr">
        <is>
          <t>5005.H</t>
        </is>
      </c>
      <c r="C188" s="7" t="inlineStr">
        <is>
          <t>Sprinkler branşman borusu siyah çelik DN40</t>
        </is>
      </c>
      <c r="D188" s="27" t="inlineStr">
        <is>
          <t>m</t>
        </is>
      </c>
      <c r="E188" s="50" t="n">
        <v>380</v>
      </c>
      <c r="F188" s="50" t="n">
        <v>380</v>
      </c>
      <c r="G188" s="27" t="inlineStr">
        <is>
          <t>fire+%30</t>
        </is>
      </c>
      <c r="H188" s="50">
        <f>F188/IF(Varsayimlar!$B$21=1,1.43,1)</f>
        <v/>
      </c>
      <c r="I188" s="51" t="n">
        <v>24</v>
      </c>
      <c r="J188" s="28">
        <f>H188*I188</f>
        <v/>
      </c>
      <c r="K188" s="52" t="inlineStr">
        <is>
          <t>GEÇMİŞ TEKLİF UYARLAMA</t>
        </is>
      </c>
      <c r="L188" s="7" t="inlineStr">
        <is>
          <t>REF-teyit – 1½": Buca 2021 18, Kocaeli 9 (2015); yakın tarih 2" 23–36 → 24 teyit [Emsal ID: R05340;R05449]</t>
        </is>
      </c>
      <c r="M188" s="7" t="inlineStr">
        <is>
          <t>Ref düşük; DN40 montajlı</t>
        </is>
      </c>
    </row>
    <row r="189" outlineLevel="1">
      <c r="A189" s="27" t="n"/>
      <c r="B189" s="27" t="inlineStr">
        <is>
          <t>5005.H</t>
        </is>
      </c>
      <c r="C189" s="7" t="inlineStr">
        <is>
          <t>Sprinkler ana/dağıtım borusu galvaniz çelik DN50</t>
        </is>
      </c>
      <c r="D189" s="27" t="inlineStr">
        <is>
          <t>m</t>
        </is>
      </c>
      <c r="E189" s="50" t="n">
        <v>174</v>
      </c>
      <c r="F189" s="50" t="n">
        <v>174</v>
      </c>
      <c r="G189" s="27" t="inlineStr">
        <is>
          <t>fire+%30</t>
        </is>
      </c>
      <c r="H189" s="50">
        <f>F189/IF(Varsayimlar!$B$21=1,1.43,1)</f>
        <v/>
      </c>
      <c r="I189" s="51" t="n">
        <v>30.44</v>
      </c>
      <c r="J189" s="28">
        <f>H189*I189</f>
        <v/>
      </c>
      <c r="K189" s="52" t="inlineStr">
        <is>
          <t>GEÇMİŞ TEKLİF UYARLAMA</t>
        </is>
      </c>
      <c r="L189" s="7" t="inlineStr">
        <is>
          <t>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(DN50=2" galv.; FER ×1,4; +%5 boya) = 29.70 € | sapma -2.4% ≤%10 → mevcut REF teyit [Emsal ID: R05341;R05458;R05552;R05984;R06104;R05751]</t>
        </is>
      </c>
      <c r="M189" s="7" t="inlineStr"/>
    </row>
    <row r="190" outlineLevel="1">
      <c r="A190" s="27" t="n"/>
      <c r="B190" s="27" t="inlineStr">
        <is>
          <t>5005.H</t>
        </is>
      </c>
      <c r="C190" s="7" t="inlineStr">
        <is>
          <t>Sprinkler ana/dağıtım borusu galvaniz çelik DN65 (yivli)</t>
        </is>
      </c>
      <c r="D190" s="27" t="inlineStr">
        <is>
          <t>m</t>
        </is>
      </c>
      <c r="E190" s="50" t="n">
        <v>145</v>
      </c>
      <c r="F190" s="50" t="n">
        <v>145</v>
      </c>
      <c r="G190" s="27" t="inlineStr">
        <is>
          <t>fire+%30</t>
        </is>
      </c>
      <c r="H190" s="50">
        <f>F190/IF(Varsayimlar!$B$21=1,1.43,1)</f>
        <v/>
      </c>
      <c r="I190" s="51" t="n">
        <v>32.54</v>
      </c>
      <c r="J190" s="28">
        <f>H190*I190</f>
        <v/>
      </c>
      <c r="K190" s="52" t="inlineStr">
        <is>
          <t>GEÇMİŞ TEKLİF UYARLAMA</t>
        </is>
      </c>
      <c r="L190" s="7" t="inlineStr">
        <is>
          <t>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(DN65=2½" yivli; +%5 boya) = 32.54 € [Emsal ID: R05342;R05459;R05553;R05850;R05985;R06105;R05752]</t>
        </is>
      </c>
      <c r="M190" s="7" t="inlineStr">
        <is>
          <t>İlk tahmin BF 38.00</t>
        </is>
      </c>
    </row>
    <row r="191" outlineLevel="1">
      <c r="A191" s="27" t="n"/>
      <c r="B191" s="27" t="inlineStr">
        <is>
          <t>5005.H</t>
        </is>
      </c>
      <c r="C191" s="7" t="inlineStr">
        <is>
          <t>Sprinkler ana/dağıtım borusu galvaniz çelik DN80 (yivli)</t>
        </is>
      </c>
      <c r="D191" s="27" t="inlineStr">
        <is>
          <t>m</t>
        </is>
      </c>
      <c r="E191" s="50" t="n">
        <v>116</v>
      </c>
      <c r="F191" s="50" t="n">
        <v>116</v>
      </c>
      <c r="G191" s="27" t="inlineStr">
        <is>
          <t>fire+%30</t>
        </is>
      </c>
      <c r="H191" s="50">
        <f>F191/IF(Varsayimlar!$B$21=1,1.43,1)</f>
        <v/>
      </c>
      <c r="I191" s="51" t="n">
        <v>44.47</v>
      </c>
      <c r="J191" s="28">
        <f>H191*I191</f>
        <v/>
      </c>
      <c r="K191" s="52" t="inlineStr">
        <is>
          <t>GEÇMİŞ TEKLİF UYARLAMA</t>
        </is>
      </c>
      <c r="L191" s="7" t="inlineStr">
        <is>
          <t>REF-derin – R05343 İzmir Buca Metro/Alp 2021 37.63; R05851 Kocaeli KentMey.Tram/Mertsan 2015 28.03; R05986 Kirazlı-Halkalı Metro/Panel 2024 66.79; R05753 Kocaeli KentMey.Tram/FER 2015 33.63→47.08×1.4 | medyan 42.35 ×1.05 (DN80=3" yivli; FER ×1,4; +%5 boya) = 44.47 € [Emsal ID: R05343;R05851;R05986;R05753]</t>
        </is>
      </c>
      <c r="M191" s="7" t="inlineStr">
        <is>
          <t>İlk tahmin BF 48.00</t>
        </is>
      </c>
    </row>
    <row r="192" outlineLevel="1">
      <c r="A192" s="27" t="n"/>
      <c r="B192" s="27" t="inlineStr">
        <is>
          <t>5005.H</t>
        </is>
      </c>
      <c r="C192" s="7" t="inlineStr">
        <is>
          <t>Sprinkler ana/dağıtım borusu galvaniz çelik DN100 (yivli)</t>
        </is>
      </c>
      <c r="D192" s="27" t="inlineStr">
        <is>
          <t>m</t>
        </is>
      </c>
      <c r="E192" s="50" t="n">
        <v>87</v>
      </c>
      <c r="F192" s="50" t="n">
        <v>87</v>
      </c>
      <c r="G192" s="27" t="inlineStr">
        <is>
          <t>fire+%30</t>
        </is>
      </c>
      <c r="H192" s="50">
        <f>F192/IF(Varsayimlar!$B$21=1,1.43,1)</f>
        <v/>
      </c>
      <c r="I192" s="51" t="n">
        <v>58.12</v>
      </c>
      <c r="J192" s="28">
        <f>H192*I192</f>
        <v/>
      </c>
      <c r="K192" s="52" t="inlineStr">
        <is>
          <t>GEÇMİŞ TEKLİF UYARLAMA</t>
        </is>
      </c>
      <c r="L192" s="7" t="inlineStr">
        <is>
          <t>REF-derin – R05344 İzmir Buca Metro/Alp 2021 52.28; R05852 Kocaeli KentMey.Tram/Mertsan 2015 39.17; R05987 Kirazlı-Halkalı Metro/Panel 2024 79.85; R06106 Siirt-Kurtalan DY/Yamaner 2025 67.25; R05754 Kocaeli KentMey.Tram/FER 2015 39.53→55.35×1.4 | medyan 55.35 ×1.05 (DN100=4" yivli; FER ×1,4; +%5 boya) = 58.12 € [Emsal ID: R05344;R05852;R05987;R06106;R05754]</t>
        </is>
      </c>
      <c r="M192" s="7" t="inlineStr">
        <is>
          <t>İlk tahmin BF 60.00</t>
        </is>
      </c>
    </row>
    <row r="193" outlineLevel="1">
      <c r="A193" s="27" t="n"/>
      <c r="B193" s="27" t="inlineStr">
        <is>
          <t>5005.H</t>
        </is>
      </c>
      <c r="C193" s="7" t="inlineStr">
        <is>
          <t>Sprinkler ana/dağıtım borusu galvaniz çelik DN150 (yivli, pompa dairesi/kollektör)</t>
        </is>
      </c>
      <c r="D193" s="27" t="inlineStr">
        <is>
          <t>m</t>
        </is>
      </c>
      <c r="E193" s="50" t="n">
        <v>58</v>
      </c>
      <c r="F193" s="50" t="n">
        <v>58</v>
      </c>
      <c r="G193" s="27" t="inlineStr">
        <is>
          <t>-</t>
        </is>
      </c>
      <c r="H193" s="50">
        <f>F193</f>
        <v/>
      </c>
      <c r="I193" s="51" t="n">
        <v>90</v>
      </c>
      <c r="J193" s="28">
        <f>H193*I193</f>
        <v/>
      </c>
      <c r="K193" s="52" t="inlineStr">
        <is>
          <t>GEÇMİŞ TEKLİF UYARLAMA</t>
        </is>
      </c>
      <c r="L193" s="7" t="inlineStr">
        <is>
          <t>REF-teyit – 6" galvaniz yivli: Buca 82, Kirazlı 2024 173, FER 58, Kocaeli 53 → medyan 70, yakın tarih 82–173; 90 teyit [Emsal ID: R05345;R05988;R05755;R05548]</t>
        </is>
      </c>
      <c r="M193" s="7" t="inlineStr">
        <is>
          <t>Ref yüksek; DN150 galvaniz ~90 €/m</t>
        </is>
      </c>
    </row>
    <row r="194" outlineLevel="1">
      <c r="A194" s="27" t="n"/>
      <c r="B194" s="27" t="inlineStr">
        <is>
          <t>5005.H</t>
        </is>
      </c>
      <c r="C194" s="7" t="inlineStr">
        <is>
          <t>Saha sprinkler besleme hattı (D06 -&gt; D01 DN150, -&gt; D05 DN100, -&gt; D07 DN50), toprak altı PE/kaplı çelik</t>
        </is>
      </c>
      <c r="D194" s="27" t="inlineStr">
        <is>
          <t>m</t>
        </is>
      </c>
      <c r="E194" s="50" t="n">
        <v>579</v>
      </c>
      <c r="F194" s="50" t="n">
        <v>579</v>
      </c>
      <c r="G194" s="27" t="inlineStr">
        <is>
          <t>fire+%30</t>
        </is>
      </c>
      <c r="H194" s="50">
        <f>F194/IF(Varsayimlar!$B$21=1,1.43,1)</f>
        <v/>
      </c>
      <c r="I194" s="51" t="n">
        <v>29.9</v>
      </c>
      <c r="J194" s="28">
        <f>H194*I194</f>
        <v/>
      </c>
      <c r="K194" s="52" t="inlineStr">
        <is>
          <t>GEÇMİŞ TEKLİF UYARLAMA</t>
        </is>
      </c>
      <c r="L194" s="7" t="inlineStr">
        <is>
          <t>REF-derin – PE/HDPE M+İ çap medyanları: DN150 46,81, DN100 14,36, DN50 9,76 → %50/%35/%15 ağırlıklı 29,89 €/m; mevcut 45 YÜKSEK [Emsal ID: R05516;R05787;R05337;R05897;R05521;R05786;R05877;R05780]</t>
        </is>
      </c>
      <c r="M194" s="7" t="inlineStr">
        <is>
          <t>DN150/100/50 karışık toprak altı; kazı hariç | İlk tahmin BF 45.00</t>
        </is>
      </c>
    </row>
    <row r="195" outlineLevel="1">
      <c r="A195" s="27" t="n"/>
      <c r="B195" s="27" t="inlineStr">
        <is>
          <t>5005.H</t>
        </is>
      </c>
      <c r="C195" s="7" t="inlineStr">
        <is>
          <t>Islak alarm vanası istasyonu (alarm vanası, gong, basınç şalteri, test-drenaj, izlenebilir kesme vanası) DN100/150</t>
        </is>
      </c>
      <c r="D195" s="27" t="inlineStr">
        <is>
          <t>adet</t>
        </is>
      </c>
      <c r="E195" s="50" t="n">
        <v>4</v>
      </c>
      <c r="F195" s="50" t="n">
        <v>4</v>
      </c>
      <c r="G195" s="27" t="inlineStr">
        <is>
          <t>-</t>
        </is>
      </c>
      <c r="H195" s="50">
        <f>F195</f>
        <v/>
      </c>
      <c r="I195" s="51" t="n">
        <v>2200</v>
      </c>
      <c r="J195" s="28">
        <f>H195*I195</f>
        <v/>
      </c>
      <c r="K195" s="52" t="inlineStr">
        <is>
          <t>GEÇMİŞ TEKLİF UYARLAMA</t>
        </is>
      </c>
      <c r="L195" s="7" t="inlineStr">
        <is>
          <t>REF-derin – Islak alarm vana istasyonu: Kocaeli Globe 4" komple 1.592, Uluhanlar 2.001, Buca DN150 1.513, Kirazlı 2024 8.742 → medyan 1.797 + kesme vanası/test-drenaj 400 = 2.200; mevcut 3.500 yüksek [Emsal ID: R05529;R05431;R05332;R05990]</t>
        </is>
      </c>
      <c r="M195" s="7" t="inlineStr">
        <is>
          <t>Ref düşük; komple alarm vana istasyonu | İlk tahmin BF 3,500.00</t>
        </is>
      </c>
    </row>
    <row r="196" outlineLevel="1">
      <c r="A196" s="27" t="n"/>
      <c r="B196" s="27" t="inlineStr">
        <is>
          <t>5005.H</t>
        </is>
      </c>
      <c r="C196" s="7" t="inlineStr">
        <is>
          <t>Zon/kat kontrol vana grubu (izlenebilir kelebek vana + akış anahtarı + test-drenaj)</t>
        </is>
      </c>
      <c r="D196" s="27" t="inlineStr">
        <is>
          <t>adet</t>
        </is>
      </c>
      <c r="E196" s="50" t="n">
        <v>8</v>
      </c>
      <c r="F196" s="50" t="n">
        <v>8</v>
      </c>
      <c r="G196" s="27" t="inlineStr">
        <is>
          <t>-</t>
        </is>
      </c>
      <c r="H196" s="50">
        <f>F196</f>
        <v/>
      </c>
      <c r="I196" s="51" t="n">
        <v>741.36</v>
      </c>
      <c r="J196" s="28">
        <f>H196*I196</f>
        <v/>
      </c>
      <c r="K196" s="52" t="inlineStr">
        <is>
          <t>GEÇMİŞ TEKLİF UYARLAMA</t>
        </is>
      </c>
      <c r="L196" s="7" t="inlineStr">
        <is>
          <t>REF-derin – izl. kelebek vana medyan 333.98 + akış anahtarı medyan 220.26 (R05330 İzmir Buca Metro/Alp 2021 94.20; R05432 Kocaeli KentMey.Tram/Uluhanlar 2015 220.26; R05530 Kocaeli KentMey.Tram/bilinmiyor 2015 250.96) + test-drenaj vanası medyan 187.12 = 741.36 € | mevcut REF 600.00 (+23.6%) düzeltildi [Emsal ID: R05329;R05433;R05531;R05791;R05891;R05989;R05330;R05432;R05530;R05331;R05991]</t>
        </is>
      </c>
      <c r="M196" s="7" t="inlineStr">
        <is>
          <t>Ref düşük; izlenebilir vana+akış anahtarı+test | İlk tahmin BF 600.00</t>
        </is>
      </c>
    </row>
    <row r="197" outlineLevel="1">
      <c r="A197" s="27" t="n"/>
      <c r="B197" s="27" t="inlineStr">
        <is>
          <t>5005.H</t>
        </is>
      </c>
      <c r="C197" s="7" t="inlineStr">
        <is>
          <t>Sprinkler pompa grubu: elektrikli asıl pompa ~125 m³/h (2.080 l/dk) x 75 mSS + dizel yedek pompa (yakıt tankı, egzoz, akü) + jokey pompa, kontrol panoları, test hattı/debimetre, kollektör</t>
        </is>
      </c>
      <c r="D197" s="27" t="inlineStr">
        <is>
          <t>set</t>
        </is>
      </c>
      <c r="E197" s="50" t="n">
        <v>1</v>
      </c>
      <c r="F197" s="50" t="n">
        <v>1</v>
      </c>
      <c r="G197" s="27" t="inlineStr">
        <is>
          <t>-</t>
        </is>
      </c>
      <c r="H197" s="50">
        <f>F197</f>
        <v/>
      </c>
      <c r="I197" s="51" t="n">
        <v>54234</v>
      </c>
      <c r="J197" s="28">
        <f>H197*I197</f>
        <v/>
      </c>
      <c r="K197" s="52" t="inlineStr">
        <is>
          <t>GEÇMİŞ TEKLİF UYARLAMA</t>
        </is>
      </c>
      <c r="L197" s="7" t="inlineStr">
        <is>
          <t>REF-derin(1) – Bursa T2 Mertsan elk+dizel+jokey set 33.467 (FER 17.631 düşük, listeli değil); mevcut 75.000 ile ort. 54.234 – EN 12845/FM gereksinimi teklifle teyit [Emsal ID: R05889;R05781]</t>
        </is>
      </c>
      <c r="M197" s="7" t="inlineStr">
        <is>
          <t>Elektrikli+dizel+jokey, pano ve kollektör | İlk tahmin BF 75,000.00</t>
        </is>
      </c>
    </row>
    <row r="198" outlineLevel="1">
      <c r="A198" s="27" t="n"/>
      <c r="B198" s="27" t="inlineStr">
        <is>
          <t>5005.H</t>
        </is>
      </c>
      <c r="C198" s="7" t="inlineStr">
        <is>
          <t>Yangın suyu deposu hacim artışı (sprinkler rezervi, atölye holleri OT3 kabulü, 60 dk)</t>
        </is>
      </c>
      <c r="D198" s="27" t="inlineStr">
        <is>
          <t>m³</t>
        </is>
      </c>
      <c r="E198" s="50" t="n">
        <v>125</v>
      </c>
      <c r="F198" s="50" t="n">
        <v>125</v>
      </c>
      <c r="G198" s="27" t="inlineStr">
        <is>
          <t>-</t>
        </is>
      </c>
      <c r="H198" s="50">
        <f>F198</f>
        <v/>
      </c>
      <c r="I198" s="51" t="n">
        <v>250</v>
      </c>
      <c r="J198" s="28">
        <f>H198*I198</f>
        <v/>
      </c>
      <c r="K198" s="53" t="inlineStr">
        <is>
          <t>MÜHENDİSLİK TAHMİNİ</t>
        </is>
      </c>
      <c r="L198" s="7" t="inlineStr">
        <is>
          <t>TAHMIN (emsal yok) – Emsal yok; betonarme depo hacim artışı 2026 ~200–300 €/m³, makul (paslanmaz prizmatik 380–630 €/m³)</t>
        </is>
      </c>
      <c r="M198" s="7" t="inlineStr">
        <is>
          <t>Depo hacim artışı m³ başına</t>
        </is>
      </c>
    </row>
    <row r="199">
      <c r="A199" s="48" t="inlineStr">
        <is>
          <t>351</t>
        </is>
      </c>
      <c r="B199" s="48" t="inlineStr">
        <is>
          <t>5006.A</t>
        </is>
      </c>
      <c r="C199" s="48" t="inlineStr">
        <is>
          <t>Harran İstasyonu Drenaj Sistemi (1 set)</t>
        </is>
      </c>
      <c r="D199" s="48" t="n"/>
      <c r="E199" s="48" t="n"/>
      <c r="F199" s="48" t="n"/>
      <c r="G199" s="48" t="n"/>
      <c r="H199" s="48" t="inlineStr">
        <is>
          <t>RFQ tutarı →</t>
        </is>
      </c>
      <c r="I199" s="49">
        <f>SUMPRODUCT(E200:E203,I200:I203)</f>
        <v/>
      </c>
      <c r="J199" s="49">
        <f>SUM(J200:J203)</f>
        <v/>
      </c>
      <c r="K199" s="48" t="n"/>
      <c r="L199" s="48" t="n"/>
      <c r="M199" s="48" t="n"/>
    </row>
    <row r="200" outlineLevel="1">
      <c r="A200" s="27" t="n"/>
      <c r="B200" s="27" t="inlineStr">
        <is>
          <t>5006.A</t>
        </is>
      </c>
      <c r="C200" s="7" t="inlineStr">
        <is>
          <t>Peron yer süzgeci (Ø100 çıkışlı, ızgaralı ~20x20)</t>
        </is>
      </c>
      <c r="D200" s="27" t="inlineStr">
        <is>
          <t>adet</t>
        </is>
      </c>
      <c r="E200" s="50" t="n">
        <v>11</v>
      </c>
      <c r="F200" s="50" t="n">
        <v>11</v>
      </c>
      <c r="G200" s="27" t="inlineStr">
        <is>
          <t>%30</t>
        </is>
      </c>
      <c r="H200" s="50">
        <f>F200/IF(Varsayimlar!$B$21=1,1.3,1)</f>
        <v/>
      </c>
      <c r="I200" s="51" t="n">
        <v>39.66</v>
      </c>
      <c r="J200" s="28">
        <f>H200*I200</f>
        <v/>
      </c>
      <c r="K200" s="52" t="inlineStr">
        <is>
          <t>GEÇMİŞ TEKLİF UYARLAMA</t>
        </is>
      </c>
      <c r="L200" s="7" t="inlineStr">
        <is>
          <t>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is>
      </c>
      <c r="M200" s="7" t="inlineStr">
        <is>
          <t>Ref düşük; ızgaralı süzgeç montajlı | İlk tahmin BF 50.00</t>
        </is>
      </c>
    </row>
    <row r="201" outlineLevel="1">
      <c r="A201" s="27" t="n"/>
      <c r="B201" s="27" t="inlineStr">
        <is>
          <t>5006.A</t>
        </is>
      </c>
      <c r="C201" s="7" t="inlineStr">
        <is>
          <t>Ø100 PVC drenaj borusu (peron döşemesi altı, süzgeç/kolon -&gt; ray hattı drenajı), fitting dahil</t>
        </is>
      </c>
      <c r="D201" s="27" t="inlineStr">
        <is>
          <t>m</t>
        </is>
      </c>
      <c r="E201" s="50" t="n">
        <v>53</v>
      </c>
      <c r="F201" s="50" t="n">
        <v>53</v>
      </c>
      <c r="G201" s="27" t="inlineStr">
        <is>
          <t>fire+%30</t>
        </is>
      </c>
      <c r="H201" s="50">
        <f>F201/IF(Varsayimlar!$B$21=1,1.43,1)</f>
        <v/>
      </c>
      <c r="I201" s="51" t="n">
        <v>12.64</v>
      </c>
      <c r="J201" s="28">
        <f>H201*I201</f>
        <v/>
      </c>
      <c r="K201" s="52" t="inlineStr">
        <is>
          <t>GEÇMİŞ TEKLİF UYARLAMA</t>
        </is>
      </c>
      <c r="L201"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is>
      </c>
      <c r="M201" s="7" t="inlineStr">
        <is>
          <t>İlk tahmin BF 17.11</t>
        </is>
      </c>
    </row>
    <row r="202" outlineLevel="1">
      <c r="A202" s="27" t="n"/>
      <c r="B202" s="27" t="inlineStr">
        <is>
          <t>5006.A</t>
        </is>
      </c>
      <c r="C202" s="7" t="inlineStr">
        <is>
          <t>Ø100 PVC yağmur iniş borusu (kanopi kolonu içinde), kolon çıkış dirseği dahil</t>
        </is>
      </c>
      <c r="D202" s="27" t="inlineStr">
        <is>
          <t>m</t>
        </is>
      </c>
      <c r="E202" s="50" t="n">
        <v>26</v>
      </c>
      <c r="F202" s="50" t="n">
        <v>26</v>
      </c>
      <c r="G202" s="27" t="inlineStr">
        <is>
          <t>fire+%30</t>
        </is>
      </c>
      <c r="H202" s="50">
        <f>F202/IF(Varsayimlar!$B$21=1,1.43,1)</f>
        <v/>
      </c>
      <c r="I202" s="51" t="n">
        <v>12.64</v>
      </c>
      <c r="J202" s="28">
        <f>H202*I202</f>
        <v/>
      </c>
      <c r="K202" s="52" t="inlineStr">
        <is>
          <t>GEÇMİŞ TEKLİF UYARLAMA</t>
        </is>
      </c>
      <c r="L202"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02" s="7" t="inlineStr">
        <is>
          <t>İlk tahmin BF 14.00</t>
        </is>
      </c>
    </row>
    <row r="203" outlineLevel="1">
      <c r="A203" s="27" t="n"/>
      <c r="B203" s="27" t="inlineStr">
        <is>
          <t>5006.A</t>
        </is>
      </c>
      <c r="C203" s="7" t="inlineStr">
        <is>
          <t>Ray hattı drenajına bağlantı (BAK +0.08) — bağlantı parçası/manşon</t>
        </is>
      </c>
      <c r="D203" s="27" t="inlineStr">
        <is>
          <t>adet</t>
        </is>
      </c>
      <c r="E203" s="50" t="n">
        <v>16</v>
      </c>
      <c r="F203" s="50" t="n">
        <v>16</v>
      </c>
      <c r="G203" s="27" t="inlineStr">
        <is>
          <t>-</t>
        </is>
      </c>
      <c r="H203" s="50">
        <f>F203</f>
        <v/>
      </c>
      <c r="I203" s="51" t="n">
        <v>25</v>
      </c>
      <c r="J203" s="28">
        <f>H203*I203</f>
        <v/>
      </c>
      <c r="K203" s="53" t="inlineStr">
        <is>
          <t>MÜHENDİSLİK TAHMİNİ</t>
        </is>
      </c>
      <c r="L203" s="7" t="inlineStr">
        <is>
          <t>TAHMIN (emsal yok) – emsal bulunamadı; mevcut tahmin korundu</t>
        </is>
      </c>
      <c r="M203" s="7" t="inlineStr"/>
    </row>
    <row r="204">
      <c r="A204" s="48" t="inlineStr">
        <is>
          <t>352</t>
        </is>
      </c>
      <c r="B204" s="48" t="inlineStr">
        <is>
          <t>5006.B</t>
        </is>
      </c>
      <c r="C204" s="48" t="inlineStr">
        <is>
          <t>Rasathane İstasyonu Drenaj Sistemi (1 set)</t>
        </is>
      </c>
      <c r="D204" s="48" t="n"/>
      <c r="E204" s="48" t="n"/>
      <c r="F204" s="48" t="n"/>
      <c r="G204" s="48" t="n"/>
      <c r="H204" s="48" t="inlineStr">
        <is>
          <t>RFQ tutarı →</t>
        </is>
      </c>
      <c r="I204" s="49">
        <f>SUMPRODUCT(E205:E208,I205:I208)</f>
        <v/>
      </c>
      <c r="J204" s="49">
        <f>SUM(J205:J208)</f>
        <v/>
      </c>
      <c r="K204" s="48" t="n"/>
      <c r="L204" s="48" t="n"/>
      <c r="M204" s="48" t="n"/>
    </row>
    <row r="205" outlineLevel="1">
      <c r="A205" s="27" t="n"/>
      <c r="B205" s="27" t="inlineStr">
        <is>
          <t>5006.B</t>
        </is>
      </c>
      <c r="C205" s="7" t="inlineStr">
        <is>
          <t>Peron yer süzgeci (Ø100 çıkışlı, ızgaralı ~20x20)</t>
        </is>
      </c>
      <c r="D205" s="27" t="inlineStr">
        <is>
          <t>adet</t>
        </is>
      </c>
      <c r="E205" s="50" t="n">
        <v>11</v>
      </c>
      <c r="F205" s="50" t="n">
        <v>11</v>
      </c>
      <c r="G205" s="27" t="inlineStr">
        <is>
          <t>%30</t>
        </is>
      </c>
      <c r="H205" s="50">
        <f>F205/IF(Varsayimlar!$B$21=1,1.3,1)</f>
        <v/>
      </c>
      <c r="I205" s="51" t="n">
        <v>39.66</v>
      </c>
      <c r="J205" s="28">
        <f>H205*I205</f>
        <v/>
      </c>
      <c r="K205" s="52" t="inlineStr">
        <is>
          <t>GEÇMİŞ TEKLİF UYARLAMA</t>
        </is>
      </c>
      <c r="L205" s="7" t="inlineStr">
        <is>
          <t>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is>
      </c>
      <c r="M205" s="7" t="inlineStr">
        <is>
          <t>Ref düşük; ızgaralı süzgeç montajlı | İlk tahmin BF 50.00</t>
        </is>
      </c>
    </row>
    <row r="206" outlineLevel="1">
      <c r="A206" s="27" t="n"/>
      <c r="B206" s="27" t="inlineStr">
        <is>
          <t>5006.B</t>
        </is>
      </c>
      <c r="C206" s="7" t="inlineStr">
        <is>
          <t>Ø100 PVC drenaj borusu (peron döşemesi altı, süzgeç/kolon -&gt; ray hattı drenajı), fitting dahil</t>
        </is>
      </c>
      <c r="D206" s="27" t="inlineStr">
        <is>
          <t>m</t>
        </is>
      </c>
      <c r="E206" s="50" t="n">
        <v>53</v>
      </c>
      <c r="F206" s="50" t="n">
        <v>53</v>
      </c>
      <c r="G206" s="27" t="inlineStr">
        <is>
          <t>fire+%30</t>
        </is>
      </c>
      <c r="H206" s="50">
        <f>F206/IF(Varsayimlar!$B$21=1,1.43,1)</f>
        <v/>
      </c>
      <c r="I206" s="51" t="n">
        <v>12.64</v>
      </c>
      <c r="J206" s="28">
        <f>H206*I206</f>
        <v/>
      </c>
      <c r="K206" s="52" t="inlineStr">
        <is>
          <t>GEÇMİŞ TEKLİF UYARLAMA</t>
        </is>
      </c>
      <c r="L206"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is>
      </c>
      <c r="M206" s="7" t="inlineStr">
        <is>
          <t>İlk tahmin BF 17.11</t>
        </is>
      </c>
    </row>
    <row r="207" outlineLevel="1">
      <c r="A207" s="27" t="n"/>
      <c r="B207" s="27" t="inlineStr">
        <is>
          <t>5006.B</t>
        </is>
      </c>
      <c r="C207" s="7" t="inlineStr">
        <is>
          <t>Ø100 PVC yağmur iniş borusu (kanopi kolonu içinde), kolon çıkış dirseği dahil</t>
        </is>
      </c>
      <c r="D207" s="27" t="inlineStr">
        <is>
          <t>m</t>
        </is>
      </c>
      <c r="E207" s="50" t="n">
        <v>26</v>
      </c>
      <c r="F207" s="50" t="n">
        <v>26</v>
      </c>
      <c r="G207" s="27" t="inlineStr">
        <is>
          <t>fire+%30</t>
        </is>
      </c>
      <c r="H207" s="50">
        <f>F207/IF(Varsayimlar!$B$21=1,1.43,1)</f>
        <v/>
      </c>
      <c r="I207" s="51" t="n">
        <v>12.64</v>
      </c>
      <c r="J207" s="28">
        <f>H207*I207</f>
        <v/>
      </c>
      <c r="K207" s="52" t="inlineStr">
        <is>
          <t>GEÇMİŞ TEKLİF UYARLAMA</t>
        </is>
      </c>
      <c r="L207"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07" s="7" t="inlineStr">
        <is>
          <t>İlk tahmin BF 14.00</t>
        </is>
      </c>
    </row>
    <row r="208" outlineLevel="1">
      <c r="A208" s="27" t="n"/>
      <c r="B208" s="27" t="inlineStr">
        <is>
          <t>5006.B</t>
        </is>
      </c>
      <c r="C208" s="7" t="inlineStr">
        <is>
          <t>Ray hattı drenajına bağlantı (BAK +0.08) — bağlantı parçası/manşon</t>
        </is>
      </c>
      <c r="D208" s="27" t="inlineStr">
        <is>
          <t>adet</t>
        </is>
      </c>
      <c r="E208" s="50" t="n">
        <v>16</v>
      </c>
      <c r="F208" s="50" t="n">
        <v>16</v>
      </c>
      <c r="G208" s="27" t="inlineStr">
        <is>
          <t>-</t>
        </is>
      </c>
      <c r="H208" s="50">
        <f>F208</f>
        <v/>
      </c>
      <c r="I208" s="51" t="n">
        <v>25</v>
      </c>
      <c r="J208" s="28">
        <f>H208*I208</f>
        <v/>
      </c>
      <c r="K208" s="53" t="inlineStr">
        <is>
          <t>MÜHENDİSLİK TAHMİNİ</t>
        </is>
      </c>
      <c r="L208" s="7" t="inlineStr">
        <is>
          <t>TAHMIN (emsal yok) – emsal bulunamadı; mevcut tahmin korundu</t>
        </is>
      </c>
      <c r="M208" s="7" t="inlineStr"/>
    </row>
    <row r="209">
      <c r="A209" s="48" t="inlineStr">
        <is>
          <t>353</t>
        </is>
      </c>
      <c r="B209" s="48" t="inlineStr">
        <is>
          <t>5006.C</t>
        </is>
      </c>
      <c r="C209" s="48" t="inlineStr">
        <is>
          <t>Eyüp Peygamber İstasyonu Drenaj Sistemi (1 set)</t>
        </is>
      </c>
      <c r="D209" s="48" t="n"/>
      <c r="E209" s="48" t="n"/>
      <c r="F209" s="48" t="n"/>
      <c r="G209" s="48" t="n"/>
      <c r="H209" s="48" t="inlineStr">
        <is>
          <t>RFQ tutarı →</t>
        </is>
      </c>
      <c r="I209" s="49">
        <f>SUMPRODUCT(E210:E213,I210:I213)</f>
        <v/>
      </c>
      <c r="J209" s="49">
        <f>SUM(J210:J213)</f>
        <v/>
      </c>
      <c r="K209" s="48" t="n"/>
      <c r="L209" s="48" t="n"/>
      <c r="M209" s="48" t="n"/>
    </row>
    <row r="210" outlineLevel="1">
      <c r="A210" s="27" t="n"/>
      <c r="B210" s="27" t="inlineStr">
        <is>
          <t>5006.C</t>
        </is>
      </c>
      <c r="C210" s="7" t="inlineStr">
        <is>
          <t>Peron yer süzgeci (Ø100 çıkışlı, ızgaralı ~20x20)</t>
        </is>
      </c>
      <c r="D210" s="27" t="inlineStr">
        <is>
          <t>adet</t>
        </is>
      </c>
      <c r="E210" s="50" t="n">
        <v>11</v>
      </c>
      <c r="F210" s="50" t="n">
        <v>11</v>
      </c>
      <c r="G210" s="27" t="inlineStr">
        <is>
          <t>%30</t>
        </is>
      </c>
      <c r="H210" s="50">
        <f>F210/IF(Varsayimlar!$B$21=1,1.3,1)</f>
        <v/>
      </c>
      <c r="I210" s="51" t="n">
        <v>39.66</v>
      </c>
      <c r="J210" s="28">
        <f>H210*I210</f>
        <v/>
      </c>
      <c r="K210" s="52" t="inlineStr">
        <is>
          <t>GEÇMİŞ TEKLİF UYARLAMA</t>
        </is>
      </c>
      <c r="L210" s="7" t="inlineStr">
        <is>
          <t>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is>
      </c>
      <c r="M210" s="7" t="inlineStr">
        <is>
          <t>Ref düşük; ızgaralı süzgeç montajlı | İlk tahmin BF 50.00</t>
        </is>
      </c>
    </row>
    <row r="211" outlineLevel="1">
      <c r="A211" s="27" t="n"/>
      <c r="B211" s="27" t="inlineStr">
        <is>
          <t>5006.C</t>
        </is>
      </c>
      <c r="C211" s="7" t="inlineStr">
        <is>
          <t>Ø100 PVC drenaj borusu (peron döşemesi altı, süzgeç/kolon -&gt; ray hattı drenajı), fitting dahil</t>
        </is>
      </c>
      <c r="D211" s="27" t="inlineStr">
        <is>
          <t>m</t>
        </is>
      </c>
      <c r="E211" s="50" t="n">
        <v>53</v>
      </c>
      <c r="F211" s="50" t="n">
        <v>53</v>
      </c>
      <c r="G211" s="27" t="inlineStr">
        <is>
          <t>fire+%30</t>
        </is>
      </c>
      <c r="H211" s="50">
        <f>F211/IF(Varsayimlar!$B$21=1,1.43,1)</f>
        <v/>
      </c>
      <c r="I211" s="51" t="n">
        <v>12.64</v>
      </c>
      <c r="J211" s="28">
        <f>H211*I211</f>
        <v/>
      </c>
      <c r="K211" s="52" t="inlineStr">
        <is>
          <t>GEÇMİŞ TEKLİF UYARLAMA</t>
        </is>
      </c>
      <c r="L211"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is>
      </c>
      <c r="M211" s="7" t="inlineStr">
        <is>
          <t>İlk tahmin BF 17.11</t>
        </is>
      </c>
    </row>
    <row r="212" outlineLevel="1">
      <c r="A212" s="27" t="n"/>
      <c r="B212" s="27" t="inlineStr">
        <is>
          <t>5006.C</t>
        </is>
      </c>
      <c r="C212" s="7" t="inlineStr">
        <is>
          <t>Ø100 PVC yağmur iniş borusu (kanopi kolonu içinde), kolon çıkış dirseği dahil</t>
        </is>
      </c>
      <c r="D212" s="27" t="inlineStr">
        <is>
          <t>m</t>
        </is>
      </c>
      <c r="E212" s="50" t="n">
        <v>26</v>
      </c>
      <c r="F212" s="50" t="n">
        <v>26</v>
      </c>
      <c r="G212" s="27" t="inlineStr">
        <is>
          <t>fire+%30</t>
        </is>
      </c>
      <c r="H212" s="50">
        <f>F212/IF(Varsayimlar!$B$21=1,1.43,1)</f>
        <v/>
      </c>
      <c r="I212" s="51" t="n">
        <v>12.64</v>
      </c>
      <c r="J212" s="28">
        <f>H212*I212</f>
        <v/>
      </c>
      <c r="K212" s="52" t="inlineStr">
        <is>
          <t>GEÇMİŞ TEKLİF UYARLAMA</t>
        </is>
      </c>
      <c r="L212"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12" s="7" t="inlineStr">
        <is>
          <t>İlk tahmin BF 14.00</t>
        </is>
      </c>
    </row>
    <row r="213" outlineLevel="1">
      <c r="A213" s="27" t="n"/>
      <c r="B213" s="27" t="inlineStr">
        <is>
          <t>5006.C</t>
        </is>
      </c>
      <c r="C213" s="7" t="inlineStr">
        <is>
          <t>Ray hattı drenajına bağlantı (BAK +0.08) — bağlantı parçası/manşon</t>
        </is>
      </c>
      <c r="D213" s="27" t="inlineStr">
        <is>
          <t>adet</t>
        </is>
      </c>
      <c r="E213" s="50" t="n">
        <v>16</v>
      </c>
      <c r="F213" s="50" t="n">
        <v>16</v>
      </c>
      <c r="G213" s="27" t="inlineStr">
        <is>
          <t>-</t>
        </is>
      </c>
      <c r="H213" s="50">
        <f>F213</f>
        <v/>
      </c>
      <c r="I213" s="51" t="n">
        <v>25</v>
      </c>
      <c r="J213" s="28">
        <f>H213*I213</f>
        <v/>
      </c>
      <c r="K213" s="53" t="inlineStr">
        <is>
          <t>MÜHENDİSLİK TAHMİNİ</t>
        </is>
      </c>
      <c r="L213" s="7" t="inlineStr">
        <is>
          <t>TAHMIN (emsal yok) – emsal bulunamadı; mevcut tahmin korundu</t>
        </is>
      </c>
      <c r="M213" s="7" t="inlineStr"/>
    </row>
    <row r="214">
      <c r="A214" s="48" t="inlineStr">
        <is>
          <t>354</t>
        </is>
      </c>
      <c r="B214" s="48" t="inlineStr">
        <is>
          <t>5006.D</t>
        </is>
      </c>
      <c r="C214" s="48" t="inlineStr">
        <is>
          <t>Balıklıgöl İstasyonu Drenaj Sistemi (1 set)</t>
        </is>
      </c>
      <c r="D214" s="48" t="n"/>
      <c r="E214" s="48" t="n"/>
      <c r="F214" s="48" t="n"/>
      <c r="G214" s="48" t="n"/>
      <c r="H214" s="48" t="inlineStr">
        <is>
          <t>RFQ tutarı →</t>
        </is>
      </c>
      <c r="I214" s="49">
        <f>SUMPRODUCT(E215:E218,I215:I218)</f>
        <v/>
      </c>
      <c r="J214" s="49">
        <f>SUM(J215:J218)</f>
        <v/>
      </c>
      <c r="K214" s="48" t="n"/>
      <c r="L214" s="48" t="n"/>
      <c r="M214" s="48" t="n"/>
    </row>
    <row r="215" outlineLevel="1">
      <c r="A215" s="27" t="n"/>
      <c r="B215" s="27" t="inlineStr">
        <is>
          <t>5006.D</t>
        </is>
      </c>
      <c r="C215" s="7" t="inlineStr">
        <is>
          <t>Peron yer süzgeci (Ø100 çıkışlı, ızgaralı ~20x20)</t>
        </is>
      </c>
      <c r="D215" s="27" t="inlineStr">
        <is>
          <t>adet</t>
        </is>
      </c>
      <c r="E215" s="50" t="n">
        <v>11</v>
      </c>
      <c r="F215" s="50" t="n">
        <v>11</v>
      </c>
      <c r="G215" s="27" t="inlineStr">
        <is>
          <t>%30</t>
        </is>
      </c>
      <c r="H215" s="50">
        <f>F215/IF(Varsayimlar!$B$21=1,1.3,1)</f>
        <v/>
      </c>
      <c r="I215" s="51" t="n">
        <v>39.66</v>
      </c>
      <c r="J215" s="28">
        <f>H215*I215</f>
        <v/>
      </c>
      <c r="K215" s="52" t="inlineStr">
        <is>
          <t>GEÇMİŞ TEKLİF UYARLAMA</t>
        </is>
      </c>
      <c r="L215" s="7" t="inlineStr">
        <is>
          <t>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is>
      </c>
      <c r="M215" s="7" t="inlineStr">
        <is>
          <t>Ref düşük; ızgaralı süzgeç montajlı | İlk tahmin BF 50.00</t>
        </is>
      </c>
    </row>
    <row r="216" outlineLevel="1">
      <c r="A216" s="27" t="n"/>
      <c r="B216" s="27" t="inlineStr">
        <is>
          <t>5006.D</t>
        </is>
      </c>
      <c r="C216" s="7" t="inlineStr">
        <is>
          <t>Ø100 PVC drenaj borusu (peron döşemesi altı, süzgeç/kolon -&gt; ray hattı drenajı), fitting dahil</t>
        </is>
      </c>
      <c r="D216" s="27" t="inlineStr">
        <is>
          <t>m</t>
        </is>
      </c>
      <c r="E216" s="50" t="n">
        <v>53</v>
      </c>
      <c r="F216" s="50" t="n">
        <v>53</v>
      </c>
      <c r="G216" s="27" t="inlineStr">
        <is>
          <t>fire+%30</t>
        </is>
      </c>
      <c r="H216" s="50">
        <f>F216/IF(Varsayimlar!$B$21=1,1.43,1)</f>
        <v/>
      </c>
      <c r="I216" s="51" t="n">
        <v>12.64</v>
      </c>
      <c r="J216" s="28">
        <f>H216*I216</f>
        <v/>
      </c>
      <c r="K216" s="52" t="inlineStr">
        <is>
          <t>GEÇMİŞ TEKLİF UYARLAMA</t>
        </is>
      </c>
      <c r="L216"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is>
      </c>
      <c r="M216" s="7" t="inlineStr">
        <is>
          <t>İlk tahmin BF 17.11</t>
        </is>
      </c>
    </row>
    <row r="217" outlineLevel="1">
      <c r="A217" s="27" t="n"/>
      <c r="B217" s="27" t="inlineStr">
        <is>
          <t>5006.D</t>
        </is>
      </c>
      <c r="C217" s="7" t="inlineStr">
        <is>
          <t>Ø100 PVC yağmur iniş borusu (kanopi kolonu içinde), kolon çıkış dirseği dahil</t>
        </is>
      </c>
      <c r="D217" s="27" t="inlineStr">
        <is>
          <t>m</t>
        </is>
      </c>
      <c r="E217" s="50" t="n">
        <v>26</v>
      </c>
      <c r="F217" s="50" t="n">
        <v>26</v>
      </c>
      <c r="G217" s="27" t="inlineStr">
        <is>
          <t>fire+%30</t>
        </is>
      </c>
      <c r="H217" s="50">
        <f>F217/IF(Varsayimlar!$B$21=1,1.43,1)</f>
        <v/>
      </c>
      <c r="I217" s="51" t="n">
        <v>12.64</v>
      </c>
      <c r="J217" s="28">
        <f>H217*I217</f>
        <v/>
      </c>
      <c r="K217" s="52" t="inlineStr">
        <is>
          <t>GEÇMİŞ TEKLİF UYARLAMA</t>
        </is>
      </c>
      <c r="L217"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17" s="7" t="inlineStr">
        <is>
          <t>İlk tahmin BF 14.00</t>
        </is>
      </c>
    </row>
    <row r="218" outlineLevel="1">
      <c r="A218" s="27" t="n"/>
      <c r="B218" s="27" t="inlineStr">
        <is>
          <t>5006.D</t>
        </is>
      </c>
      <c r="C218" s="7" t="inlineStr">
        <is>
          <t>Ray hattı drenajına bağlantı (BAK +0.08) — bağlantı parçası/manşon</t>
        </is>
      </c>
      <c r="D218" s="27" t="inlineStr">
        <is>
          <t>adet</t>
        </is>
      </c>
      <c r="E218" s="50" t="n">
        <v>16</v>
      </c>
      <c r="F218" s="50" t="n">
        <v>16</v>
      </c>
      <c r="G218" s="27" t="inlineStr">
        <is>
          <t>-</t>
        </is>
      </c>
      <c r="H218" s="50">
        <f>F218</f>
        <v/>
      </c>
      <c r="I218" s="51" t="n">
        <v>25</v>
      </c>
      <c r="J218" s="28">
        <f>H218*I218</f>
        <v/>
      </c>
      <c r="K218" s="53" t="inlineStr">
        <is>
          <t>MÜHENDİSLİK TAHMİNİ</t>
        </is>
      </c>
      <c r="L218" s="7" t="inlineStr">
        <is>
          <t>TAHMIN (emsal yok) – emsal bulunamadı; mevcut tahmin korundu</t>
        </is>
      </c>
      <c r="M218" s="7" t="inlineStr"/>
    </row>
    <row r="219">
      <c r="A219" s="48" t="inlineStr">
        <is>
          <t>355</t>
        </is>
      </c>
      <c r="B219" s="48" t="inlineStr">
        <is>
          <t>5006.E</t>
        </is>
      </c>
      <c r="C219" s="48" t="inlineStr">
        <is>
          <t>Hızmalı Köprüsü İstasyonu Drenaj Sistemi (1 set)</t>
        </is>
      </c>
      <c r="D219" s="48" t="n"/>
      <c r="E219" s="48" t="n"/>
      <c r="F219" s="48" t="n"/>
      <c r="G219" s="48" t="n"/>
      <c r="H219" s="48" t="inlineStr">
        <is>
          <t>RFQ tutarı →</t>
        </is>
      </c>
      <c r="I219" s="49">
        <f>SUMPRODUCT(E220:E223,I220:I223)</f>
        <v/>
      </c>
      <c r="J219" s="49">
        <f>SUM(J220:J223)</f>
        <v/>
      </c>
      <c r="K219" s="48" t="n"/>
      <c r="L219" s="48" t="n"/>
      <c r="M219" s="48" t="n"/>
    </row>
    <row r="220" outlineLevel="1">
      <c r="A220" s="27" t="n"/>
      <c r="B220" s="27" t="inlineStr">
        <is>
          <t>5006.E</t>
        </is>
      </c>
      <c r="C220" s="7" t="inlineStr">
        <is>
          <t>Peron yer süzgeci (Ø100 çıkışlı, ızgaralı ~20x20)</t>
        </is>
      </c>
      <c r="D220" s="27" t="inlineStr">
        <is>
          <t>adet</t>
        </is>
      </c>
      <c r="E220" s="50" t="n">
        <v>11</v>
      </c>
      <c r="F220" s="50" t="n">
        <v>11</v>
      </c>
      <c r="G220" s="27" t="inlineStr">
        <is>
          <t>%30</t>
        </is>
      </c>
      <c r="H220" s="50">
        <f>F220/IF(Varsayimlar!$B$21=1,1.3,1)</f>
        <v/>
      </c>
      <c r="I220" s="51" t="n">
        <v>39.66</v>
      </c>
      <c r="J220" s="28">
        <f>H220*I220</f>
        <v/>
      </c>
      <c r="K220" s="52" t="inlineStr">
        <is>
          <t>GEÇMİŞ TEKLİF UYARLAMA</t>
        </is>
      </c>
      <c r="L220" s="7" t="inlineStr">
        <is>
          <t>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is>
      </c>
      <c r="M220" s="7" t="inlineStr">
        <is>
          <t>Ref düşük; ızgaralı süzgeç montajlı | İlk tahmin BF 50.00</t>
        </is>
      </c>
    </row>
    <row r="221" outlineLevel="1">
      <c r="A221" s="27" t="n"/>
      <c r="B221" s="27" t="inlineStr">
        <is>
          <t>5006.E</t>
        </is>
      </c>
      <c r="C221" s="7" t="inlineStr">
        <is>
          <t>Ø100 PVC drenaj borusu (peron döşemesi altı, süzgeç/kolon -&gt; ray hattı drenajı), fitting dahil</t>
        </is>
      </c>
      <c r="D221" s="27" t="inlineStr">
        <is>
          <t>m</t>
        </is>
      </c>
      <c r="E221" s="50" t="n">
        <v>53</v>
      </c>
      <c r="F221" s="50" t="n">
        <v>53</v>
      </c>
      <c r="G221" s="27" t="inlineStr">
        <is>
          <t>fire+%30</t>
        </is>
      </c>
      <c r="H221" s="50">
        <f>F221/IF(Varsayimlar!$B$21=1,1.43,1)</f>
        <v/>
      </c>
      <c r="I221" s="51" t="n">
        <v>12.64</v>
      </c>
      <c r="J221" s="28">
        <f>H221*I221</f>
        <v/>
      </c>
      <c r="K221" s="52" t="inlineStr">
        <is>
          <t>GEÇMİŞ TEKLİF UYARLAMA</t>
        </is>
      </c>
      <c r="L221"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is>
      </c>
      <c r="M221" s="7" t="inlineStr">
        <is>
          <t>İlk tahmin BF 17.11</t>
        </is>
      </c>
    </row>
    <row r="222" outlineLevel="1">
      <c r="A222" s="27" t="n"/>
      <c r="B222" s="27" t="inlineStr">
        <is>
          <t>5006.E</t>
        </is>
      </c>
      <c r="C222" s="7" t="inlineStr">
        <is>
          <t>Ø100 PVC yağmur iniş borusu (kanopi kolonu içinde), kolon çıkış dirseği dahil</t>
        </is>
      </c>
      <c r="D222" s="27" t="inlineStr">
        <is>
          <t>m</t>
        </is>
      </c>
      <c r="E222" s="50" t="n">
        <v>26</v>
      </c>
      <c r="F222" s="50" t="n">
        <v>26</v>
      </c>
      <c r="G222" s="27" t="inlineStr">
        <is>
          <t>fire+%30</t>
        </is>
      </c>
      <c r="H222" s="50">
        <f>F222/IF(Varsayimlar!$B$21=1,1.43,1)</f>
        <v/>
      </c>
      <c r="I222" s="51" t="n">
        <v>12.64</v>
      </c>
      <c r="J222" s="28">
        <f>H222*I222</f>
        <v/>
      </c>
      <c r="K222" s="52" t="inlineStr">
        <is>
          <t>GEÇMİŞ TEKLİF UYARLAMA</t>
        </is>
      </c>
      <c r="L222"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22" s="7" t="inlineStr">
        <is>
          <t>İlk tahmin BF 14.00</t>
        </is>
      </c>
    </row>
    <row r="223" outlineLevel="1">
      <c r="A223" s="27" t="n"/>
      <c r="B223" s="27" t="inlineStr">
        <is>
          <t>5006.E</t>
        </is>
      </c>
      <c r="C223" s="7" t="inlineStr">
        <is>
          <t>Ray hattı drenajına bağlantı (BAK +0.08) — bağlantı parçası/manşon</t>
        </is>
      </c>
      <c r="D223" s="27" t="inlineStr">
        <is>
          <t>adet</t>
        </is>
      </c>
      <c r="E223" s="50" t="n">
        <v>16</v>
      </c>
      <c r="F223" s="50" t="n">
        <v>16</v>
      </c>
      <c r="G223" s="27" t="inlineStr">
        <is>
          <t>-</t>
        </is>
      </c>
      <c r="H223" s="50">
        <f>F223</f>
        <v/>
      </c>
      <c r="I223" s="51" t="n">
        <v>25</v>
      </c>
      <c r="J223" s="28">
        <f>H223*I223</f>
        <v/>
      </c>
      <c r="K223" s="53" t="inlineStr">
        <is>
          <t>MÜHENDİSLİK TAHMİNİ</t>
        </is>
      </c>
      <c r="L223" s="7" t="inlineStr">
        <is>
          <t>TAHMIN (emsal yok) – emsal bulunamadı; mevcut tahmin korundu</t>
        </is>
      </c>
      <c r="M223" s="7" t="inlineStr"/>
    </row>
    <row r="224">
      <c r="A224" s="48" t="inlineStr">
        <is>
          <t>356</t>
        </is>
      </c>
      <c r="B224" s="48" t="inlineStr">
        <is>
          <t>5006.F</t>
        </is>
      </c>
      <c r="C224" s="48" t="inlineStr">
        <is>
          <t>Göbeklitepe İstasyonu Drenaj Sistemi (1 set)</t>
        </is>
      </c>
      <c r="D224" s="48" t="n"/>
      <c r="E224" s="48" t="n"/>
      <c r="F224" s="48" t="n"/>
      <c r="G224" s="48" t="n"/>
      <c r="H224" s="48" t="inlineStr">
        <is>
          <t>RFQ tutarı →</t>
        </is>
      </c>
      <c r="I224" s="49">
        <f>SUMPRODUCT(E225:E227,I225:I227)</f>
        <v/>
      </c>
      <c r="J224" s="49">
        <f>SUM(J225:J227)</f>
        <v/>
      </c>
      <c r="K224" s="48" t="n"/>
      <c r="L224" s="48" t="n"/>
      <c r="M224" s="48" t="n"/>
    </row>
    <row r="225" outlineLevel="1">
      <c r="A225" s="27" t="n"/>
      <c r="B225" s="27" t="inlineStr">
        <is>
          <t>5006.F</t>
        </is>
      </c>
      <c r="C225" s="7" t="inlineStr">
        <is>
          <t>Ø100 PVC drenaj borusu (peron altı, kolon -&gt; ray hattı drenajı), fitting dahil</t>
        </is>
      </c>
      <c r="D225" s="27" t="inlineStr">
        <is>
          <t>m</t>
        </is>
      </c>
      <c r="E225" s="50" t="n">
        <v>31</v>
      </c>
      <c r="F225" s="50" t="n">
        <v>31</v>
      </c>
      <c r="G225" s="27" t="inlineStr">
        <is>
          <t>fire+%30</t>
        </is>
      </c>
      <c r="H225" s="50">
        <f>F225/IF(Varsayimlar!$B$21=1,1.43,1)</f>
        <v/>
      </c>
      <c r="I225" s="51" t="n">
        <v>12.64</v>
      </c>
      <c r="J225" s="28">
        <f>H225*I225</f>
        <v/>
      </c>
      <c r="K225" s="52" t="inlineStr">
        <is>
          <t>GEÇMİŞ TEKLİF UYARLAMA</t>
        </is>
      </c>
      <c r="L225"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25" s="7" t="inlineStr">
        <is>
          <t>İstasyon ref Ø100 ile tutarlı | İlk tahmin BF 17.00</t>
        </is>
      </c>
    </row>
    <row r="226" outlineLevel="1">
      <c r="A226" s="27" t="n"/>
      <c r="B226" s="27" t="inlineStr">
        <is>
          <t>5006.F</t>
        </is>
      </c>
      <c r="C226" s="7" t="inlineStr">
        <is>
          <t>Ø100 PVC yağmur iniş borusu (kanopi kolonu içinde)</t>
        </is>
      </c>
      <c r="D226" s="27" t="inlineStr">
        <is>
          <t>m</t>
        </is>
      </c>
      <c r="E226" s="50" t="n">
        <v>39</v>
      </c>
      <c r="F226" s="50" t="n">
        <v>39</v>
      </c>
      <c r="G226" s="27" t="inlineStr">
        <is>
          <t>fire+%30</t>
        </is>
      </c>
      <c r="H226" s="50">
        <f>F226/IF(Varsayimlar!$B$21=1,1.43,1)</f>
        <v/>
      </c>
      <c r="I226" s="51" t="n">
        <v>12.64</v>
      </c>
      <c r="J226" s="28">
        <f>H226*I226</f>
        <v/>
      </c>
      <c r="K226" s="52" t="inlineStr">
        <is>
          <t>GEÇMİŞ TEKLİF UYARLAMA</t>
        </is>
      </c>
      <c r="L226"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26" s="7" t="inlineStr">
        <is>
          <t>İlk tahmin BF 14.00</t>
        </is>
      </c>
    </row>
    <row r="227" outlineLevel="1">
      <c r="A227" s="27" t="n"/>
      <c r="B227" s="27" t="inlineStr">
        <is>
          <t>5006.F</t>
        </is>
      </c>
      <c r="C227" s="7" t="inlineStr">
        <is>
          <t>Ray hattı drenajına bağlantı (BAK +0.08)</t>
        </is>
      </c>
      <c r="D227" s="27" t="inlineStr">
        <is>
          <t>adet</t>
        </is>
      </c>
      <c r="E227" s="50" t="n">
        <v>6</v>
      </c>
      <c r="F227" s="50" t="n">
        <v>6</v>
      </c>
      <c r="G227" s="27" t="inlineStr">
        <is>
          <t>-</t>
        </is>
      </c>
      <c r="H227" s="50">
        <f>F227</f>
        <v/>
      </c>
      <c r="I227" s="51" t="n">
        <v>25</v>
      </c>
      <c r="J227" s="28">
        <f>H227*I227</f>
        <v/>
      </c>
      <c r="K227" s="53" t="inlineStr">
        <is>
          <t>MÜHENDİSLİK TAHMİNİ</t>
        </is>
      </c>
      <c r="L227" s="7" t="inlineStr">
        <is>
          <t>TAHMIN (emsal yok) – emsal bulunamadı; mevcut tahmin korundu</t>
        </is>
      </c>
      <c r="M227" s="7" t="inlineStr"/>
    </row>
    <row r="228">
      <c r="A228" s="48" t="inlineStr">
        <is>
          <t>357</t>
        </is>
      </c>
      <c r="B228" s="48" t="inlineStr">
        <is>
          <t>5006.G</t>
        </is>
      </c>
      <c r="C228" s="48" t="inlineStr">
        <is>
          <t>Trafo Binaları Drenaj Sistemi (4 set)</t>
        </is>
      </c>
      <c r="D228" s="48" t="n"/>
      <c r="E228" s="48" t="n"/>
      <c r="F228" s="48" t="n"/>
      <c r="G228" s="48" t="n"/>
      <c r="H228" s="48" t="inlineStr">
        <is>
          <t>RFQ tutarı →</t>
        </is>
      </c>
      <c r="I228" s="49">
        <f>SUMPRODUCT(E229:E229,I229:I229)</f>
        <v/>
      </c>
      <c r="J228" s="49">
        <f>SUM(J229:J229)</f>
        <v/>
      </c>
      <c r="K228" s="48" t="n"/>
      <c r="L228" s="48" t="n"/>
      <c r="M228" s="48" t="n"/>
    </row>
    <row r="229" outlineLevel="1">
      <c r="A229" s="27" t="n"/>
      <c r="B229" s="27" t="inlineStr">
        <is>
          <t>5006.G</t>
        </is>
      </c>
      <c r="C229" s="7" t="inlineStr">
        <is>
          <t>Ø125 PVC yağmur iniş borusu (4 köşe) + kelepçe + dirsek</t>
        </is>
      </c>
      <c r="D229" s="27" t="inlineStr">
        <is>
          <t>m</t>
        </is>
      </c>
      <c r="E229" s="50" t="n">
        <v>26</v>
      </c>
      <c r="F229" s="50" t="n">
        <v>26</v>
      </c>
      <c r="G229" s="27" t="inlineStr">
        <is>
          <t>fire+%30</t>
        </is>
      </c>
      <c r="H229" s="50">
        <f>F229/IF(Varsayimlar!$B$21=1,1.43,1)</f>
        <v/>
      </c>
      <c r="I229" s="51" t="n">
        <v>17.11</v>
      </c>
      <c r="J229" s="28">
        <f>H229*I229</f>
        <v/>
      </c>
      <c r="K229" s="52" t="inlineStr">
        <is>
          <t>GEÇMİŞ TEKLİF UYARLAMA</t>
        </is>
      </c>
      <c r="L229" s="7" t="inlineStr">
        <is>
          <t>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is>
      </c>
      <c r="M229" s="7" t="inlineStr">
        <is>
          <t>İlk tahmin BF 18.00</t>
        </is>
      </c>
    </row>
    <row r="230">
      <c r="A230" s="48" t="inlineStr">
        <is>
          <t>358</t>
        </is>
      </c>
      <c r="B230" s="48" t="inlineStr">
        <is>
          <t>5006.H</t>
        </is>
      </c>
      <c r="C230" s="48" t="inlineStr">
        <is>
          <t>Depo-Kontrol Binaları Drenaj Sistemi (1 set)</t>
        </is>
      </c>
      <c r="D230" s="48" t="n"/>
      <c r="E230" s="48" t="n"/>
      <c r="F230" s="48" t="n"/>
      <c r="G230" s="48" t="n"/>
      <c r="H230" s="48" t="inlineStr">
        <is>
          <t>RFQ tutarı →</t>
        </is>
      </c>
      <c r="I230" s="49">
        <f>SUMPRODUCT(E231:E247,I231:I247)</f>
        <v/>
      </c>
      <c r="J230" s="49">
        <f>SUM(J231:J247)</f>
        <v/>
      </c>
      <c r="K230" s="48" t="n"/>
      <c r="L230" s="48" t="n"/>
      <c r="M230" s="48" t="n"/>
    </row>
    <row r="231" outlineLevel="1">
      <c r="A231" s="27" t="n"/>
      <c r="B231" s="27" t="inlineStr">
        <is>
          <t>5006.H</t>
        </is>
      </c>
      <c r="C231" s="7" t="inlineStr">
        <is>
          <t>D01 atölye çukur/kanal drenajı PVC Ø100-Ø125 (çukur süzgeçleri -&gt; petrol ayırıcı)</t>
        </is>
      </c>
      <c r="D231" s="27" t="inlineStr">
        <is>
          <t>m</t>
        </is>
      </c>
      <c r="E231" s="50" t="n">
        <v>234</v>
      </c>
      <c r="F231" s="50" t="n">
        <v>234</v>
      </c>
      <c r="G231" s="27" t="inlineStr">
        <is>
          <t>fire+%30</t>
        </is>
      </c>
      <c r="H231" s="50">
        <f>F231/IF(Varsayimlar!$B$21=1,1.43,1)</f>
        <v/>
      </c>
      <c r="I231" s="51" t="n">
        <v>16.27</v>
      </c>
      <c r="J231" s="28">
        <f>H231*I231</f>
        <v/>
      </c>
      <c r="K231" s="52" t="inlineStr">
        <is>
          <t>GEÇMİŞ TEKLİF UYARLAMA</t>
        </is>
      </c>
      <c r="L231"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+6 emsal | medyan 16.27 (PVC Ø100-125 havuzu) = 16.27 € [Emsal ID: R05369;R05467;R05561;R05856;R06112;R05758;R05370;R05468;R05562;R05857;R06113;R05759]</t>
        </is>
      </c>
      <c r="M231" s="7" t="inlineStr">
        <is>
          <t>İlk tahmin BF 17.00</t>
        </is>
      </c>
    </row>
    <row r="232" outlineLevel="1">
      <c r="A232" s="27" t="n"/>
      <c r="B232" s="27" t="inlineStr">
        <is>
          <t>5006.H</t>
        </is>
      </c>
      <c r="C232" s="7" t="inlineStr">
        <is>
          <t>D01 çukur/kanal süzgeci 30x30 (dökme ızgaralı)</t>
        </is>
      </c>
      <c r="D232" s="27" t="inlineStr">
        <is>
          <t>adet</t>
        </is>
      </c>
      <c r="E232" s="50" t="n">
        <v>26</v>
      </c>
      <c r="F232" s="50" t="n">
        <v>26</v>
      </c>
      <c r="G232" s="27" t="inlineStr">
        <is>
          <t>%30</t>
        </is>
      </c>
      <c r="H232" s="50">
        <f>F232/IF(Varsayimlar!$B$21=1,1.3,1)</f>
        <v/>
      </c>
      <c r="I232" s="51" t="n">
        <v>93.25</v>
      </c>
      <c r="J232" s="28">
        <f>H232*I232</f>
        <v/>
      </c>
      <c r="K232" s="52" t="inlineStr">
        <is>
          <t>GEÇMİŞ TEKLİF UYARLAMA</t>
        </is>
      </c>
      <c r="L232" s="7" t="inlineStr">
        <is>
          <t>REF-derin – R05372 İzmir Buca Metro/Alp 2021 37.70; R05424 Kocaeli KentMey.Tram/Uluhanlar 2015 165.32; R05522 Kocaeli KentMey.Tram/bilinmiyor 2015 92.89; R05735 Kocaeli KentMey.Tram/FER 2015 93.61 | medyan 93.25 (pik döküm çukur/bodrum süzgeci) = 93.25 € | mevcut REF 129.10 (-27.8%) düzeltildi [Emsal ID: R05372;R05424;R05522;R05735]</t>
        </is>
      </c>
      <c r="M232" s="7" t="inlineStr">
        <is>
          <t>İlk tahmin BF 129.10</t>
        </is>
      </c>
    </row>
    <row r="233" outlineLevel="1">
      <c r="A233" s="27" t="n"/>
      <c r="B233" s="27" t="inlineStr">
        <is>
          <t>5006.H</t>
        </is>
      </c>
      <c r="C233" s="7" t="inlineStr">
        <is>
          <t>D01 petrol ayırıcı PT-01…05, PE tank Ø1200 H3000, 5,4 l/s, EN 858, 40 t kapak</t>
        </is>
      </c>
      <c r="D233" s="27" t="inlineStr">
        <is>
          <t>adet</t>
        </is>
      </c>
      <c r="E233" s="50" t="n">
        <v>5</v>
      </c>
      <c r="F233" s="50" t="n">
        <v>5</v>
      </c>
      <c r="G233" s="27" t="inlineStr">
        <is>
          <t>-</t>
        </is>
      </c>
      <c r="H233" s="50">
        <f>F233</f>
        <v/>
      </c>
      <c r="I233" s="51" t="n">
        <v>2850</v>
      </c>
      <c r="J233" s="28">
        <f>H233*I233</f>
        <v/>
      </c>
      <c r="K233" s="52" t="inlineStr">
        <is>
          <t>GEÇMİŞ TEKLİF UYARLAMA</t>
        </is>
      </c>
      <c r="L233" s="7" t="inlineStr">
        <is>
          <t>REF-derin – Ayırıcı: Buca petrol ayırıcı 1.301, Mertsan 2 l/s 1.437 → medyan 1.369 ×(5,4/2)^0,5 + D400 kapak 600 = 2.850; mevcut 4.500 YÜKSEK [Emsal ID: R05378;R05875]</t>
        </is>
      </c>
      <c r="M233" s="7" t="inlineStr">
        <is>
          <t>Ref çok düşük; EN858 PE ayırıcı, kazı hariç | İlk tahmin BF 4,500.00</t>
        </is>
      </c>
    </row>
    <row r="234" outlineLevel="1">
      <c r="A234" s="27" t="n"/>
      <c r="B234" s="27" t="inlineStr">
        <is>
          <t>5006.H</t>
        </is>
      </c>
      <c r="C234" s="7" t="inlineStr">
        <is>
          <t>D01 drenaj dalgıç pompası DP-1 6 m³/h 8 mSS 2,6 kW (tekerlek torna çukuru) + seviye şalteri + pompa panosu</t>
        </is>
      </c>
      <c r="D234" s="27" t="inlineStr">
        <is>
          <t>adet</t>
        </is>
      </c>
      <c r="E234" s="50" t="n">
        <v>1</v>
      </c>
      <c r="F234" s="50" t="n">
        <v>1</v>
      </c>
      <c r="G234" s="27" t="inlineStr">
        <is>
          <t>-</t>
        </is>
      </c>
      <c r="H234" s="50">
        <f>F234</f>
        <v/>
      </c>
      <c r="I234" s="51" t="n">
        <v>1874.53</v>
      </c>
      <c r="J234" s="28">
        <f>H234*I234</f>
        <v/>
      </c>
      <c r="K234" s="52" t="inlineStr">
        <is>
          <t>GEÇMİŞ TEKLİF UYARLAMA</t>
        </is>
      </c>
      <c r="L234" s="7" t="inlineStr">
        <is>
          <t>REF-derin – R05475 Kocaeli KentMey.Tram/Uluhanlar 2015 2993.67; R05872 Kocaeli KentMey.Tram/Mertsan 2015 1321.83; R05776 Kocaeli KentMey.Tram/FER 2015 1034.56→1726.91+692.36; R05375 İzmir Buca Metro/Alp 2021 4044.29→2022.14×0.5 | medyan 1874.53 (5-10 m³/h dalgıç drenaj pompası + pano; 1+1 set /2) = 1874.53 € | mevcut REF 1549.57 (+21.0%) düzeltildi [Emsal ID: R05475;R05872;R05776;R05375]</t>
        </is>
      </c>
      <c r="M234" s="7" t="inlineStr">
        <is>
          <t>İlk tahmin BF 1,549.57</t>
        </is>
      </c>
    </row>
    <row r="235" outlineLevel="1">
      <c r="A235" s="27" t="n"/>
      <c r="B235" s="27" t="inlineStr">
        <is>
          <t>5006.H</t>
        </is>
      </c>
      <c r="C235" s="7" t="inlineStr">
        <is>
          <t>D01 yağmur iniş borusu PVC Ø125 (YR), kelepçe/dirsek dahil</t>
        </is>
      </c>
      <c r="D235" s="27" t="inlineStr">
        <is>
          <t>m</t>
        </is>
      </c>
      <c r="E235" s="50" t="n">
        <v>258</v>
      </c>
      <c r="F235" s="50" t="n">
        <v>258</v>
      </c>
      <c r="G235" s="27" t="inlineStr">
        <is>
          <t>fire+%30</t>
        </is>
      </c>
      <c r="H235" s="50">
        <f>F235/IF(Varsayimlar!$B$21=1,1.43,1)</f>
        <v/>
      </c>
      <c r="I235" s="51" t="n">
        <v>17.11</v>
      </c>
      <c r="J235" s="28">
        <f>H235*I235</f>
        <v/>
      </c>
      <c r="K235" s="52" t="inlineStr">
        <is>
          <t>GEÇMİŞ TEKLİF UYARLAMA</t>
        </is>
      </c>
      <c r="L235" s="7" t="inlineStr">
        <is>
          <t>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is>
      </c>
      <c r="M235" s="7" t="inlineStr">
        <is>
          <t>İlk tahmin BF 18.00</t>
        </is>
      </c>
    </row>
    <row r="236" outlineLevel="1">
      <c r="A236" s="27" t="n"/>
      <c r="B236" s="27" t="inlineStr">
        <is>
          <t>5006.H</t>
        </is>
      </c>
      <c r="C236" s="7" t="inlineStr">
        <is>
          <t>D01 çatı/parapet yağmur süzgeci Ø125</t>
        </is>
      </c>
      <c r="D236" s="27" t="inlineStr">
        <is>
          <t>adet</t>
        </is>
      </c>
      <c r="E236" s="50" t="n">
        <v>24</v>
      </c>
      <c r="F236" s="50" t="n">
        <v>24</v>
      </c>
      <c r="G236" s="27" t="inlineStr">
        <is>
          <t>%30</t>
        </is>
      </c>
      <c r="H236" s="50">
        <f>F236/IF(Varsayimlar!$B$21=1,1.3,1)</f>
        <v/>
      </c>
      <c r="I236" s="51" t="n">
        <v>52.4</v>
      </c>
      <c r="J236" s="28">
        <f>H236*I236</f>
        <v/>
      </c>
      <c r="K236" s="52" t="inlineStr">
        <is>
          <t>GEÇMİŞ TEKLİF UYARLAMA</t>
        </is>
      </c>
      <c r="L236" s="7" t="inlineStr">
        <is>
          <t>REF-derin – R05426 Kocaeli KentMey.Tram/Uluhanlar 2015 146.84; R05524 Kocaeli KentMey.Tram/bilinmiyor 2015 47.64; R06011 Kirazlı-Halkalı Metro/Panel 2024 30.36 | medyan 47.64 ×1.1 (çatı/parapet süzgeci; Ø125 için +%10) = 52.40 € | mevcut REF 97.24 (-46.1%) düzeltildi [Emsal ID: R05426;R05524;R06011]</t>
        </is>
      </c>
      <c r="M236" s="7" t="inlineStr">
        <is>
          <t>İlk tahmin BF 97.24</t>
        </is>
      </c>
    </row>
    <row r="237" outlineLevel="1">
      <c r="A237" s="27" t="n"/>
      <c r="B237" s="27" t="inlineStr">
        <is>
          <t>5006.H</t>
        </is>
      </c>
      <c r="C237" s="7" t="inlineStr">
        <is>
          <t>D03 vagon yıkama drenaj hattı HDPE Ø200 (eğim 0,0169) + yağ ayırıcı + çamur tankı bağlantısı</t>
        </is>
      </c>
      <c r="D237" s="27" t="inlineStr">
        <is>
          <t>m</t>
        </is>
      </c>
      <c r="E237" s="50" t="n">
        <v>29.7</v>
      </c>
      <c r="F237" s="50" t="n">
        <v>29.7</v>
      </c>
      <c r="G237" s="27" t="inlineStr">
        <is>
          <t>fire %10</t>
        </is>
      </c>
      <c r="H237" s="50">
        <f>F237/IF(Varsayimlar!$B$21=1,1.1,1)</f>
        <v/>
      </c>
      <c r="I237" s="51" t="n">
        <v>28.55</v>
      </c>
      <c r="J237" s="28">
        <f>H237*I237</f>
        <v/>
      </c>
      <c r="K237" s="52" t="inlineStr">
        <is>
          <t>GEÇMİŞ TEKLİF UYARLAMA</t>
        </is>
      </c>
      <c r="L237" s="7" t="inlineStr">
        <is>
          <t>REF-derin – R05764 Kocaeli KentMey.Tram/FER 2015 15.85; R05469 Kocaeli KentMey.Tram/Uluhanlar 2015 32.44; R05564 Kocaeli KentMey.Tram/bilinmiyor 2015 21.96; R05859 Kocaeli KentMey.Tram/Mertsan 2015 20.05; R05761 Kocaeli KentMey.Tram/FER 2015 25.90→38.85×1.5 | medyan 21.96 ×1.3 (Ø200 drenaj borusu; +%30 yağ ayırıcı/çamur tankı bağlantı ve eğimli döşeme payı) = 28.55 € [Emsal ID: R05764;R05469;R05564;R05859;R05761]</t>
        </is>
      </c>
      <c r="M237" s="7" t="inlineStr">
        <is>
          <t>İlk tahmin BF 45.00</t>
        </is>
      </c>
    </row>
    <row r="238" outlineLevel="1">
      <c r="A238" s="27" t="n"/>
      <c r="B238" s="27" t="inlineStr">
        <is>
          <t>5006.H</t>
        </is>
      </c>
      <c r="C238" s="7" t="inlineStr">
        <is>
          <t>D03 vagon yıkama yağ ayırıcı / separatör</t>
        </is>
      </c>
      <c r="D238" s="27" t="inlineStr">
        <is>
          <t>adet</t>
        </is>
      </c>
      <c r="E238" s="50" t="n">
        <v>1</v>
      </c>
      <c r="F238" s="50" t="n">
        <v>1</v>
      </c>
      <c r="G238" s="27" t="inlineStr">
        <is>
          <t>-</t>
        </is>
      </c>
      <c r="H238" s="50">
        <f>F238</f>
        <v/>
      </c>
      <c r="I238" s="51" t="n">
        <v>6000</v>
      </c>
      <c r="J238" s="28">
        <f>H238*I238</f>
        <v/>
      </c>
      <c r="K238" s="53" t="inlineStr">
        <is>
          <t>MÜHENDİSLİK TAHMİNİ</t>
        </is>
      </c>
      <c r="L238" s="7" t="inlineStr">
        <is>
          <t>TAHMIN (emsal yok) – Uygun emsal yok; mevcut tahmin korundu</t>
        </is>
      </c>
      <c r="M238" s="7" t="inlineStr"/>
    </row>
    <row r="239" outlineLevel="1">
      <c r="A239" s="27" t="n"/>
      <c r="B239" s="27" t="inlineStr">
        <is>
          <t>5006.H</t>
        </is>
      </c>
      <c r="C239" s="7" t="inlineStr">
        <is>
          <t>D05 yağmur iniş borusu PVC Ø100 (Y-1…Y-5) + temizleme kapağı</t>
        </is>
      </c>
      <c r="D239" s="27" t="inlineStr">
        <is>
          <t>m</t>
        </is>
      </c>
      <c r="E239" s="50" t="n">
        <v>52</v>
      </c>
      <c r="F239" s="50" t="n">
        <v>52</v>
      </c>
      <c r="G239" s="27" t="inlineStr">
        <is>
          <t>fire+%30</t>
        </is>
      </c>
      <c r="H239" s="50">
        <f>F239/IF(Varsayimlar!$B$21=1,1.43,1)</f>
        <v/>
      </c>
      <c r="I239" s="51" t="n">
        <v>12.64</v>
      </c>
      <c r="J239" s="28">
        <f>H239*I239</f>
        <v/>
      </c>
      <c r="K239" s="52" t="inlineStr">
        <is>
          <t>GEÇMİŞ TEKLİF UYARLAMA</t>
        </is>
      </c>
      <c r="L239"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39" s="7" t="inlineStr">
        <is>
          <t>İlk tahmin BF 15.00</t>
        </is>
      </c>
    </row>
    <row r="240" outlineLevel="1">
      <c r="A240" s="27" t="n"/>
      <c r="B240" s="27" t="inlineStr">
        <is>
          <t>5006.H</t>
        </is>
      </c>
      <c r="C240" s="7" t="inlineStr">
        <is>
          <t>D05 çatı yağmur süzgeci Ø100</t>
        </is>
      </c>
      <c r="D240" s="27" t="inlineStr">
        <is>
          <t>adet</t>
        </is>
      </c>
      <c r="E240" s="50" t="n">
        <v>7</v>
      </c>
      <c r="F240" s="50" t="n">
        <v>7</v>
      </c>
      <c r="G240" s="27" t="inlineStr">
        <is>
          <t>%30</t>
        </is>
      </c>
      <c r="H240" s="50">
        <f>F240/IF(Varsayimlar!$B$21=1,1.3,1)</f>
        <v/>
      </c>
      <c r="I240" s="51" t="n">
        <v>47.64</v>
      </c>
      <c r="J240" s="28">
        <f>H240*I240</f>
        <v/>
      </c>
      <c r="K240" s="52" t="inlineStr">
        <is>
          <t>GEÇMİŞ TEKLİF UYARLAMA</t>
        </is>
      </c>
      <c r="L240" s="7" t="inlineStr">
        <is>
          <t>REF-derin – R05426 Kocaeli KentMey.Tram/Uluhanlar 2015 146.84; R05524 Kocaeli KentMey.Tram/bilinmiyor 2015 47.64; R06011 Kirazlı-Halkalı Metro/Panel 2024 30.36 | medyan 47.64 (çatı süzgeci Ø100) = 47.64 € | mevcut REF 75.00 (-36.5%) düzeltildi [Emsal ID: R05426;R05524;R06011]</t>
        </is>
      </c>
      <c r="M240" s="7" t="inlineStr">
        <is>
          <t>Ref düşük; Ø125 süzgeç ile tutarlı | İlk tahmin BF 75.00</t>
        </is>
      </c>
    </row>
    <row r="241" outlineLevel="1">
      <c r="A241" s="27" t="n"/>
      <c r="B241" s="27" t="inlineStr">
        <is>
          <t>5006.H</t>
        </is>
      </c>
      <c r="C241" s="7" t="inlineStr">
        <is>
          <t>D06 çatı parapet süzgeci Ø150 + yağmur iniş PVC Ø150 (yüzeye serbest akış)</t>
        </is>
      </c>
      <c r="D241" s="27" t="inlineStr">
        <is>
          <t>m</t>
        </is>
      </c>
      <c r="E241" s="50" t="n">
        <v>16</v>
      </c>
      <c r="F241" s="50" t="n">
        <v>16</v>
      </c>
      <c r="G241" s="27" t="inlineStr">
        <is>
          <t>fire+%30</t>
        </is>
      </c>
      <c r="H241" s="50">
        <f>F241/IF(Varsayimlar!$B$21=1,1.43,1)</f>
        <v/>
      </c>
      <c r="I241" s="51" t="n">
        <v>18.27</v>
      </c>
      <c r="J241" s="28">
        <f>H241*I241</f>
        <v/>
      </c>
      <c r="K241" s="52" t="inlineStr">
        <is>
          <t>GEÇMİŞ TEKLİF UYARLAMA</t>
        </is>
      </c>
      <c r="L241" s="7" t="inlineStr">
        <is>
          <t>REF-derin – R05563 Kocaeli KentMey.Tram/bilinmiyor 2015 14.89; R05858 Kocaeli KentMey.Tram/Mertsan 2015 18.27; R05760 Kocaeli KentMey.Tram/FER 2015 17.27→25.90×1.5 | medyan 18.27 (PVC Ø150 (süzgeç ayrı kalemde)) = 18.27 € [Emsal ID: R05563;R05858;R05760]</t>
        </is>
      </c>
      <c r="M241" s="7" t="inlineStr">
        <is>
          <t>İlk tahmin BF 24.00</t>
        </is>
      </c>
    </row>
    <row r="242" outlineLevel="1">
      <c r="A242" s="27" t="n"/>
      <c r="B242" s="27" t="inlineStr">
        <is>
          <t>5006.H</t>
        </is>
      </c>
      <c r="C242" s="7" t="inlineStr">
        <is>
          <t>D06 çatı parapet süzgeci Ø150</t>
        </is>
      </c>
      <c r="D242" s="27" t="inlineStr">
        <is>
          <t>adet</t>
        </is>
      </c>
      <c r="E242" s="50" t="n">
        <v>3</v>
      </c>
      <c r="F242" s="50" t="n">
        <v>3</v>
      </c>
      <c r="G242" s="27" t="inlineStr">
        <is>
          <t>%30</t>
        </is>
      </c>
      <c r="H242" s="50">
        <f>F242/IF(Varsayimlar!$B$21=1,1.3,1)</f>
        <v/>
      </c>
      <c r="I242" s="51" t="n">
        <v>59.55</v>
      </c>
      <c r="J242" s="28">
        <f>H242*I242</f>
        <v/>
      </c>
      <c r="K242" s="52" t="inlineStr">
        <is>
          <t>GEÇMİŞ TEKLİF UYARLAMA</t>
        </is>
      </c>
      <c r="L242" s="7" t="inlineStr">
        <is>
          <t>REF-derin – R05426 Kocaeli KentMey.Tram/Uluhanlar 2015 146.84; R05524 Kocaeli KentMey.Tram/bilinmiyor 2015 47.64; R06011 Kirazlı-Halkalı Metro/Panel 2024 30.36 | medyan 47.64 ×1.25 (Ø150 için +%25) = 59.55 € [Emsal ID: R05426;R05524;R06011]</t>
        </is>
      </c>
      <c r="M242" s="7" t="inlineStr">
        <is>
          <t>İlk tahmin BF 120.00</t>
        </is>
      </c>
    </row>
    <row r="243" outlineLevel="1">
      <c r="A243" s="27" t="n"/>
      <c r="B243" s="27" t="inlineStr">
        <is>
          <t>5006.H</t>
        </is>
      </c>
      <c r="C243" s="7" t="inlineStr">
        <is>
          <t>D06 su toplama çukuru drenaj pompası DSP-01/02 dalgıç 15 m³/h 12 mSS 1,6 kW (1 asıl+1 yedek) + seviye şalteri + pano</t>
        </is>
      </c>
      <c r="D243" s="27" t="inlineStr">
        <is>
          <t>adet</t>
        </is>
      </c>
      <c r="E243" s="50" t="n">
        <v>2</v>
      </c>
      <c r="F243" s="50" t="n">
        <v>2</v>
      </c>
      <c r="G243" s="27" t="inlineStr">
        <is>
          <t>-</t>
        </is>
      </c>
      <c r="H243" s="50">
        <f>F243</f>
        <v/>
      </c>
      <c r="I243" s="51" t="n">
        <v>2682.84</v>
      </c>
      <c r="J243" s="28">
        <f>H243*I243</f>
        <v/>
      </c>
      <c r="K243" s="52" t="inlineStr">
        <is>
          <t>GEÇMİŞ TEKLİF UYARLAMA</t>
        </is>
      </c>
      <c r="L243" s="7" t="inlineStr">
        <is>
          <t>REF-derin – R05476 Kocaeli KentMey.Tram/Uluhanlar 2015 3325.25; R05376 İzmir Buca Metro/Alp 2021 4080.84→2040.42×0.5 | medyan 2682.84 (12-20 m³/h dalgıç pompa; Lowara 1+1 panolu set /2 (en yakın kapasite)) = 2682.84 € [Emsal ID: R05476;R05376]</t>
        </is>
      </c>
      <c r="M243" s="7" t="inlineStr">
        <is>
          <t>Pompa + seviye şalteri + pano payı | İlk tahmin BF 1,800.00</t>
        </is>
      </c>
    </row>
    <row r="244" outlineLevel="1">
      <c r="A244" s="27" t="n"/>
      <c r="B244" s="27" t="inlineStr">
        <is>
          <t>5006.H</t>
        </is>
      </c>
      <c r="C244" s="7" t="inlineStr">
        <is>
          <t>D06 drenaj pompa basma hattı galvaniz 2" + Ø110 HDPE toprak altı (yağmur suyu rögarına) + Ø100/Ø150 PVC taşma-boşaltma</t>
        </is>
      </c>
      <c r="D244" s="27" t="inlineStr">
        <is>
          <t>m</t>
        </is>
      </c>
      <c r="E244" s="50" t="n">
        <v>45</v>
      </c>
      <c r="F244" s="50" t="n">
        <v>45</v>
      </c>
      <c r="G244" s="27" t="inlineStr">
        <is>
          <t>-</t>
        </is>
      </c>
      <c r="H244" s="50">
        <f>F244</f>
        <v/>
      </c>
      <c r="I244" s="51" t="n">
        <v>17.7</v>
      </c>
      <c r="J244" s="28">
        <f>H244*I244</f>
        <v/>
      </c>
      <c r="K244" s="52" t="inlineStr">
        <is>
          <t>GEÇMİŞ TEKLİF UYARLAMA</t>
        </is>
      </c>
      <c r="L244" s="7" t="inlineStr">
        <is>
          <t>REF-derin – galv. 2" medyan 28.28, HDPE Ø110 medyan 12.17 (R05521,R05897), PVC Ø100 medyan 12.64 → eşit ağırlık ortalama = 17.70 € | mevcut REF 27.28 (-35.1%) düzeltildi [Emsal ID: R05341;R05458;R05552;R05984;R06104;R05751;R05521;R05897;R05369;R05467;R05561;R05856;R06112;R05758]</t>
        </is>
      </c>
      <c r="M244" s="7" t="inlineStr">
        <is>
          <t>İlk tahmin BF 27.28</t>
        </is>
      </c>
    </row>
    <row r="245" outlineLevel="1">
      <c r="A245" s="27" t="n"/>
      <c r="B245" s="27" t="inlineStr">
        <is>
          <t>5006.H</t>
        </is>
      </c>
      <c r="C245" s="7" t="inlineStr">
        <is>
          <t>D07 yağmur iniş/çatı drenajı PVC Ø70-100</t>
        </is>
      </c>
      <c r="D245" s="27" t="inlineStr">
        <is>
          <t>m</t>
        </is>
      </c>
      <c r="E245" s="50" t="n">
        <v>12</v>
      </c>
      <c r="F245" s="50" t="n">
        <v>12</v>
      </c>
      <c r="G245" s="27" t="inlineStr">
        <is>
          <t>fire %10</t>
        </is>
      </c>
      <c r="H245" s="50">
        <f>F245/IF(Varsayimlar!$B$21=1,1.1,1)</f>
        <v/>
      </c>
      <c r="I245" s="51" t="n">
        <v>11.65</v>
      </c>
      <c r="J245" s="28">
        <f>H245*I245</f>
        <v/>
      </c>
      <c r="K245" s="52" t="inlineStr">
        <is>
          <t>GEÇMİŞ TEKLİF UYARLAMA</t>
        </is>
      </c>
      <c r="L245" s="7" t="inlineStr">
        <is>
          <t>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[Emsal ID: R05368;R05466;R05560;R05855;R06111;R05757;R05369;R05467;R05561;R05856;R06112;R05758]</t>
        </is>
      </c>
      <c r="M245" s="7" t="inlineStr">
        <is>
          <t>İlk tahmin BF 13.00</t>
        </is>
      </c>
    </row>
    <row r="246" outlineLevel="1">
      <c r="A246" s="27" t="n"/>
      <c r="B246" s="27" t="inlineStr">
        <is>
          <t>5006.H</t>
        </is>
      </c>
      <c r="C246" s="7" t="inlineStr">
        <is>
          <t>D02/T13 yağmur iniş borusu PVC Ø100 (4 köşe)</t>
        </is>
      </c>
      <c r="D246" s="27" t="inlineStr">
        <is>
          <t>m</t>
        </is>
      </c>
      <c r="E246" s="50" t="n">
        <v>29</v>
      </c>
      <c r="F246" s="50" t="n">
        <v>29</v>
      </c>
      <c r="G246" s="27" t="inlineStr">
        <is>
          <t>fire+%30</t>
        </is>
      </c>
      <c r="H246" s="50">
        <f>F246/IF(Varsayimlar!$B$21=1,1.43,1)</f>
        <v/>
      </c>
      <c r="I246" s="51" t="n">
        <v>12.64</v>
      </c>
      <c r="J246" s="28">
        <f>H246*I246</f>
        <v/>
      </c>
      <c r="K246" s="52" t="inlineStr">
        <is>
          <t>GEÇMİŞ TEKLİF UYARLAMA</t>
        </is>
      </c>
      <c r="L246"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15.00 (-15.8%) düzeltildi [Emsal ID: R05369;R05467;R05561;R05856;R06112;R05758]</t>
        </is>
      </c>
      <c r="M246" s="7" t="inlineStr">
        <is>
          <t>Ref yüksek; Ø100 PVC iniş | İlk tahmin BF 15.00</t>
        </is>
      </c>
    </row>
    <row r="247" outlineLevel="1">
      <c r="A247" s="27" t="n"/>
      <c r="B247" s="27" t="inlineStr">
        <is>
          <t>5006.H</t>
        </is>
      </c>
      <c r="C247" s="7" t="inlineStr">
        <is>
          <t>D06 pompa dairesi yer süzgeci 15x15 (su toplama çukurlarına)</t>
        </is>
      </c>
      <c r="D247" s="27" t="inlineStr">
        <is>
          <t>adet</t>
        </is>
      </c>
      <c r="E247" s="50" t="n">
        <v>7</v>
      </c>
      <c r="F247" s="50" t="n">
        <v>7</v>
      </c>
      <c r="G247" s="27" t="inlineStr">
        <is>
          <t>-</t>
        </is>
      </c>
      <c r="H247" s="50">
        <f>F247</f>
        <v/>
      </c>
      <c r="I247" s="51" t="n">
        <v>39</v>
      </c>
      <c r="J247" s="28">
        <f>H247*I247</f>
        <v/>
      </c>
      <c r="K247" s="52" t="inlineStr">
        <is>
          <t>GEÇMİŞ TEKLİF UYARLAMA</t>
        </is>
      </c>
      <c r="L247" s="7" t="inlineStr">
        <is>
          <t>REF-derin – R05373 İzmir Buca Metro/Alp 2021 28.85; R05425 Kocaeli KentMey.Tram/Uluhanlar 2015 11.37; R06009 Kirazlı-Halkalı Metro/Panel 2024 39.00; R06093 Siirt-Kurtalan DY/Yamaner 2025 49.63; R05523 Kocaeli KentMey.Tram/bilinmiyor 2015 95.27 | medyan 39.00 (15x15 yer süzgeci) = 39.00 € [Emsal ID: R05373;R05425;R06009;R06093;R05523]</t>
        </is>
      </c>
      <c r="M247" s="7" t="inlineStr">
        <is>
          <t>İlk tahmin BF 30.00</t>
        </is>
      </c>
    </row>
    <row r="248">
      <c r="A248" s="48" t="inlineStr">
        <is>
          <t>359</t>
        </is>
      </c>
      <c r="B248" s="48" t="inlineStr">
        <is>
          <t>5006.İ</t>
        </is>
      </c>
      <c r="C248" s="48" t="inlineStr">
        <is>
          <t>Yaya Üst Geçidi Drenaj Sistemi (4 set)</t>
        </is>
      </c>
      <c r="D248" s="48" t="n"/>
      <c r="E248" s="48" t="n"/>
      <c r="F248" s="48" t="n"/>
      <c r="G248" s="48" t="n"/>
      <c r="H248" s="48" t="inlineStr">
        <is>
          <t>RFQ tutarı →</t>
        </is>
      </c>
      <c r="I248" s="49">
        <f>SUMPRODUCT(E249:E251,I249:I251)</f>
        <v/>
      </c>
      <c r="J248" s="49">
        <f>SUM(J249:J251)</f>
        <v/>
      </c>
      <c r="K248" s="48" t="n"/>
      <c r="L248" s="48" t="n"/>
      <c r="M248" s="48" t="n"/>
    </row>
    <row r="249" outlineLevel="1">
      <c r="A249" s="27" t="n"/>
      <c r="B249" s="27" t="inlineStr">
        <is>
          <t>5006.İ</t>
        </is>
      </c>
      <c r="C249" s="7" t="inlineStr">
        <is>
          <t>Drenaj gideri / tabliye süzgeci (DR-1…DR-8), paslanmaz ızgaralı, Ø110 çıkışlı</t>
        </is>
      </c>
      <c r="D249" s="27" t="inlineStr">
        <is>
          <t>adet</t>
        </is>
      </c>
      <c r="E249" s="50" t="n">
        <v>11</v>
      </c>
      <c r="F249" s="50" t="n">
        <v>11</v>
      </c>
      <c r="G249" s="27" t="inlineStr">
        <is>
          <t>%30</t>
        </is>
      </c>
      <c r="H249" s="50">
        <f>F249/IF(Varsayimlar!$B$21=1,1.3,1)</f>
        <v/>
      </c>
      <c r="I249" s="51" t="n">
        <v>56.56</v>
      </c>
      <c r="J249" s="28">
        <f>H249*I249</f>
        <v/>
      </c>
      <c r="K249" s="52" t="inlineStr">
        <is>
          <t>GEÇMİŞ TEKLİF UYARLAMA</t>
        </is>
      </c>
      <c r="L249" s="7" t="inlineStr">
        <is>
          <t>REF-derin – R05372 İzmir Buca Metro/Alp 2021 37.70; R05840 Kocaeli KentMey.Tram/Mertsan 2015 31.94; R06010 Kirazlı-Halkalı Metro/Panel 2024 41.61 | medyan 37.70 ×1.5 (Ø100 süzgeç; paslanmaz ızgara +%50) = 56.56 € [Emsal ID: R05372;R05840;R06010]</t>
        </is>
      </c>
      <c r="M249" s="7" t="inlineStr">
        <is>
          <t>Paslanmaz ızgaralı | İlk tahmin BF 120.00</t>
        </is>
      </c>
    </row>
    <row r="250" outlineLevel="1">
      <c r="A250" s="27" t="n"/>
      <c r="B250" s="27" t="inlineStr">
        <is>
          <t>5006.İ</t>
        </is>
      </c>
      <c r="C250" s="7" t="inlineStr">
        <is>
          <t>Ø110 PVC drenaj/yağmur iniş borusu (asansör/merdiven kolonları içinde, tabliye +7,46 -&gt; zemin), kelepçe+dirsek dahil</t>
        </is>
      </c>
      <c r="D250" s="27" t="inlineStr">
        <is>
          <t>m</t>
        </is>
      </c>
      <c r="E250" s="50" t="n">
        <v>86</v>
      </c>
      <c r="F250" s="50" t="n">
        <v>86</v>
      </c>
      <c r="G250" s="27" t="inlineStr">
        <is>
          <t>fire+%30</t>
        </is>
      </c>
      <c r="H250" s="50">
        <f>F250/IF(Varsayimlar!$B$21=1,1.43,1)</f>
        <v/>
      </c>
      <c r="I250" s="51" t="n">
        <v>12.64</v>
      </c>
      <c r="J250" s="28">
        <f>H250*I250</f>
        <v/>
      </c>
      <c r="K250" s="52" t="inlineStr">
        <is>
          <t>GEÇMİŞ TEKLİF UYARLAMA</t>
        </is>
      </c>
      <c r="L250"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is>
      </c>
      <c r="M250" s="7" t="inlineStr">
        <is>
          <t>İlk tahmin BF 15.00</t>
        </is>
      </c>
    </row>
    <row r="251" outlineLevel="1">
      <c r="A251" s="27" t="n"/>
      <c r="B251" s="27" t="inlineStr">
        <is>
          <t>5006.İ</t>
        </is>
      </c>
      <c r="C251" s="7" t="inlineStr">
        <is>
          <t>Ø110 koruge HDPE drenaj borusu (kolon dibi -&gt; drenaj rögarı, toprak altı, eğim %1)</t>
        </is>
      </c>
      <c r="D251" s="27" t="inlineStr">
        <is>
          <t>m</t>
        </is>
      </c>
      <c r="E251" s="50" t="n">
        <v>125</v>
      </c>
      <c r="F251" s="50" t="n">
        <v>125</v>
      </c>
      <c r="G251" s="27" t="inlineStr">
        <is>
          <t>fire+%30</t>
        </is>
      </c>
      <c r="H251" s="50">
        <f>F251/IF(Varsayimlar!$B$21=1,1.43,1)</f>
        <v/>
      </c>
      <c r="I251" s="51" t="n">
        <v>6.46</v>
      </c>
      <c r="J251" s="28">
        <f>H251*I251</f>
        <v/>
      </c>
      <c r="K251" s="52" t="inlineStr">
        <is>
          <t>GEÇMİŞ TEKLİF UYARLAMA</t>
        </is>
      </c>
      <c r="L251" s="7" t="inlineStr">
        <is>
          <t>REF-derin – R05762 Kocaeli KentMey.Tram/FER 2015 9.14; R05860 KentMey.Tram/Mertsan 2015 DN100 koruge 10556.91/2800 m = 3.77 (kazı/dolgu hariç) | medyan = 6.46 € | mevcut REF 14.00 (-53.9%) düzeltildi [Emsal ID: R05762;R05860]</t>
        </is>
      </c>
      <c r="M251" s="7" t="inlineStr">
        <is>
          <t>Ref malzeme; montajlı | İlk tahmin BF 14.00</t>
        </is>
      </c>
    </row>
    <row r="252">
      <c r="A252" s="48" t="inlineStr">
        <is>
          <t>360</t>
        </is>
      </c>
      <c r="B252" s="48" t="inlineStr">
        <is>
          <t>5007.A</t>
        </is>
      </c>
      <c r="C252" s="48" t="inlineStr">
        <is>
          <t>Depo-Kontrol Binaları Kullanım Suyu ve Sıhhi Tesisat Sistemi (1 set)</t>
        </is>
      </c>
      <c r="D252" s="48" t="n"/>
      <c r="E252" s="48" t="n"/>
      <c r="F252" s="48" t="n"/>
      <c r="G252" s="48" t="n"/>
      <c r="H252" s="48" t="inlineStr">
        <is>
          <t>RFQ tutarı →</t>
        </is>
      </c>
      <c r="I252" s="49">
        <f>SUMPRODUCT(E253:E288,I253:I288)</f>
        <v/>
      </c>
      <c r="J252" s="49">
        <f>SUM(J253:J288)</f>
        <v/>
      </c>
      <c r="K252" s="48" t="n"/>
      <c r="L252" s="48" t="n"/>
      <c r="M252" s="48" t="n"/>
    </row>
    <row r="253" outlineLevel="1">
      <c r="A253" s="27" t="n"/>
      <c r="B253" s="27" t="inlineStr">
        <is>
          <t>5007.A</t>
        </is>
      </c>
      <c r="C253" s="7" t="inlineStr">
        <is>
          <t>D06 Hidrofor seti HS-01 (depolar arası) 2x27 m³/h, 30 mSS, 300 L genleşme tanklı, pano dahil</t>
        </is>
      </c>
      <c r="D253" s="27" t="inlineStr">
        <is>
          <t>adet</t>
        </is>
      </c>
      <c r="E253" s="50" t="n">
        <v>1</v>
      </c>
      <c r="F253" s="50" t="n">
        <v>1</v>
      </c>
      <c r="G253" s="27" t="inlineStr">
        <is>
          <t>-</t>
        </is>
      </c>
      <c r="H253" s="50">
        <f>F253</f>
        <v/>
      </c>
      <c r="I253" s="51" t="n">
        <v>9869.280000000001</v>
      </c>
      <c r="J253" s="28">
        <f>H253*I253</f>
        <v/>
      </c>
      <c r="K253" s="52" t="inlineStr">
        <is>
          <t>GEÇMİŞ TEKLİF UYARLAMA</t>
        </is>
      </c>
      <c r="L253" s="7" t="inlineStr">
        <is>
          <t>REF-teyit – Hidrofor: Buca 4.863, Siirt 2025 7.187/9.513, Uluhanlar 11.321, Wilo 17.228 → medyan 9.513; teyit [Emsal ID: R05348;R06097;R06098;R05440;R05539]</t>
        </is>
      </c>
      <c r="M253" s="7" t="inlineStr"/>
    </row>
    <row r="254" outlineLevel="1">
      <c r="A254" s="27" t="n"/>
      <c r="B254" s="27" t="inlineStr">
        <is>
          <t>5007.A</t>
        </is>
      </c>
      <c r="C254" s="7" t="inlineStr">
        <is>
          <t>D06 Hidrofor seti HS-02 (kullanım suyu) 2x7 m³/h, 30 mSS, 300 L genleşme tanklı, pano dahil</t>
        </is>
      </c>
      <c r="D254" s="27" t="inlineStr">
        <is>
          <t>adet</t>
        </is>
      </c>
      <c r="E254" s="50" t="n">
        <v>1</v>
      </c>
      <c r="F254" s="50" t="n">
        <v>1</v>
      </c>
      <c r="G254" s="27" t="inlineStr">
        <is>
          <t>-</t>
        </is>
      </c>
      <c r="H254" s="50">
        <f>F254</f>
        <v/>
      </c>
      <c r="I254" s="51" t="n">
        <v>4800</v>
      </c>
      <c r="J254" s="28">
        <f>H254*I254</f>
        <v/>
      </c>
      <c r="K254" s="52" t="inlineStr">
        <is>
          <t>GEÇMİŞ TEKLİF UYARLAMA</t>
        </is>
      </c>
      <c r="L254" s="7" t="inlineStr">
        <is>
          <t>REF-teyit – R05738 Kocaeli KentMey.Tram/FER 2015 1829.03; R05348 İzmir Buca Metro/Alp 2021 4863.10; R06097 Siirt-Kurtalan DY/Yamaner 2025 7187.37; R05842 Kocaeli KentMey.Tram/Mertsan 2015 3836.86 | medyan 4349.98 (2-3 pompalı paket hidrofor, ≥2014) = 4349.98 € | sapma -9.4% ≤%10 → mevcut REF teyit [Emsal ID: R05738;R05348;R06097;R05842]</t>
        </is>
      </c>
      <c r="M254" s="7" t="inlineStr">
        <is>
          <t>Ref yüksek; 2x7 m³/h hidrofor</t>
        </is>
      </c>
    </row>
    <row r="255" outlineLevel="1">
      <c r="A255" s="27" t="n"/>
      <c r="B255" s="27" t="inlineStr">
        <is>
          <t>5007.A</t>
        </is>
      </c>
      <c r="C255" s="7" t="inlineStr">
        <is>
          <t>D06 Su yumuşatma cihazı YC-01 30 m³/h (900 L reçine, tuz tankı 1000 L)</t>
        </is>
      </c>
      <c r="D255" s="27" t="inlineStr">
        <is>
          <t>adet</t>
        </is>
      </c>
      <c r="E255" s="50" t="n">
        <v>1</v>
      </c>
      <c r="F255" s="50" t="n">
        <v>1</v>
      </c>
      <c r="G255" s="27" t="inlineStr">
        <is>
          <t>-</t>
        </is>
      </c>
      <c r="H255" s="50">
        <f>F255</f>
        <v/>
      </c>
      <c r="I255" s="51" t="n">
        <v>15778</v>
      </c>
      <c r="J255" s="28">
        <f>H255*I255</f>
        <v/>
      </c>
      <c r="K255" s="52" t="inlineStr">
        <is>
          <t>GEÇMİŞ TEKLİF UYARLAMA</t>
        </is>
      </c>
      <c r="L255" s="7" t="inlineStr">
        <is>
          <t>REF-derin(1) – Buca Wenta tandem 10 m³/h 9.081 ×3^0,6 = 17.556; mevcut 14.000 ile ort. 15.778 (Samsun 2008 Culligan 33.481 eski/aykırı) [Emsal ID: R05349;R06056]</t>
        </is>
      </c>
      <c r="M255" s="7" t="inlineStr">
        <is>
          <t>Ref max seçilmiş; 30 m³/h dubleks yumuşatıcı | İlk tahmin BF 14,000.00</t>
        </is>
      </c>
    </row>
    <row r="256" outlineLevel="1">
      <c r="A256" s="27" t="n"/>
      <c r="B256" s="27" t="inlineStr">
        <is>
          <t>5007.A</t>
        </is>
      </c>
      <c r="C256" s="7" t="inlineStr">
        <is>
          <t>D06 Kum filtresi KF-01 24 m³/h, FRP tank, otomatik kontrol vanalı</t>
        </is>
      </c>
      <c r="D256" s="27" t="inlineStr">
        <is>
          <t>adet</t>
        </is>
      </c>
      <c r="E256" s="50" t="n">
        <v>1</v>
      </c>
      <c r="F256" s="50" t="n">
        <v>1</v>
      </c>
      <c r="G256" s="27" t="inlineStr">
        <is>
          <t>-</t>
        </is>
      </c>
      <c r="H256" s="50">
        <f>F256</f>
        <v/>
      </c>
      <c r="I256" s="51" t="n">
        <v>6000</v>
      </c>
      <c r="J256" s="28">
        <f>H256*I256</f>
        <v/>
      </c>
      <c r="K256" s="53" t="inlineStr">
        <is>
          <t>MÜHENDİSLİK TAHMİNİ</t>
        </is>
      </c>
      <c r="L256" s="7" t="inlineStr">
        <is>
          <t>TAHMIN (emsal yok) – 24 m³/h FRP kum filtresi için kapasite olarak karşılaştırılabilir emsal yok (R05740/R05846 küçük)</t>
        </is>
      </c>
      <c r="M256" s="7" t="inlineStr"/>
    </row>
    <row r="257" outlineLevel="1">
      <c r="A257" s="27" t="n"/>
      <c r="B257" s="27" t="inlineStr">
        <is>
          <t>5007.A</t>
        </is>
      </c>
      <c r="C257" s="7" t="inlineStr">
        <is>
          <t>D06 Modüler paslanmaz kullanım suyu deposu SDP-01 7,5 m³ (3,24x2,16x1,08)</t>
        </is>
      </c>
      <c r="D257" s="27" t="inlineStr">
        <is>
          <t>adet</t>
        </is>
      </c>
      <c r="E257" s="50" t="n">
        <v>1</v>
      </c>
      <c r="F257" s="50" t="n">
        <v>1</v>
      </c>
      <c r="G257" s="27" t="inlineStr">
        <is>
          <t>-</t>
        </is>
      </c>
      <c r="H257" s="50">
        <f>F257</f>
        <v/>
      </c>
      <c r="I257" s="51" t="n">
        <v>4050</v>
      </c>
      <c r="J257" s="28">
        <f>H257*I257</f>
        <v/>
      </c>
      <c r="K257" s="52" t="inlineStr">
        <is>
          <t>GEÇMİŞ TEKLİF UYARLAMA</t>
        </is>
      </c>
      <c r="L257" s="7" t="inlineStr">
        <is>
          <t>REF-derin – Paslanmaz modüler depo: Buca 8 m³ 3.034→7,5 m³ 2.844, Siirt 2025 12,5 m³ 7.920→5.263 → medyan 4.050; mevcut 6.040 yüksek [Emsal ID: R05346;R06095]</t>
        </is>
      </c>
      <c r="M257" s="7" t="inlineStr">
        <is>
          <t>İlk tahmin BF 6,040.41</t>
        </is>
      </c>
    </row>
    <row r="258" outlineLevel="1">
      <c r="A258" s="27" t="n"/>
      <c r="B258" s="27" t="inlineStr">
        <is>
          <t>5007.A</t>
        </is>
      </c>
      <c r="C258" s="7" t="inlineStr">
        <is>
          <t>D06 flatörlü dolum vanası 3", basınç düşürücü vana DN80, su sayacı seti 3", seviye göstergeleri</t>
        </is>
      </c>
      <c r="D258" s="27" t="inlineStr">
        <is>
          <t>takım</t>
        </is>
      </c>
      <c r="E258" s="50" t="n">
        <v>1</v>
      </c>
      <c r="F258" s="50" t="n">
        <v>1</v>
      </c>
      <c r="G258" s="27" t="inlineStr">
        <is>
          <t>-</t>
        </is>
      </c>
      <c r="H258" s="50">
        <f>F258</f>
        <v/>
      </c>
      <c r="I258" s="51" t="n">
        <v>1535.06</v>
      </c>
      <c r="J258" s="28">
        <f>H258*I258</f>
        <v/>
      </c>
      <c r="K258" s="52" t="inlineStr">
        <is>
          <t>GEÇMİŞ TEKLİF UYARLAMA</t>
        </is>
      </c>
      <c r="L258" s="7" t="inlineStr">
        <is>
          <t>REF-derin – flatörlü vana 2" R06004 418.81×1,3 (3") = 544.46 + bas. düşürücü DN80 R05870 514.54 + su sayacı 3" (2" R05737 ile 4" R06003 ort.) 376.06 + seviye göstergeleri 100 (tahmin) = 1535.06 € | mevcut REF 2500.00 (-38.6%) düzeltildi [Emsal ID: R06004;R05870;R05737;R06003]</t>
        </is>
      </c>
      <c r="M258" s="7" t="inlineStr">
        <is>
          <t>Ref düşük; 3" flatör+PRV+sayaç seti | İlk tahmin BF 2,500.00</t>
        </is>
      </c>
    </row>
    <row r="259" outlineLevel="1">
      <c r="A259" s="27" t="n"/>
      <c r="B259" s="27" t="inlineStr">
        <is>
          <t>5007.A</t>
        </is>
      </c>
      <c r="C259" s="7" t="inlineStr">
        <is>
          <t>D06 dahili temiz su boruları galvaniz/PPRC 3"-2" (sayaçtan depolara, hidrofor kollektörleri)</t>
        </is>
      </c>
      <c r="D259" s="27" t="inlineStr">
        <is>
          <t>m</t>
        </is>
      </c>
      <c r="E259" s="50" t="n">
        <v>112</v>
      </c>
      <c r="F259" s="50" t="n">
        <v>112</v>
      </c>
      <c r="G259" s="27" t="inlineStr">
        <is>
          <t>fire+%30</t>
        </is>
      </c>
      <c r="H259" s="50">
        <f>F259/IF(Varsayimlar!$B$21=1,1.43,1)</f>
        <v/>
      </c>
      <c r="I259" s="51" t="n">
        <v>34.09</v>
      </c>
      <c r="J259" s="28">
        <f>H259*I259</f>
        <v/>
      </c>
      <c r="K259" s="52" t="inlineStr">
        <is>
          <t>GEÇMİŞ TEKLİF UYARLAMA</t>
        </is>
      </c>
      <c r="L259" s="7" t="inlineStr">
        <is>
          <t>REF-derin – galv. 2½" (2"-3" aralığı ortası) medyan 30.99 ×1,1 kollektör/fitting yoğunluğu = 34.09 € [Emsal ID: R05342;R05459;R05553;R05850;R05985;R06105;R05752]</t>
        </is>
      </c>
      <c r="M259" s="7" t="inlineStr">
        <is>
          <t>İlk tahmin BF 40.00</t>
        </is>
      </c>
    </row>
    <row r="260" outlineLevel="1">
      <c r="A260" s="27" t="n"/>
      <c r="B260" s="27" t="inlineStr">
        <is>
          <t>5007.A</t>
        </is>
      </c>
      <c r="C260" s="7" t="inlineStr">
        <is>
          <t>Saha kullanım suyu dağıtım hatları HDPE (D06 -&gt; D01 2", D05 Ø50, D07 Ø32, D03 PE100 Ø50)</t>
        </is>
      </c>
      <c r="D260" s="27" t="inlineStr">
        <is>
          <t>m</t>
        </is>
      </c>
      <c r="E260" s="50" t="n">
        <v>502</v>
      </c>
      <c r="F260" s="50" t="n">
        <v>502</v>
      </c>
      <c r="G260" s="27" t="inlineStr">
        <is>
          <t>fire %10</t>
        </is>
      </c>
      <c r="H260" s="50">
        <f>F260/IF(Varsayimlar!$B$21=1,1.1,1)</f>
        <v/>
      </c>
      <c r="I260" s="51" t="n">
        <v>14.36</v>
      </c>
      <c r="J260" s="28">
        <f>H260*I260</f>
        <v/>
      </c>
      <c r="K260" s="52" t="inlineStr">
        <is>
          <t>GEÇMİŞ TEKLİF UYARLAMA</t>
        </is>
      </c>
      <c r="L260" s="7" t="inlineStr">
        <is>
          <t>REF-teyit – HDPE 2"/Ø50 M+İ: FER 2½" 15, Mertsan DN50 5, Kocaeli Ø110 14 → 14,36 üst bant, teyit [Emsal ID: R05780;R05877;R05521]</t>
        </is>
      </c>
      <c r="M260" s="7" t="inlineStr"/>
    </row>
    <row r="261" outlineLevel="1">
      <c r="A261" s="27" t="n"/>
      <c r="B261" s="27" t="inlineStr">
        <is>
          <t>5007.A</t>
        </is>
      </c>
      <c r="C261" s="7" t="inlineStr">
        <is>
          <t>D01 soğuk su borusu PPRC PN20 (izoleli) Ø20</t>
        </is>
      </c>
      <c r="D261" s="27" t="inlineStr">
        <is>
          <t>m</t>
        </is>
      </c>
      <c r="E261" s="50" t="n">
        <v>118</v>
      </c>
      <c r="F261" s="50" t="n">
        <v>118</v>
      </c>
      <c r="G261" s="27" t="inlineStr">
        <is>
          <t>fire+%30</t>
        </is>
      </c>
      <c r="H261" s="50">
        <f>F261/IF(Varsayimlar!$B$21=1,1.43,1)</f>
        <v/>
      </c>
      <c r="I261" s="51" t="n">
        <v>5.63</v>
      </c>
      <c r="J261" s="28">
        <f>H261*I261</f>
        <v/>
      </c>
      <c r="K261" s="52" t="inlineStr">
        <is>
          <t>GEÇMİŞ TEKLİF UYARLAMA</t>
        </is>
      </c>
      <c r="L261" s="7" t="inlineStr">
        <is>
          <t>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 mevcut REF 8.00 (-29.6%) düzeltildi [Emsal ID: R05359;R05460;R05554;R05767;R05865;R06006;R06107]</t>
        </is>
      </c>
      <c r="M261" s="7" t="inlineStr">
        <is>
          <t>Ref malzeme; izoleli montajlı | İlk tahmin BF 8.00</t>
        </is>
      </c>
    </row>
    <row r="262" outlineLevel="1">
      <c r="A262" s="27" t="n"/>
      <c r="B262" s="27" t="inlineStr">
        <is>
          <t>5007.A</t>
        </is>
      </c>
      <c r="C262" s="7" t="inlineStr">
        <is>
          <t>D01 soğuk su borusu PPRC PN20 (izoleli) Ø25</t>
        </is>
      </c>
      <c r="D262" s="27" t="inlineStr">
        <is>
          <t>m</t>
        </is>
      </c>
      <c r="E262" s="50" t="n">
        <v>101</v>
      </c>
      <c r="F262" s="50" t="n">
        <v>101</v>
      </c>
      <c r="G262" s="27" t="inlineStr">
        <is>
          <t>fire+%30</t>
        </is>
      </c>
      <c r="H262" s="50">
        <f>F262/IF(Varsayimlar!$B$21=1,1.43,1)</f>
        <v/>
      </c>
      <c r="I262" s="51" t="n">
        <v>6.8</v>
      </c>
      <c r="J262" s="28">
        <f>H262*I262</f>
        <v/>
      </c>
      <c r="K262" s="52" t="inlineStr">
        <is>
          <t>GEÇMİŞ TEKLİF UYARLAMA</t>
        </is>
      </c>
      <c r="L262" s="7" t="inlineStr">
        <is>
          <t>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 mevcut REF 9.00 (-24.5%) düzeltildi [Emsal ID: R05360;R05461;R05555;R05768;R05866;R06007;R06108]</t>
        </is>
      </c>
      <c r="M262" s="7" t="inlineStr">
        <is>
          <t>Ref malzeme; izoleli montajlı | İlk tahmin BF 9.00</t>
        </is>
      </c>
    </row>
    <row r="263" outlineLevel="1">
      <c r="A263" s="27" t="n"/>
      <c r="B263" s="27" t="inlineStr">
        <is>
          <t>5007.A</t>
        </is>
      </c>
      <c r="C263" s="7" t="inlineStr">
        <is>
          <t>D01 soğuk su borusu PPRC PN20 (izoleli) Ø32</t>
        </is>
      </c>
      <c r="D263" s="27" t="inlineStr">
        <is>
          <t>m</t>
        </is>
      </c>
      <c r="E263" s="50" t="n">
        <v>68</v>
      </c>
      <c r="F263" s="50" t="n">
        <v>68</v>
      </c>
      <c r="G263" s="27" t="inlineStr">
        <is>
          <t>fire+%30</t>
        </is>
      </c>
      <c r="H263" s="50">
        <f>F263/IF(Varsayimlar!$B$21=1,1.43,1)</f>
        <v/>
      </c>
      <c r="I263" s="51" t="n">
        <v>7.11</v>
      </c>
      <c r="J263" s="28">
        <f>H263*I263</f>
        <v/>
      </c>
      <c r="K263" s="52" t="inlineStr">
        <is>
          <t>GEÇMİŞ TEKLİF UYARLAMA</t>
        </is>
      </c>
      <c r="L263" s="7" t="inlineStr">
        <is>
          <t>REF-derin – R05462 Kocaeli KentMey.Tram/Uluhanlar 2015 7.65; R05556 Kocaeli KentMey.Tram/bilinmiyor 2015 4.91; R05769 Kocaeli KentMey.Tram/FER 2015 4.47; R05867 Kocaeli KentMey.Tram/Mertsan 2015 4.41; R06109 Siirt-Kurtalan DY/Yamaner 2025 14.95 | medyan 4.91 +2.20 (PPRC PN20 Ø32; +izolasyon (R05772 1,73 €/m, çapa göre ölçekli)) = 7.11 € | mevcut REF 10.00 (-28.9%) düzeltildi [Emsal ID: R05462;R05556;R05769;R05867;R06109]</t>
        </is>
      </c>
      <c r="M263" s="7" t="inlineStr">
        <is>
          <t>Ref malzeme; izoleli montajlı | İlk tahmin BF 10.00</t>
        </is>
      </c>
    </row>
    <row r="264" outlineLevel="1">
      <c r="A264" s="27" t="n"/>
      <c r="B264" s="27" t="inlineStr">
        <is>
          <t>5007.A</t>
        </is>
      </c>
      <c r="C264" s="7" t="inlineStr">
        <is>
          <t>D01 soğuk su borusu PPRC PN20 (izoleli) Ø40-50</t>
        </is>
      </c>
      <c r="D264" s="27" t="inlineStr">
        <is>
          <t>m</t>
        </is>
      </c>
      <c r="E264" s="50" t="n">
        <v>51</v>
      </c>
      <c r="F264" s="50" t="n">
        <v>51</v>
      </c>
      <c r="G264" s="27" t="inlineStr">
        <is>
          <t>fire+%30</t>
        </is>
      </c>
      <c r="H264" s="50">
        <f>F264/IF(Varsayimlar!$B$21=1,1.43,1)</f>
        <v/>
      </c>
      <c r="I264" s="51" t="n">
        <v>10.82</v>
      </c>
      <c r="J264" s="28">
        <f>H264*I264</f>
        <v/>
      </c>
      <c r="K264" s="52" t="inlineStr">
        <is>
          <t>GEÇMİŞ TEKLİF UYARLAMA</t>
        </is>
      </c>
      <c r="L264" s="7" t="inlineStr">
        <is>
          <t>REF-derin – R05463 Kocaeli KentMey.Tram/Uluhanlar 2015 10.49; R05557 Kocaeli KentMey.Tram/bilinmiyor 2015 6.43; R05770 Kocaeli KentMey.Tram/FER 2015 6.20; R05868 Kocaeli KentMey.Tram/Mertsan 2015 5.86; R05464 Kocaeli KentMey.Tram/Uluhanlar 2015 15.09; R05558 Kocaeli KentMey.Tram/bilinmiyor 2015 8.80; +2 emsal | medyan 8.02 +2.80 (PPRC PN20 Ø40-50; +izolasyon (R05772 1,73 €/m, çapa göre ölçekli)) = 10.82 € | mevcut REF 14.00 (-22.7%) düzeltildi [Emsal ID: R05463;R05557;R05770;R05868;R05464;R05558;R05771;R05869]</t>
        </is>
      </c>
      <c r="M264" s="7" t="inlineStr">
        <is>
          <t>Ref malzeme; izoleli montajlı | İlk tahmin BF 14.00</t>
        </is>
      </c>
    </row>
    <row r="265" outlineLevel="1">
      <c r="A265" s="27" t="n"/>
      <c r="B265" s="27" t="inlineStr">
        <is>
          <t>5007.A</t>
        </is>
      </c>
      <c r="C265" s="7" t="inlineStr">
        <is>
          <t>D01 sıcak su borusu PPRC PN20 (izoleli) Ø20</t>
        </is>
      </c>
      <c r="D265" s="27" t="inlineStr">
        <is>
          <t>m</t>
        </is>
      </c>
      <c r="E265" s="50" t="n">
        <v>119</v>
      </c>
      <c r="F265" s="50" t="n">
        <v>119</v>
      </c>
      <c r="G265" s="27" t="inlineStr">
        <is>
          <t>fire+%30</t>
        </is>
      </c>
      <c r="H265" s="50">
        <f>F265/IF(Varsayimlar!$B$21=1,1.43,1)</f>
        <v/>
      </c>
      <c r="I265" s="51" t="n">
        <v>5.63</v>
      </c>
      <c r="J265" s="28">
        <f>H265*I265</f>
        <v/>
      </c>
      <c r="K265" s="52" t="inlineStr">
        <is>
          <t>GEÇMİŞ TEKLİF UYARLAMA</t>
        </is>
      </c>
      <c r="L265" s="7" t="inlineStr">
        <is>
          <t>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 mevcut REF 8.00 (-29.6%) düzeltildi [Emsal ID: R05359;R05460;R05554;R05767;R05865;R06006;R06107]</t>
        </is>
      </c>
      <c r="M265" s="7" t="inlineStr">
        <is>
          <t>Ref malzeme; izoleli montajlı | İlk tahmin BF 8.00</t>
        </is>
      </c>
    </row>
    <row r="266" outlineLevel="1">
      <c r="A266" s="27" t="n"/>
      <c r="B266" s="27" t="inlineStr">
        <is>
          <t>5007.A</t>
        </is>
      </c>
      <c r="C266" s="7" t="inlineStr">
        <is>
          <t>D01 sıcak su borusu PPRC PN20 (izoleli) Ø25</t>
        </is>
      </c>
      <c r="D266" s="27" t="inlineStr">
        <is>
          <t>m</t>
        </is>
      </c>
      <c r="E266" s="50" t="n">
        <v>104</v>
      </c>
      <c r="F266" s="50" t="n">
        <v>104</v>
      </c>
      <c r="G266" s="27" t="inlineStr">
        <is>
          <t>fire+%30</t>
        </is>
      </c>
      <c r="H266" s="50">
        <f>F266/IF(Varsayimlar!$B$21=1,1.43,1)</f>
        <v/>
      </c>
      <c r="I266" s="51" t="n">
        <v>6.8</v>
      </c>
      <c r="J266" s="28">
        <f>H266*I266</f>
        <v/>
      </c>
      <c r="K266" s="52" t="inlineStr">
        <is>
          <t>GEÇMİŞ TEKLİF UYARLAMA</t>
        </is>
      </c>
      <c r="L266" s="7" t="inlineStr">
        <is>
          <t>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 mevcut REF 9.00 (-24.5%) düzeltildi [Emsal ID: R05360;R05461;R05555;R05768;R05866;R06007;R06108]</t>
        </is>
      </c>
      <c r="M266" s="7" t="inlineStr">
        <is>
          <t>Ref malzeme; izoleli montajlı | İlk tahmin BF 9.00</t>
        </is>
      </c>
    </row>
    <row r="267" outlineLevel="1">
      <c r="A267" s="27" t="n"/>
      <c r="B267" s="27" t="inlineStr">
        <is>
          <t>5007.A</t>
        </is>
      </c>
      <c r="C267" s="7" t="inlineStr">
        <is>
          <t>D01 sıcak su borusu PPRC PN20 (izoleli) Ø32</t>
        </is>
      </c>
      <c r="D267" s="27" t="inlineStr">
        <is>
          <t>m</t>
        </is>
      </c>
      <c r="E267" s="50" t="n">
        <v>74</v>
      </c>
      <c r="F267" s="50" t="n">
        <v>74</v>
      </c>
      <c r="G267" s="27" t="inlineStr">
        <is>
          <t>fire+%30</t>
        </is>
      </c>
      <c r="H267" s="50">
        <f>F267/IF(Varsayimlar!$B$21=1,1.43,1)</f>
        <v/>
      </c>
      <c r="I267" s="51" t="n">
        <v>7.11</v>
      </c>
      <c r="J267" s="28">
        <f>H267*I267</f>
        <v/>
      </c>
      <c r="K267" s="52" t="inlineStr">
        <is>
          <t>GEÇMİŞ TEKLİF UYARLAMA</t>
        </is>
      </c>
      <c r="L267" s="7" t="inlineStr">
        <is>
          <t>REF-derin – R05462 Kocaeli KentMey.Tram/Uluhanlar 2015 7.65; R05556 Kocaeli KentMey.Tram/bilinmiyor 2015 4.91; R05769 Kocaeli KentMey.Tram/FER 2015 4.47; R05867 Kocaeli KentMey.Tram/Mertsan 2015 4.41; R06109 Siirt-Kurtalan DY/Yamaner 2025 14.95 | medyan 4.91 +2.20 (PPRC PN20 Ø32; +izolasyon (R05772 1,73 €/m, çapa göre ölçekli)) = 7.11 € | mevcut REF 10.00 (-28.9%) düzeltildi [Emsal ID: R05462;R05556;R05769;R05867;R06109]</t>
        </is>
      </c>
      <c r="M267" s="7" t="inlineStr">
        <is>
          <t>Ref malzeme; izoleli montajlı | İlk tahmin BF 10.00</t>
        </is>
      </c>
    </row>
    <row r="268" outlineLevel="1">
      <c r="A268" s="27" t="n"/>
      <c r="B268" s="27" t="inlineStr">
        <is>
          <t>5007.A</t>
        </is>
      </c>
      <c r="C268" s="7" t="inlineStr">
        <is>
          <t>D01 sıcak su sirkülasyon borusu PPRC (izoleli) Ø20</t>
        </is>
      </c>
      <c r="D268" s="27" t="inlineStr">
        <is>
          <t>m</t>
        </is>
      </c>
      <c r="E268" s="50" t="n">
        <v>126</v>
      </c>
      <c r="F268" s="50" t="n">
        <v>126</v>
      </c>
      <c r="G268" s="27" t="inlineStr">
        <is>
          <t>fire+%30</t>
        </is>
      </c>
      <c r="H268" s="50">
        <f>F268/IF(Varsayimlar!$B$21=1,1.43,1)</f>
        <v/>
      </c>
      <c r="I268" s="51" t="n">
        <v>5.63</v>
      </c>
      <c r="J268" s="28">
        <f>H268*I268</f>
        <v/>
      </c>
      <c r="K268" s="52" t="inlineStr">
        <is>
          <t>GEÇMİŞ TEKLİF UYARLAMA</t>
        </is>
      </c>
      <c r="L268" s="7" t="inlineStr">
        <is>
          <t>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[Emsal ID: R05359;R05460;R05554;R05767;R05865;R06006;R06107]</t>
        </is>
      </c>
      <c r="M268" s="7" t="inlineStr">
        <is>
          <t>İlk tahmin BF 8.00</t>
        </is>
      </c>
    </row>
    <row r="269" outlineLevel="1">
      <c r="A269" s="27" t="n"/>
      <c r="B269" s="27" t="inlineStr">
        <is>
          <t>5007.A</t>
        </is>
      </c>
      <c r="C269" s="7" t="inlineStr">
        <is>
          <t>D01 sıcak su sirkülasyon borusu PPRC (izoleli) Ø25</t>
        </is>
      </c>
      <c r="D269" s="27" t="inlineStr">
        <is>
          <t>m</t>
        </is>
      </c>
      <c r="E269" s="50" t="n">
        <v>84</v>
      </c>
      <c r="F269" s="50" t="n">
        <v>84</v>
      </c>
      <c r="G269" s="27" t="inlineStr">
        <is>
          <t>fire+%30</t>
        </is>
      </c>
      <c r="H269" s="50">
        <f>F269/IF(Varsayimlar!$B$21=1,1.43,1)</f>
        <v/>
      </c>
      <c r="I269" s="51" t="n">
        <v>6.8</v>
      </c>
      <c r="J269" s="28">
        <f>H269*I269</f>
        <v/>
      </c>
      <c r="K269" s="52" t="inlineStr">
        <is>
          <t>GEÇMİŞ TEKLİF UYARLAMA</t>
        </is>
      </c>
      <c r="L269" s="7" t="inlineStr">
        <is>
          <t>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[Emsal ID: R05360;R05461;R05555;R05768;R05866;R06007;R06108]</t>
        </is>
      </c>
      <c r="M269" s="7" t="inlineStr">
        <is>
          <t>İlk tahmin BF 9.00</t>
        </is>
      </c>
    </row>
    <row r="270" outlineLevel="1">
      <c r="A270" s="27" t="n"/>
      <c r="B270" s="27" t="inlineStr">
        <is>
          <t>5007.A</t>
        </is>
      </c>
      <c r="C270" s="7" t="inlineStr">
        <is>
          <t>D01 kullanma sıcak su boyleri EB-1 500 L, 25 kW elektrikli rezistanslı, emniyet ventili, yalıtımlı</t>
        </is>
      </c>
      <c r="D270" s="27" t="inlineStr">
        <is>
          <t>adet</t>
        </is>
      </c>
      <c r="E270" s="50" t="n">
        <v>1</v>
      </c>
      <c r="F270" s="50" t="n">
        <v>1</v>
      </c>
      <c r="G270" s="27" t="inlineStr">
        <is>
          <t>-</t>
        </is>
      </c>
      <c r="H270" s="50">
        <f>F270</f>
        <v/>
      </c>
      <c r="I270" s="51" t="n">
        <v>1476.86</v>
      </c>
      <c r="J270" s="28">
        <f>H270*I270</f>
        <v/>
      </c>
      <c r="K270" s="52" t="inlineStr">
        <is>
          <t>GEÇMİŞ TEKLİF UYARLAMA</t>
        </is>
      </c>
      <c r="L270" s="7" t="inlineStr">
        <is>
          <t>REF-teyit – R05745 Kocaeli KentMey.Tram/FER 2015 1476.86; R05845 Kocaeli KentMey.Tram/Mertsan 2015 1171.02 | medyan 1323.94 +150.00 (500 L boyler; +150 € 25 kW elektrikli rezistans seti (tahmin)) = 1473.94 € | sapma -0.2% ≤%10 → mevcut REF teyit [Emsal ID: R05745;R05845]</t>
        </is>
      </c>
      <c r="M270" s="7" t="inlineStr"/>
    </row>
    <row r="271" outlineLevel="1">
      <c r="A271" s="27" t="n"/>
      <c r="B271" s="27" t="inlineStr">
        <is>
          <t>5007.A</t>
        </is>
      </c>
      <c r="C271" s="7" t="inlineStr">
        <is>
          <t>D01 boyler sirkülasyon pompası CP-1 ıslak rotorlu 0,6 m³/h 7 mSS (1 asıl+1 yedek)</t>
        </is>
      </c>
      <c r="D271" s="27" t="inlineStr">
        <is>
          <t>adet</t>
        </is>
      </c>
      <c r="E271" s="50" t="n">
        <v>2</v>
      </c>
      <c r="F271" s="50" t="n">
        <v>2</v>
      </c>
      <c r="G271" s="27" t="inlineStr">
        <is>
          <t>-</t>
        </is>
      </c>
      <c r="H271" s="50">
        <f>F271</f>
        <v/>
      </c>
      <c r="I271" s="51" t="n">
        <v>458.92</v>
      </c>
      <c r="J271" s="28">
        <f>H271*I271</f>
        <v/>
      </c>
      <c r="K271" s="52" t="inlineStr">
        <is>
          <t>GEÇMİŞ TEKLİF UYARLAMA</t>
        </is>
      </c>
      <c r="L271" s="7" t="inlineStr">
        <is>
          <t>REF-derin – R05724 Kocaeli KentMey.Tram/FER 2015 351.48; R05566 Kocaeli KentMey.Tram/bilinmiyor 2015 255.37; R06116 Siirt-Kurtalan DY/Yamaner 2025 1275.97; R05723 Kocaeli KentMey.Tram/FER 2015 566.35 | medyan 458.92 (küçük sirkülasyon pompası) = 458.92 € | mevcut REF 566.35 (-19.0%) düzeltildi [Emsal ID: R05724;R05566;R06116;R05723]</t>
        </is>
      </c>
      <c r="M271" s="7" t="inlineStr">
        <is>
          <t>İlk tahmin BF 566.35</t>
        </is>
      </c>
    </row>
    <row r="272" outlineLevel="1">
      <c r="A272" s="27" t="n"/>
      <c r="B272" s="27" t="inlineStr">
        <is>
          <t>5007.A</t>
        </is>
      </c>
      <c r="C272" s="7" t="inlineStr">
        <is>
          <t>D01 güneş enerjili sıcak su sistemi GK-1 (5 düz panel 12,59 m², pompa grubu 1+1, genleşme deposu, kontrol ünitesi)</t>
        </is>
      </c>
      <c r="D272" s="27" t="inlineStr">
        <is>
          <t>set</t>
        </is>
      </c>
      <c r="E272" s="50" t="n">
        <v>1</v>
      </c>
      <c r="F272" s="50" t="n">
        <v>1</v>
      </c>
      <c r="G272" s="27" t="inlineStr">
        <is>
          <t>-</t>
        </is>
      </c>
      <c r="H272" s="50">
        <f>F272</f>
        <v/>
      </c>
      <c r="I272" s="51" t="n">
        <v>6500</v>
      </c>
      <c r="J272" s="28">
        <f>H272*I272</f>
        <v/>
      </c>
      <c r="K272" s="53" t="inlineStr">
        <is>
          <t>MÜHENDİSLİK TAHMİNİ</t>
        </is>
      </c>
      <c r="L272" s="7" t="inlineStr">
        <is>
          <t>TAHMIN (emsal yok) – Uygun emsal yok; mevcut tahmin korundu</t>
        </is>
      </c>
      <c r="M272" s="7" t="inlineStr"/>
    </row>
    <row r="273" outlineLevel="1">
      <c r="A273" s="27" t="n"/>
      <c r="B273" s="27" t="inlineStr">
        <is>
          <t>5007.A</t>
        </is>
      </c>
      <c r="C273" s="7" t="inlineStr">
        <is>
          <t>D01 vitrifiye: klozet (asma/yer tipi, rezervuarlı) + taharet musluğu</t>
        </is>
      </c>
      <c r="D273" s="27" t="inlineStr">
        <is>
          <t>adet</t>
        </is>
      </c>
      <c r="E273" s="50" t="n">
        <v>9</v>
      </c>
      <c r="F273" s="50" t="n">
        <v>9</v>
      </c>
      <c r="G273" s="27" t="inlineStr">
        <is>
          <t>-</t>
        </is>
      </c>
      <c r="H273" s="50">
        <f>F273</f>
        <v/>
      </c>
      <c r="I273" s="51" t="n">
        <v>178.44</v>
      </c>
      <c r="J273" s="28">
        <f>H273*I273</f>
        <v/>
      </c>
      <c r="K273" s="52" t="inlineStr">
        <is>
          <t>GEÇMİŞ TEKLİF UYARLAMA</t>
        </is>
      </c>
      <c r="L273" s="7" t="inlineStr">
        <is>
          <t>REF-derin – R05354 İzmir Buca Metro/Alp 2021 192.82; R05729 Kocaeli KentMey.Tram/FER 2015 134.05 | klozet medyan 163.44 + taharet musluğu 15 (tahmin) = 178.44 € | mevcut REF 300.00 (-40.5%) düzeltildi [Emsal ID: R05354;R05729]</t>
        </is>
      </c>
      <c r="M273" s="7" t="inlineStr">
        <is>
          <t>Ref düşük; rezervuar+taharet montajlı | İlk tahmin BF 300.00</t>
        </is>
      </c>
    </row>
    <row r="274" outlineLevel="1">
      <c r="A274" s="27" t="n"/>
      <c r="B274" s="27" t="inlineStr">
        <is>
          <t>5007.A</t>
        </is>
      </c>
      <c r="C274" s="7" t="inlineStr">
        <is>
          <t>D01 vitrifiye: lavabo + batarya + sifon</t>
        </is>
      </c>
      <c r="D274" s="27" t="inlineStr">
        <is>
          <t>adet</t>
        </is>
      </c>
      <c r="E274" s="50" t="n">
        <v>11</v>
      </c>
      <c r="F274" s="50" t="n">
        <v>11</v>
      </c>
      <c r="G274" s="27" t="inlineStr">
        <is>
          <t>-</t>
        </is>
      </c>
      <c r="H274" s="50">
        <f>F274</f>
        <v/>
      </c>
      <c r="I274" s="51" t="n">
        <v>200</v>
      </c>
      <c r="J274" s="28">
        <f>H274*I274</f>
        <v/>
      </c>
      <c r="K274" s="52" t="inlineStr">
        <is>
          <t>GEÇMİŞ TEKLİF UYARLAMA</t>
        </is>
      </c>
      <c r="L274" s="7" t="inlineStr">
        <is>
          <t>REF-teyit – lavabo+sifon medyan 112.10 (R05728,R05831+R05832,R06082,R05416) + batarya R06091 Siirt-Kurtalan 2025 103.06 = 215.16 € | sapma +7.6% ≤%10 → mevcut REF teyit [Emsal ID: R05728;R05831;R05832;R06082;R05416;R06091]</t>
        </is>
      </c>
      <c r="M274" s="7" t="inlineStr">
        <is>
          <t>Ref düşük; batarya+sifon montajlı</t>
        </is>
      </c>
    </row>
    <row r="275" outlineLevel="1">
      <c r="A275" s="27" t="n"/>
      <c r="B275" s="27" t="inlineStr">
        <is>
          <t>5007.A</t>
        </is>
      </c>
      <c r="C275" s="7" t="inlineStr">
        <is>
          <t>D01 vitrifiye: pisuvar + fotoselli/basmalı musluk</t>
        </is>
      </c>
      <c r="D275" s="27" t="inlineStr">
        <is>
          <t>adet</t>
        </is>
      </c>
      <c r="E275" s="50" t="n">
        <v>5</v>
      </c>
      <c r="F275" s="50" t="n">
        <v>5</v>
      </c>
      <c r="G275" s="27" t="inlineStr">
        <is>
          <t>-</t>
        </is>
      </c>
      <c r="H275" s="50">
        <f>F275</f>
        <v/>
      </c>
      <c r="I275" s="51" t="n">
        <v>280</v>
      </c>
      <c r="J275" s="28">
        <f>H275*I275</f>
        <v/>
      </c>
      <c r="K275" s="52" t="inlineStr">
        <is>
          <t>GEÇMİŞ TEKLİF UYARLAMA</t>
        </is>
      </c>
      <c r="L275" s="7" t="inlineStr">
        <is>
          <t>REF-teyit – R05358 İzmir Buca Metro/Alp 2021 168.75→268.75+100.00 (pisuvar+tesisat; +100 € fotoselli/basmalı musluk tahmini) | tek emsal 268.75, sapma -4.0% → teyit [Emsal ID: R05358]</t>
        </is>
      </c>
      <c r="M275" s="7" t="inlineStr">
        <is>
          <t>Ref düşük; fotoselli musluk dahil</t>
        </is>
      </c>
    </row>
    <row r="276" outlineLevel="1">
      <c r="A276" s="27" t="n"/>
      <c r="B276" s="27" t="inlineStr">
        <is>
          <t>5007.A</t>
        </is>
      </c>
      <c r="C276" s="7" t="inlineStr">
        <is>
          <t>D01 duş teknesi/duş seti (bay/bayan soyunma-duş)</t>
        </is>
      </c>
      <c r="D276" s="27" t="inlineStr">
        <is>
          <t>adet</t>
        </is>
      </c>
      <c r="E276" s="50" t="n">
        <v>6</v>
      </c>
      <c r="F276" s="50" t="n">
        <v>6</v>
      </c>
      <c r="G276" s="27" t="inlineStr">
        <is>
          <t>-</t>
        </is>
      </c>
      <c r="H276" s="50">
        <f>F276</f>
        <v/>
      </c>
      <c r="I276" s="51" t="n">
        <v>250</v>
      </c>
      <c r="J276" s="28">
        <f>H276*I276</f>
        <v/>
      </c>
      <c r="K276" s="52" t="inlineStr">
        <is>
          <t>GEÇMİŞ TEKLİF UYARLAMA</t>
        </is>
      </c>
      <c r="L276" s="7" t="inlineStr">
        <is>
          <t>REF-teyit – duş teknesi medyan 128.10 + duş tesisatı/batarya medyan 108.95 = 237.05 € | sapma -5.2% ≤%10 → mevcut REF teyit [Emsal ID: R05423;R05731;R05836;R06088;R05422;R05837;R06089]</t>
        </is>
      </c>
      <c r="M276" s="7" t="inlineStr">
        <is>
          <t>Ref düşük; tekne+duş seti montajlı</t>
        </is>
      </c>
    </row>
    <row r="277" outlineLevel="1">
      <c r="A277" s="27" t="n"/>
      <c r="B277" s="27" t="inlineStr">
        <is>
          <t>5007.A</t>
        </is>
      </c>
      <c r="C277" s="7" t="inlineStr">
        <is>
          <t>D01 eviye (çay ocağı, mutfak, temizlik) + batarya</t>
        </is>
      </c>
      <c r="D277" s="27" t="inlineStr">
        <is>
          <t>adet</t>
        </is>
      </c>
      <c r="E277" s="50" t="n">
        <v>3</v>
      </c>
      <c r="F277" s="50" t="n">
        <v>3</v>
      </c>
      <c r="G277" s="27" t="inlineStr">
        <is>
          <t>-</t>
        </is>
      </c>
      <c r="H277" s="50">
        <f>F277</f>
        <v/>
      </c>
      <c r="I277" s="51" t="n">
        <v>119.76</v>
      </c>
      <c r="J277" s="28">
        <f>H277*I277</f>
        <v/>
      </c>
      <c r="K277" s="52" t="inlineStr">
        <is>
          <t>GEÇMİŞ TEKLİF UYARLAMA</t>
        </is>
      </c>
      <c r="L277" s="7" t="inlineStr">
        <is>
          <t>REF-derin – eviye+batarya setleri: R05355 114.76; R05834+R05835 119.76; R06086+R06087 456.44 | medyan = 119.76 € | mevcut REF 205.27 (-41.7%) düzeltildi [Emsal ID: R05355;R05834;R05835;R06086;R06087]</t>
        </is>
      </c>
      <c r="M277" s="7" t="inlineStr">
        <is>
          <t>İlk tahmin BF 205.27</t>
        </is>
      </c>
    </row>
    <row r="278" outlineLevel="1">
      <c r="A278" s="27" t="n"/>
      <c r="B278" s="27" t="inlineStr">
        <is>
          <t>5007.A</t>
        </is>
      </c>
      <c r="C278" s="7" t="inlineStr">
        <is>
          <t>D01 abdest musluğu seti (bay/bayan abdesthane)</t>
        </is>
      </c>
      <c r="D278" s="27" t="inlineStr">
        <is>
          <t>adet</t>
        </is>
      </c>
      <c r="E278" s="50" t="n">
        <v>4</v>
      </c>
      <c r="F278" s="50" t="n">
        <v>4</v>
      </c>
      <c r="G278" s="27" t="inlineStr">
        <is>
          <t>-</t>
        </is>
      </c>
      <c r="H278" s="50">
        <f>F278</f>
        <v/>
      </c>
      <c r="I278" s="51" t="n">
        <v>106.43</v>
      </c>
      <c r="J278" s="28">
        <f>H278*I278</f>
        <v/>
      </c>
      <c r="K278" s="52" t="inlineStr">
        <is>
          <t>GEÇMİŞ TEKLİF UYARLAMA</t>
        </is>
      </c>
      <c r="L278" s="7" t="inlineStr">
        <is>
          <t>REF-teyit – R06091 Siirt-Kurtalan DY/Yamaner 2025 103.06 (batarya emsali (abdest seti için)) | tek emsal 103.06, sapma -3.2% → teyit [Emsal ID: R06091]</t>
        </is>
      </c>
      <c r="M278" s="7" t="inlineStr"/>
    </row>
    <row r="279" outlineLevel="1">
      <c r="A279" s="27" t="n"/>
      <c r="B279" s="27" t="inlineStr">
        <is>
          <t>5007.A</t>
        </is>
      </c>
      <c r="C279" s="7" t="inlineStr">
        <is>
          <t>D01 engelli WC seti (klozet+lavabo+tutunma barları)</t>
        </is>
      </c>
      <c r="D279" s="27" t="inlineStr">
        <is>
          <t>adet</t>
        </is>
      </c>
      <c r="E279" s="50" t="n">
        <v>1</v>
      </c>
      <c r="F279" s="50" t="n">
        <v>1</v>
      </c>
      <c r="G279" s="27" t="inlineStr">
        <is>
          <t>-</t>
        </is>
      </c>
      <c r="H279" s="50">
        <f>F279</f>
        <v/>
      </c>
      <c r="I279" s="51" t="n">
        <v>735.48</v>
      </c>
      <c r="J279" s="28">
        <f>H279*I279</f>
        <v/>
      </c>
      <c r="K279" s="52" t="inlineStr">
        <is>
          <t>GEÇMİŞ TEKLİF UYARLAMA</t>
        </is>
      </c>
      <c r="L279" s="7" t="inlineStr">
        <is>
          <t>REF-derin – engelli klozet medyan 373.95 + lavabo+batarya 215.16 + 2×tutunma barı medyan 73.19 = 735.48 € | mevcut REF 900.00 (-18.3%) düzeltildi [Emsal ID: R05357;R06083;R05733;R05838;R06092;R06091]</t>
        </is>
      </c>
      <c r="M279" s="7" t="inlineStr">
        <is>
          <t>Ref düşük; klozet+lavabo+barlar | İlk tahmin BF 900.00</t>
        </is>
      </c>
    </row>
    <row r="280" outlineLevel="1">
      <c r="A280" s="27" t="n"/>
      <c r="B280" s="27" t="inlineStr">
        <is>
          <t>5007.A</t>
        </is>
      </c>
      <c r="C280" s="7" t="inlineStr">
        <is>
          <t>D01 acil duş + göz duşu (akü odası/atölye)</t>
        </is>
      </c>
      <c r="D280" s="27" t="inlineStr">
        <is>
          <t>adet</t>
        </is>
      </c>
      <c r="E280" s="50" t="n">
        <v>2</v>
      </c>
      <c r="F280" s="50" t="n">
        <v>2</v>
      </c>
      <c r="G280" s="27" t="inlineStr">
        <is>
          <t>-</t>
        </is>
      </c>
      <c r="H280" s="50">
        <f>F280</f>
        <v/>
      </c>
      <c r="I280" s="51" t="n">
        <v>1521.76</v>
      </c>
      <c r="J280" s="28">
        <f>H280*I280</f>
        <v/>
      </c>
      <c r="K280" s="52" t="inlineStr">
        <is>
          <t>GEÇMİŞ TEKLİF UYARLAMA</t>
        </is>
      </c>
      <c r="L280" s="7" t="inlineStr">
        <is>
          <t>REF-teyit – R05352 İzmir Buca Metro/Alp 2021 479.17; R06002 Kirazlı-Halkalı Metro/Panel 2024 2564.35 | medyan 1521.76 (acil göz yıkama/duş üniteleri) = 1521.76 € | sapma -0.0% ≤%10 → mevcut REF teyit [Emsal ID: R05352;R06002]</t>
        </is>
      </c>
      <c r="M280" s="7" t="inlineStr"/>
    </row>
    <row r="281" outlineLevel="1">
      <c r="A281" s="27" t="n"/>
      <c r="B281" s="27" t="inlineStr">
        <is>
          <t>5007.A</t>
        </is>
      </c>
      <c r="C281" s="7" t="inlineStr">
        <is>
          <t>D01 kollektör, kesme/çek valfler, su sayacı, pislik tutucu, basınç düşürücü (ısı merkezi)</t>
        </is>
      </c>
      <c r="D281" s="27" t="inlineStr">
        <is>
          <t>takım</t>
        </is>
      </c>
      <c r="E281" s="50" t="n">
        <v>1</v>
      </c>
      <c r="F281" s="50" t="n">
        <v>1</v>
      </c>
      <c r="G281" s="27" t="inlineStr">
        <is>
          <t>-</t>
        </is>
      </c>
      <c r="H281" s="50">
        <f>F281</f>
        <v/>
      </c>
      <c r="I281" s="51" t="n">
        <v>3000</v>
      </c>
      <c r="J281" s="28">
        <f>H281*I281</f>
        <v/>
      </c>
      <c r="K281" s="53" t="inlineStr">
        <is>
          <t>MÜHENDİSLİK TAHMİNİ</t>
        </is>
      </c>
      <c r="L281" s="7" t="inlineStr">
        <is>
          <t>TAHMIN (emsal yok) – emsal bulunamadı; mevcut tahmin korundu</t>
        </is>
      </c>
      <c r="M281" s="7" t="inlineStr"/>
    </row>
    <row r="282" outlineLevel="1">
      <c r="A282" s="27" t="n"/>
      <c r="B282" s="27" t="inlineStr">
        <is>
          <t>5007.A</t>
        </is>
      </c>
      <c r="C282" s="7" t="inlineStr">
        <is>
          <t>D05 soğuk su borusu PPRC Ø20-Ø25 (3/4"-1")</t>
        </is>
      </c>
      <c r="D282" s="27" t="inlineStr">
        <is>
          <t>m</t>
        </is>
      </c>
      <c r="E282" s="50" t="n">
        <v>62</v>
      </c>
      <c r="F282" s="50" t="n">
        <v>62</v>
      </c>
      <c r="G282" s="27" t="inlineStr">
        <is>
          <t>fire+%30</t>
        </is>
      </c>
      <c r="H282" s="50">
        <f>F282/IF(Varsayimlar!$B$21=1,1.43,1)</f>
        <v/>
      </c>
      <c r="I282" s="51" t="n">
        <v>4.11</v>
      </c>
      <c r="J282" s="28">
        <f>H282*I282</f>
        <v/>
      </c>
      <c r="K282" s="52" t="inlineStr">
        <is>
          <t>GEÇMİŞ TEKLİF UYARLAMA</t>
        </is>
      </c>
      <c r="L282" s="7" t="inlineStr">
        <is>
          <t>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(izolasyonsuz)) = 4.11 € [Emsal ID: R05359;R05460;R05554;R05767;R05865;R06006;R06107;R05360;R05461;R05555;R05768;R05866;R06007;R06108]</t>
        </is>
      </c>
      <c r="M282" s="7" t="inlineStr">
        <is>
          <t>İlk tahmin BF 8.50</t>
        </is>
      </c>
    </row>
    <row r="283" outlineLevel="1">
      <c r="A283" s="27" t="n"/>
      <c r="B283" s="27" t="inlineStr">
        <is>
          <t>5007.A</t>
        </is>
      </c>
      <c r="C283" s="7" t="inlineStr">
        <is>
          <t>D05 vitrifiye: klozet 3, lavabo 2, eviye 2 (temizlik + dinlenme) + bataryalar</t>
        </is>
      </c>
      <c r="D283" s="27" t="inlineStr">
        <is>
          <t>adet</t>
        </is>
      </c>
      <c r="E283" s="50" t="n">
        <v>7</v>
      </c>
      <c r="F283" s="50" t="n">
        <v>7</v>
      </c>
      <c r="G283" s="27" t="inlineStr">
        <is>
          <t>-</t>
        </is>
      </c>
      <c r="H283" s="50">
        <f>F283</f>
        <v/>
      </c>
      <c r="I283" s="51" t="n">
        <v>172.16</v>
      </c>
      <c r="J283" s="28">
        <f>H283*I283</f>
        <v/>
      </c>
      <c r="K283" s="52" t="inlineStr">
        <is>
          <t>GEÇMİŞ TEKLİF UYARLAMA</t>
        </is>
      </c>
      <c r="L283" s="7" t="inlineStr">
        <is>
          <t>REF-derin – ağırlıklı: 3×klozet 178.44 + 2×lavabo+batarya 215.16 + 2×eviye 119.76 / 7 = 172.16 € [Emsal ID: R05354;R05729;R05728;R05831;R06082;R05416;R06091;R05355;R05834;R06086]</t>
        </is>
      </c>
      <c r="M283" s="7" t="inlineStr">
        <is>
          <t>3 klozet+2 lavabo+2 eviye ortalaması | İlk tahmin BF 245.00</t>
        </is>
      </c>
    </row>
    <row r="284" outlineLevel="1">
      <c r="A284" s="27" t="n"/>
      <c r="B284" s="27" t="inlineStr">
        <is>
          <t>5007.A</t>
        </is>
      </c>
      <c r="C284" s="7" t="inlineStr">
        <is>
          <t>D05 sıcak su hazırlama (elektrikli termosifon ~50 L)</t>
        </is>
      </c>
      <c r="D284" s="27" t="inlineStr">
        <is>
          <t>adet</t>
        </is>
      </c>
      <c r="E284" s="50" t="n">
        <v>1</v>
      </c>
      <c r="F284" s="50" t="n">
        <v>1</v>
      </c>
      <c r="G284" s="27" t="inlineStr">
        <is>
          <t>-</t>
        </is>
      </c>
      <c r="H284" s="50">
        <f>F284</f>
        <v/>
      </c>
      <c r="I284" s="51" t="n">
        <v>285.22</v>
      </c>
      <c r="J284" s="28">
        <f>H284*I284</f>
        <v/>
      </c>
      <c r="K284" s="52" t="inlineStr">
        <is>
          <t>GEÇMİŞ TEKLİF UYARLAMA</t>
        </is>
      </c>
      <c r="L284" s="7" t="inlineStr">
        <is>
          <t>REF-teyit – R05350 İzmir Buca Metro/Alp 2021 189.86; R06001 Kirazlı-Halkalı Metro/Panel 2024 331.93; R05696 Kartal Metro/3B 2013 285.22 | medyan 285.22 (elektrikli termosifon 50-80 L) = 285.22 € | sapma -0.0% ≤%10 → mevcut REF teyit [Emsal ID: R05350;R06001;R05696]</t>
        </is>
      </c>
      <c r="M284" s="7" t="inlineStr"/>
    </row>
    <row r="285" outlineLevel="1">
      <c r="A285" s="27" t="n"/>
      <c r="B285" s="27" t="inlineStr">
        <is>
          <t>5007.A</t>
        </is>
      </c>
      <c r="C285" s="7" t="inlineStr">
        <is>
          <t>D07 soğuk su borusu PPRC Ø20-Ø25 + Ø32 HDPE giriş</t>
        </is>
      </c>
      <c r="D285" s="27" t="inlineStr">
        <is>
          <t>m</t>
        </is>
      </c>
      <c r="E285" s="50" t="n">
        <v>58</v>
      </c>
      <c r="F285" s="50" t="n">
        <v>58</v>
      </c>
      <c r="G285" s="27" t="inlineStr">
        <is>
          <t>fire+%30</t>
        </is>
      </c>
      <c r="H285" s="50">
        <f>F285/IF(Varsayimlar!$B$21=1,1.43,1)</f>
        <v/>
      </c>
      <c r="I285" s="51" t="n">
        <v>4.11</v>
      </c>
      <c r="J285" s="28">
        <f>H285*I285</f>
        <v/>
      </c>
      <c r="K285" s="52" t="inlineStr">
        <is>
          <t>GEÇMİŞ TEKLİF UYARLAMA</t>
        </is>
      </c>
      <c r="L285" s="7" t="inlineStr">
        <is>
          <t>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(HDPE giriş payı ihmal)) = 4.11 € [Emsal ID: R05359;R05460;R05554;R05767;R05865;R06006;R06107;R05360;R05461;R05555;R05768;R05866;R06007;R06108]</t>
        </is>
      </c>
      <c r="M285" s="7" t="inlineStr">
        <is>
          <t>İlk tahmin BF 8.50</t>
        </is>
      </c>
    </row>
    <row r="286" outlineLevel="1">
      <c r="A286" s="27" t="n"/>
      <c r="B286" s="27" t="inlineStr">
        <is>
          <t>5007.A</t>
        </is>
      </c>
      <c r="C286" s="7" t="inlineStr">
        <is>
          <t>D07 sıcak su borusu PPRC Ø20-Ø25</t>
        </is>
      </c>
      <c r="D286" s="27" t="inlineStr">
        <is>
          <t>m</t>
        </is>
      </c>
      <c r="E286" s="50" t="n">
        <v>41</v>
      </c>
      <c r="F286" s="50" t="n">
        <v>41</v>
      </c>
      <c r="G286" s="27" t="inlineStr">
        <is>
          <t>fire+%30</t>
        </is>
      </c>
      <c r="H286" s="50">
        <f>F286/IF(Varsayimlar!$B$21=1,1.43,1)</f>
        <v/>
      </c>
      <c r="I286" s="51" t="n">
        <v>5.83</v>
      </c>
      <c r="J286" s="28">
        <f>H286*I286</f>
        <v/>
      </c>
      <c r="K286" s="52" t="inlineStr">
        <is>
          <t>GEÇMİŞ TEKLİF UYARLAMA</t>
        </is>
      </c>
      <c r="L286" s="7" t="inlineStr">
        <is>
          <t>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+1.73 (PPRC Ø20-25 + izolasyon R05772) = 5.83 € | mevcut REF 8.50 (-31.4%) düzeltildi [Emsal ID: R05359;R05460;R05554;R05767;R05865;R06006;R06107;R05360;R05461;R05555;R05768;R05866;R06007;R06108]</t>
        </is>
      </c>
      <c r="M286" s="7" t="inlineStr">
        <is>
          <t>Ref malzeme; montajlı | İlk tahmin BF 8.50</t>
        </is>
      </c>
    </row>
    <row r="287" outlineLevel="1">
      <c r="A287" s="27" t="n"/>
      <c r="B287" s="27" t="inlineStr">
        <is>
          <t>5007.A</t>
        </is>
      </c>
      <c r="C287" s="7" t="inlineStr">
        <is>
          <t>D07 elektrikli ani su ısıtıcı ESI-1 7 kW tezgah altı</t>
        </is>
      </c>
      <c r="D287" s="27" t="inlineStr">
        <is>
          <t>adet</t>
        </is>
      </c>
      <c r="E287" s="50" t="n">
        <v>1</v>
      </c>
      <c r="F287" s="50" t="n">
        <v>1</v>
      </c>
      <c r="G287" s="27" t="inlineStr">
        <is>
          <t>-</t>
        </is>
      </c>
      <c r="H287" s="50">
        <f>F287</f>
        <v/>
      </c>
      <c r="I287" s="51" t="n">
        <v>136.28</v>
      </c>
      <c r="J287" s="28">
        <f>H287*I287</f>
        <v/>
      </c>
      <c r="K287" s="52" t="inlineStr">
        <is>
          <t>GEÇMİŞ TEKLİF UYARLAMA</t>
        </is>
      </c>
      <c r="L287" s="7" t="inlineStr">
        <is>
          <t>REF-derin – R05351 İzmir Buca Metro/Alp 2021 153.74; R06000 Kirazlı-Halkalı Metro/Panel 2024 118.81 | medyan 136.28 (elektrikli ani su ısıtıcı 3,5-8 kW) = 136.28 € | mevcut REF 280.00 (-51.3%) düzeltildi [Emsal ID: R05351;R06000]</t>
        </is>
      </c>
      <c r="M287" s="7" t="inlineStr">
        <is>
          <t>Ref max seçilmiş; 7 kW ani ısıtıcı | İlk tahmin BF 280.00</t>
        </is>
      </c>
    </row>
    <row r="288" outlineLevel="1">
      <c r="A288" s="27" t="n"/>
      <c r="B288" s="27" t="inlineStr">
        <is>
          <t>5007.A</t>
        </is>
      </c>
      <c r="C288" s="7" t="inlineStr">
        <is>
          <t>D07 vitrifiye: klozet 1, lavabo 1, eviye 1 + bataryalar</t>
        </is>
      </c>
      <c r="D288" s="27" t="inlineStr">
        <is>
          <t>adet</t>
        </is>
      </c>
      <c r="E288" s="50" t="n">
        <v>3</v>
      </c>
      <c r="F288" s="50" t="n">
        <v>3</v>
      </c>
      <c r="G288" s="27" t="inlineStr">
        <is>
          <t>-</t>
        </is>
      </c>
      <c r="H288" s="50">
        <f>F288</f>
        <v/>
      </c>
      <c r="I288" s="51" t="n">
        <v>171.12</v>
      </c>
      <c r="J288" s="28">
        <f>H288*I288</f>
        <v/>
      </c>
      <c r="K288" s="52" t="inlineStr">
        <is>
          <t>GEÇMİŞ TEKLİF UYARLAMA</t>
        </is>
      </c>
      <c r="L288" s="7" t="inlineStr">
        <is>
          <t>REF-derin – ortalama: klozet 178.44, lavabo+batarya 215.16, eviye 119.76 = 171.12 € [Emsal ID: R05354;R05729;R05728;R05831;R06082;R05416;R06091;R05355;R05834;R06086]</t>
        </is>
      </c>
      <c r="M288" s="7" t="inlineStr">
        <is>
          <t>Klozet+lavabo+eviye ortalaması | İlk tahmin BF 235.00</t>
        </is>
      </c>
    </row>
    <row r="289">
      <c r="A289" s="48" t="inlineStr">
        <is>
          <t>361</t>
        </is>
      </c>
      <c r="B289" s="48" t="inlineStr">
        <is>
          <t>5008.A</t>
        </is>
      </c>
      <c r="C289" s="48" t="inlineStr">
        <is>
          <t>Depo-Kontrol Binaları Kanalizasyon Sistemi (1 set)</t>
        </is>
      </c>
      <c r="D289" s="48" t="n"/>
      <c r="E289" s="48" t="n"/>
      <c r="F289" s="48" t="n"/>
      <c r="G289" s="48" t="n"/>
      <c r="H289" s="48" t="inlineStr">
        <is>
          <t>RFQ tutarı →</t>
        </is>
      </c>
      <c r="I289" s="49">
        <f>SUMPRODUCT(E290:E301,I290:I301)</f>
        <v/>
      </c>
      <c r="J289" s="49">
        <f>SUM(J290:J301)</f>
        <v/>
      </c>
      <c r="K289" s="48" t="n"/>
      <c r="L289" s="48" t="n"/>
      <c r="M289" s="48" t="n"/>
    </row>
    <row r="290" outlineLevel="1">
      <c r="A290" s="27" t="n"/>
      <c r="B290" s="27" t="inlineStr">
        <is>
          <t>5008.A</t>
        </is>
      </c>
      <c r="C290" s="7" t="inlineStr">
        <is>
          <t>D01 pis su borusu PVC (TS EN 1329 / 1401), fitting dahil Ø125</t>
        </is>
      </c>
      <c r="D290" s="27" t="inlineStr">
        <is>
          <t>m</t>
        </is>
      </c>
      <c r="E290" s="50" t="n">
        <v>111</v>
      </c>
      <c r="F290" s="50" t="n">
        <v>111</v>
      </c>
      <c r="G290" s="27" t="inlineStr">
        <is>
          <t>fire+%30</t>
        </is>
      </c>
      <c r="H290" s="50">
        <f>F290/IF(Varsayimlar!$B$21=1,1.43,1)</f>
        <v/>
      </c>
      <c r="I290" s="51" t="n">
        <v>17.11</v>
      </c>
      <c r="J290" s="28">
        <f>H290*I290</f>
        <v/>
      </c>
      <c r="K290" s="52" t="inlineStr">
        <is>
          <t>GEÇMİŞ TEKLİF UYARLAMA</t>
        </is>
      </c>
      <c r="L290" s="7" t="inlineStr">
        <is>
          <t>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is>
      </c>
      <c r="M290" s="7" t="inlineStr">
        <is>
          <t>İlk tahmin BF 15.00</t>
        </is>
      </c>
    </row>
    <row r="291" outlineLevel="1">
      <c r="A291" s="27" t="n"/>
      <c r="B291" s="27" t="inlineStr">
        <is>
          <t>5008.A</t>
        </is>
      </c>
      <c r="C291" s="7" t="inlineStr">
        <is>
          <t>D01 pis su borusu PVC (TS EN 1329 / 1401), fitting dahil Ø100</t>
        </is>
      </c>
      <c r="D291" s="27" t="inlineStr">
        <is>
          <t>m</t>
        </is>
      </c>
      <c r="E291" s="50" t="n">
        <v>178</v>
      </c>
      <c r="F291" s="50" t="n">
        <v>178</v>
      </c>
      <c r="G291" s="27" t="inlineStr">
        <is>
          <t>fire+%30</t>
        </is>
      </c>
      <c r="H291" s="50">
        <f>F291/IF(Varsayimlar!$B$21=1,1.43,1)</f>
        <v/>
      </c>
      <c r="I291" s="51" t="n">
        <v>12.64</v>
      </c>
      <c r="J291" s="28">
        <f>H291*I291</f>
        <v/>
      </c>
      <c r="K291" s="52" t="inlineStr">
        <is>
          <t>GEÇMİŞ TEKLİF UYARLAMA</t>
        </is>
      </c>
      <c r="L291" s="7" t="inlineStr">
        <is>
          <t>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 FER ×1,5) = 12.64 € [Emsal ID: R05369;R05467;R05561;R05856;R06112;R05758]</t>
        </is>
      </c>
      <c r="M291" s="7" t="inlineStr">
        <is>
          <t>İlk tahmin BF 13.00</t>
        </is>
      </c>
    </row>
    <row r="292" outlineLevel="1">
      <c r="A292" s="27" t="n"/>
      <c r="B292" s="27" t="inlineStr">
        <is>
          <t>5008.A</t>
        </is>
      </c>
      <c r="C292" s="7" t="inlineStr">
        <is>
          <t>D01 pis su borusu PVC (TS EN 1329 / 1401), fitting dahil Ø70</t>
        </is>
      </c>
      <c r="D292" s="27" t="inlineStr">
        <is>
          <t>m</t>
        </is>
      </c>
      <c r="E292" s="50" t="n">
        <v>133</v>
      </c>
      <c r="F292" s="50" t="n">
        <v>133</v>
      </c>
      <c r="G292" s="27" t="inlineStr">
        <is>
          <t>fire+%30</t>
        </is>
      </c>
      <c r="H292" s="50">
        <f>F292/IF(Varsayimlar!$B$21=1,1.43,1)</f>
        <v/>
      </c>
      <c r="I292" s="51" t="n">
        <v>9.57</v>
      </c>
      <c r="J292" s="28">
        <f>H292*I292</f>
        <v/>
      </c>
      <c r="K292" s="52" t="inlineStr">
        <is>
          <t>GEÇMİŞ TEKLİF UYARLAMA</t>
        </is>
      </c>
      <c r="L292" s="7" t="inlineStr">
        <is>
          <t>REF-derin – R05368 İzmir Buca Metro/Alp 2021 18.41; R05466 Kocaeli KentMey.Tram/Uluhanlar 2015 11.11; R05560 Kocaeli KentMey.Tram/bilinmiyor 2015 5.63; R05855 Kocaeli KentMey.Tram/Mertsan 2015 6.85; R06111 Siirt-Kurtalan DY/Yamaner 2025 22.68; R05757 Kocaeli KentMey.Tram/FER 2015 5.36→8.04×1.5 | medyan 9.57 (PVC Ø70-75; FER ×1,5) = 9.57 € [Emsal ID: R05368;R05466;R05560;R05855;R06111;R05757]</t>
        </is>
      </c>
      <c r="M292" s="7" t="inlineStr">
        <is>
          <t>İlk tahmin BF 10.00</t>
        </is>
      </c>
    </row>
    <row r="293" outlineLevel="1">
      <c r="A293" s="27" t="n"/>
      <c r="B293" s="27" t="inlineStr">
        <is>
          <t>5008.A</t>
        </is>
      </c>
      <c r="C293" s="7" t="inlineStr">
        <is>
          <t>D01 pis su borusu PVC (TS EN 1329 / 1401), fitting dahil Ø50</t>
        </is>
      </c>
      <c r="D293" s="27" t="inlineStr">
        <is>
          <t>m</t>
        </is>
      </c>
      <c r="E293" s="50" t="n">
        <v>23</v>
      </c>
      <c r="F293" s="50" t="n">
        <v>23</v>
      </c>
      <c r="G293" s="27" t="inlineStr">
        <is>
          <t>fire+%30</t>
        </is>
      </c>
      <c r="H293" s="50">
        <f>F293/IF(Varsayimlar!$B$21=1,1.43,1)</f>
        <v/>
      </c>
      <c r="I293" s="51" t="n">
        <v>6.41</v>
      </c>
      <c r="J293" s="28">
        <f>H293*I293</f>
        <v/>
      </c>
      <c r="K293" s="52" t="inlineStr">
        <is>
          <t>GEÇMİŞ TEKLİF UYARLAMA</t>
        </is>
      </c>
      <c r="L293" s="7" t="inlineStr">
        <is>
          <t>REF-derin – R05465 Kocaeli KentMey.Tram/Uluhanlar 2015 6.45; R05559 Kocaeli KentMey.Tram/bilinmiyor 2015 4.64; R05854 Kocaeli KentMey.Tram/Mertsan 2015 4.61; R06110 Siirt-Kurtalan DY/Yamaner 2025 17.40; R05756 Kocaeli KentMey.Tram/FER 2015 4.28→6.41×1.5 | medyan 6.41 (PVC Ø50; FER ×1,5) = 6.41 € [Emsal ID: R05465;R05559;R05854;R06110;R05756]</t>
        </is>
      </c>
      <c r="M293" s="7" t="inlineStr">
        <is>
          <t>İlk tahmin BF 8.00</t>
        </is>
      </c>
    </row>
    <row r="294" outlineLevel="1">
      <c r="A294" s="27" t="n"/>
      <c r="B294" s="27" t="inlineStr">
        <is>
          <t>5008.A</t>
        </is>
      </c>
      <c r="C294" s="7" t="inlineStr">
        <is>
          <t>D01 yer süzgeci 15x15 (sifonlu)</t>
        </is>
      </c>
      <c r="D294" s="27" t="inlineStr">
        <is>
          <t>adet</t>
        </is>
      </c>
      <c r="E294" s="50" t="n">
        <v>47</v>
      </c>
      <c r="F294" s="50" t="n">
        <v>47</v>
      </c>
      <c r="G294" s="27" t="inlineStr">
        <is>
          <t>%30</t>
        </is>
      </c>
      <c r="H294" s="50">
        <f>F294/IF(Varsayimlar!$B$21=1,1.3,1)</f>
        <v/>
      </c>
      <c r="I294" s="51" t="n">
        <v>39</v>
      </c>
      <c r="J294" s="28">
        <f>H294*I294</f>
        <v/>
      </c>
      <c r="K294" s="52" t="inlineStr">
        <is>
          <t>GEÇMİŞ TEKLİF UYARLAMA</t>
        </is>
      </c>
      <c r="L294" s="7" t="inlineStr">
        <is>
          <t>REF-derin – R05373 İzmir Buca Metro/Alp 2021 28.85; R05425 Kocaeli KentMey.Tram/Uluhanlar 2015 11.37; R06009 Kirazlı-Halkalı Metro/Panel 2024 39.00; R06093 Siirt-Kurtalan DY/Yamaner 2025 49.63; R05523 Kocaeli KentMey.Tram/bilinmiyor 2015 95.27 | medyan 39.00 (15x15 yer süzgeci) = 39.00 € | mevcut REF 30.00 (+30.0%) düzeltildi [Emsal ID: R05373;R05425;R06009;R06093;R05523]</t>
        </is>
      </c>
      <c r="M294" s="7" t="inlineStr">
        <is>
          <t>Ref malzeme; sifonlu süzgeç montajlı | İlk tahmin BF 30.00</t>
        </is>
      </c>
    </row>
    <row r="295" outlineLevel="1">
      <c r="A295" s="27" t="n"/>
      <c r="B295" s="27" t="inlineStr">
        <is>
          <t>5008.A</t>
        </is>
      </c>
      <c r="C295" s="7" t="inlineStr">
        <is>
          <t>D01 temizleme kapağı (T.K.)</t>
        </is>
      </c>
      <c r="D295" s="27" t="inlineStr">
        <is>
          <t>adet</t>
        </is>
      </c>
      <c r="E295" s="50" t="n">
        <v>19</v>
      </c>
      <c r="F295" s="50" t="n">
        <v>19</v>
      </c>
      <c r="G295" s="27" t="inlineStr">
        <is>
          <t>-</t>
        </is>
      </c>
      <c r="H295" s="50">
        <f>F295</f>
        <v/>
      </c>
      <c r="I295" s="51" t="n">
        <v>43.45</v>
      </c>
      <c r="J295" s="28">
        <f>H295*I295</f>
        <v/>
      </c>
      <c r="K295" s="52" t="inlineStr">
        <is>
          <t>GEÇMİŞ TEKLİF UYARLAMA</t>
        </is>
      </c>
      <c r="L295" s="7" t="inlineStr">
        <is>
          <t>REF-teyit – R05371 İzmir Buca Metro/Alp 2021 43.45 (DN100 temizleme kapağı) | tek emsal 43.45, sapma -0.0% → teyit [Emsal ID: R05371]</t>
        </is>
      </c>
      <c r="M295" s="7" t="inlineStr"/>
    </row>
    <row r="296" outlineLevel="1">
      <c r="A296" s="27" t="n"/>
      <c r="B296" s="27" t="inlineStr">
        <is>
          <t>5008.A</t>
        </is>
      </c>
      <c r="C296" s="7" t="inlineStr">
        <is>
          <t>D01 pis su havalık başlığı / havalık borusu Ø70-Ø100 (Ph1-Ph5)</t>
        </is>
      </c>
      <c r="D296" s="27" t="inlineStr">
        <is>
          <t>adet</t>
        </is>
      </c>
      <c r="E296" s="50" t="n">
        <v>7</v>
      </c>
      <c r="F296" s="50" t="n">
        <v>7</v>
      </c>
      <c r="G296" s="27" t="inlineStr">
        <is>
          <t>%30</t>
        </is>
      </c>
      <c r="H296" s="50">
        <f>F296/IF(Varsayimlar!$B$21=1,1.3,1)</f>
        <v/>
      </c>
      <c r="I296" s="51" t="n">
        <v>38.48</v>
      </c>
      <c r="J296" s="28">
        <f>H296*I296</f>
        <v/>
      </c>
      <c r="K296" s="52" t="inlineStr">
        <is>
          <t>GEÇMİŞ TEKLİF UYARLAMA</t>
        </is>
      </c>
      <c r="L296" s="7" t="inlineStr">
        <is>
          <t>REF-teyit – R06114 Siirt-Kurtalan DY/Yamaner 2025 38.48 (havalık boru+şapka Ø100) | tek emsal 38.48, sapma +0.0% → teyit [Emsal ID: R06114]</t>
        </is>
      </c>
      <c r="M296" s="7" t="inlineStr"/>
    </row>
    <row r="297" outlineLevel="1">
      <c r="A297" s="27" t="n"/>
      <c r="B297" s="27" t="inlineStr">
        <is>
          <t>5008.A</t>
        </is>
      </c>
      <c r="C297" s="7" t="inlineStr">
        <is>
          <t>D01 yağ ayırıcı YA-01 gömülü krom sac 0,2 l/s (mutfak)</t>
        </is>
      </c>
      <c r="D297" s="27" t="inlineStr">
        <is>
          <t>adet</t>
        </is>
      </c>
      <c r="E297" s="50" t="n">
        <v>1</v>
      </c>
      <c r="F297" s="50" t="n">
        <v>1</v>
      </c>
      <c r="G297" s="27" t="inlineStr">
        <is>
          <t>-</t>
        </is>
      </c>
      <c r="H297" s="50">
        <f>F297</f>
        <v/>
      </c>
      <c r="I297" s="51" t="n">
        <v>1879.45</v>
      </c>
      <c r="J297" s="28">
        <f>H297*I297</f>
        <v/>
      </c>
      <c r="K297" s="52" t="inlineStr">
        <is>
          <t>GEÇMİŞ TEKLİF UYARLAMA</t>
        </is>
      </c>
      <c r="L297" s="7" t="inlineStr">
        <is>
          <t>REF-teyit – R05778 Kocaeli KentMey.Tram/FER 2015 2321.74; R05875 Kocaeli KentMey.Tram/Mertsan 2015 1437.16 | medyan 1879.45 (yağ ayırıcı 2 l/s) = 1879.45 € | sapma -0.0% ≤%10 → mevcut REF teyit [Emsal ID: R05778;R05875]</t>
        </is>
      </c>
      <c r="M297" s="7" t="inlineStr"/>
    </row>
    <row r="298" outlineLevel="1">
      <c r="A298" s="27" t="n"/>
      <c r="B298" s="27" t="inlineStr">
        <is>
          <t>5008.A</t>
        </is>
      </c>
      <c r="C298" s="7" t="inlineStr">
        <is>
          <t>D05 pis su borusu PVC Ø70-Ø100</t>
        </is>
      </c>
      <c r="D298" s="27" t="inlineStr">
        <is>
          <t>m</t>
        </is>
      </c>
      <c r="E298" s="50" t="n">
        <v>58</v>
      </c>
      <c r="F298" s="50" t="n">
        <v>58</v>
      </c>
      <c r="G298" s="27" t="inlineStr">
        <is>
          <t>fire+%30</t>
        </is>
      </c>
      <c r="H298" s="50">
        <f>F298/IF(Varsayimlar!$B$21=1,1.43,1)</f>
        <v/>
      </c>
      <c r="I298" s="51" t="n">
        <v>12</v>
      </c>
      <c r="J298" s="28">
        <f>H298*I298</f>
        <v/>
      </c>
      <c r="K298" s="52" t="inlineStr">
        <is>
          <t>GEÇMİŞ TEKLİF UYARLAMA</t>
        </is>
      </c>
      <c r="L298" s="7" t="inlineStr">
        <is>
          <t>REF-teyit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 sapma -3.0% ≤%10 → mevcut REF teyit [Emsal ID: R05368;R05466;R05560;R05855;R06111;R05757;R05369;R05467;R05561;R05856;R06112;R05758]</t>
        </is>
      </c>
      <c r="M298" s="7" t="inlineStr">
        <is>
          <t>Ref düşük; Ø70-100 montajlı</t>
        </is>
      </c>
    </row>
    <row r="299" outlineLevel="1">
      <c r="A299" s="27" t="n"/>
      <c r="B299" s="27" t="inlineStr">
        <is>
          <t>5008.A</t>
        </is>
      </c>
      <c r="C299" s="7" t="inlineStr">
        <is>
          <t>D05 yer süzgeci + temizleme kapağı</t>
        </is>
      </c>
      <c r="D299" s="27" t="inlineStr">
        <is>
          <t>adet</t>
        </is>
      </c>
      <c r="E299" s="50" t="n">
        <v>12</v>
      </c>
      <c r="F299" s="50" t="n">
        <v>12</v>
      </c>
      <c r="G299" s="27" t="inlineStr">
        <is>
          <t>%30</t>
        </is>
      </c>
      <c r="H299" s="50">
        <f>F299/IF(Varsayimlar!$B$21=1,1.3,1)</f>
        <v/>
      </c>
      <c r="I299" s="51" t="n">
        <v>41.22</v>
      </c>
      <c r="J299" s="28">
        <f>H299*I299</f>
        <v/>
      </c>
      <c r="K299" s="52" t="inlineStr">
        <is>
          <t>GEÇMİŞ TEKLİF UYARLAMA</t>
        </is>
      </c>
      <c r="L299" s="7" t="inlineStr">
        <is>
          <t>REF-derin – 15x15 süzgeç medyan 39.00 ve TK R05371 43.45 ortalaması = 41.22 € [Emsal ID: R05373;R05425;R06009;R06093;R05523;R05371]</t>
        </is>
      </c>
      <c r="M299" s="7" t="inlineStr">
        <is>
          <t>İlk tahmin BF 35.00</t>
        </is>
      </c>
    </row>
    <row r="300" outlineLevel="1">
      <c r="A300" s="27" t="n"/>
      <c r="B300" s="27" t="inlineStr">
        <is>
          <t>5008.A</t>
        </is>
      </c>
      <c r="C300" s="7" t="inlineStr">
        <is>
          <t>D07 pis su borusu PVC Ø70-Ø100 + havalık Ø70</t>
        </is>
      </c>
      <c r="D300" s="27" t="inlineStr">
        <is>
          <t>m</t>
        </is>
      </c>
      <c r="E300" s="50" t="n">
        <v>78</v>
      </c>
      <c r="F300" s="50" t="n">
        <v>78</v>
      </c>
      <c r="G300" s="27" t="inlineStr">
        <is>
          <t>fire+%30</t>
        </is>
      </c>
      <c r="H300" s="50">
        <f>F300/IF(Varsayimlar!$B$21=1,1.43,1)</f>
        <v/>
      </c>
      <c r="I300" s="51" t="n">
        <v>11.65</v>
      </c>
      <c r="J300" s="28">
        <f>H300*I300</f>
        <v/>
      </c>
      <c r="K300" s="52" t="inlineStr">
        <is>
          <t>GEÇMİŞ TEKLİF UYARLAMA</t>
        </is>
      </c>
      <c r="L300" s="7" t="inlineStr">
        <is>
          <t>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(havalık dahil)) = 11.65 € [Emsal ID: R05368;R05466;R05560;R05855;R06111;R05757;R05369;R05467;R05561;R05856;R06112;R05758]</t>
        </is>
      </c>
      <c r="M300" s="7" t="inlineStr">
        <is>
          <t>İlk tahmin BF 12.00</t>
        </is>
      </c>
    </row>
    <row r="301" outlineLevel="1">
      <c r="A301" s="27" t="n"/>
      <c r="B301" s="27" t="inlineStr">
        <is>
          <t>5008.A</t>
        </is>
      </c>
      <c r="C301" s="7" t="inlineStr">
        <is>
          <t>D07 yer süzgeci + temizleme kapağı</t>
        </is>
      </c>
      <c r="D301" s="27" t="inlineStr">
        <is>
          <t>adet</t>
        </is>
      </c>
      <c r="E301" s="50" t="n">
        <v>4</v>
      </c>
      <c r="F301" s="50" t="n">
        <v>4</v>
      </c>
      <c r="G301" s="27" t="inlineStr">
        <is>
          <t>%30</t>
        </is>
      </c>
      <c r="H301" s="50">
        <f>F301/IF(Varsayimlar!$B$21=1,1.3,1)</f>
        <v/>
      </c>
      <c r="I301" s="51" t="n">
        <v>41.22</v>
      </c>
      <c r="J301" s="28">
        <f>H301*I301</f>
        <v/>
      </c>
      <c r="K301" s="52" t="inlineStr">
        <is>
          <t>GEÇMİŞ TEKLİF UYARLAMA</t>
        </is>
      </c>
      <c r="L301" s="7" t="inlineStr">
        <is>
          <t>REF-derin – 15x15 süzgeç medyan 39.00 ve TK R05371 43.45 ortalaması = 41.22 € [Emsal ID: R05373;R05425;R06009;R06093;R05523;R05371]</t>
        </is>
      </c>
      <c r="M301" s="7" t="inlineStr">
        <is>
          <t>İlk tahmin BF 35.00</t>
        </is>
      </c>
    </row>
    <row r="302">
      <c r="A302" s="48" t="inlineStr">
        <is>
          <t>362</t>
        </is>
      </c>
      <c r="B302" s="48" t="inlineStr">
        <is>
          <t>5009.A</t>
        </is>
      </c>
      <c r="C302" s="48" t="inlineStr">
        <is>
          <t>Depo-Kontrol Binaları Basınçlı Hava Sistemi (1 set)</t>
        </is>
      </c>
      <c r="D302" s="48" t="n"/>
      <c r="E302" s="48" t="n"/>
      <c r="F302" s="48" t="n"/>
      <c r="G302" s="48" t="n"/>
      <c r="H302" s="48" t="inlineStr">
        <is>
          <t>RFQ tutarı →</t>
        </is>
      </c>
      <c r="I302" s="49">
        <f>SUMPRODUCT(E303:E317,I303:I317)</f>
        <v/>
      </c>
      <c r="J302" s="49">
        <f>SUM(J303:J317)</f>
        <v/>
      </c>
      <c r="K302" s="48" t="n"/>
      <c r="L302" s="48" t="n"/>
      <c r="M302" s="48" t="n"/>
    </row>
    <row r="303" outlineLevel="1">
      <c r="A303" s="27" t="n"/>
      <c r="B303" s="27" t="inlineStr">
        <is>
          <t>5009.A</t>
        </is>
      </c>
      <c r="C303" s="7" t="inlineStr">
        <is>
          <t>Vidalı hava kompresörü HK-1/HK-2, 882 m³/h, 10 bar, ~95 kW, 380V (sıra işletimli)</t>
        </is>
      </c>
      <c r="D303" s="27" t="inlineStr">
        <is>
          <t>adet</t>
        </is>
      </c>
      <c r="E303" s="50" t="n">
        <v>2</v>
      </c>
      <c r="F303" s="50" t="n">
        <v>2</v>
      </c>
      <c r="G303" s="27" t="inlineStr">
        <is>
          <t>-</t>
        </is>
      </c>
      <c r="H303" s="50">
        <f>F303</f>
        <v/>
      </c>
      <c r="I303" s="51" t="n">
        <v>26900</v>
      </c>
      <c r="J303" s="28">
        <f>H303*I303</f>
        <v/>
      </c>
      <c r="K303" s="52" t="inlineStr">
        <is>
          <t>GEÇMİŞ TEKLİF UYARLAMA</t>
        </is>
      </c>
      <c r="L303" s="7" t="inlineStr">
        <is>
          <t>REF-derin – Vidalı kompresör (14,7 m³/dk'ya ölçekli): Mertsan 11.801, TREMS 24.500, FER Atlas GA75 58.767, Buca Atlas (kurutucu/tank hariç) 29.272 → medyan 26.900; mevcut 21.256 (TREMS 12 m³/dk) DÜŞÜK [Emsal ID: R05919;R05936;R05824;R05361]</t>
        </is>
      </c>
      <c r="M303" s="7" t="inlineStr">
        <is>
          <t>İlk tahmin BF 21,255.67</t>
        </is>
      </c>
    </row>
    <row r="304" outlineLevel="1">
      <c r="A304" s="27" t="n"/>
      <c r="B304" s="27" t="inlineStr">
        <is>
          <t>5009.A</t>
        </is>
      </c>
      <c r="C304" s="7" t="inlineStr">
        <is>
          <t>Hava kurutucu AD-1 paket tip 882 m³/h (entegre giriş/çıkış filtreli)</t>
        </is>
      </c>
      <c r="D304" s="27" t="inlineStr">
        <is>
          <t>adet</t>
        </is>
      </c>
      <c r="E304" s="50" t="n">
        <v>1</v>
      </c>
      <c r="F304" s="50" t="n">
        <v>1</v>
      </c>
      <c r="G304" s="27" t="inlineStr">
        <is>
          <t>-</t>
        </is>
      </c>
      <c r="H304" s="50">
        <f>F304</f>
        <v/>
      </c>
      <c r="I304" s="51" t="n">
        <v>6710</v>
      </c>
      <c r="J304" s="28">
        <f>H304*I304</f>
        <v/>
      </c>
      <c r="K304" s="52" t="inlineStr">
        <is>
          <t>GEÇMİŞ TEKLİF UYARLAMA</t>
        </is>
      </c>
      <c r="L304" s="7" t="inlineStr">
        <is>
          <t>REF-derin – Kurutucu (14,7 m³/dk'ya ölçekli): Mertsan 5.838, TREMS 6.708, FER Atlas FX15 11.950 → medyan 6.710 [Emsal ID: R05920;R05937;R05825]</t>
        </is>
      </c>
      <c r="M304" s="7" t="inlineStr">
        <is>
          <t>İlk tahmin BF 5,820.00</t>
        </is>
      </c>
    </row>
    <row r="305" outlineLevel="1">
      <c r="A305" s="27" t="n"/>
      <c r="B305" s="27" t="inlineStr">
        <is>
          <t>5009.A</t>
        </is>
      </c>
      <c r="C305" s="7" t="inlineStr">
        <is>
          <t>Hava tankı HT-1 silindirik dik 3000 L, 10 bar, emniyet ventilli (tablo 2000 L / akış şeması 3000 L – büyük olan alındı)</t>
        </is>
      </c>
      <c r="D305" s="27" t="inlineStr">
        <is>
          <t>adet</t>
        </is>
      </c>
      <c r="E305" s="50" t="n">
        <v>1</v>
      </c>
      <c r="F305" s="50" t="n">
        <v>1</v>
      </c>
      <c r="G305" s="27" t="inlineStr">
        <is>
          <t>-</t>
        </is>
      </c>
      <c r="H305" s="50">
        <f>F305</f>
        <v/>
      </c>
      <c r="I305" s="51" t="n">
        <v>2701.12</v>
      </c>
      <c r="J305" s="28">
        <f>H305*I305</f>
        <v/>
      </c>
      <c r="K305" s="52" t="inlineStr">
        <is>
          <t>GEÇMİŞ TEKLİF UYARLAMA</t>
        </is>
      </c>
      <c r="L305" s="7" t="inlineStr">
        <is>
          <t>REF-derin – 1000 L hava tankları medyan 1397.24 (R05823 Kocaeli KentMey.Tram/FER 2015 2394.07; R05918 Kocaeli KentMey.Tram/Mertsan 2015 1397.24; R05938 Kocaeli KentMey.Tram/TREMS 2015 1239.91) × 3^0,6 (3000 L) = 2701.12 € | mevcut REF 2394.07 (+12.8%) düzeltildi [Emsal ID: R05823;R05918;R05938]</t>
        </is>
      </c>
      <c r="M305" s="7" t="inlineStr">
        <is>
          <t>İlk tahmin BF 2,394.07</t>
        </is>
      </c>
    </row>
    <row r="306" outlineLevel="1">
      <c r="A306" s="27" t="n"/>
      <c r="B306" s="27" t="inlineStr">
        <is>
          <t>5009.A</t>
        </is>
      </c>
      <c r="C306" s="7" t="inlineStr">
        <is>
          <t>Hat filtreleri: ön filtre 1 mikron, 0,1 ppm yağ tutucu, 0,01 mikron/0,01 ppm çıkış filtresi</t>
        </is>
      </c>
      <c r="D306" s="27" t="inlineStr">
        <is>
          <t>adet</t>
        </is>
      </c>
      <c r="E306" s="50" t="n">
        <v>3</v>
      </c>
      <c r="F306" s="50" t="n">
        <v>3</v>
      </c>
      <c r="G306" s="27" t="inlineStr">
        <is>
          <t>-</t>
        </is>
      </c>
      <c r="H306" s="50">
        <f>F306</f>
        <v/>
      </c>
      <c r="I306" s="51" t="n">
        <v>332.68</v>
      </c>
      <c r="J306" s="28">
        <f>H306*I306</f>
        <v/>
      </c>
      <c r="K306" s="52" t="inlineStr">
        <is>
          <t>GEÇMİŞ TEKLİF UYARLAMA</t>
        </is>
      </c>
      <c r="L306" s="7" t="inlineStr">
        <is>
          <t>REF-derin – R05921 Kocaeli KentMey.Tram/Mertsan 2015 332.68; R05922 Kocaeli KentMey.Tram/Mertsan 2015 288.32; R05826 Kocaeli KentMey.Tram/FER 2015 1626.11 | medyan 332.68 (basınçlı hava hat filtreleri) = 332.68 € | mevcut REF 600.00 (-44.6%) düzeltildi [Emsal ID: R05921;R05922;R05826]</t>
        </is>
      </c>
      <c r="M306" s="7" t="inlineStr">
        <is>
          <t>Ref düşük; 882 m³/h hat filtresi | İlk tahmin BF 600.00</t>
        </is>
      </c>
    </row>
    <row r="307" outlineLevel="1">
      <c r="A307" s="27" t="n"/>
      <c r="B307" s="27" t="inlineStr">
        <is>
          <t>5009.A</t>
        </is>
      </c>
      <c r="C307" s="7" t="inlineStr">
        <is>
          <t>Otomatik su atma cihazı (SA-01…SA-04) + Ø25 PPRC drenaj hattı</t>
        </is>
      </c>
      <c r="D307" s="27" t="inlineStr">
        <is>
          <t>adet</t>
        </is>
      </c>
      <c r="E307" s="50" t="n">
        <v>4</v>
      </c>
      <c r="F307" s="50" t="n">
        <v>4</v>
      </c>
      <c r="G307" s="27" t="inlineStr">
        <is>
          <t>-</t>
        </is>
      </c>
      <c r="H307" s="50">
        <f>F307</f>
        <v/>
      </c>
      <c r="I307" s="51" t="n">
        <v>308.12</v>
      </c>
      <c r="J307" s="28">
        <f>H307*I307</f>
        <v/>
      </c>
      <c r="K307" s="52" t="inlineStr">
        <is>
          <t>GEÇMİŞ TEKLİF UYARLAMA</t>
        </is>
      </c>
      <c r="L307" s="7" t="inlineStr">
        <is>
          <t>REF-teyit – R05827 Kocaeli KentMey.Tram/FER 2015 505.34 (elektronik/premium tip; şamandıralı tipten pahalı) | mevcut REF 308,12 teyit [Emsal ID: R05827]</t>
        </is>
      </c>
      <c r="M307" s="7" t="inlineStr"/>
    </row>
    <row r="308" outlineLevel="1">
      <c r="A308" s="27" t="n"/>
      <c r="B308" s="27" t="inlineStr">
        <is>
          <t>5009.A</t>
        </is>
      </c>
      <c r="C308" s="7" t="inlineStr">
        <is>
          <t>Kondenstop + pislik tutucu + küresel vana grubu (1/2")</t>
        </is>
      </c>
      <c r="D308" s="27" t="inlineStr">
        <is>
          <t>takım</t>
        </is>
      </c>
      <c r="E308" s="50" t="n">
        <v>4</v>
      </c>
      <c r="F308" s="50" t="n">
        <v>4</v>
      </c>
      <c r="G308" s="27" t="inlineStr">
        <is>
          <t>-</t>
        </is>
      </c>
      <c r="H308" s="50">
        <f>F308</f>
        <v/>
      </c>
      <c r="I308" s="51" t="n">
        <v>239.53</v>
      </c>
      <c r="J308" s="28">
        <f>H308*I308</f>
        <v/>
      </c>
      <c r="K308" s="52" t="inlineStr">
        <is>
          <t>GEÇMİŞ TEKLİF UYARLAMA</t>
        </is>
      </c>
      <c r="L308" s="7" t="inlineStr">
        <is>
          <t>REF-teyit – R05923 Kocaeli KentMey.Tram/Mertsan 2015 239.53 (kondenstop ½") | tek emsal 239.53, sapma -0.0% → teyit [Emsal ID: R05923]</t>
        </is>
      </c>
      <c r="M308" s="7" t="inlineStr"/>
    </row>
    <row r="309" outlineLevel="1">
      <c r="A309" s="27" t="n"/>
      <c r="B309" s="27" t="inlineStr">
        <is>
          <t>5009.A</t>
        </is>
      </c>
      <c r="C309" s="7" t="inlineStr">
        <is>
          <t>Basınçlı hava borusu galvaniz çelik (ring), askı-kelepçe dahil 3"</t>
        </is>
      </c>
      <c r="D309" s="27" t="inlineStr">
        <is>
          <t>m</t>
        </is>
      </c>
      <c r="E309" s="50" t="n">
        <v>409</v>
      </c>
      <c r="F309" s="50" t="n">
        <v>409</v>
      </c>
      <c r="G309" s="27" t="inlineStr">
        <is>
          <t>fire+%30</t>
        </is>
      </c>
      <c r="H309" s="50">
        <f>F309/IF(Varsayimlar!$B$21=1,1.43,1)</f>
        <v/>
      </c>
      <c r="I309" s="51" t="n">
        <v>35</v>
      </c>
      <c r="J309" s="28">
        <f>H309*I309</f>
        <v/>
      </c>
      <c r="K309" s="52" t="inlineStr">
        <is>
          <t>GEÇMİŞ TEKLİF UYARLAMA</t>
        </is>
      </c>
      <c r="L309" s="7" t="inlineStr">
        <is>
          <t>REF-derin – 3" galvaniz M+İ: Buca bas. hava DN80 36,45, FER 33,63, Mertsan 28,03, Kirazlı 66,79 → medyan 35,04; mevcut 48 yüksek [Emsal ID: R05365;R05753;R05851;R05986;R06066]</t>
        </is>
      </c>
      <c r="M309" s="7" t="inlineStr">
        <is>
          <t>Ref çok düşük; 3" galvaniz montajlı | İlk tahmin BF 48.00</t>
        </is>
      </c>
    </row>
    <row r="310" outlineLevel="1">
      <c r="A310" s="27" t="n"/>
      <c r="B310" s="27" t="inlineStr">
        <is>
          <t>5009.A</t>
        </is>
      </c>
      <c r="C310" s="7" t="inlineStr">
        <is>
          <t>Basınçlı hava borusu galvaniz çelik (ring), askı-kelepçe dahil 2"</t>
        </is>
      </c>
      <c r="D310" s="27" t="inlineStr">
        <is>
          <t>m</t>
        </is>
      </c>
      <c r="E310" s="50" t="n">
        <v>292</v>
      </c>
      <c r="F310" s="50" t="n">
        <v>292</v>
      </c>
      <c r="G310" s="27" t="inlineStr">
        <is>
          <t>fire+%30</t>
        </is>
      </c>
      <c r="H310" s="50">
        <f>F310/IF(Varsayimlar!$B$21=1,1.43,1)</f>
        <v/>
      </c>
      <c r="I310" s="51" t="n">
        <v>31.6</v>
      </c>
      <c r="J310" s="28">
        <f>H310*I310</f>
        <v/>
      </c>
      <c r="K310" s="52" t="inlineStr">
        <is>
          <t>GEÇMİŞ TEKLİF UYARLAMA</t>
        </is>
      </c>
      <c r="L310" s="7" t="inlineStr">
        <is>
          <t>REF-derin – 2" galvaniz M+İ: Buca bas. hava DN50 27,17, FER 23,76, Siirt 2025 36,09, Kirazlı 51,62 → medyan 31,63 [Emsal ID: R05364;R05751;R06103;R05984]</t>
        </is>
      </c>
      <c r="M310" s="7" t="inlineStr">
        <is>
          <t>2" galvaniz montajlı | İlk tahmin BF 28.00</t>
        </is>
      </c>
    </row>
    <row r="311" outlineLevel="1">
      <c r="A311" s="27" t="n"/>
      <c r="B311" s="27" t="inlineStr">
        <is>
          <t>5009.A</t>
        </is>
      </c>
      <c r="C311" s="7" t="inlineStr">
        <is>
          <t>Basınçlı hava borusu galvaniz çelik (ring), askı-kelepçe dahil 1 1/4"</t>
        </is>
      </c>
      <c r="D311" s="27" t="inlineStr">
        <is>
          <t>m</t>
        </is>
      </c>
      <c r="E311" s="50" t="n">
        <v>117</v>
      </c>
      <c r="F311" s="50" t="n">
        <v>117</v>
      </c>
      <c r="G311" s="27" t="inlineStr">
        <is>
          <t>fire+%30</t>
        </is>
      </c>
      <c r="H311" s="50">
        <f>F311/IF(Varsayimlar!$B$21=1,1.43,1)</f>
        <v/>
      </c>
      <c r="I311" s="51" t="n">
        <v>20</v>
      </c>
      <c r="J311" s="28">
        <f>H311*I311</f>
        <v/>
      </c>
      <c r="K311" s="52" t="inlineStr">
        <is>
          <t>GEÇMİŞ TEKLİF UYARLAMA</t>
        </is>
      </c>
      <c r="L311" s="7" t="inlineStr">
        <is>
          <t>REF-teyit – R05457 Kocaeli KentMey.Tram/Uluhanlar 2015 10.72; R05551 Kocaeli KentMey.Tram/bilinmiyor 2015 17.01; R05849 Kocaeli KentMey.Tram/Mertsan 2015 10.73; R05976 Kirazlı-Halkalı Metro/Panel 2024 32.87; R06102 Siirt-Kurtalan DY/Yamaner 2025 25.99; R05749 Kocaeli KentMey.Tram/FER 2015 18.63→26.08×1.4 | medyan 21.50 (galv. 1¼"; FER ×1,4) = 21.50 € | sapma +7.5% ≤%10 → mevcut REF teyit [Emsal ID: R05457;R05551;R05849;R05976;R06102;R05749]</t>
        </is>
      </c>
      <c r="M311" s="7" t="inlineStr">
        <is>
          <t>1 1/4" galvaniz montajlı</t>
        </is>
      </c>
    </row>
    <row r="312" outlineLevel="1">
      <c r="A312" s="27" t="n"/>
      <c r="B312" s="27" t="inlineStr">
        <is>
          <t>5009.A</t>
        </is>
      </c>
      <c r="C312" s="7" t="inlineStr">
        <is>
          <t>Basınçlı hava borusu galvaniz çelik (ring), askı-kelepçe dahil 1"</t>
        </is>
      </c>
      <c r="D312" s="27" t="inlineStr">
        <is>
          <t>m</t>
        </is>
      </c>
      <c r="E312" s="50" t="n">
        <v>117</v>
      </c>
      <c r="F312" s="50" t="n">
        <v>117</v>
      </c>
      <c r="G312" s="27" t="inlineStr">
        <is>
          <t>fire+%30</t>
        </is>
      </c>
      <c r="H312" s="50">
        <f>F312/IF(Varsayimlar!$B$21=1,1.43,1)</f>
        <v/>
      </c>
      <c r="I312" s="51" t="n">
        <v>17</v>
      </c>
      <c r="J312" s="28">
        <f>H312*I312</f>
        <v/>
      </c>
      <c r="K312" s="52" t="inlineStr">
        <is>
          <t>GEÇMİŞ TEKLİF UYARLAMA</t>
        </is>
      </c>
      <c r="L312" s="7" t="inlineStr">
        <is>
          <t>REF-teyit – R05456 Kocaeli KentMey.Tram/Uluhanlar 2015 8.45; R05550 Kocaeli KentMey.Tram/bilinmiyor 2015 13.49; R05848 Kocaeli KentMey.Tram/Mertsan 2015 8.83; R05975 Kirazlı-Halkalı Metro/Panel 2024 29.47; R06101 Siirt-Kurtalan DY/Yamaner 2025 22.42; R05748 Kocaeli KentMey.Tram/FER 2015 15.09→21.12×1.4 | medyan 17.31 (galv. 1"; FER ×1,4) = 17.31 € | sapma +1.8% ≤%10 → mevcut REF teyit [Emsal ID: R05456;R05550;R05848;R05975;R06101;R05748]</t>
        </is>
      </c>
      <c r="M312" s="7" t="inlineStr">
        <is>
          <t>1" galvaniz montajlı</t>
        </is>
      </c>
    </row>
    <row r="313" outlineLevel="1">
      <c r="A313" s="27" t="n"/>
      <c r="B313" s="27" t="inlineStr">
        <is>
          <t>5009.A</t>
        </is>
      </c>
      <c r="C313" s="7" t="inlineStr">
        <is>
          <t>Basınçlı hava borusu galvaniz çelik (ring), askı-kelepçe dahil 1/2"</t>
        </is>
      </c>
      <c r="D313" s="27" t="inlineStr">
        <is>
          <t>m</t>
        </is>
      </c>
      <c r="E313" s="50" t="n">
        <v>234</v>
      </c>
      <c r="F313" s="50" t="n">
        <v>234</v>
      </c>
      <c r="G313" s="27" t="inlineStr">
        <is>
          <t>fire+%30</t>
        </is>
      </c>
      <c r="H313" s="50">
        <f>F313/IF(Varsayimlar!$B$21=1,1.43,1)</f>
        <v/>
      </c>
      <c r="I313" s="51" t="n">
        <v>12</v>
      </c>
      <c r="J313" s="28">
        <f>H313*I313</f>
        <v/>
      </c>
      <c r="K313" s="52" t="inlineStr">
        <is>
          <t>GEÇMİŞ TEKLİF UYARLAMA</t>
        </is>
      </c>
      <c r="L313" s="7" t="inlineStr">
        <is>
          <t>REF-teyit – R05455 Kocaeli KentMey.Tram/Uluhanlar 2015 5.36; R05549 Kocaeli KentMey.Tram/bilinmiyor 2015 11.58; R05847 Kocaeli KentMey.Tram/Mertsan 2015 4.83; R05363 İzmir Buca Metro/Alp 2021 10.74; R06100 Siirt-Kurtalan DY/Yamaner 2025 16.01; R05746 Kocaeli KentMey.Tram/FER 2015 11.04→15.46×1.4 | medyan 11.16 (galv. ½"/DN20; FER ×1,4) = 11.16 € | sapma -7.0% ≤%10 → mevcut REF teyit [Emsal ID: R05455;R05549;R05847;R05363;R06100;R05746]</t>
        </is>
      </c>
      <c r="M313" s="7" t="inlineStr">
        <is>
          <t>Ref 1" den yüksek; 1/2" montajlı</t>
        </is>
      </c>
    </row>
    <row r="314" outlineLevel="1">
      <c r="A314" s="27" t="n"/>
      <c r="B314" s="27" t="inlineStr">
        <is>
          <t>5009.A</t>
        </is>
      </c>
      <c r="C314" s="7" t="inlineStr">
        <is>
          <t>Kullanım noktası: şartlandırıcılı (filtre-regülatör-yağlayıcı), hızlı bağlantılı, kapama valfli çıkış</t>
        </is>
      </c>
      <c r="D314" s="27" t="inlineStr">
        <is>
          <t>adet</t>
        </is>
      </c>
      <c r="E314" s="50" t="n">
        <v>74</v>
      </c>
      <c r="F314" s="50" t="n">
        <v>74</v>
      </c>
      <c r="G314" s="27" t="inlineStr">
        <is>
          <t>-</t>
        </is>
      </c>
      <c r="H314" s="50">
        <f>F314</f>
        <v/>
      </c>
      <c r="I314" s="51" t="n">
        <v>120</v>
      </c>
      <c r="J314" s="28">
        <f>H314*I314</f>
        <v/>
      </c>
      <c r="K314" s="52" t="inlineStr">
        <is>
          <t>GEÇMİŞ TEKLİF UYARLAMA</t>
        </is>
      </c>
      <c r="L314" s="7" t="inlineStr">
        <is>
          <t>REF-teyit – Kullanım noktası: Buca Troy filtreli hızlı bağlantı 78,24 M+İ; Mertsan yağlayıcı 42,14+regülatör 33,27 mlz + filtre/vana → FRL'li 110–150; 120 teyit [Emsal ID: R05362;R05924;R05925]</t>
        </is>
      </c>
      <c r="M314" s="7" t="inlineStr">
        <is>
          <t>Ref düşük; FRL+hızlı bağlantı+vana</t>
        </is>
      </c>
    </row>
    <row r="315" outlineLevel="1">
      <c r="A315" s="27" t="n"/>
      <c r="B315" s="27" t="inlineStr">
        <is>
          <t>5009.A</t>
        </is>
      </c>
      <c r="C315" s="7" t="inlineStr">
        <is>
          <t>Kesme vanası 3" (K.V.) — ring bölge vanaları</t>
        </is>
      </c>
      <c r="D315" s="27" t="inlineStr">
        <is>
          <t>adet</t>
        </is>
      </c>
      <c r="E315" s="50" t="n">
        <v>21</v>
      </c>
      <c r="F315" s="50" t="n">
        <v>21</v>
      </c>
      <c r="G315" s="27" t="inlineStr">
        <is>
          <t>-</t>
        </is>
      </c>
      <c r="H315" s="50">
        <f>F315</f>
        <v/>
      </c>
      <c r="I315" s="51" t="n">
        <v>128.07</v>
      </c>
      <c r="J315" s="28">
        <f>H315*I315</f>
        <v/>
      </c>
      <c r="K315" s="52" t="inlineStr">
        <is>
          <t>GEÇMİŞ TEKLİF UYARLAMA</t>
        </is>
      </c>
      <c r="L315" s="7" t="inlineStr">
        <is>
          <t>REF-derin(1) – R05366 İzmir Buca Metro/Alp 2021 106.13 (küresel vana DN80 basınçlı hava) | tek emsal 106.13 ile mevcut 150.00 ortalaması [Emsal ID: R05366]</t>
        </is>
      </c>
      <c r="M315" s="7" t="inlineStr">
        <is>
          <t>3" vana montajlı | İlk tahmin BF 150.00</t>
        </is>
      </c>
    </row>
    <row r="316" outlineLevel="1">
      <c r="A316" s="27" t="n"/>
      <c r="B316" s="27" t="inlineStr">
        <is>
          <t>5009.A</t>
        </is>
      </c>
      <c r="C316" s="7" t="inlineStr">
        <is>
          <t>Kompresör odası taze hava alış / egzoz atış panjurları + havalandırma fanı</t>
        </is>
      </c>
      <c r="D316" s="27" t="inlineStr">
        <is>
          <t>takım</t>
        </is>
      </c>
      <c r="E316" s="50" t="n">
        <v>1</v>
      </c>
      <c r="F316" s="50" t="n">
        <v>1</v>
      </c>
      <c r="G316" s="27" t="inlineStr">
        <is>
          <t>-</t>
        </is>
      </c>
      <c r="H316" s="50">
        <f>F316</f>
        <v/>
      </c>
      <c r="I316" s="51" t="n">
        <v>2500</v>
      </c>
      <c r="J316" s="28">
        <f>H316*I316</f>
        <v/>
      </c>
      <c r="K316" s="53" t="inlineStr">
        <is>
          <t>MÜHENDİSLİK TAHMİNİ</t>
        </is>
      </c>
      <c r="L316" s="7" t="inlineStr">
        <is>
          <t>TAHMIN (emsal yok) – emsal bulunamadı; mevcut tahmin korundu</t>
        </is>
      </c>
      <c r="M316" s="7" t="inlineStr"/>
    </row>
    <row r="317" outlineLevel="1">
      <c r="A317" s="27" t="n"/>
      <c r="B317" s="27" t="inlineStr">
        <is>
          <t>5009.A</t>
        </is>
      </c>
      <c r="C317" s="7" t="inlineStr">
        <is>
          <t>Kum verme sistemi KS (kum silosu, besleme bunkeri, kompresör, kurutucu, tank, filtre, egzoz fanı, boru/kanal/vana), ~10 kW</t>
        </is>
      </c>
      <c r="D317" s="27" t="inlineStr">
        <is>
          <t>set</t>
        </is>
      </c>
      <c r="E317" s="50" t="n">
        <v>1</v>
      </c>
      <c r="F317" s="50" t="n">
        <v>1</v>
      </c>
      <c r="G317" s="27" t="inlineStr">
        <is>
          <t>-</t>
        </is>
      </c>
      <c r="H317" s="50">
        <f>F317</f>
        <v/>
      </c>
      <c r="I317" s="51" t="n">
        <v>50000</v>
      </c>
      <c r="J317" s="28">
        <f>H317*I317</f>
        <v/>
      </c>
      <c r="K317" s="53" t="inlineStr">
        <is>
          <t>MÜHENDİSLİK TAHMİNİ</t>
        </is>
      </c>
      <c r="L317" s="7" t="inlineStr">
        <is>
          <t>TAHMIN (emsal yok) – Emsal yok (veritabanında kum verme sistemi yok); tedarikçi teklifi alınmalı</t>
        </is>
      </c>
      <c r="M317" s="7" t="inlineStr">
        <is>
          <t>Komple kum verme sistemi; teyit edilmeli</t>
        </is>
      </c>
    </row>
    <row r="318">
      <c r="A318" s="48" t="inlineStr">
        <is>
          <t>363</t>
        </is>
      </c>
      <c r="B318" s="48" t="inlineStr">
        <is>
          <t>5009.B</t>
        </is>
      </c>
      <c r="C318" s="48" t="inlineStr">
        <is>
          <t>Depo-Kontrol Binaları Basınçlı Hava Sistemi Tasarımı (1 set)</t>
        </is>
      </c>
      <c r="D318" s="48" t="n"/>
      <c r="E318" s="48" t="n"/>
      <c r="F318" s="48" t="n"/>
      <c r="G318" s="48" t="n"/>
      <c r="H318" s="48" t="inlineStr">
        <is>
          <t>RFQ tutarı →</t>
        </is>
      </c>
      <c r="I318" s="49">
        <f>SUMPRODUCT(E319:E319,I319:I319)</f>
        <v/>
      </c>
      <c r="J318" s="49">
        <f>SUM(J319:J319)</f>
        <v/>
      </c>
      <c r="K318" s="48" t="n"/>
      <c r="L318" s="48" t="n"/>
      <c r="M318" s="48" t="n"/>
    </row>
    <row r="319" outlineLevel="1">
      <c r="A319" s="27" t="n"/>
      <c r="B319" s="27" t="inlineStr">
        <is>
          <t>5009.B</t>
        </is>
      </c>
      <c r="C319" s="7" t="inlineStr">
        <is>
          <t>Basınçlı hava sistemi uygulama projesi: debi/basınç hesabı, kompresör-tank-kurutucu seçimi, boru çaplandırma, ring izometrisi, kullanım noktaları yerleşimi, şartname/tanımlar, as-built</t>
        </is>
      </c>
      <c r="D319" s="27" t="inlineStr">
        <is>
          <t>set</t>
        </is>
      </c>
      <c r="E319" s="50" t="n">
        <v>1</v>
      </c>
      <c r="F319" s="50" t="n">
        <v>1</v>
      </c>
      <c r="G319" s="27" t="inlineStr">
        <is>
          <t>-</t>
        </is>
      </c>
      <c r="H319" s="50">
        <f>F319</f>
        <v/>
      </c>
      <c r="I319" s="51" t="n">
        <v>4000</v>
      </c>
      <c r="J319" s="28">
        <f>H319*I319</f>
        <v/>
      </c>
      <c r="K319" s="53" t="inlineStr">
        <is>
          <t>MÜHENDİSLİK TAHMİNİ</t>
        </is>
      </c>
      <c r="L319" s="7" t="inlineStr">
        <is>
          <t>TAHMIN (emsal yok) – emsal bulunamadı; mevcut tahmin korundu</t>
        </is>
      </c>
      <c r="M319" s="7" t="inlineStr">
        <is>
          <t>Küçük tramvay deposu ölçeğinde proje</t>
        </is>
      </c>
    </row>
    <row r="320"/>
    <row r="321">
      <c r="C321" s="14" t="inlineStr">
        <is>
          <t>TOPLAM (net metraj, idare cevaplarına göre)</t>
        </is>
      </c>
      <c r="J321" s="56">
        <f>J5+J14+J23+J32+J41+J50+J59+J72+J105+J110+J140+J143+J146+J149+J152+J155+J158+J160+J199+J204+J209+J214+J219+J224+J228+J230+J248+J252+J289+J302+J318</f>
        <v/>
      </c>
    </row>
    <row r="322">
      <c r="C322" s="14" t="inlineStr">
        <is>
          <t>Karşılaştırma: RFQ cetvel miktarlarıyla (şişirmeli, düzeltmesiz) tutar</t>
        </is>
      </c>
      <c r="J322" s="56">
        <f>I5+I14+I23+I32+I41+I50+I59+I72+I105+I110+I140+I143+I146+I149+I152+I155+I158+I160+I199+I204+I209+I214+I219+I224+I228+I230+I248+I252+I289+I302+I318</f>
        <v/>
      </c>
    </row>
    <row r="323">
      <c r="C323" s="14" t="inlineStr">
        <is>
          <t>Fark (metraj payları + idare cevapları)</t>
        </is>
      </c>
      <c r="J323" s="56">
        <f>J321-J322</f>
        <v/>
      </c>
    </row>
    <row r="324"/>
    <row r="325">
      <c r="C325" s="19" t="inlineStr">
        <is>
          <t>FİYAT TÜRÜNE GÖRE DAĞILIM</t>
        </is>
      </c>
    </row>
    <row r="326">
      <c r="C326" s="57" t="inlineStr">
        <is>
          <t>2026 TEKLİF</t>
        </is>
      </c>
      <c r="J326" s="23">
        <f>SUMIF($K$5:$K$319,"2026 TEKLİF",$J$5:$J$319)</f>
        <v/>
      </c>
      <c r="K326" s="58">
        <f>IF($J$321=0,0,J326/$J$321)</f>
        <v/>
      </c>
    </row>
    <row r="327">
      <c r="C327" s="59" t="inlineStr">
        <is>
          <t>GEÇMİŞ TEKLİF UYARLAMA</t>
        </is>
      </c>
      <c r="J327" s="23">
        <f>SUMIF($K$5:$K$319,"GEÇMİŞ TEKLİF UYARLAMA",$J$5:$J$319)</f>
        <v/>
      </c>
      <c r="K327" s="58">
        <f>IF($J$321=0,0,J327/$J$321)</f>
        <v/>
      </c>
    </row>
    <row r="328">
      <c r="C328" s="60" t="inlineStr">
        <is>
          <t>MÜHENDİSLİK TAHMİNİ</t>
        </is>
      </c>
      <c r="J328" s="23">
        <f>SUMIF($K$5:$K$319,"MÜHENDİSLİK TAHMİNİ",$J$5:$J$319)</f>
        <v/>
      </c>
      <c r="K328" s="58">
        <f>IF($J$321=0,0,J328/$J$321)</f>
        <v/>
      </c>
    </row>
    <row r="329">
      <c r="C329" s="61" t="inlineStr">
        <is>
          <t>İdare cevabıyla kapsam dışı kalan kalemlerin RFQ'daki değeri (bilgi)</t>
        </is>
      </c>
      <c r="J329" s="23">
        <f>SUMPRODUCT(($K$5:$K$319="KAPSAM DIŞI (0)")*$E$5:$E$319*$I$5:$I$319)</f>
        <v/>
      </c>
    </row>
  </sheetData>
  <autoFilter ref="A4:M4"/>
  <mergeCells count="3">
    <mergeCell ref="A3:B3"/>
    <mergeCell ref="A2:M2"/>
    <mergeCell ref="C3:M3"/>
  </mergeCells>
  <pageMargins left="0.75" right="0.75" top="1" bottom="1" header="0.5" footer="0.5"/>
  <pageSetup orientation="landscape" fitToWidth="1"/>
</worksheet>
</file>

<file path=xl/worksheets/sheet8.xml><?xml version="1.0" encoding="utf-8"?>
<worksheet xmlns="http://schemas.openxmlformats.org/spreadsheetml/2006/main">
  <sheetPr>
    <tabColor rgb="00A5A5A5"/>
    <outlinePr summaryBelow="0" summaryRight="1"/>
    <pageSetUpPr/>
  </sheetPr>
  <dimension ref="A1:M2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2" customWidth="1" min="3" max="3"/>
    <col width="7" customWidth="1" min="4" max="4"/>
    <col width="12" customWidth="1" min="5" max="5"/>
    <col width="12" customWidth="1" min="6" max="6"/>
    <col width="11" customWidth="1" min="7" max="7"/>
    <col width="12" customWidth="1" min="8" max="8"/>
    <col width="13" customWidth="1" min="9" max="9"/>
    <col width="14" customWidth="1" min="10" max="10"/>
    <col width="17" customWidth="1" min="11" max="11"/>
    <col width="55" customWidth="1" min="12" max="12"/>
    <col width="40" customWidth="1" min="13" max="13"/>
  </cols>
  <sheetData>
    <row r="1">
      <c r="A1" s="1" t="inlineStr">
        <is>
          <t>3 ASANSÖR – Sıra 364–365 (13 asansör)</t>
        </is>
      </c>
    </row>
    <row r="2" ht="48" customHeight="1">
      <c r="A2" s="2" t="inlineStr">
        <is>
          <t>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is>
      </c>
    </row>
    <row r="3" ht="22" customHeight="1">
      <c r="A3" s="21" t="inlineStr">
        <is>
          <t>DİSİPLİN TOPLAMI →</t>
        </is>
      </c>
      <c r="C3" s="47">
        <f>"Kalem bazlı toplam: "&amp;TEXT(J13,"#,##0")&amp;" €   |   2026 teklif: "&amp;TEXT(K18,"0%")&amp;"   |   Geçmiş teklif uyarlaması: "&amp;TEXT(K19,"0%")&amp;"   |   Tahmin: "&amp;TEXT(K20,"0%")&amp;"   |   Kalem kalem görmek için sol kenardaki [+] / [1][2] düğmelerini kullanın"</f>
        <v/>
      </c>
    </row>
    <row r="4" ht="42" customHeight="1">
      <c r="A4" s="3" t="inlineStr">
        <is>
          <t>Sıra</t>
        </is>
      </c>
      <c r="B4" s="3" t="inlineStr">
        <is>
          <t>Poz</t>
        </is>
      </c>
      <c r="C4" s="3" t="inlineStr">
        <is>
          <t>Kalem / Alt kalem</t>
        </is>
      </c>
      <c r="D4" s="3" t="inlineStr">
        <is>
          <t>Birim</t>
        </is>
      </c>
      <c r="E4" s="3" t="inlineStr">
        <is>
          <t>Miktar (RFQ cetveli)</t>
        </is>
      </c>
      <c r="F4" s="3" t="inlineStr">
        <is>
          <t>Miktar (idare cevabına göre)</t>
        </is>
      </c>
      <c r="G4" s="3" t="inlineStr">
        <is>
          <t>Metraj payı geri alınan</t>
        </is>
      </c>
      <c r="H4" s="3" t="inlineStr">
        <is>
          <t>Net miktar (bütçe)</t>
        </is>
      </c>
      <c r="I4" s="3" t="inlineStr">
        <is>
          <t>Birim fiyat EUR (montaj dahil)</t>
        </is>
      </c>
      <c r="J4" s="3" t="inlineStr">
        <is>
          <t>Tutar EUR</t>
        </is>
      </c>
      <c r="K4" s="3" t="inlineStr">
        <is>
          <t>Fiyat türü</t>
        </is>
      </c>
      <c r="L4" s="3" t="inlineStr">
        <is>
          <t>Fiyat kaynağı / emsal (proje, firma, yıl, uyarlama)</t>
        </is>
      </c>
      <c r="M4" s="3" t="inlineStr">
        <is>
          <t>Not / düzeltme</t>
        </is>
      </c>
    </row>
    <row r="5">
      <c r="A5" s="48" t="inlineStr">
        <is>
          <t>364</t>
        </is>
      </c>
      <c r="B5" s="48" t="inlineStr">
        <is>
          <t>5010.A</t>
        </is>
      </c>
      <c r="C5" s="48" t="inlineStr">
        <is>
          <t>2 Duraklı 13 Kişilik Asansör (12 adet – 4 üst geçit × 3)</t>
        </is>
      </c>
      <c r="D5" s="48" t="n"/>
      <c r="E5" s="48" t="n"/>
      <c r="F5" s="48" t="n"/>
      <c r="G5" s="48" t="n"/>
      <c r="H5" s="48" t="inlineStr">
        <is>
          <t>RFQ tutarı →</t>
        </is>
      </c>
      <c r="I5" s="49">
        <f>SUMPRODUCT(E6:E9,I6:I9)</f>
        <v/>
      </c>
      <c r="J5" s="49">
        <f>SUM(J6:J9)</f>
        <v/>
      </c>
      <c r="K5" s="48" t="n"/>
      <c r="L5" s="48" t="n"/>
      <c r="M5" s="48" t="n"/>
    </row>
    <row r="6" outlineLevel="1">
      <c r="A6" s="27" t="n"/>
      <c r="B6" s="27" t="inlineStr">
        <is>
          <t>5010.A</t>
        </is>
      </c>
      <c r="C6" s="7" t="inlineStr">
        <is>
          <t>Asansör 1000 kg, 2 durak, MRL dişlisiz, VVVF, 1 m/s, cam+paslanmaz kabin – S09 Hızmalı Köprüsü</t>
        </is>
      </c>
      <c r="D6" s="27" t="inlineStr">
        <is>
          <t>adet</t>
        </is>
      </c>
      <c r="E6" s="50" t="n">
        <v>3</v>
      </c>
      <c r="F6" s="50" t="n">
        <v>3</v>
      </c>
      <c r="G6" s="27" t="inlineStr">
        <is>
          <t>-</t>
        </is>
      </c>
      <c r="H6" s="50">
        <f>F6</f>
        <v/>
      </c>
      <c r="I6" s="51">
        <f>MEDIAN(Teklifler!$G$4:$G$6)</f>
        <v/>
      </c>
      <c r="J6" s="28">
        <f>H6*I6</f>
        <v/>
      </c>
      <c r="K6" s="62" t="inlineStr">
        <is>
          <t>2026 TEKLİF</t>
        </is>
      </c>
      <c r="L6" s="7" t="inlineStr">
        <is>
          <t>TEKLİF medyanı (Schindler, TK, Emlift)</t>
        </is>
      </c>
      <c r="M6" s="7" t="inlineStr">
        <is>
          <t>Bakım hariç; yeşil etiket, eğitim dahil</t>
        </is>
      </c>
    </row>
    <row r="7" outlineLevel="1">
      <c r="A7" s="27" t="n"/>
      <c r="B7" s="27" t="inlineStr">
        <is>
          <t>5010.A</t>
        </is>
      </c>
      <c r="C7" s="7" t="inlineStr">
        <is>
          <t>Asansör 1000 kg – S10 Balıklıgöl</t>
        </is>
      </c>
      <c r="D7" s="27" t="inlineStr">
        <is>
          <t>adet</t>
        </is>
      </c>
      <c r="E7" s="50" t="n">
        <v>3</v>
      </c>
      <c r="F7" s="50" t="n">
        <v>3</v>
      </c>
      <c r="G7" s="27" t="inlineStr">
        <is>
          <t>-</t>
        </is>
      </c>
      <c r="H7" s="50">
        <f>F7</f>
        <v/>
      </c>
      <c r="I7" s="51">
        <f>MEDIAN(Teklifler!$G$4:$G$6)</f>
        <v/>
      </c>
      <c r="J7" s="28">
        <f>H7*I7</f>
        <v/>
      </c>
      <c r="K7" s="62" t="inlineStr">
        <is>
          <t>2026 TEKLİF</t>
        </is>
      </c>
      <c r="L7" s="7" t="inlineStr">
        <is>
          <t>TEKLİF medyanı</t>
        </is>
      </c>
      <c r="M7" s="7" t="inlineStr"/>
    </row>
    <row r="8" outlineLevel="1">
      <c r="A8" s="27" t="n"/>
      <c r="B8" s="27" t="inlineStr">
        <is>
          <t>5010.A</t>
        </is>
      </c>
      <c r="C8" s="7" t="inlineStr">
        <is>
          <t>Asansör 1000 kg – S11 Eyyüp Peygamber</t>
        </is>
      </c>
      <c r="D8" s="27" t="inlineStr">
        <is>
          <t>adet</t>
        </is>
      </c>
      <c r="E8" s="50" t="n">
        <v>3</v>
      </c>
      <c r="F8" s="50" t="n">
        <v>3</v>
      </c>
      <c r="G8" s="27" t="inlineStr">
        <is>
          <t>-</t>
        </is>
      </c>
      <c r="H8" s="50">
        <f>F8</f>
        <v/>
      </c>
      <c r="I8" s="51">
        <f>MEDIAN(Teklifler!$G$4:$G$6)</f>
        <v/>
      </c>
      <c r="J8" s="28">
        <f>H8*I8</f>
        <v/>
      </c>
      <c r="K8" s="62" t="inlineStr">
        <is>
          <t>2026 TEKLİF</t>
        </is>
      </c>
      <c r="L8" s="7" t="inlineStr">
        <is>
          <t>TEKLİF medyanı</t>
        </is>
      </c>
      <c r="M8" s="7" t="inlineStr"/>
    </row>
    <row r="9" outlineLevel="1">
      <c r="A9" s="27" t="n"/>
      <c r="B9" s="27" t="inlineStr">
        <is>
          <t>5010.A</t>
        </is>
      </c>
      <c r="C9" s="7" t="inlineStr">
        <is>
          <t>Asansör 1000 kg – S12 Rasathane</t>
        </is>
      </c>
      <c r="D9" s="27" t="inlineStr">
        <is>
          <t>adet</t>
        </is>
      </c>
      <c r="E9" s="50" t="n">
        <v>3</v>
      </c>
      <c r="F9" s="50" t="n">
        <v>3</v>
      </c>
      <c r="G9" s="27" t="inlineStr">
        <is>
          <t>-</t>
        </is>
      </c>
      <c r="H9" s="50">
        <f>F9</f>
        <v/>
      </c>
      <c r="I9" s="51">
        <f>MEDIAN(Teklifler!$G$4:$G$6)</f>
        <v/>
      </c>
      <c r="J9" s="28">
        <f>H9*I9</f>
        <v/>
      </c>
      <c r="K9" s="62" t="inlineStr">
        <is>
          <t>2026 TEKLİF</t>
        </is>
      </c>
      <c r="L9" s="7" t="inlineStr">
        <is>
          <t>TEKLİF medyanı</t>
        </is>
      </c>
      <c r="M9" s="7" t="inlineStr"/>
    </row>
    <row r="10">
      <c r="A10" s="48" t="inlineStr">
        <is>
          <t>365</t>
        </is>
      </c>
      <c r="B10" s="48" t="inlineStr">
        <is>
          <t>5010.B</t>
        </is>
      </c>
      <c r="C10" s="48" t="inlineStr">
        <is>
          <t>2 Duraklı 10 Kişilik 800 kg Asansör (D01 idari bina)</t>
        </is>
      </c>
      <c r="D10" s="48" t="n"/>
      <c r="E10" s="48" t="n"/>
      <c r="F10" s="48" t="n"/>
      <c r="G10" s="48" t="n"/>
      <c r="H10" s="48" t="inlineStr">
        <is>
          <t>RFQ tutarı →</t>
        </is>
      </c>
      <c r="I10" s="49">
        <f>SUMPRODUCT(E11:E11,I11:I11)</f>
        <v/>
      </c>
      <c r="J10" s="49">
        <f>SUM(J11:J11)</f>
        <v/>
      </c>
      <c r="K10" s="48" t="n"/>
      <c r="L10" s="48" t="n"/>
      <c r="M10" s="48" t="n"/>
    </row>
    <row r="11" outlineLevel="1">
      <c r="A11" s="27" t="n"/>
      <c r="B11" s="27" t="inlineStr">
        <is>
          <t>5010.B</t>
        </is>
      </c>
      <c r="C11" s="7" t="inlineStr">
        <is>
          <t>Asansör 800 kg, 2 durak (zemin/1. kat), MRL, VVVF, 1 m/s – D01</t>
        </is>
      </c>
      <c r="D11" s="27" t="inlineStr">
        <is>
          <t>adet</t>
        </is>
      </c>
      <c r="E11" s="50" t="n">
        <v>1</v>
      </c>
      <c r="F11" s="50" t="n">
        <v>1</v>
      </c>
      <c r="G11" s="27" t="inlineStr">
        <is>
          <t>-</t>
        </is>
      </c>
      <c r="H11" s="50">
        <f>F11</f>
        <v/>
      </c>
      <c r="I11" s="51">
        <f>MEDIAN(Teklifler!$H$4:$H$6)</f>
        <v/>
      </c>
      <c r="J11" s="28">
        <f>H11*I11</f>
        <v/>
      </c>
      <c r="K11" s="62" t="inlineStr">
        <is>
          <t>2026 TEKLİF</t>
        </is>
      </c>
      <c r="L11" s="7" t="inlineStr">
        <is>
          <t>TEKLİF medyanı</t>
        </is>
      </c>
      <c r="M11" s="7" t="inlineStr"/>
    </row>
    <row r="12"/>
    <row r="13">
      <c r="C13" s="14" t="inlineStr">
        <is>
          <t>TOPLAM (net metraj, idare cevaplarına göre)</t>
        </is>
      </c>
      <c r="J13" s="56">
        <f>J5+J10</f>
        <v/>
      </c>
    </row>
    <row r="14">
      <c r="C14" s="14" t="inlineStr">
        <is>
          <t>Karşılaştırma: RFQ cetvel miktarlarıyla (şişirmeli, düzeltmesiz) tutar</t>
        </is>
      </c>
      <c r="J14" s="56">
        <f>I5+I10</f>
        <v/>
      </c>
    </row>
    <row r="15">
      <c r="C15" s="14" t="inlineStr">
        <is>
          <t>Fark (metraj payları + idare cevapları)</t>
        </is>
      </c>
      <c r="J15" s="56">
        <f>J13-J14</f>
        <v/>
      </c>
    </row>
    <row r="16"/>
    <row r="17">
      <c r="C17" s="19" t="inlineStr">
        <is>
          <t>FİYAT TÜRÜNE GÖRE DAĞILIM</t>
        </is>
      </c>
    </row>
    <row r="18">
      <c r="C18" s="57" t="inlineStr">
        <is>
          <t>2026 TEKLİF</t>
        </is>
      </c>
      <c r="J18" s="23">
        <f>SUMIF($K$5:$K$11,"2026 TEKLİF",$J$5:$J$11)</f>
        <v/>
      </c>
      <c r="K18" s="58">
        <f>IF($J$13=0,0,J18/$J$13)</f>
        <v/>
      </c>
    </row>
    <row r="19">
      <c r="C19" s="59" t="inlineStr">
        <is>
          <t>GEÇMİŞ TEKLİF UYARLAMA</t>
        </is>
      </c>
      <c r="J19" s="23">
        <f>SUMIF($K$5:$K$11,"GEÇMİŞ TEKLİF UYARLAMA",$J$5:$J$11)</f>
        <v/>
      </c>
      <c r="K19" s="58">
        <f>IF($J$13=0,0,J19/$J$13)</f>
        <v/>
      </c>
    </row>
    <row r="20">
      <c r="C20" s="60" t="inlineStr">
        <is>
          <t>MÜHENDİSLİK TAHMİNİ</t>
        </is>
      </c>
      <c r="J20" s="23">
        <f>SUMIF($K$5:$K$11,"MÜHENDİSLİK TAHMİNİ",$J$5:$J$11)</f>
        <v/>
      </c>
      <c r="K20" s="58">
        <f>IF($J$13=0,0,J20/$J$13)</f>
        <v/>
      </c>
    </row>
    <row r="21">
      <c r="C21" s="61" t="inlineStr">
        <is>
          <t>İdare cevabıyla kapsam dışı kalan kalemlerin RFQ'daki değeri (bilgi)</t>
        </is>
      </c>
      <c r="J21" s="23">
        <f>SUMPRODUCT(($K$5:$K$11="KAPSAM DIŞI (0)")*$E$5:$E$11*$I$5:$I$11)</f>
        <v/>
      </c>
    </row>
  </sheetData>
  <autoFilter ref="A4:M4"/>
  <mergeCells count="3">
    <mergeCell ref="A3:B3"/>
    <mergeCell ref="A2:M2"/>
    <mergeCell ref="C3:M3"/>
  </mergeCells>
  <pageMargins left="0.75" right="0.75" top="1" bottom="1" header="0.5" footer="0.5"/>
  <pageSetup orientation="landscape" fitToWidth="1"/>
</worksheet>
</file>

<file path=xl/worksheets/sheet9.xml><?xml version="1.0" encoding="utf-8"?>
<worksheet xmlns="http://schemas.openxmlformats.org/spreadsheetml/2006/main">
  <sheetPr>
    <tabColor rgb="00ED7D31"/>
    <outlinePr summaryBelow="0" summaryRight="1"/>
    <pageSetUpPr/>
  </sheetPr>
  <dimension ref="A1:M103"/>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2" customWidth="1" min="3" max="3"/>
    <col width="7" customWidth="1" min="4" max="4"/>
    <col width="12" customWidth="1" min="5" max="5"/>
    <col width="12" customWidth="1" min="6" max="6"/>
    <col width="11" customWidth="1" min="7" max="7"/>
    <col width="12" customWidth="1" min="8" max="8"/>
    <col width="13" customWidth="1" min="9" max="9"/>
    <col width="14" customWidth="1" min="10" max="10"/>
    <col width="17" customWidth="1" min="11" max="11"/>
    <col width="55" customWidth="1" min="12" max="12"/>
    <col width="40" customWidth="1" min="13" max="13"/>
  </cols>
  <sheetData>
    <row r="1">
      <c r="A1" s="1" t="inlineStr">
        <is>
          <t>4 SİNYALİZASYON VE ARAÇ TAKİP (AVLS) – Sıra 228–235</t>
        </is>
      </c>
    </row>
    <row r="2" ht="48" customHeight="1">
      <c r="A2" s="2" t="inlineStr">
        <is>
          <t>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is>
      </c>
    </row>
    <row r="3" ht="22" customHeight="1">
      <c r="A3" s="21" t="inlineStr">
        <is>
          <t>DİSİPLİN TOPLAMI →</t>
        </is>
      </c>
      <c r="C3" s="47">
        <f>"Kalem bazlı toplam: "&amp;TEXT(J95,"#,##0")&amp;" €   |   2026 teklif: "&amp;TEXT(K100,"0%")&amp;"   |   Geçmiş teklif uyarlaması: "&amp;TEXT(K101,"0%")&amp;"   |   Tahmin: "&amp;TEXT(K102,"0%")&amp;"   |   Kalem kalem görmek için sol kenardaki [+] / [1][2] düğmelerini kullanın"</f>
        <v/>
      </c>
    </row>
    <row r="4" ht="42" customHeight="1">
      <c r="A4" s="3" t="inlineStr">
        <is>
          <t>Sıra</t>
        </is>
      </c>
      <c r="B4" s="3" t="inlineStr">
        <is>
          <t>Poz</t>
        </is>
      </c>
      <c r="C4" s="3" t="inlineStr">
        <is>
          <t>Kalem / Alt kalem</t>
        </is>
      </c>
      <c r="D4" s="3" t="inlineStr">
        <is>
          <t>Birim</t>
        </is>
      </c>
      <c r="E4" s="3" t="inlineStr">
        <is>
          <t>Miktar (RFQ cetveli)</t>
        </is>
      </c>
      <c r="F4" s="3" t="inlineStr">
        <is>
          <t>Miktar (idare cevabına göre)</t>
        </is>
      </c>
      <c r="G4" s="3" t="inlineStr">
        <is>
          <t>Metraj payı geri alınan</t>
        </is>
      </c>
      <c r="H4" s="3" t="inlineStr">
        <is>
          <t>Net miktar (bütçe)</t>
        </is>
      </c>
      <c r="I4" s="3" t="inlineStr">
        <is>
          <t>Birim fiyat EUR (montaj dahil)</t>
        </is>
      </c>
      <c r="J4" s="3" t="inlineStr">
        <is>
          <t>Tutar EUR</t>
        </is>
      </c>
      <c r="K4" s="3" t="inlineStr">
        <is>
          <t>Fiyat türü</t>
        </is>
      </c>
      <c r="L4" s="3" t="inlineStr">
        <is>
          <t>Fiyat kaynağı / emsal (proje, firma, yıl, uyarlama)</t>
        </is>
      </c>
      <c r="M4" s="3" t="inlineStr">
        <is>
          <t>Not / düzeltme</t>
        </is>
      </c>
    </row>
    <row r="5">
      <c r="A5" s="48" t="inlineStr">
        <is>
          <t>228</t>
        </is>
      </c>
      <c r="B5" s="48" t="inlineStr">
        <is>
          <t>3001</t>
        </is>
      </c>
      <c r="C5" s="48" t="inlineStr">
        <is>
          <t>Sinyalizasyon Sistemi Tasarımı</t>
        </is>
      </c>
      <c r="D5" s="48" t="n"/>
      <c r="E5" s="48" t="n"/>
      <c r="F5" s="48" t="n"/>
      <c r="G5" s="48" t="n"/>
      <c r="H5" s="48" t="inlineStr">
        <is>
          <t>RFQ tutarı →</t>
        </is>
      </c>
      <c r="I5" s="49">
        <f>SUMPRODUCT(E6:E6,I6:I6)</f>
        <v/>
      </c>
      <c r="J5" s="49">
        <f>SUM(J6:J6)</f>
        <v/>
      </c>
      <c r="K5" s="48" t="n"/>
      <c r="L5" s="48" t="n"/>
      <c r="M5" s="48" t="n"/>
    </row>
    <row r="6" outlineLevel="1">
      <c r="A6" s="27" t="n"/>
      <c r="B6" s="27" t="inlineStr">
        <is>
          <t>3001</t>
        </is>
      </c>
      <c r="C6" s="7" t="inlineStr">
        <is>
          <t>Tasarım paketi: simülasyon, mimari/kilitleme tabloları, uygulama ve kablo projeleri, RAMS/Safety Case (SIL3/SIL2), ISA, test prosedürleri, KET izin dosyası</t>
        </is>
      </c>
      <c r="D6" s="27" t="inlineStr">
        <is>
          <t>set</t>
        </is>
      </c>
      <c r="E6" s="50" t="n">
        <v>1</v>
      </c>
      <c r="F6" s="50" t="n">
        <v>1</v>
      </c>
      <c r="G6" s="27" t="inlineStr">
        <is>
          <t>-</t>
        </is>
      </c>
      <c r="H6" s="50">
        <f>F6</f>
        <v/>
      </c>
      <c r="I6" s="51" t="n">
        <v>207246</v>
      </c>
      <c r="J6" s="28">
        <f>H6*I6</f>
        <v/>
      </c>
      <c r="K6" s="52" t="inlineStr">
        <is>
          <t>GEÇMİŞ TEKLİF UYARLAMA</t>
        </is>
      </c>
      <c r="L6" s="7" t="inlineStr">
        <is>
          <t>REF-teyit – Eminönü T5 Elektroline 2016 mühendislik/dok./PY 207.246 (tek tramvay emsali, benzer ölçek) teyit; Kocaeli keşif 975k yazılım dahil kıyas dışı [Emsal ID: R06504]</t>
        </is>
      </c>
      <c r="M6" s="7" t="inlineStr">
        <is>
          <t>İdare: sıra 228 yalnız tasarım; ekipman 229–232'den</t>
        </is>
      </c>
    </row>
    <row r="7">
      <c r="A7" s="48" t="inlineStr">
        <is>
          <t>229</t>
        </is>
      </c>
      <c r="B7" s="48" t="inlineStr">
        <is>
          <t>3001.A</t>
        </is>
      </c>
      <c r="C7" s="48" t="inlineStr">
        <is>
          <t>Hat Boyu Sinyalizasyon Sistemi</t>
        </is>
      </c>
      <c r="D7" s="48" t="n"/>
      <c r="E7" s="48" t="n"/>
      <c r="F7" s="48" t="n"/>
      <c r="G7" s="48" t="n"/>
      <c r="H7" s="48" t="inlineStr">
        <is>
          <t>RFQ tutarı →</t>
        </is>
      </c>
      <c r="I7" s="49">
        <f>SUMPRODUCT(E8:E46,I8:I46)</f>
        <v/>
      </c>
      <c r="J7" s="49">
        <f>SUM(J8:J46)</f>
        <v/>
      </c>
      <c r="K7" s="48" t="n"/>
      <c r="L7" s="48" t="n"/>
      <c r="M7" s="48" t="n"/>
    </row>
    <row r="8" outlineLevel="1">
      <c r="A8" s="27" t="n"/>
      <c r="B8" s="27" t="inlineStr">
        <is>
          <t>3001.A</t>
        </is>
      </c>
      <c r="C8" s="7" t="inlineStr">
        <is>
          <t>Elektrikli makas motoru (IP67, iç kilitli, uç konum dedektörlü) – ana hat</t>
        </is>
      </c>
      <c r="D8" s="27" t="inlineStr">
        <is>
          <t>takım</t>
        </is>
      </c>
      <c r="E8" s="50" t="n">
        <v>12</v>
      </c>
      <c r="F8" s="54" t="n">
        <v>16</v>
      </c>
      <c r="G8" s="27" t="inlineStr">
        <is>
          <t>-</t>
        </is>
      </c>
      <c r="H8" s="50">
        <f>F8</f>
        <v/>
      </c>
      <c r="I8" s="51" t="n">
        <v>19208</v>
      </c>
      <c r="J8" s="28">
        <f>H8*I8</f>
        <v/>
      </c>
      <c r="K8" s="52" t="inlineStr">
        <is>
          <t>GEÇMİŞ TEKLİF UYARLAMA</t>
        </is>
      </c>
      <c r="L8" s="7" t="inlineStr">
        <is>
          <t>REF-derin – Tramvay makas motoru: İzmir H&amp;K HW61 2014 19.316, CONTEC CSV24 17.785, Elektroline TSH102 2016 15.255 → medyan 17.785 (tedarik) +%8 montaj = 19.208 (Konya H&amp;K 2013 18.484) [Emsal ID: R06520;R06546;R06477;R06599]</t>
        </is>
      </c>
      <c r="M8" s="7" t="inlineStr">
        <is>
          <t>İdare soru 3: ana hattaki tüm makaslar motorlu (+4, C4 kruvazmanı) | İlk tahmin BF 17,785.00</t>
        </is>
      </c>
    </row>
    <row r="9" outlineLevel="1">
      <c r="A9" s="27" t="n"/>
      <c r="B9" s="27" t="inlineStr">
        <is>
          <t>3001.A</t>
        </is>
      </c>
      <c r="C9" s="7" t="inlineStr">
        <is>
          <t>Makas motoru tahrik/dedeksiyon çubukları + dil kilidi seti</t>
        </is>
      </c>
      <c r="D9" s="27" t="inlineStr">
        <is>
          <t>takım</t>
        </is>
      </c>
      <c r="E9" s="50" t="n">
        <v>12</v>
      </c>
      <c r="F9" s="54" t="n">
        <v>16</v>
      </c>
      <c r="G9" s="27" t="inlineStr">
        <is>
          <t>-</t>
        </is>
      </c>
      <c r="H9" s="50">
        <f>F9</f>
        <v/>
      </c>
      <c r="I9" s="51" t="n">
        <v>2969</v>
      </c>
      <c r="J9" s="28">
        <f>H9*I9</f>
        <v/>
      </c>
      <c r="K9" s="52" t="inlineStr">
        <is>
          <t>GEÇMİŞ TEKLİF UYARLAMA</t>
        </is>
      </c>
      <c r="L9" s="7" t="inlineStr">
        <is>
          <t>REF-teyit – İzmir metro Bombardier bars 2.969 (tek ref). DİKKAT: H&amp;K/CONTEC/Elektroline tramvay motor fiyatlarında bağlantı çubuğu+zemin kutusu+dil dedeksiyonu dahil → mükerrer olabilir, teyit [Emsal ID: R06576]</t>
        </is>
      </c>
      <c r="M9" s="7" t="inlineStr">
        <is>
          <t>Motor adedine bağlı</t>
        </is>
      </c>
    </row>
    <row r="10" outlineLevel="1">
      <c r="A10" s="27" t="n"/>
      <c r="B10" s="27" t="inlineStr">
        <is>
          <t>3001.A</t>
        </is>
      </c>
      <c r="C10" s="7" t="inlineStr">
        <is>
          <t>Manuel makas hareket mekanizması (ana hat)</t>
        </is>
      </c>
      <c r="D10" s="27" t="inlineStr">
        <is>
          <t>takım</t>
        </is>
      </c>
      <c r="E10" s="50" t="n">
        <v>4</v>
      </c>
      <c r="F10" s="54" t="n">
        <v>0</v>
      </c>
      <c r="G10" s="27" t="inlineStr">
        <is>
          <t>-</t>
        </is>
      </c>
      <c r="H10" s="50">
        <f>F10</f>
        <v/>
      </c>
      <c r="I10" s="51" t="n">
        <v>5484</v>
      </c>
      <c r="J10" s="28">
        <f>H10*I10</f>
        <v/>
      </c>
      <c r="K10" s="55" t="inlineStr">
        <is>
          <t>KAPSAM DIŞI (0)</t>
        </is>
      </c>
      <c r="L10" s="7" t="inlineStr">
        <is>
          <t>REF-teyit – R06480 Eminönü Tram/Elektroline 2016 4940.38; R06522 İzmir Konak Tram/Hanning 2014 5055.29; R06547 İzmir Konak Tram/CONTEC 2014 4850.49 | medyan 4940.38 (manuel makas mekanizması, tramvay ≥2014) = 4940.38 € | sapma -9.9% ≤%10 → mevcut REF teyit [Emsal ID: R06480;R06522;R06547]</t>
        </is>
      </c>
      <c r="M10" s="7" t="inlineStr">
        <is>
          <t>İdare soru 3: manuel makas yok</t>
        </is>
      </c>
    </row>
    <row r="11" outlineLevel="1">
      <c r="A11" s="27" t="n"/>
      <c r="B11" s="27" t="inlineStr">
        <is>
          <t>3001.A</t>
        </is>
      </c>
      <c r="C11" s="7" t="inlineStr">
        <is>
          <t>Manuel makas konum izleme kutusu (IO/RTU)</t>
        </is>
      </c>
      <c r="D11" s="27" t="inlineStr">
        <is>
          <t>adet</t>
        </is>
      </c>
      <c r="E11" s="50" t="n">
        <v>1</v>
      </c>
      <c r="F11" s="54" t="n">
        <v>0</v>
      </c>
      <c r="G11" s="27" t="inlineStr">
        <is>
          <t>-</t>
        </is>
      </c>
      <c r="H11" s="50">
        <f>F11</f>
        <v/>
      </c>
      <c r="I11" s="51" t="n">
        <v>3000</v>
      </c>
      <c r="J11" s="28">
        <f>H11*I11</f>
        <v/>
      </c>
      <c r="K11" s="55" t="inlineStr">
        <is>
          <t>KAPSAM DIŞI (0)</t>
        </is>
      </c>
      <c r="L11" s="7" t="inlineStr">
        <is>
          <t>TAHMIN (emsal yok) – emsal bulunamadı; mevcut tahmin korundu</t>
        </is>
      </c>
      <c r="M11" s="7" t="inlineStr">
        <is>
          <t>Manuel makas kalmadı</t>
        </is>
      </c>
    </row>
    <row r="12" outlineLevel="1">
      <c r="A12" s="27" t="n"/>
      <c r="B12" s="27" t="inlineStr">
        <is>
          <t>3001.A</t>
        </is>
      </c>
      <c r="C12" s="7" t="inlineStr">
        <is>
          <t>Lokal kontrol ve kumanda kabini SKP (SIL3, GRP IP54)</t>
        </is>
      </c>
      <c r="D12" s="27" t="inlineStr">
        <is>
          <t>adet</t>
        </is>
      </c>
      <c r="E12" s="50" t="n">
        <v>3</v>
      </c>
      <c r="F12" s="54" t="n">
        <v>4</v>
      </c>
      <c r="G12" s="27" t="inlineStr">
        <is>
          <t>-</t>
        </is>
      </c>
      <c r="H12" s="50">
        <f>F12</f>
        <v/>
      </c>
      <c r="I12" s="51" t="n">
        <v>69988</v>
      </c>
      <c r="J12" s="28">
        <f>H12*I12</f>
        <v/>
      </c>
      <c r="K12" s="52" t="inlineStr">
        <is>
          <t>GEÇMİŞ TEKLİF UYARLAMA</t>
        </is>
      </c>
      <c r="L12" s="7" t="inlineStr">
        <is>
          <t>REF-derin – SKP: CONTEC TCS300 37.832, H&amp;K Konya tek makas 52.370, Elektroline TSIG tipik 87.605, H&amp;K HN-SA (saha ekipmanı dahil) 93.712 → medyan 69.988; mevcut 88.734 + ayrı saha kalemleri ile makas bölgesi başı ~170k ≫ CONTEC bölge toplamı 136.975 (4 motor dahil) – YÜKSEK [Emsal ID: R06540;R06603;R06486;R06526]</t>
        </is>
      </c>
      <c r="M12" s="7" t="inlineStr">
        <is>
          <t>C4 kruvazmanı motorlu olduğundan ilave kontrol birimi (temkinli kabul) | İlk tahmin BF 88,734.00</t>
        </is>
      </c>
    </row>
    <row r="13" outlineLevel="1">
      <c r="A13" s="27" t="n"/>
      <c r="B13" s="27" t="inlineStr">
        <is>
          <t>3001.A</t>
        </is>
      </c>
      <c r="C13" s="7" t="inlineStr">
        <is>
          <t>Sorgulayıcı (interrogator) birimi – SKP içi</t>
        </is>
      </c>
      <c r="D13" s="27" t="inlineStr">
        <is>
          <t>adet</t>
        </is>
      </c>
      <c r="E13" s="50" t="n">
        <v>4</v>
      </c>
      <c r="F13" s="54" t="n">
        <v>5</v>
      </c>
      <c r="G13" s="27" t="inlineStr">
        <is>
          <t>-</t>
        </is>
      </c>
      <c r="H13" s="50">
        <f>F13</f>
        <v/>
      </c>
      <c r="I13" s="51" t="n">
        <v>6602</v>
      </c>
      <c r="J13" s="28">
        <f>H13*I13</f>
        <v/>
      </c>
      <c r="K13" s="52" t="inlineStr">
        <is>
          <t>GEÇMİŞ TEKLİF UYARLAMA</t>
        </is>
      </c>
      <c r="L13" s="7" t="inlineStr">
        <is>
          <t>REF-derin – Araç algılama/sorgulayıcı: Kocaeli SS-3 6.258, Elektroline TDS 2016 6.946 → medyan 6.602 [Emsal ID: R06589;R06499]</t>
        </is>
      </c>
      <c r="M13" s="7" t="inlineStr">
        <is>
          <t>SKP ile birlikte +1 | İlk tahmin BF 6,000.00</t>
        </is>
      </c>
    </row>
    <row r="14" outlineLevel="1">
      <c r="A14" s="27" t="n"/>
      <c r="B14" s="27" t="inlineStr">
        <is>
          <t>3001.A</t>
        </is>
      </c>
      <c r="C14" s="7" t="inlineStr">
        <is>
          <t>Alıcı endüktif lup (güzergah talep) – makas bölgeleri</t>
        </is>
      </c>
      <c r="D14" s="27" t="inlineStr">
        <is>
          <t>adet</t>
        </is>
      </c>
      <c r="E14" s="50" t="n">
        <v>11</v>
      </c>
      <c r="F14" s="50" t="n">
        <v>11</v>
      </c>
      <c r="G14" s="27" t="inlineStr">
        <is>
          <t>-</t>
        </is>
      </c>
      <c r="H14" s="50">
        <f>F14</f>
        <v/>
      </c>
      <c r="I14" s="51" t="n">
        <v>1927</v>
      </c>
      <c r="J14" s="28">
        <f>H14*I14</f>
        <v/>
      </c>
      <c r="K14" s="52" t="inlineStr">
        <is>
          <t>GEÇMİŞ TEKLİF UYARLAMA</t>
        </is>
      </c>
      <c r="L14" s="7" t="inlineStr">
        <is>
          <t>REF-derin – Lup/anten: CONTEC V-COM lup seti (kablo+boru+kutu dahil) 1.506, Elektroline VETRA kavşak seti 4.123/2=2.061 → medyan 1.784 +%8 montaj = 1.927; mevcut 2.814 Thales makas kolu ref'ine dayanıyor (yanlış eşleşme). Satır 34 lup kablosu ile mükerrer riski [Emsal ID: R06544;R06500]</t>
        </is>
      </c>
      <c r="M14" s="7" t="inlineStr">
        <is>
          <t>İlk tahmin BF 2,814.00</t>
        </is>
      </c>
    </row>
    <row r="15" outlineLevel="1">
      <c r="A15" s="27" t="n"/>
      <c r="B15" s="27" t="inlineStr">
        <is>
          <t>3001.A</t>
        </is>
      </c>
      <c r="C15" s="7" t="inlineStr">
        <is>
          <t>Ray devresi / kütle dedektörü (makas kilitleme, bölge meşgul)</t>
        </is>
      </c>
      <c r="D15" s="27" t="inlineStr">
        <is>
          <t>adet</t>
        </is>
      </c>
      <c r="E15" s="50" t="n">
        <v>34</v>
      </c>
      <c r="F15" s="50" t="n">
        <v>34</v>
      </c>
      <c r="G15" s="27" t="inlineStr">
        <is>
          <t>-</t>
        </is>
      </c>
      <c r="H15" s="50">
        <f>F15</f>
        <v/>
      </c>
      <c r="I15" s="51" t="n">
        <v>4561</v>
      </c>
      <c r="J15" s="28">
        <f>H15*I15</f>
        <v/>
      </c>
      <c r="K15" s="52" t="inlineStr">
        <is>
          <t>GEÇMİŞ TEKLİF UYARLAMA</t>
        </is>
      </c>
      <c r="L15" s="7" t="inlineStr">
        <is>
          <t>REF-derin(1) – Tek gerçek tramvay teklifi CONTEC ray devresi seti 3.085+kütle lupu 163 +%8 montaj=3.508; Kocaeli SS-10 8.143 keşif (iç tahmin) → mevcut 5.614 ile ort. 4.561 [Emsal ID: R06541;R06542;R06596]</t>
        </is>
      </c>
      <c r="M15" s="7" t="inlineStr">
        <is>
          <t>İlk tahmin BF 5,614.00</t>
        </is>
      </c>
    </row>
    <row r="16" outlineLevel="1">
      <c r="A16" s="27" t="n"/>
      <c r="B16" s="27" t="inlineStr">
        <is>
          <t>3001.A</t>
        </is>
      </c>
      <c r="C16" s="7" t="inlineStr">
        <is>
          <t>Ana hat makas sinyal lambası 3 ışıklı LED + talep alındı lambası</t>
        </is>
      </c>
      <c r="D16" s="27" t="inlineStr">
        <is>
          <t>takım</t>
        </is>
      </c>
      <c r="E16" s="50" t="n">
        <v>11</v>
      </c>
      <c r="F16" s="50" t="n">
        <v>11</v>
      </c>
      <c r="G16" s="27" t="inlineStr">
        <is>
          <t>-</t>
        </is>
      </c>
      <c r="H16" s="50">
        <f>F16</f>
        <v/>
      </c>
      <c r="I16" s="51" t="n">
        <v>3837</v>
      </c>
      <c r="J16" s="28">
        <f>H16*I16</f>
        <v/>
      </c>
      <c r="K16" s="52" t="inlineStr">
        <is>
          <t>GEÇMİŞ TEKLİF UYARLAMA</t>
        </is>
      </c>
      <c r="L16" s="7" t="inlineStr">
        <is>
          <t>REF-derin(1) – CONTEC LED 3 gövde sinyal 1.915 + talep alındı lambası ~400 +%8 = 2.501; Kocaeli SS-5 8.430 keşif → mevcut 5.173 ile ort. 3.837 (mevcut YÜKSEK) [Emsal ID: R06543;R06591]</t>
        </is>
      </c>
      <c r="M16" s="7" t="inlineStr">
        <is>
          <t>İlk tahmin BF 5,173.00</t>
        </is>
      </c>
    </row>
    <row r="17" outlineLevel="1">
      <c r="A17" s="27" t="n"/>
      <c r="B17" s="27" t="inlineStr">
        <is>
          <t>3001.A</t>
        </is>
      </c>
      <c r="C17" s="7" t="inlineStr">
        <is>
          <t>Sinyal lamba direği – makas bölgeleri</t>
        </is>
      </c>
      <c r="D17" s="27" t="inlineStr">
        <is>
          <t>adet</t>
        </is>
      </c>
      <c r="E17" s="50" t="n">
        <v>11</v>
      </c>
      <c r="F17" s="50" t="n">
        <v>11</v>
      </c>
      <c r="G17" s="27" t="inlineStr">
        <is>
          <t>-</t>
        </is>
      </c>
      <c r="H17" s="50">
        <f>F17</f>
        <v/>
      </c>
      <c r="I17" s="51" t="n">
        <v>1200</v>
      </c>
      <c r="J17" s="28">
        <f>H17*I17</f>
        <v/>
      </c>
      <c r="K17" s="53" t="inlineStr">
        <is>
          <t>MÜHENDİSLİK TAHMİNİ</t>
        </is>
      </c>
      <c r="L17" s="7" t="inlineStr">
        <is>
          <t>TAHMIN (emsal yok) – Uygun emsal yok; mevcut tahmin korundu</t>
        </is>
      </c>
      <c r="M17" s="7" t="inlineStr"/>
    </row>
    <row r="18" outlineLevel="1">
      <c r="A18" s="27" t="n"/>
      <c r="B18" s="27" t="inlineStr">
        <is>
          <t>3001.A</t>
        </is>
      </c>
      <c r="C18" s="7" t="inlineStr">
        <is>
          <t>Lokal talep anahtarı – makas bölgeleri</t>
        </is>
      </c>
      <c r="D18" s="27" t="inlineStr">
        <is>
          <t>adet</t>
        </is>
      </c>
      <c r="E18" s="50" t="n">
        <v>11</v>
      </c>
      <c r="F18" s="50" t="n">
        <v>11</v>
      </c>
      <c r="G18" s="27" t="inlineStr">
        <is>
          <t>-</t>
        </is>
      </c>
      <c r="H18" s="50">
        <f>F18</f>
        <v/>
      </c>
      <c r="I18" s="51" t="n">
        <v>800</v>
      </c>
      <c r="J18" s="28">
        <f>H18*I18</f>
        <v/>
      </c>
      <c r="K18" s="53" t="inlineStr">
        <is>
          <t>MÜHENDİSLİK TAHMİNİ</t>
        </is>
      </c>
      <c r="L18" s="7" t="inlineStr">
        <is>
          <t>TAHMIN (emsal yok) – CONTEC manuel talep paneli 1.321 daha kapsamlı; tek anahtar 800 makul</t>
        </is>
      </c>
      <c r="M18" s="7" t="inlineStr"/>
    </row>
    <row r="19" outlineLevel="1">
      <c r="A19" s="27" t="n"/>
      <c r="B19" s="27" t="inlineStr">
        <is>
          <t>3001.A</t>
        </is>
      </c>
      <c r="C19" s="7" t="inlineStr">
        <is>
          <t>Karayolu kavşağı sinyalizasyon kontrol kabini TSP (tramvay öncelik)</t>
        </is>
      </c>
      <c r="D19" s="27" t="inlineStr">
        <is>
          <t>adet</t>
        </is>
      </c>
      <c r="E19" s="50" t="n">
        <v>5</v>
      </c>
      <c r="F19" s="50" t="n">
        <v>5</v>
      </c>
      <c r="G19" s="27" t="inlineStr">
        <is>
          <t>-</t>
        </is>
      </c>
      <c r="H19" s="50">
        <f>F19</f>
        <v/>
      </c>
      <c r="I19" s="51" t="n">
        <v>8627</v>
      </c>
      <c r="J19" s="28">
        <f>H19*I19</f>
        <v/>
      </c>
      <c r="K19" s="52" t="inlineStr">
        <is>
          <t>GEÇMİŞ TEKLİF UYARLAMA</t>
        </is>
      </c>
      <c r="L19" s="7" t="inlineStr">
        <is>
          <t>REF-teyit – Kavşak kabini: CONTEC 8.627, Elektroline TDS 6.946, H&amp;K HCS-R (4 lup+kablo dahil) 22.787 → medyan 8.627 teyit [Emsal ID: R06552;R06499;R06525]</t>
        </is>
      </c>
      <c r="M19" s="7" t="inlineStr">
        <is>
          <t>Tramvay tarafı; kapsamda kalır</t>
        </is>
      </c>
    </row>
    <row r="20" outlineLevel="1">
      <c r="A20" s="27" t="n"/>
      <c r="B20" s="27" t="inlineStr">
        <is>
          <t>3001.A</t>
        </is>
      </c>
      <c r="C20" s="7" t="inlineStr">
        <is>
          <t>Alıcı endüktif lup (ON/OFF öncelik talep) – kavşaklar</t>
        </is>
      </c>
      <c r="D20" s="27" t="inlineStr">
        <is>
          <t>adet</t>
        </is>
      </c>
      <c r="E20" s="50" t="n">
        <v>24</v>
      </c>
      <c r="F20" s="50" t="n">
        <v>24</v>
      </c>
      <c r="G20" s="27" t="inlineStr">
        <is>
          <t>-</t>
        </is>
      </c>
      <c r="H20" s="50">
        <f>F20</f>
        <v/>
      </c>
      <c r="I20" s="51" t="n">
        <v>1927</v>
      </c>
      <c r="J20" s="28">
        <f>H20*I20</f>
        <v/>
      </c>
      <c r="K20" s="52" t="inlineStr">
        <is>
          <t>GEÇMİŞ TEKLİF UYARLAMA</t>
        </is>
      </c>
      <c r="L20" s="7" t="inlineStr">
        <is>
          <t>REF-derin – Lup/anten: CONTEC V-COM lup seti (kablo+boru+kutu dahil) 1.506, Elektroline VETRA kavşak seti 4.123/2=2.061 → medyan 1.784 +%8 montaj = 1.927; mevcut 2.814 Thales makas kolu ref'ine dayanıyor (yanlış eşleşme). Satır 34 lup kablosu ile mükerrer riski [Emsal ID: R06544;R06500]</t>
        </is>
      </c>
      <c r="M20" s="7" t="inlineStr">
        <is>
          <t>İlk tahmin BF 2,814.00</t>
        </is>
      </c>
    </row>
    <row r="21" outlineLevel="1">
      <c r="A21" s="27" t="n"/>
      <c r="B21" s="27" t="inlineStr">
        <is>
          <t>3001.A</t>
        </is>
      </c>
      <c r="C21" s="7" t="inlineStr">
        <is>
          <t>Tramvay sinyal lambası 2 ışıklı LED – kavşaklar</t>
        </is>
      </c>
      <c r="D21" s="27" t="inlineStr">
        <is>
          <t>adet</t>
        </is>
      </c>
      <c r="E21" s="50" t="n">
        <v>12</v>
      </c>
      <c r="F21" s="50" t="n">
        <v>12</v>
      </c>
      <c r="G21" s="27" t="inlineStr">
        <is>
          <t>-</t>
        </is>
      </c>
      <c r="H21" s="50">
        <f>F21</f>
        <v/>
      </c>
      <c r="I21" s="51" t="n">
        <v>2834</v>
      </c>
      <c r="J21" s="28">
        <f>H21*I21</f>
        <v/>
      </c>
      <c r="K21" s="52" t="inlineStr">
        <is>
          <t>GEÇMİŞ TEKLİF UYARLAMA</t>
        </is>
      </c>
      <c r="L21" s="7" t="inlineStr">
        <is>
          <t>REF-derin(1) – CONTEC LED sinyal (3 gövde) 1.915+%8=2.069; Kocaeli SS-4 7.268 keşif aykırı → mevcut 3.600 ile ort. 2.834 [Emsal ID: R06543;R06590]</t>
        </is>
      </c>
      <c r="M21" s="7" t="inlineStr">
        <is>
          <t>İlk tahmin BF 3,600.00</t>
        </is>
      </c>
    </row>
    <row r="22" outlineLevel="1">
      <c r="A22" s="27" t="n"/>
      <c r="B22" s="27" t="inlineStr">
        <is>
          <t>3001.A</t>
        </is>
      </c>
      <c r="C22" s="7" t="inlineStr">
        <is>
          <t>Tramvay sinyal direği – kavşaklar</t>
        </is>
      </c>
      <c r="D22" s="27" t="inlineStr">
        <is>
          <t>adet</t>
        </is>
      </c>
      <c r="E22" s="50" t="n">
        <v>12</v>
      </c>
      <c r="F22" s="50" t="n">
        <v>12</v>
      </c>
      <c r="G22" s="27" t="inlineStr">
        <is>
          <t>-</t>
        </is>
      </c>
      <c r="H22" s="50">
        <f>F22</f>
        <v/>
      </c>
      <c r="I22" s="51" t="n">
        <v>1200</v>
      </c>
      <c r="J22" s="28">
        <f>H22*I22</f>
        <v/>
      </c>
      <c r="K22" s="53" t="inlineStr">
        <is>
          <t>MÜHENDİSLİK TAHMİNİ</t>
        </is>
      </c>
      <c r="L22" s="7" t="inlineStr">
        <is>
          <t>TAHMIN (emsal yok) – Uygun emsal yok; mevcut tahmin korundu</t>
        </is>
      </c>
      <c r="M22" s="7" t="inlineStr"/>
    </row>
    <row r="23" outlineLevel="1">
      <c r="A23" s="27" t="n"/>
      <c r="B23" s="27" t="inlineStr">
        <is>
          <t>3001.A</t>
        </is>
      </c>
      <c r="C23" s="7" t="inlineStr">
        <is>
          <t>Lokal kumanda anahtarı – kavşaklar</t>
        </is>
      </c>
      <c r="D23" s="27" t="inlineStr">
        <is>
          <t>adet</t>
        </is>
      </c>
      <c r="E23" s="50" t="n">
        <v>12</v>
      </c>
      <c r="F23" s="50" t="n">
        <v>12</v>
      </c>
      <c r="G23" s="27" t="inlineStr">
        <is>
          <t>-</t>
        </is>
      </c>
      <c r="H23" s="50">
        <f>F23</f>
        <v/>
      </c>
      <c r="I23" s="51" t="n">
        <v>800</v>
      </c>
      <c r="J23" s="28">
        <f>H23*I23</f>
        <v/>
      </c>
      <c r="K23" s="53" t="inlineStr">
        <is>
          <t>MÜHENDİSLİK TAHMİNİ</t>
        </is>
      </c>
      <c r="L23" s="7" t="inlineStr">
        <is>
          <t>TAHMIN (emsal yok) – Uygun emsal yok; mevcut tahmin korundu</t>
        </is>
      </c>
      <c r="M23" s="7" t="inlineStr"/>
    </row>
    <row r="24" outlineLevel="1">
      <c r="A24" s="27" t="n"/>
      <c r="B24" s="27" t="inlineStr">
        <is>
          <t>3001.A</t>
        </is>
      </c>
      <c r="C24" s="7" t="inlineStr">
        <is>
          <t>Yaya geçidi tramvay uyarı seti (flaşör + levha)</t>
        </is>
      </c>
      <c r="D24" s="27" t="inlineStr">
        <is>
          <t>adet</t>
        </is>
      </c>
      <c r="E24" s="50" t="n">
        <v>6</v>
      </c>
      <c r="F24" s="50" t="n">
        <v>6</v>
      </c>
      <c r="G24" s="27" t="inlineStr">
        <is>
          <t>-</t>
        </is>
      </c>
      <c r="H24" s="50">
        <f>F24</f>
        <v/>
      </c>
      <c r="I24" s="51" t="n">
        <v>2500</v>
      </c>
      <c r="J24" s="28">
        <f>H24*I24</f>
        <v/>
      </c>
      <c r="K24" s="53" t="inlineStr">
        <is>
          <t>MÜHENDİSLİK TAHMİNİ</t>
        </is>
      </c>
      <c r="L24" s="7" t="inlineStr">
        <is>
          <t>TAHMIN (emsal yok) – Uygun emsal yok; mevcut tahmin korundu</t>
        </is>
      </c>
      <c r="M24" s="7" t="inlineStr"/>
    </row>
    <row r="25" outlineLevel="1">
      <c r="A25" s="27" t="n"/>
      <c r="B25" s="27" t="inlineStr">
        <is>
          <t>3001.A</t>
        </is>
      </c>
      <c r="C25" s="7" t="inlineStr">
        <is>
          <t>Yaya geçidi uyarı kontrol kutusu + aktivasyon lupu</t>
        </is>
      </c>
      <c r="D25" s="27" t="inlineStr">
        <is>
          <t>takım</t>
        </is>
      </c>
      <c r="E25" s="50" t="n">
        <v>3</v>
      </c>
      <c r="F25" s="50" t="n">
        <v>3</v>
      </c>
      <c r="G25" s="27" t="inlineStr">
        <is>
          <t>-</t>
        </is>
      </c>
      <c r="H25" s="50">
        <f>F25</f>
        <v/>
      </c>
      <c r="I25" s="51" t="n">
        <v>6000</v>
      </c>
      <c r="J25" s="28">
        <f>H25*I25</f>
        <v/>
      </c>
      <c r="K25" s="53" t="inlineStr">
        <is>
          <t>MÜHENDİSLİK TAHMİNİ</t>
        </is>
      </c>
      <c r="L25" s="7" t="inlineStr">
        <is>
          <t>TAHMIN (emsal yok) – Uygun emsal yok; mevcut tahmin korundu</t>
        </is>
      </c>
      <c r="M25" s="7" t="inlineStr"/>
    </row>
    <row r="26" outlineLevel="1">
      <c r="A26" s="27" t="n"/>
      <c r="B26" s="27" t="inlineStr">
        <is>
          <t>3001.A</t>
        </is>
      </c>
      <c r="C26" s="7" t="inlineStr">
        <is>
          <t>TSKP karayolu kavşak kontrol cihazı</t>
        </is>
      </c>
      <c r="D26" s="27" t="inlineStr">
        <is>
          <t>adet</t>
        </is>
      </c>
      <c r="E26" s="50" t="n">
        <v>6</v>
      </c>
      <c r="F26" s="54" t="n">
        <v>0</v>
      </c>
      <c r="G26" s="27" t="inlineStr">
        <is>
          <t>-</t>
        </is>
      </c>
      <c r="H26" s="50">
        <f>F26</f>
        <v/>
      </c>
      <c r="I26" s="51" t="n">
        <v>18000</v>
      </c>
      <c r="J26" s="28">
        <f>H26*I26</f>
        <v/>
      </c>
      <c r="K26" s="55" t="inlineStr">
        <is>
          <t>KAPSAM DIŞI (0)</t>
        </is>
      </c>
      <c r="L26" s="7" t="inlineStr">
        <is>
          <t>TAHMIN (emsal yok) – emsal bulunamadı; mevcut tahmin korundu</t>
        </is>
      </c>
      <c r="M26" s="7" t="inlineStr">
        <is>
          <t>İdare soru 1: TSKP kapsam dışı</t>
        </is>
      </c>
    </row>
    <row r="27" outlineLevel="1">
      <c r="A27" s="27" t="n"/>
      <c r="B27" s="27" t="inlineStr">
        <is>
          <t>3001.A</t>
        </is>
      </c>
      <c r="C27" s="7" t="inlineStr">
        <is>
          <t>Karayolu trafik lambası 300'lük başüstü</t>
        </is>
      </c>
      <c r="D27" s="27" t="inlineStr">
        <is>
          <t>adet</t>
        </is>
      </c>
      <c r="E27" s="50" t="n">
        <v>20</v>
      </c>
      <c r="F27" s="54" t="n">
        <v>0</v>
      </c>
      <c r="G27" s="27" t="inlineStr">
        <is>
          <t>-</t>
        </is>
      </c>
      <c r="H27" s="50">
        <f>F27</f>
        <v/>
      </c>
      <c r="I27" s="51" t="n">
        <v>900</v>
      </c>
      <c r="J27" s="28">
        <f>H27*I27</f>
        <v/>
      </c>
      <c r="K27" s="55" t="inlineStr">
        <is>
          <t>KAPSAM DIŞI (0)</t>
        </is>
      </c>
      <c r="L27" s="7" t="inlineStr">
        <is>
          <t>TAHMIN (emsal yok) – emsal bulunamadı; mevcut tahmin korundu</t>
        </is>
      </c>
      <c r="M27" s="7" t="inlineStr">
        <is>
          <t>İdare soru 1: kapsam dışı</t>
        </is>
      </c>
    </row>
    <row r="28" outlineLevel="1">
      <c r="A28" s="27" t="n"/>
      <c r="B28" s="27" t="inlineStr">
        <is>
          <t>3001.A</t>
        </is>
      </c>
      <c r="C28" s="7" t="inlineStr">
        <is>
          <t>Karayolu trafik lambası 200'lük direk tipi</t>
        </is>
      </c>
      <c r="D28" s="27" t="inlineStr">
        <is>
          <t>adet</t>
        </is>
      </c>
      <c r="E28" s="50" t="n">
        <v>44</v>
      </c>
      <c r="F28" s="54" t="n">
        <v>0</v>
      </c>
      <c r="G28" s="27" t="inlineStr">
        <is>
          <t>-</t>
        </is>
      </c>
      <c r="H28" s="50">
        <f>F28</f>
        <v/>
      </c>
      <c r="I28" s="51" t="n">
        <v>450</v>
      </c>
      <c r="J28" s="28">
        <f>H28*I28</f>
        <v/>
      </c>
      <c r="K28" s="55" t="inlineStr">
        <is>
          <t>KAPSAM DIŞI (0)</t>
        </is>
      </c>
      <c r="L28" s="7" t="inlineStr">
        <is>
          <t>TAHMIN (emsal yok) – emsal bulunamadı; mevcut tahmin korundu</t>
        </is>
      </c>
      <c r="M28" s="7" t="inlineStr">
        <is>
          <t>İdare soru 1: kapsam dışı</t>
        </is>
      </c>
    </row>
    <row r="29" outlineLevel="1">
      <c r="A29" s="27" t="n"/>
      <c r="B29" s="27" t="inlineStr">
        <is>
          <t>3001.A</t>
        </is>
      </c>
      <c r="C29" s="7" t="inlineStr">
        <is>
          <t>Yaya lambası + yaya butonu</t>
        </is>
      </c>
      <c r="D29" s="27" t="inlineStr">
        <is>
          <t>takım</t>
        </is>
      </c>
      <c r="E29" s="50" t="n">
        <v>44</v>
      </c>
      <c r="F29" s="54" t="n">
        <v>0</v>
      </c>
      <c r="G29" s="27" t="inlineStr">
        <is>
          <t>-</t>
        </is>
      </c>
      <c r="H29" s="50">
        <f>F29</f>
        <v/>
      </c>
      <c r="I29" s="51" t="n">
        <v>500</v>
      </c>
      <c r="J29" s="28">
        <f>H29*I29</f>
        <v/>
      </c>
      <c r="K29" s="55" t="inlineStr">
        <is>
          <t>KAPSAM DIŞI (0)</t>
        </is>
      </c>
      <c r="L29" s="7" t="inlineStr">
        <is>
          <t>TAHMIN (emsal yok) – emsal bulunamadı; mevcut tahmin korundu</t>
        </is>
      </c>
      <c r="M29" s="7" t="inlineStr">
        <is>
          <t>İdare soru 1: kapsam dışı</t>
        </is>
      </c>
    </row>
    <row r="30" outlineLevel="1">
      <c r="A30" s="27" t="n"/>
      <c r="B30" s="27" t="inlineStr">
        <is>
          <t>3001.A</t>
        </is>
      </c>
      <c r="C30" s="7" t="inlineStr">
        <is>
          <t>Trafik lambası direği 3,5 m / 6 m konsollu</t>
        </is>
      </c>
      <c r="D30" s="27" t="inlineStr">
        <is>
          <t>adet</t>
        </is>
      </c>
      <c r="E30" s="50" t="n">
        <v>64</v>
      </c>
      <c r="F30" s="54" t="n">
        <v>0</v>
      </c>
      <c r="G30" s="27" t="inlineStr">
        <is>
          <t>-</t>
        </is>
      </c>
      <c r="H30" s="50">
        <f>F30</f>
        <v/>
      </c>
      <c r="I30" s="51" t="n">
        <v>900</v>
      </c>
      <c r="J30" s="28">
        <f>H30*I30</f>
        <v/>
      </c>
      <c r="K30" s="55" t="inlineStr">
        <is>
          <t>KAPSAM DIŞI (0)</t>
        </is>
      </c>
      <c r="L30" s="7" t="inlineStr">
        <is>
          <t>TAHMIN (emsal yok) – emsal bulunamadı; mevcut tahmin korundu</t>
        </is>
      </c>
      <c r="M30" s="7" t="inlineStr">
        <is>
          <t>İdare soru 1: kapsam dışı</t>
        </is>
      </c>
    </row>
    <row r="31" outlineLevel="1">
      <c r="A31" s="27" t="n"/>
      <c r="B31" s="27" t="inlineStr">
        <is>
          <t>3001.A</t>
        </is>
      </c>
      <c r="C31" s="7" t="inlineStr">
        <is>
          <t>Karayolu trafik sinyal kabloları (TSKP–lambalar)</t>
        </is>
      </c>
      <c r="D31" s="27" t="inlineStr">
        <is>
          <t>m</t>
        </is>
      </c>
      <c r="E31" s="50" t="n">
        <v>2695</v>
      </c>
      <c r="F31" s="54" t="n">
        <v>0</v>
      </c>
      <c r="G31" s="27" t="inlineStr">
        <is>
          <t>fire %10</t>
        </is>
      </c>
      <c r="H31" s="50">
        <f>F31/IF(Varsayimlar!$B$21=1,1.1,1)</f>
        <v/>
      </c>
      <c r="I31" s="51" t="n">
        <v>6</v>
      </c>
      <c r="J31" s="28">
        <f>H31*I31</f>
        <v/>
      </c>
      <c r="K31" s="55" t="inlineStr">
        <is>
          <t>KAPSAM DIŞI (0)</t>
        </is>
      </c>
      <c r="L31" s="7" t="inlineStr">
        <is>
          <t>TAHMIN (emsal yok) – emsal bulunamadı; mevcut tahmin korundu</t>
        </is>
      </c>
      <c r="M31" s="7" t="inlineStr">
        <is>
          <t>İdare soru 1: kapsam dışı</t>
        </is>
      </c>
    </row>
    <row r="32" outlineLevel="1">
      <c r="A32" s="27" t="n"/>
      <c r="B32" s="27" t="inlineStr">
        <is>
          <t>3001.A</t>
        </is>
      </c>
      <c r="C32" s="7" t="inlineStr">
        <is>
          <t>Karayolu sinyal kablo borusu HDPE Ø63</t>
        </is>
      </c>
      <c r="D32" s="27" t="inlineStr">
        <is>
          <t>m</t>
        </is>
      </c>
      <c r="E32" s="50" t="n">
        <v>1210</v>
      </c>
      <c r="F32" s="54" t="n">
        <v>0</v>
      </c>
      <c r="G32" s="27" t="inlineStr">
        <is>
          <t>fire %10</t>
        </is>
      </c>
      <c r="H32" s="50">
        <f>F32/IF(Varsayimlar!$B$21=1,1.1,1)</f>
        <v/>
      </c>
      <c r="I32" s="51" t="n">
        <v>4</v>
      </c>
      <c r="J32" s="28">
        <f>H32*I32</f>
        <v/>
      </c>
      <c r="K32" s="55" t="inlineStr">
        <is>
          <t>KAPSAM DIŞI (0)</t>
        </is>
      </c>
      <c r="L32" s="7" t="inlineStr">
        <is>
          <t>TAHMIN (emsal yok) – emsal bulunamadı; mevcut tahmin korundu</t>
        </is>
      </c>
      <c r="M32" s="7" t="inlineStr">
        <is>
          <t>İdare soru 1: kapsam dışı</t>
        </is>
      </c>
    </row>
    <row r="33" outlineLevel="1">
      <c r="A33" s="27" t="n"/>
      <c r="B33" s="27" t="inlineStr">
        <is>
          <t>3001.A</t>
        </is>
      </c>
      <c r="C33" s="7" t="inlineStr">
        <is>
          <t>Lup besleme kablosu 2x2x1,0 ekranlı</t>
        </is>
      </c>
      <c r="D33" s="27" t="inlineStr">
        <is>
          <t>m</t>
        </is>
      </c>
      <c r="E33" s="50" t="n">
        <v>5468</v>
      </c>
      <c r="F33" s="54">
        <f>5468*Varsayimlar!$B$8</f>
        <v/>
      </c>
      <c r="G33" s="27" t="inlineStr">
        <is>
          <t>fire %10</t>
        </is>
      </c>
      <c r="H33" s="50">
        <f>F33/IF(Varsayimlar!$B$21=1,1.1,1)</f>
        <v/>
      </c>
      <c r="I33" s="51" t="n">
        <v>1.67</v>
      </c>
      <c r="J33" s="28">
        <f>H33*I33</f>
        <v/>
      </c>
      <c r="K33" s="52" t="inlineStr">
        <is>
          <t>GEÇMİŞ TEKLİF UYARLAMA</t>
        </is>
      </c>
      <c r="L33" s="7" t="inlineStr">
        <is>
          <t>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is>
      </c>
      <c r="M33" s="7" t="inlineStr">
        <is>
          <t>Hat boyu 6,44/6,56 | İlk tahmin BF 4.00</t>
        </is>
      </c>
    </row>
    <row r="34" outlineLevel="1">
      <c r="A34" s="27" t="n"/>
      <c r="B34" s="27" t="inlineStr">
        <is>
          <t>3001.A</t>
        </is>
      </c>
      <c r="C34" s="7" t="inlineStr">
        <is>
          <t>Lup kablosu (hat yatağı içi iletken + koruma kanalı)</t>
        </is>
      </c>
      <c r="D34" s="27" t="inlineStr">
        <is>
          <t>adet</t>
        </is>
      </c>
      <c r="E34" s="50" t="n">
        <v>41</v>
      </c>
      <c r="F34" s="50" t="n">
        <v>41</v>
      </c>
      <c r="G34" s="27" t="inlineStr">
        <is>
          <t>-</t>
        </is>
      </c>
      <c r="H34" s="50">
        <f>F34</f>
        <v/>
      </c>
      <c r="I34" s="51" t="n">
        <v>400</v>
      </c>
      <c r="J34" s="28">
        <f>H34*I34</f>
        <v/>
      </c>
      <c r="K34" s="53" t="inlineStr">
        <is>
          <t>MÜHENDİSLİK TAHMİNİ</t>
        </is>
      </c>
      <c r="L34" s="7" t="inlineStr">
        <is>
          <t>TAHMIN (emsal yok) – Emsal yok. DİKKAT: CONTEC lup seti fiyatında lup kablosu+koruma borusu dahil → mükerrer olabilir</t>
        </is>
      </c>
      <c r="M34" s="7" t="inlineStr"/>
    </row>
    <row r="35" outlineLevel="1">
      <c r="A35" s="27" t="n"/>
      <c r="B35" s="27" t="inlineStr">
        <is>
          <t>3001.A</t>
        </is>
      </c>
      <c r="C35" s="7" t="inlineStr">
        <is>
          <t>Ray devresi / dedektör kablosu 2x2x1,0</t>
        </is>
      </c>
      <c r="D35" s="27" t="inlineStr">
        <is>
          <t>m</t>
        </is>
      </c>
      <c r="E35" s="50" t="n">
        <v>2673</v>
      </c>
      <c r="F35" s="54">
        <f>2673*Varsayimlar!$B$8</f>
        <v/>
      </c>
      <c r="G35" s="27" t="inlineStr">
        <is>
          <t>fire %10</t>
        </is>
      </c>
      <c r="H35" s="50">
        <f>F35/IF(Varsayimlar!$B$21=1,1.1,1)</f>
        <v/>
      </c>
      <c r="I35" s="51" t="n">
        <v>1.67</v>
      </c>
      <c r="J35" s="28">
        <f>H35*I35</f>
        <v/>
      </c>
      <c r="K35" s="52" t="inlineStr">
        <is>
          <t>GEÇMİŞ TEKLİF UYARLAMA</t>
        </is>
      </c>
      <c r="L35" s="7" t="inlineStr">
        <is>
          <t>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is>
      </c>
      <c r="M35" s="7" t="inlineStr">
        <is>
          <t>Hat boyu oranı | İlk tahmin BF 4.00</t>
        </is>
      </c>
    </row>
    <row r="36" outlineLevel="1">
      <c r="A36" s="27" t="n"/>
      <c r="B36" s="27" t="inlineStr">
        <is>
          <t>3001.A</t>
        </is>
      </c>
      <c r="C36" s="7" t="inlineStr">
        <is>
          <t>Makas motoru güç+kumanda kablosu 12x2,5</t>
        </is>
      </c>
      <c r="D36" s="27" t="inlineStr">
        <is>
          <t>m</t>
        </is>
      </c>
      <c r="E36" s="50" t="n">
        <v>541</v>
      </c>
      <c r="F36" s="54">
        <f>ROUND(541*16/12,0)</f>
        <v/>
      </c>
      <c r="G36" s="27" t="inlineStr">
        <is>
          <t>fire %10</t>
        </is>
      </c>
      <c r="H36" s="50">
        <f>F36/IF(Varsayimlar!$B$21=1,1.1,1)</f>
        <v/>
      </c>
      <c r="I36" s="51" t="n">
        <v>9</v>
      </c>
      <c r="J36" s="28">
        <f>H36*I36</f>
        <v/>
      </c>
      <c r="K36" s="53" t="inlineStr">
        <is>
          <t>MÜHENDİSLİK TAHMİNİ</t>
        </is>
      </c>
      <c r="L36" s="7" t="inlineStr">
        <is>
          <t>TAHMIN (emsal yok) – Uygun emsal yok; mevcut tahmin korundu</t>
        </is>
      </c>
      <c r="M36" s="7" t="inlineStr">
        <is>
          <t>+4 motor oranında</t>
        </is>
      </c>
    </row>
    <row r="37" outlineLevel="1">
      <c r="A37" s="27" t="n"/>
      <c r="B37" s="27" t="inlineStr">
        <is>
          <t>3001.A</t>
        </is>
      </c>
      <c r="C37" s="7" t="inlineStr">
        <is>
          <t>Sinyal lambası kablosu 12x1,5</t>
        </is>
      </c>
      <c r="D37" s="27" t="inlineStr">
        <is>
          <t>m</t>
        </is>
      </c>
      <c r="E37" s="50" t="n">
        <v>1348</v>
      </c>
      <c r="F37" s="54">
        <f>1348*Varsayimlar!$B$8</f>
        <v/>
      </c>
      <c r="G37" s="27" t="inlineStr">
        <is>
          <t>fire %10</t>
        </is>
      </c>
      <c r="H37" s="50">
        <f>F37/IF(Varsayimlar!$B$21=1,1.1,1)</f>
        <v/>
      </c>
      <c r="I37" s="51" t="n">
        <v>7</v>
      </c>
      <c r="J37" s="28">
        <f>H37*I37</f>
        <v/>
      </c>
      <c r="K37" s="53" t="inlineStr">
        <is>
          <t>MÜHENDİSLİK TAHMİNİ</t>
        </is>
      </c>
      <c r="L37" s="7" t="inlineStr">
        <is>
          <t>TAHMIN (emsal yok) – çok damarlı sinyal kablosu (x1,5) için emsal yok; mevcut tahmin korundu</t>
        </is>
      </c>
      <c r="M37" s="7" t="inlineStr"/>
    </row>
    <row r="38" outlineLevel="1">
      <c r="A38" s="27" t="n"/>
      <c r="B38" s="27" t="inlineStr">
        <is>
          <t>3001.A</t>
        </is>
      </c>
      <c r="C38" s="7" t="inlineStr">
        <is>
          <t>Lokal kumanda anahtarı kablosu 7x1,5</t>
        </is>
      </c>
      <c r="D38" s="27" t="inlineStr">
        <is>
          <t>m</t>
        </is>
      </c>
      <c r="E38" s="50" t="n">
        <v>1348</v>
      </c>
      <c r="F38" s="54">
        <f>1348*Varsayimlar!$B$8</f>
        <v/>
      </c>
      <c r="G38" s="27" t="inlineStr">
        <is>
          <t>fire %10</t>
        </is>
      </c>
      <c r="H38" s="50">
        <f>F38/IF(Varsayimlar!$B$21=1,1.1,1)</f>
        <v/>
      </c>
      <c r="I38" s="51" t="n">
        <v>4.5</v>
      </c>
      <c r="J38" s="28">
        <f>H38*I38</f>
        <v/>
      </c>
      <c r="K38" s="53" t="inlineStr">
        <is>
          <t>MÜHENDİSLİK TAHMİNİ</t>
        </is>
      </c>
      <c r="L38" s="7" t="inlineStr">
        <is>
          <t>TAHMIN (emsal yok) – çok damarlı sinyal kablosu (x1,5) için emsal yok; mevcut tahmin korundu</t>
        </is>
      </c>
      <c r="M38" s="7" t="inlineStr"/>
    </row>
    <row r="39" outlineLevel="1">
      <c r="A39" s="27" t="n"/>
      <c r="B39" s="27" t="inlineStr">
        <is>
          <t>3001.A</t>
        </is>
      </c>
      <c r="C39" s="7" t="inlineStr">
        <is>
          <t>TSP/SKP–TSKP arayüz kablosu 19x1,5</t>
        </is>
      </c>
      <c r="D39" s="27" t="inlineStr">
        <is>
          <t>m</t>
        </is>
      </c>
      <c r="E39" s="50" t="n">
        <v>198</v>
      </c>
      <c r="F39" s="50" t="n">
        <v>198</v>
      </c>
      <c r="G39" s="27" t="inlineStr">
        <is>
          <t>fire %10</t>
        </is>
      </c>
      <c r="H39" s="50">
        <f>F39/IF(Varsayimlar!$B$21=1,1.1,1)</f>
        <v/>
      </c>
      <c r="I39" s="51" t="n">
        <v>10</v>
      </c>
      <c r="J39" s="28">
        <f>H39*I39</f>
        <v/>
      </c>
      <c r="K39" s="53" t="inlineStr">
        <is>
          <t>MÜHENDİSLİK TAHMİNİ</t>
        </is>
      </c>
      <c r="L39" s="7" t="inlineStr">
        <is>
          <t>TAHMIN (emsal yok) – çok damarlı sinyal kablosu (x1,5) için emsal yok; mevcut tahmin korundu</t>
        </is>
      </c>
      <c r="M39" s="7" t="inlineStr">
        <is>
          <t>İdare: irtibat kablolaması kapsamda</t>
        </is>
      </c>
    </row>
    <row r="40" outlineLevel="1">
      <c r="A40" s="27" t="n"/>
      <c r="B40" s="27" t="inlineStr">
        <is>
          <t>3001.A</t>
        </is>
      </c>
      <c r="C40" s="7" t="inlineStr">
        <is>
          <t>Manuel makas konum kontağı kablosu 7x1,5</t>
        </is>
      </c>
      <c r="D40" s="27" t="inlineStr">
        <is>
          <t>m</t>
        </is>
      </c>
      <c r="E40" s="50" t="n">
        <v>117</v>
      </c>
      <c r="F40" s="54" t="n">
        <v>0</v>
      </c>
      <c r="G40" s="27" t="inlineStr">
        <is>
          <t>fire %10</t>
        </is>
      </c>
      <c r="H40" s="50">
        <f>F40/IF(Varsayimlar!$B$21=1,1.1,1)</f>
        <v/>
      </c>
      <c r="I40" s="51" t="n">
        <v>4.5</v>
      </c>
      <c r="J40" s="28">
        <f>H40*I40</f>
        <v/>
      </c>
      <c r="K40" s="55" t="inlineStr">
        <is>
          <t>KAPSAM DIŞI (0)</t>
        </is>
      </c>
      <c r="L40" s="7" t="inlineStr">
        <is>
          <t>TAHMIN (emsal yok) – çok damarlı sinyal kablosu (x1,5) için emsal yok; mevcut tahmin korundu</t>
        </is>
      </c>
      <c r="M40" s="7" t="inlineStr">
        <is>
          <t>Manuel makas yok</t>
        </is>
      </c>
    </row>
    <row r="41" outlineLevel="1">
      <c r="A41" s="27" t="n"/>
      <c r="B41" s="27" t="inlineStr">
        <is>
          <t>3001.A</t>
        </is>
      </c>
      <c r="C41" s="7" t="inlineStr">
        <is>
          <t>Yaya geçidi flaş lamba kablosu 3x1,5</t>
        </is>
      </c>
      <c r="D41" s="27" t="inlineStr">
        <is>
          <t>m</t>
        </is>
      </c>
      <c r="E41" s="50" t="n">
        <v>264</v>
      </c>
      <c r="F41" s="50" t="n">
        <v>264</v>
      </c>
      <c r="G41" s="27" t="inlineStr">
        <is>
          <t>fire %10</t>
        </is>
      </c>
      <c r="H41" s="50">
        <f>F41/IF(Varsayimlar!$B$21=1,1.1,1)</f>
        <v/>
      </c>
      <c r="I41" s="51" t="n">
        <v>2.23</v>
      </c>
      <c r="J41" s="28">
        <f>H41*I41</f>
        <v/>
      </c>
      <c r="K41" s="52" t="inlineStr">
        <is>
          <t>GEÇMİŞ TEKLİF UYARLAMA</t>
        </is>
      </c>
      <c r="L41" s="7" t="inlineStr">
        <is>
          <t>REF-derin(1) – R01698 İzmir Narlıdere Metro/Uskom 2018 1.96 (N2XH 3x1,5) | tek emsal 1.96 ile mevcut 2.50 ortalaması [Emsal ID: R01698]</t>
        </is>
      </c>
      <c r="M41" s="7" t="inlineStr">
        <is>
          <t>İlk tahmin BF 2.50</t>
        </is>
      </c>
    </row>
    <row r="42" outlineLevel="1">
      <c r="A42" s="27" t="n"/>
      <c r="B42" s="27" t="inlineStr">
        <is>
          <t>3001.A</t>
        </is>
      </c>
      <c r="C42" s="7" t="inlineStr">
        <is>
          <t>Kabin besleme kablosu NYY 3x6 (TM UPS panosundan)</t>
        </is>
      </c>
      <c r="D42" s="27" t="inlineStr">
        <is>
          <t>m</t>
        </is>
      </c>
      <c r="E42" s="50" t="n">
        <v>5905</v>
      </c>
      <c r="F42" s="54">
        <f>5905*Varsayimlar!$B$8</f>
        <v/>
      </c>
      <c r="G42" s="27" t="inlineStr">
        <is>
          <t>fire %10</t>
        </is>
      </c>
      <c r="H42" s="50">
        <f>F42/IF(Varsayimlar!$B$21=1,1.1,1)</f>
        <v/>
      </c>
      <c r="I42" s="51" t="n">
        <v>3.06</v>
      </c>
      <c r="J42" s="28">
        <f>H42*I42</f>
        <v/>
      </c>
      <c r="K42" s="52" t="inlineStr">
        <is>
          <t>GEÇMİŞ TEKLİF UYARLAMA</t>
        </is>
      </c>
      <c r="L42" s="7" t="inlineStr">
        <is>
          <t>REF-derin – R00687 İzmir Buca Metro/Türk 2021 3.59→3.31×0.92; R00850 Kocaeli KentMey.Tram/Delta 2015 2.55→2.04×0.8; R00903 Kocaeli KentMey.Tram/Haluk 2015 3.51→2.80×0.8; R00974 Kocaeli KentMey.Tram/MET 2015 4.40→3.52×0.8 | medyan 3.06 (4x6 kablolardan 3x6 için ×0,8; Prysmian malzeme +%15 montaj) = 3.06 € [Emsal ID: R00687;R00850;R00903;R00974]</t>
        </is>
      </c>
      <c r="M42" s="7" t="inlineStr">
        <is>
          <t>İlk tahmin BF 4.50</t>
        </is>
      </c>
    </row>
    <row r="43" outlineLevel="1">
      <c r="A43" s="27" t="n"/>
      <c r="B43" s="27" t="inlineStr">
        <is>
          <t>3001.A</t>
        </is>
      </c>
      <c r="C43" s="7" t="inlineStr">
        <is>
          <t>Kablo koruma borusu HDPE Ø50</t>
        </is>
      </c>
      <c r="D43" s="27" t="inlineStr">
        <is>
          <t>m</t>
        </is>
      </c>
      <c r="E43" s="50" t="n">
        <v>2327</v>
      </c>
      <c r="F43" s="54">
        <f>2327*Varsayimlar!$B$8</f>
        <v/>
      </c>
      <c r="G43" s="27" t="inlineStr">
        <is>
          <t>fire %10</t>
        </is>
      </c>
      <c r="H43" s="50">
        <f>F43/IF(Varsayimlar!$B$21=1,1.1,1)</f>
        <v/>
      </c>
      <c r="I43" s="51" t="n">
        <v>3</v>
      </c>
      <c r="J43" s="28">
        <f>H43*I43</f>
        <v/>
      </c>
      <c r="K43" s="53" t="inlineStr">
        <is>
          <t>MÜHENDİSLİK TAHMİNİ</t>
        </is>
      </c>
      <c r="L43" s="7" t="inlineStr">
        <is>
          <t>TAHMIN (emsal yok) – HDPE kablo koruma borusu emsalleri (R04035,R05059,R05179) çap belirtmiyor; tahmin korundu</t>
        </is>
      </c>
      <c r="M43" s="7" t="inlineStr"/>
    </row>
    <row r="44" outlineLevel="1">
      <c r="A44" s="27" t="n"/>
      <c r="B44" s="27" t="inlineStr">
        <is>
          <t>3001.A</t>
        </is>
      </c>
      <c r="C44" s="7" t="inlineStr">
        <is>
          <t>Kablo koruma borusu HDPE Ø110 (hat/yol altı)</t>
        </is>
      </c>
      <c r="D44" s="27" t="inlineStr">
        <is>
          <t>m</t>
        </is>
      </c>
      <c r="E44" s="50" t="n">
        <v>605</v>
      </c>
      <c r="F44" s="50" t="n">
        <v>605</v>
      </c>
      <c r="G44" s="27" t="inlineStr">
        <is>
          <t>fire %10</t>
        </is>
      </c>
      <c r="H44" s="50">
        <f>F44/IF(Varsayimlar!$B$21=1,1.1,1)</f>
        <v/>
      </c>
      <c r="I44" s="51" t="n">
        <v>7</v>
      </c>
      <c r="J44" s="28">
        <f>H44*I44</f>
        <v/>
      </c>
      <c r="K44" s="53" t="inlineStr">
        <is>
          <t>MÜHENDİSLİK TAHMİNİ</t>
        </is>
      </c>
      <c r="L44" s="7" t="inlineStr">
        <is>
          <t>TAHMIN (emsal yok) – HDPE kablo koruma borusu emsalleri (R04035,R05059,R05179) çap belirtmiyor; tahmin korundu</t>
        </is>
      </c>
      <c r="M44" s="7" t="inlineStr"/>
    </row>
    <row r="45" outlineLevel="1">
      <c r="A45" s="27" t="n"/>
      <c r="B45" s="27" t="inlineStr">
        <is>
          <t>3001.A</t>
        </is>
      </c>
      <c r="C45" s="7" t="inlineStr">
        <is>
          <t>Kabin ve sinyal direği temelleri</t>
        </is>
      </c>
      <c r="D45" s="27" t="inlineStr">
        <is>
          <t>adet</t>
        </is>
      </c>
      <c r="E45" s="50" t="n">
        <v>100</v>
      </c>
      <c r="F45" s="50" t="n">
        <v>100</v>
      </c>
      <c r="G45" s="27" t="inlineStr">
        <is>
          <t>-</t>
        </is>
      </c>
      <c r="H45" s="50">
        <f>F45</f>
        <v/>
      </c>
      <c r="I45" s="51" t="n">
        <v>350</v>
      </c>
      <c r="J45" s="28">
        <f>H45*I45</f>
        <v/>
      </c>
      <c r="K45" s="53" t="inlineStr">
        <is>
          <t>MÜHENDİSLİK TAHMİNİ</t>
        </is>
      </c>
      <c r="L45" s="7" t="inlineStr">
        <is>
          <t>TAHMIN (emsal yok) – Uygun emsal yok; mevcut tahmin korundu</t>
        </is>
      </c>
      <c r="M45" s="7" t="inlineStr"/>
    </row>
    <row r="46" outlineLevel="1">
      <c r="A46" s="27" t="n"/>
      <c r="B46" s="27" t="inlineStr">
        <is>
          <t>3001.A</t>
        </is>
      </c>
      <c r="C46" s="7" t="inlineStr">
        <is>
          <t>Test, devreye alma, entegre test, 15 gün test işletmesi – hat boyu</t>
        </is>
      </c>
      <c r="D46" s="27" t="inlineStr">
        <is>
          <t>set</t>
        </is>
      </c>
      <c r="E46" s="50" t="n">
        <v>1</v>
      </c>
      <c r="F46" s="50" t="n">
        <v>1</v>
      </c>
      <c r="G46" s="27" t="inlineStr">
        <is>
          <t>-</t>
        </is>
      </c>
      <c r="H46" s="50">
        <f>F46</f>
        <v/>
      </c>
      <c r="I46" s="51" t="n">
        <v>40669</v>
      </c>
      <c r="J46" s="28">
        <f>H46*I46</f>
        <v/>
      </c>
      <c r="K46" s="52" t="inlineStr">
        <is>
          <t>GEÇMİŞ TEKLİF UYARLAMA</t>
        </is>
      </c>
      <c r="L46" s="7" t="inlineStr">
        <is>
          <t>REF-teyit – Tramvay devreye alma: H&amp;K Konak 41.046, Karşıyaka 40.291, Elektroline T5 59.376 → medyan 41.046; teyit [Emsal ID: R06529;R06530;R06505]</t>
        </is>
      </c>
      <c r="M46" s="7" t="inlineStr"/>
    </row>
    <row r="47">
      <c r="A47" s="48" t="inlineStr">
        <is>
          <t>230</t>
        </is>
      </c>
      <c r="B47" s="48" t="inlineStr">
        <is>
          <t>3001.B</t>
        </is>
      </c>
      <c r="C47" s="48" t="inlineStr">
        <is>
          <t>Depo Sahası ve Tesisleri Sinyalizasyon Sistemi</t>
        </is>
      </c>
      <c r="D47" s="48" t="n"/>
      <c r="E47" s="48" t="n"/>
      <c r="F47" s="48" t="n"/>
      <c r="G47" s="48" t="n"/>
      <c r="H47" s="48" t="inlineStr">
        <is>
          <t>RFQ tutarı →</t>
        </is>
      </c>
      <c r="I47" s="49">
        <f>SUMPRODUCT(E48:E65,I48:I65)</f>
        <v/>
      </c>
      <c r="J47" s="49">
        <f>SUM(J48:J65)</f>
        <v/>
      </c>
      <c r="K47" s="48" t="n"/>
      <c r="L47" s="48" t="n"/>
      <c r="M47" s="48" t="n"/>
    </row>
    <row r="48" outlineLevel="1">
      <c r="A48" s="27" t="n"/>
      <c r="B48" s="27" t="inlineStr">
        <is>
          <t>3001.B</t>
        </is>
      </c>
      <c r="C48" s="7" t="inlineStr">
        <is>
          <t>Elektrikli makas motoru – depo (IP67, el kranklı, uç konum dedektörlü)</t>
        </is>
      </c>
      <c r="D48" s="27" t="inlineStr">
        <is>
          <t>takım</t>
        </is>
      </c>
      <c r="E48" s="50" t="n">
        <v>20</v>
      </c>
      <c r="F48" s="54" t="n">
        <v>40</v>
      </c>
      <c r="G48" s="27" t="inlineStr">
        <is>
          <t>-</t>
        </is>
      </c>
      <c r="H48" s="50">
        <f>F48</f>
        <v/>
      </c>
      <c r="I48" s="51" t="n">
        <v>15890</v>
      </c>
      <c r="J48" s="28">
        <f>H48*I48</f>
        <v/>
      </c>
      <c r="K48" s="52" t="inlineStr">
        <is>
          <t>GEÇMİŞ TEKLİF UYARLAMA</t>
        </is>
      </c>
      <c r="L48" s="7" t="inlineStr">
        <is>
          <t>REF-derin – Depo makas motoru: H&amp;K HWE 14.713, CONTEC 15.090, Elektroline TSH070 9.121 → medyan 14.713 +%8 montaj = 15.890; mevcut 12.000 gerçek tekliflerin altında – DÜŞÜK [Emsal ID: R06521;R06561;R06478;R06594]</t>
        </is>
      </c>
      <c r="M48" s="7" t="inlineStr">
        <is>
          <t>İdare soru 4: depo makaslarının tamamı motorlu (+20) | İlk tahmin BF 12,000.00</t>
        </is>
      </c>
    </row>
    <row r="49" outlineLevel="1">
      <c r="A49" s="27" t="n"/>
      <c r="B49" s="27" t="inlineStr">
        <is>
          <t>3001.B</t>
        </is>
      </c>
      <c r="C49" s="7" t="inlineStr">
        <is>
          <t>Makas motoru tahrik/dedeksiyon çubuk seti + dil kilidi – depo</t>
        </is>
      </c>
      <c r="D49" s="27" t="inlineStr">
        <is>
          <t>takım</t>
        </is>
      </c>
      <c r="E49" s="50" t="n">
        <v>20</v>
      </c>
      <c r="F49" s="54" t="n">
        <v>40</v>
      </c>
      <c r="G49" s="27" t="inlineStr">
        <is>
          <t>-</t>
        </is>
      </c>
      <c r="H49" s="50">
        <f>F49</f>
        <v/>
      </c>
      <c r="I49" s="51" t="n">
        <v>2969</v>
      </c>
      <c r="J49" s="28">
        <f>H49*I49</f>
        <v/>
      </c>
      <c r="K49" s="52" t="inlineStr">
        <is>
          <t>GEÇMİŞ TEKLİF UYARLAMA</t>
        </is>
      </c>
      <c r="L49" s="7" t="inlineStr">
        <is>
          <t>REF-teyit – Satır 9 ile aynı; mükerrer riski (motor fiyatlarında çubuk seti dahil) teyit edilmeli [Emsal ID: R06576]</t>
        </is>
      </c>
      <c r="M49" s="7" t="inlineStr">
        <is>
          <t>Motor adedine bağlı</t>
        </is>
      </c>
    </row>
    <row r="50" outlineLevel="1">
      <c r="A50" s="27" t="n"/>
      <c r="B50" s="27" t="inlineStr">
        <is>
          <t>3001.B</t>
        </is>
      </c>
      <c r="C50" s="7" t="inlineStr">
        <is>
          <t>Manuel makas hareket mekanizması – depo</t>
        </is>
      </c>
      <c r="D50" s="27" t="inlineStr">
        <is>
          <t>takım</t>
        </is>
      </c>
      <c r="E50" s="50" t="n">
        <v>20</v>
      </c>
      <c r="F50" s="54" t="n">
        <v>0</v>
      </c>
      <c r="G50" s="27" t="inlineStr">
        <is>
          <t>-</t>
        </is>
      </c>
      <c r="H50" s="50">
        <f>F50</f>
        <v/>
      </c>
      <c r="I50" s="51" t="n">
        <v>4940.38</v>
      </c>
      <c r="J50" s="28">
        <f>H50*I50</f>
        <v/>
      </c>
      <c r="K50" s="55" t="inlineStr">
        <is>
          <t>KAPSAM DIŞI (0)</t>
        </is>
      </c>
      <c r="L50" s="7" t="inlineStr">
        <is>
          <t>REF-derin – R06480 Eminönü Tram/Elektroline 2016 4940.38; R06522 İzmir Konak Tram/Hanning 2014 5055.29; R06547 İzmir Konak Tram/CONTEC 2014 4850.49 | medyan 4940.38 (manuel makas mekanizması, tramvay ≥2014) = 4940.38 € | mevcut REF 5541.00 (-10.8%) düzeltildi [Emsal ID: R06480;R06522;R06547]</t>
        </is>
      </c>
      <c r="M50" s="7" t="inlineStr">
        <is>
          <t>İdare soru 4: manuel yok | İlk tahmin BF 5,541.00</t>
        </is>
      </c>
    </row>
    <row r="51" outlineLevel="1">
      <c r="A51" s="27" t="n"/>
      <c r="B51" s="27" t="inlineStr">
        <is>
          <t>3001.B</t>
        </is>
      </c>
      <c r="C51" s="7" t="inlineStr">
        <is>
          <t>Depo sinyalizasyon kontrol ünitesi SKP (SIL2) + IO</t>
        </is>
      </c>
      <c r="D51" s="27" t="inlineStr">
        <is>
          <t>adet</t>
        </is>
      </c>
      <c r="E51" s="50" t="n">
        <v>2</v>
      </c>
      <c r="F51" s="50" t="n">
        <v>2</v>
      </c>
      <c r="G51" s="27" t="inlineStr">
        <is>
          <t>-</t>
        </is>
      </c>
      <c r="H51" s="50">
        <f>F51</f>
        <v/>
      </c>
      <c r="I51" s="51" t="n">
        <v>89900</v>
      </c>
      <c r="J51" s="28">
        <f>H51*I51</f>
        <v/>
      </c>
      <c r="K51" s="52" t="inlineStr">
        <is>
          <t>GEÇMİŞ TEKLİF UYARLAMA</t>
        </is>
      </c>
      <c r="L51" s="7" t="inlineStr">
        <is>
          <t>REF-derin(1) – CONTEC TCS300 depo 16 makas 115.167 → 40 makas (^0,6) 199.568/2 SKP = 99.784; mevcut 80.000 ile ort. 89.900 [Emsal ID: R06556;R06527]</t>
        </is>
      </c>
      <c r="M51" s="7" t="inlineStr">
        <is>
          <t>40 motor için I/O kapasitesi artırıldı | İlk tahmin BF 80,000.00</t>
        </is>
      </c>
    </row>
    <row r="52" outlineLevel="1">
      <c r="A52" s="27" t="n"/>
      <c r="B52" s="27" t="inlineStr">
        <is>
          <t>3001.B</t>
        </is>
      </c>
      <c r="C52" s="7" t="inlineStr">
        <is>
          <t>Depo manuel güzergah talep paneli MSP</t>
        </is>
      </c>
      <c r="D52" s="27" t="inlineStr">
        <is>
          <t>adet</t>
        </is>
      </c>
      <c r="E52" s="50" t="n">
        <v>4</v>
      </c>
      <c r="F52" s="50" t="n">
        <v>4</v>
      </c>
      <c r="G52" s="27" t="inlineStr">
        <is>
          <t>-</t>
        </is>
      </c>
      <c r="H52" s="50">
        <f>F52</f>
        <v/>
      </c>
      <c r="I52" s="51" t="n">
        <v>1604</v>
      </c>
      <c r="J52" s="28">
        <f>H52*I52</f>
        <v/>
      </c>
      <c r="K52" s="52" t="inlineStr">
        <is>
          <t>GEÇMİŞ TEKLİF UYARLAMA</t>
        </is>
      </c>
      <c r="L52" s="7" t="inlineStr">
        <is>
          <t>REF-teyit – CONTEC depo talep paneli 1.184/2.025 → medyan 1.604 teyit [Emsal ID: R06559;R06560]</t>
        </is>
      </c>
      <c r="M52" s="7" t="inlineStr"/>
    </row>
    <row r="53" outlineLevel="1">
      <c r="A53" s="27" t="n"/>
      <c r="B53" s="27" t="inlineStr">
        <is>
          <t>3001.B</t>
        </is>
      </c>
      <c r="C53" s="7" t="inlineStr">
        <is>
          <t>Depo sinyal lambası (makas pozisyon/kilit) + direği</t>
        </is>
      </c>
      <c r="D53" s="27" t="inlineStr">
        <is>
          <t>takım</t>
        </is>
      </c>
      <c r="E53" s="50" t="n">
        <v>20</v>
      </c>
      <c r="F53" s="54" t="n">
        <v>40</v>
      </c>
      <c r="G53" s="27" t="inlineStr">
        <is>
          <t>-</t>
        </is>
      </c>
      <c r="H53" s="50">
        <f>F53</f>
        <v/>
      </c>
      <c r="I53" s="51" t="n">
        <v>1472</v>
      </c>
      <c r="J53" s="28">
        <f>H53*I53</f>
        <v/>
      </c>
      <c r="K53" s="52" t="inlineStr">
        <is>
          <t>GEÇMİŞ TEKLİF UYARLAMA</t>
        </is>
      </c>
      <c r="L53" s="7" t="inlineStr">
        <is>
          <t>REF-derin(1) – CONTEC PPI 874+%8 + direk ~500 = 1.444; mevcut ile ort. 1.472 [Emsal ID: R06558]</t>
        </is>
      </c>
      <c r="M53" s="7" t="inlineStr">
        <is>
          <t>Her motorlu makasa 1 | İlk tahmin BF 1,500.00</t>
        </is>
      </c>
    </row>
    <row r="54" outlineLevel="1">
      <c r="A54" s="27" t="n"/>
      <c r="B54" s="27" t="inlineStr">
        <is>
          <t>3001.B</t>
        </is>
      </c>
      <c r="C54" s="7" t="inlineStr">
        <is>
          <t>Ray devresi / kütle dedektörü – depo</t>
        </is>
      </c>
      <c r="D54" s="27" t="inlineStr">
        <is>
          <t>adet</t>
        </is>
      </c>
      <c r="E54" s="50" t="n">
        <v>24</v>
      </c>
      <c r="F54" s="54" t="n">
        <v>40</v>
      </c>
      <c r="G54" s="27" t="inlineStr">
        <is>
          <t>-</t>
        </is>
      </c>
      <c r="H54" s="50">
        <f>F54</f>
        <v/>
      </c>
      <c r="I54" s="51" t="n">
        <v>3508</v>
      </c>
      <c r="J54" s="28">
        <f>H54*I54</f>
        <v/>
      </c>
      <c r="K54" s="52" t="inlineStr">
        <is>
          <t>GEÇMİŞ TEKLİF UYARLAMA</t>
        </is>
      </c>
      <c r="L54" s="7" t="inlineStr">
        <is>
          <t>REF-derin(1) – Düzeltme: CONTEC ray devresi 3.085 malzeme fiyatıydı; + kütle lupu 163 + %8 montaj = 3.508 [Emsal ID: R06541;R06542]</t>
        </is>
      </c>
      <c r="M54" s="7" t="inlineStr">
        <is>
          <t>Her motorlu makas için kilitleme algılaması | İlk tahmin BF 3,085.00</t>
        </is>
      </c>
    </row>
    <row r="55" outlineLevel="1">
      <c r="A55" s="27" t="n"/>
      <c r="B55" s="27" t="inlineStr">
        <is>
          <t>3001.B</t>
        </is>
      </c>
      <c r="C55" s="7" t="inlineStr">
        <is>
          <t>Makas motoru güç+kumanda kablosu 12x2,5 – depo</t>
        </is>
      </c>
      <c r="D55" s="27" t="inlineStr">
        <is>
          <t>m</t>
        </is>
      </c>
      <c r="E55" s="50" t="n">
        <v>552</v>
      </c>
      <c r="F55" s="54" t="n">
        <v>1104</v>
      </c>
      <c r="G55" s="27" t="inlineStr">
        <is>
          <t>fire %10</t>
        </is>
      </c>
      <c r="H55" s="50">
        <f>F55/IF(Varsayimlar!$B$21=1,1.1,1)</f>
        <v/>
      </c>
      <c r="I55" s="51" t="n">
        <v>9</v>
      </c>
      <c r="J55" s="28">
        <f>H55*I55</f>
        <v/>
      </c>
      <c r="K55" s="53" t="inlineStr">
        <is>
          <t>MÜHENDİSLİK TAHMİNİ</t>
        </is>
      </c>
      <c r="L55" s="7" t="inlineStr">
        <is>
          <t>TAHMIN (emsal yok) – Uygun emsal yok; mevcut tahmin korundu</t>
        </is>
      </c>
      <c r="M55" s="7" t="inlineStr">
        <is>
          <t>Motor sayısı ×2</t>
        </is>
      </c>
    </row>
    <row r="56" outlineLevel="1">
      <c r="A56" s="27" t="n"/>
      <c r="B56" s="27" t="inlineStr">
        <is>
          <t>3001.B</t>
        </is>
      </c>
      <c r="C56" s="7" t="inlineStr">
        <is>
          <t>Manuel makas konum kontağı kablosu 7x1,5 – depo</t>
        </is>
      </c>
      <c r="D56" s="27" t="inlineStr">
        <is>
          <t>m</t>
        </is>
      </c>
      <c r="E56" s="50" t="n">
        <v>959</v>
      </c>
      <c r="F56" s="54" t="n">
        <v>0</v>
      </c>
      <c r="G56" s="27" t="inlineStr">
        <is>
          <t>fire %10</t>
        </is>
      </c>
      <c r="H56" s="50">
        <f>F56/IF(Varsayimlar!$B$21=1,1.1,1)</f>
        <v/>
      </c>
      <c r="I56" s="51" t="n">
        <v>4.5</v>
      </c>
      <c r="J56" s="28">
        <f>H56*I56</f>
        <v/>
      </c>
      <c r="K56" s="55" t="inlineStr">
        <is>
          <t>KAPSAM DIŞI (0)</t>
        </is>
      </c>
      <c r="L56" s="7" t="inlineStr">
        <is>
          <t>TAHMIN (emsal yok) – çok damarlı sinyal kablosu (x1,5) için emsal yok; mevcut tahmin korundu</t>
        </is>
      </c>
      <c r="M56" s="7" t="inlineStr">
        <is>
          <t>Manuel makas yok</t>
        </is>
      </c>
    </row>
    <row r="57" outlineLevel="1">
      <c r="A57" s="27" t="n"/>
      <c r="B57" s="27" t="inlineStr">
        <is>
          <t>3001.B</t>
        </is>
      </c>
      <c r="C57" s="7" t="inlineStr">
        <is>
          <t>Depo sinyal lambası kablosu 12x1,5</t>
        </is>
      </c>
      <c r="D57" s="27" t="inlineStr">
        <is>
          <t>m</t>
        </is>
      </c>
      <c r="E57" s="50" t="n">
        <v>992</v>
      </c>
      <c r="F57" s="54" t="n">
        <v>1984</v>
      </c>
      <c r="G57" s="27" t="inlineStr">
        <is>
          <t>fire %10</t>
        </is>
      </c>
      <c r="H57" s="50">
        <f>F57/IF(Varsayimlar!$B$21=1,1.1,1)</f>
        <v/>
      </c>
      <c r="I57" s="51" t="n">
        <v>7</v>
      </c>
      <c r="J57" s="28">
        <f>H57*I57</f>
        <v/>
      </c>
      <c r="K57" s="53" t="inlineStr">
        <is>
          <t>MÜHENDİSLİK TAHMİNİ</t>
        </is>
      </c>
      <c r="L57" s="7" t="inlineStr">
        <is>
          <t>TAHMIN (emsal yok) – Uygun emsal yok; mevcut tahmin korundu</t>
        </is>
      </c>
      <c r="M57" s="7" t="inlineStr">
        <is>
          <t>Lamba sayısı ×2</t>
        </is>
      </c>
    </row>
    <row r="58" outlineLevel="1">
      <c r="A58" s="27" t="n"/>
      <c r="B58" s="27" t="inlineStr">
        <is>
          <t>3001.B</t>
        </is>
      </c>
      <c r="C58" s="7" t="inlineStr">
        <is>
          <t>Ray devresi / dedektör kablosu 2x2x1,0 – depo</t>
        </is>
      </c>
      <c r="D58" s="27" t="inlineStr">
        <is>
          <t>m</t>
        </is>
      </c>
      <c r="E58" s="50" t="n">
        <v>816</v>
      </c>
      <c r="F58" s="54" t="n">
        <v>1360</v>
      </c>
      <c r="G58" s="27" t="inlineStr">
        <is>
          <t>fire %10</t>
        </is>
      </c>
      <c r="H58" s="50">
        <f>F58/IF(Varsayimlar!$B$21=1,1.1,1)</f>
        <v/>
      </c>
      <c r="I58" s="51" t="n">
        <v>1.67</v>
      </c>
      <c r="J58" s="28">
        <f>H58*I58</f>
        <v/>
      </c>
      <c r="K58" s="52" t="inlineStr">
        <is>
          <t>GEÇMİŞ TEKLİF UYARLAMA</t>
        </is>
      </c>
      <c r="L58" s="7" t="inlineStr">
        <is>
          <t>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is>
      </c>
      <c r="M58" s="7" t="inlineStr">
        <is>
          <t>Dedektör 24→40 | İlk tahmin BF 4.00</t>
        </is>
      </c>
    </row>
    <row r="59" outlineLevel="1">
      <c r="A59" s="27" t="n"/>
      <c r="B59" s="27" t="inlineStr">
        <is>
          <t>3001.B</t>
        </is>
      </c>
      <c r="C59" s="7" t="inlineStr">
        <is>
          <t>MSP panel kablosu 24x1,5</t>
        </is>
      </c>
      <c r="D59" s="27" t="inlineStr">
        <is>
          <t>m</t>
        </is>
      </c>
      <c r="E59" s="50" t="n">
        <v>176</v>
      </c>
      <c r="F59" s="50" t="n">
        <v>176</v>
      </c>
      <c r="G59" s="27" t="inlineStr">
        <is>
          <t>fire %10</t>
        </is>
      </c>
      <c r="H59" s="50">
        <f>F59/IF(Varsayimlar!$B$21=1,1.1,1)</f>
        <v/>
      </c>
      <c r="I59" s="51" t="n">
        <v>12</v>
      </c>
      <c r="J59" s="28">
        <f>H59*I59</f>
        <v/>
      </c>
      <c r="K59" s="53" t="inlineStr">
        <is>
          <t>MÜHENDİSLİK TAHMİNİ</t>
        </is>
      </c>
      <c r="L59" s="7" t="inlineStr">
        <is>
          <t>TAHMIN (emsal yok) – çok damarlı sinyal kablosu (x1,5) için emsal yok; mevcut tahmin korundu</t>
        </is>
      </c>
      <c r="M59" s="7" t="inlineStr"/>
    </row>
    <row r="60" outlineLevel="1">
      <c r="A60" s="27" t="n"/>
      <c r="B60" s="27" t="inlineStr">
        <is>
          <t>3001.B</t>
        </is>
      </c>
      <c r="C60" s="7" t="inlineStr">
        <is>
          <t>SKP besleme kablosu NYY 3x6</t>
        </is>
      </c>
      <c r="D60" s="27" t="inlineStr">
        <is>
          <t>m</t>
        </is>
      </c>
      <c r="E60" s="50" t="n">
        <v>563</v>
      </c>
      <c r="F60" s="50" t="n">
        <v>563</v>
      </c>
      <c r="G60" s="27" t="inlineStr">
        <is>
          <t>fire %10</t>
        </is>
      </c>
      <c r="H60" s="50">
        <f>F60/IF(Varsayimlar!$B$21=1,1.1,1)</f>
        <v/>
      </c>
      <c r="I60" s="51" t="n">
        <v>3.06</v>
      </c>
      <c r="J60" s="28">
        <f>H60*I60</f>
        <v/>
      </c>
      <c r="K60" s="52" t="inlineStr">
        <is>
          <t>GEÇMİŞ TEKLİF UYARLAMA</t>
        </is>
      </c>
      <c r="L60" s="7" t="inlineStr">
        <is>
          <t>REF-derin – R00687 İzmir Buca Metro/Türk 2021 3.59→3.31×0.92; R00850 Kocaeli KentMey.Tram/Delta 2015 2.55→2.04×0.8; R00903 Kocaeli KentMey.Tram/Haluk 2015 3.51→2.80×0.8; R00974 Kocaeli KentMey.Tram/MET 2015 4.40→3.52×0.8 | medyan 3.06 (4x6 kablolardan 3x6 için ×0,8; Prysmian malzeme +%15 montaj) = 3.06 € [Emsal ID: R00687;R00850;R00903;R00974]</t>
        </is>
      </c>
      <c r="M60" s="7" t="inlineStr">
        <is>
          <t>İlk tahmin BF 4.50</t>
        </is>
      </c>
    </row>
    <row r="61" outlineLevel="1">
      <c r="A61" s="27" t="n"/>
      <c r="B61" s="27" t="inlineStr">
        <is>
          <t>3001.B</t>
        </is>
      </c>
      <c r="C61" s="7" t="inlineStr">
        <is>
          <t>SKP–TCC veri bağlantısı 6 core MM FO</t>
        </is>
      </c>
      <c r="D61" s="27" t="inlineStr">
        <is>
          <t>m</t>
        </is>
      </c>
      <c r="E61" s="50" t="n">
        <v>662</v>
      </c>
      <c r="F61" s="50" t="n">
        <v>662</v>
      </c>
      <c r="G61" s="27" t="inlineStr">
        <is>
          <t>fire %10</t>
        </is>
      </c>
      <c r="H61" s="50">
        <f>F61/IF(Varsayimlar!$B$21=1,1.1,1)</f>
        <v/>
      </c>
      <c r="I61" s="51" t="n">
        <v>2.75</v>
      </c>
      <c r="J61" s="28">
        <f>H61*I61</f>
        <v/>
      </c>
      <c r="K61" s="52" t="inlineStr">
        <is>
          <t>GEÇMİŞ TEKLİF UYARLAMA</t>
        </is>
      </c>
      <c r="L61" s="7" t="inlineStr">
        <is>
          <t>REF-derin – R01621 İzmir Narlıdere Metro/Uskom 2018 2.75; R02742 Kabataş-Mahmutbey Metro/Uskom 2015 3.13; R02802 Kocaeli KentMey.Tram/Türk 2014 1344.34→2.02×0.0015 | medyan 2.75 (az lifli FO kablo; R02802 malzeme km→m +%50 montaj) = 2.75 € [Emsal ID: R01621;R02742;R02802]</t>
        </is>
      </c>
      <c r="M61" s="7" t="inlineStr">
        <is>
          <t>İlk tahmin BF 3.50</t>
        </is>
      </c>
    </row>
    <row r="62" outlineLevel="1">
      <c r="A62" s="27" t="n"/>
      <c r="B62" s="27" t="inlineStr">
        <is>
          <t>3001.B</t>
        </is>
      </c>
      <c r="C62" s="7" t="inlineStr">
        <is>
          <t>Kablo koruma borusu HDPE Ø110 – depo ana güzergah</t>
        </is>
      </c>
      <c r="D62" s="27" t="inlineStr">
        <is>
          <t>m</t>
        </is>
      </c>
      <c r="E62" s="50" t="n">
        <v>880</v>
      </c>
      <c r="F62" s="50" t="n">
        <v>880</v>
      </c>
      <c r="G62" s="27" t="inlineStr">
        <is>
          <t>fire %10</t>
        </is>
      </c>
      <c r="H62" s="50">
        <f>F62/IF(Varsayimlar!$B$21=1,1.1,1)</f>
        <v/>
      </c>
      <c r="I62" s="51" t="n">
        <v>7</v>
      </c>
      <c r="J62" s="28">
        <f>H62*I62</f>
        <v/>
      </c>
      <c r="K62" s="53" t="inlineStr">
        <is>
          <t>MÜHENDİSLİK TAHMİNİ</t>
        </is>
      </c>
      <c r="L62" s="7" t="inlineStr">
        <is>
          <t>TAHMIN (emsal yok) – Uygun emsal yok; mevcut tahmin korundu</t>
        </is>
      </c>
      <c r="M62" s="7" t="inlineStr"/>
    </row>
    <row r="63" outlineLevel="1">
      <c r="A63" s="27" t="n"/>
      <c r="B63" s="27" t="inlineStr">
        <is>
          <t>3001.B</t>
        </is>
      </c>
      <c r="C63" s="7" t="inlineStr">
        <is>
          <t>Kablo koruma borusu HDPE Ø50 – depo</t>
        </is>
      </c>
      <c r="D63" s="27" t="inlineStr">
        <is>
          <t>m</t>
        </is>
      </c>
      <c r="E63" s="50" t="n">
        <v>1452</v>
      </c>
      <c r="F63" s="54" t="n">
        <v>2200</v>
      </c>
      <c r="G63" s="27" t="inlineStr">
        <is>
          <t>fire %10</t>
        </is>
      </c>
      <c r="H63" s="50">
        <f>F63/IF(Varsayimlar!$B$21=1,1.1,1)</f>
        <v/>
      </c>
      <c r="I63" s="51" t="n">
        <v>3</v>
      </c>
      <c r="J63" s="28">
        <f>H63*I63</f>
        <v/>
      </c>
      <c r="K63" s="53" t="inlineStr">
        <is>
          <t>MÜHENDİSLİK TAHMİNİ</t>
        </is>
      </c>
      <c r="L63" s="7" t="inlineStr">
        <is>
          <t>TAHMIN (emsal yok) – Uygun emsal yok; mevcut tahmin korundu</t>
        </is>
      </c>
      <c r="M63" s="7" t="inlineStr">
        <is>
          <t>Cihaz sayısı artışı</t>
        </is>
      </c>
    </row>
    <row r="64" outlineLevel="1">
      <c r="A64" s="27" t="n"/>
      <c r="B64" s="27" t="inlineStr">
        <is>
          <t>3001.B</t>
        </is>
      </c>
      <c r="C64" s="7" t="inlineStr">
        <is>
          <t>Kabin / sinyal direği / MSP temelleri</t>
        </is>
      </c>
      <c r="D64" s="27" t="inlineStr">
        <is>
          <t>adet</t>
        </is>
      </c>
      <c r="E64" s="50" t="n">
        <v>27</v>
      </c>
      <c r="F64" s="54" t="n">
        <v>47</v>
      </c>
      <c r="G64" s="27" t="inlineStr">
        <is>
          <t>-</t>
        </is>
      </c>
      <c r="H64" s="50">
        <f>F64</f>
        <v/>
      </c>
      <c r="I64" s="51" t="n">
        <v>350</v>
      </c>
      <c r="J64" s="28">
        <f>H64*I64</f>
        <v/>
      </c>
      <c r="K64" s="53" t="inlineStr">
        <is>
          <t>MÜHENDİSLİK TAHMİNİ</t>
        </is>
      </c>
      <c r="L64" s="7" t="inlineStr">
        <is>
          <t>TAHMIN (emsal yok) – Uygun emsal yok; mevcut tahmin korundu</t>
        </is>
      </c>
      <c r="M64" s="7" t="inlineStr">
        <is>
          <t>+20 lamba direği</t>
        </is>
      </c>
    </row>
    <row r="65" outlineLevel="1">
      <c r="A65" s="27" t="n"/>
      <c r="B65" s="27" t="inlineStr">
        <is>
          <t>3001.B</t>
        </is>
      </c>
      <c r="C65" s="7" t="inlineStr">
        <is>
          <t>Depo güzergah/kilitleme yazılımı (15+ güzergah), test ve devreye alma</t>
        </is>
      </c>
      <c r="D65" s="27" t="inlineStr">
        <is>
          <t>set</t>
        </is>
      </c>
      <c r="E65" s="50" t="n">
        <v>1</v>
      </c>
      <c r="F65" s="50" t="n">
        <v>1</v>
      </c>
      <c r="G65" s="27" t="inlineStr">
        <is>
          <t>-</t>
        </is>
      </c>
      <c r="H65" s="50">
        <f>F65</f>
        <v/>
      </c>
      <c r="I65" s="51" t="n">
        <v>70169</v>
      </c>
      <c r="J65" s="28">
        <f>H65*I65</f>
        <v/>
      </c>
      <c r="K65" s="52" t="inlineStr">
        <is>
          <t>GEÇMİŞ TEKLİF UYARLAMA</t>
        </is>
      </c>
      <c r="L65" s="7" t="inlineStr">
        <is>
          <t>REF-teyit – Elektroline EYAS HW+SW temel konfig. 2016 70.169 (tek emsal) teyit [Emsal ID: R06503]</t>
        </is>
      </c>
      <c r="M65" s="7" t="inlineStr"/>
    </row>
    <row r="66">
      <c r="A66" s="48" t="inlineStr">
        <is>
          <t>231</t>
        </is>
      </c>
      <c r="B66" s="48" t="inlineStr">
        <is>
          <t>3001.C</t>
        </is>
      </c>
      <c r="C66" s="48" t="inlineStr">
        <is>
          <t>Araç Üstü Sinyalizasyon Sistemi</t>
        </is>
      </c>
      <c r="D66" s="48" t="n"/>
      <c r="E66" s="48" t="n"/>
      <c r="F66" s="48" t="n"/>
      <c r="G66" s="48" t="n"/>
      <c r="H66" s="48" t="inlineStr">
        <is>
          <t>RFQ tutarı →</t>
        </is>
      </c>
      <c r="I66" s="49">
        <f>SUMPRODUCT(E67:E73,I67:I73)</f>
        <v/>
      </c>
      <c r="J66" s="49">
        <f>SUM(J67:J73)</f>
        <v/>
      </c>
      <c r="K66" s="48" t="n"/>
      <c r="L66" s="48" t="n"/>
      <c r="M66" s="48" t="n"/>
    </row>
    <row r="67" outlineLevel="1">
      <c r="A67" s="27" t="n"/>
      <c r="B67" s="27" t="inlineStr">
        <is>
          <t>3001.C</t>
        </is>
      </c>
      <c r="C67" s="7" t="inlineStr">
        <is>
          <t>Araç sinyalizasyon işletim paneli – her kabine 1</t>
        </is>
      </c>
      <c r="D67" s="27" t="inlineStr">
        <is>
          <t>adet</t>
        </is>
      </c>
      <c r="E67" s="50" t="n">
        <v>30</v>
      </c>
      <c r="F67" s="54">
        <f>2*Varsayimlar!$B$10</f>
        <v/>
      </c>
      <c r="G67" s="27" t="inlineStr">
        <is>
          <t>-</t>
        </is>
      </c>
      <c r="H67" s="50">
        <f>F67</f>
        <v/>
      </c>
      <c r="I67" s="51" t="n">
        <v>896</v>
      </c>
      <c r="J67" s="28">
        <f>H67*I67</f>
        <v/>
      </c>
      <c r="K67" s="52" t="inlineStr">
        <is>
          <t>GEÇMİŞ TEKLİF UYARLAMA</t>
        </is>
      </c>
      <c r="L67" s="7" t="inlineStr">
        <is>
          <t>REF-derin – Araç üstü set kabin başı: Elektroline VETRA 4.936/araç, H&amp;K Konya 9.255/araç, H&amp;K İzmir 5.047/kabin → medyan 4.628/kabin; mevcut 67–70 kalemleri kabin başı 7.750 → ×0,6 [Emsal ID: R06481;R06606;R06531]</t>
        </is>
      </c>
      <c r="M67" s="7" t="inlineStr">
        <is>
          <t>İdare soru 2: 14 araç | İlk tahmin BF 1,500.00</t>
        </is>
      </c>
    </row>
    <row r="68" outlineLevel="1">
      <c r="A68" s="27" t="n"/>
      <c r="B68" s="27" t="inlineStr">
        <is>
          <t>3001.C</t>
        </is>
      </c>
      <c r="C68" s="7" t="inlineStr">
        <is>
          <t>Araç alıcı-verici (transponder) + alt şasi anteni – her uca 1</t>
        </is>
      </c>
      <c r="D68" s="27" t="inlineStr">
        <is>
          <t>adet</t>
        </is>
      </c>
      <c r="E68" s="50" t="n">
        <v>30</v>
      </c>
      <c r="F68" s="54">
        <f>2*Varsayimlar!$B$10</f>
        <v/>
      </c>
      <c r="G68" s="27" t="inlineStr">
        <is>
          <t>-</t>
        </is>
      </c>
      <c r="H68" s="50">
        <f>F68</f>
        <v/>
      </c>
      <c r="I68" s="51" t="n">
        <v>1493</v>
      </c>
      <c r="J68" s="28">
        <f>H68*I68</f>
        <v/>
      </c>
      <c r="K68" s="52" t="inlineStr">
        <is>
          <t>GEÇMİŞ TEKLİF UYARLAMA</t>
        </is>
      </c>
      <c r="L68" s="7" t="inlineStr">
        <is>
          <t>REF-derin – Araç üstü set kabin başı: Elektroline VETRA 4.936/araç, H&amp;K Konya 9.255/araç, H&amp;K İzmir 5.047/kabin → medyan 4.628/kabin; mevcut 67–70 kalemleri kabin başı 7.750 → ×0,6 [Emsal ID: R06481;R06606;R06531]</t>
        </is>
      </c>
      <c r="M68" s="7" t="inlineStr">
        <is>
          <t>14 araç | İlk tahmin BF 2,500.00</t>
        </is>
      </c>
    </row>
    <row r="69" outlineLevel="1">
      <c r="A69" s="27" t="n"/>
      <c r="B69" s="27" t="inlineStr">
        <is>
          <t>3001.C</t>
        </is>
      </c>
      <c r="C69" s="7" t="inlineStr">
        <is>
          <t>Araç üstü sinyalizasyon kontrol/kodlayıcı birimi (EN 50155)</t>
        </is>
      </c>
      <c r="D69" s="27" t="inlineStr">
        <is>
          <t>adet</t>
        </is>
      </c>
      <c r="E69" s="50" t="n">
        <v>15</v>
      </c>
      <c r="F69" s="54">
        <f>Varsayimlar!$B$10</f>
        <v/>
      </c>
      <c r="G69" s="27" t="inlineStr">
        <is>
          <t>-</t>
        </is>
      </c>
      <c r="H69" s="50">
        <f>F69</f>
        <v/>
      </c>
      <c r="I69" s="51" t="n">
        <v>3583</v>
      </c>
      <c r="J69" s="28">
        <f>H69*I69</f>
        <v/>
      </c>
      <c r="K69" s="52" t="inlineStr">
        <is>
          <t>GEÇMİŞ TEKLİF UYARLAMA</t>
        </is>
      </c>
      <c r="L69" s="7" t="inlineStr">
        <is>
          <t>REF-derin – Araç üstü set kabin başı: Elektroline VETRA 4.936/araç, H&amp;K Konya 9.255/araç, H&amp;K İzmir 5.047/kabin → medyan 4.628/kabin; mevcut 67–70 kalemleri kabin başı 7.750 → ×0,6 [Emsal ID: R06481;R06606;R06531]</t>
        </is>
      </c>
      <c r="M69" s="7" t="inlineStr">
        <is>
          <t>14 araç | İlk tahmin BF 6,000.00</t>
        </is>
      </c>
    </row>
    <row r="70" outlineLevel="1">
      <c r="A70" s="27" t="n"/>
      <c r="B70" s="27" t="inlineStr">
        <is>
          <t>3001.C</t>
        </is>
      </c>
      <c r="C70" s="7" t="inlineStr">
        <is>
          <t>Anten kabloları, araç içi kablaj ve montaj aparatları</t>
        </is>
      </c>
      <c r="D70" s="27" t="inlineStr">
        <is>
          <t>set</t>
        </is>
      </c>
      <c r="E70" s="50" t="n">
        <v>15</v>
      </c>
      <c r="F70" s="54">
        <f>Varsayimlar!$B$10</f>
        <v/>
      </c>
      <c r="G70" s="27" t="inlineStr">
        <is>
          <t>-</t>
        </is>
      </c>
      <c r="H70" s="50">
        <f>F70</f>
        <v/>
      </c>
      <c r="I70" s="51" t="n">
        <v>896</v>
      </c>
      <c r="J70" s="28">
        <f>H70*I70</f>
        <v/>
      </c>
      <c r="K70" s="52" t="inlineStr">
        <is>
          <t>GEÇMİŞ TEKLİF UYARLAMA</t>
        </is>
      </c>
      <c r="L70" s="7" t="inlineStr">
        <is>
          <t>REF-derin – Araç üstü set kabin başı: Elektroline VETRA 4.936/araç, H&amp;K Konya 9.255/araç, H&amp;K İzmir 5.047/kabin → medyan 4.628/kabin; mevcut 67–70 kalemleri kabin başı 7.750 → ×0,6 [Emsal ID: R06481;R06606;R06531]</t>
        </is>
      </c>
      <c r="M70" s="7" t="inlineStr">
        <is>
          <t>14 araç | İlk tahmin BF 1,500.00</t>
        </is>
      </c>
    </row>
    <row r="71" outlineLevel="1">
      <c r="A71" s="27" t="n"/>
      <c r="B71" s="27" t="inlineStr">
        <is>
          <t>3001.C</t>
        </is>
      </c>
      <c r="C71" s="7" t="inlineStr">
        <is>
          <t>Araç arayüzü (hız/odometri, kabin aktif, kapı, TCMS/AVLS)</t>
        </is>
      </c>
      <c r="D71" s="27" t="inlineStr">
        <is>
          <t>set</t>
        </is>
      </c>
      <c r="E71" s="50" t="n">
        <v>15</v>
      </c>
      <c r="F71" s="54">
        <f>Varsayimlar!$B$10</f>
        <v/>
      </c>
      <c r="G71" s="27" t="inlineStr">
        <is>
          <t>-</t>
        </is>
      </c>
      <c r="H71" s="50">
        <f>F71</f>
        <v/>
      </c>
      <c r="I71" s="51" t="n">
        <v>2000</v>
      </c>
      <c r="J71" s="28">
        <f>H71*I71</f>
        <v/>
      </c>
      <c r="K71" s="53" t="inlineStr">
        <is>
          <t>MÜHENDİSLİK TAHMİNİ</t>
        </is>
      </c>
      <c r="L71" s="7" t="inlineStr">
        <is>
          <t>TAHMIN (emsal yok) – Uygun emsal yok; mevcut tahmin korundu</t>
        </is>
      </c>
      <c r="M71" s="7" t="inlineStr">
        <is>
          <t>14 araç</t>
        </is>
      </c>
    </row>
    <row r="72" outlineLevel="1">
      <c r="A72" s="27" t="n"/>
      <c r="B72" s="27" t="inlineStr">
        <is>
          <t>3001.C</t>
        </is>
      </c>
      <c r="C72" s="7" t="inlineStr">
        <is>
          <t>Araç tipi entegrasyon mühendisliği + ilk araç tip testi</t>
        </is>
      </c>
      <c r="D72" s="27" t="inlineStr">
        <is>
          <t>set</t>
        </is>
      </c>
      <c r="E72" s="50" t="n">
        <v>1</v>
      </c>
      <c r="F72" s="50" t="n">
        <v>1</v>
      </c>
      <c r="G72" s="27" t="inlineStr">
        <is>
          <t>-</t>
        </is>
      </c>
      <c r="H72" s="50">
        <f>F72</f>
        <v/>
      </c>
      <c r="I72" s="51" t="n">
        <v>30000</v>
      </c>
      <c r="J72" s="28">
        <f>H72*I72</f>
        <v/>
      </c>
      <c r="K72" s="53" t="inlineStr">
        <is>
          <t>MÜHENDİSLİK TAHMİNİ</t>
        </is>
      </c>
      <c r="L72" s="7" t="inlineStr">
        <is>
          <t>TAHMIN (emsal yok) – Uygun emsal yok; mevcut tahmin korundu</t>
        </is>
      </c>
      <c r="M72" s="7" t="inlineStr">
        <is>
          <t>Araç ayrı ihale; arayüz yüklenicide</t>
        </is>
      </c>
    </row>
    <row r="73" outlineLevel="1">
      <c r="A73" s="27" t="n"/>
      <c r="B73" s="27" t="inlineStr">
        <is>
          <t>3001.C</t>
        </is>
      </c>
      <c r="C73" s="7" t="inlineStr">
        <is>
          <t>Araç başına montaj + statik/dinamik test</t>
        </is>
      </c>
      <c r="D73" s="27" t="inlineStr">
        <is>
          <t>adet</t>
        </is>
      </c>
      <c r="E73" s="50" t="n">
        <v>15</v>
      </c>
      <c r="F73" s="54">
        <f>Varsayimlar!$B$10</f>
        <v/>
      </c>
      <c r="G73" s="27" t="inlineStr">
        <is>
          <t>-</t>
        </is>
      </c>
      <c r="H73" s="50">
        <f>F73</f>
        <v/>
      </c>
      <c r="I73" s="51" t="n">
        <v>3000</v>
      </c>
      <c r="J73" s="28">
        <f>H73*I73</f>
        <v/>
      </c>
      <c r="K73" s="52" t="inlineStr">
        <is>
          <t>GEÇMİŞ TEKLİF UYARLAMA</t>
        </is>
      </c>
      <c r="L73" s="7" t="inlineStr">
        <is>
          <t>REF-derin – Araç başı montaj+test: H&amp;K Konya montaj 2.947+devreye alma 1.875=4.822; Elektroline T1 entegrasyon 58.937/50=1.179 → medyan 3.000 [Emsal ID: R06607;R06608;R06482]</t>
        </is>
      </c>
      <c r="M73" s="7" t="inlineStr">
        <is>
          <t>14 araç | İlk tahmin BF 2,411.00</t>
        </is>
      </c>
    </row>
    <row r="74">
      <c r="A74" s="48" t="inlineStr">
        <is>
          <t>232</t>
        </is>
      </c>
      <c r="B74" s="48" t="inlineStr">
        <is>
          <t>3001.D</t>
        </is>
      </c>
      <c r="C74" s="48" t="inlineStr">
        <is>
          <t>Sinyalizasyon Merkez Donanımı &amp; Sistem Yazılımları</t>
        </is>
      </c>
      <c r="D74" s="48" t="n"/>
      <c r="E74" s="48" t="n"/>
      <c r="F74" s="48" t="n"/>
      <c r="G74" s="48" t="n"/>
      <c r="H74" s="48" t="inlineStr">
        <is>
          <t>RFQ tutarı →</t>
        </is>
      </c>
      <c r="I74" s="49">
        <f>SUMPRODUCT(E75:E87,I75:I87)</f>
        <v/>
      </c>
      <c r="J74" s="49">
        <f>SUM(J75:J87)</f>
        <v/>
      </c>
      <c r="K74" s="48" t="n"/>
      <c r="L74" s="48" t="n"/>
      <c r="M74" s="48" t="n"/>
    </row>
    <row r="75" outlineLevel="1">
      <c r="A75" s="27" t="n"/>
      <c r="B75" s="27" t="inlineStr">
        <is>
          <t>3001.D</t>
        </is>
      </c>
      <c r="C75" s="7" t="inlineStr">
        <is>
          <t>Sinyalizasyon ana işlemcisi (sunucu) – sıcak yedekli</t>
        </is>
      </c>
      <c r="D75" s="27" t="inlineStr">
        <is>
          <t>adet</t>
        </is>
      </c>
      <c r="E75" s="50" t="n">
        <v>2</v>
      </c>
      <c r="F75" s="50" t="n">
        <v>2</v>
      </c>
      <c r="G75" s="27" t="inlineStr">
        <is>
          <t>-</t>
        </is>
      </c>
      <c r="H75" s="50">
        <f>F75</f>
        <v/>
      </c>
      <c r="I75" s="51" t="n">
        <v>11925</v>
      </c>
      <c r="J75" s="28">
        <f>H75*I75</f>
        <v/>
      </c>
      <c r="K75" s="52" t="inlineStr">
        <is>
          <t>GEÇMİŞ TEKLİF UYARLAMA</t>
        </is>
      </c>
      <c r="L75" s="7" t="inlineStr">
        <is>
          <t>REF-teyit – CTC sunucu Dimetronic 11.925/9.160, Başkentray 15.674 → medyan teyit (refler 2010–12; 2026 endüstriyel sunucu ~8–10k, hafif yüksek olabilir) [Emsal ID: R06610;R06745;R06407]</t>
        </is>
      </c>
      <c r="M75" s="7" t="inlineStr"/>
    </row>
    <row r="76" outlineLevel="1">
      <c r="A76" s="27" t="n"/>
      <c r="B76" s="27" t="inlineStr">
        <is>
          <t>3001.D</t>
        </is>
      </c>
      <c r="C76" s="7" t="inlineStr">
        <is>
          <t>Sunucu konsolu KVM + 21" LCD</t>
        </is>
      </c>
      <c r="D76" s="27" t="inlineStr">
        <is>
          <t>takım</t>
        </is>
      </c>
      <c r="E76" s="50" t="n">
        <v>1</v>
      </c>
      <c r="F76" s="50" t="n">
        <v>1</v>
      </c>
      <c r="G76" s="27" t="inlineStr">
        <is>
          <t>-</t>
        </is>
      </c>
      <c r="H76" s="50">
        <f>F76</f>
        <v/>
      </c>
      <c r="I76" s="51" t="n">
        <v>2500</v>
      </c>
      <c r="J76" s="28">
        <f>H76*I76</f>
        <v/>
      </c>
      <c r="K76" s="53" t="inlineStr">
        <is>
          <t>MÜHENDİSLİK TAHMİNİ</t>
        </is>
      </c>
      <c r="L76" s="7" t="inlineStr">
        <is>
          <t>TAHMIN (emsal yok) – emsal bulunamadı; mevcut tahmin korundu</t>
        </is>
      </c>
      <c r="M76" s="7" t="inlineStr"/>
    </row>
    <row r="77" outlineLevel="1">
      <c r="A77" s="27" t="n"/>
      <c r="B77" s="27" t="inlineStr">
        <is>
          <t>3001.D</t>
        </is>
      </c>
      <c r="C77" s="7" t="inlineStr">
        <is>
          <t>19" sinyalizasyon cihaz dolabı + PDU</t>
        </is>
      </c>
      <c r="D77" s="27" t="inlineStr">
        <is>
          <t>adet</t>
        </is>
      </c>
      <c r="E77" s="50" t="n">
        <v>1</v>
      </c>
      <c r="F77" s="50" t="n">
        <v>1</v>
      </c>
      <c r="G77" s="27" t="inlineStr">
        <is>
          <t>-</t>
        </is>
      </c>
      <c r="H77" s="50">
        <f>F77</f>
        <v/>
      </c>
      <c r="I77" s="51" t="n">
        <v>4000</v>
      </c>
      <c r="J77" s="28">
        <f>H77*I77</f>
        <v/>
      </c>
      <c r="K77" s="53" t="inlineStr">
        <is>
          <t>MÜHENDİSLİK TAHMİNİ</t>
        </is>
      </c>
      <c r="L77" s="7" t="inlineStr">
        <is>
          <t>TAHMIN (emsal yok) – emsal bulunamadı; mevcut tahmin korundu</t>
        </is>
      </c>
      <c r="M77" s="7" t="inlineStr"/>
    </row>
    <row r="78" outlineLevel="1">
      <c r="A78" s="27" t="n"/>
      <c r="B78" s="27" t="inlineStr">
        <is>
          <t>3001.D</t>
        </is>
      </c>
      <c r="C78" s="7" t="inlineStr">
        <is>
          <t>Ana hat sinyalizasyon operatör iş istasyonu (2 monitör)</t>
        </is>
      </c>
      <c r="D78" s="27" t="inlineStr">
        <is>
          <t>takım</t>
        </is>
      </c>
      <c r="E78" s="50" t="n">
        <v>2</v>
      </c>
      <c r="F78" s="50" t="n">
        <v>2</v>
      </c>
      <c r="G78" s="27" t="inlineStr">
        <is>
          <t>-</t>
        </is>
      </c>
      <c r="H78" s="50">
        <f>F78</f>
        <v/>
      </c>
      <c r="I78" s="51" t="n">
        <v>6000</v>
      </c>
      <c r="J78" s="28">
        <f>H78*I78</f>
        <v/>
      </c>
      <c r="K78" s="53" t="inlineStr">
        <is>
          <t>MÜHENDİSLİK TAHMİNİ</t>
        </is>
      </c>
      <c r="L78" s="7" t="inlineStr">
        <is>
          <t>TAHMIN (emsal yok) – Uygun emsal yok; mevcut tahmin korundu</t>
        </is>
      </c>
      <c r="M78" s="7" t="inlineStr"/>
    </row>
    <row r="79" outlineLevel="1">
      <c r="A79" s="27" t="n"/>
      <c r="B79" s="27" t="inlineStr">
        <is>
          <t>3001.D</t>
        </is>
      </c>
      <c r="C79" s="7" t="inlineStr">
        <is>
          <t>Depo sinyalizasyon operatör iş istasyonu</t>
        </is>
      </c>
      <c r="D79" s="27" t="inlineStr">
        <is>
          <t>takım</t>
        </is>
      </c>
      <c r="E79" s="50" t="n">
        <v>1</v>
      </c>
      <c r="F79" s="50" t="n">
        <v>1</v>
      </c>
      <c r="G79" s="27" t="inlineStr">
        <is>
          <t>-</t>
        </is>
      </c>
      <c r="H79" s="50">
        <f>F79</f>
        <v/>
      </c>
      <c r="I79" s="51" t="n">
        <v>5000</v>
      </c>
      <c r="J79" s="28">
        <f>H79*I79</f>
        <v/>
      </c>
      <c r="K79" s="53" t="inlineStr">
        <is>
          <t>MÜHENDİSLİK TAHMİNİ</t>
        </is>
      </c>
      <c r="L79" s="7" t="inlineStr">
        <is>
          <t>TAHMIN (emsal yok) – Uygun emsal yok; mevcut tahmin korundu</t>
        </is>
      </c>
      <c r="M79" s="7" t="inlineStr"/>
    </row>
    <row r="80" outlineLevel="1">
      <c r="A80" s="27" t="n"/>
      <c r="B80" s="27" t="inlineStr">
        <is>
          <t>3001.D</t>
        </is>
      </c>
      <c r="C80" s="7" t="inlineStr">
        <is>
          <t>Sinyalizasyon LAN anahtarı (yedekli) + patch + çevirici</t>
        </is>
      </c>
      <c r="D80" s="27" t="inlineStr">
        <is>
          <t>takım</t>
        </is>
      </c>
      <c r="E80" s="50" t="n">
        <v>2</v>
      </c>
      <c r="F80" s="50" t="n">
        <v>2</v>
      </c>
      <c r="G80" s="27" t="inlineStr">
        <is>
          <t>-</t>
        </is>
      </c>
      <c r="H80" s="50">
        <f>F80</f>
        <v/>
      </c>
      <c r="I80" s="51" t="n">
        <v>4000</v>
      </c>
      <c r="J80" s="28">
        <f>H80*I80</f>
        <v/>
      </c>
      <c r="K80" s="53" t="inlineStr">
        <is>
          <t>MÜHENDİSLİK TAHMİNİ</t>
        </is>
      </c>
      <c r="L80" s="7" t="inlineStr">
        <is>
          <t>TAHMIN (emsal yok) – Uygun emsal yok; mevcut tahmin korundu</t>
        </is>
      </c>
      <c r="M80" s="7" t="inlineStr"/>
    </row>
    <row r="81" outlineLevel="1">
      <c r="A81" s="27" t="n"/>
      <c r="B81" s="27" t="inlineStr">
        <is>
          <t>3001.D</t>
        </is>
      </c>
      <c r="C81" s="7" t="inlineStr">
        <is>
          <t>Sinyalizasyon özel yazılımı + lisanslar (ana uygulama, sinoptik, protokoller)</t>
        </is>
      </c>
      <c r="D81" s="27" t="inlineStr">
        <is>
          <t>set</t>
        </is>
      </c>
      <c r="E81" s="50" t="n">
        <v>1</v>
      </c>
      <c r="F81" s="50" t="n">
        <v>1</v>
      </c>
      <c r="G81" s="27" t="inlineStr">
        <is>
          <t>-</t>
        </is>
      </c>
      <c r="H81" s="50">
        <f>F81</f>
        <v/>
      </c>
      <c r="I81" s="51" t="n">
        <v>143284</v>
      </c>
      <c r="J81" s="28">
        <f>H81*I81</f>
        <v/>
      </c>
      <c r="K81" s="52" t="inlineStr">
        <is>
          <t>GEÇMİŞ TEKLİF UYARLAMA</t>
        </is>
      </c>
      <c r="L81" s="7" t="inlineStr">
        <is>
          <t>REF-derin(1) – İzmir tram H&amp;K AVLS/işletme-izleme sistemi (hat başı) 136.568; mevcut 150.000 ile ort. 143.284 [Emsal ID: R06532]</t>
        </is>
      </c>
      <c r="M81" s="7" t="inlineStr">
        <is>
          <t>Tramvay referansı yok (metro CBTC ref. 2,7–12 M€ kullanılmadı) | İlk tahmin BF 150,000.00</t>
        </is>
      </c>
    </row>
    <row r="82" outlineLevel="1">
      <c r="A82" s="27" t="n"/>
      <c r="B82" s="27" t="inlineStr">
        <is>
          <t>3001.D</t>
        </is>
      </c>
      <c r="C82" s="7" t="inlineStr">
        <is>
          <t>Araç ve sinyalizasyon simülatör yazılımı + PC</t>
        </is>
      </c>
      <c r="D82" s="27" t="inlineStr">
        <is>
          <t>set</t>
        </is>
      </c>
      <c r="E82" s="50" t="n">
        <v>1</v>
      </c>
      <c r="F82" s="50" t="n">
        <v>1</v>
      </c>
      <c r="G82" s="27" t="inlineStr">
        <is>
          <t>-</t>
        </is>
      </c>
      <c r="H82" s="50">
        <f>F82</f>
        <v/>
      </c>
      <c r="I82" s="51" t="n">
        <v>40000</v>
      </c>
      <c r="J82" s="28">
        <f>H82*I82</f>
        <v/>
      </c>
      <c r="K82" s="53" t="inlineStr">
        <is>
          <t>MÜHENDİSLİK TAHMİNİ</t>
        </is>
      </c>
      <c r="L82" s="7" t="inlineStr">
        <is>
          <t>TAHMIN (emsal yok) – Uygun emsal yok; mevcut tahmin korundu</t>
        </is>
      </c>
      <c r="M82" s="7" t="inlineStr"/>
    </row>
    <row r="83" outlineLevel="1">
      <c r="A83" s="27" t="n"/>
      <c r="B83" s="27" t="inlineStr">
        <is>
          <t>3001.D</t>
        </is>
      </c>
      <c r="C83" s="7" t="inlineStr">
        <is>
          <t>Arayüzler: AVLS, SCADA, NTP, YBS</t>
        </is>
      </c>
      <c r="D83" s="27" t="inlineStr">
        <is>
          <t>set</t>
        </is>
      </c>
      <c r="E83" s="50" t="n">
        <v>1</v>
      </c>
      <c r="F83" s="50" t="n">
        <v>1</v>
      </c>
      <c r="G83" s="27" t="inlineStr">
        <is>
          <t>-</t>
        </is>
      </c>
      <c r="H83" s="50">
        <f>F83</f>
        <v/>
      </c>
      <c r="I83" s="51" t="n">
        <v>40000</v>
      </c>
      <c r="J83" s="28">
        <f>H83*I83</f>
        <v/>
      </c>
      <c r="K83" s="53" t="inlineStr">
        <is>
          <t>MÜHENDİSLİK TAHMİNİ</t>
        </is>
      </c>
      <c r="L83" s="7" t="inlineStr">
        <is>
          <t>TAHMIN (emsal yok) – Uygun emsal yok; mevcut tahmin korundu</t>
        </is>
      </c>
      <c r="M83" s="7" t="inlineStr"/>
    </row>
    <row r="84" outlineLevel="1">
      <c r="A84" s="27" t="n"/>
      <c r="B84" s="27" t="inlineStr">
        <is>
          <t>3001.D</t>
        </is>
      </c>
      <c r="C84" s="7" t="inlineStr">
        <is>
          <t>Sistem mühendisliği hizmetleri</t>
        </is>
      </c>
      <c r="D84" s="27" t="inlineStr">
        <is>
          <t>ay</t>
        </is>
      </c>
      <c r="E84" s="50" t="n">
        <v>12</v>
      </c>
      <c r="F84" s="50" t="n">
        <v>12</v>
      </c>
      <c r="G84" s="27" t="inlineStr">
        <is>
          <t>-</t>
        </is>
      </c>
      <c r="H84" s="50">
        <f>F84</f>
        <v/>
      </c>
      <c r="I84" s="51" t="n">
        <v>9000</v>
      </c>
      <c r="J84" s="28">
        <f>H84*I84</f>
        <v/>
      </c>
      <c r="K84" s="53" t="inlineStr">
        <is>
          <t>MÜHENDİSLİK TAHMİNİ</t>
        </is>
      </c>
      <c r="L84" s="7" t="inlineStr">
        <is>
          <t>TAHMIN (emsal yok) – Emsal yok (Elektroline uzman 822 €/gün → 9.000 €/ay ≈ 11 gün); makul</t>
        </is>
      </c>
      <c r="M84" s="7" t="inlineStr"/>
    </row>
    <row r="85" outlineLevel="1">
      <c r="A85" s="27" t="n"/>
      <c r="B85" s="27" t="inlineStr">
        <is>
          <t>3001.D</t>
        </is>
      </c>
      <c r="C85" s="7" t="inlineStr">
        <is>
          <t>Eğitim (10 kursiyer, 2 hafta) + dokümanlar</t>
        </is>
      </c>
      <c r="D85" s="27" t="inlineStr">
        <is>
          <t>set</t>
        </is>
      </c>
      <c r="E85" s="50" t="n">
        <v>1</v>
      </c>
      <c r="F85" s="50" t="n">
        <v>1</v>
      </c>
      <c r="G85" s="27" t="inlineStr">
        <is>
          <t>-</t>
        </is>
      </c>
      <c r="H85" s="50">
        <f>F85</f>
        <v/>
      </c>
      <c r="I85" s="51" t="n">
        <v>22300</v>
      </c>
      <c r="J85" s="28">
        <f>H85*I85</f>
        <v/>
      </c>
      <c r="K85" s="52" t="inlineStr">
        <is>
          <t>GEÇMİŞ TEKLİF UYARLAMA</t>
        </is>
      </c>
      <c r="L85" s="7" t="inlineStr">
        <is>
          <t>REF-derin – 2 hafta eğitim: H&amp;K 1 hafta 8.569×2=17.138; Elektroline 3 gün 8.254→10 gün 27.514 → medyan 22.300 (mevcut 15.000 düşük) [Emsal ID: R06536;R06506]</t>
        </is>
      </c>
      <c r="M85" s="7" t="inlineStr">
        <is>
          <t>İlk tahmin BF 15,000.00</t>
        </is>
      </c>
    </row>
    <row r="86" outlineLevel="1">
      <c r="A86" s="27" t="n"/>
      <c r="B86" s="27" t="inlineStr">
        <is>
          <t>3001.D</t>
        </is>
      </c>
      <c r="C86" s="7" t="inlineStr">
        <is>
          <t>Bakım/arıza bulma yazılımı + dizüstü teşhis bilgisayarı</t>
        </is>
      </c>
      <c r="D86" s="27" t="inlineStr">
        <is>
          <t>set</t>
        </is>
      </c>
      <c r="E86" s="50" t="n">
        <v>1</v>
      </c>
      <c r="F86" s="50" t="n">
        <v>1</v>
      </c>
      <c r="G86" s="27" t="inlineStr">
        <is>
          <t>-</t>
        </is>
      </c>
      <c r="H86" s="50">
        <f>F86</f>
        <v/>
      </c>
      <c r="I86" s="51" t="n">
        <v>8000</v>
      </c>
      <c r="J86" s="28">
        <f>H86*I86</f>
        <v/>
      </c>
      <c r="K86" s="53" t="inlineStr">
        <is>
          <t>MÜHENDİSLİK TAHMİNİ</t>
        </is>
      </c>
      <c r="L86" s="7" t="inlineStr">
        <is>
          <t>TAHMIN (emsal yok) – Uygun emsal yok; mevcut tahmin korundu</t>
        </is>
      </c>
      <c r="M86" s="7" t="inlineStr"/>
    </row>
    <row r="87" outlineLevel="1">
      <c r="A87" s="27" t="n"/>
      <c r="B87" s="27" t="inlineStr">
        <is>
          <t>3001.D</t>
        </is>
      </c>
      <c r="C87" s="7" t="inlineStr">
        <is>
          <t>Mevcut depo kontrol merkezi entegrasyonu – uyarlama ve lisans</t>
        </is>
      </c>
      <c r="D87" s="27" t="inlineStr">
        <is>
          <t>set</t>
        </is>
      </c>
      <c r="E87" s="50" t="n">
        <v>1</v>
      </c>
      <c r="F87" s="54" t="n">
        <v>0</v>
      </c>
      <c r="G87" s="27" t="inlineStr">
        <is>
          <t>-</t>
        </is>
      </c>
      <c r="H87" s="50">
        <f>F87</f>
        <v/>
      </c>
      <c r="I87" s="51" t="n">
        <v>60000</v>
      </c>
      <c r="J87" s="28">
        <f>H87*I87</f>
        <v/>
      </c>
      <c r="K87" s="55" t="inlineStr">
        <is>
          <t>KAPSAM DIŞI (0)</t>
        </is>
      </c>
      <c r="L87" s="7" t="inlineStr">
        <is>
          <t>TAHMIN (emsal yok) – emsal bulunamadı; mevcut tahmin korundu</t>
        </is>
      </c>
      <c r="M87" s="7" t="inlineStr">
        <is>
          <t>İdare soru 17: mevcut sistem yok</t>
        </is>
      </c>
    </row>
    <row r="88">
      <c r="A88" s="48" t="inlineStr">
        <is>
          <t>233</t>
        </is>
      </c>
      <c r="B88" s="48" t="inlineStr">
        <is>
          <t>3002</t>
        </is>
      </c>
      <c r="C88" s="48" t="inlineStr">
        <is>
          <t>Araç Takip Sistemi (AVLS) – araç üstü ve saha</t>
        </is>
      </c>
      <c r="D88" s="48" t="n"/>
      <c r="E88" s="48" t="n"/>
      <c r="F88" s="48" t="n"/>
      <c r="G88" s="48" t="n"/>
      <c r="H88" s="48" t="inlineStr">
        <is>
          <t>RFQ tutarı →</t>
        </is>
      </c>
      <c r="I88" s="49">
        <f>SUMPRODUCT(E89:E89,I89:I89)</f>
        <v/>
      </c>
      <c r="J88" s="49">
        <f>SUM(J89:J89)</f>
        <v/>
      </c>
      <c r="K88" s="48" t="n"/>
      <c r="L88" s="48" t="n"/>
      <c r="M88" s="48" t="n"/>
    </row>
    <row r="89" outlineLevel="1">
      <c r="A89" s="27" t="n"/>
      <c r="B89" s="27" t="inlineStr">
        <is>
          <t>3002</t>
        </is>
      </c>
      <c r="C89" s="7" t="inlineStr">
        <is>
          <t>AVLS araç üstü + saha (araç bilgisayarı, anten, 2 sürücü HMI, araç arayüzü, SIM, depo AP, lup aktarımı, kurulum/test) – araç başı</t>
        </is>
      </c>
      <c r="D89" s="27" t="inlineStr">
        <is>
          <t>araç</t>
        </is>
      </c>
      <c r="E89" s="50" t="n">
        <v>15</v>
      </c>
      <c r="F89" s="54">
        <f>Varsayimlar!$B$10</f>
        <v/>
      </c>
      <c r="G89" s="27" t="inlineStr">
        <is>
          <t>-</t>
        </is>
      </c>
      <c r="H89" s="50">
        <f>F89</f>
        <v/>
      </c>
      <c r="I89" s="51" t="n">
        <v>21300</v>
      </c>
      <c r="J89" s="28">
        <f>H89*I89</f>
        <v/>
      </c>
      <c r="K89" s="62" t="inlineStr">
        <is>
          <t>2026 TEKLİF</t>
        </is>
      </c>
      <c r="L89" s="7" t="inlineStr">
        <is>
          <t>TEKLİF (Mukan Rail, bütçesel 06.10.2026: 15 × 21.300)</t>
        </is>
      </c>
      <c r="M89" s="7" t="inlineStr">
        <is>
          <t>İdare soru 2: 14 araç</t>
        </is>
      </c>
    </row>
    <row r="90">
      <c r="A90" s="48" t="inlineStr">
        <is>
          <t>234</t>
        </is>
      </c>
      <c r="B90" s="48" t="inlineStr">
        <is>
          <t>3003</t>
        </is>
      </c>
      <c r="C90" s="48" t="inlineStr">
        <is>
          <t>Tramvay Araç Takip Sistemi Merkezi Donanımı ve Yazılımı</t>
        </is>
      </c>
      <c r="D90" s="48" t="n"/>
      <c r="E90" s="48" t="n"/>
      <c r="F90" s="48" t="n"/>
      <c r="G90" s="48" t="n"/>
      <c r="H90" s="48" t="inlineStr">
        <is>
          <t>RFQ tutarı →</t>
        </is>
      </c>
      <c r="I90" s="49">
        <f>SUMPRODUCT(E91:E91,I91:I91)</f>
        <v/>
      </c>
      <c r="J90" s="49">
        <f>SUM(J91:J91)</f>
        <v/>
      </c>
      <c r="K90" s="48" t="n"/>
      <c r="L90" s="48" t="n"/>
      <c r="M90" s="48" t="n"/>
    </row>
    <row r="91" outlineLevel="1">
      <c r="A91" s="27" t="n"/>
      <c r="B91" s="27" t="inlineStr">
        <is>
          <t>3003</t>
        </is>
      </c>
      <c r="C91" s="7" t="inlineStr">
        <is>
          <t>AVLS merkez: yedekli sunucu, NAS, operatör PC, duvar monitörü, router/firewall, LAN, merkezi yazılım + lisans (172.500), belediye AVLS arayüzü, kurulum/test/eğitim</t>
        </is>
      </c>
      <c r="D91" s="27" t="inlineStr">
        <is>
          <t>set</t>
        </is>
      </c>
      <c r="E91" s="50" t="n">
        <v>1</v>
      </c>
      <c r="F91" s="50" t="n">
        <v>1</v>
      </c>
      <c r="G91" s="27" t="inlineStr">
        <is>
          <t>-</t>
        </is>
      </c>
      <c r="H91" s="50">
        <f>F91</f>
        <v/>
      </c>
      <c r="I91" s="51" t="n">
        <v>314500</v>
      </c>
      <c r="J91" s="28">
        <f>H91*I91</f>
        <v/>
      </c>
      <c r="K91" s="62" t="inlineStr">
        <is>
          <t>2026 TEKLİF</t>
        </is>
      </c>
      <c r="L91" s="7" t="inlineStr">
        <is>
          <t>TEKLİF (Mukan Rail)</t>
        </is>
      </c>
      <c r="M91" s="7" t="inlineStr">
        <is>
          <t>Ref. H&amp;K İzmir 136.568; 19" kabin/UPS/omurga hariç</t>
        </is>
      </c>
    </row>
    <row r="92">
      <c r="A92" s="48" t="inlineStr">
        <is>
          <t>235</t>
        </is>
      </c>
      <c r="B92" s="48" t="inlineStr">
        <is>
          <t>3004</t>
        </is>
      </c>
      <c r="C92" s="48" t="inlineStr">
        <is>
          <t>Araç Takip Sistemi Tasarımı</t>
        </is>
      </c>
      <c r="D92" s="48" t="n"/>
      <c r="E92" s="48" t="n"/>
      <c r="F92" s="48" t="n"/>
      <c r="G92" s="48" t="n"/>
      <c r="H92" s="48" t="inlineStr">
        <is>
          <t>RFQ tutarı →</t>
        </is>
      </c>
      <c r="I92" s="49">
        <f>SUMPRODUCT(E93:E93,I93:I93)</f>
        <v/>
      </c>
      <c r="J92" s="49">
        <f>SUM(J93:J93)</f>
        <v/>
      </c>
      <c r="K92" s="48" t="n"/>
      <c r="L92" s="48" t="n"/>
      <c r="M92" s="48" t="n"/>
    </row>
    <row r="93" outlineLevel="1">
      <c r="A93" s="27" t="n"/>
      <c r="B93" s="27" t="inlineStr">
        <is>
          <t>3004</t>
        </is>
      </c>
      <c r="C93" s="7" t="inlineStr">
        <is>
          <t>AVLS tasarımı: mimari, konumlandırma, merkez ekranları, siber güvenlik, uygulama projeleri</t>
        </is>
      </c>
      <c r="D93" s="27" t="inlineStr">
        <is>
          <t>set</t>
        </is>
      </c>
      <c r="E93" s="50" t="n">
        <v>1</v>
      </c>
      <c r="F93" s="50" t="n">
        <v>1</v>
      </c>
      <c r="G93" s="27" t="inlineStr">
        <is>
          <t>-</t>
        </is>
      </c>
      <c r="H93" s="50">
        <f>F93</f>
        <v/>
      </c>
      <c r="I93" s="51" t="n">
        <v>154000</v>
      </c>
      <c r="J93" s="28">
        <f>H93*I93</f>
        <v/>
      </c>
      <c r="K93" s="62" t="inlineStr">
        <is>
          <t>2026 TEKLİF</t>
        </is>
      </c>
      <c r="L93" s="7" t="inlineStr">
        <is>
          <t>TEKLİF (Mukan Rail)</t>
        </is>
      </c>
      <c r="M93" s="7" t="inlineStr"/>
    </row>
    <row r="94"/>
    <row r="95">
      <c r="C95" s="14" t="inlineStr">
        <is>
          <t>TOPLAM (net metraj, idare cevaplarına göre)</t>
        </is>
      </c>
      <c r="J95" s="56">
        <f>J5+J7+J47+J66+J74+J88+J90+J92</f>
        <v/>
      </c>
    </row>
    <row r="96">
      <c r="C96" s="14" t="inlineStr">
        <is>
          <t>Karşılaştırma: RFQ cetvel miktarlarıyla (şişirmeli, düzeltmesiz) tutar</t>
        </is>
      </c>
      <c r="J96" s="56">
        <f>I5+I7+I47+I66+I74+I88+I90+I92</f>
        <v/>
      </c>
    </row>
    <row r="97">
      <c r="C97" s="14" t="inlineStr">
        <is>
          <t>Fark (metraj payları + idare cevapları)</t>
        </is>
      </c>
      <c r="J97" s="56">
        <f>J95-J96</f>
        <v/>
      </c>
    </row>
    <row r="98"/>
    <row r="99">
      <c r="C99" s="19" t="inlineStr">
        <is>
          <t>FİYAT TÜRÜNE GÖRE DAĞILIM</t>
        </is>
      </c>
    </row>
    <row r="100">
      <c r="C100" s="57" t="inlineStr">
        <is>
          <t>2026 TEKLİF</t>
        </is>
      </c>
      <c r="J100" s="23">
        <f>SUMIF($K$5:$K$93,"2026 TEKLİF",$J$5:$J$93)</f>
        <v/>
      </c>
      <c r="K100" s="58">
        <f>IF($J$95=0,0,J100/$J$95)</f>
        <v/>
      </c>
    </row>
    <row r="101">
      <c r="C101" s="59" t="inlineStr">
        <is>
          <t>GEÇMİŞ TEKLİF UYARLAMA</t>
        </is>
      </c>
      <c r="J101" s="23">
        <f>SUMIF($K$5:$K$93,"GEÇMİŞ TEKLİF UYARLAMA",$J$5:$J$93)</f>
        <v/>
      </c>
      <c r="K101" s="58">
        <f>IF($J$95=0,0,J101/$J$95)</f>
        <v/>
      </c>
    </row>
    <row r="102">
      <c r="C102" s="60" t="inlineStr">
        <is>
          <t>MÜHENDİSLİK TAHMİNİ</t>
        </is>
      </c>
      <c r="J102" s="23">
        <f>SUMIF($K$5:$K$93,"MÜHENDİSLİK TAHMİNİ",$J$5:$J$93)</f>
        <v/>
      </c>
      <c r="K102" s="58">
        <f>IF($J$95=0,0,J102/$J$95)</f>
        <v/>
      </c>
    </row>
    <row r="103">
      <c r="C103" s="61" t="inlineStr">
        <is>
          <t>İdare cevabıyla kapsam dışı kalan kalemlerin RFQ'daki değeri (bilgi)</t>
        </is>
      </c>
      <c r="J103" s="23">
        <f>SUMPRODUCT(($K$5:$K$93="KAPSAM DIŞI (0)")*$E$5:$E$93*$I$5:$I$93)</f>
        <v/>
      </c>
    </row>
  </sheetData>
  <autoFilter ref="A4:M4"/>
  <mergeCells count="3">
    <mergeCell ref="A3:B3"/>
    <mergeCell ref="A2:M2"/>
    <mergeCell ref="C3:M3"/>
  </mergeCells>
  <pageMargins left="0.75" right="0.75" top="1" bottom="1" header="0.5" footer="0.5"/>
  <pageSetup orientation="landscape" fitToWidth="1"/>
</worksheet>
</file>

<file path=xl/worksheets/sheet10.xml><?xml version="1.0" encoding="utf-8"?>
<worksheet xmlns="http://schemas.openxmlformats.org/spreadsheetml/2006/main">
  <sheetPr>
    <tabColor rgb="007030A0"/>
    <outlinePr summaryBelow="0" summaryRight="1"/>
    <pageSetUpPr/>
  </sheetPr>
  <dimension ref="A1:M133"/>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2" customWidth="1" min="3" max="3"/>
    <col width="7" customWidth="1" min="4" max="4"/>
    <col width="12" customWidth="1" min="5" max="5"/>
    <col width="12" customWidth="1" min="6" max="6"/>
    <col width="11" customWidth="1" min="7" max="7"/>
    <col width="12" customWidth="1" min="8" max="8"/>
    <col width="13" customWidth="1" min="9" max="9"/>
    <col width="14" customWidth="1" min="10" max="10"/>
    <col width="17" customWidth="1" min="11" max="11"/>
    <col width="55" customWidth="1" min="12" max="12"/>
    <col width="40" customWidth="1" min="13" max="13"/>
  </cols>
  <sheetData>
    <row r="1">
      <c r="A1" s="1" t="inlineStr">
        <is>
          <t>5 ELEKTRİFİKASYON (A) – GÜÇ TEMİNİ / CER GÜCÜ / ENERJİ TEMİNİ (5 TM, OG ring, TEİAŞ bağlantısı)</t>
        </is>
      </c>
    </row>
    <row r="2" ht="48" customHeight="1">
      <c r="A2" s="2" t="inlineStr">
        <is>
          <t>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is>
      </c>
    </row>
    <row r="3" ht="22" customHeight="1">
      <c r="A3" s="21" t="inlineStr">
        <is>
          <t>DİSİPLİN TOPLAMI →</t>
        </is>
      </c>
      <c r="C3" s="47">
        <f>"Kalem bazlı toplam: "&amp;TEXT(J125,"#,##0")&amp;" €   |   2026 teklif: "&amp;TEXT(K130,"0%")&amp;"   |   Geçmiş teklif uyarlaması: "&amp;TEXT(K131,"0%")&amp;"   |   Tahmin: "&amp;TEXT(K132,"0%")&amp;"   |   Kalem kalem görmek için sol kenardaki [+] / [1][2] düğmelerini kullanın"</f>
        <v/>
      </c>
    </row>
    <row r="4" ht="42" customHeight="1">
      <c r="A4" s="3" t="inlineStr">
        <is>
          <t>Sıra</t>
        </is>
      </c>
      <c r="B4" s="3" t="inlineStr">
        <is>
          <t>Poz</t>
        </is>
      </c>
      <c r="C4" s="3" t="inlineStr">
        <is>
          <t>Kalem / Alt kalem</t>
        </is>
      </c>
      <c r="D4" s="3" t="inlineStr">
        <is>
          <t>Birim</t>
        </is>
      </c>
      <c r="E4" s="3" t="inlineStr">
        <is>
          <t>Miktar (RFQ cetveli)</t>
        </is>
      </c>
      <c r="F4" s="3" t="inlineStr">
        <is>
          <t>Miktar (idare cevabına göre)</t>
        </is>
      </c>
      <c r="G4" s="3" t="inlineStr">
        <is>
          <t>Metraj payı geri alınan</t>
        </is>
      </c>
      <c r="H4" s="3" t="inlineStr">
        <is>
          <t>Net miktar (bütçe)</t>
        </is>
      </c>
      <c r="I4" s="3" t="inlineStr">
        <is>
          <t>Birim fiyat EUR (montaj dahil)</t>
        </is>
      </c>
      <c r="J4" s="3" t="inlineStr">
        <is>
          <t>Tutar EUR</t>
        </is>
      </c>
      <c r="K4" s="3" t="inlineStr">
        <is>
          <t>Fiyat türü</t>
        </is>
      </c>
      <c r="L4" s="3" t="inlineStr">
        <is>
          <t>Fiyat kaynağı / emsal (proje, firma, yıl, uyarlama)</t>
        </is>
      </c>
      <c r="M4" s="3" t="inlineStr">
        <is>
          <t>Not / düzeltme</t>
        </is>
      </c>
    </row>
    <row r="5">
      <c r="A5" s="48" t="inlineStr">
        <is>
          <t>169</t>
        </is>
      </c>
      <c r="B5" s="48" t="inlineStr">
        <is>
          <t>2001</t>
        </is>
      </c>
      <c r="C5" s="48" t="inlineStr">
        <is>
          <t>Güç Temini ve Cer Gücü Tasarımı</t>
        </is>
      </c>
      <c r="D5" s="48" t="n"/>
      <c r="E5" s="48" t="n"/>
      <c r="F5" s="48" t="n"/>
      <c r="G5" s="48" t="n"/>
      <c r="H5" s="48" t="inlineStr">
        <is>
          <t>RFQ tutarı →</t>
        </is>
      </c>
      <c r="I5" s="49">
        <f>SUMPRODUCT(E6:E7,I6:I7)</f>
        <v/>
      </c>
      <c r="J5" s="49">
        <f>SUM(J6:J7)</f>
        <v/>
      </c>
      <c r="K5" s="48" t="n"/>
      <c r="L5" s="48" t="n"/>
      <c r="M5" s="48" t="n"/>
    </row>
    <row r="6" outlineLevel="1">
      <c r="A6" s="27" t="n"/>
      <c r="B6" s="27" t="inlineStr">
        <is>
          <t>2001</t>
        </is>
      </c>
      <c r="C6" s="7" t="inlineStr">
        <is>
          <t>Uygulama projeleri (OG ring, TEİAŞ bağlantısı, 5 TM), cer gücü simülasyonu, kısa devre/selektivite, topraklama ve kaçak akım (EN 50122), kompanzasyon raporları, as-built</t>
        </is>
      </c>
      <c r="D6" s="27" t="inlineStr">
        <is>
          <t>set</t>
        </is>
      </c>
      <c r="E6" s="50" t="n">
        <v>1</v>
      </c>
      <c r="F6" s="50" t="n">
        <v>1</v>
      </c>
      <c r="G6" s="27" t="inlineStr">
        <is>
          <t>-</t>
        </is>
      </c>
      <c r="H6" s="50">
        <f>F6</f>
        <v/>
      </c>
      <c r="I6" s="51" t="n">
        <v>150000</v>
      </c>
      <c r="J6" s="28">
        <f>H6*I6</f>
        <v/>
      </c>
      <c r="K6" s="52" t="inlineStr">
        <is>
          <t>GEÇMİŞ TEKLİF UYARLAMA</t>
        </is>
      </c>
      <c r="L6" s="7" t="inlineStr">
        <is>
          <t>REF-teyit – Bakırköy metro 2014 tasarım 133.738, ABB İzmir müh. 195.498, Siemens metro 512–620k (kapsam büyük) → 150.000 makul (tramvay, 5 TM) [Emsal ID: R00508;R00843;R01098;R00573]</t>
        </is>
      </c>
      <c r="M6" s="7" t="inlineStr"/>
    </row>
    <row r="7" outlineLevel="1">
      <c r="A7" s="27" t="n"/>
      <c r="B7" s="27" t="inlineStr">
        <is>
          <t>2001</t>
        </is>
      </c>
      <c r="C7" s="7" t="inlineStr">
        <is>
          <t>DEDAŞ/TEİAŞ bağlantı projesi onayı ve kurum masrafları</t>
        </is>
      </c>
      <c r="D7" s="27" t="inlineStr">
        <is>
          <t>set</t>
        </is>
      </c>
      <c r="E7" s="50" t="n">
        <v>1</v>
      </c>
      <c r="F7" s="50" t="n">
        <v>1</v>
      </c>
      <c r="G7" s="27" t="inlineStr">
        <is>
          <t>-</t>
        </is>
      </c>
      <c r="H7" s="50">
        <f>F7</f>
        <v/>
      </c>
      <c r="I7" s="51" t="n">
        <v>40000</v>
      </c>
      <c r="J7" s="28">
        <f>H7*I7</f>
        <v/>
      </c>
      <c r="K7" s="53" t="inlineStr">
        <is>
          <t>MÜHENDİSLİK TAHMİNİ</t>
        </is>
      </c>
      <c r="L7" s="7" t="inlineStr">
        <is>
          <t>TAHMIN (emsal yok) – Uygun emsal yok; mevcut tahmin korundu</t>
        </is>
      </c>
      <c r="M7" s="7" t="inlineStr"/>
    </row>
    <row r="8">
      <c r="A8" s="48" t="inlineStr">
        <is>
          <t>170</t>
        </is>
      </c>
      <c r="B8" s="48" t="inlineStr">
        <is>
          <t>2002.A</t>
        </is>
      </c>
      <c r="C8" s="48" t="inlineStr">
        <is>
          <t>OG Ring Şebekesi 3×1×240/25 mm² 20,3/35 kV Al XLPE</t>
        </is>
      </c>
      <c r="D8" s="48" t="n"/>
      <c r="E8" s="48" t="n"/>
      <c r="F8" s="48" t="n"/>
      <c r="G8" s="48" t="n"/>
      <c r="H8" s="48" t="inlineStr">
        <is>
          <t>RFQ tutarı →</t>
        </is>
      </c>
      <c r="I8" s="49">
        <f>SUMPRODUCT(E9:E15,I9:I15)</f>
        <v/>
      </c>
      <c r="J8" s="49">
        <f>SUM(J9:J15)</f>
        <v/>
      </c>
      <c r="K8" s="48" t="n"/>
      <c r="L8" s="48" t="n"/>
      <c r="M8" s="48" t="n"/>
    </row>
    <row r="9" outlineLevel="1">
      <c r="A9" s="27" t="n"/>
      <c r="B9" s="27" t="inlineStr">
        <is>
          <t>2002.A</t>
        </is>
      </c>
      <c r="C9" s="7" t="inlineStr">
        <is>
          <t>YAXC7V-R (NA2XSY) 1×240/25 Al XLPE LSHF tek damar kablo – çekme dahil</t>
        </is>
      </c>
      <c r="D9" s="27" t="inlineStr">
        <is>
          <t>m</t>
        </is>
      </c>
      <c r="E9" s="50" t="n">
        <v>21000</v>
      </c>
      <c r="F9" s="54">
        <f>3*Varsayimlar!$B$12</f>
        <v/>
      </c>
      <c r="G9" s="27" t="inlineStr">
        <is>
          <t>-</t>
        </is>
      </c>
      <c r="H9" s="50">
        <f>F9</f>
        <v/>
      </c>
      <c r="I9" s="51" t="n">
        <v>13.19</v>
      </c>
      <c r="J9" s="28">
        <f>H9*I9</f>
        <v/>
      </c>
      <c r="K9" s="52" t="inlineStr">
        <is>
          <t>GEÇMİŞ TEKLİF UYARLAMA</t>
        </is>
      </c>
      <c r="L9" s="7" t="inlineStr">
        <is>
          <t>REF-derin – Bursa T2 Haluk Al 1×150 10,89/1×400 17,29 €/m → 1×240 13,19; MET → 13,92; Prysmian 2021 1×400 Al 14,90 mlz×0,70+2 çekme=12,43 → medyan 13,19 (mevcut 11 hafif düşük) [Emsal ID: R00865;R00866;R00944;R00945;R00678]</t>
        </is>
      </c>
      <c r="M9" s="7" t="inlineStr">
        <is>
          <t>İdare soru 21: güzergah 7.964 m | İlk tahmin BF 11.00</t>
        </is>
      </c>
    </row>
    <row r="10" outlineLevel="1">
      <c r="A10" s="27" t="n"/>
      <c r="B10" s="27" t="inlineStr">
        <is>
          <t>2002.A</t>
        </is>
      </c>
      <c r="C10" s="7" t="inlineStr">
        <is>
          <t>36 kV 1×240 kablo başlığı</t>
        </is>
      </c>
      <c r="D10" s="27" t="inlineStr">
        <is>
          <t>adet</t>
        </is>
      </c>
      <c r="E10" s="50" t="n">
        <v>24</v>
      </c>
      <c r="F10" s="50" t="n">
        <v>24</v>
      </c>
      <c r="G10" s="27" t="inlineStr">
        <is>
          <t>-</t>
        </is>
      </c>
      <c r="H10" s="50">
        <f>F10</f>
        <v/>
      </c>
      <c r="I10" s="51" t="n">
        <v>465</v>
      </c>
      <c r="J10" s="28">
        <f>H10*I10</f>
        <v/>
      </c>
      <c r="K10" s="52" t="inlineStr">
        <is>
          <t>GEÇMİŞ TEKLİF UYARLAMA</t>
        </is>
      </c>
      <c r="L10" s="7" t="inlineStr">
        <is>
          <t>REF-derin(1) – TE RSTI 36 kV başlık 2016 418 mlz +%15 montaj=480; mevcut 450 ile ort. → 465 [Emsal ID: R00539]</t>
        </is>
      </c>
      <c r="M10" s="7" t="inlineStr">
        <is>
          <t>İlk tahmin BF 450.00</t>
        </is>
      </c>
    </row>
    <row r="11" outlineLevel="1">
      <c r="A11" s="27" t="n"/>
      <c r="B11" s="27" t="inlineStr">
        <is>
          <t>2002.A</t>
        </is>
      </c>
      <c r="C11" s="7" t="inlineStr">
        <is>
          <t>36 kV 1×240 ek mufu</t>
        </is>
      </c>
      <c r="D11" s="27" t="inlineStr">
        <is>
          <t>adet</t>
        </is>
      </c>
      <c r="E11" s="50" t="n">
        <v>33</v>
      </c>
      <c r="F11" s="54">
        <f>ROUND(33*Varsayimlar!$B$12/Varsayimlar!$B$11,0)</f>
        <v/>
      </c>
      <c r="G11" s="27" t="inlineStr">
        <is>
          <t>-</t>
        </is>
      </c>
      <c r="H11" s="50">
        <f>F11</f>
        <v/>
      </c>
      <c r="I11" s="51" t="n">
        <v>370</v>
      </c>
      <c r="J11" s="28">
        <f>H11*I11</f>
        <v/>
      </c>
      <c r="K11" s="52" t="inlineStr">
        <is>
          <t>GEÇMİŞ TEKLİF UYARLAMA</t>
        </is>
      </c>
      <c r="L11" s="7" t="inlineStr">
        <is>
          <t>REF-derin(1) – TE SMOE OG ek mufu 2016 272 mlz +%25 montaj=340; mevcut 400 ile ort. → 370 [Emsal ID: R00542]</t>
        </is>
      </c>
      <c r="M11" s="7" t="inlineStr">
        <is>
          <t>Güzergah oranında | İlk tahmin BF 400.00</t>
        </is>
      </c>
    </row>
    <row r="12" outlineLevel="1">
      <c r="A12" s="27" t="n"/>
      <c r="B12" s="27" t="inlineStr">
        <is>
          <t>2002.A</t>
        </is>
      </c>
      <c r="C12" s="7" t="inlineStr">
        <is>
          <t>Trefoil kelepçe / kanal içi askı</t>
        </is>
      </c>
      <c r="D12" s="27" t="inlineStr">
        <is>
          <t>adet</t>
        </is>
      </c>
      <c r="E12" s="50" t="n">
        <v>6500</v>
      </c>
      <c r="F12" s="54">
        <f>ROUND(6500*Varsayimlar!$B$12/Varsayimlar!$B$11,0)</f>
        <v/>
      </c>
      <c r="G12" s="27" t="inlineStr">
        <is>
          <t>-</t>
        </is>
      </c>
      <c r="H12" s="50">
        <f>F12</f>
        <v/>
      </c>
      <c r="I12" s="51" t="n">
        <v>6</v>
      </c>
      <c r="J12" s="28">
        <f>H12*I12</f>
        <v/>
      </c>
      <c r="K12" s="53" t="inlineStr">
        <is>
          <t>MÜHENDİSLİK TAHMİNİ</t>
        </is>
      </c>
      <c r="L12" s="7" t="inlineStr">
        <is>
          <t>TAHMIN (emsal yok) – Emsal yok. DİKKAT: her damar ayrı Ø160 HDPE boruda (satır 21) ise trefoil kelepçe mükerrer olabilir – teyit</t>
        </is>
      </c>
      <c r="M12" s="7" t="inlineStr">
        <is>
          <t>Güzergah oranında</t>
        </is>
      </c>
    </row>
    <row r="13" outlineLevel="1">
      <c r="A13" s="27" t="n"/>
      <c r="B13" s="27" t="inlineStr">
        <is>
          <t>2002.A</t>
        </is>
      </c>
      <c r="C13" s="7" t="inlineStr">
        <is>
          <t>Yangın durdurucu (TM geçişleri)</t>
        </is>
      </c>
      <c r="D13" s="27" t="inlineStr">
        <is>
          <t>adet</t>
        </is>
      </c>
      <c r="E13" s="50" t="n">
        <v>10</v>
      </c>
      <c r="F13" s="50" t="n">
        <v>10</v>
      </c>
      <c r="G13" s="27" t="inlineStr">
        <is>
          <t>-</t>
        </is>
      </c>
      <c r="H13" s="50">
        <f>F13</f>
        <v/>
      </c>
      <c r="I13" s="51" t="n">
        <v>200</v>
      </c>
      <c r="J13" s="28">
        <f>H13*I13</f>
        <v/>
      </c>
      <c r="K13" s="53" t="inlineStr">
        <is>
          <t>MÜHENDİSLİK TAHMİNİ</t>
        </is>
      </c>
      <c r="L13" s="7" t="inlineStr">
        <is>
          <t>TAHMIN (emsal yok) – emsal bulunamadı; mevcut tahmin korundu</t>
        </is>
      </c>
      <c r="M13" s="7" t="inlineStr"/>
    </row>
    <row r="14" outlineLevel="1">
      <c r="A14" s="27" t="n"/>
      <c r="B14" s="27" t="inlineStr">
        <is>
          <t>2002.A</t>
        </is>
      </c>
      <c r="C14" s="7" t="inlineStr">
        <is>
          <t>Kablo etiket / güzergah markörü</t>
        </is>
      </c>
      <c r="D14" s="27" t="inlineStr">
        <is>
          <t>adet</t>
        </is>
      </c>
      <c r="E14" s="50" t="n">
        <v>140</v>
      </c>
      <c r="F14" s="54">
        <f>ROUND(140*Varsayimlar!$B$12/Varsayimlar!$B$11,0)</f>
        <v/>
      </c>
      <c r="G14" s="27" t="inlineStr">
        <is>
          <t>-</t>
        </is>
      </c>
      <c r="H14" s="50">
        <f>F14</f>
        <v/>
      </c>
      <c r="I14" s="51" t="n">
        <v>15</v>
      </c>
      <c r="J14" s="28">
        <f>H14*I14</f>
        <v/>
      </c>
      <c r="K14" s="53" t="inlineStr">
        <is>
          <t>MÜHENDİSLİK TAHMİNİ</t>
        </is>
      </c>
      <c r="L14" s="7" t="inlineStr">
        <is>
          <t>TAHMIN (emsal yok) – emsal bulunamadı; mevcut tahmin korundu</t>
        </is>
      </c>
      <c r="M14" s="7" t="inlineStr"/>
    </row>
    <row r="15" outlineLevel="1">
      <c r="A15" s="27" t="n"/>
      <c r="B15" s="27" t="inlineStr">
        <is>
          <t>2002.A</t>
        </is>
      </c>
      <c r="C15" s="7" t="inlineStr">
        <is>
          <t>OG kablo saha testleri (VLF, kılıf)</t>
        </is>
      </c>
      <c r="D15" s="27" t="inlineStr">
        <is>
          <t>set</t>
        </is>
      </c>
      <c r="E15" s="50" t="n">
        <v>4</v>
      </c>
      <c r="F15" s="50" t="n">
        <v>4</v>
      </c>
      <c r="G15" s="27" t="inlineStr">
        <is>
          <t>-</t>
        </is>
      </c>
      <c r="H15" s="50">
        <f>F15</f>
        <v/>
      </c>
      <c r="I15" s="51" t="n">
        <v>3000</v>
      </c>
      <c r="J15" s="28">
        <f>H15*I15</f>
        <v/>
      </c>
      <c r="K15" s="53" t="inlineStr">
        <is>
          <t>MÜHENDİSLİK TAHMİNİ</t>
        </is>
      </c>
      <c r="L15" s="7" t="inlineStr">
        <is>
          <t>TAHMIN (emsal yok) – Uygun emsal yok; mevcut tahmin korundu</t>
        </is>
      </c>
      <c r="M15" s="7" t="inlineStr"/>
    </row>
    <row r="16">
      <c r="A16" s="48" t="inlineStr">
        <is>
          <t>171</t>
        </is>
      </c>
      <c r="B16" s="48" t="inlineStr">
        <is>
          <t>2002.B</t>
        </is>
      </c>
      <c r="C16" s="48" t="inlineStr">
        <is>
          <t>TEİAŞ Bağlantısı 2×4×(1×400+35) mm² 20,3/35 kV – transe dahil</t>
        </is>
      </c>
      <c r="D16" s="48" t="n"/>
      <c r="E16" s="48" t="n"/>
      <c r="F16" s="48" t="n"/>
      <c r="G16" s="48" t="n"/>
      <c r="H16" s="48" t="inlineStr">
        <is>
          <t>RFQ tutarı →</t>
        </is>
      </c>
      <c r="I16" s="49">
        <f>SUMPRODUCT(E17:E30,I17:I30)</f>
        <v/>
      </c>
      <c r="J16" s="49">
        <f>SUM(J17:J30)</f>
        <v/>
      </c>
      <c r="K16" s="48" t="n"/>
      <c r="L16" s="48" t="n"/>
      <c r="M16" s="48" t="n"/>
    </row>
    <row r="17" outlineLevel="1">
      <c r="A17" s="27" t="n"/>
      <c r="B17" s="27" t="inlineStr">
        <is>
          <t>2002.B</t>
        </is>
      </c>
      <c r="C17" s="7" t="inlineStr">
        <is>
          <t>YAXC7V-R 1×400/35 Al XLPE zırhlı LSHF – çekme dahil</t>
        </is>
      </c>
      <c r="D17" s="27" t="inlineStr">
        <is>
          <t>m</t>
        </is>
      </c>
      <c r="E17" s="50" t="n">
        <v>35424</v>
      </c>
      <c r="F17" s="50" t="n">
        <v>35424</v>
      </c>
      <c r="G17" s="27" t="inlineStr">
        <is>
          <t>-</t>
        </is>
      </c>
      <c r="H17" s="50">
        <f>F17</f>
        <v/>
      </c>
      <c r="I17" s="51" t="n">
        <v>17.29</v>
      </c>
      <c r="J17" s="28">
        <f>H17*I17</f>
        <v/>
      </c>
      <c r="K17" s="52" t="inlineStr">
        <is>
          <t>GEÇMİŞ TEKLİF UYARLAMA</t>
        </is>
      </c>
      <c r="L17" s="7" t="inlineStr">
        <is>
          <t>REF-derin – Bursa T2 Haluk Al 1×400 17,29, MET 19,14, Prysmian 2021 14,90+2 çekme → medyan 17,29 €/m (mevcut 16 hafif düşük) [Emsal ID: R00866;R00945;R00678]</t>
        </is>
      </c>
      <c r="M17" s="7" t="inlineStr">
        <is>
          <t>İdare: 8.856 m × 4 kablo – uyumlu | İlk tahmin BF 16.00</t>
        </is>
      </c>
    </row>
    <row r="18" outlineLevel="1">
      <c r="A18" s="27" t="n"/>
      <c r="B18" s="27" t="inlineStr">
        <is>
          <t>2002.B</t>
        </is>
      </c>
      <c r="C18" s="7" t="inlineStr">
        <is>
          <t>36 kV 1×400 kablo başlığı</t>
        </is>
      </c>
      <c r="D18" s="27" t="inlineStr">
        <is>
          <t>adet</t>
        </is>
      </c>
      <c r="E18" s="50" t="n">
        <v>16</v>
      </c>
      <c r="F18" s="50" t="n">
        <v>16</v>
      </c>
      <c r="G18" s="27" t="inlineStr">
        <is>
          <t>-</t>
        </is>
      </c>
      <c r="H18" s="50">
        <f>F18</f>
        <v/>
      </c>
      <c r="I18" s="51" t="n">
        <v>620</v>
      </c>
      <c r="J18" s="28">
        <f>H18*I18</f>
        <v/>
      </c>
      <c r="K18" s="52" t="inlineStr">
        <is>
          <t>GEÇMİŞ TEKLİF UYARLAMA</t>
        </is>
      </c>
      <c r="L18" s="7" t="inlineStr">
        <is>
          <t>REF-derin(1) – TE RSTI-CC 800A başlık 2016 557 +%15 montaj=640; mevcut 600 ile ort. → 620 [Emsal ID: R00541]</t>
        </is>
      </c>
      <c r="M18" s="7" t="inlineStr">
        <is>
          <t>İlk tahmin BF 600.00</t>
        </is>
      </c>
    </row>
    <row r="19" outlineLevel="1">
      <c r="A19" s="27" t="n"/>
      <c r="B19" s="27" t="inlineStr">
        <is>
          <t>2002.B</t>
        </is>
      </c>
      <c r="C19" s="7" t="inlineStr">
        <is>
          <t>36 kV 1×400 ek mufu</t>
        </is>
      </c>
      <c r="D19" s="27" t="inlineStr">
        <is>
          <t>adet</t>
        </is>
      </c>
      <c r="E19" s="50" t="n">
        <v>68</v>
      </c>
      <c r="F19" s="50" t="n">
        <v>68</v>
      </c>
      <c r="G19" s="27" t="inlineStr">
        <is>
          <t>-</t>
        </is>
      </c>
      <c r="H19" s="50">
        <f>F19</f>
        <v/>
      </c>
      <c r="I19" s="51" t="n">
        <v>479</v>
      </c>
      <c r="J19" s="28">
        <f>H19*I19</f>
        <v/>
      </c>
      <c r="K19" s="52" t="inlineStr">
        <is>
          <t>GEÇMİŞ TEKLİF UYARLAMA</t>
        </is>
      </c>
      <c r="L19" s="7" t="inlineStr">
        <is>
          <t>REF-derin(1) – TE SMOE OG mufu 272 +%25 montaj, 400 mm² için +%20 = 408; mevcut 550 ile ort. → 479 [Emsal ID: R00542]</t>
        </is>
      </c>
      <c r="M19" s="7" t="inlineStr">
        <is>
          <t>İlk tahmin BF 550.00</t>
        </is>
      </c>
    </row>
    <row r="20" outlineLevel="1">
      <c r="A20" s="27" t="n"/>
      <c r="B20" s="27" t="inlineStr">
        <is>
          <t>2002.B</t>
        </is>
      </c>
      <c r="C20" s="7" t="inlineStr">
        <is>
          <t>Kablo kanalı kazısı 0,80×1,40 m</t>
        </is>
      </c>
      <c r="D20" s="27" t="inlineStr">
        <is>
          <t>m³</t>
        </is>
      </c>
      <c r="E20" s="50" t="n">
        <v>9919</v>
      </c>
      <c r="F20" s="50" t="n">
        <v>9919</v>
      </c>
      <c r="G20" s="27" t="inlineStr">
        <is>
          <t>-</t>
        </is>
      </c>
      <c r="H20" s="50">
        <f>F20</f>
        <v/>
      </c>
      <c r="I20" s="51" t="n">
        <v>8</v>
      </c>
      <c r="J20" s="28">
        <f>H20*I20</f>
        <v/>
      </c>
      <c r="K20" s="53" t="inlineStr">
        <is>
          <t>MÜHENDİSLİK TAHMİNİ</t>
        </is>
      </c>
      <c r="L20" s="7" t="inlineStr">
        <is>
          <t>TAHMIN (emsal yok) – Emsal yok; 2026 şehir içi makine+el kazısı 8 €/m³ makul</t>
        </is>
      </c>
      <c r="M20" s="7" t="inlineStr"/>
    </row>
    <row r="21" outlineLevel="1">
      <c r="A21" s="27" t="n"/>
      <c r="B21" s="27" t="inlineStr">
        <is>
          <t>2002.B</t>
        </is>
      </c>
      <c r="C21" s="7" t="inlineStr">
        <is>
          <t>HDPE/koruge boru Ø160 (her damar ayrı)</t>
        </is>
      </c>
      <c r="D21" s="27" t="inlineStr">
        <is>
          <t>m</t>
        </is>
      </c>
      <c r="E21" s="50" t="n">
        <v>38966.4</v>
      </c>
      <c r="F21" s="50" t="n">
        <v>38966.4</v>
      </c>
      <c r="G21" s="27" t="inlineStr">
        <is>
          <t>-</t>
        </is>
      </c>
      <c r="H21" s="50">
        <f>F21</f>
        <v/>
      </c>
      <c r="I21" s="51" t="n">
        <v>6</v>
      </c>
      <c r="J21" s="28">
        <f>H21*I21</f>
        <v/>
      </c>
      <c r="K21" s="53" t="inlineStr">
        <is>
          <t>MÜHENDİSLİK TAHMİNİ</t>
        </is>
      </c>
      <c r="L21" s="7" t="inlineStr">
        <is>
          <t>TAHMIN (emsal yok) – Doğrudan emsal yok (drenaj koruge Ø150 9–13 €/m farklı sınıf); 2026 kablo koruge Ø160 ~3 € mlz+döşeme → 6 €/m makul</t>
        </is>
      </c>
      <c r="M21" s="7" t="inlineStr"/>
    </row>
    <row r="22" outlineLevel="1">
      <c r="A22" s="27" t="n"/>
      <c r="B22" s="27" t="inlineStr">
        <is>
          <t>2002.B</t>
        </is>
      </c>
      <c r="C22" s="7" t="inlineStr">
        <is>
          <t>Yol geçişleri yedek boş boru Ø160</t>
        </is>
      </c>
      <c r="D22" s="27" t="inlineStr">
        <is>
          <t>m</t>
        </is>
      </c>
      <c r="E22" s="50" t="n">
        <v>4383.72</v>
      </c>
      <c r="F22" s="50" t="n">
        <v>4383.72</v>
      </c>
      <c r="G22" s="27" t="inlineStr">
        <is>
          <t>-</t>
        </is>
      </c>
      <c r="H22" s="50">
        <f>F22</f>
        <v/>
      </c>
      <c r="I22" s="51" t="n">
        <v>6</v>
      </c>
      <c r="J22" s="28">
        <f>H22*I22</f>
        <v/>
      </c>
      <c r="K22" s="53" t="inlineStr">
        <is>
          <t>MÜHENDİSLİK TAHMİNİ</t>
        </is>
      </c>
      <c r="L22" s="7" t="inlineStr">
        <is>
          <t>TAHMIN (emsal yok) – Uygun emsal yok; mevcut tahmin korundu</t>
        </is>
      </c>
      <c r="M22" s="7" t="inlineStr"/>
    </row>
    <row r="23" outlineLevel="1">
      <c r="A23" s="27" t="n"/>
      <c r="B23" s="27" t="inlineStr">
        <is>
          <t>2002.B</t>
        </is>
      </c>
      <c r="C23" s="7" t="inlineStr">
        <is>
          <t>Dolgu kumu</t>
        </is>
      </c>
      <c r="D23" s="27" t="inlineStr">
        <is>
          <t>m³</t>
        </is>
      </c>
      <c r="E23" s="50" t="n">
        <v>3542</v>
      </c>
      <c r="F23" s="50" t="n">
        <v>3542</v>
      </c>
      <c r="G23" s="27" t="inlineStr">
        <is>
          <t>-</t>
        </is>
      </c>
      <c r="H23" s="50">
        <f>F23</f>
        <v/>
      </c>
      <c r="I23" s="51" t="n">
        <v>18</v>
      </c>
      <c r="J23" s="28">
        <f>H23*I23</f>
        <v/>
      </c>
      <c r="K23" s="53" t="inlineStr">
        <is>
          <t>MÜHENDİSLİK TAHMİNİ</t>
        </is>
      </c>
      <c r="L23" s="7" t="inlineStr">
        <is>
          <t>TAHMIN (emsal yok) – Emsal yok; 2026 dolgu kumu 13–18 €/m³ aralığında, makul</t>
        </is>
      </c>
      <c r="M23" s="7" t="inlineStr"/>
    </row>
    <row r="24" outlineLevel="1">
      <c r="A24" s="27" t="n"/>
      <c r="B24" s="27" t="inlineStr">
        <is>
          <t>2002.B</t>
        </is>
      </c>
      <c r="C24" s="7" t="inlineStr">
        <is>
          <t>Harman tuğlası</t>
        </is>
      </c>
      <c r="D24" s="27" t="inlineStr">
        <is>
          <t>adet</t>
        </is>
      </c>
      <c r="E24" s="50" t="n">
        <v>44280</v>
      </c>
      <c r="F24" s="50" t="n">
        <v>44280</v>
      </c>
      <c r="G24" s="27" t="inlineStr">
        <is>
          <t>-</t>
        </is>
      </c>
      <c r="H24" s="50">
        <f>F24</f>
        <v/>
      </c>
      <c r="I24" s="51" t="n">
        <v>0.25</v>
      </c>
      <c r="J24" s="28">
        <f>H24*I24</f>
        <v/>
      </c>
      <c r="K24" s="53" t="inlineStr">
        <is>
          <t>MÜHENDİSLİK TAHMİNİ</t>
        </is>
      </c>
      <c r="L24" s="7" t="inlineStr">
        <is>
          <t>TAHMIN (emsal yok) – Uygun emsal yok; mevcut tahmin korundu</t>
        </is>
      </c>
      <c r="M24" s="7" t="inlineStr"/>
    </row>
    <row r="25" outlineLevel="1">
      <c r="A25" s="27" t="n"/>
      <c r="B25" s="27" t="inlineStr">
        <is>
          <t>2002.B</t>
        </is>
      </c>
      <c r="C25" s="7" t="inlineStr">
        <is>
          <t>Plastik ikaz bandı</t>
        </is>
      </c>
      <c r="D25" s="27" t="inlineStr">
        <is>
          <t>m</t>
        </is>
      </c>
      <c r="E25" s="50" t="n">
        <v>19483.2</v>
      </c>
      <c r="F25" s="50" t="n">
        <v>19483.2</v>
      </c>
      <c r="G25" s="27" t="inlineStr">
        <is>
          <t>-</t>
        </is>
      </c>
      <c r="H25" s="50">
        <f>F25</f>
        <v/>
      </c>
      <c r="I25" s="51" t="n">
        <v>0.3</v>
      </c>
      <c r="J25" s="28">
        <f>H25*I25</f>
        <v/>
      </c>
      <c r="K25" s="53" t="inlineStr">
        <is>
          <t>MÜHENDİSLİK TAHMİNİ</t>
        </is>
      </c>
      <c r="L25" s="7" t="inlineStr">
        <is>
          <t>TAHMIN (emsal yok) – Uygun emsal yok; mevcut tahmin korundu</t>
        </is>
      </c>
      <c r="M25" s="7" t="inlineStr"/>
    </row>
    <row r="26" outlineLevel="1">
      <c r="A26" s="27" t="n"/>
      <c r="B26" s="27" t="inlineStr">
        <is>
          <t>2002.B</t>
        </is>
      </c>
      <c r="C26" s="7" t="inlineStr">
        <is>
          <t>C14 koruma betonu</t>
        </is>
      </c>
      <c r="D26" s="27" t="inlineStr">
        <is>
          <t>m³</t>
        </is>
      </c>
      <c r="E26" s="50" t="n">
        <v>709</v>
      </c>
      <c r="F26" s="50" t="n">
        <v>709</v>
      </c>
      <c r="G26" s="27" t="inlineStr">
        <is>
          <t>-</t>
        </is>
      </c>
      <c r="H26" s="50">
        <f>F26</f>
        <v/>
      </c>
      <c r="I26" s="51" t="n">
        <v>75</v>
      </c>
      <c r="J26" s="28">
        <f>H26*I26</f>
        <v/>
      </c>
      <c r="K26" s="53" t="inlineStr">
        <is>
          <t>MÜHENDİSLİK TAHMİNİ</t>
        </is>
      </c>
      <c r="L26" s="7" t="inlineStr">
        <is>
          <t>TAHMIN (emsal yok) – Emsal yok; 2026 hazır beton C16 ~65–75 €/m³, makul</t>
        </is>
      </c>
      <c r="M26" s="7" t="inlineStr"/>
    </row>
    <row r="27" outlineLevel="1">
      <c r="A27" s="27" t="n"/>
      <c r="B27" s="27" t="inlineStr">
        <is>
          <t>2002.B</t>
        </is>
      </c>
      <c r="C27" s="7" t="inlineStr">
        <is>
          <t>Yol/kaldırım kaplamasının eski haline getirilmesi</t>
        </is>
      </c>
      <c r="D27" s="27" t="inlineStr">
        <is>
          <t>m²</t>
        </is>
      </c>
      <c r="E27" s="50" t="n">
        <v>6200</v>
      </c>
      <c r="F27" s="50" t="n">
        <v>6200</v>
      </c>
      <c r="G27" s="27" t="inlineStr">
        <is>
          <t>-</t>
        </is>
      </c>
      <c r="H27" s="50">
        <f>F27</f>
        <v/>
      </c>
      <c r="I27" s="51" t="n">
        <v>25</v>
      </c>
      <c r="J27" s="28">
        <f>H27*I27</f>
        <v/>
      </c>
      <c r="K27" s="53" t="inlineStr">
        <is>
          <t>MÜHENDİSLİK TAHMİNİ</t>
        </is>
      </c>
      <c r="L27" s="7" t="inlineStr">
        <is>
          <t>TAHMIN (emsal yok) – Uygun emsal yok; mevcut tahmin korundu</t>
        </is>
      </c>
      <c r="M27" s="7" t="inlineStr"/>
    </row>
    <row r="28" outlineLevel="1">
      <c r="A28" s="27" t="n"/>
      <c r="B28" s="27" t="inlineStr">
        <is>
          <t>2002.B</t>
        </is>
      </c>
      <c r="C28" s="7" t="inlineStr">
        <is>
          <t>Kazı fazlası nakli</t>
        </is>
      </c>
      <c r="D28" s="27" t="inlineStr">
        <is>
          <t>m³</t>
        </is>
      </c>
      <c r="E28" s="50" t="n">
        <v>4430</v>
      </c>
      <c r="F28" s="50" t="n">
        <v>4430</v>
      </c>
      <c r="G28" s="27" t="inlineStr">
        <is>
          <t>-</t>
        </is>
      </c>
      <c r="H28" s="50">
        <f>F28</f>
        <v/>
      </c>
      <c r="I28" s="51" t="n">
        <v>6</v>
      </c>
      <c r="J28" s="28">
        <f>H28*I28</f>
        <v/>
      </c>
      <c r="K28" s="53" t="inlineStr">
        <is>
          <t>MÜHENDİSLİK TAHMİNİ</t>
        </is>
      </c>
      <c r="L28" s="7" t="inlineStr">
        <is>
          <t>TAHMIN (emsal yok) – Uygun emsal yok; mevcut tahmin korundu</t>
        </is>
      </c>
      <c r="M28" s="7" t="inlineStr"/>
    </row>
    <row r="29" outlineLevel="1">
      <c r="A29" s="27" t="n"/>
      <c r="B29" s="27" t="inlineStr">
        <is>
          <t>2002.B</t>
        </is>
      </c>
      <c r="C29" s="7" t="inlineStr">
        <is>
          <t>Güzergah işaret taşı</t>
        </is>
      </c>
      <c r="D29" s="27" t="inlineStr">
        <is>
          <t>adet</t>
        </is>
      </c>
      <c r="E29" s="50" t="n">
        <v>180</v>
      </c>
      <c r="F29" s="50" t="n">
        <v>180</v>
      </c>
      <c r="G29" s="27" t="inlineStr">
        <is>
          <t>-</t>
        </is>
      </c>
      <c r="H29" s="50">
        <f>F29</f>
        <v/>
      </c>
      <c r="I29" s="51" t="n">
        <v>30</v>
      </c>
      <c r="J29" s="28">
        <f>H29*I29</f>
        <v/>
      </c>
      <c r="K29" s="53" t="inlineStr">
        <is>
          <t>MÜHENDİSLİK TAHMİNİ</t>
        </is>
      </c>
      <c r="L29" s="7" t="inlineStr">
        <is>
          <t>TAHMIN (emsal yok) – Uygun emsal yok; mevcut tahmin korundu</t>
        </is>
      </c>
      <c r="M29" s="7" t="inlineStr"/>
    </row>
    <row r="30" outlineLevel="1">
      <c r="A30" s="27" t="n"/>
      <c r="B30" s="27" t="inlineStr">
        <is>
          <t>2002.B</t>
        </is>
      </c>
      <c r="C30" s="7" t="inlineStr">
        <is>
          <t>OG kablo saha testleri</t>
        </is>
      </c>
      <c r="D30" s="27" t="inlineStr">
        <is>
          <t>set</t>
        </is>
      </c>
      <c r="E30" s="50" t="n">
        <v>2</v>
      </c>
      <c r="F30" s="50" t="n">
        <v>2</v>
      </c>
      <c r="G30" s="27" t="inlineStr">
        <is>
          <t>-</t>
        </is>
      </c>
      <c r="H30" s="50">
        <f>F30</f>
        <v/>
      </c>
      <c r="I30" s="51" t="n">
        <v>4000</v>
      </c>
      <c r="J30" s="28">
        <f>H30*I30</f>
        <v/>
      </c>
      <c r="K30" s="53" t="inlineStr">
        <is>
          <t>MÜHENDİSLİK TAHMİNİ</t>
        </is>
      </c>
      <c r="L30" s="7" t="inlineStr">
        <is>
          <t>TAHMIN (emsal yok) – Uygun emsal yok; mevcut tahmin korundu</t>
        </is>
      </c>
      <c r="M30" s="7" t="inlineStr"/>
    </row>
    <row r="31">
      <c r="A31" s="48" t="inlineStr">
        <is>
          <t>172</t>
        </is>
      </c>
      <c r="B31" s="48" t="inlineStr">
        <is>
          <t>2003</t>
        </is>
      </c>
      <c r="C31" s="48" t="inlineStr">
        <is>
          <t>Enerji Kalitesi ve Yönetimi Sistemi</t>
        </is>
      </c>
      <c r="D31" s="48" t="n"/>
      <c r="E31" s="48" t="n"/>
      <c r="F31" s="48" t="n"/>
      <c r="G31" s="48" t="n"/>
      <c r="H31" s="48" t="inlineStr">
        <is>
          <t>RFQ tutarı →</t>
        </is>
      </c>
      <c r="I31" s="49">
        <f>SUMPRODUCT(E32:E42,I32:I42)</f>
        <v/>
      </c>
      <c r="J31" s="49">
        <f>SUM(J32:J42)</f>
        <v/>
      </c>
      <c r="K31" s="48" t="n"/>
      <c r="L31" s="48" t="n"/>
      <c r="M31" s="48" t="n"/>
    </row>
    <row r="32" outlineLevel="1">
      <c r="A32" s="27" t="n"/>
      <c r="B32" s="27" t="inlineStr">
        <is>
          <t>2003</t>
        </is>
      </c>
      <c r="C32" s="7" t="inlineStr">
        <is>
          <t>AG tristörlü kompanzasyon kademesi 50 kVAr 690 V</t>
        </is>
      </c>
      <c r="D32" s="27" t="inlineStr">
        <is>
          <t>adet</t>
        </is>
      </c>
      <c r="E32" s="50" t="n">
        <v>12</v>
      </c>
      <c r="F32" s="50" t="n">
        <v>12</v>
      </c>
      <c r="G32" s="27" t="inlineStr">
        <is>
          <t>-</t>
        </is>
      </c>
      <c r="H32" s="50">
        <f>F32</f>
        <v/>
      </c>
      <c r="I32" s="51" t="n">
        <v>1600</v>
      </c>
      <c r="J32" s="28">
        <f>H32*I32</f>
        <v/>
      </c>
      <c r="K32" s="52" t="inlineStr">
        <is>
          <t>GEÇMİŞ TEKLİF UYARLAMA</t>
        </is>
      </c>
      <c r="L32" s="7" t="inlineStr">
        <is>
          <t>REF-derin – Bursa T2 kondansatör Haluk 18,73, MET 23,79 €/kVAr → medyan 21,26×50×1,5 (tristör+reaktör) ≈ 1.600 (IGBT 187 €/kVAr üst sınır) [Emsal ID: R00874;R00951;R00886]</t>
        </is>
      </c>
      <c r="M32" s="7" t="inlineStr">
        <is>
          <t>İlk tahmin BF 1,500.00</t>
        </is>
      </c>
    </row>
    <row r="33" outlineLevel="1">
      <c r="A33" s="27" t="n"/>
      <c r="B33" s="27" t="inlineStr">
        <is>
          <t>2003</t>
        </is>
      </c>
      <c r="C33" s="7" t="inlineStr">
        <is>
          <t>AG tristörlü kompanzasyon kademesi 25 kVAr 690 V</t>
        </is>
      </c>
      <c r="D33" s="27" t="inlineStr">
        <is>
          <t>adet</t>
        </is>
      </c>
      <c r="E33" s="50" t="n">
        <v>8</v>
      </c>
      <c r="F33" s="50" t="n">
        <v>8</v>
      </c>
      <c r="G33" s="27" t="inlineStr">
        <is>
          <t>-</t>
        </is>
      </c>
      <c r="H33" s="50">
        <f>F33</f>
        <v/>
      </c>
      <c r="I33" s="51" t="n">
        <v>900</v>
      </c>
      <c r="J33" s="28">
        <f>H33*I33</f>
        <v/>
      </c>
      <c r="K33" s="52" t="inlineStr">
        <is>
          <t>GEÇMİŞ TEKLİF UYARLAMA</t>
        </is>
      </c>
      <c r="L33" s="7" t="inlineStr">
        <is>
          <t>REF-derin – Aynı medyan 21,26 €/kVAr×25×1,5 + sabit pay ≈ 900 (mevcut 1.000 hafif yüksek) [Emsal ID: R00874;R00951]</t>
        </is>
      </c>
      <c r="M33" s="7" t="inlineStr">
        <is>
          <t>İlk tahmin BF 1,000.00</t>
        </is>
      </c>
    </row>
    <row r="34" outlineLevel="1">
      <c r="A34" s="27" t="n"/>
      <c r="B34" s="27" t="inlineStr">
        <is>
          <t>2003</t>
        </is>
      </c>
      <c r="C34" s="7" t="inlineStr">
        <is>
          <t>Kompanzasyon panosu (röle, Modbus, fan) – her TM 1</t>
        </is>
      </c>
      <c r="D34" s="27" t="inlineStr">
        <is>
          <t>adet</t>
        </is>
      </c>
      <c r="E34" s="50" t="n">
        <v>5</v>
      </c>
      <c r="F34" s="50" t="n">
        <v>5</v>
      </c>
      <c r="G34" s="27" t="inlineStr">
        <is>
          <t>-</t>
        </is>
      </c>
      <c r="H34" s="50">
        <f>F34</f>
        <v/>
      </c>
      <c r="I34" s="51" t="n">
        <v>6000</v>
      </c>
      <c r="J34" s="28">
        <f>H34*I34</f>
        <v/>
      </c>
      <c r="K34" s="53" t="inlineStr">
        <is>
          <t>MÜHENDİSLİK TAHMİNİ</t>
        </is>
      </c>
      <c r="L34" s="7" t="inlineStr">
        <is>
          <t>TAHMIN (emsal yok) – Doğrudan emsal yok (TEDAK metro ERP 27.567 komple pano, kıyas dışı); kademeler ayrı fiyatlı → 6.000 makul</t>
        </is>
      </c>
      <c r="M34" s="7" t="inlineStr"/>
    </row>
    <row r="35" outlineLevel="1">
      <c r="A35" s="27" t="n"/>
      <c r="B35" s="27" t="inlineStr">
        <is>
          <t>2003</t>
        </is>
      </c>
      <c r="C35" s="7" t="inlineStr">
        <is>
          <t>MCCB 3×250 A + besleme kablosu 3×70</t>
        </is>
      </c>
      <c r="D35" s="27" t="inlineStr">
        <is>
          <t>set</t>
        </is>
      </c>
      <c r="E35" s="50" t="n">
        <v>1</v>
      </c>
      <c r="F35" s="50" t="n">
        <v>1</v>
      </c>
      <c r="G35" s="27" t="inlineStr">
        <is>
          <t>-</t>
        </is>
      </c>
      <c r="H35" s="50">
        <f>F35</f>
        <v/>
      </c>
      <c r="I35" s="51" t="n">
        <v>12300</v>
      </c>
      <c r="J35" s="28">
        <f>H35*I35</f>
        <v/>
      </c>
      <c r="K35" s="53" t="inlineStr">
        <is>
          <t>MÜHENDİSLİK TAHMİNİ</t>
        </is>
      </c>
      <c r="L35" s="7" t="inlineStr">
        <is>
          <t>TAHMIN (emsal yok) – Uygun emsal yok; mevcut tahmin korundu</t>
        </is>
      </c>
      <c r="M35" s="7" t="inlineStr">
        <is>
          <t>10 MCCB + 143 m kablo</t>
        </is>
      </c>
    </row>
    <row r="36" outlineLevel="1">
      <c r="A36" s="27" t="n"/>
      <c r="B36" s="27" t="inlineStr">
        <is>
          <t>2003</t>
        </is>
      </c>
      <c r="C36" s="7" t="inlineStr">
        <is>
          <t>OG şönt reaktör sistemi (TM-4 çıkışı)</t>
        </is>
      </c>
      <c r="D36" s="27" t="inlineStr">
        <is>
          <t>set</t>
        </is>
      </c>
      <c r="E36" s="50" t="n">
        <v>1</v>
      </c>
      <c r="F36" s="50" t="n">
        <v>1</v>
      </c>
      <c r="G36" s="27" t="inlineStr">
        <is>
          <t>-</t>
        </is>
      </c>
      <c r="H36" s="50">
        <f>F36</f>
        <v/>
      </c>
      <c r="I36" s="51" t="n">
        <v>60000</v>
      </c>
      <c r="J36" s="28">
        <f>H36*I36</f>
        <v/>
      </c>
      <c r="K36" s="53" t="inlineStr">
        <is>
          <t>MÜHENDİSLİK TAHMİNİ</t>
        </is>
      </c>
      <c r="L36" s="7" t="inlineStr">
        <is>
          <t>TAHMIN (emsal yok) – Emsal yok (yalnız AG şönt reaktör panoları var, Siemens 100 kVAr 11.868); OG reaktör teklifle teyit edilmeli</t>
        </is>
      </c>
      <c r="M36" s="7" t="inlineStr"/>
    </row>
    <row r="37" outlineLevel="1">
      <c r="A37" s="27" t="n"/>
      <c r="B37" s="27" t="inlineStr">
        <is>
          <t>2003</t>
        </is>
      </c>
      <c r="C37" s="7" t="inlineStr">
        <is>
          <t>36 kV 630 A kesicili kompanzasyon fider hücresi</t>
        </is>
      </c>
      <c r="D37" s="27" t="inlineStr">
        <is>
          <t>adet</t>
        </is>
      </c>
      <c r="E37" s="50" t="n">
        <v>1</v>
      </c>
      <c r="F37" s="50" t="n">
        <v>1</v>
      </c>
      <c r="G37" s="27" t="inlineStr">
        <is>
          <t>-</t>
        </is>
      </c>
      <c r="H37" s="50">
        <f>F37</f>
        <v/>
      </c>
      <c r="I37" s="51" t="n">
        <v>23579</v>
      </c>
      <c r="J37" s="28">
        <f>H37*I37</f>
        <v/>
      </c>
      <c r="K37" s="52" t="inlineStr">
        <is>
          <t>GEÇMİŞ TEKLİF UYARLAMA</t>
        </is>
      </c>
      <c r="L37" s="7" t="inlineStr">
        <is>
          <t>REF-derin – 630 A kesicili fider hücresi: Aktif 2021 21.379/22.329, Schneider 13.634/14.356, ABB İzmir 22.417/22.287 → medyan 21.833 +%8 montaj/test = 23.579 (mevcut 28.000 yüksek) [Emsal ID: R00761;R00762;R00730;R00731;R00560;R00561]</t>
        </is>
      </c>
      <c r="M37" s="7" t="inlineStr">
        <is>
          <t>İlk tahmin BF 28,000.00</t>
        </is>
      </c>
    </row>
    <row r="38" outlineLevel="1">
      <c r="A38" s="27" t="n"/>
      <c r="B38" s="27" t="inlineStr">
        <is>
          <t>2003</t>
        </is>
      </c>
      <c r="C38" s="7" t="inlineStr">
        <is>
          <t>34,5/0,4 kV 630 kVA kuru tip kompanzasyon trafosu</t>
        </is>
      </c>
      <c r="D38" s="27" t="inlineStr">
        <is>
          <t>adet</t>
        </is>
      </c>
      <c r="E38" s="50" t="n">
        <v>1</v>
      </c>
      <c r="F38" s="50" t="n">
        <v>1</v>
      </c>
      <c r="G38" s="27" t="inlineStr">
        <is>
          <t>-</t>
        </is>
      </c>
      <c r="H38" s="50">
        <f>F38</f>
        <v/>
      </c>
      <c r="I38" s="51" t="n">
        <v>19117</v>
      </c>
      <c r="J38" s="28">
        <f>H38*I38</f>
        <v/>
      </c>
      <c r="K38" s="52" t="inlineStr">
        <is>
          <t>GEÇMİŞ TEKLİF UYARLAMA</t>
        </is>
      </c>
      <c r="L38" s="7" t="inlineStr">
        <is>
          <t>REF-derin – Tramvay 630 kVA kuru: İzmir tram Aktif 2014 22.231, Bursa T2 Haluk 15.935, MET 19.117 → medyan 19.117 (ABB 2011 25.502) [Emsal ID: R00546;R00888;R00962;R01115]</t>
        </is>
      </c>
      <c r="M38" s="7" t="inlineStr">
        <is>
          <t>İlk tahmin BF 18,000.00</t>
        </is>
      </c>
    </row>
    <row r="39" outlineLevel="1">
      <c r="A39" s="27" t="n"/>
      <c r="B39" s="27" t="inlineStr">
        <is>
          <t>2003</t>
        </is>
      </c>
      <c r="C39" s="7" t="inlineStr">
        <is>
          <t>Enerji kalite kaydedicisi Class A</t>
        </is>
      </c>
      <c r="D39" s="27" t="inlineStr">
        <is>
          <t>adet</t>
        </is>
      </c>
      <c r="E39" s="50" t="n">
        <v>5</v>
      </c>
      <c r="F39" s="50" t="n">
        <v>5</v>
      </c>
      <c r="G39" s="27" t="inlineStr">
        <is>
          <t>-</t>
        </is>
      </c>
      <c r="H39" s="50">
        <f>F39</f>
        <v/>
      </c>
      <c r="I39" s="51" t="n">
        <v>4000</v>
      </c>
      <c r="J39" s="28">
        <f>H39*I39</f>
        <v/>
      </c>
      <c r="K39" s="53" t="inlineStr">
        <is>
          <t>MÜHENDİSLİK TAHMİNİ</t>
        </is>
      </c>
      <c r="L39" s="7" t="inlineStr">
        <is>
          <t>TAHMIN (emsal yok) – Uygun emsal yok; mevcut tahmin korundu</t>
        </is>
      </c>
      <c r="M39" s="7" t="inlineStr"/>
    </row>
    <row r="40" outlineLevel="1">
      <c r="A40" s="27" t="n"/>
      <c r="B40" s="27" t="inlineStr">
        <is>
          <t>2003</t>
        </is>
      </c>
      <c r="C40" s="7" t="inlineStr">
        <is>
          <t>AG enerji analizörü + Modbus ağ geçidi</t>
        </is>
      </c>
      <c r="D40" s="27" t="inlineStr">
        <is>
          <t>set</t>
        </is>
      </c>
      <c r="E40" s="50" t="n">
        <v>1</v>
      </c>
      <c r="F40" s="50" t="n">
        <v>1</v>
      </c>
      <c r="G40" s="27" t="inlineStr">
        <is>
          <t>-</t>
        </is>
      </c>
      <c r="H40" s="50">
        <f>F40</f>
        <v/>
      </c>
      <c r="I40" s="51" t="n">
        <v>12400</v>
      </c>
      <c r="J40" s="28">
        <f>H40*I40</f>
        <v/>
      </c>
      <c r="K40" s="53" t="inlineStr">
        <is>
          <t>MÜHENDİSLİK TAHMİNİ</t>
        </is>
      </c>
      <c r="L40" s="7" t="inlineStr">
        <is>
          <t>TAHMIN (emsal yok) – Uygun emsal yok; mevcut tahmin korundu</t>
        </is>
      </c>
      <c r="M40" s="7" t="inlineStr">
        <is>
          <t>6 analizör + 11 gateway</t>
        </is>
      </c>
    </row>
    <row r="41" outlineLevel="1">
      <c r="A41" s="27" t="n"/>
      <c r="B41" s="27" t="inlineStr">
        <is>
          <t>2003</t>
        </is>
      </c>
      <c r="C41" s="7" t="inlineStr">
        <is>
          <t>Enerji yönetim yazılımı (ISO 50001) + TCC operatör</t>
        </is>
      </c>
      <c r="D41" s="27" t="inlineStr">
        <is>
          <t>set</t>
        </is>
      </c>
      <c r="E41" s="50" t="n">
        <v>1</v>
      </c>
      <c r="F41" s="50" t="n">
        <v>1</v>
      </c>
      <c r="G41" s="27" t="inlineStr">
        <is>
          <t>-</t>
        </is>
      </c>
      <c r="H41" s="50">
        <f>F41</f>
        <v/>
      </c>
      <c r="I41" s="51" t="n">
        <v>25000</v>
      </c>
      <c r="J41" s="28">
        <f>H41*I41</f>
        <v/>
      </c>
      <c r="K41" s="53" t="inlineStr">
        <is>
          <t>MÜHENDİSLİK TAHMİNİ</t>
        </is>
      </c>
      <c r="L41" s="7" t="inlineStr">
        <is>
          <t>TAHMIN (emsal yok) – Uygun emsal yok; mevcut tahmin korundu</t>
        </is>
      </c>
      <c r="M41" s="7" t="inlineStr"/>
    </row>
    <row r="42" outlineLevel="1">
      <c r="A42" s="27" t="n"/>
      <c r="B42" s="27" t="inlineStr">
        <is>
          <t>2003</t>
        </is>
      </c>
      <c r="C42" s="7" t="inlineStr">
        <is>
          <t>Haberleşme kabloları, harmonik ölçümleri, devreye alma, DEDAŞ raporu</t>
        </is>
      </c>
      <c r="D42" s="27" t="inlineStr">
        <is>
          <t>set</t>
        </is>
      </c>
      <c r="E42" s="50" t="n">
        <v>1</v>
      </c>
      <c r="F42" s="50" t="n">
        <v>1</v>
      </c>
      <c r="G42" s="27" t="inlineStr">
        <is>
          <t>-</t>
        </is>
      </c>
      <c r="H42" s="50">
        <f>F42</f>
        <v/>
      </c>
      <c r="I42" s="51" t="n">
        <v>11500</v>
      </c>
      <c r="J42" s="28">
        <f>H42*I42</f>
        <v/>
      </c>
      <c r="K42" s="53" t="inlineStr">
        <is>
          <t>MÜHENDİSLİK TAHMİNİ</t>
        </is>
      </c>
      <c r="L42" s="7" t="inlineStr">
        <is>
          <t>TAHMIN (emsal yok) – Uygun emsal yok; mevcut tahmin korundu</t>
        </is>
      </c>
      <c r="M42" s="7" t="inlineStr"/>
    </row>
    <row r="43">
      <c r="A43" s="48" t="inlineStr">
        <is>
          <t>173</t>
        </is>
      </c>
      <c r="B43" s="48" t="inlineStr">
        <is>
          <t>2004.A</t>
        </is>
      </c>
      <c r="C43" s="48" t="inlineStr">
        <is>
          <t>Ring Giriş/Çıkış 34,5 kV Şalt Panosu (12 hücre)</t>
        </is>
      </c>
      <c r="D43" s="48" t="n"/>
      <c r="E43" s="48" t="n"/>
      <c r="F43" s="48" t="n"/>
      <c r="G43" s="48" t="n"/>
      <c r="H43" s="48" t="inlineStr">
        <is>
          <t>RFQ tutarı →</t>
        </is>
      </c>
      <c r="I43" s="49">
        <f>SUMPRODUCT(E44:E44,I44:I44)</f>
        <v/>
      </c>
      <c r="J43" s="49">
        <f>SUM(J44:J44)</f>
        <v/>
      </c>
      <c r="K43" s="48" t="n"/>
      <c r="L43" s="48" t="n"/>
      <c r="M43" s="48" t="n"/>
    </row>
    <row r="44" outlineLevel="1">
      <c r="A44" s="27" t="n"/>
      <c r="B44" s="27" t="inlineStr">
        <is>
          <t>2004.A</t>
        </is>
      </c>
      <c r="C44" s="7" t="inlineStr">
        <is>
          <t>36 kV 1250 A 25 kA SF6 kesicili hücre + AT + sayısal röle + ölçü + kilitleme + FAT/SAT</t>
        </is>
      </c>
      <c r="D44" s="27" t="inlineStr">
        <is>
          <t>adet</t>
        </is>
      </c>
      <c r="E44" s="50" t="n">
        <v>12</v>
      </c>
      <c r="F44" s="50" t="n">
        <v>12</v>
      </c>
      <c r="G44" s="27" t="inlineStr">
        <is>
          <t>-</t>
        </is>
      </c>
      <c r="H44" s="50">
        <f>F44</f>
        <v/>
      </c>
      <c r="I44" s="51" t="n">
        <v>26000</v>
      </c>
      <c r="J44" s="28">
        <f>H44*I44</f>
        <v/>
      </c>
      <c r="K44" s="52" t="inlineStr">
        <is>
          <t>GEÇMİŞ TEKLİF UYARLAMA</t>
        </is>
      </c>
      <c r="L44" s="7" t="inlineStr">
        <is>
          <t>REF-teyit – Ring kesicili hücre: Bursa T2 Haluk 30.518, MET 24.247, Kocaeli 35.207/17.488 (tram medyan 27.382); 2021 Aktif 22.848, ABB 23.502, Schneider 19.001 +%8 montaj → 26.000 teyit [Emsal ID: R00879;R00956;R01043;R01067;R00670;R00696;R00728]</t>
        </is>
      </c>
      <c r="M44" s="7" t="inlineStr"/>
    </row>
    <row r="45">
      <c r="A45" s="48" t="inlineStr">
        <is>
          <t>174</t>
        </is>
      </c>
      <c r="B45" s="48" t="inlineStr">
        <is>
          <t>2004.B</t>
        </is>
      </c>
      <c r="C45" s="48" t="inlineStr">
        <is>
          <t>Cer Trafo Besleme 34,5 kV Şalt Panosu (5 hücre)</t>
        </is>
      </c>
      <c r="D45" s="48" t="n"/>
      <c r="E45" s="48" t="n"/>
      <c r="F45" s="48" t="n"/>
      <c r="G45" s="48" t="n"/>
      <c r="H45" s="48" t="inlineStr">
        <is>
          <t>RFQ tutarı →</t>
        </is>
      </c>
      <c r="I45" s="49">
        <f>SUMPRODUCT(E46:E48,I46:I48)</f>
        <v/>
      </c>
      <c r="J45" s="49">
        <f>SUM(J46:J48)</f>
        <v/>
      </c>
      <c r="K45" s="48" t="n"/>
      <c r="L45" s="48" t="n"/>
      <c r="M45" s="48" t="n"/>
    </row>
    <row r="46" outlineLevel="1">
      <c r="A46" s="27" t="n"/>
      <c r="B46" s="27" t="inlineStr">
        <is>
          <t>2004.B</t>
        </is>
      </c>
      <c r="C46" s="7" t="inlineStr">
        <is>
          <t>36 kV kesicili trafo koruma hücresi + röle + analizör + DC kilitleme</t>
        </is>
      </c>
      <c r="D46" s="27" t="inlineStr">
        <is>
          <t>adet</t>
        </is>
      </c>
      <c r="E46" s="50" t="n">
        <v>5</v>
      </c>
      <c r="F46" s="50" t="n">
        <v>5</v>
      </c>
      <c r="G46" s="27" t="inlineStr">
        <is>
          <t>-</t>
        </is>
      </c>
      <c r="H46" s="50">
        <f>F46</f>
        <v/>
      </c>
      <c r="I46" s="51" t="n">
        <v>24000</v>
      </c>
      <c r="J46" s="28">
        <f>H46*I46</f>
        <v/>
      </c>
      <c r="K46" s="52" t="inlineStr">
        <is>
          <t>GEÇMİŞ TEKLİF UYARLAMA</t>
        </is>
      </c>
      <c r="L46" s="7" t="inlineStr">
        <is>
          <t>REF-teyit – Trafo koruma hücresi: Haluk 26.130, Kocaeli 34.616, Aktif 2021 19.709/19.279/24.699, ABB 24.000 → medyan 24.349; 24.000 teyit [Emsal ID: R00882;R01044;R00671;R00674;R00697;R00765;R01068]</t>
        </is>
      </c>
      <c r="M46" s="7" t="inlineStr"/>
    </row>
    <row r="47" outlineLevel="1">
      <c r="A47" s="27" t="n"/>
      <c r="B47" s="27" t="inlineStr">
        <is>
          <t>2004.B</t>
        </is>
      </c>
      <c r="C47" s="7" t="inlineStr">
        <is>
          <t>OG bağlantı kablosu 3(1×95/16) Al – hücre/cer trafosu</t>
        </is>
      </c>
      <c r="D47" s="27" t="inlineStr">
        <is>
          <t>m</t>
        </is>
      </c>
      <c r="E47" s="50" t="n">
        <v>108</v>
      </c>
      <c r="F47" s="50" t="n">
        <v>108</v>
      </c>
      <c r="G47" s="27" t="inlineStr">
        <is>
          <t>-</t>
        </is>
      </c>
      <c r="H47" s="50">
        <f>F47</f>
        <v/>
      </c>
      <c r="I47" s="51" t="n">
        <v>26.57</v>
      </c>
      <c r="J47" s="28">
        <f>H47*I47</f>
        <v/>
      </c>
      <c r="K47" s="52" t="inlineStr">
        <is>
          <t>GEÇMİŞ TEKLİF UYARLAMA</t>
        </is>
      </c>
      <c r="L47" s="7" t="inlineStr">
        <is>
          <t>REF-derin – R00864 Kocaeli KentMey.Tram/Haluk 2015 9.19; R00943 Kocaeli KentMey.Tram/MET 2015 8.52 | 36 kV Al 1x95/16 medyan 8.86 €/m ×3 damar = 26.57 € [Emsal ID: R00864;R00943]</t>
        </is>
      </c>
      <c r="M47" s="7" t="inlineStr">
        <is>
          <t>İlk tahmin BF 25.00</t>
        </is>
      </c>
    </row>
    <row r="48" outlineLevel="1">
      <c r="A48" s="27" t="n"/>
      <c r="B48" s="27" t="inlineStr">
        <is>
          <t>2004.B</t>
        </is>
      </c>
      <c r="C48" s="7" t="inlineStr">
        <is>
          <t>36 kV 1×95 kablo başlığı (büzüşmeli + geçmeli)</t>
        </is>
      </c>
      <c r="D48" s="27" t="inlineStr">
        <is>
          <t>adet</t>
        </is>
      </c>
      <c r="E48" s="50" t="n">
        <v>30</v>
      </c>
      <c r="F48" s="50" t="n">
        <v>30</v>
      </c>
      <c r="G48" s="27" t="inlineStr">
        <is>
          <t>%30</t>
        </is>
      </c>
      <c r="H48" s="50">
        <f>F48/IF(Varsayimlar!$B$21=1,1.3,1)</f>
        <v/>
      </c>
      <c r="I48" s="51" t="n">
        <v>350</v>
      </c>
      <c r="J48" s="28">
        <f>H48*I48</f>
        <v/>
      </c>
      <c r="K48" s="53" t="inlineStr">
        <is>
          <t>MÜHENDİSLİK TAHMİNİ</t>
        </is>
      </c>
      <c r="L48" s="7" t="inlineStr">
        <is>
          <t>TAHMIN (emsal yok) – Doğrudan emsal yok (RSTI 800A geçmeli 418 mlz büyük kesit); 1×95 başlık 350 makul</t>
        </is>
      </c>
      <c r="M48" s="7" t="inlineStr"/>
    </row>
    <row r="49">
      <c r="A49" s="48" t="inlineStr">
        <is>
          <t>175</t>
        </is>
      </c>
      <c r="B49" s="48" t="inlineStr">
        <is>
          <t>2004.C</t>
        </is>
      </c>
      <c r="C49" s="48" t="inlineStr">
        <is>
          <t>İç İhtiyaç Trafo Besleme 34,5 kV Şalt Panosu (6 hücre)</t>
        </is>
      </c>
      <c r="D49" s="48" t="n"/>
      <c r="E49" s="48" t="n"/>
      <c r="F49" s="48" t="n"/>
      <c r="G49" s="48" t="n"/>
      <c r="H49" s="48" t="inlineStr">
        <is>
          <t>RFQ tutarı →</t>
        </is>
      </c>
      <c r="I49" s="49">
        <f>SUMPRODUCT(E50:E52,I50:I52)</f>
        <v/>
      </c>
      <c r="J49" s="49">
        <f>SUM(J50:J52)</f>
        <v/>
      </c>
      <c r="K49" s="48" t="n"/>
      <c r="L49" s="48" t="n"/>
      <c r="M49" s="48" t="n"/>
    </row>
    <row r="50" outlineLevel="1">
      <c r="A50" s="27" t="n"/>
      <c r="B50" s="27" t="inlineStr">
        <is>
          <t>2004.C</t>
        </is>
      </c>
      <c r="C50" s="7" t="inlineStr">
        <is>
          <t>36 kV kesicili iç ihtiyaç trafo fider hücresi + röle</t>
        </is>
      </c>
      <c r="D50" s="27" t="inlineStr">
        <is>
          <t>adet</t>
        </is>
      </c>
      <c r="E50" s="50" t="n">
        <v>6</v>
      </c>
      <c r="F50" s="50" t="n">
        <v>6</v>
      </c>
      <c r="G50" s="27" t="inlineStr">
        <is>
          <t>-</t>
        </is>
      </c>
      <c r="H50" s="50">
        <f>F50</f>
        <v/>
      </c>
      <c r="I50" s="51" t="n">
        <v>23000</v>
      </c>
      <c r="J50" s="28">
        <f>H50*I50</f>
        <v/>
      </c>
      <c r="K50" s="52" t="inlineStr">
        <is>
          <t>GEÇMİŞ TEKLİF UYARLAMA</t>
        </is>
      </c>
      <c r="L50" s="7" t="inlineStr">
        <is>
          <t>REF-teyit – İç ihtiyaç fider hücresi: Aktif 19.709, ABB 24.000, Schneider 14.356, Haluk 26.130, Kocaeli 34.616 → medyan 24.000; 23.000 teyit [Emsal ID: R00671;R00698;R00731;R00882;R01044]</t>
        </is>
      </c>
      <c r="M50" s="7" t="inlineStr"/>
    </row>
    <row r="51" outlineLevel="1">
      <c r="A51" s="27" t="n"/>
      <c r="B51" s="27" t="inlineStr">
        <is>
          <t>2004.C</t>
        </is>
      </c>
      <c r="C51" s="7" t="inlineStr">
        <is>
          <t>OG bağlantı kablosu 3(1×95/16) Al</t>
        </is>
      </c>
      <c r="D51" s="27" t="inlineStr">
        <is>
          <t>m</t>
        </is>
      </c>
      <c r="E51" s="50" t="n">
        <v>129</v>
      </c>
      <c r="F51" s="50" t="n">
        <v>129</v>
      </c>
      <c r="G51" s="27" t="inlineStr">
        <is>
          <t>fire+%30</t>
        </is>
      </c>
      <c r="H51" s="50">
        <f>F51/IF(Varsayimlar!$B$21=1,1.43,1)</f>
        <v/>
      </c>
      <c r="I51" s="51" t="n">
        <v>26.57</v>
      </c>
      <c r="J51" s="28">
        <f>H51*I51</f>
        <v/>
      </c>
      <c r="K51" s="52" t="inlineStr">
        <is>
          <t>GEÇMİŞ TEKLİF UYARLAMA</t>
        </is>
      </c>
      <c r="L51" s="7" t="inlineStr">
        <is>
          <t>REF-derin – R00864 Kocaeli KentMey.Tram/Haluk 2015 9.19; R00943 Kocaeli KentMey.Tram/MET 2015 8.52 | 36 kV Al 1x95/16 medyan 8.86 €/m ×3 damar = 26.57 € [Emsal ID: R00864;R00943]</t>
        </is>
      </c>
      <c r="M51" s="7" t="inlineStr">
        <is>
          <t>İlk tahmin BF 25.00</t>
        </is>
      </c>
    </row>
    <row r="52" outlineLevel="1">
      <c r="A52" s="27" t="n"/>
      <c r="B52" s="27" t="inlineStr">
        <is>
          <t>2004.C</t>
        </is>
      </c>
      <c r="C52" s="7" t="inlineStr">
        <is>
          <t>36 kV 1×95 kablo başlığı</t>
        </is>
      </c>
      <c r="D52" s="27" t="inlineStr">
        <is>
          <t>adet</t>
        </is>
      </c>
      <c r="E52" s="50" t="n">
        <v>36</v>
      </c>
      <c r="F52" s="50" t="n">
        <v>36</v>
      </c>
      <c r="G52" s="27" t="inlineStr">
        <is>
          <t>%30</t>
        </is>
      </c>
      <c r="H52" s="50">
        <f>F52/IF(Varsayimlar!$B$21=1,1.3,1)</f>
        <v/>
      </c>
      <c r="I52" s="51" t="n">
        <v>350</v>
      </c>
      <c r="J52" s="28">
        <f>H52*I52</f>
        <v/>
      </c>
      <c r="K52" s="53" t="inlineStr">
        <is>
          <t>MÜHENDİSLİK TAHMİNİ</t>
        </is>
      </c>
      <c r="L52" s="7" t="inlineStr">
        <is>
          <t>TAHMIN (emsal yok) – Doğrudan emsal yok; 1×95 başlık 350 makul</t>
        </is>
      </c>
      <c r="M52" s="7" t="inlineStr"/>
    </row>
    <row r="53">
      <c r="A53" s="48" t="inlineStr">
        <is>
          <t>176</t>
        </is>
      </c>
      <c r="B53" s="48" t="inlineStr">
        <is>
          <t>2004.D</t>
        </is>
      </c>
      <c r="C53" s="48" t="inlineStr">
        <is>
          <t>Ölçü 34,5 kV Şalt Panosu</t>
        </is>
      </c>
      <c r="D53" s="48" t="n"/>
      <c r="E53" s="48" t="n"/>
      <c r="F53" s="48" t="n"/>
      <c r="G53" s="48" t="n"/>
      <c r="H53" s="48" t="inlineStr">
        <is>
          <t>RFQ tutarı →</t>
        </is>
      </c>
      <c r="I53" s="49">
        <f>SUMPRODUCT(E54:E56,I54:I56)</f>
        <v/>
      </c>
      <c r="J53" s="49">
        <f>SUM(J54:J56)</f>
        <v/>
      </c>
      <c r="K53" s="48" t="n"/>
      <c r="L53" s="48" t="n"/>
      <c r="M53" s="48" t="n"/>
    </row>
    <row r="54" outlineLevel="1">
      <c r="A54" s="27" t="n"/>
      <c r="B54" s="27" t="inlineStr">
        <is>
          <t>2004.D</t>
        </is>
      </c>
      <c r="C54" s="7" t="inlineStr">
        <is>
          <t>36 kV akım-gerilim ölçü hücresi (TEİAŞ girişli TM)</t>
        </is>
      </c>
      <c r="D54" s="27" t="inlineStr">
        <is>
          <t>adet</t>
        </is>
      </c>
      <c r="E54" s="50" t="n">
        <v>2</v>
      </c>
      <c r="F54" s="50" t="n">
        <v>2</v>
      </c>
      <c r="G54" s="27" t="inlineStr">
        <is>
          <t>-</t>
        </is>
      </c>
      <c r="H54" s="50">
        <f>F54</f>
        <v/>
      </c>
      <c r="I54" s="51" t="n">
        <v>17424</v>
      </c>
      <c r="J54" s="28">
        <f>H54*I54</f>
        <v/>
      </c>
      <c r="K54" s="52" t="inlineStr">
        <is>
          <t>GEÇMİŞ TEKLİF UYARLAMA</t>
        </is>
      </c>
      <c r="L54" s="7" t="inlineStr">
        <is>
          <t>REF-derin – Akım-gerilim ölçü hücresi: Haluk 19.254, MET 17.424, Aktif 2021 12.623 → medyan 17.424 (mevcut Haluk maks. alınmış) [Emsal ID: R00880;R00957;R00764]</t>
        </is>
      </c>
      <c r="M54" s="7" t="inlineStr">
        <is>
          <t>İlk tahmin BF 19,254.00</t>
        </is>
      </c>
    </row>
    <row r="55" outlineLevel="1">
      <c r="A55" s="27" t="n"/>
      <c r="B55" s="27" t="inlineStr">
        <is>
          <t>2004.D</t>
        </is>
      </c>
      <c r="C55" s="7" t="inlineStr">
        <is>
          <t>36 kV bara gerilim ölçü (VT) hücresi</t>
        </is>
      </c>
      <c r="D55" s="27" t="inlineStr">
        <is>
          <t>adet</t>
        </is>
      </c>
      <c r="E55" s="50" t="n">
        <v>3</v>
      </c>
      <c r="F55" s="50" t="n">
        <v>3</v>
      </c>
      <c r="G55" s="27" t="inlineStr">
        <is>
          <t>-</t>
        </is>
      </c>
      <c r="H55" s="50">
        <f>F55</f>
        <v/>
      </c>
      <c r="I55" s="51" t="n">
        <v>11670</v>
      </c>
      <c r="J55" s="28">
        <f>H55*I55</f>
        <v/>
      </c>
      <c r="K55" s="52" t="inlineStr">
        <is>
          <t>GEÇMİŞ TEKLİF UYARLAMA</t>
        </is>
      </c>
      <c r="L55" s="7" t="inlineStr">
        <is>
          <t>REF-derin – Bara gerilim ölçü hücresi: Haluk 13.534, MET 11.109, Aktif 10.831, Schneider 11.670, ABB 19.106 → medyan 11.670 [Emsal ID: R00881;R00958;R00672;R00729;R00815]</t>
        </is>
      </c>
      <c r="M55" s="7" t="inlineStr">
        <is>
          <t>İlk tahmin BF 13,534.00</t>
        </is>
      </c>
    </row>
    <row r="56" outlineLevel="1">
      <c r="A56" s="27" t="n"/>
      <c r="B56" s="27" t="inlineStr">
        <is>
          <t>2004.D</t>
        </is>
      </c>
      <c r="C56" s="7" t="inlineStr">
        <is>
          <t>Elektronik sayaç cl 0,2S + sayaç panosu/modem</t>
        </is>
      </c>
      <c r="D56" s="27" t="inlineStr">
        <is>
          <t>set</t>
        </is>
      </c>
      <c r="E56" s="50" t="n">
        <v>1</v>
      </c>
      <c r="F56" s="50" t="n">
        <v>1</v>
      </c>
      <c r="G56" s="27" t="inlineStr">
        <is>
          <t>-</t>
        </is>
      </c>
      <c r="H56" s="50">
        <f>F56</f>
        <v/>
      </c>
      <c r="I56" s="51" t="n">
        <v>9000</v>
      </c>
      <c r="J56" s="28">
        <f>H56*I56</f>
        <v/>
      </c>
      <c r="K56" s="53" t="inlineStr">
        <is>
          <t>MÜHENDİSLİK TAHMİNİ</t>
        </is>
      </c>
      <c r="L56" s="7" t="inlineStr">
        <is>
          <t>TAHMIN (emsal yok) – Uygun emsal yok; mevcut tahmin korundu</t>
        </is>
      </c>
      <c r="M56" s="7" t="inlineStr">
        <is>
          <t>4 sayaç + 2 pano</t>
        </is>
      </c>
    </row>
    <row r="57">
      <c r="A57" s="48" t="inlineStr">
        <is>
          <t>177</t>
        </is>
      </c>
      <c r="B57" s="48" t="inlineStr">
        <is>
          <t>2004.E</t>
        </is>
      </c>
      <c r="C57" s="48" t="inlineStr">
        <is>
          <t>TEİAŞ Giriş 34,5 kV Şalt Panosu (mevcut TM-4'te fider ilavesi)</t>
        </is>
      </c>
      <c r="D57" s="48" t="n"/>
      <c r="E57" s="48" t="n"/>
      <c r="F57" s="48" t="n"/>
      <c r="G57" s="48" t="n"/>
      <c r="H57" s="48" t="inlineStr">
        <is>
          <t>RFQ tutarı →</t>
        </is>
      </c>
      <c r="I57" s="49">
        <f>SUMPRODUCT(E58:E58,I58:I58)</f>
        <v/>
      </c>
      <c r="J57" s="49">
        <f>SUM(J58:J58)</f>
        <v/>
      </c>
      <c r="K57" s="48" t="n"/>
      <c r="L57" s="48" t="n"/>
      <c r="M57" s="48" t="n"/>
    </row>
    <row r="58" outlineLevel="1">
      <c r="A58" s="27" t="n"/>
      <c r="B58" s="27" t="inlineStr">
        <is>
          <t>2004.E</t>
        </is>
      </c>
      <c r="C58" s="7" t="inlineStr">
        <is>
          <t>36 kV kesicili fider hücresi ilavesi, bara uzatma, kurum izinleri</t>
        </is>
      </c>
      <c r="D58" s="27" t="inlineStr">
        <is>
          <t>set</t>
        </is>
      </c>
      <c r="E58" s="50" t="n">
        <v>2</v>
      </c>
      <c r="F58" s="50" t="n">
        <v>2</v>
      </c>
      <c r="G58" s="27" t="inlineStr">
        <is>
          <t>-</t>
        </is>
      </c>
      <c r="H58" s="50">
        <f>F58</f>
        <v/>
      </c>
      <c r="I58" s="51" t="n">
        <v>34557</v>
      </c>
      <c r="J58" s="28">
        <f>H58*I58</f>
        <v/>
      </c>
      <c r="K58" s="52" t="inlineStr">
        <is>
          <t>GEÇMİŞ TEKLİF UYARLAMA</t>
        </is>
      </c>
      <c r="L58" s="7" t="inlineStr">
        <is>
          <t>REF-derin – Bursa T2 TM 34,5 kV fider ilavesi Haluk 39.293, MET 29.821 → medyan 34.557; '+pay' kaldırıldı (kurum masrafları satır 7'de ayrıca var – mükerrer) [Emsal ID: R00890;R00964]</t>
        </is>
      </c>
      <c r="M58" s="7" t="inlineStr">
        <is>
          <t>İlk tahmin BF 45,000.00</t>
        </is>
      </c>
    </row>
    <row r="59">
      <c r="A59" s="48" t="inlineStr">
        <is>
          <t>178</t>
        </is>
      </c>
      <c r="B59" s="48" t="inlineStr">
        <is>
          <t>2005.A</t>
        </is>
      </c>
      <c r="C59" s="48" t="inlineStr">
        <is>
          <t>Hat TM İç İhtiyaç Trafosu 250 kVA (4 adet)</t>
        </is>
      </c>
      <c r="D59" s="48" t="n"/>
      <c r="E59" s="48" t="n"/>
      <c r="F59" s="48" t="n"/>
      <c r="G59" s="48" t="n"/>
      <c r="H59" s="48" t="inlineStr">
        <is>
          <t>RFQ tutarı →</t>
        </is>
      </c>
      <c r="I59" s="49">
        <f>SUMPRODUCT(E60:E60,I60:I60)</f>
        <v/>
      </c>
      <c r="J59" s="49">
        <f>SUM(J60:J60)</f>
        <v/>
      </c>
      <c r="K59" s="48" t="n"/>
      <c r="L59" s="48" t="n"/>
      <c r="M59" s="48" t="n"/>
    </row>
    <row r="60" outlineLevel="1">
      <c r="A60" s="27" t="n"/>
      <c r="B60" s="27" t="inlineStr">
        <is>
          <t>2005.A</t>
        </is>
      </c>
      <c r="C60" s="7" t="inlineStr">
        <is>
          <t>34,5/0,4 kV 250 kVA Dyn11 kuru tip trafo Cu/Cu, röle, kaide, test</t>
        </is>
      </c>
      <c r="D60" s="27" t="inlineStr">
        <is>
          <t>adet</t>
        </is>
      </c>
      <c r="E60" s="50" t="n">
        <v>4</v>
      </c>
      <c r="F60" s="50" t="n">
        <v>4</v>
      </c>
      <c r="G60" s="27" t="inlineStr">
        <is>
          <t>-</t>
        </is>
      </c>
      <c r="H60" s="50">
        <f>F60</f>
        <v/>
      </c>
      <c r="I60" s="51" t="n">
        <v>21085</v>
      </c>
      <c r="J60" s="28">
        <f>H60*I60</f>
        <v/>
      </c>
      <c r="K60" s="52" t="inlineStr">
        <is>
          <t>GEÇMİŞ TEKLİF UYARLAMA</t>
        </is>
      </c>
      <c r="L60" s="7" t="inlineStr">
        <is>
          <t>REF-derin – 250 kVA kuru: Aktif 2021 +IP23 21.085, Sekaray Cu kabinli 11.816, Kocaeli 32.017 → medyan 21.085 (mevcut 16.000 düşük; yağlı hermetik refler kıyas dışı) [Emsal ID: R00768;R01070;R01052]</t>
        </is>
      </c>
      <c r="M60" s="7" t="inlineStr">
        <is>
          <t>İdare: iç ihtiyaç trafoları Cu/Cu zorunlu | İlk tahmin BF 16,000.00</t>
        </is>
      </c>
    </row>
    <row r="61">
      <c r="A61" s="48" t="inlineStr">
        <is>
          <t>179</t>
        </is>
      </c>
      <c r="B61" s="48" t="inlineStr">
        <is>
          <t>2005.B</t>
        </is>
      </c>
      <c r="C61" s="48" t="inlineStr">
        <is>
          <t>Depo TM İç İhtiyaç Trafosu 2000 kVA (2 adet)</t>
        </is>
      </c>
      <c r="D61" s="48" t="n"/>
      <c r="E61" s="48" t="n"/>
      <c r="F61" s="48" t="n"/>
      <c r="G61" s="48" t="n"/>
      <c r="H61" s="48" t="inlineStr">
        <is>
          <t>RFQ tutarı →</t>
        </is>
      </c>
      <c r="I61" s="49">
        <f>SUMPRODUCT(E62:E62,I62:I62)</f>
        <v/>
      </c>
      <c r="J61" s="49">
        <f>SUM(J62:J62)</f>
        <v/>
      </c>
      <c r="K61" s="48" t="n"/>
      <c r="L61" s="48" t="n"/>
      <c r="M61" s="48" t="n"/>
    </row>
    <row r="62" outlineLevel="1">
      <c r="A62" s="27" t="n"/>
      <c r="B62" s="27" t="inlineStr">
        <is>
          <t>2005.B</t>
        </is>
      </c>
      <c r="C62" s="7" t="inlineStr">
        <is>
          <t>34,5/0,4 kV 2000 kVA Dyn11 kuru tip trafo Cu/Cu, fanlı, röle, test</t>
        </is>
      </c>
      <c r="D62" s="27" t="inlineStr">
        <is>
          <t>adet</t>
        </is>
      </c>
      <c r="E62" s="50" t="n">
        <v>2</v>
      </c>
      <c r="F62" s="50" t="n">
        <v>2</v>
      </c>
      <c r="G62" s="27" t="inlineStr">
        <is>
          <t>-</t>
        </is>
      </c>
      <c r="H62" s="50">
        <f>F62</f>
        <v/>
      </c>
      <c r="I62" s="51" t="n">
        <v>53182</v>
      </c>
      <c r="J62" s="28">
        <f>H62*I62</f>
        <v/>
      </c>
      <c r="K62" s="52" t="inlineStr">
        <is>
          <t>GEÇMİŞ TEKLİF UYARLAMA</t>
        </is>
      </c>
      <c r="L62" s="7" t="inlineStr">
        <is>
          <t>REF-derin – 2000 kVA kuru Al: Aktif 2021 50.541, ABB 2021 57.201, Schneider 46.153, Siemens 64.024, Mezitli 36.939/36.071 → medyan 48.347 +%10 Cu/Cu = 53.182 (mevcut 42.000 Al reflerin bile altında, DÜŞÜK) [Emsal ID: R00758;R00700;R00825;R00837;R01085;R01091]</t>
        </is>
      </c>
      <c r="M62" s="7" t="inlineStr">
        <is>
          <t>İdare: Cu/Cu zorunlu | İlk tahmin BF 42,000.00</t>
        </is>
      </c>
    </row>
    <row r="63">
      <c r="A63" s="48" t="inlineStr">
        <is>
          <t>187</t>
        </is>
      </c>
      <c r="B63" s="48" t="inlineStr">
        <is>
          <t>2006.H</t>
        </is>
      </c>
      <c r="C63" s="48" t="inlineStr">
        <is>
          <t>Hat Trafo Binaları AG Ana Dağıtım Panoları (4 set)</t>
        </is>
      </c>
      <c r="D63" s="48" t="n"/>
      <c r="E63" s="48" t="n"/>
      <c r="F63" s="48" t="n"/>
      <c r="G63" s="48" t="n"/>
      <c r="H63" s="48" t="inlineStr">
        <is>
          <t>RFQ tutarı →</t>
        </is>
      </c>
      <c r="I63" s="49">
        <f>SUMPRODUCT(E64:E64,I64:I64)</f>
        <v/>
      </c>
      <c r="J63" s="49">
        <f>SUM(J64:J64)</f>
        <v/>
      </c>
      <c r="K63" s="48" t="n"/>
      <c r="L63" s="48" t="n"/>
      <c r="M63" s="48" t="n"/>
    </row>
    <row r="64" outlineLevel="1">
      <c r="A64" s="27" t="n"/>
      <c r="B64" s="27" t="inlineStr">
        <is>
          <t>2006.H</t>
        </is>
      </c>
      <c r="C64" s="7" t="inlineStr">
        <is>
          <t>ADP/1 panosu (MCCB 320 A giriş, analizör, parafudr, istasyon/klima çıkışları) + UDP + montaj/test</t>
        </is>
      </c>
      <c r="D64" s="27" t="inlineStr">
        <is>
          <t>set</t>
        </is>
      </c>
      <c r="E64" s="50" t="n">
        <v>4</v>
      </c>
      <c r="F64" s="50" t="n">
        <v>4</v>
      </c>
      <c r="G64" s="27" t="inlineStr">
        <is>
          <t>-</t>
        </is>
      </c>
      <c r="H64" s="50">
        <f>F64</f>
        <v/>
      </c>
      <c r="I64" s="51" t="n">
        <v>15100</v>
      </c>
      <c r="J64" s="28">
        <f>H64*I64</f>
        <v/>
      </c>
      <c r="K64" s="52" t="inlineStr">
        <is>
          <t>GEÇMİŞ TEKLİF UYARLAMA</t>
        </is>
      </c>
      <c r="L64" s="7" t="inlineStr">
        <is>
          <t>REF-derin – TM ADP: Kocaeli 11.285, Sekaray 12.289, MET 8.993, Haluk 4.353 → medyan 10.139 + UDP (TEDAK UPS pano 7.853×0,5) + %10 montaj ≈ 15.100 (mevcut 24.000 yüksek) [Emsal ID: R00946;R01053;R01071;R00869;R00719]</t>
        </is>
      </c>
      <c r="M64" s="7" t="inlineStr">
        <is>
          <t>İlk tahmin BF 24,000.00</t>
        </is>
      </c>
    </row>
    <row r="65">
      <c r="A65" s="48" t="inlineStr">
        <is>
          <t>188</t>
        </is>
      </c>
      <c r="B65" s="48" t="inlineStr">
        <is>
          <t>2007.A</t>
        </is>
      </c>
      <c r="C65" s="48" t="inlineStr">
        <is>
          <t>Hat TM Cer Merkezi – 1×2,75 MVA (4 adet)</t>
        </is>
      </c>
      <c r="D65" s="48" t="n"/>
      <c r="E65" s="48" t="n"/>
      <c r="F65" s="48" t="n"/>
      <c r="G65" s="48" t="n"/>
      <c r="H65" s="48" t="inlineStr">
        <is>
          <t>RFQ tutarı →</t>
        </is>
      </c>
      <c r="I65" s="49">
        <f>SUMPRODUCT(E66:E82,I66:I82)</f>
        <v/>
      </c>
      <c r="J65" s="49">
        <f>SUM(J66:J82)</f>
        <v/>
      </c>
      <c r="K65" s="48" t="n"/>
      <c r="L65" s="48" t="n"/>
      <c r="M65" s="48" t="n"/>
    </row>
    <row r="66" outlineLevel="1">
      <c r="A66" s="27" t="n"/>
      <c r="B66" s="27" t="inlineStr">
        <is>
          <t>2007.A</t>
        </is>
      </c>
      <c r="C66" s="7" t="inlineStr">
        <is>
          <t>Cer trafosu 2750 kVA 34,5/0,6-0,6 kV Dy5-Dd0, dökme reçine, EN 50329</t>
        </is>
      </c>
      <c r="D66" s="27" t="inlineStr">
        <is>
          <t>adet</t>
        </is>
      </c>
      <c r="E66" s="50" t="n">
        <v>4</v>
      </c>
      <c r="F66" s="50" t="n">
        <v>4</v>
      </c>
      <c r="G66" s="27" t="inlineStr">
        <is>
          <t>-</t>
        </is>
      </c>
      <c r="H66" s="50">
        <f>F66</f>
        <v/>
      </c>
      <c r="I66" s="51" t="n">
        <v>85000</v>
      </c>
      <c r="J66" s="28">
        <f>H66*I66</f>
        <v/>
      </c>
      <c r="K66" s="52" t="inlineStr">
        <is>
          <t>GEÇMİŞ TEKLİF UYARLAMA</t>
        </is>
      </c>
      <c r="L66" s="7" t="inlineStr">
        <is>
          <t>REF-teyit – Cer trafosu kVA^0,6 ile 2750'ye ölçekli: İzmir tram Aktif 2500 70.619, Mezitli 2500 73.694, Aktif 3300 87.828, ABB 3300 83.599, Siemens 1500V→750V 82.754 → medyan 82.754; 85.000 teyit [Emsal ID: R00545;R01083;R00756;R00702;R01093]</t>
        </is>
      </c>
      <c r="M66" s="7" t="inlineStr">
        <is>
          <t>Best Transformer teklifi bekleniyor</t>
        </is>
      </c>
    </row>
    <row r="67" outlineLevel="1">
      <c r="A67" s="27" t="n"/>
      <c r="B67" s="27" t="inlineStr">
        <is>
          <t>2007.A</t>
        </is>
      </c>
      <c r="C67" s="7" t="inlineStr">
        <is>
          <t>Trafo sıcaklık rölesi + sekonder toprak kaçağı koruması + izole kaide</t>
        </is>
      </c>
      <c r="D67" s="27" t="inlineStr">
        <is>
          <t>takım</t>
        </is>
      </c>
      <c r="E67" s="50" t="n">
        <v>4</v>
      </c>
      <c r="F67" s="50" t="n">
        <v>4</v>
      </c>
      <c r="G67" s="27" t="inlineStr">
        <is>
          <t>-</t>
        </is>
      </c>
      <c r="H67" s="50">
        <f>F67</f>
        <v/>
      </c>
      <c r="I67" s="51" t="n">
        <v>3000</v>
      </c>
      <c r="J67" s="28">
        <f>H67*I67</f>
        <v/>
      </c>
      <c r="K67" s="53" t="inlineStr">
        <is>
          <t>MÜHENDİSLİK TAHMİNİ</t>
        </is>
      </c>
      <c r="L67" s="7" t="inlineStr">
        <is>
          <t>TAHMIN (emsal yok) – Uygun emsal yok; mevcut tahmin korundu</t>
        </is>
      </c>
      <c r="M67" s="7" t="inlineStr"/>
    </row>
    <row r="68" outlineLevel="1">
      <c r="A68" s="27" t="n"/>
      <c r="B68" s="27" t="inlineStr">
        <is>
          <t>2007.A</t>
        </is>
      </c>
      <c r="C68" s="7" t="inlineStr">
        <is>
          <t>Doğrultucu 12 darbeli 2500 kW 750 V DC, Class VI</t>
        </is>
      </c>
      <c r="D68" s="27" t="inlineStr">
        <is>
          <t>adet</t>
        </is>
      </c>
      <c r="E68" s="50" t="n">
        <v>4</v>
      </c>
      <c r="F68" s="50" t="n">
        <v>4</v>
      </c>
      <c r="G68" s="27" t="inlineStr">
        <is>
          <t>-</t>
        </is>
      </c>
      <c r="H68" s="50">
        <f>F68</f>
        <v/>
      </c>
      <c r="I68" s="51" t="n">
        <v>48000</v>
      </c>
      <c r="J68" s="28">
        <f>H68*I68</f>
        <v/>
      </c>
      <c r="K68" s="52" t="inlineStr">
        <is>
          <t>GEÇMİŞ TEKLİF UYARLAMA</t>
        </is>
      </c>
      <c r="L68" s="7" t="inlineStr">
        <is>
          <t>REF-teyit – 750 V 12 darbe redresör: ABB İzmir 2017 3 MW 49.610, ABB Buca 2021 37.927, Aktif 2021 45.425 → medyan 45.425 + montaj; 48.000 teyit [Emsal ID: R00565;R00703;R00769;R00876]</t>
        </is>
      </c>
      <c r="M68" s="7" t="inlineStr"/>
    </row>
    <row r="69" outlineLevel="1">
      <c r="A69" s="27" t="n"/>
      <c r="B69" s="27" t="inlineStr">
        <is>
          <t>2007.A</t>
        </is>
      </c>
      <c r="C69" s="7" t="inlineStr">
        <is>
          <t>Trafo–doğrultucu AC kabloları 1×300 Cu 1,8/3 kV</t>
        </is>
      </c>
      <c r="D69" s="27" t="inlineStr">
        <is>
          <t>m</t>
        </is>
      </c>
      <c r="E69" s="50" t="n">
        <v>961</v>
      </c>
      <c r="F69" s="50" t="n">
        <v>961</v>
      </c>
      <c r="G69" s="27" t="inlineStr">
        <is>
          <t>-</t>
        </is>
      </c>
      <c r="H69" s="50">
        <f>F69</f>
        <v/>
      </c>
      <c r="I69" s="51" t="n">
        <v>45</v>
      </c>
      <c r="J69" s="28">
        <f>H69*I69</f>
        <v/>
      </c>
      <c r="K69" s="52" t="inlineStr">
        <is>
          <t>GEÇMİŞ TEKLİF UYARLAMA</t>
        </is>
      </c>
      <c r="L69" s="7" t="inlineStr">
        <is>
          <t>REF-teyit – 1×300 Cu DC/AC kablo: Usluel İzmir tram 1×300 48,50 M+İ; Kocaeli 1×240 1,8/3 kV 30,72, Sekaray 28,36, Prysmian N2XH 1×240 30,32 (×1,25 kesit) → 37–49 €/m; 2026 Cu fiyatı ile 45 teyit [Emsal ID: R04132;R01050;R01075;R00682]</t>
        </is>
      </c>
      <c r="M69" s="7" t="inlineStr"/>
    </row>
    <row r="70" outlineLevel="1">
      <c r="A70" s="27" t="n"/>
      <c r="B70" s="27" t="inlineStr">
        <is>
          <t>2007.A</t>
        </is>
      </c>
      <c r="C70" s="7" t="inlineStr">
        <is>
          <t>DC giriş (incoming) hücresi 6300 A</t>
        </is>
      </c>
      <c r="D70" s="27" t="inlineStr">
        <is>
          <t>adet</t>
        </is>
      </c>
      <c r="E70" s="50" t="n">
        <v>4</v>
      </c>
      <c r="F70" s="50" t="n">
        <v>4</v>
      </c>
      <c r="G70" s="27" t="inlineStr">
        <is>
          <t>-</t>
        </is>
      </c>
      <c r="H70" s="50">
        <f>F70</f>
        <v/>
      </c>
      <c r="I70" s="51" t="n">
        <v>36500</v>
      </c>
      <c r="J70" s="28">
        <f>H70*I70</f>
        <v/>
      </c>
      <c r="K70" s="52" t="inlineStr">
        <is>
          <t>GEÇMİŞ TEKLİF UYARLAMA</t>
        </is>
      </c>
      <c r="L70" s="7" t="inlineStr">
        <is>
          <t>REF-teyit – DC giriş HSCB: Aktif 2021 36.216/36.824, ABB 40.546/35.440, Kocaeli 23.392 → medyan 36.216; teyit (not: 2,5 MW/750 V için 4000 A yeterli, 6300 A şartı fiyatı artırabilir) [Emsal ID: R00751;R00770;R00566;R00704;R01048]</t>
        </is>
      </c>
      <c r="M70" s="7" t="inlineStr"/>
    </row>
    <row r="71" outlineLevel="1">
      <c r="A71" s="27" t="n"/>
      <c r="B71" s="27" t="inlineStr">
        <is>
          <t>2007.A</t>
        </is>
      </c>
      <c r="C71" s="7" t="inlineStr">
        <is>
          <t>DC fider hücresi HSCB 3600 A</t>
        </is>
      </c>
      <c r="D71" s="27" t="inlineStr">
        <is>
          <t>adet</t>
        </is>
      </c>
      <c r="E71" s="50" t="n">
        <v>16</v>
      </c>
      <c r="F71" s="50" t="n">
        <v>16</v>
      </c>
      <c r="G71" s="27" t="inlineStr">
        <is>
          <t>-</t>
        </is>
      </c>
      <c r="H71" s="50">
        <f>F71</f>
        <v/>
      </c>
      <c r="I71" s="51" t="n">
        <v>44641</v>
      </c>
      <c r="J71" s="28">
        <f>H71*I71</f>
        <v/>
      </c>
      <c r="K71" s="52" t="inlineStr">
        <is>
          <t>GEÇMİŞ TEKLİF UYARLAMA</t>
        </is>
      </c>
      <c r="L71" s="7" t="inlineStr">
        <is>
          <t>REF-derin – Bursa T2 Haluk 2015 DC fider 44.641, MET 43.769, Kocaeli 74.194 → medyan 44.641 (2021 metro Aktif 37.456, ABB 38.797, by-passlı 42.634); mevcut 36.000 tüm reflerin altında – DÜŞÜK [Emsal ID: R00877;R00954;R01047;R00752;R00705;R00771]</t>
        </is>
      </c>
      <c r="M71" s="7" t="inlineStr">
        <is>
          <t>İlk tahmin BF 36,000.00</t>
        </is>
      </c>
    </row>
    <row r="72" outlineLevel="1">
      <c r="A72" s="27" t="n"/>
      <c r="B72" s="27" t="inlineStr">
        <is>
          <t>2007.A</t>
        </is>
      </c>
      <c r="C72" s="7" t="inlineStr">
        <is>
          <t>Negatif hücre (negatif bara, şönt, ayırıcı)</t>
        </is>
      </c>
      <c r="D72" s="27" t="inlineStr">
        <is>
          <t>adet</t>
        </is>
      </c>
      <c r="E72" s="50" t="n">
        <v>4</v>
      </c>
      <c r="F72" s="50" t="n">
        <v>4</v>
      </c>
      <c r="G72" s="27" t="inlineStr">
        <is>
          <t>-</t>
        </is>
      </c>
      <c r="H72" s="50">
        <f>F72</f>
        <v/>
      </c>
      <c r="I72" s="51" t="n">
        <v>25000</v>
      </c>
      <c r="J72" s="28">
        <f>H72*I72</f>
        <v/>
      </c>
      <c r="K72" s="52" t="inlineStr">
        <is>
          <t>GEÇMİŞ TEKLİF UYARLAMA</t>
        </is>
      </c>
      <c r="L72" s="7" t="inlineStr">
        <is>
          <t>REF-teyit – Negatif hücre (tek grup): Aktif tekli 20.930, Kocaeli 23.392, Aktif çiftli 27.906, ABB 33.751 → medyan 25.649; teyit (Bursa T2 Haluk/MET 42–44k fider fiyatının kopyası, aykırı) [Emsal ID: R00774;R01049;R00773;R00706;R00878]</t>
        </is>
      </c>
      <c r="M72" s="7" t="inlineStr"/>
    </row>
    <row r="73" outlineLevel="1">
      <c r="A73" s="27" t="n"/>
      <c r="B73" s="27" t="inlineStr">
        <is>
          <t>2007.A</t>
        </is>
      </c>
      <c r="C73" s="7" t="inlineStr">
        <is>
          <t>Ray–toprak gerilim sınırlayıcı VLD panosu</t>
        </is>
      </c>
      <c r="D73" s="27" t="inlineStr">
        <is>
          <t>adet</t>
        </is>
      </c>
      <c r="E73" s="50" t="n">
        <v>4</v>
      </c>
      <c r="F73" s="50" t="n">
        <v>4</v>
      </c>
      <c r="G73" s="27" t="inlineStr">
        <is>
          <t>-</t>
        </is>
      </c>
      <c r="H73" s="50">
        <f>F73</f>
        <v/>
      </c>
      <c r="I73" s="51" t="n">
        <v>20000</v>
      </c>
      <c r="J73" s="28">
        <f>H73*I73</f>
        <v/>
      </c>
      <c r="K73" s="52" t="inlineStr">
        <is>
          <t>GEÇMİŞ TEKLİF UYARLAMA</t>
        </is>
      </c>
      <c r="L73" s="7" t="inlineStr">
        <is>
          <t>REF-teyit – VLD: Bursa T2 Haluk 13.818, MET 32.092, Aktif 20.961/16.824, ABB 28.601, Siemens 20.815/18.869 → medyan 20.815; 20.000 teyit [Emsal ID: R00896;R00967;R00754;R00775;R00708;R00841;R01159]</t>
        </is>
      </c>
      <c r="M73" s="7" t="inlineStr"/>
    </row>
    <row r="74" outlineLevel="1">
      <c r="A74" s="27" t="n"/>
      <c r="B74" s="27" t="inlineStr">
        <is>
          <t>2007.A</t>
        </is>
      </c>
      <c r="C74" s="7" t="inlineStr">
        <is>
          <t>Hat ayırıcı panosu (4 fider + 2 by-pass ayırıcı 4000 A)</t>
        </is>
      </c>
      <c r="D74" s="27" t="inlineStr">
        <is>
          <t>adet</t>
        </is>
      </c>
      <c r="E74" s="50" t="n">
        <v>4</v>
      </c>
      <c r="F74" s="50" t="n">
        <v>4</v>
      </c>
      <c r="G74" s="27" t="inlineStr">
        <is>
          <t>-</t>
        </is>
      </c>
      <c r="H74" s="50">
        <f>F74</f>
        <v/>
      </c>
      <c r="I74" s="51" t="n">
        <v>108400</v>
      </c>
      <c r="J74" s="28">
        <f>H74*I74</f>
        <v/>
      </c>
      <c r="K74" s="52" t="inlineStr">
        <is>
          <t>GEÇMİŞ TEKLİF UYARLAMA</t>
        </is>
      </c>
      <c r="L74" s="7" t="inlineStr">
        <is>
          <t>REF-derin – 4 fider+2 by-pass (6 ayırıcı) konfig.: ABB İzmir 2017 (4+2) 143.900, ABB Buca 2021 (2+1)×2 69.636, Aktif 2021 ana+by-pass ×3 108.369 → medyan 108.400; mevcut 45.000 DÜŞÜK. Teyit: direk tipi ayırıcılarla (Kat 27) mükerrer olmamalı [Emsal ID: R00755;R00707;R00570]</t>
        </is>
      </c>
      <c r="M74" s="7" t="inlineStr">
        <is>
          <t>İlk tahmin BF 45,000.00</t>
        </is>
      </c>
    </row>
    <row r="75" outlineLevel="1">
      <c r="A75" s="27" t="n"/>
      <c r="B75" s="27" t="inlineStr">
        <is>
          <t>2007.A</t>
        </is>
      </c>
      <c r="C75" s="7" t="inlineStr">
        <is>
          <t>DC fider kabloları 1×300 Cu 1,8/3 kV</t>
        </is>
      </c>
      <c r="D75" s="27" t="inlineStr">
        <is>
          <t>m</t>
        </is>
      </c>
      <c r="E75" s="50" t="n">
        <v>687</v>
      </c>
      <c r="F75" s="50" t="n">
        <v>687</v>
      </c>
      <c r="G75" s="27" t="inlineStr">
        <is>
          <t>fire+%30</t>
        </is>
      </c>
      <c r="H75" s="50">
        <f>F75/IF(Varsayimlar!$B$21=1,1.43,1)</f>
        <v/>
      </c>
      <c r="I75" s="51" t="n">
        <v>45</v>
      </c>
      <c r="J75" s="28">
        <f>H75*I75</f>
        <v/>
      </c>
      <c r="K75" s="52" t="inlineStr">
        <is>
          <t>GEÇMİŞ TEKLİF UYARLAMA</t>
        </is>
      </c>
      <c r="L75" s="7" t="inlineStr">
        <is>
          <t>REF-teyit – 1×300 Cu DC/AC kablo: Usluel İzmir tram 1×300 48,50 M+İ; Kocaeli 1×240 1,8/3 kV 30,72, Sekaray 28,36, Prysmian N2XH 1×240 30,32 (×1,25 kesit) → 37–49 €/m; 2026 Cu fiyatı ile 45 teyit [Emsal ID: R04132;R01050;R01075;R00682]</t>
        </is>
      </c>
      <c r="M75" s="7" t="inlineStr"/>
    </row>
    <row r="76" outlineLevel="1">
      <c r="A76" s="27" t="n"/>
      <c r="B76" s="27" t="inlineStr">
        <is>
          <t>2007.A</t>
        </is>
      </c>
      <c r="C76" s="7" t="inlineStr">
        <is>
          <t>Doğrultucu–DC şalt/negatif bağlantısı</t>
        </is>
      </c>
      <c r="D76" s="27" t="inlineStr">
        <is>
          <t>m</t>
        </is>
      </c>
      <c r="E76" s="50" t="n">
        <v>618</v>
      </c>
      <c r="F76" s="50" t="n">
        <v>618</v>
      </c>
      <c r="G76" s="27" t="inlineStr">
        <is>
          <t>fire %10</t>
        </is>
      </c>
      <c r="H76" s="50">
        <f>F76/IF(Varsayimlar!$B$21=1,1.1,1)</f>
        <v/>
      </c>
      <c r="I76" s="51" t="n">
        <v>45</v>
      </c>
      <c r="J76" s="28">
        <f>H76*I76</f>
        <v/>
      </c>
      <c r="K76" s="52" t="inlineStr">
        <is>
          <t>GEÇMİŞ TEKLİF UYARLAMA</t>
        </is>
      </c>
      <c r="L76" s="7" t="inlineStr">
        <is>
          <t>REF-teyit – 1×300 Cu DC/AC kablo: Usluel İzmir tram 1×300 48,50 M+İ; Kocaeli 1×240 1,8/3 kV 30,72, Sekaray 28,36, Prysmian N2XH 1×240 30,32 (×1,25 kesit) → 37–49 €/m; 2026 Cu fiyatı ile 45 teyit [Emsal ID: R04132;R01050;R01075;R00682]</t>
        </is>
      </c>
      <c r="M76" s="7" t="inlineStr"/>
    </row>
    <row r="77" outlineLevel="1">
      <c r="A77" s="27" t="n"/>
      <c r="B77" s="27" t="inlineStr">
        <is>
          <t>2007.A</t>
        </is>
      </c>
      <c r="C77" s="7" t="inlineStr">
        <is>
          <t>VLD bağlantı kabloları 1×300 + 1×50</t>
        </is>
      </c>
      <c r="D77" s="27" t="inlineStr">
        <is>
          <t>m</t>
        </is>
      </c>
      <c r="E77" s="50" t="n">
        <v>143</v>
      </c>
      <c r="F77" s="50" t="n">
        <v>143</v>
      </c>
      <c r="G77" s="27" t="inlineStr">
        <is>
          <t>fire+%30</t>
        </is>
      </c>
      <c r="H77" s="50">
        <f>F77/IF(Varsayimlar!$B$21=1,1.43,1)</f>
        <v/>
      </c>
      <c r="I77" s="51" t="n">
        <v>49.25</v>
      </c>
      <c r="J77" s="28">
        <f>H77*I77</f>
        <v/>
      </c>
      <c r="K77" s="52" t="inlineStr">
        <is>
          <t>GEÇMİŞ TEKLİF UYARLAMA</t>
        </is>
      </c>
      <c r="L77" s="7" t="inlineStr">
        <is>
          <t>REF-derin(1) – R04132 İzmir Konak Tram/Usluel 2014 48.50→58.50+10.00 (1x300 DC kablo; +10 € 1x50 tahmini) | tek emsal 58.50 ile mevcut 40.00 ortalaması [Emsal ID: R04132]</t>
        </is>
      </c>
      <c r="M77" s="7" t="inlineStr">
        <is>
          <t>İlk tahmin BF 40.00</t>
        </is>
      </c>
    </row>
    <row r="78" outlineLevel="1">
      <c r="A78" s="27" t="n"/>
      <c r="B78" s="27" t="inlineStr">
        <is>
          <t>2007.A</t>
        </is>
      </c>
      <c r="C78" s="7" t="inlineStr">
        <is>
          <t>DC kablo pabuçları/başlıkları 300 mm²</t>
        </is>
      </c>
      <c r="D78" s="27" t="inlineStr">
        <is>
          <t>adet</t>
        </is>
      </c>
      <c r="E78" s="50" t="n">
        <v>479</v>
      </c>
      <c r="F78" s="50" t="n">
        <v>479</v>
      </c>
      <c r="G78" s="27" t="inlineStr">
        <is>
          <t>%30</t>
        </is>
      </c>
      <c r="H78" s="50">
        <f>F78/IF(Varsayimlar!$B$21=1,1.3,1)</f>
        <v/>
      </c>
      <c r="I78" s="51" t="n">
        <v>25</v>
      </c>
      <c r="J78" s="28">
        <f>H78*I78</f>
        <v/>
      </c>
      <c r="K78" s="53" t="inlineStr">
        <is>
          <t>MÜHENDİSLİK TAHMİNİ</t>
        </is>
      </c>
      <c r="L78" s="7" t="inlineStr">
        <is>
          <t>TAHMIN (emsal yok) – Doğrudan emsal yok (Samsun DC kablo başlığı 145 farklı kapsam); 300 mm² pabuç+makaron 25 makul</t>
        </is>
      </c>
      <c r="M78" s="7" t="inlineStr"/>
    </row>
    <row r="79" outlineLevel="1">
      <c r="A79" s="27" t="n"/>
      <c r="B79" s="27" t="inlineStr">
        <is>
          <t>2007.A</t>
        </is>
      </c>
      <c r="C79" s="7" t="inlineStr">
        <is>
          <t>DC şalt izole kaide + çerçeve kaçak koruması (64)</t>
        </is>
      </c>
      <c r="D79" s="27" t="inlineStr">
        <is>
          <t>takım</t>
        </is>
      </c>
      <c r="E79" s="50" t="n">
        <v>4</v>
      </c>
      <c r="F79" s="50" t="n">
        <v>4</v>
      </c>
      <c r="G79" s="27" t="inlineStr">
        <is>
          <t>-</t>
        </is>
      </c>
      <c r="H79" s="50">
        <f>F79</f>
        <v/>
      </c>
      <c r="I79" s="51" t="n">
        <v>6000</v>
      </c>
      <c r="J79" s="28">
        <f>H79*I79</f>
        <v/>
      </c>
      <c r="K79" s="53" t="inlineStr">
        <is>
          <t>MÜHENDİSLİK TAHMİNİ</t>
        </is>
      </c>
      <c r="L79" s="7" t="inlineStr">
        <is>
          <t>TAHMIN (emsal yok) – Uygun emsal yok; mevcut tahmin korundu</t>
        </is>
      </c>
      <c r="M79" s="7" t="inlineStr"/>
    </row>
    <row r="80" outlineLevel="1">
      <c r="A80" s="27" t="n"/>
      <c r="B80" s="27" t="inlineStr">
        <is>
          <t>2007.A</t>
        </is>
      </c>
      <c r="C80" s="7" t="inlineStr">
        <is>
          <t>OG–DC kilitleme (anahtar transfer) düzenekleri</t>
        </is>
      </c>
      <c r="D80" s="27" t="inlineStr">
        <is>
          <t>takım</t>
        </is>
      </c>
      <c r="E80" s="50" t="n">
        <v>4</v>
      </c>
      <c r="F80" s="50" t="n">
        <v>4</v>
      </c>
      <c r="G80" s="27" t="inlineStr">
        <is>
          <t>-</t>
        </is>
      </c>
      <c r="H80" s="50">
        <f>F80</f>
        <v/>
      </c>
      <c r="I80" s="51" t="n">
        <v>4000</v>
      </c>
      <c r="J80" s="28">
        <f>H80*I80</f>
        <v/>
      </c>
      <c r="K80" s="53" t="inlineStr">
        <is>
          <t>MÜHENDİSLİK TAHMİNİ</t>
        </is>
      </c>
      <c r="L80" s="7" t="inlineStr">
        <is>
          <t>TAHMIN (emsal yok) – Uygun emsal yok; mevcut tahmin korundu</t>
        </is>
      </c>
      <c r="M80" s="7" t="inlineStr"/>
    </row>
    <row r="81" outlineLevel="1">
      <c r="A81" s="27" t="n"/>
      <c r="B81" s="27" t="inlineStr">
        <is>
          <t>2007.A</t>
        </is>
      </c>
      <c r="C81" s="7" t="inlineStr">
        <is>
          <t>Kontrol-koruma, SCADA I/O, 110 V DC kontrol kabloları</t>
        </is>
      </c>
      <c r="D81" s="27" t="inlineStr">
        <is>
          <t>set</t>
        </is>
      </c>
      <c r="E81" s="50" t="n">
        <v>4</v>
      </c>
      <c r="F81" s="50" t="n">
        <v>4</v>
      </c>
      <c r="G81" s="27" t="inlineStr">
        <is>
          <t>-</t>
        </is>
      </c>
      <c r="H81" s="50">
        <f>F81</f>
        <v/>
      </c>
      <c r="I81" s="51" t="n">
        <v>12000</v>
      </c>
      <c r="J81" s="28">
        <f>H81*I81</f>
        <v/>
      </c>
      <c r="K81" s="53" t="inlineStr">
        <is>
          <t>MÜHENDİSLİK TAHMİNİ</t>
        </is>
      </c>
      <c r="L81" s="7" t="inlineStr">
        <is>
          <t>TAHMIN (emsal yok) – Uygun emsal yok; mevcut tahmin korundu</t>
        </is>
      </c>
      <c r="M81" s="7" t="inlineStr"/>
    </row>
    <row r="82" outlineLevel="1">
      <c r="A82" s="27" t="n"/>
      <c r="B82" s="27" t="inlineStr">
        <is>
          <t>2007.A</t>
        </is>
      </c>
      <c r="C82" s="7" t="inlineStr">
        <is>
          <t>FAT ve saha testleri, devreye alma, kısa devre testi</t>
        </is>
      </c>
      <c r="D82" s="27" t="inlineStr">
        <is>
          <t>set</t>
        </is>
      </c>
      <c r="E82" s="50" t="n">
        <v>4</v>
      </c>
      <c r="F82" s="50" t="n">
        <v>4</v>
      </c>
      <c r="G82" s="27" t="inlineStr">
        <is>
          <t>-</t>
        </is>
      </c>
      <c r="H82" s="50">
        <f>F82</f>
        <v/>
      </c>
      <c r="I82" s="51" t="n">
        <v>25000</v>
      </c>
      <c r="J82" s="28">
        <f>H82*I82</f>
        <v/>
      </c>
      <c r="K82" s="53" t="inlineStr">
        <is>
          <t>MÜHENDİSLİK TAHMİNİ</t>
        </is>
      </c>
      <c r="L82" s="7" t="inlineStr">
        <is>
          <t>TAHMIN (emsal yok) – Doğrudan emsal yok (ABB İzmir müh.+FAT+devreye alma 195.498/5 TM≈39k, tasarım dahil); 25.000/TM makul</t>
        </is>
      </c>
      <c r="M82" s="7" t="inlineStr"/>
    </row>
    <row r="83">
      <c r="A83" s="48" t="inlineStr">
        <is>
          <t>189</t>
        </is>
      </c>
      <c r="B83" s="48" t="inlineStr">
        <is>
          <t>2007.B</t>
        </is>
      </c>
      <c r="C83" s="48" t="inlineStr">
        <is>
          <t>Depo TM Cer Merkezi – 1×2,75 MVA (1 adet)</t>
        </is>
      </c>
      <c r="D83" s="48" t="n"/>
      <c r="E83" s="48" t="n"/>
      <c r="F83" s="48" t="n"/>
      <c r="G83" s="48" t="n"/>
      <c r="H83" s="48" t="inlineStr">
        <is>
          <t>RFQ tutarı →</t>
        </is>
      </c>
      <c r="I83" s="49">
        <f>SUMPRODUCT(E84:E100,I84:I100)</f>
        <v/>
      </c>
      <c r="J83" s="49">
        <f>SUM(J84:J100)</f>
        <v/>
      </c>
      <c r="K83" s="48" t="n"/>
      <c r="L83" s="48" t="n"/>
      <c r="M83" s="48" t="n"/>
    </row>
    <row r="84" outlineLevel="1">
      <c r="A84" s="27" t="n"/>
      <c r="B84" s="27" t="inlineStr">
        <is>
          <t>2007.B</t>
        </is>
      </c>
      <c r="C84" s="7" t="inlineStr">
        <is>
          <t>Cer trafosu 2750 kVA 34,5/0,6-0,6 kV Dy5-Dd0, dökme reçine, EN 50329</t>
        </is>
      </c>
      <c r="D84" s="27" t="inlineStr">
        <is>
          <t>adet</t>
        </is>
      </c>
      <c r="E84" s="50" t="n">
        <v>1</v>
      </c>
      <c r="F84" s="50" t="n">
        <v>1</v>
      </c>
      <c r="G84" s="27" t="inlineStr">
        <is>
          <t>-</t>
        </is>
      </c>
      <c r="H84" s="50">
        <f>F84</f>
        <v/>
      </c>
      <c r="I84" s="51" t="n">
        <v>85000</v>
      </c>
      <c r="J84" s="28">
        <f>H84*I84</f>
        <v/>
      </c>
      <c r="K84" s="52" t="inlineStr">
        <is>
          <t>GEÇMİŞ TEKLİF UYARLAMA</t>
        </is>
      </c>
      <c r="L84" s="7" t="inlineStr">
        <is>
          <t>REF-teyit – Cer trafosu kVA^0,6 ile 2750'ye ölçekli: İzmir tram Aktif 2500 70.619, Mezitli 2500 73.694, Aktif 3300 87.828, ABB 3300 83.599, Siemens 1500V→750V 82.754 → medyan 82.754; 85.000 teyit [Emsal ID: R00545;R01083;R00756;R00702;R01093]</t>
        </is>
      </c>
      <c r="M84" s="7" t="inlineStr">
        <is>
          <t>Best Transformer teklifi bekleniyor</t>
        </is>
      </c>
    </row>
    <row r="85" outlineLevel="1">
      <c r="A85" s="27" t="n"/>
      <c r="B85" s="27" t="inlineStr">
        <is>
          <t>2007.B</t>
        </is>
      </c>
      <c r="C85" s="7" t="inlineStr">
        <is>
          <t>Trafo sıcaklık rölesi + sekonder toprak kaçağı koruması + izole kaide</t>
        </is>
      </c>
      <c r="D85" s="27" t="inlineStr">
        <is>
          <t>takım</t>
        </is>
      </c>
      <c r="E85" s="50" t="n">
        <v>1</v>
      </c>
      <c r="F85" s="50" t="n">
        <v>1</v>
      </c>
      <c r="G85" s="27" t="inlineStr">
        <is>
          <t>-</t>
        </is>
      </c>
      <c r="H85" s="50">
        <f>F85</f>
        <v/>
      </c>
      <c r="I85" s="51" t="n">
        <v>3000</v>
      </c>
      <c r="J85" s="28">
        <f>H85*I85</f>
        <v/>
      </c>
      <c r="K85" s="53" t="inlineStr">
        <is>
          <t>MÜHENDİSLİK TAHMİNİ</t>
        </is>
      </c>
      <c r="L85" s="7" t="inlineStr">
        <is>
          <t>TAHMIN (emsal yok) – emsal bulunamadı; mevcut tahmin korundu</t>
        </is>
      </c>
      <c r="M85" s="7" t="inlineStr"/>
    </row>
    <row r="86" outlineLevel="1">
      <c r="A86" s="27" t="n"/>
      <c r="B86" s="27" t="inlineStr">
        <is>
          <t>2007.B</t>
        </is>
      </c>
      <c r="C86" s="7" t="inlineStr">
        <is>
          <t>Doğrultucu 12 darbeli 2500 kW 750 V DC, Class VI</t>
        </is>
      </c>
      <c r="D86" s="27" t="inlineStr">
        <is>
          <t>adet</t>
        </is>
      </c>
      <c r="E86" s="50" t="n">
        <v>1</v>
      </c>
      <c r="F86" s="50" t="n">
        <v>1</v>
      </c>
      <c r="G86" s="27" t="inlineStr">
        <is>
          <t>-</t>
        </is>
      </c>
      <c r="H86" s="50">
        <f>F86</f>
        <v/>
      </c>
      <c r="I86" s="51" t="n">
        <v>48000</v>
      </c>
      <c r="J86" s="28">
        <f>H86*I86</f>
        <v/>
      </c>
      <c r="K86" s="52" t="inlineStr">
        <is>
          <t>GEÇMİŞ TEKLİF UYARLAMA</t>
        </is>
      </c>
      <c r="L86" s="7" t="inlineStr">
        <is>
          <t>REF-teyit – 750 V 12 darbe redresör: ABB İzmir 2017 3 MW 49.610, ABB Buca 2021 37.927, Aktif 2021 45.425 → medyan 45.425 + montaj; 48.000 teyit [Emsal ID: R00565;R00703;R00769;R00876]</t>
        </is>
      </c>
      <c r="M86" s="7" t="inlineStr"/>
    </row>
    <row r="87" outlineLevel="1">
      <c r="A87" s="27" t="n"/>
      <c r="B87" s="27" t="inlineStr">
        <is>
          <t>2007.B</t>
        </is>
      </c>
      <c r="C87" s="7" t="inlineStr">
        <is>
          <t>Trafo–doğrultucu AC kabloları 1×300 Cu 1,8/3 kV</t>
        </is>
      </c>
      <c r="D87" s="27" t="inlineStr">
        <is>
          <t>m</t>
        </is>
      </c>
      <c r="E87" s="50" t="n">
        <v>241</v>
      </c>
      <c r="F87" s="50" t="n">
        <v>241</v>
      </c>
      <c r="G87" s="27" t="inlineStr">
        <is>
          <t>-</t>
        </is>
      </c>
      <c r="H87" s="50">
        <f>F87</f>
        <v/>
      </c>
      <c r="I87" s="51" t="n">
        <v>45</v>
      </c>
      <c r="J87" s="28">
        <f>H87*I87</f>
        <v/>
      </c>
      <c r="K87" s="52" t="inlineStr">
        <is>
          <t>GEÇMİŞ TEKLİF UYARLAMA</t>
        </is>
      </c>
      <c r="L87" s="7" t="inlineStr">
        <is>
          <t>REF-teyit – 1×300 Cu DC/AC kablo: Usluel İzmir tram 1×300 48,50 M+İ; Kocaeli 1×240 1,8/3 kV 30,72, Sekaray 28,36, Prysmian N2XH 1×240 30,32 (×1,25 kesit) → 37–49 €/m; 2026 Cu fiyatı ile 45 teyit [Emsal ID: R04132;R01050;R01075;R00682]</t>
        </is>
      </c>
      <c r="M87" s="7" t="inlineStr"/>
    </row>
    <row r="88" outlineLevel="1">
      <c r="A88" s="27" t="n"/>
      <c r="B88" s="27" t="inlineStr">
        <is>
          <t>2007.B</t>
        </is>
      </c>
      <c r="C88" s="7" t="inlineStr">
        <is>
          <t>DC giriş (incoming) hücresi 6300 A</t>
        </is>
      </c>
      <c r="D88" s="27" t="inlineStr">
        <is>
          <t>adet</t>
        </is>
      </c>
      <c r="E88" s="50" t="n">
        <v>1</v>
      </c>
      <c r="F88" s="50" t="n">
        <v>1</v>
      </c>
      <c r="G88" s="27" t="inlineStr">
        <is>
          <t>-</t>
        </is>
      </c>
      <c r="H88" s="50">
        <f>F88</f>
        <v/>
      </c>
      <c r="I88" s="51" t="n">
        <v>36500</v>
      </c>
      <c r="J88" s="28">
        <f>H88*I88</f>
        <v/>
      </c>
      <c r="K88" s="52" t="inlineStr">
        <is>
          <t>GEÇMİŞ TEKLİF UYARLAMA</t>
        </is>
      </c>
      <c r="L88" s="7" t="inlineStr">
        <is>
          <t>REF-teyit – DC giriş HSCB: Aktif 2021 36.216/36.824, ABB 40.546/35.440, Kocaeli 23.392 → medyan 36.216; teyit (not: 2,5 MW/750 V için 4000 A yeterli, 6300 A şartı fiyatı artırabilir) [Emsal ID: R00751;R00770;R00566;R00704;R01048]</t>
        </is>
      </c>
      <c r="M88" s="7" t="inlineStr"/>
    </row>
    <row r="89" outlineLevel="1">
      <c r="A89" s="27" t="n"/>
      <c r="B89" s="27" t="inlineStr">
        <is>
          <t>2007.B</t>
        </is>
      </c>
      <c r="C89" s="7" t="inlineStr">
        <is>
          <t>DC fider hücresi HSCB 3600 A</t>
        </is>
      </c>
      <c r="D89" s="27" t="inlineStr">
        <is>
          <t>adet</t>
        </is>
      </c>
      <c r="E89" s="50" t="n">
        <v>4</v>
      </c>
      <c r="F89" s="50" t="n">
        <v>4</v>
      </c>
      <c r="G89" s="27" t="inlineStr">
        <is>
          <t>-</t>
        </is>
      </c>
      <c r="H89" s="50">
        <f>F89</f>
        <v/>
      </c>
      <c r="I89" s="51" t="n">
        <v>44641</v>
      </c>
      <c r="J89" s="28">
        <f>H89*I89</f>
        <v/>
      </c>
      <c r="K89" s="52" t="inlineStr">
        <is>
          <t>GEÇMİŞ TEKLİF UYARLAMA</t>
        </is>
      </c>
      <c r="L89" s="7" t="inlineStr">
        <is>
          <t>REF-derin – Bursa T2 Haluk 2015 DC fider 44.641, MET 43.769, Kocaeli 74.194 → medyan 44.641 (2021 metro Aktif 37.456, ABB 38.797, by-passlı 42.634); mevcut 36.000 tüm reflerin altında – DÜŞÜK [Emsal ID: R00877;R00954;R01047;R00752;R00705;R00771]</t>
        </is>
      </c>
      <c r="M89" s="7" t="inlineStr">
        <is>
          <t>İlk tahmin BF 36,000.00</t>
        </is>
      </c>
    </row>
    <row r="90" outlineLevel="1">
      <c r="A90" s="27" t="n"/>
      <c r="B90" s="27" t="inlineStr">
        <is>
          <t>2007.B</t>
        </is>
      </c>
      <c r="C90" s="7" t="inlineStr">
        <is>
          <t>Negatif hücre (negatif bara, şönt, ayırıcı)</t>
        </is>
      </c>
      <c r="D90" s="27" t="inlineStr">
        <is>
          <t>adet</t>
        </is>
      </c>
      <c r="E90" s="50" t="n">
        <v>1</v>
      </c>
      <c r="F90" s="50" t="n">
        <v>1</v>
      </c>
      <c r="G90" s="27" t="inlineStr">
        <is>
          <t>-</t>
        </is>
      </c>
      <c r="H90" s="50">
        <f>F90</f>
        <v/>
      </c>
      <c r="I90" s="51" t="n">
        <v>25000</v>
      </c>
      <c r="J90" s="28">
        <f>H90*I90</f>
        <v/>
      </c>
      <c r="K90" s="52" t="inlineStr">
        <is>
          <t>GEÇMİŞ TEKLİF UYARLAMA</t>
        </is>
      </c>
      <c r="L90" s="7" t="inlineStr">
        <is>
          <t>REF-teyit – Negatif hücre (tek grup): Aktif tekli 20.930, Kocaeli 23.392, Aktif çiftli 27.906, ABB 33.751 → medyan 25.649; teyit (Bursa T2 Haluk/MET 42–44k fider fiyatının kopyası, aykırı) [Emsal ID: R00774;R01049;R00773;R00706;R00878]</t>
        </is>
      </c>
      <c r="M90" s="7" t="inlineStr"/>
    </row>
    <row r="91" outlineLevel="1">
      <c r="A91" s="27" t="n"/>
      <c r="B91" s="27" t="inlineStr">
        <is>
          <t>2007.B</t>
        </is>
      </c>
      <c r="C91" s="7" t="inlineStr">
        <is>
          <t>Ray–toprak gerilim sınırlayıcı VLD panosu</t>
        </is>
      </c>
      <c r="D91" s="27" t="inlineStr">
        <is>
          <t>adet</t>
        </is>
      </c>
      <c r="E91" s="50" t="n">
        <v>1</v>
      </c>
      <c r="F91" s="50" t="n">
        <v>1</v>
      </c>
      <c r="G91" s="27" t="inlineStr">
        <is>
          <t>-</t>
        </is>
      </c>
      <c r="H91" s="50">
        <f>F91</f>
        <v/>
      </c>
      <c r="I91" s="51" t="n">
        <v>20000</v>
      </c>
      <c r="J91" s="28">
        <f>H91*I91</f>
        <v/>
      </c>
      <c r="K91" s="52" t="inlineStr">
        <is>
          <t>GEÇMİŞ TEKLİF UYARLAMA</t>
        </is>
      </c>
      <c r="L91" s="7" t="inlineStr">
        <is>
          <t>REF-teyit – VLD: Bursa T2 Haluk 13.818, MET 32.092, Aktif 20.961/16.824, ABB 28.601, Siemens 20.815/18.869 → medyan 20.815; 20.000 teyit [Emsal ID: R00896;R00967;R00754;R00775;R00708;R00841;R01159]</t>
        </is>
      </c>
      <c r="M91" s="7" t="inlineStr"/>
    </row>
    <row r="92" outlineLevel="1">
      <c r="A92" s="27" t="n"/>
      <c r="B92" s="27" t="inlineStr">
        <is>
          <t>2007.B</t>
        </is>
      </c>
      <c r="C92" s="7" t="inlineStr">
        <is>
          <t>Hat ayırıcı panosu (4 fider + 2 by-pass ayırıcı 4000 A)</t>
        </is>
      </c>
      <c r="D92" s="27" t="inlineStr">
        <is>
          <t>adet</t>
        </is>
      </c>
      <c r="E92" s="50" t="n">
        <v>1</v>
      </c>
      <c r="F92" s="50" t="n">
        <v>1</v>
      </c>
      <c r="G92" s="27" t="inlineStr">
        <is>
          <t>-</t>
        </is>
      </c>
      <c r="H92" s="50">
        <f>F92</f>
        <v/>
      </c>
      <c r="I92" s="51" t="n">
        <v>108400</v>
      </c>
      <c r="J92" s="28">
        <f>H92*I92</f>
        <v/>
      </c>
      <c r="K92" s="52" t="inlineStr">
        <is>
          <t>GEÇMİŞ TEKLİF UYARLAMA</t>
        </is>
      </c>
      <c r="L92" s="7" t="inlineStr">
        <is>
          <t>REF-derin – 4 fider+2 by-pass (6 ayırıcı) konfig.: ABB İzmir 2017 (4+2) 143.900, ABB Buca 2021 (2+1)×2 69.636, Aktif 2021 ana+by-pass ×3 108.369 → medyan 108.400; mevcut 45.000 DÜŞÜK. Teyit: direk tipi ayırıcılarla (Kat 27) mükerrer olmamalı [Emsal ID: R00755;R00707;R00570]</t>
        </is>
      </c>
      <c r="M92" s="7" t="inlineStr">
        <is>
          <t>İlk tahmin BF 45,000.00</t>
        </is>
      </c>
    </row>
    <row r="93" outlineLevel="1">
      <c r="A93" s="27" t="n"/>
      <c r="B93" s="27" t="inlineStr">
        <is>
          <t>2007.B</t>
        </is>
      </c>
      <c r="C93" s="7" t="inlineStr">
        <is>
          <t>DC fider kabloları 1×300 Cu 1,8/3 kV</t>
        </is>
      </c>
      <c r="D93" s="27" t="inlineStr">
        <is>
          <t>m</t>
        </is>
      </c>
      <c r="E93" s="50" t="n">
        <v>172</v>
      </c>
      <c r="F93" s="50" t="n">
        <v>172</v>
      </c>
      <c r="G93" s="27" t="inlineStr">
        <is>
          <t>fire+%30</t>
        </is>
      </c>
      <c r="H93" s="50">
        <f>F93/IF(Varsayimlar!$B$21=1,1.43,1)</f>
        <v/>
      </c>
      <c r="I93" s="51" t="n">
        <v>45</v>
      </c>
      <c r="J93" s="28">
        <f>H93*I93</f>
        <v/>
      </c>
      <c r="K93" s="52" t="inlineStr">
        <is>
          <t>GEÇMİŞ TEKLİF UYARLAMA</t>
        </is>
      </c>
      <c r="L93" s="7" t="inlineStr">
        <is>
          <t>REF-teyit – 1×300 Cu DC/AC kablo: Usluel İzmir tram 1×300 48,50 M+İ; Kocaeli 1×240 1,8/3 kV 30,72, Sekaray 28,36, Prysmian N2XH 1×240 30,32 (×1,25 kesit) → 37–49 €/m; 2026 Cu fiyatı ile 45 teyit [Emsal ID: R04132;R01050;R01075;R00682]</t>
        </is>
      </c>
      <c r="M93" s="7" t="inlineStr"/>
    </row>
    <row r="94" outlineLevel="1">
      <c r="A94" s="27" t="n"/>
      <c r="B94" s="27" t="inlineStr">
        <is>
          <t>2007.B</t>
        </is>
      </c>
      <c r="C94" s="7" t="inlineStr">
        <is>
          <t>Doğrultucu–DC şalt/negatif bağlantısı</t>
        </is>
      </c>
      <c r="D94" s="27" t="inlineStr">
        <is>
          <t>m</t>
        </is>
      </c>
      <c r="E94" s="50" t="n">
        <v>155</v>
      </c>
      <c r="F94" s="50" t="n">
        <v>155</v>
      </c>
      <c r="G94" s="27" t="inlineStr">
        <is>
          <t>fire %10</t>
        </is>
      </c>
      <c r="H94" s="50">
        <f>F94/IF(Varsayimlar!$B$21=1,1.1,1)</f>
        <v/>
      </c>
      <c r="I94" s="51" t="n">
        <v>45</v>
      </c>
      <c r="J94" s="28">
        <f>H94*I94</f>
        <v/>
      </c>
      <c r="K94" s="52" t="inlineStr">
        <is>
          <t>GEÇMİŞ TEKLİF UYARLAMA</t>
        </is>
      </c>
      <c r="L94" s="7" t="inlineStr">
        <is>
          <t>REF-teyit – 1×300 Cu DC/AC kablo: Usluel İzmir tram 1×300 48,50 M+İ; Kocaeli 1×240 1,8/3 kV 30,72, Sekaray 28,36, Prysmian N2XH 1×240 30,32 (×1,25 kesit) → 37–49 €/m; 2026 Cu fiyatı ile 45 teyit [Emsal ID: R04132;R01050;R01075;R00682]</t>
        </is>
      </c>
      <c r="M94" s="7" t="inlineStr"/>
    </row>
    <row r="95" outlineLevel="1">
      <c r="A95" s="27" t="n"/>
      <c r="B95" s="27" t="inlineStr">
        <is>
          <t>2007.B</t>
        </is>
      </c>
      <c r="C95" s="7" t="inlineStr">
        <is>
          <t>VLD bağlantı kabloları 1×300 + 1×50</t>
        </is>
      </c>
      <c r="D95" s="27" t="inlineStr">
        <is>
          <t>m</t>
        </is>
      </c>
      <c r="E95" s="50" t="n">
        <v>36</v>
      </c>
      <c r="F95" s="50" t="n">
        <v>36</v>
      </c>
      <c r="G95" s="27" t="inlineStr">
        <is>
          <t>fire+%30</t>
        </is>
      </c>
      <c r="H95" s="50">
        <f>F95/IF(Varsayimlar!$B$21=1,1.43,1)</f>
        <v/>
      </c>
      <c r="I95" s="51" t="n">
        <v>49.25</v>
      </c>
      <c r="J95" s="28">
        <f>H95*I95</f>
        <v/>
      </c>
      <c r="K95" s="52" t="inlineStr">
        <is>
          <t>GEÇMİŞ TEKLİF UYARLAMA</t>
        </is>
      </c>
      <c r="L95" s="7" t="inlineStr">
        <is>
          <t>REF-derin(1) – R04132 İzmir Konak Tram/Usluel 2014 48.50→58.50+10.00 (1x300 DC kablo; +10 € 1x50 tahmini) | tek emsal 58.50 ile mevcut 40.00 ortalaması [Emsal ID: R04132]</t>
        </is>
      </c>
      <c r="M95" s="7" t="inlineStr">
        <is>
          <t>İlk tahmin BF 40.00</t>
        </is>
      </c>
    </row>
    <row r="96" outlineLevel="1">
      <c r="A96" s="27" t="n"/>
      <c r="B96" s="27" t="inlineStr">
        <is>
          <t>2007.B</t>
        </is>
      </c>
      <c r="C96" s="7" t="inlineStr">
        <is>
          <t>DC kablo pabuçları/başlıkları 300 mm²</t>
        </is>
      </c>
      <c r="D96" s="27" t="inlineStr">
        <is>
          <t>adet</t>
        </is>
      </c>
      <c r="E96" s="50" t="n">
        <v>120</v>
      </c>
      <c r="F96" s="50" t="n">
        <v>120</v>
      </c>
      <c r="G96" s="27" t="inlineStr">
        <is>
          <t>%30</t>
        </is>
      </c>
      <c r="H96" s="50">
        <f>F96/IF(Varsayimlar!$B$21=1,1.3,1)</f>
        <v/>
      </c>
      <c r="I96" s="51" t="n">
        <v>25</v>
      </c>
      <c r="J96" s="28">
        <f>H96*I96</f>
        <v/>
      </c>
      <c r="K96" s="53" t="inlineStr">
        <is>
          <t>MÜHENDİSLİK TAHMİNİ</t>
        </is>
      </c>
      <c r="L96" s="7" t="inlineStr">
        <is>
          <t>TAHMIN (emsal yok) – emsal bulunamadı; mevcut tahmin korundu</t>
        </is>
      </c>
      <c r="M96" s="7" t="inlineStr"/>
    </row>
    <row r="97" outlineLevel="1">
      <c r="A97" s="27" t="n"/>
      <c r="B97" s="27" t="inlineStr">
        <is>
          <t>2007.B</t>
        </is>
      </c>
      <c r="C97" s="7" t="inlineStr">
        <is>
          <t>DC şalt izole kaide + çerçeve kaçak koruması (64)</t>
        </is>
      </c>
      <c r="D97" s="27" t="inlineStr">
        <is>
          <t>takım</t>
        </is>
      </c>
      <c r="E97" s="50" t="n">
        <v>1</v>
      </c>
      <c r="F97" s="50" t="n">
        <v>1</v>
      </c>
      <c r="G97" s="27" t="inlineStr">
        <is>
          <t>-</t>
        </is>
      </c>
      <c r="H97" s="50">
        <f>F97</f>
        <v/>
      </c>
      <c r="I97" s="51" t="n">
        <v>6000</v>
      </c>
      <c r="J97" s="28">
        <f>H97*I97</f>
        <v/>
      </c>
      <c r="K97" s="53" t="inlineStr">
        <is>
          <t>MÜHENDİSLİK TAHMİNİ</t>
        </is>
      </c>
      <c r="L97" s="7" t="inlineStr">
        <is>
          <t>TAHMIN (emsal yok) – Uygun emsal yok; mevcut tahmin korundu</t>
        </is>
      </c>
      <c r="M97" s="7" t="inlineStr"/>
    </row>
    <row r="98" outlineLevel="1">
      <c r="A98" s="27" t="n"/>
      <c r="B98" s="27" t="inlineStr">
        <is>
          <t>2007.B</t>
        </is>
      </c>
      <c r="C98" s="7" t="inlineStr">
        <is>
          <t>OG–DC kilitleme (anahtar transfer) düzenekleri</t>
        </is>
      </c>
      <c r="D98" s="27" t="inlineStr">
        <is>
          <t>takım</t>
        </is>
      </c>
      <c r="E98" s="50" t="n">
        <v>1</v>
      </c>
      <c r="F98" s="50" t="n">
        <v>1</v>
      </c>
      <c r="G98" s="27" t="inlineStr">
        <is>
          <t>-</t>
        </is>
      </c>
      <c r="H98" s="50">
        <f>F98</f>
        <v/>
      </c>
      <c r="I98" s="51" t="n">
        <v>4000</v>
      </c>
      <c r="J98" s="28">
        <f>H98*I98</f>
        <v/>
      </c>
      <c r="K98" s="53" t="inlineStr">
        <is>
          <t>MÜHENDİSLİK TAHMİNİ</t>
        </is>
      </c>
      <c r="L98" s="7" t="inlineStr">
        <is>
          <t>TAHMIN (emsal yok) – emsal bulunamadı; mevcut tahmin korundu</t>
        </is>
      </c>
      <c r="M98" s="7" t="inlineStr"/>
    </row>
    <row r="99" outlineLevel="1">
      <c r="A99" s="27" t="n"/>
      <c r="B99" s="27" t="inlineStr">
        <is>
          <t>2007.B</t>
        </is>
      </c>
      <c r="C99" s="7" t="inlineStr">
        <is>
          <t>Kontrol-koruma, SCADA I/O, 110 V DC kontrol kabloları</t>
        </is>
      </c>
      <c r="D99" s="27" t="inlineStr">
        <is>
          <t>set</t>
        </is>
      </c>
      <c r="E99" s="50" t="n">
        <v>1</v>
      </c>
      <c r="F99" s="50" t="n">
        <v>1</v>
      </c>
      <c r="G99" s="27" t="inlineStr">
        <is>
          <t>-</t>
        </is>
      </c>
      <c r="H99" s="50">
        <f>F99</f>
        <v/>
      </c>
      <c r="I99" s="51" t="n">
        <v>12000</v>
      </c>
      <c r="J99" s="28">
        <f>H99*I99</f>
        <v/>
      </c>
      <c r="K99" s="53" t="inlineStr">
        <is>
          <t>MÜHENDİSLİK TAHMİNİ</t>
        </is>
      </c>
      <c r="L99" s="7" t="inlineStr">
        <is>
          <t>TAHMIN (emsal yok) – Uygun emsal yok; mevcut tahmin korundu</t>
        </is>
      </c>
      <c r="M99" s="7" t="inlineStr"/>
    </row>
    <row r="100" outlineLevel="1">
      <c r="A100" s="27" t="n"/>
      <c r="B100" s="27" t="inlineStr">
        <is>
          <t>2007.B</t>
        </is>
      </c>
      <c r="C100" s="7" t="inlineStr">
        <is>
          <t>FAT ve saha testleri, devreye alma, kısa devre testi</t>
        </is>
      </c>
      <c r="D100" s="27" t="inlineStr">
        <is>
          <t>set</t>
        </is>
      </c>
      <c r="E100" s="50" t="n">
        <v>1</v>
      </c>
      <c r="F100" s="50" t="n">
        <v>1</v>
      </c>
      <c r="G100" s="27" t="inlineStr">
        <is>
          <t>-</t>
        </is>
      </c>
      <c r="H100" s="50">
        <f>F100</f>
        <v/>
      </c>
      <c r="I100" s="51" t="n">
        <v>25000</v>
      </c>
      <c r="J100" s="28">
        <f>H100*I100</f>
        <v/>
      </c>
      <c r="K100" s="53" t="inlineStr">
        <is>
          <t>MÜHENDİSLİK TAHMİNİ</t>
        </is>
      </c>
      <c r="L100" s="7" t="inlineStr">
        <is>
          <t>TAHMIN (emsal yok) – Doğrudan emsal yok (ABB İzmir müh.+FAT+devreye alma 195.498/5 TM≈39k, tasarım dahil); 25.000/TM makul</t>
        </is>
      </c>
      <c r="M100" s="7" t="inlineStr"/>
    </row>
    <row r="101">
      <c r="A101" s="48" t="inlineStr">
        <is>
          <t>197</t>
        </is>
      </c>
      <c r="B101" s="48" t="inlineStr">
        <is>
          <t>2008.H</t>
        </is>
      </c>
      <c r="C101" s="48" t="inlineStr">
        <is>
          <t>Hat Trafo Binaları Topraklama Tesisatı (4 set)</t>
        </is>
      </c>
      <c r="D101" s="48" t="n"/>
      <c r="E101" s="48" t="n"/>
      <c r="F101" s="48" t="n"/>
      <c r="G101" s="48" t="n"/>
      <c r="H101" s="48" t="inlineStr">
        <is>
          <t>RFQ tutarı →</t>
        </is>
      </c>
      <c r="I101" s="49">
        <f>SUMPRODUCT(E102:E106,I102:I106)</f>
        <v/>
      </c>
      <c r="J101" s="49">
        <f>SUM(J102:J106)</f>
        <v/>
      </c>
      <c r="K101" s="48" t="n"/>
      <c r="L101" s="48" t="n"/>
      <c r="M101" s="48" t="n"/>
    </row>
    <row r="102" outlineLevel="1">
      <c r="A102" s="27" t="n"/>
      <c r="B102" s="27" t="inlineStr">
        <is>
          <t>2008.H</t>
        </is>
      </c>
      <c r="C102" s="7" t="inlineStr">
        <is>
          <t>Temel altı ağ 1×120 mm² çıplak Cu</t>
        </is>
      </c>
      <c r="D102" s="27" t="inlineStr">
        <is>
          <t>m</t>
        </is>
      </c>
      <c r="E102" s="50" t="n">
        <v>1019</v>
      </c>
      <c r="F102" s="50" t="n">
        <v>1019</v>
      </c>
      <c r="G102" s="27" t="inlineStr">
        <is>
          <t>fire %10</t>
        </is>
      </c>
      <c r="H102" s="50">
        <f>F102/IF(Varsayimlar!$B$21=1,1.1,1)</f>
        <v/>
      </c>
      <c r="I102" s="51" t="n">
        <v>17.3</v>
      </c>
      <c r="J102" s="28">
        <f>H102*I102</f>
        <v/>
      </c>
      <c r="K102" s="52" t="inlineStr">
        <is>
          <t>GEÇMİŞ TEKLİF UYARLAMA</t>
        </is>
      </c>
      <c r="L102" s="7" t="inlineStr">
        <is>
          <t>REF-derin – 120 mm² çıplak/örgülü Cu: Buca 2021 12,56/12,37, Mezitli 10,91 mlz → medyan 12,37 +%40 döşeme/termokaynak = 17,32 [Emsal ID: R00725;R00792;R01107]</t>
        </is>
      </c>
      <c r="M102" s="7" t="inlineStr">
        <is>
          <t>İlk tahmin BF 18.00</t>
        </is>
      </c>
    </row>
    <row r="103" outlineLevel="1">
      <c r="A103" s="27" t="n"/>
      <c r="B103" s="27" t="inlineStr">
        <is>
          <t>2008.H</t>
        </is>
      </c>
      <c r="C103" s="7" t="inlineStr">
        <is>
          <t>Bakır kazık elektrod Ø20×1,5 m</t>
        </is>
      </c>
      <c r="D103" s="27" t="inlineStr">
        <is>
          <t>adet</t>
        </is>
      </c>
      <c r="E103" s="50" t="n">
        <v>63</v>
      </c>
      <c r="F103" s="50" t="n">
        <v>63</v>
      </c>
      <c r="G103" s="27" t="inlineStr">
        <is>
          <t>-</t>
        </is>
      </c>
      <c r="H103" s="50">
        <f>F103</f>
        <v/>
      </c>
      <c r="I103" s="51" t="n">
        <v>84</v>
      </c>
      <c r="J103" s="28">
        <f>H103*I103</f>
        <v/>
      </c>
      <c r="K103" s="52" t="inlineStr">
        <is>
          <t>GEÇMİŞ TEKLİF UYARLAMA</t>
        </is>
      </c>
      <c r="L103" s="7" t="inlineStr">
        <is>
          <t>REF-derin – Ø20 Cu kazık L=3,5 m: Haluk 153, MET 168, ESCO 120, Desat 151 → medyan 152; L=1,5 m için ×0,55 = 83,50 (mevcut 120 YÜKSEK; 3,5 m ise 152) [Emsal ID: R00916;R00984;R00793;R00533]</t>
        </is>
      </c>
      <c r="M103" s="7" t="inlineStr">
        <is>
          <t>İlk tahmin BF 120.00</t>
        </is>
      </c>
    </row>
    <row r="104" outlineLevel="1">
      <c r="A104" s="27" t="n"/>
      <c r="B104" s="27" t="inlineStr">
        <is>
          <t>2008.H</t>
        </is>
      </c>
      <c r="C104" s="7" t="inlineStr">
        <is>
          <t>Bina içi şerit, bara, ekipman topraklama iletkenleri, klemensler</t>
        </is>
      </c>
      <c r="D104" s="27" t="inlineStr">
        <is>
          <t>set</t>
        </is>
      </c>
      <c r="E104" s="50" t="n">
        <v>1</v>
      </c>
      <c r="F104" s="50" t="n">
        <v>1</v>
      </c>
      <c r="G104" s="27" t="inlineStr">
        <is>
          <t>-</t>
        </is>
      </c>
      <c r="H104" s="50">
        <f>F104</f>
        <v/>
      </c>
      <c r="I104" s="51" t="n">
        <v>10500</v>
      </c>
      <c r="J104" s="28">
        <f>H104*I104</f>
        <v/>
      </c>
      <c r="K104" s="53" t="inlineStr">
        <is>
          <t>MÜHENDİSLİK TAHMİNİ</t>
        </is>
      </c>
      <c r="L104" s="7" t="inlineStr">
        <is>
          <t>TAHMIN (emsal yok) – Uygun emsal yok; mevcut tahmin korundu</t>
        </is>
      </c>
      <c r="M104" s="7" t="inlineStr"/>
    </row>
    <row r="105" outlineLevel="1">
      <c r="A105" s="27" t="n"/>
      <c r="B105" s="27" t="inlineStr">
        <is>
          <t>2008.H</t>
        </is>
      </c>
      <c r="C105" s="7" t="inlineStr">
        <is>
          <t>Egzotermik kaynak</t>
        </is>
      </c>
      <c r="D105" s="27" t="inlineStr">
        <is>
          <t>adet</t>
        </is>
      </c>
      <c r="E105" s="50" t="n">
        <v>120</v>
      </c>
      <c r="F105" s="50" t="n">
        <v>120</v>
      </c>
      <c r="G105" s="27" t="inlineStr">
        <is>
          <t>-</t>
        </is>
      </c>
      <c r="H105" s="50">
        <f>F105</f>
        <v/>
      </c>
      <c r="I105" s="51" t="n">
        <v>25</v>
      </c>
      <c r="J105" s="28">
        <f>H105*I105</f>
        <v/>
      </c>
      <c r="K105" s="53" t="inlineStr">
        <is>
          <t>MÜHENDİSLİK TAHMİNİ</t>
        </is>
      </c>
      <c r="L105" s="7" t="inlineStr">
        <is>
          <t>TAHMIN (emsal yok) – emsal bulunamadı; mevcut tahmin korundu</t>
        </is>
      </c>
      <c r="M105" s="7" t="inlineStr"/>
    </row>
    <row r="106" outlineLevel="1">
      <c r="A106" s="27" t="n"/>
      <c r="B106" s="27" t="inlineStr">
        <is>
          <t>2008.H</t>
        </is>
      </c>
      <c r="C106" s="7" t="inlineStr">
        <is>
          <t>Topraklama/adım-dokunma ölçümleri</t>
        </is>
      </c>
      <c r="D106" s="27" t="inlineStr">
        <is>
          <t>set</t>
        </is>
      </c>
      <c r="E106" s="50" t="n">
        <v>4</v>
      </c>
      <c r="F106" s="50" t="n">
        <v>4</v>
      </c>
      <c r="G106" s="27" t="inlineStr">
        <is>
          <t>-</t>
        </is>
      </c>
      <c r="H106" s="50">
        <f>F106</f>
        <v/>
      </c>
      <c r="I106" s="51" t="n">
        <v>800</v>
      </c>
      <c r="J106" s="28">
        <f>H106*I106</f>
        <v/>
      </c>
      <c r="K106" s="53" t="inlineStr">
        <is>
          <t>MÜHENDİSLİK TAHMİNİ</t>
        </is>
      </c>
      <c r="L106" s="7" t="inlineStr">
        <is>
          <t>TAHMIN (emsal yok) – emsal bulunamadı; mevcut tahmin korundu</t>
        </is>
      </c>
      <c r="M106" s="7" t="inlineStr"/>
    </row>
    <row r="107">
      <c r="A107" s="48" t="inlineStr">
        <is>
          <t>200</t>
        </is>
      </c>
      <c r="B107" s="48" t="inlineStr">
        <is>
          <t>2009.A</t>
        </is>
      </c>
      <c r="C107" s="48" t="inlineStr">
        <is>
          <t>Hat TM 110 V DC Akü-Şarj (4 set)</t>
        </is>
      </c>
      <c r="D107" s="48" t="n"/>
      <c r="E107" s="48" t="n"/>
      <c r="F107" s="48" t="n"/>
      <c r="G107" s="48" t="n"/>
      <c r="H107" s="48" t="inlineStr">
        <is>
          <t>RFQ tutarı →</t>
        </is>
      </c>
      <c r="I107" s="49">
        <f>SUMPRODUCT(E108:E108,I108:I108)</f>
        <v/>
      </c>
      <c r="J107" s="49">
        <f>SUM(J108:J108)</f>
        <v/>
      </c>
      <c r="K107" s="48" t="n"/>
      <c r="L107" s="48" t="n"/>
      <c r="M107" s="48" t="n"/>
    </row>
    <row r="108" outlineLevel="1">
      <c r="A108" s="27" t="n"/>
      <c r="B108" s="27" t="inlineStr">
        <is>
          <t>2009.A</t>
        </is>
      </c>
      <c r="C108" s="7" t="inlineStr">
        <is>
          <t>110 V DC 160 Ah VRLA akü + 50 A şarj + DC dağıtım paneli + MCB + izolasyon izleme + test</t>
        </is>
      </c>
      <c r="D108" s="27" t="inlineStr">
        <is>
          <t>set</t>
        </is>
      </c>
      <c r="E108" s="50" t="n">
        <v>4</v>
      </c>
      <c r="F108" s="50" t="n">
        <v>4</v>
      </c>
      <c r="G108" s="27" t="inlineStr">
        <is>
          <t>-</t>
        </is>
      </c>
      <c r="H108" s="50">
        <f>F108</f>
        <v/>
      </c>
      <c r="I108" s="51" t="n">
        <v>23000</v>
      </c>
      <c r="J108" s="28">
        <f>H108*I108</f>
        <v/>
      </c>
      <c r="K108" s="52" t="inlineStr">
        <is>
          <t>GEÇMİŞ TEKLİF UYARLAMA</t>
        </is>
      </c>
      <c r="L108" s="7" t="inlineStr">
        <is>
          <t>REF-teyit – 110 V DC set: İnform 2021 2×şarj+DC pano 19.596 + Ni-Cd 140 Ah 13.023; Kocaeli Ni-Cd 85 Ah+şarj 17.680 + DC pano 2.424; Siemens 2011 50A+185Ah 22.196; MET 33.594 → 20–33k; VRLA (Ni-Cd'den ucuz) için 23.000 teyit [Emsal ID: R00734;R00738;R01055;R01054;R01129;R01130;R00947]</t>
        </is>
      </c>
      <c r="M108" s="7" t="inlineStr"/>
    </row>
    <row r="109">
      <c r="A109" s="48" t="inlineStr">
        <is>
          <t>201</t>
        </is>
      </c>
      <c r="B109" s="48" t="inlineStr">
        <is>
          <t>2009.B</t>
        </is>
      </c>
      <c r="C109" s="48" t="inlineStr">
        <is>
          <t>Depo TM 110 V DC Akü-Şarj (1 set)</t>
        </is>
      </c>
      <c r="D109" s="48" t="n"/>
      <c r="E109" s="48" t="n"/>
      <c r="F109" s="48" t="n"/>
      <c r="G109" s="48" t="n"/>
      <c r="H109" s="48" t="inlineStr">
        <is>
          <t>RFQ tutarı →</t>
        </is>
      </c>
      <c r="I109" s="49">
        <f>SUMPRODUCT(E110:E110,I110:I110)</f>
        <v/>
      </c>
      <c r="J109" s="49">
        <f>SUM(J110:J110)</f>
        <v/>
      </c>
      <c r="K109" s="48" t="n"/>
      <c r="L109" s="48" t="n"/>
      <c r="M109" s="48" t="n"/>
    </row>
    <row r="110" outlineLevel="1">
      <c r="A110" s="27" t="n"/>
      <c r="B110" s="27" t="inlineStr">
        <is>
          <t>2009.B</t>
        </is>
      </c>
      <c r="C110" s="7" t="inlineStr">
        <is>
          <t>110 V DC 160 Ah VRLA akü + şarj + dağıtım paneli + test</t>
        </is>
      </c>
      <c r="D110" s="27" t="inlineStr">
        <is>
          <t>set</t>
        </is>
      </c>
      <c r="E110" s="50" t="n">
        <v>1</v>
      </c>
      <c r="F110" s="50" t="n">
        <v>1</v>
      </c>
      <c r="G110" s="27" t="inlineStr">
        <is>
          <t>-</t>
        </is>
      </c>
      <c r="H110" s="50">
        <f>F110</f>
        <v/>
      </c>
      <c r="I110" s="51" t="n">
        <v>23000</v>
      </c>
      <c r="J110" s="28">
        <f>H110*I110</f>
        <v/>
      </c>
      <c r="K110" s="52" t="inlineStr">
        <is>
          <t>GEÇMİŞ TEKLİF UYARLAMA</t>
        </is>
      </c>
      <c r="L110" s="7" t="inlineStr">
        <is>
          <t>REF-teyit – Satır 108 ile aynı set; 23.000 teyit [Emsal ID: R00734;R01055;R00947]</t>
        </is>
      </c>
      <c r="M110" s="7" t="inlineStr"/>
    </row>
    <row r="111">
      <c r="A111" s="48" t="inlineStr">
        <is>
          <t>202-208</t>
        </is>
      </c>
      <c r="B111" s="48" t="inlineStr">
        <is>
          <t>2010.A-G</t>
        </is>
      </c>
      <c r="C111" s="48" t="inlineStr">
        <is>
          <t>İstasyon (6) ve Depo Kaçak Akım İzleme / Korozyon Kontrolü</t>
        </is>
      </c>
      <c r="D111" s="48" t="n"/>
      <c r="E111" s="48" t="n"/>
      <c r="F111" s="48" t="n"/>
      <c r="G111" s="48" t="n"/>
      <c r="H111" s="48" t="inlineStr">
        <is>
          <t>RFQ tutarı →</t>
        </is>
      </c>
      <c r="I111" s="49">
        <f>SUMPRODUCT(E112:E113,I112:I113)</f>
        <v/>
      </c>
      <c r="J111" s="49">
        <f>SUM(J112:J113)</f>
        <v/>
      </c>
      <c r="K111" s="48" t="n"/>
      <c r="L111" s="48" t="n"/>
      <c r="M111" s="48" t="n"/>
    </row>
    <row r="112" outlineLevel="1">
      <c r="A112" s="27" t="n"/>
      <c r="B112" s="27" t="inlineStr">
        <is>
          <t>2010.A-G</t>
        </is>
      </c>
      <c r="C112" s="7" t="inlineStr">
        <is>
          <t>İstasyon bölgesi: test kutuları, referans elektrot, donatı süreklilik, peron metal izolasyonu, ölçümler</t>
        </is>
      </c>
      <c r="D112" s="27" t="inlineStr">
        <is>
          <t>set</t>
        </is>
      </c>
      <c r="E112" s="50" t="n">
        <v>6</v>
      </c>
      <c r="F112" s="50" t="n">
        <v>6</v>
      </c>
      <c r="G112" s="27" t="inlineStr">
        <is>
          <t>-</t>
        </is>
      </c>
      <c r="H112" s="50">
        <f>F112</f>
        <v/>
      </c>
      <c r="I112" s="51" t="n">
        <v>3850</v>
      </c>
      <c r="J112" s="28">
        <f>H112*I112</f>
        <v/>
      </c>
      <c r="K112" s="52" t="inlineStr">
        <is>
          <t>GEÇMİŞ TEKLİF UYARLAMA</t>
        </is>
      </c>
      <c r="L112" s="7" t="inlineStr">
        <is>
          <t>REF-derin – İstasyon kaçak akım: Bursa T2 Haluk 3.929, MET 1.987 → medyan 2.958 +%30 peron metal izolasyonu/ölçüm = 3.850 (mevcut 6.000 ≈2× ref, YÜKSEK; İzmir metro 1.354) [Emsal ID: R00898;R00969;R00624]</t>
        </is>
      </c>
      <c r="M112" s="7" t="inlineStr">
        <is>
          <t>İlk tahmin BF 6,000.00</t>
        </is>
      </c>
    </row>
    <row r="113" outlineLevel="1">
      <c r="A113" s="27" t="n"/>
      <c r="B113" s="27" t="inlineStr">
        <is>
          <t>2010.A-G</t>
        </is>
      </c>
      <c r="C113" s="7" t="inlineStr">
        <is>
          <t>Depo: izole ray eki, DC süreklilik kabloları, VLD arabirimi, test kutuları, ölçümler</t>
        </is>
      </c>
      <c r="D113" s="27" t="inlineStr">
        <is>
          <t>set</t>
        </is>
      </c>
      <c r="E113" s="50" t="n">
        <v>1</v>
      </c>
      <c r="F113" s="50" t="n">
        <v>1</v>
      </c>
      <c r="G113" s="27" t="inlineStr">
        <is>
          <t>-</t>
        </is>
      </c>
      <c r="H113" s="50">
        <f>F113</f>
        <v/>
      </c>
      <c r="I113" s="51" t="n">
        <v>24346</v>
      </c>
      <c r="J113" s="28">
        <f>H113*I113</f>
        <v/>
      </c>
      <c r="K113" s="52" t="inlineStr">
        <is>
          <t>GEÇMİŞ TEKLİF UYARLAMA</t>
        </is>
      </c>
      <c r="L113" s="7" t="inlineStr">
        <is>
          <t>REF-teyit – Depo kaçak akım: Haluk 26.195, MET 22.497 → medyan 24.346 teyit [Emsal ID: R00899;R00970]</t>
        </is>
      </c>
      <c r="M113" s="7" t="inlineStr"/>
    </row>
    <row r="114">
      <c r="A114" s="48" t="inlineStr">
        <is>
          <t>209</t>
        </is>
      </c>
      <c r="B114" s="48" t="inlineStr">
        <is>
          <t>2010.H</t>
        </is>
      </c>
      <c r="C114" s="48" t="inlineStr">
        <is>
          <t>Hat TM Kaçak Akım İzleme (4 set)</t>
        </is>
      </c>
      <c r="D114" s="48" t="n"/>
      <c r="E114" s="48" t="n"/>
      <c r="F114" s="48" t="n"/>
      <c r="G114" s="48" t="n"/>
      <c r="H114" s="48" t="inlineStr">
        <is>
          <t>RFQ tutarı →</t>
        </is>
      </c>
      <c r="I114" s="49">
        <f>SUMPRODUCT(E115:E116,I115:I116)</f>
        <v/>
      </c>
      <c r="J114" s="49">
        <f>SUM(J115:J116)</f>
        <v/>
      </c>
      <c r="K114" s="48" t="n"/>
      <c r="L114" s="48" t="n"/>
      <c r="M114" s="48" t="n"/>
    </row>
    <row r="115" outlineLevel="1">
      <c r="A115" s="27" t="n"/>
      <c r="B115" s="27" t="inlineStr">
        <is>
          <t>2010.H</t>
        </is>
      </c>
      <c r="C115" s="7" t="inlineStr">
        <is>
          <t>Ray potansiyeli/kaçak akım izleme ünitesi + drenaj panosu</t>
        </is>
      </c>
      <c r="D115" s="27" t="inlineStr">
        <is>
          <t>set</t>
        </is>
      </c>
      <c r="E115" s="50" t="n">
        <v>4</v>
      </c>
      <c r="F115" s="50" t="n">
        <v>4</v>
      </c>
      <c r="G115" s="27" t="inlineStr">
        <is>
          <t>-</t>
        </is>
      </c>
      <c r="H115" s="50">
        <f>F115</f>
        <v/>
      </c>
      <c r="I115" s="51" t="n">
        <v>11136</v>
      </c>
      <c r="J115" s="28">
        <f>H115*I115</f>
        <v/>
      </c>
      <c r="K115" s="52" t="inlineStr">
        <is>
          <t>GEÇMİŞ TEKLİF UYARLAMA</t>
        </is>
      </c>
      <c r="L115" s="7" t="inlineStr">
        <is>
          <t>REF-derin(1) – İzmir tram Siemens SCMS paketi 135.275/12 TPS = 11.273; mevcut 11.000 ile ort. → 11.136 (ABB Buca metro ~24,9k/TM kıyas dışı) [Emsal ID: R00554]</t>
        </is>
      </c>
      <c r="M115" s="7" t="inlineStr">
        <is>
          <t>İlk tahmin BF 11,000.00</t>
        </is>
      </c>
    </row>
    <row r="116" outlineLevel="1">
      <c r="A116" s="27" t="n"/>
      <c r="B116" s="27" t="inlineStr">
        <is>
          <t>2010.H</t>
        </is>
      </c>
      <c r="C116" s="7" t="inlineStr">
        <is>
          <t>Ölçüm/bağlantı kabloları, test kutuları, referans elektrot, devreye alma</t>
        </is>
      </c>
      <c r="D116" s="27" t="inlineStr">
        <is>
          <t>set</t>
        </is>
      </c>
      <c r="E116" s="50" t="n">
        <v>1</v>
      </c>
      <c r="F116" s="50" t="n">
        <v>1</v>
      </c>
      <c r="G116" s="27" t="inlineStr">
        <is>
          <t>-</t>
        </is>
      </c>
      <c r="H116" s="50">
        <f>F116</f>
        <v/>
      </c>
      <c r="I116" s="51" t="n">
        <v>25000</v>
      </c>
      <c r="J116" s="28">
        <f>H116*I116</f>
        <v/>
      </c>
      <c r="K116" s="53" t="inlineStr">
        <is>
          <t>MÜHENDİSLİK TAHMİNİ</t>
        </is>
      </c>
      <c r="L116" s="7" t="inlineStr">
        <is>
          <t>TAHMIN (emsal yok) – Uygun emsal yok; mevcut tahmin korundu</t>
        </is>
      </c>
      <c r="M116" s="7" t="inlineStr"/>
    </row>
    <row r="117">
      <c r="A117" s="48" t="inlineStr">
        <is>
          <t>210</t>
        </is>
      </c>
      <c r="B117" s="48" t="inlineStr">
        <is>
          <t>2010.I</t>
        </is>
      </c>
      <c r="C117" s="48" t="inlineStr">
        <is>
          <t>Hatboyu ve Üst Geçit Kaçak Akım İzleme / Korozyon Kontrolü</t>
        </is>
      </c>
      <c r="D117" s="48" t="n"/>
      <c r="E117" s="48" t="n"/>
      <c r="F117" s="48" t="n"/>
      <c r="G117" s="48" t="n"/>
      <c r="H117" s="48" t="inlineStr">
        <is>
          <t>RFQ tutarı →</t>
        </is>
      </c>
      <c r="I117" s="49">
        <f>SUMPRODUCT(E118:E118,I118:I118)</f>
        <v/>
      </c>
      <c r="J117" s="49">
        <f>SUM(J118:J118)</f>
        <v/>
      </c>
      <c r="K117" s="48" t="n"/>
      <c r="L117" s="48" t="n"/>
      <c r="M117" s="48" t="n"/>
    </row>
    <row r="118" outlineLevel="1">
      <c r="A118" s="27" t="n"/>
      <c r="B118" s="27" t="inlineStr">
        <is>
          <t>2010.I</t>
        </is>
      </c>
      <c r="C118" s="7" t="inlineStr">
        <is>
          <t>Cross-bond, hatlar arası bağlantı, test kutuları, referans elektrotlar, merkezi yazılım, EN 50122-2 ölçümleri</t>
        </is>
      </c>
      <c r="D118" s="27" t="inlineStr">
        <is>
          <t>set</t>
        </is>
      </c>
      <c r="E118" s="50" t="n">
        <v>1</v>
      </c>
      <c r="F118" s="50" t="n">
        <v>1</v>
      </c>
      <c r="G118" s="27" t="inlineStr">
        <is>
          <t>-</t>
        </is>
      </c>
      <c r="H118" s="50">
        <f>F118</f>
        <v/>
      </c>
      <c r="I118" s="51" t="n">
        <v>98015</v>
      </c>
      <c r="J118" s="28">
        <f>H118*I118</f>
        <v/>
      </c>
      <c r="K118" s="52" t="inlineStr">
        <is>
          <t>GEÇMİŞ TEKLİF UYARLAMA</t>
        </is>
      </c>
      <c r="L118" s="7" t="inlineStr">
        <is>
          <t>REF-derin – Bursa T2 hat yapıları kaçak akım Haluk 87.318, MET 108.713 → medyan 98.015 (mevcut MET maks. alınmış) [Emsal ID: R00897;R00968;R00504]</t>
        </is>
      </c>
      <c r="M118" s="7" t="inlineStr">
        <is>
          <t>İlk tahmin BF 108,713.00</t>
        </is>
      </c>
    </row>
    <row r="119">
      <c r="A119" s="48" t="inlineStr">
        <is>
          <t>219</t>
        </is>
      </c>
      <c r="B119" s="48" t="inlineStr">
        <is>
          <t>2011.I</t>
        </is>
      </c>
      <c r="C119" s="48" t="inlineStr">
        <is>
          <t>Hat Trafo Binaları AG Kabloları ve Kablo Taşıma (4 set)</t>
        </is>
      </c>
      <c r="D119" s="48" t="n"/>
      <c r="E119" s="48" t="n"/>
      <c r="F119" s="48" t="n"/>
      <c r="G119" s="48" t="n"/>
      <c r="H119" s="48" t="inlineStr">
        <is>
          <t>RFQ tutarı →</t>
        </is>
      </c>
      <c r="I119" s="49">
        <f>SUMPRODUCT(E120:E121,I120:I121)</f>
        <v/>
      </c>
      <c r="J119" s="49">
        <f>SUM(J120:J121)</f>
        <v/>
      </c>
      <c r="K119" s="48" t="n"/>
      <c r="L119" s="48" t="n"/>
      <c r="M119" s="48" t="n"/>
    </row>
    <row r="120" outlineLevel="1">
      <c r="A120" s="27" t="n"/>
      <c r="B120" s="27" t="inlineStr">
        <is>
          <t>2011.I</t>
        </is>
      </c>
      <c r="C120" s="7" t="inlineStr">
        <is>
          <t>AG kabloları (N2XH 1×240, 4×6, 3×2,5, PE, 110 V DC)</t>
        </is>
      </c>
      <c r="D120" s="27" t="inlineStr">
        <is>
          <t>set</t>
        </is>
      </c>
      <c r="E120" s="50" t="n">
        <v>1</v>
      </c>
      <c r="F120" s="50" t="n">
        <v>1</v>
      </c>
      <c r="G120" s="27" t="inlineStr">
        <is>
          <t>-</t>
        </is>
      </c>
      <c r="H120" s="50">
        <f>F120</f>
        <v/>
      </c>
      <c r="I120" s="51" t="n">
        <v>28000</v>
      </c>
      <c r="J120" s="28">
        <f>H120*I120</f>
        <v/>
      </c>
      <c r="K120" s="53" t="inlineStr">
        <is>
          <t>MÜHENDİSLİK TAHMİNİ</t>
        </is>
      </c>
      <c r="L120" s="7" t="inlineStr">
        <is>
          <t>TAHMIN (emsal yok) – Uygun emsal yok; mevcut tahmin korundu</t>
        </is>
      </c>
      <c r="M120" s="7" t="inlineStr"/>
    </row>
    <row r="121" outlineLevel="1">
      <c r="A121" s="27" t="n"/>
      <c r="B121" s="27" t="inlineStr">
        <is>
          <t>2011.I</t>
        </is>
      </c>
      <c r="C121" s="7" t="inlineStr">
        <is>
          <t>Kablo tavası/merdiveni, tava topraklaması, HDPE, yangın durdurucu, test</t>
        </is>
      </c>
      <c r="D121" s="27" t="inlineStr">
        <is>
          <t>set</t>
        </is>
      </c>
      <c r="E121" s="50" t="n">
        <v>1</v>
      </c>
      <c r="F121" s="50" t="n">
        <v>1</v>
      </c>
      <c r="G121" s="27" t="inlineStr">
        <is>
          <t>-</t>
        </is>
      </c>
      <c r="H121" s="50">
        <f>F121</f>
        <v/>
      </c>
      <c r="I121" s="51" t="n">
        <v>52000</v>
      </c>
      <c r="J121" s="28">
        <f>H121*I121</f>
        <v/>
      </c>
      <c r="K121" s="53" t="inlineStr">
        <is>
          <t>MÜHENDİSLİK TAHMİNİ</t>
        </is>
      </c>
      <c r="L121" s="7" t="inlineStr">
        <is>
          <t>TAHMIN (emsal yok) – Uygun emsal yok; mevcut tahmin korundu</t>
        </is>
      </c>
      <c r="M121" s="7" t="inlineStr"/>
    </row>
    <row r="122">
      <c r="A122" s="48" t="inlineStr">
        <is>
          <t>227</t>
        </is>
      </c>
      <c r="B122" s="48" t="inlineStr">
        <is>
          <t>2013.A</t>
        </is>
      </c>
      <c r="C122" s="48" t="inlineStr">
        <is>
          <t>Depo Trafo Binası Busbar (kablo bağlantısı)</t>
        </is>
      </c>
      <c r="D122" s="48" t="n"/>
      <c r="E122" s="48" t="n"/>
      <c r="F122" s="48" t="n"/>
      <c r="G122" s="48" t="n"/>
      <c r="H122" s="48" t="inlineStr">
        <is>
          <t>RFQ tutarı →</t>
        </is>
      </c>
      <c r="I122" s="49">
        <f>SUMPRODUCT(E123:E123,I123:I123)</f>
        <v/>
      </c>
      <c r="J122" s="49">
        <f>SUM(J123:J123)</f>
        <v/>
      </c>
      <c r="K122" s="48" t="n"/>
      <c r="L122" s="48" t="n"/>
      <c r="M122" s="48" t="n"/>
    </row>
    <row r="123" outlineLevel="1">
      <c r="A123" s="27" t="n"/>
      <c r="B123" s="27" t="inlineStr">
        <is>
          <t>2013.A</t>
        </is>
      </c>
      <c r="C123" s="7" t="inlineStr">
        <is>
          <t>N2XH 1×240 Cu + pabuç + bara/mesnet + merdiven + kelepçe + test</t>
        </is>
      </c>
      <c r="D123" s="27" t="inlineStr">
        <is>
          <t>set</t>
        </is>
      </c>
      <c r="E123" s="50" t="n">
        <v>1</v>
      </c>
      <c r="F123" s="50" t="n">
        <v>1</v>
      </c>
      <c r="G123" s="27" t="inlineStr">
        <is>
          <t>-</t>
        </is>
      </c>
      <c r="H123" s="50">
        <f>F123</f>
        <v/>
      </c>
      <c r="I123" s="51" t="n">
        <v>44000</v>
      </c>
      <c r="J123" s="28">
        <f>H123*I123</f>
        <v/>
      </c>
      <c r="K123" s="53" t="inlineStr">
        <is>
          <t>MÜHENDİSLİK TAHMİNİ</t>
        </is>
      </c>
      <c r="L123" s="7" t="inlineStr">
        <is>
          <t>TAHMIN (emsal yok) – Dolaylı emsal: busbar trafo–ADP bağlantısı EAE 11.119, ORGE 15.151, Novatek 26.331 /set; 2 trafo için ~20–40k → 44.000 üst sınırda, kapsam teyit edilmeli</t>
        </is>
      </c>
      <c r="M123" s="7" t="inlineStr"/>
    </row>
    <row r="124"/>
    <row r="125">
      <c r="C125" s="14" t="inlineStr">
        <is>
          <t>TOPLAM (net metraj, idare cevaplarına göre)</t>
        </is>
      </c>
      <c r="J125" s="56">
        <f>J5+J8+J16+J31+J43+J45+J49+J53+J57+J59+J61+J63+J65+J83+J101+J107+J109+J111+J114+J117+J119+J122</f>
        <v/>
      </c>
    </row>
    <row r="126">
      <c r="C126" s="14" t="inlineStr">
        <is>
          <t>Karşılaştırma: RFQ cetvel miktarlarıyla (şişirmeli, düzeltmesiz) tutar</t>
        </is>
      </c>
      <c r="J126" s="56">
        <f>I5+I8+I16+I31+I43+I45+I49+I53+I57+I59+I61+I63+I65+I83+I101+I107+I109+I111+I114+I117+I119+I122</f>
        <v/>
      </c>
    </row>
    <row r="127">
      <c r="C127" s="14" t="inlineStr">
        <is>
          <t>Fark (metraj payları + idare cevapları)</t>
        </is>
      </c>
      <c r="J127" s="56">
        <f>J125-J126</f>
        <v/>
      </c>
    </row>
    <row r="128"/>
    <row r="129">
      <c r="C129" s="19" t="inlineStr">
        <is>
          <t>FİYAT TÜRÜNE GÖRE DAĞILIM</t>
        </is>
      </c>
    </row>
    <row r="130">
      <c r="C130" s="57" t="inlineStr">
        <is>
          <t>2026 TEKLİF</t>
        </is>
      </c>
      <c r="J130" s="23">
        <f>SUMIF($K$5:$K$123,"2026 TEKLİF",$J$5:$J$123)</f>
        <v/>
      </c>
      <c r="K130" s="58">
        <f>IF($J$125=0,0,J130/$J$125)</f>
        <v/>
      </c>
    </row>
    <row r="131">
      <c r="C131" s="59" t="inlineStr">
        <is>
          <t>GEÇMİŞ TEKLİF UYARLAMA</t>
        </is>
      </c>
      <c r="J131" s="23">
        <f>SUMIF($K$5:$K$123,"GEÇMİŞ TEKLİF UYARLAMA",$J$5:$J$123)</f>
        <v/>
      </c>
      <c r="K131" s="58">
        <f>IF($J$125=0,0,J131/$J$125)</f>
        <v/>
      </c>
    </row>
    <row r="132">
      <c r="C132" s="60" t="inlineStr">
        <is>
          <t>MÜHENDİSLİK TAHMİNİ</t>
        </is>
      </c>
      <c r="J132" s="23">
        <f>SUMIF($K$5:$K$123,"MÜHENDİSLİK TAHMİNİ",$J$5:$J$123)</f>
        <v/>
      </c>
      <c r="K132" s="58">
        <f>IF($J$125=0,0,J132/$J$125)</f>
        <v/>
      </c>
    </row>
    <row r="133">
      <c r="C133" s="61" t="inlineStr">
        <is>
          <t>İdare cevabıyla kapsam dışı kalan kalemlerin RFQ'daki değeri (bilgi)</t>
        </is>
      </c>
      <c r="J133" s="23">
        <f>SUMPRODUCT(($K$5:$K$123="KAPSAM DIŞI (0)")*$E$5:$E$123*$I$5:$I$123)</f>
        <v/>
      </c>
    </row>
  </sheetData>
  <autoFilter ref="A4:M4"/>
  <mergeCells count="3">
    <mergeCell ref="A3:B3"/>
    <mergeCell ref="A2:M2"/>
    <mergeCell ref="C3:M3"/>
  </mergeCells>
  <pageMargins left="0.75" right="0.75" top="1" bottom="1" header="0.5" footer="0.5"/>
  <pageSetup orientation="landscape" fitToWidth="1"/>
</worksheet>
</file>

<file path=xl/worksheets/sheet11.xml><?xml version="1.0" encoding="utf-8"?>
<worksheet xmlns="http://schemas.openxmlformats.org/spreadsheetml/2006/main">
  <sheetPr>
    <tabColor rgb="007030A0"/>
    <outlinePr summaryBelow="0" summaryRight="1"/>
    <pageSetUpPr/>
  </sheetPr>
  <dimension ref="A1:M104"/>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2" customWidth="1" min="3" max="3"/>
    <col width="7" customWidth="1" min="4" max="4"/>
    <col width="12" customWidth="1" min="5" max="5"/>
    <col width="12" customWidth="1" min="6" max="6"/>
    <col width="11" customWidth="1" min="7" max="7"/>
    <col width="12" customWidth="1" min="8" max="8"/>
    <col width="13" customWidth="1" min="9" max="9"/>
    <col width="14" customWidth="1" min="10" max="10"/>
    <col width="17" customWidth="1" min="11" max="11"/>
    <col width="55" customWidth="1" min="12" max="12"/>
    <col width="40" customWidth="1" min="13" max="13"/>
  </cols>
  <sheetData>
    <row r="1">
      <c r="A1" s="1" t="inlineStr">
        <is>
          <t>5 ELEKTRİFİKASYON (B) – KATENER – Sıra 220–226</t>
        </is>
      </c>
    </row>
    <row r="2" ht="48" customHeight="1">
      <c r="A2" s="2" t="inlineStr">
        <is>
          <t>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is>
      </c>
    </row>
    <row r="3" ht="22" customHeight="1">
      <c r="A3" s="21" t="inlineStr">
        <is>
          <t>DİSİPLİN TOPLAMI →</t>
        </is>
      </c>
      <c r="C3" s="47">
        <f>"Kalem bazlı toplam: "&amp;TEXT(J96,"#,##0")&amp;" €   |   2026 teklif: "&amp;TEXT(K101,"0%")&amp;"   |   Geçmiş teklif uyarlaması: "&amp;TEXT(K102,"0%")&amp;"   |   Tahmin: "&amp;TEXT(K103,"0%")&amp;"   |   Kalem kalem görmek için sol kenardaki [+] / [1][2] düğmelerini kullanın"</f>
        <v/>
      </c>
    </row>
    <row r="4" ht="42" customHeight="1">
      <c r="A4" s="3" t="inlineStr">
        <is>
          <t>Sıra</t>
        </is>
      </c>
      <c r="B4" s="3" t="inlineStr">
        <is>
          <t>Poz</t>
        </is>
      </c>
      <c r="C4" s="3" t="inlineStr">
        <is>
          <t>Kalem / Alt kalem</t>
        </is>
      </c>
      <c r="D4" s="3" t="inlineStr">
        <is>
          <t>Birim</t>
        </is>
      </c>
      <c r="E4" s="3" t="inlineStr">
        <is>
          <t>Miktar (RFQ cetveli)</t>
        </is>
      </c>
      <c r="F4" s="3" t="inlineStr">
        <is>
          <t>Miktar (idare cevabına göre)</t>
        </is>
      </c>
      <c r="G4" s="3" t="inlineStr">
        <is>
          <t>Metraj payı geri alınan</t>
        </is>
      </c>
      <c r="H4" s="3" t="inlineStr">
        <is>
          <t>Net miktar (bütçe)</t>
        </is>
      </c>
      <c r="I4" s="3" t="inlineStr">
        <is>
          <t>Birim fiyat EUR (montaj dahil)</t>
        </is>
      </c>
      <c r="J4" s="3" t="inlineStr">
        <is>
          <t>Tutar EUR</t>
        </is>
      </c>
      <c r="K4" s="3" t="inlineStr">
        <is>
          <t>Fiyat türü</t>
        </is>
      </c>
      <c r="L4" s="3" t="inlineStr">
        <is>
          <t>Fiyat kaynağı / emsal (proje, firma, yıl, uyarlama)</t>
        </is>
      </c>
      <c r="M4" s="3" t="inlineStr">
        <is>
          <t>Not / düzeltme</t>
        </is>
      </c>
    </row>
    <row r="5">
      <c r="A5" s="48" t="inlineStr">
        <is>
          <t>220</t>
        </is>
      </c>
      <c r="B5" s="48" t="inlineStr">
        <is>
          <t>2012.A</t>
        </is>
      </c>
      <c r="C5" s="48" t="inlineStr">
        <is>
          <t>Hat Boyu ve Depo Bağlantı Hatları Katener Sistemi</t>
        </is>
      </c>
      <c r="D5" s="48" t="n"/>
      <c r="E5" s="48" t="n"/>
      <c r="F5" s="48" t="n"/>
      <c r="G5" s="48" t="n"/>
      <c r="H5" s="48" t="inlineStr">
        <is>
          <t>RFQ tutarı →</t>
        </is>
      </c>
      <c r="I5" s="49">
        <f>SUMPRODUCT(E6:E41,I6:I41)</f>
        <v/>
      </c>
      <c r="J5" s="49">
        <f>SUM(J6:J41)</f>
        <v/>
      </c>
      <c r="K5" s="48" t="n"/>
      <c r="L5" s="48" t="n"/>
      <c r="M5" s="48" t="n"/>
    </row>
    <row r="6" outlineLevel="1">
      <c r="A6" s="27" t="n"/>
      <c r="B6" s="27" t="inlineStr">
        <is>
          <t>2012.A</t>
        </is>
      </c>
      <c r="C6" s="7" t="inlineStr">
        <is>
          <t>Kontak teli 120 mm² Cu ETP (EN 50149, Ø13,2) – çekme dahil</t>
        </is>
      </c>
      <c r="D6" s="27" t="inlineStr">
        <is>
          <t>m</t>
        </is>
      </c>
      <c r="E6" s="50" t="n">
        <v>18748.5</v>
      </c>
      <c r="F6" s="54">
        <f>18748.5*Varsayimlar!$B$8</f>
        <v/>
      </c>
      <c r="G6" s="27" t="inlineStr">
        <is>
          <t>fire %10</t>
        </is>
      </c>
      <c r="H6" s="50">
        <f>F6/IF(Varsayimlar!$B$21=1,1.1,1)</f>
        <v/>
      </c>
      <c r="I6" s="51" t="n">
        <v>18</v>
      </c>
      <c r="J6" s="28">
        <f>H6*I6</f>
        <v/>
      </c>
      <c r="K6" s="52" t="inlineStr">
        <is>
          <t>GEÇMİŞ TEKLİF UYARLAMA</t>
        </is>
      </c>
      <c r="L6" s="7" t="inlineStr">
        <is>
          <t>REF-teyit – Kontak teli 120 Cu: İzmir Usluel 2014 16,09 M+İ, Kocaeli 13,43 → medyan 14,76; 2014→2026 Cu artışı HICP'yi ~%15 aşıyor → ~16,7; 18 teyit (Erbakır teklifi bekleniyor) [Emsal ID: R04113;R04287;R04697]</t>
        </is>
      </c>
      <c r="M6" s="7" t="inlineStr">
        <is>
          <t>Hat boyu 6,44/6,56 (Erbakır teklifi bekleniyor)</t>
        </is>
      </c>
    </row>
    <row r="7" outlineLevel="1">
      <c r="A7" s="27" t="n"/>
      <c r="B7" s="27" t="inlineStr">
        <is>
          <t>2012.A</t>
        </is>
      </c>
      <c r="C7" s="7" t="inlineStr">
        <is>
          <t>Destek iletkeni 2×120 mm² Cu (iletken metresi)</t>
        </is>
      </c>
      <c r="D7" s="27" t="inlineStr">
        <is>
          <t>m</t>
        </is>
      </c>
      <c r="E7" s="50" t="n">
        <v>37497</v>
      </c>
      <c r="F7" s="54">
        <f>37497*Varsayimlar!$B$8</f>
        <v/>
      </c>
      <c r="G7" s="27" t="inlineStr">
        <is>
          <t>fire %10</t>
        </is>
      </c>
      <c r="H7" s="50">
        <f>F7/IF(Varsayimlar!$B$21=1,1.1,1)</f>
        <v/>
      </c>
      <c r="I7" s="51" t="n">
        <v>16</v>
      </c>
      <c r="J7" s="28">
        <f>H7*I7</f>
        <v/>
      </c>
      <c r="K7" s="52" t="inlineStr">
        <is>
          <t>GEÇMİŞ TEKLİF UYARLAMA</t>
        </is>
      </c>
      <c r="L7" s="7" t="inlineStr">
        <is>
          <t>REF-teyit – Destek iletkeni: Kocaeli taşıyıcı tel 14,61, Usluel 150 mm² takviye 33,15 (izoleli/kalın) → 120 mm² çıplak 16 teyit [Emsal ID: R04288;R04114]</t>
        </is>
      </c>
      <c r="M7" s="7" t="inlineStr">
        <is>
          <t>Hat boyu oranı</t>
        </is>
      </c>
    </row>
    <row r="8" outlineLevel="1">
      <c r="A8" s="27" t="n"/>
      <c r="B8" s="27" t="inlineStr">
        <is>
          <t>2012.A</t>
        </is>
      </c>
      <c r="C8" s="7" t="inlineStr">
        <is>
          <t>Konsol hoban komplesi (çift yalıtımlı) – hat</t>
        </is>
      </c>
      <c r="D8" s="27" t="inlineStr">
        <is>
          <t>adet</t>
        </is>
      </c>
      <c r="E8" s="50" t="n">
        <v>358</v>
      </c>
      <c r="F8" s="50" t="n">
        <v>358</v>
      </c>
      <c r="G8" s="27" t="inlineStr">
        <is>
          <t>-</t>
        </is>
      </c>
      <c r="H8" s="50">
        <f>F8</f>
        <v/>
      </c>
      <c r="I8" s="51" t="n">
        <v>1116</v>
      </c>
      <c r="J8" s="28">
        <f>H8*I8</f>
        <v/>
      </c>
      <c r="K8" s="52" t="inlineStr">
        <is>
          <t>GEÇMİŞ TEKLİF UYARLAMA</t>
        </is>
      </c>
      <c r="L8" s="7" t="inlineStr">
        <is>
          <t>REF-teyit – Konsol-hoban: İzmir Usluel 2014 M+İ 1.116 (gerçek), Kocaeli keşif 825, BBR malzeme 465 (Usluel'in tedarikçisi) → 1.116 teyit [Emsal ID: R04118;R04289;R04201]</t>
        </is>
      </c>
      <c r="M8" s="7" t="inlineStr"/>
    </row>
    <row r="9" outlineLevel="1">
      <c r="A9" s="27" t="n"/>
      <c r="B9" s="27" t="inlineStr">
        <is>
          <t>2012.A</t>
        </is>
      </c>
      <c r="C9" s="7" t="inlineStr">
        <is>
          <t>Konsol hoban komplesi – depo bağlantı hattı</t>
        </is>
      </c>
      <c r="D9" s="27" t="inlineStr">
        <is>
          <t>adet</t>
        </is>
      </c>
      <c r="E9" s="50" t="n">
        <v>40</v>
      </c>
      <c r="F9" s="50" t="n">
        <v>40</v>
      </c>
      <c r="G9" s="27" t="inlineStr">
        <is>
          <t>-</t>
        </is>
      </c>
      <c r="H9" s="50">
        <f>F9</f>
        <v/>
      </c>
      <c r="I9" s="51" t="n">
        <v>1116</v>
      </c>
      <c r="J9" s="28">
        <f>H9*I9</f>
        <v/>
      </c>
      <c r="K9" s="52" t="inlineStr">
        <is>
          <t>GEÇMİŞ TEKLİF UYARLAMA</t>
        </is>
      </c>
      <c r="L9" s="7" t="inlineStr">
        <is>
          <t>REF-teyit – Konsol-hoban: İzmir Usluel 2014 M+İ 1.116 (gerçek), Kocaeli keşif 825, BBR malzeme 465 (Usluel'in tedarikçisi) → 1.116 teyit [Emsal ID: R04118;R04289;R04201]</t>
        </is>
      </c>
      <c r="M9" s="7" t="inlineStr"/>
    </row>
    <row r="10" outlineLevel="1">
      <c r="A10" s="27" t="n"/>
      <c r="B10" s="27" t="inlineStr">
        <is>
          <t>2012.A</t>
        </is>
      </c>
      <c r="C10" s="7" t="inlineStr">
        <is>
          <t>Otomatik gerdirme tertibatı (ağırlıklı, kontak + 2 destek)</t>
        </is>
      </c>
      <c r="D10" s="27" t="inlineStr">
        <is>
          <t>takım</t>
        </is>
      </c>
      <c r="E10" s="50" t="n">
        <v>48</v>
      </c>
      <c r="F10" s="50" t="n">
        <v>48</v>
      </c>
      <c r="G10" s="27" t="inlineStr">
        <is>
          <t>-</t>
        </is>
      </c>
      <c r="H10" s="50">
        <f>F10</f>
        <v/>
      </c>
      <c r="I10" s="51" t="n">
        <v>2500</v>
      </c>
      <c r="J10" s="28">
        <f>H10*I10</f>
        <v/>
      </c>
      <c r="K10" s="52" t="inlineStr">
        <is>
          <t>GEÇMİŞ TEKLİF UYARLAMA</t>
        </is>
      </c>
      <c r="L10" s="7" t="inlineStr">
        <is>
          <t>REF-teyit – Otomatik gergi: Usluel 2.506 M+İ, Kocaeli keşif 3.652, BBR 10 kN mlz 1.835 → 2.500 teyit [Emsal ID: R04122;R04297;R04207]</t>
        </is>
      </c>
      <c r="M10" s="7" t="inlineStr"/>
    </row>
    <row r="11" outlineLevel="1">
      <c r="A11" s="27" t="n"/>
      <c r="B11" s="27" t="inlineStr">
        <is>
          <t>2012.A</t>
        </is>
      </c>
      <c r="C11" s="7" t="inlineStr">
        <is>
          <t>Antişöminman (mid-point) düzenlemesi</t>
        </is>
      </c>
      <c r="D11" s="27" t="inlineStr">
        <is>
          <t>takım</t>
        </is>
      </c>
      <c r="E11" s="50" t="n">
        <v>24</v>
      </c>
      <c r="F11" s="50" t="n">
        <v>24</v>
      </c>
      <c r="G11" s="27" t="inlineStr">
        <is>
          <t>-</t>
        </is>
      </c>
      <c r="H11" s="50">
        <f>F11</f>
        <v/>
      </c>
      <c r="I11" s="51" t="n">
        <v>1164</v>
      </c>
      <c r="J11" s="28">
        <f>H11*I11</f>
        <v/>
      </c>
      <c r="K11" s="52" t="inlineStr">
        <is>
          <t>GEÇMİŞ TEKLİF UYARLAMA</t>
        </is>
      </c>
      <c r="L11" s="7" t="inlineStr">
        <is>
          <t>REF-teyit – Antişöminman: Usluel 1.164, Kocaeli 1.461, BBR mlz 726 → teyit [Emsal ID: R04125;R04292;R04216]</t>
        </is>
      </c>
      <c r="M11" s="7" t="inlineStr"/>
    </row>
    <row r="12" outlineLevel="1">
      <c r="A12" s="27" t="n"/>
      <c r="B12" s="27" t="inlineStr">
        <is>
          <t>2012.A</t>
        </is>
      </c>
      <c r="C12" s="7" t="inlineStr">
        <is>
          <t>Ankraj lentesi teçhizatı (ana hat)</t>
        </is>
      </c>
      <c r="D12" s="27" t="inlineStr">
        <is>
          <t>takım</t>
        </is>
      </c>
      <c r="E12" s="50" t="n">
        <v>66</v>
      </c>
      <c r="F12" s="54" t="n">
        <v>0</v>
      </c>
      <c r="G12" s="27" t="inlineStr">
        <is>
          <t>-</t>
        </is>
      </c>
      <c r="H12" s="50">
        <f>F12</f>
        <v/>
      </c>
      <c r="I12" s="51" t="n">
        <v>485</v>
      </c>
      <c r="J12" s="28">
        <f>H12*I12</f>
        <v/>
      </c>
      <c r="K12" s="55" t="inlineStr">
        <is>
          <t>KAPSAM DIŞI (0)</t>
        </is>
      </c>
      <c r="L12" s="7" t="inlineStr">
        <is>
          <t>REF-teyit – R03589 Başkentray/Usluel 2012 484.69 (çiftli lente (2012, banliyö)) | tek emsal 484.69, sapma -0.1% → teyit [Emsal ID: R03589]</t>
        </is>
      </c>
      <c r="M12" s="7" t="inlineStr">
        <is>
          <t>İdare soru 6: ana hatta lente yok</t>
        </is>
      </c>
    </row>
    <row r="13" outlineLevel="1">
      <c r="A13" s="27" t="n"/>
      <c r="B13" s="27" t="inlineStr">
        <is>
          <t>2012.A</t>
        </is>
      </c>
      <c r="C13" s="7" t="inlineStr">
        <is>
          <t>Ankraj lentesi temeli – kazı (ana hat)</t>
        </is>
      </c>
      <c r="D13" s="27" t="inlineStr">
        <is>
          <t>m³</t>
        </is>
      </c>
      <c r="E13" s="50" t="n">
        <v>1014.8</v>
      </c>
      <c r="F13" s="54" t="n">
        <v>0</v>
      </c>
      <c r="G13" s="27" t="inlineStr">
        <is>
          <t>-</t>
        </is>
      </c>
      <c r="H13" s="50">
        <f>F13</f>
        <v/>
      </c>
      <c r="I13" s="51" t="n">
        <v>8</v>
      </c>
      <c r="J13" s="28">
        <f>H13*I13</f>
        <v/>
      </c>
      <c r="K13" s="55" t="inlineStr">
        <is>
          <t>KAPSAM DIŞI (0)</t>
        </is>
      </c>
      <c r="L13" s="7" t="inlineStr">
        <is>
          <t>TAHMIN (emsal yok) – emsal bulunamadı; mevcut tahmin korundu</t>
        </is>
      </c>
      <c r="M13" s="7" t="inlineStr">
        <is>
          <t>İdare soru 6</t>
        </is>
      </c>
    </row>
    <row r="14" outlineLevel="1">
      <c r="A14" s="27" t="n"/>
      <c r="B14" s="27" t="inlineStr">
        <is>
          <t>2012.A</t>
        </is>
      </c>
      <c r="C14" s="7" t="inlineStr">
        <is>
          <t>Ankraj lentesi temeli – grobeton C16</t>
        </is>
      </c>
      <c r="D14" s="27" t="inlineStr">
        <is>
          <t>m³</t>
        </is>
      </c>
      <c r="E14" s="50" t="n">
        <v>48.1</v>
      </c>
      <c r="F14" s="54" t="n">
        <v>0</v>
      </c>
      <c r="G14" s="27" t="inlineStr">
        <is>
          <t>-</t>
        </is>
      </c>
      <c r="H14" s="50">
        <f>F14</f>
        <v/>
      </c>
      <c r="I14" s="51" t="n">
        <v>75</v>
      </c>
      <c r="J14" s="28">
        <f>H14*I14</f>
        <v/>
      </c>
      <c r="K14" s="55" t="inlineStr">
        <is>
          <t>KAPSAM DIŞI (0)</t>
        </is>
      </c>
      <c r="L14" s="7" t="inlineStr">
        <is>
          <t>TAHMIN (emsal yok) – emsal bulunamadı; mevcut tahmin korundu</t>
        </is>
      </c>
      <c r="M14" s="7" t="inlineStr">
        <is>
          <t>İdare soru 6</t>
        </is>
      </c>
    </row>
    <row r="15" outlineLevel="1">
      <c r="A15" s="27" t="n"/>
      <c r="B15" s="27" t="inlineStr">
        <is>
          <t>2012.A</t>
        </is>
      </c>
      <c r="C15" s="7" t="inlineStr">
        <is>
          <t>Ankraj lentesi temeli – C25/30 beton</t>
        </is>
      </c>
      <c r="D15" s="27" t="inlineStr">
        <is>
          <t>m³</t>
        </is>
      </c>
      <c r="E15" s="50" t="n">
        <v>618.8</v>
      </c>
      <c r="F15" s="54" t="n">
        <v>0</v>
      </c>
      <c r="G15" s="27" t="inlineStr">
        <is>
          <t>-</t>
        </is>
      </c>
      <c r="H15" s="50">
        <f>F15</f>
        <v/>
      </c>
      <c r="I15" s="51" t="n">
        <v>95</v>
      </c>
      <c r="J15" s="28">
        <f>H15*I15</f>
        <v/>
      </c>
      <c r="K15" s="55" t="inlineStr">
        <is>
          <t>KAPSAM DIŞI (0)</t>
        </is>
      </c>
      <c r="L15" s="7" t="inlineStr">
        <is>
          <t>TAHMIN (emsal yok) – emsal bulunamadı; mevcut tahmin korundu</t>
        </is>
      </c>
      <c r="M15" s="7" t="inlineStr">
        <is>
          <t>İdare soru 6</t>
        </is>
      </c>
    </row>
    <row r="16" outlineLevel="1">
      <c r="A16" s="27" t="n"/>
      <c r="B16" s="27" t="inlineStr">
        <is>
          <t>2012.A</t>
        </is>
      </c>
      <c r="C16" s="7" t="inlineStr">
        <is>
          <t>Ankraj lentesi temeli – kalıp</t>
        </is>
      </c>
      <c r="D16" s="27" t="inlineStr">
        <is>
          <t>m²</t>
        </is>
      </c>
      <c r="E16" s="50" t="n">
        <v>990</v>
      </c>
      <c r="F16" s="54" t="n">
        <v>0</v>
      </c>
      <c r="G16" s="27" t="inlineStr">
        <is>
          <t>-</t>
        </is>
      </c>
      <c r="H16" s="50">
        <f>F16</f>
        <v/>
      </c>
      <c r="I16" s="51" t="n">
        <v>15</v>
      </c>
      <c r="J16" s="28">
        <f>H16*I16</f>
        <v/>
      </c>
      <c r="K16" s="55" t="inlineStr">
        <is>
          <t>KAPSAM DIŞI (0)</t>
        </is>
      </c>
      <c r="L16" s="7" t="inlineStr">
        <is>
          <t>TAHMIN (emsal yok) – emsal bulunamadı; mevcut tahmin korundu</t>
        </is>
      </c>
      <c r="M16" s="7" t="inlineStr">
        <is>
          <t>İdare soru 6</t>
        </is>
      </c>
    </row>
    <row r="17" outlineLevel="1">
      <c r="A17" s="27" t="n"/>
      <c r="B17" s="27" t="inlineStr">
        <is>
          <t>2012.A</t>
        </is>
      </c>
      <c r="C17" s="7" t="inlineStr">
        <is>
          <t>Ankraj lentesi temeli – donatı B500C</t>
        </is>
      </c>
      <c r="D17" s="27" t="inlineStr">
        <is>
          <t>kg</t>
        </is>
      </c>
      <c r="E17" s="50" t="n">
        <v>37125</v>
      </c>
      <c r="F17" s="54" t="n">
        <v>0</v>
      </c>
      <c r="G17" s="27" t="inlineStr">
        <is>
          <t>-</t>
        </is>
      </c>
      <c r="H17" s="50">
        <f>F17</f>
        <v/>
      </c>
      <c r="I17" s="51" t="n">
        <v>0.9</v>
      </c>
      <c r="J17" s="28">
        <f>H17*I17</f>
        <v/>
      </c>
      <c r="K17" s="55" t="inlineStr">
        <is>
          <t>KAPSAM DIŞI (0)</t>
        </is>
      </c>
      <c r="L17" s="7" t="inlineStr">
        <is>
          <t>TAHMIN (emsal yok) – emsal bulunamadı; mevcut tahmin korundu</t>
        </is>
      </c>
      <c r="M17" s="7" t="inlineStr">
        <is>
          <t>İdare soru 6</t>
        </is>
      </c>
    </row>
    <row r="18" outlineLevel="1">
      <c r="A18" s="27" t="n"/>
      <c r="B18" s="27" t="inlineStr">
        <is>
          <t>2012.A</t>
        </is>
      </c>
      <c r="C18" s="7" t="inlineStr">
        <is>
          <t>Ankraj lentesi temeli – ankraj çubuğu/gömme plaka M36</t>
        </is>
      </c>
      <c r="D18" s="27" t="inlineStr">
        <is>
          <t>takım</t>
        </is>
      </c>
      <c r="E18" s="50" t="n">
        <v>66</v>
      </c>
      <c r="F18" s="54" t="n">
        <v>0</v>
      </c>
      <c r="G18" s="27" t="inlineStr">
        <is>
          <t>-</t>
        </is>
      </c>
      <c r="H18" s="50">
        <f>F18</f>
        <v/>
      </c>
      <c r="I18" s="51" t="n">
        <v>250</v>
      </c>
      <c r="J18" s="28">
        <f>H18*I18</f>
        <v/>
      </c>
      <c r="K18" s="55" t="inlineStr">
        <is>
          <t>KAPSAM DIŞI (0)</t>
        </is>
      </c>
      <c r="L18" s="7" t="inlineStr">
        <is>
          <t>TAHMIN (emsal yok) – emsal bulunamadı; mevcut tahmin korundu</t>
        </is>
      </c>
      <c r="M18" s="7" t="inlineStr">
        <is>
          <t>İdare soru 6</t>
        </is>
      </c>
    </row>
    <row r="19" outlineLevel="1">
      <c r="A19" s="27" t="n"/>
      <c r="B19" s="27" t="inlineStr">
        <is>
          <t>2012.A</t>
        </is>
      </c>
      <c r="C19" s="7" t="inlineStr">
        <is>
          <t>Ankraj lentesi temeli – geri dolgu</t>
        </is>
      </c>
      <c r="D19" s="27" t="inlineStr">
        <is>
          <t>m³</t>
        </is>
      </c>
      <c r="E19" s="50" t="n">
        <v>348</v>
      </c>
      <c r="F19" s="54" t="n">
        <v>0</v>
      </c>
      <c r="G19" s="27" t="inlineStr">
        <is>
          <t>-</t>
        </is>
      </c>
      <c r="H19" s="50">
        <f>F19</f>
        <v/>
      </c>
      <c r="I19" s="51" t="n">
        <v>6</v>
      </c>
      <c r="J19" s="28">
        <f>H19*I19</f>
        <v/>
      </c>
      <c r="K19" s="55" t="inlineStr">
        <is>
          <t>KAPSAM DIŞI (0)</t>
        </is>
      </c>
      <c r="L19" s="7" t="inlineStr">
        <is>
          <t>TAHMIN (emsal yok) – emsal bulunamadı; mevcut tahmin korundu</t>
        </is>
      </c>
      <c r="M19" s="7" t="inlineStr">
        <is>
          <t>İdare soru 6</t>
        </is>
      </c>
    </row>
    <row r="20" outlineLevel="1">
      <c r="A20" s="27" t="n"/>
      <c r="B20" s="27" t="inlineStr">
        <is>
          <t>2012.A</t>
        </is>
      </c>
      <c r="C20" s="7" t="inlineStr">
        <is>
          <t>Ankraj direk başı bağlantı (ankraj konsolu, gergi klemensi)</t>
        </is>
      </c>
      <c r="D20" s="27" t="inlineStr">
        <is>
          <t>adet</t>
        </is>
      </c>
      <c r="E20" s="50" t="n">
        <v>78</v>
      </c>
      <c r="F20" s="50" t="n">
        <v>78</v>
      </c>
      <c r="G20" s="27" t="inlineStr">
        <is>
          <t>-</t>
        </is>
      </c>
      <c r="H20" s="50">
        <f>F20</f>
        <v/>
      </c>
      <c r="I20" s="51" t="n">
        <v>459</v>
      </c>
      <c r="J20" s="28">
        <f>H20*I20</f>
        <v/>
      </c>
      <c r="K20" s="52" t="inlineStr">
        <is>
          <t>GEÇMİŞ TEKLİF UYARLAMA</t>
        </is>
      </c>
      <c r="L20" s="7" t="inlineStr">
        <is>
          <t>REF-derin – Ankraj/sabit hat sonu: Usluel fiks gergi 517, Kocaeli sabit gerdirmeli hat sonu 401 → medyan 459 (BBR mlz 352); mevcut 600 hafif yüksek [Emsal ID: R04123;R04295;R04215]</t>
        </is>
      </c>
      <c r="M20" s="7" t="inlineStr">
        <is>
          <t>Lentesiz ankraj: T3-D direkleri | İlk tahmin BF 600.00</t>
        </is>
      </c>
    </row>
    <row r="21" outlineLevel="1">
      <c r="A21" s="27" t="n"/>
      <c r="B21" s="27" t="inlineStr">
        <is>
          <t>2012.A</t>
        </is>
      </c>
      <c r="C21" s="7" t="inlineStr">
        <is>
          <t>Hava aralıklı overlap (mekanik, izolesiz)</t>
        </is>
      </c>
      <c r="D21" s="27" t="inlineStr">
        <is>
          <t>adet</t>
        </is>
      </c>
      <c r="E21" s="50" t="n">
        <v>12</v>
      </c>
      <c r="F21" s="50" t="n">
        <v>12</v>
      </c>
      <c r="G21" s="27" t="inlineStr">
        <is>
          <t>-</t>
        </is>
      </c>
      <c r="H21" s="50">
        <f>F21</f>
        <v/>
      </c>
      <c r="I21" s="51" t="n">
        <v>3000</v>
      </c>
      <c r="J21" s="28">
        <f>H21*I21</f>
        <v/>
      </c>
      <c r="K21" s="53" t="inlineStr">
        <is>
          <t>MÜHENDİSLİK TAHMİNİ</t>
        </is>
      </c>
      <c r="L21" s="7" t="inlineStr">
        <is>
          <t>TAHMIN (emsal yok) – Uygun emsal yok; mevcut tahmin korundu</t>
        </is>
      </c>
      <c r="M21" s="7" t="inlineStr"/>
    </row>
    <row r="22" outlineLevel="1">
      <c r="A22" s="27" t="n"/>
      <c r="B22" s="27" t="inlineStr">
        <is>
          <t>2012.A</t>
        </is>
      </c>
      <c r="C22" s="7" t="inlineStr">
        <is>
          <t>Hava aralıklı izoleli seksiyon overlap (TM önü)</t>
        </is>
      </c>
      <c r="D22" s="27" t="inlineStr">
        <is>
          <t>adet</t>
        </is>
      </c>
      <c r="E22" s="50" t="n">
        <v>10</v>
      </c>
      <c r="F22" s="50" t="n">
        <v>10</v>
      </c>
      <c r="G22" s="27" t="inlineStr">
        <is>
          <t>-</t>
        </is>
      </c>
      <c r="H22" s="50">
        <f>F22</f>
        <v/>
      </c>
      <c r="I22" s="51" t="n">
        <v>4000</v>
      </c>
      <c r="J22" s="28">
        <f>H22*I22</f>
        <v/>
      </c>
      <c r="K22" s="53" t="inlineStr">
        <is>
          <t>MÜHENDİSLİK TAHMİNİ</t>
        </is>
      </c>
      <c r="L22" s="7" t="inlineStr">
        <is>
          <t>TAHMIN (emsal yok) – Uygun emsal yok; mevcut tahmin korundu</t>
        </is>
      </c>
      <c r="M22" s="7" t="inlineStr"/>
    </row>
    <row r="23" outlineLevel="1">
      <c r="A23" s="27" t="n"/>
      <c r="B23" s="27" t="inlineStr">
        <is>
          <t>2012.A</t>
        </is>
      </c>
      <c r="C23" s="7" t="inlineStr">
        <is>
          <t>Makas bölgesi hava makası</t>
        </is>
      </c>
      <c r="D23" s="27" t="inlineStr">
        <is>
          <t>adet</t>
        </is>
      </c>
      <c r="E23" s="50" t="n">
        <v>16</v>
      </c>
      <c r="F23" s="50" t="n">
        <v>16</v>
      </c>
      <c r="G23" s="27" t="inlineStr">
        <is>
          <t>-</t>
        </is>
      </c>
      <c r="H23" s="50">
        <f>F23</f>
        <v/>
      </c>
      <c r="I23" s="51" t="n">
        <v>2500</v>
      </c>
      <c r="J23" s="28">
        <f>H23*I23</f>
        <v/>
      </c>
      <c r="K23" s="53" t="inlineStr">
        <is>
          <t>MÜHENDİSLİK TAHMİNİ</t>
        </is>
      </c>
      <c r="L23" s="7" t="inlineStr">
        <is>
          <t>TAHMIN (emsal yok) – Uygun emsal yok; mevcut tahmin korundu</t>
        </is>
      </c>
      <c r="M23" s="7" t="inlineStr"/>
    </row>
    <row r="24" outlineLevel="1">
      <c r="A24" s="27" t="n"/>
      <c r="B24" s="27" t="inlineStr">
        <is>
          <t>2012.A</t>
        </is>
      </c>
      <c r="C24" s="7" t="inlineStr">
        <is>
          <t>Kruvazman katener kesişmesi</t>
        </is>
      </c>
      <c r="D24" s="27" t="inlineStr">
        <is>
          <t>adet</t>
        </is>
      </c>
      <c r="E24" s="50" t="n">
        <v>2</v>
      </c>
      <c r="F24" s="50" t="n">
        <v>2</v>
      </c>
      <c r="G24" s="27" t="inlineStr">
        <is>
          <t>-</t>
        </is>
      </c>
      <c r="H24" s="50">
        <f>F24</f>
        <v/>
      </c>
      <c r="I24" s="51" t="n">
        <v>5000</v>
      </c>
      <c r="J24" s="28">
        <f>H24*I24</f>
        <v/>
      </c>
      <c r="K24" s="53" t="inlineStr">
        <is>
          <t>MÜHENDİSLİK TAHMİNİ</t>
        </is>
      </c>
      <c r="L24" s="7" t="inlineStr">
        <is>
          <t>TAHMIN (emsal yok) – Uygun emsal yok; mevcut tahmin korundu</t>
        </is>
      </c>
      <c r="M24" s="7" t="inlineStr"/>
    </row>
    <row r="25" outlineLevel="1">
      <c r="A25" s="27" t="n"/>
      <c r="B25" s="27" t="inlineStr">
        <is>
          <t>2012.A</t>
        </is>
      </c>
      <c r="C25" s="7" t="inlineStr">
        <is>
          <t>Yaylı gerdirme tertibatı (makas diyagonalleri)</t>
        </is>
      </c>
      <c r="D25" s="27" t="inlineStr">
        <is>
          <t>takım</t>
        </is>
      </c>
      <c r="E25" s="50" t="n">
        <v>12</v>
      </c>
      <c r="F25" s="50" t="n">
        <v>12</v>
      </c>
      <c r="G25" s="27" t="inlineStr">
        <is>
          <t>-</t>
        </is>
      </c>
      <c r="H25" s="50">
        <f>F25</f>
        <v/>
      </c>
      <c r="I25" s="51" t="n">
        <v>1140</v>
      </c>
      <c r="J25" s="28">
        <f>H25*I25</f>
        <v/>
      </c>
      <c r="K25" s="52" t="inlineStr">
        <is>
          <t>GEÇMİŞ TEKLİF UYARLAMA</t>
        </is>
      </c>
      <c r="L25" s="7" t="inlineStr">
        <is>
          <t>REF-derin – Yaylı gergi: Usluel 1.148 M+İ, BBR 871 mlz +%30 montaj=1.133 → medyan 1.140; Kocaeli keşif 1.814 iç tahmin, dışlandı [Emsal ID: R04124;R04217;R04296]</t>
        </is>
      </c>
      <c r="M25" s="7" t="inlineStr">
        <is>
          <t>İlk tahmin BF 1,481.00</t>
        </is>
      </c>
    </row>
    <row r="26" outlineLevel="1">
      <c r="A26" s="27" t="n"/>
      <c r="B26" s="27" t="inlineStr">
        <is>
          <t>2012.A</t>
        </is>
      </c>
      <c r="C26" s="7" t="inlineStr">
        <is>
          <t>Seksiyon izolatörü ünitesi</t>
        </is>
      </c>
      <c r="D26" s="27" t="inlineStr">
        <is>
          <t>adet</t>
        </is>
      </c>
      <c r="E26" s="50" t="n">
        <v>8</v>
      </c>
      <c r="F26" s="50" t="n">
        <v>8</v>
      </c>
      <c r="G26" s="27" t="inlineStr">
        <is>
          <t>-</t>
        </is>
      </c>
      <c r="H26" s="50">
        <f>F26</f>
        <v/>
      </c>
      <c r="I26" s="51" t="n">
        <v>2070</v>
      </c>
      <c r="J26" s="28">
        <f>H26*I26</f>
        <v/>
      </c>
      <c r="K26" s="52" t="inlineStr">
        <is>
          <t>GEÇMİŞ TEKLİF UYARLAMA</t>
        </is>
      </c>
      <c r="L26" s="7" t="inlineStr">
        <is>
          <t>REF-teyit – Seksiyon izolatörü: Usluel 2.070 M+İ (gerçek), Kocaeli keşif 1.343 → 2.070 teyit (DeSA/Flury teklifi bekleniyor) [Emsal ID: R04126;R04298]</t>
        </is>
      </c>
      <c r="M26" s="7" t="inlineStr">
        <is>
          <t>DeSA / Arthur Flury teklifi bekleniyor</t>
        </is>
      </c>
    </row>
    <row r="27" outlineLevel="1">
      <c r="A27" s="27" t="n"/>
      <c r="B27" s="27" t="inlineStr">
        <is>
          <t>2012.A</t>
        </is>
      </c>
      <c r="C27" s="7" t="inlineStr">
        <is>
          <t>Motorlu yük ayırıcı 4000 A DC, direk tipi, SCADA arabirimli</t>
        </is>
      </c>
      <c r="D27" s="27" t="inlineStr">
        <is>
          <t>adet</t>
        </is>
      </c>
      <c r="E27" s="50" t="n">
        <v>13</v>
      </c>
      <c r="F27" s="50" t="n">
        <v>13</v>
      </c>
      <c r="G27" s="27" t="inlineStr">
        <is>
          <t>-</t>
        </is>
      </c>
      <c r="H27" s="50">
        <f>F27</f>
        <v/>
      </c>
      <c r="I27" s="51" t="n">
        <v>6288</v>
      </c>
      <c r="J27" s="28">
        <f>H27*I27</f>
        <v/>
      </c>
      <c r="K27" s="52" t="inlineStr">
        <is>
          <t>GEÇMİŞ TEKLİF UYARLAMA</t>
        </is>
      </c>
      <c r="L27" s="7" t="inlineStr">
        <is>
          <t>REF-derin – Motorlu direk ayırıcı: BBR 2014 mlz 7.963 +%10 montaj=8.759, Kocaeli 3.817 → medyan 6.288 (Samsun 2008 5.768) [Emsal ID: R04227;R04303;R04714]</t>
        </is>
      </c>
      <c r="M27" s="7" t="inlineStr">
        <is>
          <t>İlk tahmin BF 6,000.00</t>
        </is>
      </c>
    </row>
    <row r="28" outlineLevel="1">
      <c r="A28" s="27" t="n"/>
      <c r="B28" s="27" t="inlineStr">
        <is>
          <t>2012.A</t>
        </is>
      </c>
      <c r="C28" s="7" t="inlineStr">
        <is>
          <t>Aşırı gerilim koruyucu VLD (ray–direk)</t>
        </is>
      </c>
      <c r="D28" s="27" t="inlineStr">
        <is>
          <t>adet</t>
        </is>
      </c>
      <c r="E28" s="50" t="n">
        <v>13</v>
      </c>
      <c r="F28" s="50" t="n">
        <v>13</v>
      </c>
      <c r="G28" s="27" t="inlineStr">
        <is>
          <t>-</t>
        </is>
      </c>
      <c r="H28" s="50">
        <f>F28</f>
        <v/>
      </c>
      <c r="I28" s="51" t="n">
        <v>822</v>
      </c>
      <c r="J28" s="28">
        <f>H28*I28</f>
        <v/>
      </c>
      <c r="K28" s="52" t="inlineStr">
        <is>
          <t>GEÇMİŞ TEKLİF UYARLAMA</t>
        </is>
      </c>
      <c r="L28" s="7" t="inlineStr">
        <is>
          <t>REF-derin – VLD/aşırı gerilim koruma: Samsun 2008 594, İzmir Usluel 2014 1.051 → medyan 822 (mevcut eski Samsun fiyatı, DÜŞÜK) [Emsal ID: R04719;R04175]</t>
        </is>
      </c>
      <c r="M28" s="7" t="inlineStr">
        <is>
          <t>İlk tahmin BF 594.00</t>
        </is>
      </c>
    </row>
    <row r="29" outlineLevel="1">
      <c r="A29" s="27" t="n"/>
      <c r="B29" s="27" t="inlineStr">
        <is>
          <t>2012.A</t>
        </is>
      </c>
      <c r="C29" s="7" t="inlineStr">
        <is>
          <t>Besleme (fider) bağlantı düzeneği (bara izolatörü, 1×300 çıkış)</t>
        </is>
      </c>
      <c r="D29" s="27" t="inlineStr">
        <is>
          <t>takım</t>
        </is>
      </c>
      <c r="E29" s="50" t="n">
        <v>16</v>
      </c>
      <c r="F29" s="50" t="n">
        <v>16</v>
      </c>
      <c r="G29" s="27" t="inlineStr">
        <is>
          <t>-</t>
        </is>
      </c>
      <c r="H29" s="50">
        <f>F29</f>
        <v/>
      </c>
      <c r="I29" s="51" t="n">
        <v>837</v>
      </c>
      <c r="J29" s="28">
        <f>H29*I29</f>
        <v/>
      </c>
      <c r="K29" s="52" t="inlineStr">
        <is>
          <t>GEÇMİŞ TEKLİF UYARLAMA</t>
        </is>
      </c>
      <c r="L29" s="7" t="inlineStr">
        <is>
          <t>REF-derin – Besleme bağlantısı: Usluel takviye-katener bağlantısı 461, besleme noktası 1.213 → medyan 837; mevcut 1.500 YÜKSEK (Kocaeli 106, BBR 199) [Emsal ID: R04116;R04143;R04294;R04242]</t>
        </is>
      </c>
      <c r="M29" s="7" t="inlineStr">
        <is>
          <t>İlk tahmin BF 1,500.00</t>
        </is>
      </c>
    </row>
    <row r="30" outlineLevel="1">
      <c r="A30" s="27" t="n"/>
      <c r="B30" s="27" t="inlineStr">
        <is>
          <t>2012.A</t>
        </is>
      </c>
      <c r="C30" s="7" t="inlineStr">
        <is>
          <t>Parafudr 1 kV DC 10 kA + toprak elektrodu</t>
        </is>
      </c>
      <c r="D30" s="27" t="inlineStr">
        <is>
          <t>takım</t>
        </is>
      </c>
      <c r="E30" s="50" t="n">
        <v>20</v>
      </c>
      <c r="F30" s="50" t="n">
        <v>20</v>
      </c>
      <c r="G30" s="27" t="inlineStr">
        <is>
          <t>-</t>
        </is>
      </c>
      <c r="H30" s="50">
        <f>F30</f>
        <v/>
      </c>
      <c r="I30" s="51" t="n">
        <v>1326</v>
      </c>
      <c r="J30" s="28">
        <f>H30*I30</f>
        <v/>
      </c>
      <c r="K30" s="52" t="inlineStr">
        <is>
          <t>GEÇMİŞ TEKLİF UYARLAMA</t>
        </is>
      </c>
      <c r="L30" s="7" t="inlineStr">
        <is>
          <t>REF-derin – Düzeltme: kalem toprak elektrodu içeriyor → Usluel parafudr 744 + topraklama elektrodu 582 = 1.326 (Kocaeli sistem 518) [Emsal ID: R04127;R04128;R04299]</t>
        </is>
      </c>
      <c r="M30" s="7" t="inlineStr">
        <is>
          <t>İlk tahmin BF 744.00</t>
        </is>
      </c>
    </row>
    <row r="31" outlineLevel="1">
      <c r="A31" s="27" t="n"/>
      <c r="B31" s="27" t="inlineStr">
        <is>
          <t>2012.A</t>
        </is>
      </c>
      <c r="C31" s="7" t="inlineStr">
        <is>
          <t>Akım köprüsü 95 mm² örgülü Cu</t>
        </is>
      </c>
      <c r="D31" s="27" t="inlineStr">
        <is>
          <t>adet</t>
        </is>
      </c>
      <c r="E31" s="50" t="n">
        <v>59</v>
      </c>
      <c r="F31" s="50" t="n">
        <v>59</v>
      </c>
      <c r="G31" s="27" t="inlineStr">
        <is>
          <t>-</t>
        </is>
      </c>
      <c r="H31" s="50">
        <f>F31</f>
        <v/>
      </c>
      <c r="I31" s="51" t="n">
        <v>461</v>
      </c>
      <c r="J31" s="28">
        <f>H31*I31</f>
        <v/>
      </c>
      <c r="K31" s="52" t="inlineStr">
        <is>
          <t>GEÇMİŞ TEKLİF UYARLAMA</t>
        </is>
      </c>
      <c r="L31" s="7" t="inlineStr">
        <is>
          <t>REF-teyit – Usluel takviye-katener elektriksel bağlantı 461 teyit [Emsal ID: R04116]</t>
        </is>
      </c>
      <c r="M31" s="7" t="inlineStr"/>
    </row>
    <row r="32" outlineLevel="1">
      <c r="A32" s="27" t="n"/>
      <c r="B32" s="27" t="inlineStr">
        <is>
          <t>2012.A</t>
        </is>
      </c>
      <c r="C32" s="7" t="inlineStr">
        <is>
          <t>Elektriksel jumper seti 95 mm²</t>
        </is>
      </c>
      <c r="D32" s="27" t="inlineStr">
        <is>
          <t>adet</t>
        </is>
      </c>
      <c r="E32" s="50" t="n">
        <v>44</v>
      </c>
      <c r="F32" s="50" t="n">
        <v>44</v>
      </c>
      <c r="G32" s="27" t="inlineStr">
        <is>
          <t>-</t>
        </is>
      </c>
      <c r="H32" s="50">
        <f>F32</f>
        <v/>
      </c>
      <c r="I32" s="51" t="n">
        <v>299</v>
      </c>
      <c r="J32" s="28">
        <f>H32*I32</f>
        <v/>
      </c>
      <c r="K32" s="52" t="inlineStr">
        <is>
          <t>GEÇMİŞ TEKLİF UYARLAMA</t>
        </is>
      </c>
      <c r="L32" s="7" t="inlineStr">
        <is>
          <t>REF-teyit – Usluel 95 mm² esnek bağlantı 299 teyit [Emsal ID: R04115]</t>
        </is>
      </c>
      <c r="M32" s="7" t="inlineStr"/>
    </row>
    <row r="33" outlineLevel="1">
      <c r="A33" s="27" t="n"/>
      <c r="B33" s="27" t="inlineStr">
        <is>
          <t>2012.A</t>
        </is>
      </c>
      <c r="C33" s="7" t="inlineStr">
        <is>
          <t>95 mm² örgülü esnek Cu iletken</t>
        </is>
      </c>
      <c r="D33" s="27" t="inlineStr">
        <is>
          <t>m</t>
        </is>
      </c>
      <c r="E33" s="50" t="n">
        <v>339.9</v>
      </c>
      <c r="F33" s="50" t="n">
        <v>339.9</v>
      </c>
      <c r="G33" s="27" t="inlineStr">
        <is>
          <t>fire %10</t>
        </is>
      </c>
      <c r="H33" s="50">
        <f>F33/IF(Varsayimlar!$B$21=1,1.1,1)</f>
        <v/>
      </c>
      <c r="I33" s="51" t="n">
        <v>19.4</v>
      </c>
      <c r="J33" s="28">
        <f>H33*I33</f>
        <v/>
      </c>
      <c r="K33" s="52" t="inlineStr">
        <is>
          <t>GEÇMİŞ TEKLİF UYARLAMA</t>
        </is>
      </c>
      <c r="L33" s="7" t="inlineStr">
        <is>
          <t>REF-derin(1) – 120 mm² örgülü Cu 12,37 mlz → 95 mm² 9,79 +%40 montaj=13,71; esnek tip primi için mevcut 25 ile ort. 19,36 [Emsal ID: R00792]</t>
        </is>
      </c>
      <c r="M33" s="7" t="inlineStr">
        <is>
          <t>İlk tahmin BF 25.00</t>
        </is>
      </c>
    </row>
    <row r="34" outlineLevel="1">
      <c r="A34" s="27" t="n"/>
      <c r="B34" s="27" t="inlineStr">
        <is>
          <t>2012.A</t>
        </is>
      </c>
      <c r="C34" s="7" t="inlineStr">
        <is>
          <t>Gömülü destek iletkeni 150 mm² Cu</t>
        </is>
      </c>
      <c r="D34" s="27" t="inlineStr">
        <is>
          <t>m</t>
        </is>
      </c>
      <c r="E34" s="50" t="n">
        <v>246.4</v>
      </c>
      <c r="F34" s="50" t="n">
        <v>246.4</v>
      </c>
      <c r="G34" s="27" t="inlineStr">
        <is>
          <t>fire %10</t>
        </is>
      </c>
      <c r="H34" s="50">
        <f>F34/IF(Varsayimlar!$B$21=1,1.1,1)</f>
        <v/>
      </c>
      <c r="I34" s="51" t="n">
        <v>36.6</v>
      </c>
      <c r="J34" s="28">
        <f>H34*I34</f>
        <v/>
      </c>
      <c r="K34" s="52" t="inlineStr">
        <is>
          <t>GEÇMİŞ TEKLİF UYARLAMA</t>
        </is>
      </c>
      <c r="L34" s="7" t="inlineStr">
        <is>
          <t>REF-derin(1) – Usluel 150 mm² Cu takviye 2014 33,15 +%15 Cu fiyat farkı=38,12; mevcut 35 ile ort. 36,56 [Emsal ID: R04114]</t>
        </is>
      </c>
      <c r="M34" s="7" t="inlineStr">
        <is>
          <t>İlk tahmin BF 35.00</t>
        </is>
      </c>
    </row>
    <row r="35" outlineLevel="1">
      <c r="A35" s="27" t="n"/>
      <c r="B35" s="27" t="inlineStr">
        <is>
          <t>2012.A</t>
        </is>
      </c>
      <c r="C35" s="7" t="inlineStr">
        <is>
          <t>Destek iletkeni ekleri, pabuçlar, direk çıkış aparatları</t>
        </is>
      </c>
      <c r="D35" s="27" t="inlineStr">
        <is>
          <t>adet</t>
        </is>
      </c>
      <c r="E35" s="50" t="n">
        <v>16</v>
      </c>
      <c r="F35" s="50" t="n">
        <v>16</v>
      </c>
      <c r="G35" s="27" t="inlineStr">
        <is>
          <t>-</t>
        </is>
      </c>
      <c r="H35" s="50">
        <f>F35</f>
        <v/>
      </c>
      <c r="I35" s="51" t="n">
        <v>150</v>
      </c>
      <c r="J35" s="28">
        <f>H35*I35</f>
        <v/>
      </c>
      <c r="K35" s="53" t="inlineStr">
        <is>
          <t>MÜHENDİSLİK TAHMİNİ</t>
        </is>
      </c>
      <c r="L35" s="7" t="inlineStr">
        <is>
          <t>TAHMIN (emsal yok) – emsal bulunamadı; mevcut tahmin korundu</t>
        </is>
      </c>
      <c r="M35" s="7" t="inlineStr"/>
    </row>
    <row r="36" outlineLevel="1">
      <c r="A36" s="27" t="n"/>
      <c r="B36" s="27" t="inlineStr">
        <is>
          <t>2012.A</t>
        </is>
      </c>
      <c r="C36" s="7" t="inlineStr">
        <is>
          <t>Tünel/köprü taşıyıcı destek elemanı</t>
        </is>
      </c>
      <c r="D36" s="27" t="inlineStr">
        <is>
          <t>adet</t>
        </is>
      </c>
      <c r="E36" s="50" t="n">
        <v>2</v>
      </c>
      <c r="F36" s="50" t="n">
        <v>2</v>
      </c>
      <c r="G36" s="27" t="inlineStr">
        <is>
          <t>-</t>
        </is>
      </c>
      <c r="H36" s="50">
        <f>F36</f>
        <v/>
      </c>
      <c r="I36" s="51" t="n">
        <v>1381.68</v>
      </c>
      <c r="J36" s="28">
        <f>H36*I36</f>
        <v/>
      </c>
      <c r="K36" s="52" t="inlineStr">
        <is>
          <t>GEÇMİŞ TEKLİF UYARLAMA</t>
        </is>
      </c>
      <c r="L36" s="7" t="inlineStr">
        <is>
          <t>REF-derin(1) – R04282 Kocaeli Tram/Özgür 2014 763.37 (cidara askı/ankraj noktası) | tek emsal 763.37 ile mevcut 2000.00 ortalaması [Emsal ID: R04282]</t>
        </is>
      </c>
      <c r="M36" s="7" t="inlineStr">
        <is>
          <t>İlk tahmin BF 2,000.00</t>
        </is>
      </c>
    </row>
    <row r="37" outlineLevel="1">
      <c r="A37" s="27" t="n"/>
      <c r="B37" s="27" t="inlineStr">
        <is>
          <t>2012.A</t>
        </is>
      </c>
      <c r="C37" s="7" t="inlineStr">
        <is>
          <t>Direk numaralandırma levhası</t>
        </is>
      </c>
      <c r="D37" s="27" t="inlineStr">
        <is>
          <t>adet</t>
        </is>
      </c>
      <c r="E37" s="50" t="n">
        <v>228</v>
      </c>
      <c r="F37" s="50" t="n">
        <v>228</v>
      </c>
      <c r="G37" s="27" t="inlineStr">
        <is>
          <t>-</t>
        </is>
      </c>
      <c r="H37" s="50">
        <f>F37</f>
        <v/>
      </c>
      <c r="I37" s="51" t="n">
        <v>37</v>
      </c>
      <c r="J37" s="28">
        <f>H37*I37</f>
        <v/>
      </c>
      <c r="K37" s="52" t="inlineStr">
        <is>
          <t>GEÇMİŞ TEKLİF UYARLAMA</t>
        </is>
      </c>
      <c r="L37" s="7" t="inlineStr">
        <is>
          <t>REF-teyit – Numara levhası: Rayba Yerköy-Sivas 37; Yapıray/AUS YHT 3 € (etiket tipi, kıyas dışı) → emaye/Al kelepçeli levha için 37 üst bant, teyit [Emsal ID: R05176;R05056;R04032]</t>
        </is>
      </c>
      <c r="M37" s="7" t="inlineStr"/>
    </row>
    <row r="38" outlineLevel="1">
      <c r="A38" s="27" t="n"/>
      <c r="B38" s="27" t="inlineStr">
        <is>
          <t>2012.A</t>
        </is>
      </c>
      <c r="C38" s="7" t="inlineStr">
        <is>
          <t>Ayırıcı motor enerji kablosu 3×2,5 NYY</t>
        </is>
      </c>
      <c r="D38" s="27" t="inlineStr">
        <is>
          <t>m</t>
        </is>
      </c>
      <c r="E38" s="50" t="n">
        <v>935</v>
      </c>
      <c r="F38" s="50" t="n">
        <v>935</v>
      </c>
      <c r="G38" s="27" t="inlineStr">
        <is>
          <t>fire %10</t>
        </is>
      </c>
      <c r="H38" s="50">
        <f>F38/IF(Varsayimlar!$B$21=1,1.1,1)</f>
        <v/>
      </c>
      <c r="I38" s="51" t="n">
        <v>1.91</v>
      </c>
      <c r="J38" s="28">
        <f>H38*I38</f>
        <v/>
      </c>
      <c r="K38" s="52" t="inlineStr">
        <is>
          <t>GEÇMİŞ TEKLİF UYARLAMA</t>
        </is>
      </c>
      <c r="L38" s="7" t="inlineStr">
        <is>
          <t>REF-derin – R00848 Kocaeli KentMey.Tram/Delta 2015 1.03; R00901 Kocaeli KentMey.Tram/Haluk 2015 1.50; R00972 Kocaeli KentMey.Tram/MET 2015 1.91; R01622 İzmir Narlıdere Metro/Uskom 2018 3.35; R01802 İzmir Narlıdere Metro/Uskom 2018 2.11; R01827 İzmir Narlıdere Metro/Uskom 2018 2.60; +3 emsal | medyan 1.91 (3x2,5 enerji kablosu; Prysmian/üretici malzeme +%30 montaj) = 1.91 € [Emsal ID: R00848;R00901;R00972;R01622;R01802;R01827;R02988;R00685;R00727]</t>
        </is>
      </c>
      <c r="M38" s="7" t="inlineStr">
        <is>
          <t>İlk tahmin BF 4.00</t>
        </is>
      </c>
    </row>
    <row r="39" outlineLevel="1">
      <c r="A39" s="27" t="n"/>
      <c r="B39" s="27" t="inlineStr">
        <is>
          <t>2012.A</t>
        </is>
      </c>
      <c r="C39" s="7" t="inlineStr">
        <is>
          <t>Ayırıcı kumanda/konum kablosu 12×1,5 + kilitleme teçhizatı</t>
        </is>
      </c>
      <c r="D39" s="27" t="inlineStr">
        <is>
          <t>m</t>
        </is>
      </c>
      <c r="E39" s="50" t="n">
        <v>935</v>
      </c>
      <c r="F39" s="50" t="n">
        <v>935</v>
      </c>
      <c r="G39" s="27" t="inlineStr">
        <is>
          <t>fire %10</t>
        </is>
      </c>
      <c r="H39" s="50">
        <f>F39/IF(Varsayimlar!$B$21=1,1.1,1)</f>
        <v/>
      </c>
      <c r="I39" s="51" t="n">
        <v>7</v>
      </c>
      <c r="J39" s="28">
        <f>H39*I39</f>
        <v/>
      </c>
      <c r="K39" s="53" t="inlineStr">
        <is>
          <t>MÜHENDİSLİK TAHMİNİ</t>
        </is>
      </c>
      <c r="L39" s="7" t="inlineStr">
        <is>
          <t>TAHMIN (emsal yok) – Uygun emsal yok; mevcut tahmin korundu</t>
        </is>
      </c>
      <c r="M39" s="7" t="inlineStr"/>
    </row>
    <row r="40" outlineLevel="1">
      <c r="A40" s="27" t="n"/>
      <c r="B40" s="27" t="inlineStr">
        <is>
          <t>2012.A</t>
        </is>
      </c>
      <c r="C40" s="7" t="inlineStr">
        <is>
          <t>Katener uygulama projesi, EN 50119 hesapları, direk statiği</t>
        </is>
      </c>
      <c r="D40" s="27" t="inlineStr">
        <is>
          <t>set</t>
        </is>
      </c>
      <c r="E40" s="50" t="n">
        <v>1</v>
      </c>
      <c r="F40" s="50" t="n">
        <v>1</v>
      </c>
      <c r="G40" s="27" t="inlineStr">
        <is>
          <t>-</t>
        </is>
      </c>
      <c r="H40" s="50">
        <f>F40</f>
        <v/>
      </c>
      <c r="I40" s="51" t="n">
        <v>47158</v>
      </c>
      <c r="J40" s="28">
        <f>H40*I40</f>
        <v/>
      </c>
      <c r="K40" s="52" t="inlineStr">
        <is>
          <t>GEÇMİŞ TEKLİF UYARLAMA</t>
        </is>
      </c>
      <c r="L40" s="7" t="inlineStr">
        <is>
          <t>REF-teyit – İzmir tram Usluel katener projelendirme 47.158/hat teyit [Emsal ID: R04101]</t>
        </is>
      </c>
      <c r="M40" s="7" t="inlineStr"/>
    </row>
    <row r="41" outlineLevel="1">
      <c r="A41" s="27" t="n"/>
      <c r="B41" s="27" t="inlineStr">
        <is>
          <t>2012.A</t>
        </is>
      </c>
      <c r="C41" s="7" t="inlineStr">
        <is>
          <t>Test, ölçüm, enerjilendirme, devreye alma; 2 yıllık yedek parça</t>
        </is>
      </c>
      <c r="D41" s="27" t="inlineStr">
        <is>
          <t>set</t>
        </is>
      </c>
      <c r="E41" s="50" t="n">
        <v>1</v>
      </c>
      <c r="F41" s="50" t="n">
        <v>1</v>
      </c>
      <c r="G41" s="27" t="inlineStr">
        <is>
          <t>-</t>
        </is>
      </c>
      <c r="H41" s="50">
        <f>F41</f>
        <v/>
      </c>
      <c r="I41" s="51" t="n">
        <v>60000</v>
      </c>
      <c r="J41" s="28">
        <f>H41*I41</f>
        <v/>
      </c>
      <c r="K41" s="53" t="inlineStr">
        <is>
          <t>MÜHENDİSLİK TAHMİNİ</t>
        </is>
      </c>
      <c r="L41" s="7" t="inlineStr">
        <is>
          <t>TAHMIN (emsal yok) – Uygun emsal yok; mevcut tahmin korundu</t>
        </is>
      </c>
      <c r="M41" s="7" t="inlineStr">
        <is>
          <t>İdare: yedek parça listesi bağlayıcı (sıra 384)</t>
        </is>
      </c>
    </row>
    <row r="42">
      <c r="A42" s="48" t="inlineStr">
        <is>
          <t>221</t>
        </is>
      </c>
      <c r="B42" s="48" t="inlineStr">
        <is>
          <t>2012.B</t>
        </is>
      </c>
      <c r="C42" s="48" t="inlineStr">
        <is>
          <t>Depo Sahası ve Tesisleri Katener Sistemi</t>
        </is>
      </c>
      <c r="D42" s="48" t="n"/>
      <c r="E42" s="48" t="n"/>
      <c r="F42" s="48" t="n"/>
      <c r="G42" s="48" t="n"/>
      <c r="H42" s="48" t="inlineStr">
        <is>
          <t>RFQ tutarı →</t>
        </is>
      </c>
      <c r="I42" s="49">
        <f>SUMPRODUCT(E43:E74,I43:I74)</f>
        <v/>
      </c>
      <c r="J42" s="49">
        <f>SUM(J43:J74)</f>
        <v/>
      </c>
      <c r="K42" s="48" t="n"/>
      <c r="L42" s="48" t="n"/>
      <c r="M42" s="48" t="n"/>
    </row>
    <row r="43" outlineLevel="1">
      <c r="A43" s="27" t="n"/>
      <c r="B43" s="27" t="inlineStr">
        <is>
          <t>2012.B</t>
        </is>
      </c>
      <c r="C43" s="7" t="inlineStr">
        <is>
          <t>Kontak teli 120 mm² Cu ETP – depo hatları</t>
        </is>
      </c>
      <c r="D43" s="27" t="inlineStr">
        <is>
          <t>m</t>
        </is>
      </c>
      <c r="E43" s="50" t="n">
        <v>5288.1</v>
      </c>
      <c r="F43" s="50" t="n">
        <v>5288.1</v>
      </c>
      <c r="G43" s="27" t="inlineStr">
        <is>
          <t>fire %10</t>
        </is>
      </c>
      <c r="H43" s="50">
        <f>F43/IF(Varsayimlar!$B$21=1,1.1,1)</f>
        <v/>
      </c>
      <c r="I43" s="51" t="n">
        <v>18</v>
      </c>
      <c r="J43" s="28">
        <f>H43*I43</f>
        <v/>
      </c>
      <c r="K43" s="52" t="inlineStr">
        <is>
          <t>GEÇMİŞ TEKLİF UYARLAMA</t>
        </is>
      </c>
      <c r="L43" s="7" t="inlineStr">
        <is>
          <t>REF-teyit – Kontak teli 120 Cu: İzmir Usluel 2014 16,09 M+İ, Kocaeli 13,43 → medyan 14,76; 2014→2026 Cu artışı HICP'yi ~%15 aşıyor → ~16,7; 18 teyit (Erbakır teklifi bekleniyor) [Emsal ID: R04113;R04287;R04697]</t>
        </is>
      </c>
      <c r="M43" s="7" t="inlineStr"/>
    </row>
    <row r="44" outlineLevel="1">
      <c r="A44" s="27" t="n"/>
      <c r="B44" s="27" t="inlineStr">
        <is>
          <t>2012.B</t>
        </is>
      </c>
      <c r="C44" s="7" t="inlineStr">
        <is>
          <t>Yaylı gerdirme tertibatı (kontak teli)</t>
        </is>
      </c>
      <c r="D44" s="27" t="inlineStr">
        <is>
          <t>takım</t>
        </is>
      </c>
      <c r="E44" s="50" t="n">
        <v>42</v>
      </c>
      <c r="F44" s="50" t="n">
        <v>42</v>
      </c>
      <c r="G44" s="27" t="inlineStr">
        <is>
          <t>-</t>
        </is>
      </c>
      <c r="H44" s="50">
        <f>F44</f>
        <v/>
      </c>
      <c r="I44" s="51" t="n">
        <v>1100</v>
      </c>
      <c r="J44" s="28">
        <f>H44*I44</f>
        <v/>
      </c>
      <c r="K44" s="52" t="inlineStr">
        <is>
          <t>GEÇMİŞ TEKLİF UYARLAMA</t>
        </is>
      </c>
      <c r="L44" s="7" t="inlineStr">
        <is>
          <t>REF-teyit – Depo yaylı gergi: Usluel 1.148, BBR 871 mlz → 1.100 teyit [Emsal ID: R04124;R04217]</t>
        </is>
      </c>
      <c r="M44" s="7" t="inlineStr"/>
    </row>
    <row r="45" outlineLevel="1">
      <c r="A45" s="27" t="n"/>
      <c r="B45" s="27" t="inlineStr">
        <is>
          <t>2012.B</t>
        </is>
      </c>
      <c r="C45" s="7" t="inlineStr">
        <is>
          <t>Sabit ankraj / sabit germe tertibatı 10 kN</t>
        </is>
      </c>
      <c r="D45" s="27" t="inlineStr">
        <is>
          <t>takım</t>
        </is>
      </c>
      <c r="E45" s="50" t="n">
        <v>42</v>
      </c>
      <c r="F45" s="50" t="n">
        <v>42</v>
      </c>
      <c r="G45" s="27" t="inlineStr">
        <is>
          <t>-</t>
        </is>
      </c>
      <c r="H45" s="50">
        <f>F45</f>
        <v/>
      </c>
      <c r="I45" s="51" t="n">
        <v>517</v>
      </c>
      <c r="J45" s="28">
        <f>H45*I45</f>
        <v/>
      </c>
      <c r="K45" s="52" t="inlineStr">
        <is>
          <t>GEÇMİŞ TEKLİF UYARLAMA</t>
        </is>
      </c>
      <c r="L45" s="7" t="inlineStr">
        <is>
          <t>REF-teyit – Sabit gergi: Usluel 517, Kocaeli 401 → 517 teyit [Emsal ID: R04123;R04295]</t>
        </is>
      </c>
      <c r="M45" s="7" t="inlineStr"/>
    </row>
    <row r="46" outlineLevel="1">
      <c r="A46" s="27" t="n"/>
      <c r="B46" s="27" t="inlineStr">
        <is>
          <t>2012.B</t>
        </is>
      </c>
      <c r="C46" s="7" t="inlineStr">
        <is>
          <t>Ankraj lentesi teçhizatı (depo ankraj direkleri)</t>
        </is>
      </c>
      <c r="D46" s="27" t="inlineStr">
        <is>
          <t>takım</t>
        </is>
      </c>
      <c r="E46" s="50" t="n">
        <v>21</v>
      </c>
      <c r="F46" s="50" t="n">
        <v>21</v>
      </c>
      <c r="G46" s="27" t="inlineStr">
        <is>
          <t>-</t>
        </is>
      </c>
      <c r="H46" s="50">
        <f>F46</f>
        <v/>
      </c>
      <c r="I46" s="51" t="n">
        <v>485</v>
      </c>
      <c r="J46" s="28">
        <f>H46*I46</f>
        <v/>
      </c>
      <c r="K46" s="52" t="inlineStr">
        <is>
          <t>GEÇMİŞ TEKLİF UYARLAMA</t>
        </is>
      </c>
      <c r="L46" s="7" t="inlineStr">
        <is>
          <t>REF-teyit – Başkentray Usluel 2012 çiftli lente 485 (tekli 310); tek/eski ref, teyit [Emsal ID: R03589]</t>
        </is>
      </c>
      <c r="M46" s="7" t="inlineStr">
        <is>
          <t>İdare cevabı yalnız ana hat lentesi için</t>
        </is>
      </c>
    </row>
    <row r="47" outlineLevel="1">
      <c r="A47" s="27" t="n"/>
      <c r="B47" s="27" t="inlineStr">
        <is>
          <t>2012.B</t>
        </is>
      </c>
      <c r="C47" s="7" t="inlineStr">
        <is>
          <t>Hava makası (depo makasları)</t>
        </is>
      </c>
      <c r="D47" s="27" t="inlineStr">
        <is>
          <t>adet</t>
        </is>
      </c>
      <c r="E47" s="50" t="n">
        <v>40</v>
      </c>
      <c r="F47" s="50" t="n">
        <v>40</v>
      </c>
      <c r="G47" s="27" t="inlineStr">
        <is>
          <t>-</t>
        </is>
      </c>
      <c r="H47" s="50">
        <f>F47</f>
        <v/>
      </c>
      <c r="I47" s="51" t="n">
        <v>1500</v>
      </c>
      <c r="J47" s="28">
        <f>H47*I47</f>
        <v/>
      </c>
      <c r="K47" s="53" t="inlineStr">
        <is>
          <t>MÜHENDİSLİK TAHMİNİ</t>
        </is>
      </c>
      <c r="L47" s="7" t="inlineStr">
        <is>
          <t>TAHMIN (emsal yok) – Uygun emsal yok; mevcut tahmin korundu</t>
        </is>
      </c>
      <c r="M47" s="7" t="inlineStr"/>
    </row>
    <row r="48" outlineLevel="1">
      <c r="A48" s="27" t="n"/>
      <c r="B48" s="27" t="inlineStr">
        <is>
          <t>2012.B</t>
        </is>
      </c>
      <c r="C48" s="7" t="inlineStr">
        <is>
          <t>Kruvazman katener kesişmesi (depo)</t>
        </is>
      </c>
      <c r="D48" s="27" t="inlineStr">
        <is>
          <t>adet</t>
        </is>
      </c>
      <c r="E48" s="50" t="n">
        <v>1</v>
      </c>
      <c r="F48" s="50" t="n">
        <v>1</v>
      </c>
      <c r="G48" s="27" t="inlineStr">
        <is>
          <t>-</t>
        </is>
      </c>
      <c r="H48" s="50">
        <f>F48</f>
        <v/>
      </c>
      <c r="I48" s="51" t="n">
        <v>4000</v>
      </c>
      <c r="J48" s="28">
        <f>H48*I48</f>
        <v/>
      </c>
      <c r="K48" s="53" t="inlineStr">
        <is>
          <t>MÜHENDİSLİK TAHMİNİ</t>
        </is>
      </c>
      <c r="L48" s="7" t="inlineStr">
        <is>
          <t>TAHMIN (emsal yok) – Emsaller yalnız kesişme klemensi/çapraz tutucu; komple düzenek için tahmin korundu [Emsal ID: R03994;R05042;R05137;R04250;R04081]</t>
        </is>
      </c>
      <c r="M48" s="7" t="inlineStr"/>
    </row>
    <row r="49" outlineLevel="1">
      <c r="A49" s="27" t="n"/>
      <c r="B49" s="27" t="inlineStr">
        <is>
          <t>2012.B</t>
        </is>
      </c>
      <c r="C49" s="7" t="inlineStr">
        <is>
          <t>Headspan sistemi – komple</t>
        </is>
      </c>
      <c r="D49" s="27" t="inlineStr">
        <is>
          <t>takım</t>
        </is>
      </c>
      <c r="E49" s="50" t="n">
        <v>8</v>
      </c>
      <c r="F49" s="50" t="n">
        <v>8</v>
      </c>
      <c r="G49" s="27" t="inlineStr">
        <is>
          <t>-</t>
        </is>
      </c>
      <c r="H49" s="50">
        <f>F49</f>
        <v/>
      </c>
      <c r="I49" s="51" t="n">
        <v>1779</v>
      </c>
      <c r="J49" s="28">
        <f>H49*I49</f>
        <v/>
      </c>
      <c r="K49" s="52" t="inlineStr">
        <is>
          <t>GEÇMİŞ TEKLİF UYARLAMA</t>
        </is>
      </c>
      <c r="L49" s="7" t="inlineStr">
        <is>
          <t>REF-teyit – Headspan: Usluel 1.779 M+İ, Kocaeli 2 yol 1.037 → teyit [Emsal ID: R04121;R04291]</t>
        </is>
      </c>
      <c r="M49" s="7" t="inlineStr"/>
    </row>
    <row r="50" outlineLevel="1">
      <c r="A50" s="27" t="n"/>
      <c r="B50" s="27" t="inlineStr">
        <is>
          <t>2012.B</t>
        </is>
      </c>
      <c r="C50" s="7" t="inlineStr">
        <is>
          <t>Headspan enine taşıyıcı + steady tel</t>
        </is>
      </c>
      <c r="D50" s="27" t="inlineStr">
        <is>
          <t>m</t>
        </is>
      </c>
      <c r="E50" s="50" t="n">
        <v>750.4</v>
      </c>
      <c r="F50" s="50" t="n">
        <v>750.4</v>
      </c>
      <c r="G50" s="27" t="inlineStr">
        <is>
          <t>fire %10</t>
        </is>
      </c>
      <c r="H50" s="50">
        <f>F50/IF(Varsayimlar!$B$21=1,1.1,1)</f>
        <v/>
      </c>
      <c r="I50" s="51" t="n">
        <v>20</v>
      </c>
      <c r="J50" s="28">
        <f>H50*I50</f>
        <v/>
      </c>
      <c r="K50" s="53" t="inlineStr">
        <is>
          <t>MÜHENDİSLİK TAHMİNİ</t>
        </is>
      </c>
      <c r="L50" s="7" t="inlineStr">
        <is>
          <t>TAHMIN (emsal yok) – Emsal yok. DİKKAT: Usluel headspan komple (satır 49) taşıyıcı tel içeriyor olabilir – mükerrer kontrolü</t>
        </is>
      </c>
      <c r="M50" s="7" t="inlineStr"/>
    </row>
    <row r="51" outlineLevel="1">
      <c r="A51" s="27" t="n"/>
      <c r="B51" s="27" t="inlineStr">
        <is>
          <t>2012.B</t>
        </is>
      </c>
      <c r="C51" s="7" t="inlineStr">
        <is>
          <t>Headspan altı askı-rapel takımı</t>
        </is>
      </c>
      <c r="D51" s="27" t="inlineStr">
        <is>
          <t>adet</t>
        </is>
      </c>
      <c r="E51" s="50" t="n">
        <v>78</v>
      </c>
      <c r="F51" s="50" t="n">
        <v>78</v>
      </c>
      <c r="G51" s="27" t="inlineStr">
        <is>
          <t>-</t>
        </is>
      </c>
      <c r="H51" s="50">
        <f>F51</f>
        <v/>
      </c>
      <c r="I51" s="51" t="n">
        <v>250</v>
      </c>
      <c r="J51" s="28">
        <f>H51*I51</f>
        <v/>
      </c>
      <c r="K51" s="53" t="inlineStr">
        <is>
          <t>MÜHENDİSLİK TAHMİNİ</t>
        </is>
      </c>
      <c r="L51" s="7" t="inlineStr">
        <is>
          <t>TAHMIN (emsal yok) – Emsal yok; satır 49 ile mükerrer kontrolü</t>
        </is>
      </c>
      <c r="M51" s="7" t="inlineStr"/>
    </row>
    <row r="52" outlineLevel="1">
      <c r="A52" s="27" t="n"/>
      <c r="B52" s="27" t="inlineStr">
        <is>
          <t>2012.B</t>
        </is>
      </c>
      <c r="C52" s="7" t="inlineStr">
        <is>
          <t>Konsol hoban komplesi (tek hat) – depo</t>
        </is>
      </c>
      <c r="D52" s="27" t="inlineStr">
        <is>
          <t>adet</t>
        </is>
      </c>
      <c r="E52" s="50" t="n">
        <v>29</v>
      </c>
      <c r="F52" s="50" t="n">
        <v>29</v>
      </c>
      <c r="G52" s="27" t="inlineStr">
        <is>
          <t>-</t>
        </is>
      </c>
      <c r="H52" s="50">
        <f>F52</f>
        <v/>
      </c>
      <c r="I52" s="51" t="n">
        <v>1116</v>
      </c>
      <c r="J52" s="28">
        <f>H52*I52</f>
        <v/>
      </c>
      <c r="K52" s="52" t="inlineStr">
        <is>
          <t>GEÇMİŞ TEKLİF UYARLAMA</t>
        </is>
      </c>
      <c r="L52" s="7" t="inlineStr">
        <is>
          <t>REF-teyit – Konsol-hoban: İzmir Usluel 2014 M+İ 1.116 (gerçek), Kocaeli keşif 825, BBR malzeme 465 (Usluel'in tedarikçisi) → 1.116 teyit [Emsal ID: R04118;R04289;R04201]</t>
        </is>
      </c>
      <c r="M52" s="7" t="inlineStr"/>
    </row>
    <row r="53" outlineLevel="1">
      <c r="A53" s="27" t="n"/>
      <c r="B53" s="27" t="inlineStr">
        <is>
          <t>2012.B</t>
        </is>
      </c>
      <c r="C53" s="7" t="inlineStr">
        <is>
          <t>Seksiyon izolatörü ünitesi (depo bölümleme)</t>
        </is>
      </c>
      <c r="D53" s="27" t="inlineStr">
        <is>
          <t>adet</t>
        </is>
      </c>
      <c r="E53" s="50" t="n">
        <v>10</v>
      </c>
      <c r="F53" s="50" t="n">
        <v>10</v>
      </c>
      <c r="G53" s="27" t="inlineStr">
        <is>
          <t>-</t>
        </is>
      </c>
      <c r="H53" s="50">
        <f>F53</f>
        <v/>
      </c>
      <c r="I53" s="51" t="n">
        <v>2070</v>
      </c>
      <c r="J53" s="28">
        <f>H53*I53</f>
        <v/>
      </c>
      <c r="K53" s="52" t="inlineStr">
        <is>
          <t>GEÇMİŞ TEKLİF UYARLAMA</t>
        </is>
      </c>
      <c r="L53" s="7" t="inlineStr">
        <is>
          <t>REF-teyit – Seksiyon izolatörü: Usluel 2.070 M+İ (gerçek), Kocaeli keşif 1.343 → 2.070 teyit (DeSA/Flury teklifi bekleniyor) [Emsal ID: R04126;R04298]</t>
        </is>
      </c>
      <c r="M53" s="7" t="inlineStr">
        <is>
          <t>DeSA formu: depo 10 izolatör</t>
        </is>
      </c>
    </row>
    <row r="54" outlineLevel="1">
      <c r="A54" s="27" t="n"/>
      <c r="B54" s="27" t="inlineStr">
        <is>
          <t>2012.B</t>
        </is>
      </c>
      <c r="C54" s="7" t="inlineStr">
        <is>
          <t>Direk tipi motorlu ayırıcı 4000 A (SCADA)</t>
        </is>
      </c>
      <c r="D54" s="27" t="inlineStr">
        <is>
          <t>adet</t>
        </is>
      </c>
      <c r="E54" s="50" t="n">
        <v>6</v>
      </c>
      <c r="F54" s="50" t="n">
        <v>6</v>
      </c>
      <c r="G54" s="27" t="inlineStr">
        <is>
          <t>-</t>
        </is>
      </c>
      <c r="H54" s="50">
        <f>F54</f>
        <v/>
      </c>
      <c r="I54" s="51" t="n">
        <v>6288</v>
      </c>
      <c r="J54" s="28">
        <f>H54*I54</f>
        <v/>
      </c>
      <c r="K54" s="52" t="inlineStr">
        <is>
          <t>GEÇMİŞ TEKLİF UYARLAMA</t>
        </is>
      </c>
      <c r="L54" s="7" t="inlineStr">
        <is>
          <t>REF-derin – Motorlu direk ayırıcı: BBR 2014 mlz 7.963 +%10 montaj=8.759, Kocaeli 3.817 → medyan 6.288 (Samsun 2008 5.768) [Emsal ID: R04227;R04303;R04714]</t>
        </is>
      </c>
      <c r="M54" s="7" t="inlineStr">
        <is>
          <t>İlk tahmin BF 6,000.00</t>
        </is>
      </c>
    </row>
    <row r="55" outlineLevel="1">
      <c r="A55" s="27" t="n"/>
      <c r="B55" s="27" t="inlineStr">
        <is>
          <t>2012.B</t>
        </is>
      </c>
      <c r="C55" s="7" t="inlineStr">
        <is>
          <t>Topraklı elle kumandalı ayırıcı (kilitli kol)</t>
        </is>
      </c>
      <c r="D55" s="27" t="inlineStr">
        <is>
          <t>adet</t>
        </is>
      </c>
      <c r="E55" s="50" t="n">
        <v>4</v>
      </c>
      <c r="F55" s="50" t="n">
        <v>4</v>
      </c>
      <c r="G55" s="27" t="inlineStr">
        <is>
          <t>-</t>
        </is>
      </c>
      <c r="H55" s="50">
        <f>F55</f>
        <v/>
      </c>
      <c r="I55" s="51" t="n">
        <v>4527</v>
      </c>
      <c r="J55" s="28">
        <f>H55*I55</f>
        <v/>
      </c>
      <c r="K55" s="52" t="inlineStr">
        <is>
          <t>GEÇMİŞ TEKLİF UYARLAMA</t>
        </is>
      </c>
      <c r="L55" s="7" t="inlineStr">
        <is>
          <t>REF-derin – Elle kumandalı ayırıcı: Usluel 4.527 M+İ, Kocaeli 1.484, BBR mlz 5.177 → medyan 4.527; mevcut 3.553 DÜŞÜK (topraklı tip) [Emsal ID: R04130;R04302;R04228]</t>
        </is>
      </c>
      <c r="M55" s="7" t="inlineStr">
        <is>
          <t>İlk tahmin BF 3,553.00</t>
        </is>
      </c>
    </row>
    <row r="56" outlineLevel="1">
      <c r="A56" s="27" t="n"/>
      <c r="B56" s="27" t="inlineStr">
        <is>
          <t>2012.B</t>
        </is>
      </c>
      <c r="C56" s="7" t="inlineStr">
        <is>
          <t>Besleme bağlantı düzeneği depo</t>
        </is>
      </c>
      <c r="D56" s="27" t="inlineStr">
        <is>
          <t>takım</t>
        </is>
      </c>
      <c r="E56" s="50" t="n">
        <v>4</v>
      </c>
      <c r="F56" s="50" t="n">
        <v>4</v>
      </c>
      <c r="G56" s="27" t="inlineStr">
        <is>
          <t>-</t>
        </is>
      </c>
      <c r="H56" s="50">
        <f>F56</f>
        <v/>
      </c>
      <c r="I56" s="51" t="n">
        <v>837</v>
      </c>
      <c r="J56" s="28">
        <f>H56*I56</f>
        <v/>
      </c>
      <c r="K56" s="52" t="inlineStr">
        <is>
          <t>GEÇMİŞ TEKLİF UYARLAMA</t>
        </is>
      </c>
      <c r="L56" s="7" t="inlineStr">
        <is>
          <t>REF-derin – Besleme bağlantısı: Usluel takviye-katener bağlantısı 461, besleme noktası 1.213 → medyan 837; mevcut 1.500 YÜKSEK (Kocaeli 106, BBR 199) [Emsal ID: R04116;R04143;R04294;R04242]</t>
        </is>
      </c>
      <c r="M56" s="7" t="inlineStr">
        <is>
          <t>İlk tahmin BF 1,500.00</t>
        </is>
      </c>
    </row>
    <row r="57" outlineLevel="1">
      <c r="A57" s="27" t="n"/>
      <c r="B57" s="27" t="inlineStr">
        <is>
          <t>2012.B</t>
        </is>
      </c>
      <c r="C57" s="7" t="inlineStr">
        <is>
          <t>Parafudr 1 kV DC + toprak elektrodu</t>
        </is>
      </c>
      <c r="D57" s="27" t="inlineStr">
        <is>
          <t>takım</t>
        </is>
      </c>
      <c r="E57" s="50" t="n">
        <v>4</v>
      </c>
      <c r="F57" s="50" t="n">
        <v>4</v>
      </c>
      <c r="G57" s="27" t="inlineStr">
        <is>
          <t>-</t>
        </is>
      </c>
      <c r="H57" s="50">
        <f>F57</f>
        <v/>
      </c>
      <c r="I57" s="51" t="n">
        <v>950.36</v>
      </c>
      <c r="J57" s="28">
        <f>H57*I57</f>
        <v/>
      </c>
      <c r="K57" s="52" t="inlineStr">
        <is>
          <t>GEÇMİŞ TEKLİF UYARLAMA</t>
        </is>
      </c>
      <c r="L57" s="7" t="inlineStr">
        <is>
          <t>REF-derin – parafudr medyan 368.30 (R04117 İzmir Konak Tram/Usluel 2014 218.27; R04299 Kocaeli Tram/Özgür 2014 518.33) + toprak elektrodu R04128 İzmir Konak Tram/Usluel 2014 582.06 = 950.36 € | mevcut REF 744.00 (+27.7%) düzeltildi [Emsal ID: R04117;R04299;R04128]</t>
        </is>
      </c>
      <c r="M57" s="7" t="inlineStr">
        <is>
          <t>İlk tahmin BF 744.00</t>
        </is>
      </c>
    </row>
    <row r="58" outlineLevel="1">
      <c r="A58" s="27" t="n"/>
      <c r="B58" s="27" t="inlineStr">
        <is>
          <t>2012.B</t>
        </is>
      </c>
      <c r="C58" s="7" t="inlineStr">
        <is>
          <t>VLD ayırıcılı direkler</t>
        </is>
      </c>
      <c r="D58" s="27" t="inlineStr">
        <is>
          <t>adet</t>
        </is>
      </c>
      <c r="E58" s="50" t="n">
        <v>10</v>
      </c>
      <c r="F58" s="50" t="n">
        <v>10</v>
      </c>
      <c r="G58" s="27" t="inlineStr">
        <is>
          <t>-</t>
        </is>
      </c>
      <c r="H58" s="50">
        <f>F58</f>
        <v/>
      </c>
      <c r="I58" s="51" t="n">
        <v>822</v>
      </c>
      <c r="J58" s="28">
        <f>H58*I58</f>
        <v/>
      </c>
      <c r="K58" s="52" t="inlineStr">
        <is>
          <t>GEÇMİŞ TEKLİF UYARLAMA</t>
        </is>
      </c>
      <c r="L58" s="7" t="inlineStr">
        <is>
          <t>REF-derin – VLD/aşırı gerilim koruma: Samsun 2008 594, İzmir Usluel 2014 1.051 → medyan 822 (mevcut eski Samsun fiyatı, DÜŞÜK) [Emsal ID: R04719;R04175]</t>
        </is>
      </c>
      <c r="M58" s="7" t="inlineStr">
        <is>
          <t>İlk tahmin BF 594.00</t>
        </is>
      </c>
    </row>
    <row r="59" outlineLevel="1">
      <c r="A59" s="27" t="n"/>
      <c r="B59" s="27" t="inlineStr">
        <is>
          <t>2012.B</t>
        </is>
      </c>
      <c r="C59" s="7" t="inlineStr">
        <is>
          <t>Atölye katlanır (döner) katener mekanizması – A2/A3</t>
        </is>
      </c>
      <c r="D59" s="27" t="inlineStr">
        <is>
          <t>set</t>
        </is>
      </c>
      <c r="E59" s="50" t="n">
        <v>2</v>
      </c>
      <c r="F59" s="50" t="n">
        <v>2</v>
      </c>
      <c r="G59" s="27" t="inlineStr">
        <is>
          <t>-</t>
        </is>
      </c>
      <c r="H59" s="50">
        <f>F59</f>
        <v/>
      </c>
      <c r="I59" s="51" t="n">
        <v>20534</v>
      </c>
      <c r="J59" s="28">
        <f>H59*I59</f>
        <v/>
      </c>
      <c r="K59" s="52" t="inlineStr">
        <is>
          <t>GEÇMİŞ TEKLİF UYARLAMA</t>
        </is>
      </c>
      <c r="L59" s="7" t="inlineStr">
        <is>
          <t>REF-teyit – İzmir tram Usluel döner (turntable) mesnet 20.534 teyit (motorlu ise 25.384) [Emsal ID: R04141;R04142]</t>
        </is>
      </c>
      <c r="M59" s="7" t="inlineStr"/>
    </row>
    <row r="60" outlineLevel="1">
      <c r="A60" s="27" t="n"/>
      <c r="B60" s="27" t="inlineStr">
        <is>
          <t>2012.B</t>
        </is>
      </c>
      <c r="C60" s="7" t="inlineStr">
        <is>
          <t>Atölye sabit kontak hattı A1 ~75 m</t>
        </is>
      </c>
      <c r="D60" s="27" t="inlineStr">
        <is>
          <t>set</t>
        </is>
      </c>
      <c r="E60" s="50" t="n">
        <v>1</v>
      </c>
      <c r="F60" s="50" t="n">
        <v>1</v>
      </c>
      <c r="G60" s="27" t="inlineStr">
        <is>
          <t>-</t>
        </is>
      </c>
      <c r="H60" s="50">
        <f>F60</f>
        <v/>
      </c>
      <c r="I60" s="51" t="n">
        <v>7702</v>
      </c>
      <c r="J60" s="28">
        <f>H60*I60</f>
        <v/>
      </c>
      <c r="K60" s="52" t="inlineStr">
        <is>
          <t>GEÇMİŞ TEKLİF UYARLAMA</t>
        </is>
      </c>
      <c r="L60" s="7" t="inlineStr">
        <is>
          <t>REF-teyit – Usluel rijit profil 12 m 825×6 + 4 m 744×2 + aksesuar ≈ 8–9,5k; 7.702 teyit [Emsal ID: R04136;R04137;R04143]</t>
        </is>
      </c>
      <c r="M60" s="7" t="inlineStr"/>
    </row>
    <row r="61" outlineLevel="1">
      <c r="A61" s="27" t="n"/>
      <c r="B61" s="27" t="inlineStr">
        <is>
          <t>2012.B</t>
        </is>
      </c>
      <c r="C61" s="7" t="inlineStr">
        <is>
          <t>Atölye ana kesicisi (DC) + kilitlenebilir hat ayırıcıları</t>
        </is>
      </c>
      <c r="D61" s="27" t="inlineStr">
        <is>
          <t>set</t>
        </is>
      </c>
      <c r="E61" s="50" t="n">
        <v>1</v>
      </c>
      <c r="F61" s="50" t="n">
        <v>1</v>
      </c>
      <c r="G61" s="27" t="inlineStr">
        <is>
          <t>-</t>
        </is>
      </c>
      <c r="H61" s="50">
        <f>F61</f>
        <v/>
      </c>
      <c r="I61" s="51" t="n">
        <v>25000</v>
      </c>
      <c r="J61" s="28">
        <f>H61*I61</f>
        <v/>
      </c>
      <c r="K61" s="53" t="inlineStr">
        <is>
          <t>MÜHENDİSLİK TAHMİNİ</t>
        </is>
      </c>
      <c r="L61" s="7" t="inlineStr">
        <is>
          <t>TAHMIN (emsal yok) – Uygun emsal yok; mevcut tahmin korundu</t>
        </is>
      </c>
      <c r="M61" s="7" t="inlineStr"/>
    </row>
    <row r="62" outlineLevel="1">
      <c r="A62" s="27" t="n"/>
      <c r="B62" s="27" t="inlineStr">
        <is>
          <t>2012.B</t>
        </is>
      </c>
      <c r="C62" s="7" t="inlineStr">
        <is>
          <t>Kilitleme sistemi (gezer vinç, katlanır katener, platform, kriko, kapılar)</t>
        </is>
      </c>
      <c r="D62" s="27" t="inlineStr">
        <is>
          <t>set</t>
        </is>
      </c>
      <c r="E62" s="50" t="n">
        <v>1</v>
      </c>
      <c r="F62" s="50" t="n">
        <v>1</v>
      </c>
      <c r="G62" s="27" t="inlineStr">
        <is>
          <t>-</t>
        </is>
      </c>
      <c r="H62" s="50">
        <f>F62</f>
        <v/>
      </c>
      <c r="I62" s="51" t="n">
        <v>39321</v>
      </c>
      <c r="J62" s="28">
        <f>H62*I62</f>
        <v/>
      </c>
      <c r="K62" s="52" t="inlineStr">
        <is>
          <t>GEÇMİŞ TEKLİF UYARLAMA</t>
        </is>
      </c>
      <c r="L62" s="7" t="inlineStr">
        <is>
          <t>REF-derin(1) – İzmir tram Usluel döner katener kumanda/kilitleme panosu 38.642; mevcut ile ort. 39.321 [Emsal ID: R04144]</t>
        </is>
      </c>
      <c r="M62" s="7" t="inlineStr">
        <is>
          <t>İlk tahmin BF 40,000.00</t>
        </is>
      </c>
    </row>
    <row r="63" outlineLevel="1">
      <c r="A63" s="27" t="n"/>
      <c r="B63" s="27" t="inlineStr">
        <is>
          <t>2012.B</t>
        </is>
      </c>
      <c r="C63" s="7" t="inlineStr">
        <is>
          <t>Acil gerilim kesme butonu + 'katener enerjili' ikaz lambası</t>
        </is>
      </c>
      <c r="D63" s="27" t="inlineStr">
        <is>
          <t>adet</t>
        </is>
      </c>
      <c r="E63" s="50" t="n">
        <v>12</v>
      </c>
      <c r="F63" s="50" t="n">
        <v>12</v>
      </c>
      <c r="G63" s="27" t="inlineStr">
        <is>
          <t>-</t>
        </is>
      </c>
      <c r="H63" s="50">
        <f>F63</f>
        <v/>
      </c>
      <c r="I63" s="51" t="n">
        <v>600</v>
      </c>
      <c r="J63" s="28">
        <f>H63*I63</f>
        <v/>
      </c>
      <c r="K63" s="53" t="inlineStr">
        <is>
          <t>MÜHENDİSLİK TAHMİNİ</t>
        </is>
      </c>
      <c r="L63" s="7" t="inlineStr">
        <is>
          <t>TAHMIN (emsal yok) – Uygun emsal yok; mevcut tahmin korundu</t>
        </is>
      </c>
      <c r="M63" s="7" t="inlineStr"/>
    </row>
    <row r="64" outlineLevel="1">
      <c r="A64" s="27" t="n"/>
      <c r="B64" s="27" t="inlineStr">
        <is>
          <t>2012.B</t>
        </is>
      </c>
      <c r="C64" s="7" t="inlineStr">
        <is>
          <t>Atölye/depo katener güç ve kontrol kabloları</t>
        </is>
      </c>
      <c r="D64" s="27" t="inlineStr">
        <is>
          <t>m</t>
        </is>
      </c>
      <c r="E64" s="50" t="n">
        <v>1595</v>
      </c>
      <c r="F64" s="50" t="n">
        <v>1595</v>
      </c>
      <c r="G64" s="27" t="inlineStr">
        <is>
          <t>fire %10</t>
        </is>
      </c>
      <c r="H64" s="50">
        <f>F64/IF(Varsayimlar!$B$21=1,1.1,1)</f>
        <v/>
      </c>
      <c r="I64" s="51" t="n">
        <v>8</v>
      </c>
      <c r="J64" s="28">
        <f>H64*I64</f>
        <v/>
      </c>
      <c r="K64" s="53" t="inlineStr">
        <is>
          <t>MÜHENDİSLİK TAHMİNİ</t>
        </is>
      </c>
      <c r="L64" s="7" t="inlineStr">
        <is>
          <t>TAHMIN (emsal yok) – Uygun emsal yok; mevcut tahmin korundu</t>
        </is>
      </c>
      <c r="M64" s="7" t="inlineStr"/>
    </row>
    <row r="65" outlineLevel="1">
      <c r="A65" s="27" t="n"/>
      <c r="B65" s="27" t="inlineStr">
        <is>
          <t>2012.B</t>
        </is>
      </c>
      <c r="C65" s="7" t="inlineStr">
        <is>
          <t>Direk numaralandırma levhası (depo)</t>
        </is>
      </c>
      <c r="D65" s="27" t="inlineStr">
        <is>
          <t>adet</t>
        </is>
      </c>
      <c r="E65" s="50" t="n">
        <v>77</v>
      </c>
      <c r="F65" s="50" t="n">
        <v>77</v>
      </c>
      <c r="G65" s="27" t="inlineStr">
        <is>
          <t>-</t>
        </is>
      </c>
      <c r="H65" s="50">
        <f>F65</f>
        <v/>
      </c>
      <c r="I65" s="51" t="n">
        <v>37</v>
      </c>
      <c r="J65" s="28">
        <f>H65*I65</f>
        <v/>
      </c>
      <c r="K65" s="52" t="inlineStr">
        <is>
          <t>GEÇMİŞ TEKLİF UYARLAMA</t>
        </is>
      </c>
      <c r="L65" s="7" t="inlineStr">
        <is>
          <t>REF-teyit – R05176 Yerköy-Sivas YHT/Rayba 2016 36.72; R04032/R05056 ~3,3 € (yapıştırma rakam, karşılaştırılamaz) | emaye/alüminyum levha+montaj için mevcut REF 37 teyit [Emsal ID: R05176;R04032;R05056]</t>
        </is>
      </c>
      <c r="M65" s="7" t="inlineStr"/>
    </row>
    <row r="66" outlineLevel="1">
      <c r="A66" s="27" t="n"/>
      <c r="B66" s="27" t="inlineStr">
        <is>
          <t>2012.B</t>
        </is>
      </c>
      <c r="C66" s="7" t="inlineStr">
        <is>
          <t>Depo headspan/portal direği C tipi L=9 m</t>
        </is>
      </c>
      <c r="D66" s="27" t="inlineStr">
        <is>
          <t>adet</t>
        </is>
      </c>
      <c r="E66" s="50" t="n">
        <v>18</v>
      </c>
      <c r="F66" s="54" t="n">
        <v>0</v>
      </c>
      <c r="G66" s="27" t="inlineStr">
        <is>
          <t>-</t>
        </is>
      </c>
      <c r="H66" s="50">
        <f>F66</f>
        <v/>
      </c>
      <c r="I66" s="51" t="n">
        <v>0</v>
      </c>
      <c r="J66" s="28">
        <f>H66*I66</f>
        <v/>
      </c>
      <c r="K66" s="55" t="inlineStr">
        <is>
          <t>KAPSAM DIŞI (0)</t>
        </is>
      </c>
      <c r="L66" s="7" t="inlineStr">
        <is>
          <t>TAHMIN (emsal yok) – Direkler kg bazında (satır 70) fiyatlanıyor; çift sayım önlemek için 0 korundu</t>
        </is>
      </c>
      <c r="M66" s="7" t="inlineStr">
        <is>
          <t>İdare soru 7: depo direkleri cetvel direk kalemlerinde (çift sayım)</t>
        </is>
      </c>
    </row>
    <row r="67" outlineLevel="1">
      <c r="A67" s="27" t="n"/>
      <c r="B67" s="27" t="inlineStr">
        <is>
          <t>2012.B</t>
        </is>
      </c>
      <c r="C67" s="7" t="inlineStr">
        <is>
          <t>Depo headspan/portal direği C tipi L=8 m</t>
        </is>
      </c>
      <c r="D67" s="27" t="inlineStr">
        <is>
          <t>adet</t>
        </is>
      </c>
      <c r="E67" s="50" t="n">
        <v>12</v>
      </c>
      <c r="F67" s="54" t="n">
        <v>0</v>
      </c>
      <c r="G67" s="27" t="inlineStr">
        <is>
          <t>-</t>
        </is>
      </c>
      <c r="H67" s="50">
        <f>F67</f>
        <v/>
      </c>
      <c r="I67" s="51" t="n">
        <v>0</v>
      </c>
      <c r="J67" s="28">
        <f>H67*I67</f>
        <v/>
      </c>
      <c r="K67" s="55" t="inlineStr">
        <is>
          <t>KAPSAM DIŞI (0)</t>
        </is>
      </c>
      <c r="L67" s="7" t="inlineStr">
        <is>
          <t>TAHMIN (emsal yok) – Direkler kg bazında (satır 70) fiyatlanıyor; çift sayım önlemek için 0 korundu</t>
        </is>
      </c>
      <c r="M67" s="7" t="inlineStr">
        <is>
          <t>İdare soru 7</t>
        </is>
      </c>
    </row>
    <row r="68" outlineLevel="1">
      <c r="A68" s="27" t="n"/>
      <c r="B68" s="27" t="inlineStr">
        <is>
          <t>2012.B</t>
        </is>
      </c>
      <c r="C68" s="7" t="inlineStr">
        <is>
          <t>Depo ara direği A tipi L=8 m</t>
        </is>
      </c>
      <c r="D68" s="27" t="inlineStr">
        <is>
          <t>adet</t>
        </is>
      </c>
      <c r="E68" s="50" t="n">
        <v>26</v>
      </c>
      <c r="F68" s="54" t="n">
        <v>0</v>
      </c>
      <c r="G68" s="27" t="inlineStr">
        <is>
          <t>-</t>
        </is>
      </c>
      <c r="H68" s="50">
        <f>F68</f>
        <v/>
      </c>
      <c r="I68" s="51" t="n">
        <v>1189.48</v>
      </c>
      <c r="J68" s="28">
        <f>H68*I68</f>
        <v/>
      </c>
      <c r="K68" s="55" t="inlineStr">
        <is>
          <t>KAPSAM DIŞI (0)</t>
        </is>
      </c>
      <c r="L68" s="7" t="inlineStr">
        <is>
          <t>REF-derin – R04103 İzmir Konak Tram/Usluel 2014 1101.76; R04102 İzmir Konak Tram/Usluel 2014 1277.19 | medyan 1189.48 (İzmir Konak Tip A/A1 direk (ankraj tijli, temelsiz)) = 1189.48 € | mevcut REF 1821.00 (-34.7%) düzeltildi [Emsal ID: R04103;R04102]</t>
        </is>
      </c>
      <c r="M68" s="7" t="inlineStr">
        <is>
          <t>İdare soru 7 | İlk tahmin BF 1,821.00</t>
        </is>
      </c>
    </row>
    <row r="69" outlineLevel="1">
      <c r="A69" s="27" t="n"/>
      <c r="B69" s="27" t="inlineStr">
        <is>
          <t>2012.B</t>
        </is>
      </c>
      <c r="C69" s="7" t="inlineStr">
        <is>
          <t>Depo ankraj direği D tipi L=8 m</t>
        </is>
      </c>
      <c r="D69" s="27" t="inlineStr">
        <is>
          <t>adet</t>
        </is>
      </c>
      <c r="E69" s="50" t="n">
        <v>21</v>
      </c>
      <c r="F69" s="54" t="n">
        <v>0</v>
      </c>
      <c r="G69" s="27" t="inlineStr">
        <is>
          <t>-</t>
        </is>
      </c>
      <c r="H69" s="50">
        <f>F69</f>
        <v/>
      </c>
      <c r="I69" s="51" t="n">
        <v>0</v>
      </c>
      <c r="J69" s="28">
        <f>H69*I69</f>
        <v/>
      </c>
      <c r="K69" s="55" t="inlineStr">
        <is>
          <t>KAPSAM DIŞI (0)</t>
        </is>
      </c>
      <c r="L69" s="7" t="inlineStr">
        <is>
          <t>TAHMIN (emsal yok) – Direkler kg bazında (satır 70) fiyatlanıyor; çift sayım önlemek için 0 korundu</t>
        </is>
      </c>
      <c r="M69" s="7" t="inlineStr">
        <is>
          <t>İdare soru 7</t>
        </is>
      </c>
    </row>
    <row r="70" outlineLevel="1">
      <c r="A70" s="27" t="n"/>
      <c r="B70" s="27" t="inlineStr">
        <is>
          <t>2012.B</t>
        </is>
      </c>
      <c r="C70" s="7" t="inlineStr">
        <is>
          <t>Depo direkleri çelik ağırlığı (galvaniz)</t>
        </is>
      </c>
      <c r="D70" s="27" t="inlineStr">
        <is>
          <t>kg</t>
        </is>
      </c>
      <c r="E70" s="50" t="n">
        <v>44194</v>
      </c>
      <c r="F70" s="54" t="n">
        <v>0</v>
      </c>
      <c r="G70" s="27" t="inlineStr">
        <is>
          <t>-</t>
        </is>
      </c>
      <c r="H70" s="50">
        <f>F70</f>
        <v/>
      </c>
      <c r="I70" s="51" t="n">
        <v>2.2</v>
      </c>
      <c r="J70" s="28">
        <f>H70*I70</f>
        <v/>
      </c>
      <c r="K70" s="55" t="inlineStr">
        <is>
          <t>KAPSAM DIŞI (0)</t>
        </is>
      </c>
      <c r="L70" s="7" t="inlineStr">
        <is>
          <t>REF-derin – R04610 Kocaeli KentMey.Tram/İMKON 2014 1.77; R04611 Kocaeli KentMey.Tram/İMKON 2014 1.84 | medyan 1.81 ×1.22 (direk imalatı €/kg; +%22 galvaniz+dikim payı) = 2.20 € [Emsal ID: R04610;R04611]</t>
        </is>
      </c>
      <c r="M70" s="7" t="inlineStr">
        <is>
          <t>İdare soru 7: çift sayım – düşüldü</t>
        </is>
      </c>
    </row>
    <row r="71" outlineLevel="1">
      <c r="A71" s="27" t="n"/>
      <c r="B71" s="27" t="inlineStr">
        <is>
          <t>2012.B</t>
        </is>
      </c>
      <c r="C71" s="7" t="inlineStr">
        <is>
          <t>Portal kirişi HEB-200</t>
        </is>
      </c>
      <c r="D71" s="27" t="inlineStr">
        <is>
          <t>kg</t>
        </is>
      </c>
      <c r="E71" s="50" t="n">
        <v>3752</v>
      </c>
      <c r="F71" s="54" t="n">
        <v>0</v>
      </c>
      <c r="G71" s="27" t="inlineStr">
        <is>
          <t>-</t>
        </is>
      </c>
      <c r="H71" s="50">
        <f>F71</f>
        <v/>
      </c>
      <c r="I71" s="51" t="n">
        <v>2.2</v>
      </c>
      <c r="J71" s="28">
        <f>H71*I71</f>
        <v/>
      </c>
      <c r="K71" s="55" t="inlineStr">
        <is>
          <t>KAPSAM DIŞI (0)</t>
        </is>
      </c>
      <c r="L71" s="7" t="inlineStr">
        <is>
          <t>REF-derin – R04610 Kocaeli KentMey.Tram/İMKON 2014 1.77; R04611 Kocaeli KentMey.Tram/İMKON 2014 1.84 | medyan 1.81 ×1.22 (direk imalatı €/kg; +%22 galvaniz+dikim payı) = 2.20 € [Emsal ID: R04610;R04611]</t>
        </is>
      </c>
      <c r="M71" s="7" t="inlineStr">
        <is>
          <t>İdare soru 7</t>
        </is>
      </c>
    </row>
    <row r="72" outlineLevel="1">
      <c r="A72" s="27" t="n"/>
      <c r="B72" s="27" t="inlineStr">
        <is>
          <t>2012.B</t>
        </is>
      </c>
      <c r="C72" s="7" t="inlineStr">
        <is>
          <t>Depo direk temelleri (fore kazık Ø60, beton, donatı, bulon)</t>
        </is>
      </c>
      <c r="D72" s="27" t="inlineStr">
        <is>
          <t>set</t>
        </is>
      </c>
      <c r="E72" s="50" t="n">
        <v>1</v>
      </c>
      <c r="F72" s="54" t="n">
        <v>0</v>
      </c>
      <c r="G72" s="27" t="inlineStr">
        <is>
          <t>-</t>
        </is>
      </c>
      <c r="H72" s="50">
        <f>F72</f>
        <v/>
      </c>
      <c r="I72" s="51" t="n">
        <v>120000</v>
      </c>
      <c r="J72" s="28">
        <f>H72*I72</f>
        <v/>
      </c>
      <c r="K72" s="55" t="inlineStr">
        <is>
          <t>KAPSAM DIŞI (0)</t>
        </is>
      </c>
      <c r="L72" s="7" t="inlineStr">
        <is>
          <t>TAHMIN (emsal yok) – emsal bulunamadı; mevcut tahmin korundu</t>
        </is>
      </c>
      <c r="M72" s="7" t="inlineStr">
        <is>
          <t>İdare soru 7: temeller sıra 13 (inşaat)</t>
        </is>
      </c>
    </row>
    <row r="73" outlineLevel="1">
      <c r="A73" s="27" t="n"/>
      <c r="B73" s="27" t="inlineStr">
        <is>
          <t>2012.B</t>
        </is>
      </c>
      <c r="C73" s="7" t="inlineStr">
        <is>
          <t>Depo lente temelleri (kazı, beton, kalıp, donatı, dolgu)</t>
        </is>
      </c>
      <c r="D73" s="27" t="inlineStr">
        <is>
          <t>set</t>
        </is>
      </c>
      <c r="E73" s="50" t="n">
        <v>1</v>
      </c>
      <c r="F73" s="54" t="n">
        <v>0</v>
      </c>
      <c r="G73" s="27" t="inlineStr">
        <is>
          <t>-</t>
        </is>
      </c>
      <c r="H73" s="50">
        <f>F73</f>
        <v/>
      </c>
      <c r="I73" s="51" t="n">
        <v>30000</v>
      </c>
      <c r="J73" s="28">
        <f>H73*I73</f>
        <v/>
      </c>
      <c r="K73" s="55" t="inlineStr">
        <is>
          <t>KAPSAM DIŞI (0)</t>
        </is>
      </c>
      <c r="L73" s="7" t="inlineStr">
        <is>
          <t>TAHMIN (emsal yok) – emsal bulunamadı; mevcut tahmin korundu</t>
        </is>
      </c>
      <c r="M73" s="7" t="inlineStr">
        <is>
          <t>Temel işleri inşaat kapsamı (sıra 13)</t>
        </is>
      </c>
    </row>
    <row r="74" outlineLevel="1">
      <c r="A74" s="27" t="n"/>
      <c r="B74" s="27" t="inlineStr">
        <is>
          <t>2012.B</t>
        </is>
      </c>
      <c r="C74" s="7" t="inlineStr">
        <is>
          <t>Depo katener uygulama projesi, test ve devreye alma</t>
        </is>
      </c>
      <c r="D74" s="27" t="inlineStr">
        <is>
          <t>set</t>
        </is>
      </c>
      <c r="E74" s="50" t="n">
        <v>1</v>
      </c>
      <c r="F74" s="50" t="n">
        <v>1</v>
      </c>
      <c r="G74" s="27" t="inlineStr">
        <is>
          <t>-</t>
        </is>
      </c>
      <c r="H74" s="50">
        <f>F74</f>
        <v/>
      </c>
      <c r="I74" s="51" t="n">
        <v>25000</v>
      </c>
      <c r="J74" s="28">
        <f>H74*I74</f>
        <v/>
      </c>
      <c r="K74" s="53" t="inlineStr">
        <is>
          <t>MÜHENDİSLİK TAHMİNİ</t>
        </is>
      </c>
      <c r="L74" s="7" t="inlineStr">
        <is>
          <t>TAHMIN (emsal yok) – Uygun emsal yok; mevcut tahmin korundu</t>
        </is>
      </c>
      <c r="M74" s="7" t="inlineStr"/>
    </row>
    <row r="75">
      <c r="A75" s="48" t="inlineStr">
        <is>
          <t>222</t>
        </is>
      </c>
      <c r="B75" s="48" t="inlineStr">
        <is>
          <t>2012.C</t>
        </is>
      </c>
      <c r="C75" s="48" t="inlineStr">
        <is>
          <t>T1-A Tipi Katener Direği (114 adet)</t>
        </is>
      </c>
      <c r="D75" s="48" t="n"/>
      <c r="E75" s="48" t="n"/>
      <c r="F75" s="48" t="n"/>
      <c r="G75" s="48" t="n"/>
      <c r="H75" s="48" t="inlineStr">
        <is>
          <t>RFQ tutarı →</t>
        </is>
      </c>
      <c r="I75" s="49">
        <f>SUMPRODUCT(E76:E78,I76:I78)</f>
        <v/>
      </c>
      <c r="J75" s="49">
        <f>SUM(J76:J78)</f>
        <v/>
      </c>
      <c r="K75" s="48" t="n"/>
      <c r="L75" s="48" t="n"/>
      <c r="M75" s="48" t="n"/>
    </row>
    <row r="76" outlineLevel="1">
      <c r="A76" s="27" t="n"/>
      <c r="B76" s="27" t="inlineStr">
        <is>
          <t>2012.C</t>
        </is>
      </c>
      <c r="C76" s="7" t="inlineStr">
        <is>
          <t>T1-A Tipi Katener Direği (114 adet) gövdesi – galvanizli çelik (imalat+galvaniz+dikim)</t>
        </is>
      </c>
      <c r="D76" s="27" t="inlineStr">
        <is>
          <t>kg</t>
        </is>
      </c>
      <c r="E76" s="50" t="n">
        <v>39216</v>
      </c>
      <c r="F76" s="50" t="n">
        <v>39216</v>
      </c>
      <c r="G76" s="27" t="inlineStr">
        <is>
          <t>-</t>
        </is>
      </c>
      <c r="H76" s="50">
        <f>F76</f>
        <v/>
      </c>
      <c r="I76" s="51" t="n">
        <v>2.2</v>
      </c>
      <c r="J76" s="28">
        <f>H76*I76</f>
        <v/>
      </c>
      <c r="K76" s="52" t="inlineStr">
        <is>
          <t>GEÇMİŞ TEKLİF UYARLAMA</t>
        </is>
      </c>
      <c r="L76" s="7" t="inlineStr">
        <is>
          <t>REF-teyit – Bursa T2 direk imalatı İMKON/Kuzey/Karçel: 1,77, 1,84, 1,83, 1,53, 1,38, 2,74 €/kg → medyan 1,80 + sıcak daldırma galvaniz ~0,4 = 2,2 teyit (dikim ayrı satırda; tanımdaki 'dikim' ifadesi düzeltilmeli) [Emsal ID: R04610;R04611;R04612;R04613;R04614;R04615]</t>
        </is>
      </c>
      <c r="M76" s="7" t="inlineStr">
        <is>
          <t>Mitaş teklifi bekleniyor (dikişli S355)</t>
        </is>
      </c>
    </row>
    <row r="77" outlineLevel="1">
      <c r="A77" s="27" t="n"/>
      <c r="B77" s="27" t="inlineStr">
        <is>
          <t>2012.C</t>
        </is>
      </c>
      <c r="C77" s="7" t="inlineStr">
        <is>
          <t>T1-A Tipi Katener Direği (114 adet) ankraj bulonu M30 (somun+rondela HDG)</t>
        </is>
      </c>
      <c r="D77" s="27" t="inlineStr">
        <is>
          <t>adet</t>
        </is>
      </c>
      <c r="E77" s="50" t="n">
        <v>456</v>
      </c>
      <c r="F77" s="50" t="n">
        <v>456</v>
      </c>
      <c r="G77" s="27" t="inlineStr">
        <is>
          <t>-</t>
        </is>
      </c>
      <c r="H77" s="50">
        <f>F77</f>
        <v/>
      </c>
      <c r="I77" s="51" t="n">
        <v>22</v>
      </c>
      <c r="J77" s="28">
        <f>H77*I77</f>
        <v/>
      </c>
      <c r="K77" s="53" t="inlineStr">
        <is>
          <t>MÜHENDİSLİK TAHMİNİ</t>
        </is>
      </c>
      <c r="L77" s="7" t="inlineStr">
        <is>
          <t>TAHMIN (emsal yok) – Uygun emsal yok; mevcut tahmin korundu</t>
        </is>
      </c>
      <c r="M77" s="7" t="inlineStr">
        <is>
          <t>Temel inşaat kapsamında</t>
        </is>
      </c>
    </row>
    <row r="78" outlineLevel="1">
      <c r="A78" s="27" t="n"/>
      <c r="B78" s="27" t="inlineStr">
        <is>
          <t>2012.C</t>
        </is>
      </c>
      <c r="C78" s="7" t="inlineStr">
        <is>
          <t>T1-A Tipi Katener Direği (114 adet) dikim/montaj (vinç, şakül, tork)</t>
        </is>
      </c>
      <c r="D78" s="27" t="inlineStr">
        <is>
          <t>adet</t>
        </is>
      </c>
      <c r="E78" s="50" t="n">
        <v>114</v>
      </c>
      <c r="F78" s="50" t="n">
        <v>114</v>
      </c>
      <c r="G78" s="27" t="inlineStr">
        <is>
          <t>-</t>
        </is>
      </c>
      <c r="H78" s="50">
        <f>F78</f>
        <v/>
      </c>
      <c r="I78" s="51" t="n">
        <v>300</v>
      </c>
      <c r="J78" s="28">
        <f>H78*I78</f>
        <v/>
      </c>
      <c r="K78" s="53" t="inlineStr">
        <is>
          <t>MÜHENDİSLİK TAHMİNİ</t>
        </is>
      </c>
      <c r="L78" s="7" t="inlineStr">
        <is>
          <t>TAHMIN (emsal yok) – Doğrudan emsal yok; kontrol: T1-A 344 kg×2,2+300+bulon ≈1.145/direk ≈ Usluel Tip A 1.102 M+İ → tutarlı</t>
        </is>
      </c>
      <c r="M78" s="7" t="inlineStr"/>
    </row>
    <row r="79">
      <c r="A79" s="48" t="inlineStr">
        <is>
          <t>223</t>
        </is>
      </c>
      <c r="B79" s="48" t="inlineStr">
        <is>
          <t>2012.D</t>
        </is>
      </c>
      <c r="C79" s="48" t="inlineStr">
        <is>
          <t>T2-B Tipi Katener Direği (17 adet)</t>
        </is>
      </c>
      <c r="D79" s="48" t="n"/>
      <c r="E79" s="48" t="n"/>
      <c r="F79" s="48" t="n"/>
      <c r="G79" s="48" t="n"/>
      <c r="H79" s="48" t="inlineStr">
        <is>
          <t>RFQ tutarı →</t>
        </is>
      </c>
      <c r="I79" s="49">
        <f>SUMPRODUCT(E80:E82,I80:I82)</f>
        <v/>
      </c>
      <c r="J79" s="49">
        <f>SUM(J80:J82)</f>
        <v/>
      </c>
      <c r="K79" s="48" t="n"/>
      <c r="L79" s="48" t="n"/>
      <c r="M79" s="48" t="n"/>
    </row>
    <row r="80" outlineLevel="1">
      <c r="A80" s="27" t="n"/>
      <c r="B80" s="27" t="inlineStr">
        <is>
          <t>2012.D</t>
        </is>
      </c>
      <c r="C80" s="7" t="inlineStr">
        <is>
          <t>T2-B Tipi Katener Direği (17 adet) gövdesi – galvanizli çelik (imalat+galvaniz+dikim)</t>
        </is>
      </c>
      <c r="D80" s="27" t="inlineStr">
        <is>
          <t>kg</t>
        </is>
      </c>
      <c r="E80" s="50" t="n">
        <v>7293</v>
      </c>
      <c r="F80" s="50" t="n">
        <v>7293</v>
      </c>
      <c r="G80" s="27" t="inlineStr">
        <is>
          <t>-</t>
        </is>
      </c>
      <c r="H80" s="50">
        <f>F80</f>
        <v/>
      </c>
      <c r="I80" s="51" t="n">
        <v>2.2</v>
      </c>
      <c r="J80" s="28">
        <f>H80*I80</f>
        <v/>
      </c>
      <c r="K80" s="52" t="inlineStr">
        <is>
          <t>GEÇMİŞ TEKLİF UYARLAMA</t>
        </is>
      </c>
      <c r="L80" s="7" t="inlineStr">
        <is>
          <t>REF-teyit – Bursa T2 direk imalatı İMKON/Kuzey/Karçel: 1,77, 1,84, 1,83, 1,53, 1,38, 2,74 €/kg → medyan 1,80 + sıcak daldırma galvaniz ~0,4 = 2,2 teyit (dikim ayrı satırda; tanımdaki 'dikim' ifadesi düzeltilmeli) [Emsal ID: R04610;R04611;R04612;R04613;R04614;R04615]</t>
        </is>
      </c>
      <c r="M80" s="7" t="inlineStr">
        <is>
          <t>Mitaş teklifi bekleniyor (dikişli S355)</t>
        </is>
      </c>
    </row>
    <row r="81" outlineLevel="1">
      <c r="A81" s="27" t="n"/>
      <c r="B81" s="27" t="inlineStr">
        <is>
          <t>2012.D</t>
        </is>
      </c>
      <c r="C81" s="7" t="inlineStr">
        <is>
          <t>T2-B Tipi Katener Direği (17 adet) ankraj bulonu M30 (somun+rondela HDG)</t>
        </is>
      </c>
      <c r="D81" s="27" t="inlineStr">
        <is>
          <t>adet</t>
        </is>
      </c>
      <c r="E81" s="50" t="n">
        <v>136</v>
      </c>
      <c r="F81" s="50" t="n">
        <v>136</v>
      </c>
      <c r="G81" s="27" t="inlineStr">
        <is>
          <t>-</t>
        </is>
      </c>
      <c r="H81" s="50">
        <f>F81</f>
        <v/>
      </c>
      <c r="I81" s="51" t="n">
        <v>22</v>
      </c>
      <c r="J81" s="28">
        <f>H81*I81</f>
        <v/>
      </c>
      <c r="K81" s="53" t="inlineStr">
        <is>
          <t>MÜHENDİSLİK TAHMİNİ</t>
        </is>
      </c>
      <c r="L81" s="7" t="inlineStr">
        <is>
          <t>TAHMIN (emsal yok) – emsal bulunamadı; mevcut tahmin korundu</t>
        </is>
      </c>
      <c r="M81" s="7" t="inlineStr">
        <is>
          <t>Temel inşaat kapsamında</t>
        </is>
      </c>
    </row>
    <row r="82" outlineLevel="1">
      <c r="A82" s="27" t="n"/>
      <c r="B82" s="27" t="inlineStr">
        <is>
          <t>2012.D</t>
        </is>
      </c>
      <c r="C82" s="7" t="inlineStr">
        <is>
          <t>T2-B Tipi Katener Direği (17 adet) dikim/montaj (vinç, şakül, tork)</t>
        </is>
      </c>
      <c r="D82" s="27" t="inlineStr">
        <is>
          <t>adet</t>
        </is>
      </c>
      <c r="E82" s="50" t="n">
        <v>17</v>
      </c>
      <c r="F82" s="50" t="n">
        <v>17</v>
      </c>
      <c r="G82" s="27" t="inlineStr">
        <is>
          <t>-</t>
        </is>
      </c>
      <c r="H82" s="50">
        <f>F82</f>
        <v/>
      </c>
      <c r="I82" s="51" t="n">
        <v>300</v>
      </c>
      <c r="J82" s="28">
        <f>H82*I82</f>
        <v/>
      </c>
      <c r="K82" s="53" t="inlineStr">
        <is>
          <t>MÜHENDİSLİK TAHMİNİ</t>
        </is>
      </c>
      <c r="L82" s="7" t="inlineStr">
        <is>
          <t>TAHMIN (emsal yok) – Doğrudan emsal yok; kontrol: T1-A 344 kg×2,2+300+bulon ≈1.145/direk ≈ Usluel Tip A 1.102 M+İ → tutarlı</t>
        </is>
      </c>
      <c r="M82" s="7" t="inlineStr"/>
    </row>
    <row r="83">
      <c r="A83" s="48" t="inlineStr">
        <is>
          <t>224</t>
        </is>
      </c>
      <c r="B83" s="48" t="inlineStr">
        <is>
          <t>2012.E</t>
        </is>
      </c>
      <c r="C83" s="48" t="inlineStr">
        <is>
          <t>T2-B1 Tipi Katener Direği (4 adet)</t>
        </is>
      </c>
      <c r="D83" s="48" t="n"/>
      <c r="E83" s="48" t="n"/>
      <c r="F83" s="48" t="n"/>
      <c r="G83" s="48" t="n"/>
      <c r="H83" s="48" t="inlineStr">
        <is>
          <t>RFQ tutarı →</t>
        </is>
      </c>
      <c r="I83" s="49">
        <f>SUMPRODUCT(E84:E86,I84:I86)</f>
        <v/>
      </c>
      <c r="J83" s="49">
        <f>SUM(J84:J86)</f>
        <v/>
      </c>
      <c r="K83" s="48" t="n"/>
      <c r="L83" s="48" t="n"/>
      <c r="M83" s="48" t="n"/>
    </row>
    <row r="84" outlineLevel="1">
      <c r="A84" s="27" t="n"/>
      <c r="B84" s="27" t="inlineStr">
        <is>
          <t>2012.E</t>
        </is>
      </c>
      <c r="C84" s="7" t="inlineStr">
        <is>
          <t>T2-B1 Tipi Katener Direği (4 adet) gövdesi – galvanizli çelik (imalat+galvaniz+dikim)</t>
        </is>
      </c>
      <c r="D84" s="27" t="inlineStr">
        <is>
          <t>kg</t>
        </is>
      </c>
      <c r="E84" s="50" t="n">
        <v>1452</v>
      </c>
      <c r="F84" s="50" t="n">
        <v>1452</v>
      </c>
      <c r="G84" s="27" t="inlineStr">
        <is>
          <t>-</t>
        </is>
      </c>
      <c r="H84" s="50">
        <f>F84</f>
        <v/>
      </c>
      <c r="I84" s="51" t="n">
        <v>2.2</v>
      </c>
      <c r="J84" s="28">
        <f>H84*I84</f>
        <v/>
      </c>
      <c r="K84" s="52" t="inlineStr">
        <is>
          <t>GEÇMİŞ TEKLİF UYARLAMA</t>
        </is>
      </c>
      <c r="L84" s="7" t="inlineStr">
        <is>
          <t>REF-teyit – R04610 Kocaeli KentMey.Tram/İMKON 2014 1.77; R04611 Kocaeli KentMey.Tram/İMKON 2014 1.84 | medyan 1.81 ×1.22 (direk imalatı €/kg +%22 galvaniz+dikim) = 2.20 € | sapma +0.1% ≤%10 → mevcut REF teyit [Emsal ID: R04610;R04611]</t>
        </is>
      </c>
      <c r="M84" s="7" t="inlineStr">
        <is>
          <t>Mitaş teklifi bekleniyor (dikişli S355)</t>
        </is>
      </c>
    </row>
    <row r="85" outlineLevel="1">
      <c r="A85" s="27" t="n"/>
      <c r="B85" s="27" t="inlineStr">
        <is>
          <t>2012.E</t>
        </is>
      </c>
      <c r="C85" s="7" t="inlineStr">
        <is>
          <t>T2-B1 Tipi Katener Direği (4 adet) ankraj bulonu M30 (somun+rondela HDG)</t>
        </is>
      </c>
      <c r="D85" s="27" t="inlineStr">
        <is>
          <t>adet</t>
        </is>
      </c>
      <c r="E85" s="50" t="n">
        <v>32</v>
      </c>
      <c r="F85" s="50" t="n">
        <v>32</v>
      </c>
      <c r="G85" s="27" t="inlineStr">
        <is>
          <t>-</t>
        </is>
      </c>
      <c r="H85" s="50">
        <f>F85</f>
        <v/>
      </c>
      <c r="I85" s="51" t="n">
        <v>22</v>
      </c>
      <c r="J85" s="28">
        <f>H85*I85</f>
        <v/>
      </c>
      <c r="K85" s="53" t="inlineStr">
        <is>
          <t>MÜHENDİSLİK TAHMİNİ</t>
        </is>
      </c>
      <c r="L85" s="7" t="inlineStr">
        <is>
          <t>TAHMIN (emsal yok) – emsal bulunamadı; mevcut tahmin korundu</t>
        </is>
      </c>
      <c r="M85" s="7" t="inlineStr">
        <is>
          <t>Temel inşaat kapsamında</t>
        </is>
      </c>
    </row>
    <row r="86" outlineLevel="1">
      <c r="A86" s="27" t="n"/>
      <c r="B86" s="27" t="inlineStr">
        <is>
          <t>2012.E</t>
        </is>
      </c>
      <c r="C86" s="7" t="inlineStr">
        <is>
          <t>T2-B1 Tipi Katener Direği (4 adet) dikim/montaj (vinç, şakül, tork)</t>
        </is>
      </c>
      <c r="D86" s="27" t="inlineStr">
        <is>
          <t>adet</t>
        </is>
      </c>
      <c r="E86" s="50" t="n">
        <v>4</v>
      </c>
      <c r="F86" s="50" t="n">
        <v>4</v>
      </c>
      <c r="G86" s="27" t="inlineStr">
        <is>
          <t>-</t>
        </is>
      </c>
      <c r="H86" s="50">
        <f>F86</f>
        <v/>
      </c>
      <c r="I86" s="51" t="n">
        <v>300</v>
      </c>
      <c r="J86" s="28">
        <f>H86*I86</f>
        <v/>
      </c>
      <c r="K86" s="53" t="inlineStr">
        <is>
          <t>MÜHENDİSLİK TAHMİNİ</t>
        </is>
      </c>
      <c r="L86" s="7" t="inlineStr">
        <is>
          <t>TAHMIN (emsal yok) – emsal bulunamadı; mevcut tahmin korundu</t>
        </is>
      </c>
      <c r="M86" s="7" t="inlineStr"/>
    </row>
    <row r="87">
      <c r="A87" s="48" t="inlineStr">
        <is>
          <t>225</t>
        </is>
      </c>
      <c r="B87" s="48" t="inlineStr">
        <is>
          <t>2012.G</t>
        </is>
      </c>
      <c r="C87" s="48" t="inlineStr">
        <is>
          <t>T3-D Tipi Katener Direği (33 adet)</t>
        </is>
      </c>
      <c r="D87" s="48" t="n"/>
      <c r="E87" s="48" t="n"/>
      <c r="F87" s="48" t="n"/>
      <c r="G87" s="48" t="n"/>
      <c r="H87" s="48" t="inlineStr">
        <is>
          <t>RFQ tutarı →</t>
        </is>
      </c>
      <c r="I87" s="49">
        <f>SUMPRODUCT(E88:E90,I88:I90)</f>
        <v/>
      </c>
      <c r="J87" s="49">
        <f>SUM(J88:J90)</f>
        <v/>
      </c>
      <c r="K87" s="48" t="n"/>
      <c r="L87" s="48" t="n"/>
      <c r="M87" s="48" t="n"/>
    </row>
    <row r="88" outlineLevel="1">
      <c r="A88" s="27" t="n"/>
      <c r="B88" s="27" t="inlineStr">
        <is>
          <t>2012.G</t>
        </is>
      </c>
      <c r="C88" s="7" t="inlineStr">
        <is>
          <t>T3-D Tipi Katener Direği (33 adet) gövdesi – galvanizli çelik (imalat+galvaniz+dikim)</t>
        </is>
      </c>
      <c r="D88" s="27" t="inlineStr">
        <is>
          <t>kg</t>
        </is>
      </c>
      <c r="E88" s="50" t="n">
        <v>21912</v>
      </c>
      <c r="F88" s="50" t="n">
        <v>21912</v>
      </c>
      <c r="G88" s="27" t="inlineStr">
        <is>
          <t>-</t>
        </is>
      </c>
      <c r="H88" s="50">
        <f>F88</f>
        <v/>
      </c>
      <c r="I88" s="51" t="n">
        <v>2.2</v>
      </c>
      <c r="J88" s="28">
        <f>H88*I88</f>
        <v/>
      </c>
      <c r="K88" s="52" t="inlineStr">
        <is>
          <t>GEÇMİŞ TEKLİF UYARLAMA</t>
        </is>
      </c>
      <c r="L88" s="7" t="inlineStr">
        <is>
          <t>REF-teyit – Bursa T2 direk imalatı İMKON/Kuzey/Karçel: 1,77, 1,84, 1,83, 1,53, 1,38, 2,74 €/kg → medyan 1,80 + sıcak daldırma galvaniz ~0,4 = 2,2 teyit (dikim ayrı satırda; tanımdaki 'dikim' ifadesi düzeltilmeli) [Emsal ID: R04610;R04611;R04612;R04613;R04614;R04615]</t>
        </is>
      </c>
      <c r="M88" s="7" t="inlineStr">
        <is>
          <t>Mitaş teklifi bekleniyor (dikişli S355)</t>
        </is>
      </c>
    </row>
    <row r="89" outlineLevel="1">
      <c r="A89" s="27" t="n"/>
      <c r="B89" s="27" t="inlineStr">
        <is>
          <t>2012.G</t>
        </is>
      </c>
      <c r="C89" s="7" t="inlineStr">
        <is>
          <t>T3-D Tipi Katener Direği (33 adet) ankraj bulonu M30 (somun+rondela HDG)</t>
        </is>
      </c>
      <c r="D89" s="27" t="inlineStr">
        <is>
          <t>adet</t>
        </is>
      </c>
      <c r="E89" s="50" t="n">
        <v>330</v>
      </c>
      <c r="F89" s="50" t="n">
        <v>330</v>
      </c>
      <c r="G89" s="27" t="inlineStr">
        <is>
          <t>-</t>
        </is>
      </c>
      <c r="H89" s="50">
        <f>F89</f>
        <v/>
      </c>
      <c r="I89" s="51" t="n">
        <v>22</v>
      </c>
      <c r="J89" s="28">
        <f>H89*I89</f>
        <v/>
      </c>
      <c r="K89" s="53" t="inlineStr">
        <is>
          <t>MÜHENDİSLİK TAHMİNİ</t>
        </is>
      </c>
      <c r="L89" s="7" t="inlineStr">
        <is>
          <t>TAHMIN (emsal yok) – Uygun emsal yok; mevcut tahmin korundu</t>
        </is>
      </c>
      <c r="M89" s="7" t="inlineStr">
        <is>
          <t>Temel inşaat kapsamında</t>
        </is>
      </c>
    </row>
    <row r="90" outlineLevel="1">
      <c r="A90" s="27" t="n"/>
      <c r="B90" s="27" t="inlineStr">
        <is>
          <t>2012.G</t>
        </is>
      </c>
      <c r="C90" s="7" t="inlineStr">
        <is>
          <t>T3-D Tipi Katener Direği (33 adet) dikim/montaj (vinç, şakül, tork)</t>
        </is>
      </c>
      <c r="D90" s="27" t="inlineStr">
        <is>
          <t>adet</t>
        </is>
      </c>
      <c r="E90" s="50" t="n">
        <v>33</v>
      </c>
      <c r="F90" s="50" t="n">
        <v>33</v>
      </c>
      <c r="G90" s="27" t="inlineStr">
        <is>
          <t>-</t>
        </is>
      </c>
      <c r="H90" s="50">
        <f>F90</f>
        <v/>
      </c>
      <c r="I90" s="51" t="n">
        <v>300</v>
      </c>
      <c r="J90" s="28">
        <f>H90*I90</f>
        <v/>
      </c>
      <c r="K90" s="53" t="inlineStr">
        <is>
          <t>MÜHENDİSLİK TAHMİNİ</t>
        </is>
      </c>
      <c r="L90" s="7" t="inlineStr">
        <is>
          <t>TAHMIN (emsal yok) – Doğrudan emsal yok; kontrol: T1-A 344 kg×2,2+300+bulon ≈1.145/direk ≈ Usluel Tip A 1.102 M+İ → tutarlı</t>
        </is>
      </c>
      <c r="M90" s="7" t="inlineStr"/>
    </row>
    <row r="91">
      <c r="A91" s="48" t="inlineStr">
        <is>
          <t>226</t>
        </is>
      </c>
      <c r="B91" s="48" t="inlineStr">
        <is>
          <t>2012.F</t>
        </is>
      </c>
      <c r="C91" s="48" t="inlineStr">
        <is>
          <t>T3-C Tipi Katener Direği (60 adet)</t>
        </is>
      </c>
      <c r="D91" s="48" t="n"/>
      <c r="E91" s="48" t="n"/>
      <c r="F91" s="48" t="n"/>
      <c r="G91" s="48" t="n"/>
      <c r="H91" s="48" t="inlineStr">
        <is>
          <t>RFQ tutarı →</t>
        </is>
      </c>
      <c r="I91" s="49">
        <f>SUMPRODUCT(E92:E94,I92:I94)</f>
        <v/>
      </c>
      <c r="J91" s="49">
        <f>SUM(J92:J94)</f>
        <v/>
      </c>
      <c r="K91" s="48" t="n"/>
      <c r="L91" s="48" t="n"/>
      <c r="M91" s="48" t="n"/>
    </row>
    <row r="92" outlineLevel="1">
      <c r="A92" s="27" t="n"/>
      <c r="B92" s="27" t="inlineStr">
        <is>
          <t>2012.F</t>
        </is>
      </c>
      <c r="C92" s="7" t="inlineStr">
        <is>
          <t>T3-C Tipi Katener Direği (60 adet) gövdesi – galvanizli çelik (imalat+galvaniz+dikim)</t>
        </is>
      </c>
      <c r="D92" s="27" t="inlineStr">
        <is>
          <t>kg</t>
        </is>
      </c>
      <c r="E92" s="50" t="n">
        <v>39840</v>
      </c>
      <c r="F92" s="50" t="n">
        <v>39840</v>
      </c>
      <c r="G92" s="27" t="inlineStr">
        <is>
          <t>-</t>
        </is>
      </c>
      <c r="H92" s="50">
        <f>F92</f>
        <v/>
      </c>
      <c r="I92" s="51" t="n">
        <v>2.2</v>
      </c>
      <c r="J92" s="28">
        <f>H92*I92</f>
        <v/>
      </c>
      <c r="K92" s="52" t="inlineStr">
        <is>
          <t>GEÇMİŞ TEKLİF UYARLAMA</t>
        </is>
      </c>
      <c r="L92" s="7" t="inlineStr">
        <is>
          <t>REF-teyit – Bursa T2 direk imalatı İMKON/Kuzey/Karçel: 1,77, 1,84, 1,83, 1,53, 1,38, 2,74 €/kg → medyan 1,80 + sıcak daldırma galvaniz ~0,4 = 2,2 teyit (dikim ayrı satırda; tanımdaki 'dikim' ifadesi düzeltilmeli) [Emsal ID: R04610;R04611;R04612;R04613;R04614;R04615]</t>
        </is>
      </c>
      <c r="M92" s="7" t="inlineStr">
        <is>
          <t>Mitaş teklifi bekleniyor (dikişli S355)</t>
        </is>
      </c>
    </row>
    <row r="93" outlineLevel="1">
      <c r="A93" s="27" t="n"/>
      <c r="B93" s="27" t="inlineStr">
        <is>
          <t>2012.F</t>
        </is>
      </c>
      <c r="C93" s="7" t="inlineStr">
        <is>
          <t>T3-C Tipi Katener Direği (60 adet) ankraj bulonu M30 (somun+rondela HDG)</t>
        </is>
      </c>
      <c r="D93" s="27" t="inlineStr">
        <is>
          <t>adet</t>
        </is>
      </c>
      <c r="E93" s="50" t="n">
        <v>600</v>
      </c>
      <c r="F93" s="50" t="n">
        <v>600</v>
      </c>
      <c r="G93" s="27" t="inlineStr">
        <is>
          <t>-</t>
        </is>
      </c>
      <c r="H93" s="50">
        <f>F93</f>
        <v/>
      </c>
      <c r="I93" s="51" t="n">
        <v>22</v>
      </c>
      <c r="J93" s="28">
        <f>H93*I93</f>
        <v/>
      </c>
      <c r="K93" s="53" t="inlineStr">
        <is>
          <t>MÜHENDİSLİK TAHMİNİ</t>
        </is>
      </c>
      <c r="L93" s="7" t="inlineStr">
        <is>
          <t>TAHMIN (emsal yok) – Uygun emsal yok; mevcut tahmin korundu</t>
        </is>
      </c>
      <c r="M93" s="7" t="inlineStr">
        <is>
          <t>Temel inşaat kapsamında</t>
        </is>
      </c>
    </row>
    <row r="94" outlineLevel="1">
      <c r="A94" s="27" t="n"/>
      <c r="B94" s="27" t="inlineStr">
        <is>
          <t>2012.F</t>
        </is>
      </c>
      <c r="C94" s="7" t="inlineStr">
        <is>
          <t>T3-C Tipi Katener Direği (60 adet) dikim/montaj (vinç, şakül, tork)</t>
        </is>
      </c>
      <c r="D94" s="27" t="inlineStr">
        <is>
          <t>adet</t>
        </is>
      </c>
      <c r="E94" s="50" t="n">
        <v>60</v>
      </c>
      <c r="F94" s="50" t="n">
        <v>60</v>
      </c>
      <c r="G94" s="27" t="inlineStr">
        <is>
          <t>-</t>
        </is>
      </c>
      <c r="H94" s="50">
        <f>F94</f>
        <v/>
      </c>
      <c r="I94" s="51" t="n">
        <v>300</v>
      </c>
      <c r="J94" s="28">
        <f>H94*I94</f>
        <v/>
      </c>
      <c r="K94" s="53" t="inlineStr">
        <is>
          <t>MÜHENDİSLİK TAHMİNİ</t>
        </is>
      </c>
      <c r="L94" s="7" t="inlineStr">
        <is>
          <t>TAHMIN (emsal yok) – Doğrudan emsal yok; kontrol: T1-A 344 kg×2,2+300+bulon ≈1.145/direk ≈ Usluel Tip A 1.102 M+İ → tutarlı</t>
        </is>
      </c>
      <c r="M94" s="7" t="inlineStr"/>
    </row>
    <row r="95"/>
    <row r="96">
      <c r="C96" s="14" t="inlineStr">
        <is>
          <t>TOPLAM (net metraj, idare cevaplarına göre)</t>
        </is>
      </c>
      <c r="J96" s="56">
        <f>J5+J42+J75+J79+J83+J87+J91</f>
        <v/>
      </c>
    </row>
    <row r="97">
      <c r="C97" s="14" t="inlineStr">
        <is>
          <t>Karşılaştırma: RFQ cetvel miktarlarıyla (şişirmeli, düzeltmesiz) tutar</t>
        </is>
      </c>
      <c r="J97" s="56">
        <f>I5+I42+I75+I79+I83+I87+I91</f>
        <v/>
      </c>
    </row>
    <row r="98">
      <c r="C98" s="14" t="inlineStr">
        <is>
          <t>Fark (metraj payları + idare cevapları)</t>
        </is>
      </c>
      <c r="J98" s="56">
        <f>J96-J97</f>
        <v/>
      </c>
    </row>
    <row r="99"/>
    <row r="100">
      <c r="C100" s="19" t="inlineStr">
        <is>
          <t>FİYAT TÜRÜNE GÖRE DAĞILIM</t>
        </is>
      </c>
    </row>
    <row r="101">
      <c r="C101" s="57" t="inlineStr">
        <is>
          <t>2026 TEKLİF</t>
        </is>
      </c>
      <c r="J101" s="23">
        <f>SUMIF($K$5:$K$94,"2026 TEKLİF",$J$5:$J$94)</f>
        <v/>
      </c>
      <c r="K101" s="58">
        <f>IF($J$96=0,0,J101/$J$96)</f>
        <v/>
      </c>
    </row>
    <row r="102">
      <c r="C102" s="59" t="inlineStr">
        <is>
          <t>GEÇMİŞ TEKLİF UYARLAMA</t>
        </is>
      </c>
      <c r="J102" s="23">
        <f>SUMIF($K$5:$K$94,"GEÇMİŞ TEKLİF UYARLAMA",$J$5:$J$94)</f>
        <v/>
      </c>
      <c r="K102" s="58">
        <f>IF($J$96=0,0,J102/$J$96)</f>
        <v/>
      </c>
    </row>
    <row r="103">
      <c r="C103" s="60" t="inlineStr">
        <is>
          <t>MÜHENDİSLİK TAHMİNİ</t>
        </is>
      </c>
      <c r="J103" s="23">
        <f>SUMIF($K$5:$K$94,"MÜHENDİSLİK TAHMİNİ",$J$5:$J$94)</f>
        <v/>
      </c>
      <c r="K103" s="58">
        <f>IF($J$96=0,0,J103/$J$96)</f>
        <v/>
      </c>
    </row>
    <row r="104">
      <c r="C104" s="61" t="inlineStr">
        <is>
          <t>İdare cevabıyla kapsam dışı kalan kalemlerin RFQ'daki değeri (bilgi)</t>
        </is>
      </c>
      <c r="J104" s="23">
        <f>SUMPRODUCT(($K$5:$K$94="KAPSAM DIŞI (0)")*$E$5:$E$94*$I$5:$I$94)</f>
        <v/>
      </c>
    </row>
  </sheetData>
  <autoFilter ref="A4:M4"/>
  <mergeCells count="3">
    <mergeCell ref="A3:B3"/>
    <mergeCell ref="A2:M2"/>
    <mergeCell ref="C3:M3"/>
  </mergeCell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sheetPr>
  <dimension ref="A1:N118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9" customWidth="1" min="3" max="3"/>
    <col width="24" customWidth="1" min="4" max="4"/>
    <col width="11" customWidth="1" min="5" max="5"/>
    <col width="60" customWidth="1" min="6" max="6"/>
    <col width="8" customWidth="1" min="7" max="7"/>
    <col width="12" customWidth="1" min="8" max="8"/>
    <col width="8" customWidth="1" min="9" max="9"/>
    <col width="9" customWidth="1" min="10" max="10"/>
    <col width="13" customWidth="1" min="11" max="11"/>
    <col width="10" customWidth="1" min="12" max="12"/>
    <col width="10" customWidth="1" min="13" max="13"/>
    <col width="50" customWidth="1" min="14" max="14"/>
  </cols>
  <sheetData>
    <row r="1">
      <c r="A1" s="1" t="inlineStr">
        <is>
          <t>EMSAL KAYNAKLARI – bu bütçede kullanılan geçmiş teklif satırları (her satır kaynak teklif dosyasına izlenebilir)</t>
        </is>
      </c>
    </row>
    <row r="2" ht="28" customHeight="1">
      <c r="A2" s="2" t="inlineStr">
        <is>
          <t>EUR (Ağu-2026) = Orijinal fiyat ÷ ECB kuru (teklif günü) × HICP(Ağu-2026)/HICP(teklif ayı). Kullanıldığı kalem sayısı: bu emsale atıf yapan bütçe satırı adedi.</t>
        </is>
      </c>
    </row>
    <row r="3"/>
    <row r="4">
      <c r="A4" s="3" t="inlineStr">
        <is>
          <t>Emsal ID</t>
        </is>
      </c>
      <c r="B4" s="3" t="inlineStr">
        <is>
          <t>Proje</t>
        </is>
      </c>
      <c r="C4" s="3" t="inlineStr">
        <is>
          <t>Hat tipi</t>
        </is>
      </c>
      <c r="D4" s="3" t="inlineStr">
        <is>
          <t>Firma</t>
        </is>
      </c>
      <c r="E4" s="3" t="inlineStr">
        <is>
          <t>Teklif tarihi</t>
        </is>
      </c>
      <c r="F4" s="3" t="inlineStr">
        <is>
          <t>Kalem (teklifteki ifade)</t>
        </is>
      </c>
      <c r="G4" s="3" t="inlineStr">
        <is>
          <t>Birim</t>
        </is>
      </c>
      <c r="H4" s="3" t="inlineStr">
        <is>
          <t>Orijinal BF</t>
        </is>
      </c>
      <c r="I4" s="3" t="inlineStr">
        <is>
          <t>Para birimi</t>
        </is>
      </c>
      <c r="J4" s="3" t="inlineStr">
        <is>
          <t>Kapsam</t>
        </is>
      </c>
      <c r="K4" s="3" t="inlineStr">
        <is>
          <t>EUR (Ağu-2026)</t>
        </is>
      </c>
      <c r="L4" s="3" t="inlineStr">
        <is>
          <t>Eşleşen URF poz</t>
        </is>
      </c>
      <c r="M4" s="3" t="inlineStr">
        <is>
          <t>Kullanıldığı kalem sayısı</t>
        </is>
      </c>
      <c r="N4" s="3" t="inlineStr">
        <is>
          <t>Not</t>
        </is>
      </c>
    </row>
    <row r="5">
      <c r="A5" s="22" t="inlineStr">
        <is>
          <t>R00479</t>
        </is>
      </c>
      <c r="B5" s="22" t="inlineStr">
        <is>
          <t>Ankara-Sivas_YHT_Projesi_5_ad_YHT_istasyon_yapimi</t>
        </is>
      </c>
      <c r="C5" s="22" t="inlineStr">
        <is>
          <t>YHT</t>
        </is>
      </c>
      <c r="D5" s="22" t="inlineStr">
        <is>
          <t>Platin Elektrik</t>
        </is>
      </c>
      <c r="E5" s="22" t="inlineStr">
        <is>
          <t>2019-03-29</t>
        </is>
      </c>
      <c r="F5" s="22" t="inlineStr">
        <is>
          <t>24.4.2.2.1/002 250 kVA TMK İLE ANA GİRİŞ DAHİLİ TİP A.G. PANOSU-Sokak Aydınlatma Çıkışlı</t>
        </is>
      </c>
      <c r="G5" s="22" t="inlineStr">
        <is>
          <t>adet</t>
        </is>
      </c>
      <c r="H5" s="63" t="n">
        <v>12809.65</v>
      </c>
      <c r="I5" s="22" t="inlineStr">
        <is>
          <t>TRY</t>
        </is>
      </c>
      <c r="J5" s="22" t="inlineStr"/>
      <c r="K5" s="63" t="n">
        <v>2584.47893378794</v>
      </c>
      <c r="L5" s="22" t="inlineStr">
        <is>
          <t>2006.H</t>
        </is>
      </c>
      <c r="M5" s="22" t="n">
        <v>1</v>
      </c>
      <c r="N5" s="22" t="inlineStr">
        <is>
          <t>Ankara-Sivas YHT 5 istasyon binası elektrik işleri; Çevre Şehircilik/TEDAŞ poz bazlı birim fiyat (malzeme+işçilik), TL KDV hariç; 2019 kuru ~6,2-6,4 TL/€</t>
        </is>
      </c>
    </row>
    <row r="6">
      <c r="A6" s="22" t="inlineStr">
        <is>
          <t>R00480</t>
        </is>
      </c>
      <c r="B6" s="22" t="inlineStr">
        <is>
          <t>Ankara-Sivas_YHT_Projesi_5_ad_YHT_istasyon_yapimi</t>
        </is>
      </c>
      <c r="C6" s="22" t="inlineStr">
        <is>
          <t>YHT</t>
        </is>
      </c>
      <c r="D6" s="22" t="inlineStr">
        <is>
          <t>Platin Elektrik</t>
        </is>
      </c>
      <c r="E6" s="22" t="inlineStr">
        <is>
          <t>2019-03-29</t>
        </is>
      </c>
      <c r="F6" s="22" t="inlineStr">
        <is>
          <t>30.1/001 GALVANİZLİ TOPRAKLAMA ŞERİDİ VE GÖMÜLMESİ</t>
        </is>
      </c>
      <c r="G6" s="22" t="inlineStr">
        <is>
          <t>metre</t>
        </is>
      </c>
      <c r="H6" s="63" t="n">
        <v>22.68</v>
      </c>
      <c r="I6" s="22" t="inlineStr">
        <is>
          <t>TRY</t>
        </is>
      </c>
      <c r="J6" s="22" t="inlineStr"/>
      <c r="K6" s="63" t="n">
        <v>4.57592379325825</v>
      </c>
      <c r="L6" s="22" t="inlineStr">
        <is>
          <t>2008.H</t>
        </is>
      </c>
      <c r="M6" s="22" t="n">
        <v>11</v>
      </c>
      <c r="N6" s="22" t="inlineStr">
        <is>
          <t>Ankara-Sivas YHT 5 istasyon binası elektrik işleri; Çevre Şehircilik/TEDAŞ poz bazlı birim fiyat (malzeme+işçilik), TL KDV hariç; 2019 kuru ~6,2-6,4 TL/€</t>
        </is>
      </c>
    </row>
    <row r="7">
      <c r="A7" s="22" t="inlineStr">
        <is>
          <t>R00484</t>
        </is>
      </c>
      <c r="B7" s="22" t="inlineStr">
        <is>
          <t>Ankara-Sivas_YHT_Projesi_5_ad_YHT_istasyon_yapimi</t>
        </is>
      </c>
      <c r="C7" s="22" t="inlineStr">
        <is>
          <t>YHT</t>
        </is>
      </c>
      <c r="D7" s="22" t="inlineStr">
        <is>
          <t>Platin Elektrik</t>
        </is>
      </c>
      <c r="E7" s="22" t="inlineStr">
        <is>
          <t>2019-03-29</t>
        </is>
      </c>
      <c r="F7" s="22" t="inlineStr">
        <is>
          <t>701201 Önden kapaklı saç pano (ts en 61439-1/2 )</t>
        </is>
      </c>
      <c r="G7" s="22" t="inlineStr">
        <is>
          <t>adet</t>
        </is>
      </c>
      <c r="H7" s="63" t="n">
        <v>8152.33</v>
      </c>
      <c r="I7" s="22" t="inlineStr">
        <is>
          <t>TRY</t>
        </is>
      </c>
      <c r="J7" s="22" t="inlineStr"/>
      <c r="K7" s="63" t="n">
        <v>1644.81661452791</v>
      </c>
      <c r="L7" s="22" t="inlineStr">
        <is>
          <t>5002.B</t>
        </is>
      </c>
      <c r="M7" s="22" t="n">
        <v>6</v>
      </c>
      <c r="N7" s="22" t="inlineStr">
        <is>
          <t>Ankara-Sivas YHT 5 istasyon binası elektrik işleri; Çevre Şehircilik/TEDAŞ poz bazlı birim fiyat (malzeme+işçilik), TL KDV hariç; 2019 kuru ~6,2-6,4 TL/€</t>
        </is>
      </c>
    </row>
    <row r="8">
      <c r="A8" s="22" t="inlineStr">
        <is>
          <t>R00485</t>
        </is>
      </c>
      <c r="B8" s="22" t="inlineStr">
        <is>
          <t>Ankara-Sivas_YHT_Projesi_5_ad_YHT_istasyon_yapimi</t>
        </is>
      </c>
      <c r="C8" s="22" t="inlineStr">
        <is>
          <t>YHT</t>
        </is>
      </c>
      <c r="D8" s="22" t="inlineStr">
        <is>
          <t>Platin Elektrik</t>
        </is>
      </c>
      <c r="E8" s="22" t="inlineStr">
        <is>
          <t>2019-03-29</t>
        </is>
      </c>
      <c r="F8" s="22" t="inlineStr">
        <is>
          <t>726.304 Borusuz serbest döşenen topraklama hattı 16 mm2</t>
        </is>
      </c>
      <c r="G8" s="22" t="inlineStr">
        <is>
          <t>metre</t>
        </is>
      </c>
      <c r="H8" s="63" t="n">
        <v>16.62</v>
      </c>
      <c r="I8" s="22" t="inlineStr">
        <is>
          <t>TRY</t>
        </is>
      </c>
      <c r="J8" s="22" t="inlineStr"/>
      <c r="K8" s="63" t="n">
        <v>3.35325632468925</v>
      </c>
      <c r="L8" s="22" t="inlineStr">
        <is>
          <t>2008.H</t>
        </is>
      </c>
      <c r="M8" s="22" t="n">
        <v>1</v>
      </c>
      <c r="N8" s="22" t="inlineStr">
        <is>
          <t>Ankara-Sivas YHT 5 istasyon binası elektrik işleri; Çevre Şehircilik/TEDAŞ poz bazlı birim fiyat (malzeme+işçilik), TL KDV hariç; 2019 kuru ~6,2-6,4 TL/€</t>
        </is>
      </c>
    </row>
    <row r="9">
      <c r="A9" s="22" t="inlineStr">
        <is>
          <t>R00486</t>
        </is>
      </c>
      <c r="B9" s="22" t="inlineStr">
        <is>
          <t>Ankara-Sivas_YHT_Projesi_5_ad_YHT_istasyon_yapimi</t>
        </is>
      </c>
      <c r="C9" s="22" t="inlineStr">
        <is>
          <t>YHT</t>
        </is>
      </c>
      <c r="D9" s="22" t="inlineStr">
        <is>
          <t>Platin Elektrik</t>
        </is>
      </c>
      <c r="E9" s="22" t="inlineStr">
        <is>
          <t>2019-03-29</t>
        </is>
      </c>
      <c r="F9" s="22" t="inlineStr">
        <is>
          <t>742.1106 Sıva altı, min. 60x60 ebatlarında LED li tavan armatürü (ışık akısı en az 3300 lm, tüketim değeri en fazla 36 w olan)</t>
        </is>
      </c>
      <c r="G9" s="22" t="inlineStr">
        <is>
          <t>adet</t>
        </is>
      </c>
      <c r="H9" s="63" t="n">
        <v>288.66</v>
      </c>
      <c r="I9" s="22" t="inlineStr">
        <is>
          <t>TRY</t>
        </is>
      </c>
      <c r="J9" s="22" t="inlineStr"/>
      <c r="K9" s="63" t="n">
        <v>58.2401306067869</v>
      </c>
      <c r="L9" s="22" t="inlineStr">
        <is>
          <t>5002.G</t>
        </is>
      </c>
      <c r="M9" s="22" t="n">
        <v>3</v>
      </c>
      <c r="N9" s="22" t="inlineStr">
        <is>
          <t>Ankara-Sivas YHT 5 istasyon binası elektrik işleri; Çevre Şehircilik/TEDAŞ poz bazlı birim fiyat (malzeme+işçilik), TL KDV hariç; 2019 kuru ~6,2-6,4 TL/€</t>
        </is>
      </c>
    </row>
    <row r="10">
      <c r="A10" s="22" t="inlineStr">
        <is>
          <t>R00487</t>
        </is>
      </c>
      <c r="B10" s="22" t="inlineStr">
        <is>
          <t>Ankara-Sivas_YHT_Projesi_5_ad_YHT_istasyon_yapimi</t>
        </is>
      </c>
      <c r="C10" s="22" t="inlineStr">
        <is>
          <t>YHT</t>
        </is>
      </c>
      <c r="D10" s="22" t="inlineStr">
        <is>
          <t>Platin Elektrik</t>
        </is>
      </c>
      <c r="E10" s="22" t="inlineStr">
        <is>
          <t>2019-03-29</t>
        </is>
      </c>
      <c r="F10" s="22" t="inlineStr">
        <is>
          <t>742.1152 Sıva altı, LED'li dairesel (downlight) armatür (ışık akısı en az 1700 lm, tüketim değeri en fazla 24 W olan)</t>
        </is>
      </c>
      <c r="G10" s="22" t="inlineStr">
        <is>
          <t>adet</t>
        </is>
      </c>
      <c r="H10" s="63" t="n">
        <v>176.47</v>
      </c>
      <c r="I10" s="22" t="inlineStr">
        <is>
          <t>TRY</t>
        </is>
      </c>
      <c r="J10" s="22" t="inlineStr"/>
      <c r="K10" s="63" t="n">
        <v>35.6046416135927</v>
      </c>
      <c r="L10" s="22" t="inlineStr">
        <is>
          <t>5002.G</t>
        </is>
      </c>
      <c r="M10" s="22" t="n">
        <v>3</v>
      </c>
      <c r="N10" s="22" t="inlineStr">
        <is>
          <t>Ankara-Sivas YHT 5 istasyon binası elektrik işleri; Çevre Şehircilik/TEDAŞ poz bazlı birim fiyat (malzeme+işçilik), TL KDV hariç; 2019 kuru ~6,2-6,4 TL/€</t>
        </is>
      </c>
    </row>
    <row r="11">
      <c r="A11" s="22" t="inlineStr">
        <is>
          <t>R00488</t>
        </is>
      </c>
      <c r="B11" s="22" t="inlineStr">
        <is>
          <t>Ankara-Sivas_YHT_Projesi_5_ad_YHT_istasyon_yapimi</t>
        </is>
      </c>
      <c r="C11" s="22" t="inlineStr">
        <is>
          <t>YHT</t>
        </is>
      </c>
      <c r="D11" s="22" t="inlineStr">
        <is>
          <t>Platin Elektrik</t>
        </is>
      </c>
      <c r="E11" s="22" t="inlineStr">
        <is>
          <t>2019-03-29</t>
        </is>
      </c>
      <c r="F11" s="22" t="inlineStr">
        <is>
          <t>742.1251 Işık akısı en az 1800 lm, tüketim değeri en fazla 20 W. LED Sıva Üstü Etanj Armatür (Polikarbon gövdeli)</t>
        </is>
      </c>
      <c r="G11" s="22" t="inlineStr">
        <is>
          <t>adet</t>
        </is>
      </c>
      <c r="H11" s="63" t="n">
        <v>235.54</v>
      </c>
      <c r="I11" s="22" t="inlineStr">
        <is>
          <t>TRY</t>
        </is>
      </c>
      <c r="J11" s="22" t="inlineStr"/>
      <c r="K11" s="63" t="n">
        <v>47.5226230275153</v>
      </c>
      <c r="L11" s="22" t="inlineStr">
        <is>
          <t>5002.B</t>
        </is>
      </c>
      <c r="M11" s="22" t="n">
        <v>26</v>
      </c>
      <c r="N11" s="22" t="inlineStr">
        <is>
          <t>Ankara-Sivas YHT 5 istasyon binası elektrik işleri; Çevre Şehircilik/TEDAŞ poz bazlı birim fiyat (malzeme+işçilik), TL KDV hariç; 2019 kuru ~6,2-6,4 TL/€</t>
        </is>
      </c>
    </row>
    <row r="12">
      <c r="A12" s="22" t="inlineStr">
        <is>
          <t>R00489</t>
        </is>
      </c>
      <c r="B12" s="22" t="inlineStr">
        <is>
          <t>Ankara-Sivas_YHT_Projesi_5_ad_YHT_istasyon_yapimi</t>
        </is>
      </c>
      <c r="C12" s="22" t="inlineStr">
        <is>
          <t>YHT</t>
        </is>
      </c>
      <c r="D12" s="22" t="inlineStr">
        <is>
          <t>Platin Elektrik</t>
        </is>
      </c>
      <c r="E12" s="22" t="inlineStr">
        <is>
          <t>2019-03-29</t>
        </is>
      </c>
      <c r="F12" s="22" t="inlineStr">
        <is>
          <t>742.1550 Led aydınlatma armatürleri için acil durum aydınlatma kiti fiyat farkı</t>
        </is>
      </c>
      <c r="G12" s="22" t="inlineStr">
        <is>
          <t>adet</t>
        </is>
      </c>
      <c r="H12" s="63" t="n">
        <v>200.78</v>
      </c>
      <c r="I12" s="22" t="inlineStr">
        <is>
          <t>TRY</t>
        </is>
      </c>
      <c r="J12" s="22" t="inlineStr"/>
      <c r="K12" s="63" t="n">
        <v>40.5094347094529</v>
      </c>
      <c r="L12" s="22" t="inlineStr">
        <is>
          <t>5002.B</t>
        </is>
      </c>
      <c r="M12" s="22" t="n">
        <v>6</v>
      </c>
      <c r="N12" s="22" t="inlineStr">
        <is>
          <t>Ankara-Sivas YHT 5 istasyon binası elektrik işleri; Çevre Şehircilik/TEDAŞ poz bazlı birim fiyat (malzeme+işçilik), TL KDV hariç; 2019 kuru ~6,2-6,4 TL/€</t>
        </is>
      </c>
    </row>
    <row r="13">
      <c r="A13" s="22" t="inlineStr">
        <is>
          <t>R00490</t>
        </is>
      </c>
      <c r="B13" s="22" t="inlineStr">
        <is>
          <t>Ankara-Sivas_YHT_Projesi_5_ad_YHT_istasyon_yapimi</t>
        </is>
      </c>
      <c r="C13" s="22" t="inlineStr">
        <is>
          <t>YHT</t>
        </is>
      </c>
      <c r="D13" s="22" t="inlineStr">
        <is>
          <t>Platin Elektrik</t>
        </is>
      </c>
      <c r="E13" s="22" t="inlineStr">
        <is>
          <t>2019-03-29</t>
        </is>
      </c>
      <c r="F13" s="22" t="inlineStr">
        <is>
          <t>742.455 Led prj. 100 wat'a kadar (220 v. ac.)</t>
        </is>
      </c>
      <c r="G13" s="22" t="inlineStr">
        <is>
          <t>adet</t>
        </is>
      </c>
      <c r="H13" s="63" t="n">
        <v>1362.04</v>
      </c>
      <c r="I13" s="22" t="inlineStr">
        <is>
          <t>TRY</t>
        </is>
      </c>
      <c r="J13" s="22" t="inlineStr"/>
      <c r="K13" s="63" t="n">
        <v>274.805610377842</v>
      </c>
      <c r="L13" s="22" t="inlineStr">
        <is>
          <t>5002.B</t>
        </is>
      </c>
      <c r="M13" s="22" t="n">
        <v>13</v>
      </c>
      <c r="N13" s="22" t="inlineStr">
        <is>
          <t>Ankara-Sivas YHT 5 istasyon binası elektrik işleri; Çevre Şehircilik/TEDAŞ poz bazlı birim fiyat (malzeme+işçilik), TL KDV hariç; 2019 kuru ~6,2-6,4 TL/€</t>
        </is>
      </c>
    </row>
    <row r="14">
      <c r="A14" s="22" t="inlineStr">
        <is>
          <t>R00504</t>
        </is>
      </c>
      <c r="B14" s="22" t="inlineStr">
        <is>
          <t>Bakirkoy_Kirazli_Metro</t>
        </is>
      </c>
      <c r="C14" s="22" t="inlineStr">
        <is>
          <t>metro</t>
        </is>
      </c>
      <c r="D14" s="22" t="inlineStr">
        <is>
          <t>Müfit Ünlüdağ? (klasör CER_MÜnlüdag)</t>
        </is>
      </c>
      <c r="E14" s="22" t="inlineStr">
        <is>
          <t>2014-11-06</t>
        </is>
      </c>
      <c r="F14" s="22" t="inlineStr">
        <is>
          <t>211I Hatboyu kaçak akım izleme</t>
        </is>
      </c>
      <c r="G14" s="22" t="inlineStr">
        <is>
          <t>set</t>
        </is>
      </c>
      <c r="H14" s="63" t="n">
        <v>84680</v>
      </c>
      <c r="I14" s="22" t="inlineStr">
        <is>
          <t>EUR</t>
        </is>
      </c>
      <c r="J14" s="22" t="inlineStr"/>
      <c r="K14" s="63" t="n">
        <v>113249.097280737</v>
      </c>
      <c r="L14" s="22" t="inlineStr">
        <is>
          <t>2010.I</t>
        </is>
      </c>
      <c r="M14" s="22" t="n">
        <v>1</v>
      </c>
      <c r="N14" s="22" t="inlineStr">
        <is>
          <t>Bakırköy İDO-Kirazlı metrosu (1500 V DC, ~9 km, 9 istasyon) teklif birim fiyatları; set fiyatları temin+montaj</t>
        </is>
      </c>
    </row>
    <row r="15">
      <c r="A15" s="22" t="inlineStr">
        <is>
          <t>R00508</t>
        </is>
      </c>
      <c r="B15" s="22" t="inlineStr">
        <is>
          <t>Bakirkoy_Kirazli_Metro</t>
        </is>
      </c>
      <c r="C15" s="22" t="inlineStr">
        <is>
          <t>metro</t>
        </is>
      </c>
      <c r="D15" s="22" t="inlineStr">
        <is>
          <t>Müfit Ünlüdağ? (klasör CER_MÜnlüdag)</t>
        </is>
      </c>
      <c r="E15" s="22" t="inlineStr">
        <is>
          <t>2014-11-06</t>
        </is>
      </c>
      <c r="F15" s="22" t="inlineStr">
        <is>
          <t>201 Güç temini ve cer gücü tasarımı</t>
        </is>
      </c>
      <c r="G15" s="22" t="inlineStr">
        <is>
          <t>takım</t>
        </is>
      </c>
      <c r="H15" s="63" t="n">
        <v>100000</v>
      </c>
      <c r="I15" s="22" t="inlineStr">
        <is>
          <t>EUR</t>
        </is>
      </c>
      <c r="J15" s="22" t="inlineStr"/>
      <c r="K15" s="63" t="n">
        <v>133737.71525831</v>
      </c>
      <c r="L15" s="22" t="inlineStr">
        <is>
          <t>2001</t>
        </is>
      </c>
      <c r="M15" s="22" t="n">
        <v>1</v>
      </c>
      <c r="N15" s="22" t="inlineStr">
        <is>
          <t>Bakırköy İDO-Kirazlı metrosu (1500 V DC, ~9 km, 9 istasyon) teklif birim fiyatları; set fiyatları temin+montaj</t>
        </is>
      </c>
    </row>
    <row r="16">
      <c r="A16" s="22" t="inlineStr">
        <is>
          <t>R00517</t>
        </is>
      </c>
      <c r="B16" s="22" t="inlineStr">
        <is>
          <t>Baskentray</t>
        </is>
      </c>
      <c r="C16" s="22" t="inlineStr">
        <is>
          <t>banliyo</t>
        </is>
      </c>
      <c r="D16" s="22" t="inlineStr">
        <is>
          <t>Desat Elektrik (olası; 2012 Desat teklifinin 2013 rev.)</t>
        </is>
      </c>
      <c r="E16" s="22" t="inlineStr">
        <is>
          <t>2012-03-28</t>
        </is>
      </c>
      <c r="F16" s="22" t="inlineStr">
        <is>
          <t>Pano tipi aşırı gerilim koruyucusu, B sınıfı, 230 VAC, 100 kA üç faz, nötr-toprak</t>
        </is>
      </c>
      <c r="G16" s="22" t="inlineStr">
        <is>
          <t>Adet</t>
        </is>
      </c>
      <c r="H16" s="63" t="n">
        <v>791.8200000000001</v>
      </c>
      <c r="I16" s="22" t="inlineStr">
        <is>
          <t>TRY</t>
        </is>
      </c>
      <c r="J16" s="22" t="inlineStr"/>
      <c r="K16" s="63" t="n">
        <v>454.64763938943</v>
      </c>
      <c r="L16" s="22" t="inlineStr">
        <is>
          <t>2006.B</t>
        </is>
      </c>
      <c r="M16" s="22" t="n">
        <v>7</v>
      </c>
      <c r="N16" s="22" t="inlineStr">
        <is>
          <t>Başkentray Sincan-Ankara-Kayaş banliyö hattı istasyon/bina elektrik işleri; birim fiyatlı malzeme+işçilik, TL KDV hariç (2013 kuru ~2,35 TL/€); marka: OBO</t>
        </is>
      </c>
    </row>
    <row r="17">
      <c r="A17" s="22" t="inlineStr">
        <is>
          <t>R00518</t>
        </is>
      </c>
      <c r="B17" s="22" t="inlineStr">
        <is>
          <t>Baskentray</t>
        </is>
      </c>
      <c r="C17" s="22" t="inlineStr">
        <is>
          <t>banliyo</t>
        </is>
      </c>
      <c r="D17" s="22" t="inlineStr">
        <is>
          <t>Desat Elektrik (olası; 2012 Desat teklifinin 2013 rev.)</t>
        </is>
      </c>
      <c r="E17" s="22" t="inlineStr">
        <is>
          <t>2012-03-28</t>
        </is>
      </c>
      <c r="F17" s="22" t="inlineStr">
        <is>
          <t>Topraklama hattı-16 mm² (borusuz)</t>
        </is>
      </c>
      <c r="G17" s="22" t="inlineStr">
        <is>
          <t>m</t>
        </is>
      </c>
      <c r="H17" s="63" t="n">
        <v>5.27</v>
      </c>
      <c r="I17" s="22" t="inlineStr">
        <is>
          <t>TRY</t>
        </is>
      </c>
      <c r="J17" s="22" t="inlineStr"/>
      <c r="K17" s="63" t="n">
        <v>3.02593147379745</v>
      </c>
      <c r="L17" s="22" t="inlineStr">
        <is>
          <t>2008.H</t>
        </is>
      </c>
      <c r="M17" s="22" t="n">
        <v>1</v>
      </c>
      <c r="N17" s="22" t="inlineStr">
        <is>
          <t>Başkentray Sincan-Ankara-Kayaş banliyö hattı istasyon/bina elektrik işleri; birim fiyatlı malzeme+işçilik, TL KDV hariç (2013 kuru ~2,35 TL/€); marka: HES,ÖZNUR,VATAN</t>
        </is>
      </c>
    </row>
    <row r="18">
      <c r="A18" s="22" t="inlineStr">
        <is>
          <t>R00524</t>
        </is>
      </c>
      <c r="B18" s="22" t="inlineStr">
        <is>
          <t>Baskentray</t>
        </is>
      </c>
      <c r="C18" s="22" t="inlineStr">
        <is>
          <t>banliyo</t>
        </is>
      </c>
      <c r="D18" s="22" t="inlineStr">
        <is>
          <t>Desat Elektrik (olası; 2012 Desat teklifinin 2013 rev.)</t>
        </is>
      </c>
      <c r="E18" s="22" t="inlineStr">
        <is>
          <t>2012-03-28</t>
        </is>
      </c>
      <c r="F18" s="22" t="inlineStr">
        <is>
          <t>Kurşunsuz PVC izoleli kablolar ile besleme hattı tesisi (NHXMH, en az 300/500 V), 3x2,5 mm²</t>
        </is>
      </c>
      <c r="G18" s="22" t="inlineStr">
        <is>
          <t>m</t>
        </is>
      </c>
      <c r="H18" s="63" t="n">
        <v>5.78</v>
      </c>
      <c r="I18" s="22" t="inlineStr">
        <is>
          <t>TRY</t>
        </is>
      </c>
      <c r="J18" s="22" t="inlineStr"/>
      <c r="K18" s="63" t="n">
        <v>3.31876355190688</v>
      </c>
      <c r="L18" s="22" t="inlineStr">
        <is>
          <t>5002.B</t>
        </is>
      </c>
      <c r="M18" s="22" t="n">
        <v>1</v>
      </c>
      <c r="N18" s="22" t="inlineStr">
        <is>
          <t>Başkentray Sincan-Ankara-Kayaş banliyö hattı istasyon/bina elektrik işleri; birim fiyatlı malzeme+işçilik, TL KDV hariç (2013 kuru ~2,35 TL/€); marka: HES,ÖZNUR,VATAN</t>
        </is>
      </c>
    </row>
    <row r="19">
      <c r="A19" s="22" t="inlineStr">
        <is>
          <t>R00527</t>
        </is>
      </c>
      <c r="B19" s="22" t="inlineStr">
        <is>
          <t>Baskentray</t>
        </is>
      </c>
      <c r="C19" s="22" t="inlineStr">
        <is>
          <t>banliyo</t>
        </is>
      </c>
      <c r="D19" s="22" t="inlineStr">
        <is>
          <t>Desat Elektrik (olası; 2012 Desat teklifinin 2013 rev.)</t>
        </is>
      </c>
      <c r="E19" s="22" t="inlineStr">
        <is>
          <t>2012-03-28</t>
        </is>
      </c>
      <c r="F19" s="22" t="inlineStr">
        <is>
          <t>1 Çevrimli, 12 bölgeli analog adresli yangın alarm santrali adres kapasiteli, 12 yangın bölgesi göstergeli</t>
        </is>
      </c>
      <c r="G19" s="22" t="inlineStr">
        <is>
          <t>Adet</t>
        </is>
      </c>
      <c r="H19" s="63" t="n">
        <v>4451.26</v>
      </c>
      <c r="I19" s="22" t="inlineStr">
        <is>
          <t>TRY</t>
        </is>
      </c>
      <c r="J19" s="22" t="inlineStr"/>
      <c r="K19" s="63" t="n">
        <v>2555.82689412821</v>
      </c>
      <c r="L19" s="22" t="inlineStr">
        <is>
          <t>5004.B</t>
        </is>
      </c>
      <c r="M19" s="22" t="n">
        <v>1</v>
      </c>
      <c r="N19" s="22" t="inlineStr">
        <is>
          <t>Başkentray Sincan-Ankara-Kayaş banliyö hattı istasyon/bina elektrik işleri; birim fiyatlı malzeme+işçilik, TL KDV hariç (2013 kuru ~2,35 TL/€); marka: MAVİLİ,ZETA</t>
        </is>
      </c>
    </row>
    <row r="20">
      <c r="A20" s="22" t="inlineStr">
        <is>
          <t>R00531</t>
        </is>
      </c>
      <c r="B20" s="22" t="inlineStr">
        <is>
          <t>Baskentray</t>
        </is>
      </c>
      <c r="C20" s="22" t="inlineStr">
        <is>
          <t>banliyo</t>
        </is>
      </c>
      <c r="D20" s="22" t="inlineStr">
        <is>
          <t>Desat Elektrik (olası; 2012 Desat teklifinin 2013 rev.)</t>
        </is>
      </c>
      <c r="E20" s="22" t="inlineStr">
        <is>
          <t>2012-03-28</t>
        </is>
      </c>
      <c r="F20" s="22" t="inlineStr">
        <is>
          <t>3 Saat süreli sürekli (gömme tip) yanan acil durum aydınlatma armatürü ve montajı</t>
        </is>
      </c>
      <c r="G20" s="22" t="inlineStr">
        <is>
          <t>Adet</t>
        </is>
      </c>
      <c r="H20" s="63" t="n">
        <v>155.09</v>
      </c>
      <c r="I20" s="22" t="inlineStr">
        <is>
          <t>TRY</t>
        </is>
      </c>
      <c r="J20" s="22" t="inlineStr"/>
      <c r="K20" s="63" t="n">
        <v>89.0496607725326</v>
      </c>
      <c r="L20" s="22" t="inlineStr">
        <is>
          <t>5002.B</t>
        </is>
      </c>
      <c r="M20" s="22" t="n">
        <v>9</v>
      </c>
      <c r="N20" s="22" t="inlineStr">
        <is>
          <t>Başkentray Sincan-Ankara-Kayaş banliyö hattı istasyon/bina elektrik işleri; birim fiyatlı malzeme+işçilik, TL KDV hariç (2013 kuru ~2,35 TL/€); marka: ALTEZ</t>
        </is>
      </c>
    </row>
    <row r="21">
      <c r="A21" s="22" t="inlineStr">
        <is>
          <t>R00532</t>
        </is>
      </c>
      <c r="B21" s="22" t="inlineStr">
        <is>
          <t>Baskentray</t>
        </is>
      </c>
      <c r="C21" s="22" t="inlineStr">
        <is>
          <t>banliyo</t>
        </is>
      </c>
      <c r="D21" s="22" t="inlineStr">
        <is>
          <t>Desat Elektrik (olası; 2012 Desat teklifinin 2013 rev.)</t>
        </is>
      </c>
      <c r="E21" s="22" t="inlineStr">
        <is>
          <t>2012-03-28</t>
        </is>
      </c>
      <c r="F21" s="22" t="inlineStr">
        <is>
          <t>1x2x0,8+0,8 mm² halojensiz yangın alarm kablosu</t>
        </is>
      </c>
      <c r="G21" s="22" t="inlineStr">
        <is>
          <t>m</t>
        </is>
      </c>
      <c r="H21" s="63" t="n">
        <v>3.35</v>
      </c>
      <c r="I21" s="22" t="inlineStr">
        <is>
          <t>TRY</t>
        </is>
      </c>
      <c r="J21" s="22" t="inlineStr"/>
      <c r="K21" s="63" t="n">
        <v>1.92350482679724</v>
      </c>
      <c r="L21" s="22" t="inlineStr">
        <is>
          <t>5004.B</t>
        </is>
      </c>
      <c r="M21" s="22" t="n">
        <v>8</v>
      </c>
      <c r="N21" s="22" t="inlineStr">
        <is>
          <t>Başkentray Sincan-Ankara-Kayaş banliyö hattı istasyon/bina elektrik işleri; birim fiyatlı malzeme+işçilik, TL KDV hariç (2013 kuru ~2,35 TL/€); marka: ERSE,KLAS,BİRTAŞ</t>
        </is>
      </c>
    </row>
    <row r="22">
      <c r="A22" s="22" t="inlineStr">
        <is>
          <t>R00533</t>
        </is>
      </c>
      <c r="B22" s="22" t="inlineStr">
        <is>
          <t>Baskentray</t>
        </is>
      </c>
      <c r="C22" s="22" t="inlineStr">
        <is>
          <t>banliyo</t>
        </is>
      </c>
      <c r="D22" s="22" t="inlineStr">
        <is>
          <t>Desat Elektrik (olası; 2012 Desat teklifinin 2013 rev.)</t>
        </is>
      </c>
      <c r="E22" s="22" t="inlineStr">
        <is>
          <t>2012-03-28</t>
        </is>
      </c>
      <c r="F22" s="22" t="inlineStr">
        <is>
          <t>Toprak elektrodu (Çubuk)elektrolitik bakır</t>
        </is>
      </c>
      <c r="G22" s="22" t="inlineStr">
        <is>
          <t>Adet</t>
        </is>
      </c>
      <c r="H22" s="63" t="n">
        <v>262.71</v>
      </c>
      <c r="I22" s="22" t="inlineStr">
        <is>
          <t>TRY</t>
        </is>
      </c>
      <c r="J22" s="22" t="inlineStr"/>
      <c r="K22" s="63" t="n">
        <v>150.842971059076</v>
      </c>
      <c r="L22" s="22" t="inlineStr">
        <is>
          <t>2008.H</t>
        </is>
      </c>
      <c r="M22" s="22" t="n">
        <v>2</v>
      </c>
      <c r="N22" s="22" t="inlineStr">
        <is>
          <t>Başkentray Sincan-Ankara-Kayaş banliyö hattı istasyon/bina elektrik işleri; birim fiyatlı malzeme+işçilik, TL KDV hariç (2013 kuru ~2,35 TL/€); marka: GERSAN,RADSAN</t>
        </is>
      </c>
    </row>
    <row r="23">
      <c r="A23" s="22" t="inlineStr">
        <is>
          <t>R00535</t>
        </is>
      </c>
      <c r="B23" s="22" t="inlineStr">
        <is>
          <t>Baskentray</t>
        </is>
      </c>
      <c r="C23" s="22" t="inlineStr">
        <is>
          <t>banliyo</t>
        </is>
      </c>
      <c r="D23" s="22" t="inlineStr">
        <is>
          <t>Desat Elektrik (olası; 2012 Desat teklifinin 2013 rev.)</t>
        </is>
      </c>
      <c r="E23" s="22" t="inlineStr">
        <is>
          <t>2012-03-28</t>
        </is>
      </c>
      <c r="F23" s="22" t="inlineStr">
        <is>
          <t>3 Faz giriş 3 faz çıkışlı kesintisiz güç kaynağı, 10 kVA, 10 dakikaya kadar akü besleme süreli</t>
        </is>
      </c>
      <c r="G23" s="22" t="inlineStr">
        <is>
          <t>Adet</t>
        </is>
      </c>
      <c r="H23" s="63" t="n">
        <v>7562.54</v>
      </c>
      <c r="I23" s="22" t="inlineStr">
        <is>
          <t>TRY</t>
        </is>
      </c>
      <c r="J23" s="22" t="inlineStr"/>
      <c r="K23" s="63" t="n">
        <v>4342.26334114842</v>
      </c>
      <c r="L23" s="22" t="inlineStr">
        <is>
          <t>5002.B</t>
        </is>
      </c>
      <c r="M23" s="22" t="n">
        <v>7</v>
      </c>
      <c r="N23" s="22" t="inlineStr">
        <is>
          <t>Başkentray Sincan-Ankara-Kayaş banliyö hattı istasyon/bina elektrik işleri; birim fiyatlı malzeme+işçilik, TL KDV hariç (2013 kuru ~2,35 TL/€); marka: ENEL</t>
        </is>
      </c>
    </row>
    <row r="24">
      <c r="A24" s="22" t="inlineStr">
        <is>
          <t>R00539</t>
        </is>
      </c>
      <c r="B24" s="22" t="inlineStr">
        <is>
          <t>Cekmekoy_Sultanbeyli_Metro</t>
        </is>
      </c>
      <c r="C24" s="22" t="inlineStr">
        <is>
          <t>metro</t>
        </is>
      </c>
      <c r="D24" s="22" t="inlineStr">
        <is>
          <t>TE Raychem bayii</t>
        </is>
      </c>
      <c r="E24" s="22" t="inlineStr">
        <is>
          <t>2016-06-29</t>
        </is>
      </c>
      <c r="F24" s="22" t="inlineStr">
        <is>
          <t>RSTI 5851 800 A ekranlı ayrılabilir (geçmeli) kablo başlığı (36 kV sınıfı)</t>
        </is>
      </c>
      <c r="G24" s="22" t="inlineStr">
        <is>
          <t>adet</t>
        </is>
      </c>
      <c r="H24" s="63" t="n">
        <v>315</v>
      </c>
      <c r="I24" s="22" t="inlineStr">
        <is>
          <t>EUR</t>
        </is>
      </c>
      <c r="J24" s="22" t="inlineStr"/>
      <c r="K24" s="63" t="n">
        <v>417.553115510569</v>
      </c>
      <c r="L24" s="22" t="inlineStr">
        <is>
          <t>2004.B</t>
        </is>
      </c>
      <c r="M24" s="22" t="n">
        <v>1</v>
      </c>
      <c r="N24" s="22" t="inlineStr">
        <is>
          <t>Çekmeköy-Sultanbeyli metrosu; malzeme; SMOE fiyatı Teklif-2 dosyasından</t>
        </is>
      </c>
    </row>
    <row r="25">
      <c r="A25" s="22" t="inlineStr">
        <is>
          <t>R00541</t>
        </is>
      </c>
      <c r="B25" s="22" t="inlineStr">
        <is>
          <t>Cekmekoy_Sultanbeyli_Metro</t>
        </is>
      </c>
      <c r="C25" s="22" t="inlineStr">
        <is>
          <t>metro</t>
        </is>
      </c>
      <c r="D25" s="22" t="inlineStr">
        <is>
          <t>TE Raychem bayii</t>
        </is>
      </c>
      <c r="E25" s="22" t="inlineStr">
        <is>
          <t>2016-06-29</t>
        </is>
      </c>
      <c r="F25" s="22" t="inlineStr">
        <is>
          <t>RSTI CC 5851 800 A ekranlı ayrılabilir branşman tip kablo başlığı</t>
        </is>
      </c>
      <c r="G25" s="22" t="inlineStr">
        <is>
          <t>adet</t>
        </is>
      </c>
      <c r="H25" s="63" t="n">
        <v>420</v>
      </c>
      <c r="I25" s="22" t="inlineStr">
        <is>
          <t>EUR</t>
        </is>
      </c>
      <c r="J25" s="22" t="inlineStr"/>
      <c r="K25" s="63" t="n">
        <v>556.737487347425</v>
      </c>
      <c r="L25" s="22" t="inlineStr">
        <is>
          <t>2004.C</t>
        </is>
      </c>
      <c r="M25" s="22" t="n">
        <v>1</v>
      </c>
      <c r="N25" s="22" t="inlineStr">
        <is>
          <t>Çekmeköy-Sultanbeyli metrosu; malzeme; SMOE fiyatı Teklif-2 dosyasından</t>
        </is>
      </c>
    </row>
    <row r="26">
      <c r="A26" s="22" t="inlineStr">
        <is>
          <t>R00542</t>
        </is>
      </c>
      <c r="B26" s="22" t="inlineStr">
        <is>
          <t>Cekmekoy_Sultanbeyli_Metro</t>
        </is>
      </c>
      <c r="C26" s="22" t="inlineStr">
        <is>
          <t>metro</t>
        </is>
      </c>
      <c r="D26" s="22" t="inlineStr">
        <is>
          <t>TE Raychem bayii</t>
        </is>
      </c>
      <c r="E26" s="22" t="inlineStr">
        <is>
          <t>2016-06-29</t>
        </is>
      </c>
      <c r="F26" s="22" t="inlineStr">
        <is>
          <t>SMOE-5322 ısı büzüşmeli kablo eki (OG)</t>
        </is>
      </c>
      <c r="G26" s="22" t="inlineStr">
        <is>
          <t>adet</t>
        </is>
      </c>
      <c r="H26" s="63" t="n">
        <v>205</v>
      </c>
      <c r="I26" s="22" t="inlineStr">
        <is>
          <t>EUR</t>
        </is>
      </c>
      <c r="J26" s="22" t="inlineStr"/>
      <c r="K26" s="63" t="n">
        <v>271.740916443386</v>
      </c>
      <c r="L26" s="22" t="inlineStr">
        <is>
          <t>2002.A</t>
        </is>
      </c>
      <c r="M26" s="22" t="n">
        <v>2</v>
      </c>
      <c r="N26" s="22" t="inlineStr">
        <is>
          <t>Çekmeköy-Sultanbeyli metrosu; malzeme; SMOE fiyatı Teklif-2 dosyasından</t>
        </is>
      </c>
    </row>
    <row r="27">
      <c r="A27" s="22" t="inlineStr">
        <is>
          <t>R00545</t>
        </is>
      </c>
      <c r="B27" s="22" t="inlineStr">
        <is>
          <t>Izmir_Konak_Karsiyaka_Tramvay</t>
        </is>
      </c>
      <c r="C27" s="22" t="inlineStr">
        <is>
          <t>tramvay</t>
        </is>
      </c>
      <c r="D27" s="22" t="inlineStr">
        <is>
          <t>Aktif (trafo)</t>
        </is>
      </c>
      <c r="E27" s="22" t="inlineStr">
        <is>
          <t>2014-02-04</t>
        </is>
      </c>
      <c r="F27" s="22" t="inlineStr">
        <is>
          <t>2500 kVA Al 34,5/0,6-0,6 kV Dy5d0 cer trafosu (kuru tip)</t>
        </is>
      </c>
      <c r="G27" s="22" t="inlineStr">
        <is>
          <t>adet</t>
        </is>
      </c>
      <c r="H27" s="63" t="n">
        <v>49500</v>
      </c>
      <c r="I27" s="22" t="inlineStr">
        <is>
          <t>EUR</t>
        </is>
      </c>
      <c r="J27" s="22" t="inlineStr"/>
      <c r="K27" s="63" t="n">
        <v>66694.2998285253</v>
      </c>
      <c r="L27" s="22" t="inlineStr">
        <is>
          <t>2007.A</t>
        </is>
      </c>
      <c r="M27" s="22" t="n">
        <v>2</v>
      </c>
      <c r="N27" s="22" t="inlineStr">
        <is>
          <t>İzmir Karşıyaka+Konak tramvayları (750 V DC, 12 TPS + 2 dağıtım TM, Siemens 8BT2 OG) 2014; toplam 807.800 €</t>
        </is>
      </c>
    </row>
    <row r="28">
      <c r="A28" s="22" t="inlineStr">
        <is>
          <t>R00546</t>
        </is>
      </c>
      <c r="B28" s="22" t="inlineStr">
        <is>
          <t>Izmir_Konak_Karsiyaka_Tramvay</t>
        </is>
      </c>
      <c r="C28" s="22" t="inlineStr">
        <is>
          <t>tramvay</t>
        </is>
      </c>
      <c r="D28" s="22" t="inlineStr">
        <is>
          <t>Aktif (trafo)</t>
        </is>
      </c>
      <c r="E28" s="22" t="inlineStr">
        <is>
          <t>2014-02-04</t>
        </is>
      </c>
      <c r="F28" s="22" t="inlineStr">
        <is>
          <t>630 kVA Al 34,5/0,4 kV Dyn11 kuru tip</t>
        </is>
      </c>
      <c r="G28" s="22" t="inlineStr">
        <is>
          <t>adet</t>
        </is>
      </c>
      <c r="H28" s="63" t="n">
        <v>16500</v>
      </c>
      <c r="I28" s="22" t="inlineStr">
        <is>
          <t>EUR</t>
        </is>
      </c>
      <c r="J28" s="22" t="inlineStr"/>
      <c r="K28" s="63" t="n">
        <v>22231.4332761751</v>
      </c>
      <c r="L28" s="22" t="inlineStr">
        <is>
          <t>2005.A</t>
        </is>
      </c>
      <c r="M28" s="22" t="n">
        <v>1</v>
      </c>
      <c r="N28" s="22" t="inlineStr">
        <is>
          <t>İzmir Karşıyaka+Konak tramvayları (750 V DC, 12 TPS + 2 dağıtım TM, Siemens 8BT2 OG) 2014; toplam 807.800 €</t>
        </is>
      </c>
    </row>
    <row r="29">
      <c r="A29" s="22" t="inlineStr">
        <is>
          <t>R00554</t>
        </is>
      </c>
      <c r="B29" s="22" t="inlineStr">
        <is>
          <t>Izmir_Konak_Karsiyaka_Tramvay</t>
        </is>
      </c>
      <c r="C29" s="22" t="inlineStr">
        <is>
          <t>tramvay</t>
        </is>
      </c>
      <c r="D29" s="22" t="inlineStr">
        <is>
          <t>Siemens A.Ş./Siemens AG</t>
        </is>
      </c>
      <c r="E29" s="22" t="inlineStr">
        <is>
          <t>2014-02-25</t>
        </is>
      </c>
      <c r="F29" s="22" t="inlineStr">
        <is>
          <t>Stray Current Monitoring System - paket</t>
        </is>
      </c>
      <c r="G29" s="22" t="inlineStr">
        <is>
          <t>götürü</t>
        </is>
      </c>
      <c r="H29" s="63" t="n">
        <v>100400</v>
      </c>
      <c r="I29" s="22" t="inlineStr">
        <is>
          <t>EUR</t>
        </is>
      </c>
      <c r="J29" s="22" t="inlineStr"/>
      <c r="K29" s="63" t="n">
        <v>135274.903086544</v>
      </c>
      <c r="L29" s="22" t="inlineStr">
        <is>
          <t>2010.I</t>
        </is>
      </c>
      <c r="M29" s="22" t="n">
        <v>1</v>
      </c>
      <c r="N29" s="22" t="inlineStr">
        <is>
          <t>İzmir Karşıyaka+Konak tramvayları (750 V DC, 12 TPS + 2 dağıtım TM, Siemens 8BT2 OG) 2014; DAP İstanbul; kablolar, bina elektrik, montaj malzemesi, inşaat HARİÇ; tasarım+montaj+devreye alma dahil (Siemens kapsamı)</t>
        </is>
      </c>
    </row>
    <row r="30">
      <c r="A30" s="22" t="inlineStr">
        <is>
          <t>R00560</t>
        </is>
      </c>
      <c r="B30" s="22" t="inlineStr">
        <is>
          <t>Izmir_Metro_Project_II_FahrettinAltay_Narlidere</t>
        </is>
      </c>
      <c r="C30" s="22" t="inlineStr">
        <is>
          <t>metro</t>
        </is>
      </c>
      <c r="D30" s="22" t="inlineStr">
        <is>
          <t>ABB Elektrik</t>
        </is>
      </c>
      <c r="E30" s="22" t="inlineStr">
        <is>
          <t>2017-12-22</t>
        </is>
      </c>
      <c r="F30" s="22" t="inlineStr">
        <is>
          <t>34,5 kV Cer Trafo Çıkış Hücresi</t>
        </is>
      </c>
      <c r="G30" s="22" t="inlineStr">
        <is>
          <t>adet</t>
        </is>
      </c>
      <c r="H30" s="63" t="n">
        <v>17200</v>
      </c>
      <c r="I30" s="22" t="inlineStr">
        <is>
          <t>EUR</t>
        </is>
      </c>
      <c r="J30" s="22" t="inlineStr"/>
      <c r="K30" s="63" t="n">
        <v>22417.097824178</v>
      </c>
      <c r="L30" s="22" t="inlineStr">
        <is>
          <t>2004.B</t>
        </is>
      </c>
      <c r="M30" s="22" t="n">
        <v>1</v>
      </c>
      <c r="N30" s="22" t="inlineStr">
        <is>
          <t>İzmir HRS 4.Aşama F.Altay-Narlıdere metrosu (750 V DC 3.ray, ~7,2 km, 7 yeraltı istasyon, 5 cer TM); KDV hariç; montaj hariç (süpervizyon dahil)</t>
        </is>
      </c>
    </row>
    <row r="31">
      <c r="A31" s="22" t="inlineStr">
        <is>
          <t>R00561</t>
        </is>
      </c>
      <c r="B31" s="22" t="inlineStr">
        <is>
          <t>Izmir_Metro_Project_II_FahrettinAltay_Narlidere</t>
        </is>
      </c>
      <c r="C31" s="22" t="inlineStr">
        <is>
          <t>metro</t>
        </is>
      </c>
      <c r="D31" s="22" t="inlineStr">
        <is>
          <t>ABB Elektrik</t>
        </is>
      </c>
      <c r="E31" s="22" t="inlineStr">
        <is>
          <t>2017-12-22</t>
        </is>
      </c>
      <c r="F31" s="22" t="inlineStr">
        <is>
          <t>34,5 kV Yardımcı Trafo Çıkış Hücresi</t>
        </is>
      </c>
      <c r="G31" s="22" t="inlineStr">
        <is>
          <t>adet</t>
        </is>
      </c>
      <c r="H31" s="63" t="n">
        <v>17100</v>
      </c>
      <c r="I31" s="22" t="inlineStr">
        <is>
          <t>EUR</t>
        </is>
      </c>
      <c r="J31" s="22" t="inlineStr"/>
      <c r="K31" s="63" t="n">
        <v>22286.7658600839</v>
      </c>
      <c r="L31" s="22" t="inlineStr">
        <is>
          <t>2004.C</t>
        </is>
      </c>
      <c r="M31" s="22" t="n">
        <v>1</v>
      </c>
      <c r="N31" s="22" t="inlineStr">
        <is>
          <t>İzmir HRS 4.Aşama F.Altay-Narlıdere metrosu (750 V DC 3.ray, ~7,2 km, 7 yeraltı istasyon, 5 cer TM); KDV hariç; montaj hariç (süpervizyon dahil)</t>
        </is>
      </c>
    </row>
    <row r="32">
      <c r="A32" s="22" t="inlineStr">
        <is>
          <t>R00565</t>
        </is>
      </c>
      <c r="B32" s="22" t="inlineStr">
        <is>
          <t>Izmir_Metro_Project_II_FahrettinAltay_Narlidere</t>
        </is>
      </c>
      <c r="C32" s="22" t="inlineStr">
        <is>
          <t>metro</t>
        </is>
      </c>
      <c r="D32" s="22" t="inlineStr">
        <is>
          <t>ABB Elektrik</t>
        </is>
      </c>
      <c r="E32" s="22" t="inlineStr">
        <is>
          <t>2017-12-22</t>
        </is>
      </c>
      <c r="F32" s="22" t="inlineStr">
        <is>
          <t>Diode Rectifier Unit 12-pulse 3000 kW 750 VDC (PD-30P/750)</t>
        </is>
      </c>
      <c r="G32" s="22" t="inlineStr">
        <is>
          <t>adet</t>
        </is>
      </c>
      <c r="H32" s="63" t="n">
        <v>38064</v>
      </c>
      <c r="I32" s="22" t="inlineStr">
        <is>
          <t>EUR</t>
        </is>
      </c>
      <c r="J32" s="22" t="inlineStr"/>
      <c r="K32" s="63" t="n">
        <v>49609.5588127622</v>
      </c>
      <c r="L32" s="22" t="inlineStr">
        <is>
          <t>2007.A</t>
        </is>
      </c>
      <c r="M32" s="22" t="n">
        <v>2</v>
      </c>
      <c r="N32" s="22" t="inlineStr">
        <is>
          <t>İzmir HRS 4.Aşama F.Altay-Narlıdere metrosu (750 V DC 3.ray, ~7,2 km, 7 yeraltı istasyon, 5 cer TM); KDV hariç; montaj hariç (süpervizyon dahil)</t>
        </is>
      </c>
    </row>
    <row r="33">
      <c r="A33" s="22" t="inlineStr">
        <is>
          <t>R00566</t>
        </is>
      </c>
      <c r="B33" s="22" t="inlineStr">
        <is>
          <t>Izmir_Metro_Project_II_FahrettinAltay_Narlidere</t>
        </is>
      </c>
      <c r="C33" s="22" t="inlineStr">
        <is>
          <t>metro</t>
        </is>
      </c>
      <c r="D33" s="22" t="inlineStr">
        <is>
          <t>ABB Elektrik</t>
        </is>
      </c>
      <c r="E33" s="22" t="inlineStr">
        <is>
          <t>2017-12-22</t>
        </is>
      </c>
      <c r="F33" s="22" t="inlineStr">
        <is>
          <t>Rectifier Circuit Breaker 4000 A type MBS (ABB-Sécheron)</t>
        </is>
      </c>
      <c r="G33" s="22" t="inlineStr">
        <is>
          <t>adet</t>
        </is>
      </c>
      <c r="H33" s="63" t="n">
        <v>31110</v>
      </c>
      <c r="I33" s="22" t="inlineStr">
        <is>
          <t>EUR</t>
        </is>
      </c>
      <c r="J33" s="22" t="inlineStr"/>
      <c r="K33" s="63" t="n">
        <v>40546.2740296614</v>
      </c>
      <c r="L33" s="22" t="inlineStr">
        <is>
          <t>2007.A</t>
        </is>
      </c>
      <c r="M33" s="22" t="n">
        <v>2</v>
      </c>
      <c r="N33" s="22" t="inlineStr">
        <is>
          <t>İzmir HRS 4.Aşama F.Altay-Narlıdere metrosu (750 V DC 3.ray, ~7,2 km, 7 yeraltı istasyon, 5 cer TM); KDV hariç; montaj hariç (süpervizyon dahil)</t>
        </is>
      </c>
    </row>
    <row r="34">
      <c r="A34" s="22" t="inlineStr">
        <is>
          <t>R00570</t>
        </is>
      </c>
      <c r="B34" s="22" t="inlineStr">
        <is>
          <t>Izmir_Metro_Project_II_FahrettinAltay_Narlidere</t>
        </is>
      </c>
      <c r="C34" s="22" t="inlineStr">
        <is>
          <t>metro</t>
        </is>
      </c>
      <c r="D34" s="22" t="inlineStr">
        <is>
          <t>ABB Elektrik</t>
        </is>
      </c>
      <c r="E34" s="22" t="inlineStr">
        <is>
          <t>2017-12-22</t>
        </is>
      </c>
      <c r="F34" s="22" t="inlineStr">
        <is>
          <t>Output LBS Panel 4000 A (4 ad) + Air-gap LBS cubicle (2 ad) - TM başına set</t>
        </is>
      </c>
      <c r="G34" s="22" t="inlineStr">
        <is>
          <t>set</t>
        </is>
      </c>
      <c r="H34" s="63" t="n">
        <v>110410</v>
      </c>
      <c r="I34" s="22" t="inlineStr">
        <is>
          <t>EUR</t>
        </is>
      </c>
      <c r="J34" s="22" t="inlineStr"/>
      <c r="K34" s="63" t="n">
        <v>143899.521556249</v>
      </c>
      <c r="L34" s="22" t="inlineStr">
        <is>
          <t>2007.A</t>
        </is>
      </c>
      <c r="M34" s="22" t="n">
        <v>2</v>
      </c>
      <c r="N34" s="22" t="inlineStr">
        <is>
          <t>[AYKIRI DEĞER – otomatik dışlandı] İzmir HRS 4.Aşama F.Altay-Narlıdere metrosu (750 V DC 3.ray, ~7,2 km, 7 yeraltı istasyon, 5 cer TM); KDV hariç; montaj hariç (süpervizyon dahil)</t>
        </is>
      </c>
    </row>
    <row r="35">
      <c r="A35" s="22" t="inlineStr">
        <is>
          <t>R00573</t>
        </is>
      </c>
      <c r="B35" s="22" t="inlineStr">
        <is>
          <t>Izmir_Metro_Project_II_FahrettinAltay_Narlidere</t>
        </is>
      </c>
      <c r="C35" s="22" t="inlineStr">
        <is>
          <t>metro</t>
        </is>
      </c>
      <c r="D35" s="22" t="inlineStr">
        <is>
          <t>ABB Elektrik</t>
        </is>
      </c>
      <c r="E35" s="22" t="inlineStr">
        <is>
          <t>2017-12-22</t>
        </is>
      </c>
      <c r="F35" s="22" t="inlineStr">
        <is>
          <t>Mühendislik (röle ayar, kısa devre/yük akışı, proje, montaj süpervizyonu, devreye alma, FAT, eğitim)</t>
        </is>
      </c>
      <c r="G35" s="22" t="inlineStr">
        <is>
          <t>set</t>
        </is>
      </c>
      <c r="H35" s="63" t="n">
        <v>150000</v>
      </c>
      <c r="I35" s="22" t="inlineStr">
        <is>
          <t>EUR</t>
        </is>
      </c>
      <c r="J35" s="22" t="inlineStr"/>
      <c r="K35" s="63" t="n">
        <v>195497.946141087</v>
      </c>
      <c r="L35" s="22" t="inlineStr">
        <is>
          <t>2001</t>
        </is>
      </c>
      <c r="M35" s="22" t="n">
        <v>1</v>
      </c>
      <c r="N35" s="22" t="inlineStr">
        <is>
          <t>İzmir HRS 4.Aşama F.Altay-Narlıdere metrosu (750 V DC 3.ray, ~7,2 km, 7 yeraltı istasyon, 5 cer TM); KDV hariç; montaj hariç (süpervizyon dahil)</t>
        </is>
      </c>
    </row>
    <row r="36">
      <c r="A36" s="22" t="inlineStr">
        <is>
          <t>R00624</t>
        </is>
      </c>
      <c r="B36" s="22" t="inlineStr">
        <is>
          <t>Izmir_Metro_Project_II_FahrettinAltay_Narlidere</t>
        </is>
      </c>
      <c r="C36" s="22" t="inlineStr">
        <is>
          <t>metro</t>
        </is>
      </c>
      <c r="D36" s="22" t="inlineStr">
        <is>
          <t>ORGE (E&amp;M taşeron teklifi Rev.01)</t>
        </is>
      </c>
      <c r="E36" s="22" t="inlineStr">
        <is>
          <t>2018-04-09</t>
        </is>
      </c>
      <c r="F36" s="22" t="inlineStr">
        <is>
          <t>209 A Balçova İst. Kaçak Akım İzleme ve Korozyon Kontrolü</t>
        </is>
      </c>
      <c r="G36" s="22" t="inlineStr">
        <is>
          <t>götürü</t>
        </is>
      </c>
      <c r="H36" s="63" t="n">
        <v>1047.51</v>
      </c>
      <c r="I36" s="22" t="inlineStr">
        <is>
          <t>EUR</t>
        </is>
      </c>
      <c r="J36" s="22" t="inlineStr"/>
      <c r="K36" s="63" t="n">
        <v>1354.27297906794</v>
      </c>
      <c r="L36" s="22" t="inlineStr">
        <is>
          <t>2010.A</t>
        </is>
      </c>
      <c r="M36" s="22" t="n">
        <v>1</v>
      </c>
      <c r="N36" s="22" t="inlineStr">
        <is>
          <t>İzmir HRS 4.Aşama F.Altay-Narlıdere metrosu (750 V DC 3.ray, ~7,2 km, 7 yeraltı istasyon, 5 cer TM); malzeme+montaj götürü (taşeron teklif cetveli, Euro, KDV hariç); yeraltı metro istasyonu kapsamı URF tramvay istasyonundan çok büyük</t>
        </is>
      </c>
    </row>
    <row r="37">
      <c r="A37" s="22" t="inlineStr">
        <is>
          <t>R00665</t>
        </is>
      </c>
      <c r="B37" s="22" t="inlineStr">
        <is>
          <t>Izmir_Ucyol_Buca_Metro</t>
        </is>
      </c>
      <c r="C37" s="22" t="inlineStr">
        <is>
          <t>metro</t>
        </is>
      </c>
      <c r="D37" s="22" t="inlineStr">
        <is>
          <t>Signify (Philips)</t>
        </is>
      </c>
      <c r="E37" s="22" t="inlineStr">
        <is>
          <t>2021-03-24</t>
        </is>
      </c>
      <c r="F37" s="22" t="inlineStr">
        <is>
          <t>WT166C LED38 NW L1200 IP65 etanj armatür</t>
        </is>
      </c>
      <c r="G37" s="22" t="inlineStr">
        <is>
          <t>adet</t>
        </is>
      </c>
      <c r="H37" s="63" t="n">
        <v>25.74</v>
      </c>
      <c r="I37" s="22" t="inlineStr">
        <is>
          <t>EUR</t>
        </is>
      </c>
      <c r="J37" s="22" t="inlineStr"/>
      <c r="K37" s="63" t="n">
        <v>32.2752079245283</v>
      </c>
      <c r="L37" s="22" t="inlineStr">
        <is>
          <t>5002.B</t>
        </is>
      </c>
      <c r="M37" s="22" t="n">
        <v>25</v>
      </c>
      <c r="N37" s="22" t="inlineStr">
        <is>
          <t>malzeme, KDV hariç; metro iç mekan; teklif toplamı 724.613 € KDV hariç</t>
        </is>
      </c>
    </row>
    <row r="38">
      <c r="A38" s="22" t="inlineStr">
        <is>
          <t>R00666</t>
        </is>
      </c>
      <c r="B38" s="22" t="inlineStr">
        <is>
          <t>Izmir_Ucyol_Buca_Metro</t>
        </is>
      </c>
      <c r="C38" s="22" t="inlineStr">
        <is>
          <t>metro</t>
        </is>
      </c>
      <c r="D38" s="22" t="inlineStr">
        <is>
          <t>Signify (Philips)</t>
        </is>
      </c>
      <c r="E38" s="22" t="inlineStr">
        <is>
          <t>2021-03-24</t>
        </is>
      </c>
      <c r="F38" s="22" t="inlineStr">
        <is>
          <t>WT166C LED70 NW L1500 IP65 etanj armatür</t>
        </is>
      </c>
      <c r="G38" s="22" t="inlineStr">
        <is>
          <t>adet</t>
        </is>
      </c>
      <c r="H38" s="63" t="n">
        <v>51.68</v>
      </c>
      <c r="I38" s="22" t="inlineStr">
        <is>
          <t>EUR</t>
        </is>
      </c>
      <c r="J38" s="22" t="inlineStr"/>
      <c r="K38" s="63" t="n">
        <v>64.8011944654088</v>
      </c>
      <c r="L38" s="22" t="inlineStr">
        <is>
          <t>5002.B</t>
        </is>
      </c>
      <c r="M38" s="22" t="n">
        <v>4</v>
      </c>
      <c r="N38" s="22" t="inlineStr">
        <is>
          <t>malzeme, KDV hariç; metro iç mekan; teklif toplamı 724.613 € KDV hariç</t>
        </is>
      </c>
    </row>
    <row r="39">
      <c r="A39" s="22" t="inlineStr">
        <is>
          <t>R00667</t>
        </is>
      </c>
      <c r="B39" s="22" t="inlineStr">
        <is>
          <t>Izmir_Ucyol_Buca_Metro</t>
        </is>
      </c>
      <c r="C39" s="22" t="inlineStr">
        <is>
          <t>metro</t>
        </is>
      </c>
      <c r="D39" s="22" t="inlineStr">
        <is>
          <t>Signify (Philips)</t>
        </is>
      </c>
      <c r="E39" s="22" t="inlineStr">
        <is>
          <t>2021-03-24</t>
        </is>
      </c>
      <c r="F39" s="22" t="inlineStr">
        <is>
          <t>WT158C LED18S/840 L600 ortam korumalı armatür</t>
        </is>
      </c>
      <c r="G39" s="22" t="inlineStr">
        <is>
          <t>adet</t>
        </is>
      </c>
      <c r="H39" s="63" t="n">
        <v>18.7</v>
      </c>
      <c r="I39" s="22" t="inlineStr">
        <is>
          <t>EUR</t>
        </is>
      </c>
      <c r="J39" s="22" t="inlineStr"/>
      <c r="K39" s="63" t="n">
        <v>23.4478006289308</v>
      </c>
      <c r="L39" s="22" t="inlineStr">
        <is>
          <t>5002.B</t>
        </is>
      </c>
      <c r="M39" s="22" t="n">
        <v>2</v>
      </c>
      <c r="N39" s="22" t="inlineStr">
        <is>
          <t>malzeme, KDV hariç; metro iç mekan; teklif toplamı 724.613 € KDV hariç</t>
        </is>
      </c>
    </row>
    <row r="40">
      <c r="A40" s="22" t="inlineStr">
        <is>
          <t>R00668</t>
        </is>
      </c>
      <c r="B40" s="22" t="inlineStr">
        <is>
          <t>Izmir_Ucyol_Buca_Metro</t>
        </is>
      </c>
      <c r="C40" s="22" t="inlineStr">
        <is>
          <t>metro</t>
        </is>
      </c>
      <c r="D40" s="22" t="inlineStr">
        <is>
          <t>Signify (Philips)</t>
        </is>
      </c>
      <c r="E40" s="22" t="inlineStr">
        <is>
          <t>2021-03-24</t>
        </is>
      </c>
      <c r="F40" s="22" t="inlineStr">
        <is>
          <t>DN145C LED20S/830 downlight</t>
        </is>
      </c>
      <c r="G40" s="22" t="inlineStr">
        <is>
          <t>adet</t>
        </is>
      </c>
      <c r="H40" s="63" t="n">
        <v>52.52</v>
      </c>
      <c r="I40" s="22" t="inlineStr">
        <is>
          <t>EUR</t>
        </is>
      </c>
      <c r="J40" s="22" t="inlineStr"/>
      <c r="K40" s="63" t="n">
        <v>65.8544646540881</v>
      </c>
      <c r="L40" s="22" t="inlineStr">
        <is>
          <t>5002.B</t>
        </is>
      </c>
      <c r="M40" s="22" t="n">
        <v>3</v>
      </c>
      <c r="N40" s="22" t="inlineStr">
        <is>
          <t>malzeme, KDV hariç; metro iç mekan; teklif toplamı 724.613 € KDV hariç</t>
        </is>
      </c>
    </row>
    <row r="41">
      <c r="A41" s="22" t="inlineStr">
        <is>
          <t>R00669</t>
        </is>
      </c>
      <c r="B41" s="22" t="inlineStr">
        <is>
          <t>Izmir_Ucyol_Buca_Metro</t>
        </is>
      </c>
      <c r="C41" s="22" t="inlineStr">
        <is>
          <t>metro</t>
        </is>
      </c>
      <c r="D41" s="22" t="inlineStr">
        <is>
          <t>Signify (Philips)</t>
        </is>
      </c>
      <c r="E41" s="22" t="inlineStr">
        <is>
          <t>2021-03-24</t>
        </is>
      </c>
      <c r="F41" s="22" t="inlineStr">
        <is>
          <t>RC148B LED40/840 W60L60 parabolik panel</t>
        </is>
      </c>
      <c r="G41" s="22" t="inlineStr">
        <is>
          <t>adet</t>
        </is>
      </c>
      <c r="H41" s="63" t="n">
        <v>31.46</v>
      </c>
      <c r="I41" s="22" t="inlineStr">
        <is>
          <t>EUR</t>
        </is>
      </c>
      <c r="J41" s="22" t="inlineStr"/>
      <c r="K41" s="63" t="n">
        <v>39.4474763522013</v>
      </c>
      <c r="L41" s="22" t="inlineStr">
        <is>
          <t>5002.G</t>
        </is>
      </c>
      <c r="M41" s="22" t="n">
        <v>3</v>
      </c>
      <c r="N41" s="22" t="inlineStr">
        <is>
          <t>malzeme, KDV hariç; metro iç mekan; teklif toplamı 724.613 € KDV hariç</t>
        </is>
      </c>
    </row>
    <row r="42">
      <c r="A42" s="22" t="inlineStr">
        <is>
          <t>R00670</t>
        </is>
      </c>
      <c r="B42" s="22" t="inlineStr">
        <is>
          <t>Izmir_Ucyol_Buca_Metro</t>
        </is>
      </c>
      <c r="C42" s="22" t="inlineStr">
        <is>
          <t>metro</t>
        </is>
      </c>
      <c r="D42" s="22" t="inlineStr">
        <is>
          <t>Aktif Elektroteknik</t>
        </is>
      </c>
      <c r="E42" s="22" t="inlineStr">
        <is>
          <t>2021-04-27</t>
        </is>
      </c>
      <c r="F42" s="22" t="inlineStr">
        <is>
          <t>SNC-2 36kV 1250A 25kA 3s Gerilim Trafolu Giriş Çıkış Hücresi SF6 Kesicili (Ring)</t>
        </is>
      </c>
      <c r="G42" s="22" t="inlineStr">
        <is>
          <t>adet</t>
        </is>
      </c>
      <c r="H42" s="63" t="n">
        <v>18325.6</v>
      </c>
      <c r="I42" s="22" t="inlineStr">
        <is>
          <t>EUR</t>
        </is>
      </c>
      <c r="J42" s="22" t="inlineStr"/>
      <c r="K42" s="63" t="n">
        <v>22847.5162039201</v>
      </c>
      <c r="L42" s="22" t="inlineStr">
        <is>
          <t>2004.A</t>
        </is>
      </c>
      <c r="M42" s="22" t="n">
        <v>1</v>
      </c>
      <c r="N42" s="22" t="inlineStr">
        <is>
          <t>İzmir HRS 5.Aşama Üçyol-Buca metrosu (750 V DC, ~13,5 km, 11 yeraltı istasyon + depo), Nurol teklif talebi; ring birim fiyat 18.423 (12 ad) ve 18.252 (16 ad) ortalaması; gözetim/devreye alma ve montaj hariç; toplam teklif 1.211.979 €</t>
        </is>
      </c>
    </row>
    <row r="43">
      <c r="A43" s="22" t="inlineStr">
        <is>
          <t>R00671</t>
        </is>
      </c>
      <c r="B43" s="22" t="inlineStr">
        <is>
          <t>Izmir_Ucyol_Buca_Metro</t>
        </is>
      </c>
      <c r="C43" s="22" t="inlineStr">
        <is>
          <t>metro</t>
        </is>
      </c>
      <c r="D43" s="22" t="inlineStr">
        <is>
          <t>Aktif Elektroteknik</t>
        </is>
      </c>
      <c r="E43" s="22" t="inlineStr">
        <is>
          <t>2021-04-27</t>
        </is>
      </c>
      <c r="F43" s="22" t="inlineStr">
        <is>
          <t>SNC-2 36kV 1250A 25kA 3s Trafo Besleme Hücresi SF6 Kesicili (iç ihtiyaç Tr)</t>
        </is>
      </c>
      <c r="G43" s="22" t="inlineStr">
        <is>
          <t>adet</t>
        </is>
      </c>
      <c r="H43" s="63" t="n">
        <v>15808</v>
      </c>
      <c r="I43" s="22" t="inlineStr">
        <is>
          <t>EUR</t>
        </is>
      </c>
      <c r="J43" s="22" t="inlineStr"/>
      <c r="K43" s="63" t="n">
        <v>19708.6881821915</v>
      </c>
      <c r="L43" s="22" t="inlineStr">
        <is>
          <t>2004.C</t>
        </is>
      </c>
      <c r="M43" s="22" t="n">
        <v>2</v>
      </c>
      <c r="N43" s="22" t="inlineStr">
        <is>
          <t>İzmir HRS 5.Aşama Üçyol-Buca metrosu (750 V DC, ~13,5 km, 11 yeraltı istasyon + depo), Nurol teklif talebi; ring birim fiyat 18.423 (12 ad) ve 18.252 (16 ad) ortalaması; gözetim/devreye alma ve montaj hariç; toplam teklif 1.211.979 €</t>
        </is>
      </c>
    </row>
    <row r="44">
      <c r="A44" s="22" t="inlineStr">
        <is>
          <t>R00672</t>
        </is>
      </c>
      <c r="B44" s="22" t="inlineStr">
        <is>
          <t>Izmir_Ucyol_Buca_Metro</t>
        </is>
      </c>
      <c r="C44" s="22" t="inlineStr">
        <is>
          <t>metro</t>
        </is>
      </c>
      <c r="D44" s="22" t="inlineStr">
        <is>
          <t>Aktif Elektroteknik</t>
        </is>
      </c>
      <c r="E44" s="22" t="inlineStr">
        <is>
          <t>2021-04-27</t>
        </is>
      </c>
      <c r="F44" s="22" t="inlineStr">
        <is>
          <t>SNC-2 36kV 1250A 25kA 3s Gerilim Ölçü Hücresi</t>
        </is>
      </c>
      <c r="G44" s="22" t="inlineStr">
        <is>
          <t>adet</t>
        </is>
      </c>
      <c r="H44" s="63" t="n">
        <v>8687</v>
      </c>
      <c r="I44" s="22" t="inlineStr">
        <is>
          <t>EUR</t>
        </is>
      </c>
      <c r="J44" s="22" t="inlineStr"/>
      <c r="K44" s="63" t="n">
        <v>10830.5525201605</v>
      </c>
      <c r="L44" s="22" t="inlineStr">
        <is>
          <t>2004.D</t>
        </is>
      </c>
      <c r="M44" s="22" t="n">
        <v>1</v>
      </c>
      <c r="N44" s="22" t="inlineStr">
        <is>
          <t>İzmir HRS 5.Aşama Üçyol-Buca metrosu (750 V DC, ~13,5 km, 11 yeraltı istasyon + depo), Nurol teklif talebi; ring birim fiyat 18.423 (12 ad) ve 18.252 (16 ad) ortalaması; gözetim/devreye alma ve montaj hariç; toplam teklif 1.211.979 €</t>
        </is>
      </c>
    </row>
    <row r="45">
      <c r="A45" s="22" t="inlineStr">
        <is>
          <t>R00674</t>
        </is>
      </c>
      <c r="B45" s="22" t="inlineStr">
        <is>
          <t>Izmir_Ucyol_Buca_Metro</t>
        </is>
      </c>
      <c r="C45" s="22" t="inlineStr">
        <is>
          <t>metro</t>
        </is>
      </c>
      <c r="D45" s="22" t="inlineStr">
        <is>
          <t>Aktif Elektroteknik</t>
        </is>
      </c>
      <c r="E45" s="22" t="inlineStr">
        <is>
          <t>2021-04-27</t>
        </is>
      </c>
      <c r="F45" s="22" t="inlineStr">
        <is>
          <t>SNC-2 36kV 1250A 25kA 3s Trafo Besleme Hücresi SF6 Kesicili (Cer Tr)</t>
        </is>
      </c>
      <c r="G45" s="22" t="inlineStr">
        <is>
          <t>adet</t>
        </is>
      </c>
      <c r="H45" s="63" t="n">
        <v>15463</v>
      </c>
      <c r="I45" s="22" t="inlineStr">
        <is>
          <t>EUR</t>
        </is>
      </c>
      <c r="J45" s="22" t="inlineStr"/>
      <c r="K45" s="63" t="n">
        <v>19278.5580314542</v>
      </c>
      <c r="L45" s="22" t="inlineStr">
        <is>
          <t>2004.B</t>
        </is>
      </c>
      <c r="M45" s="22" t="n">
        <v>1</v>
      </c>
      <c r="N45" s="22" t="inlineStr">
        <is>
          <t>İzmir HRS 5.Aşama Üçyol-Buca metrosu (750 V DC, ~13,5 km, 11 yeraltı istasyon + depo), Nurol teklif talebi; ring birim fiyat 18.423 (12 ad) ve 18.252 (16 ad) ortalaması; gözetim/devreye alma ve montaj hariç; toplam teklif 1.211.979 €</t>
        </is>
      </c>
    </row>
    <row r="46">
      <c r="A46" s="22" t="inlineStr">
        <is>
          <t>R00675</t>
        </is>
      </c>
      <c r="B46" s="22" t="inlineStr">
        <is>
          <t>Izmir_Ucyol_Buca_Metro</t>
        </is>
      </c>
      <c r="C46" s="22" t="inlineStr">
        <is>
          <t>metro</t>
        </is>
      </c>
      <c r="D46" s="22" t="inlineStr">
        <is>
          <t>UPS tedarikçisi (TNO461064, E3 seri)</t>
        </is>
      </c>
      <c r="E46" s="22" t="inlineStr">
        <is>
          <t>2021-05-01</t>
        </is>
      </c>
      <c r="F46" s="22" t="inlineStr">
        <is>
          <t>E3 20 kVA UPS 3f/3f + 120 dk akü</t>
        </is>
      </c>
      <c r="G46" s="22" t="inlineStr">
        <is>
          <t>adet</t>
        </is>
      </c>
      <c r="H46" s="63" t="n">
        <v>9750</v>
      </c>
      <c r="I46" s="22" t="inlineStr">
        <is>
          <t>USD</t>
        </is>
      </c>
      <c r="J46" s="22" t="inlineStr"/>
      <c r="K46" s="63" t="n">
        <v>10034.9004734328</v>
      </c>
      <c r="L46" s="22" t="inlineStr">
        <is>
          <t>5002.B</t>
        </is>
      </c>
      <c r="M46" s="22" t="n">
        <v>9</v>
      </c>
      <c r="N46" s="22" t="inlineStr">
        <is>
          <t>Buca metrosu; URF istasyonlarında 10 kVA/2 saat UPS var - en küçük referans 20 kVA; toplam 736.000 $</t>
        </is>
      </c>
    </row>
    <row r="47">
      <c r="A47" s="22" t="inlineStr">
        <is>
          <t>R00676</t>
        </is>
      </c>
      <c r="B47" s="22" t="inlineStr">
        <is>
          <t>Izmir_Ucyol_Buca_Metro</t>
        </is>
      </c>
      <c r="C47" s="22" t="inlineStr">
        <is>
          <t>metro</t>
        </is>
      </c>
      <c r="D47" s="22" t="inlineStr">
        <is>
          <t>UPS tedarikçisi (TNO461064, E3 seri)</t>
        </is>
      </c>
      <c r="E47" s="22" t="inlineStr">
        <is>
          <t>2021-05-01</t>
        </is>
      </c>
      <c r="F47" s="22" t="inlineStr">
        <is>
          <t>E3 20 kVA UPS 3f/3f + 240 dk akü</t>
        </is>
      </c>
      <c r="G47" s="22" t="inlineStr">
        <is>
          <t>adet</t>
        </is>
      </c>
      <c r="H47" s="63" t="n">
        <v>13750</v>
      </c>
      <c r="I47" s="22" t="inlineStr">
        <is>
          <t>USD</t>
        </is>
      </c>
      <c r="J47" s="22" t="inlineStr"/>
      <c r="K47" s="63" t="n">
        <v>14151.7827189437</v>
      </c>
      <c r="L47" s="22" t="inlineStr">
        <is>
          <t>5002.B</t>
        </is>
      </c>
      <c r="M47" s="22" t="n">
        <v>8</v>
      </c>
      <c r="N47" s="22" t="inlineStr">
        <is>
          <t>Buca metrosu; URF istasyonlarında 10 kVA/2 saat UPS var - en küçük referans 20 kVA; toplam 736.000 $</t>
        </is>
      </c>
    </row>
    <row r="48">
      <c r="A48" s="22" t="inlineStr">
        <is>
          <t>R00677</t>
        </is>
      </c>
      <c r="B48" s="22" t="inlineStr">
        <is>
          <t>Izmir_Ucyol_Buca_Metro</t>
        </is>
      </c>
      <c r="C48" s="22" t="inlineStr">
        <is>
          <t>metro</t>
        </is>
      </c>
      <c r="D48" s="22" t="inlineStr">
        <is>
          <t>UPS tedarikçisi (TNO461064, E3 seri)</t>
        </is>
      </c>
      <c r="E48" s="22" t="inlineStr">
        <is>
          <t>2021-05-01</t>
        </is>
      </c>
      <c r="F48" s="22" t="inlineStr">
        <is>
          <t>E3 40 kVA UPS 3f/3f + 120 dk akü</t>
        </is>
      </c>
      <c r="G48" s="22" t="inlineStr">
        <is>
          <t>adet</t>
        </is>
      </c>
      <c r="H48" s="63" t="n">
        <v>16750</v>
      </c>
      <c r="I48" s="22" t="inlineStr">
        <is>
          <t>USD</t>
        </is>
      </c>
      <c r="J48" s="22" t="inlineStr"/>
      <c r="K48" s="63" t="n">
        <v>17239.4444030768</v>
      </c>
      <c r="L48" s="22" t="inlineStr">
        <is>
          <t>5002.B</t>
        </is>
      </c>
      <c r="M48" s="22" t="n">
        <v>1</v>
      </c>
      <c r="N48" s="22" t="inlineStr">
        <is>
          <t>Buca metrosu; URF istasyonlarında 10 kVA/2 saat UPS var - en küçük referans 20 kVA; toplam 736.000 $</t>
        </is>
      </c>
    </row>
    <row r="49">
      <c r="A49" s="22" t="inlineStr">
        <is>
          <t>R00678</t>
        </is>
      </c>
      <c r="B49" s="22" t="inlineStr">
        <is>
          <t>Izmir_Ucyol_Buca_Metro</t>
        </is>
      </c>
      <c r="C49" s="22" t="inlineStr">
        <is>
          <t>metro</t>
        </is>
      </c>
      <c r="D49" s="22" t="inlineStr">
        <is>
          <t>Türk Prysmian Kablo</t>
        </is>
      </c>
      <c r="E49" s="22" t="inlineStr">
        <is>
          <t>2021-05-03</t>
        </is>
      </c>
      <c r="F49" s="22" t="inlineStr">
        <is>
          <t>YAXC7V-R (YAE3SV) 1x400/35 20,3/35 kV Al XLPE</t>
        </is>
      </c>
      <c r="G49" s="22" t="inlineStr">
        <is>
          <t>m</t>
        </is>
      </c>
      <c r="H49" s="63" t="n">
        <v>14.43</v>
      </c>
      <c r="I49" s="22" t="inlineStr">
        <is>
          <t>USD</t>
        </is>
      </c>
      <c r="J49" s="22" t="inlineStr"/>
      <c r="K49" s="63" t="n">
        <v>14.8985111200284</v>
      </c>
      <c r="L49" s="22" t="inlineStr">
        <is>
          <t>2002.B</t>
        </is>
      </c>
      <c r="M49" s="22" t="n">
        <v>2</v>
      </c>
      <c r="N49" s="22" t="inlineStr">
        <is>
          <t>CIF İzmir, KDV hariç; USD/km fiyattan m'ye çevrildi; LME Cu 9.990 $/t, Al 2.445 $/t; sadece malzeme</t>
        </is>
      </c>
    </row>
    <row r="50">
      <c r="A50" s="22" t="inlineStr">
        <is>
          <t>R00682</t>
        </is>
      </c>
      <c r="B50" s="22" t="inlineStr">
        <is>
          <t>Izmir_Ucyol_Buca_Metro</t>
        </is>
      </c>
      <c r="C50" s="22" t="inlineStr">
        <is>
          <t>metro</t>
        </is>
      </c>
      <c r="D50" s="22" t="inlineStr">
        <is>
          <t>Türk Prysmian Kablo</t>
        </is>
      </c>
      <c r="E50" s="22" t="inlineStr">
        <is>
          <t>2021-05-03</t>
        </is>
      </c>
      <c r="F50" s="22" t="inlineStr">
        <is>
          <t>N2XH 1x240 0,6/1 kV</t>
        </is>
      </c>
      <c r="G50" s="22" t="inlineStr">
        <is>
          <t>m</t>
        </is>
      </c>
      <c r="H50" s="63" t="n">
        <v>29.37</v>
      </c>
      <c r="I50" s="22" t="inlineStr">
        <is>
          <t>USD</t>
        </is>
      </c>
      <c r="J50" s="22" t="inlineStr"/>
      <c r="K50" s="63" t="n">
        <v>30.3235808451306</v>
      </c>
      <c r="L50" s="22" t="inlineStr">
        <is>
          <t>2011.I</t>
        </is>
      </c>
      <c r="M50" s="22" t="n">
        <v>16</v>
      </c>
      <c r="N50" s="22" t="inlineStr">
        <is>
          <t>CIF İzmir, KDV hariç; USD/km fiyattan m'ye çevrildi; LME Cu 9.990 $/t, Al 2.445 $/t; sadece malzeme</t>
        </is>
      </c>
    </row>
    <row r="51">
      <c r="A51" s="22" t="inlineStr">
        <is>
          <t>R00683</t>
        </is>
      </c>
      <c r="B51" s="22" t="inlineStr">
        <is>
          <t>Izmir_Ucyol_Buca_Metro</t>
        </is>
      </c>
      <c r="C51" s="22" t="inlineStr">
        <is>
          <t>metro</t>
        </is>
      </c>
      <c r="D51" s="22" t="inlineStr">
        <is>
          <t>Türk Prysmian Kablo</t>
        </is>
      </c>
      <c r="E51" s="22" t="inlineStr">
        <is>
          <t>2021-05-03</t>
        </is>
      </c>
      <c r="F51" s="22" t="inlineStr">
        <is>
          <t>N2XH 1x185 0,6/1 kV</t>
        </is>
      </c>
      <c r="G51" s="22" t="inlineStr">
        <is>
          <t>m</t>
        </is>
      </c>
      <c r="H51" s="63" t="n">
        <v>22.44</v>
      </c>
      <c r="I51" s="22" t="inlineStr">
        <is>
          <t>USD</t>
        </is>
      </c>
      <c r="J51" s="22" t="inlineStr"/>
      <c r="K51" s="63" t="n">
        <v>23.1685786232458</v>
      </c>
      <c r="L51" s="22" t="inlineStr">
        <is>
          <t>2011.H</t>
        </is>
      </c>
      <c r="M51" s="22" t="n">
        <v>8</v>
      </c>
      <c r="N51" s="22" t="inlineStr">
        <is>
          <t>CIF İzmir, KDV hariç; USD/km fiyattan m'ye çevrildi; LME Cu 9.990 $/t, Al 2.445 $/t; sadece malzeme</t>
        </is>
      </c>
    </row>
    <row r="52">
      <c r="A52" s="22" t="inlineStr">
        <is>
          <t>R00684</t>
        </is>
      </c>
      <c r="B52" s="22" t="inlineStr">
        <is>
          <t>Izmir_Ucyol_Buca_Metro</t>
        </is>
      </c>
      <c r="C52" s="22" t="inlineStr">
        <is>
          <t>metro</t>
        </is>
      </c>
      <c r="D52" s="22" t="inlineStr">
        <is>
          <t>Türk Prysmian Kablo</t>
        </is>
      </c>
      <c r="E52" s="22" t="inlineStr">
        <is>
          <t>2021-05-03</t>
        </is>
      </c>
      <c r="F52" s="22" t="inlineStr">
        <is>
          <t>N2XH 1x95 0,6/1 kV</t>
        </is>
      </c>
      <c r="G52" s="22" t="inlineStr">
        <is>
          <t>m</t>
        </is>
      </c>
      <c r="H52" s="63" t="n">
        <v>11.63</v>
      </c>
      <c r="I52" s="22" t="inlineStr">
        <is>
          <t>USD</t>
        </is>
      </c>
      <c r="J52" s="22" t="inlineStr"/>
      <c r="K52" s="63" t="n">
        <v>12.0076011313881</v>
      </c>
      <c r="L52" s="22" t="inlineStr">
        <is>
          <t>2011.H</t>
        </is>
      </c>
      <c r="M52" s="22" t="n">
        <v>7</v>
      </c>
      <c r="N52" s="22" t="inlineStr">
        <is>
          <t>CIF İzmir, KDV hariç; USD/km fiyattan m'ye çevrildi; LME Cu 9.990 $/t, Al 2.445 $/t; sadece malzeme</t>
        </is>
      </c>
    </row>
    <row r="53">
      <c r="A53" s="22" t="inlineStr">
        <is>
          <t>R00685</t>
        </is>
      </c>
      <c r="B53" s="22" t="inlineStr">
        <is>
          <t>Izmir_Ucyol_Buca_Metro</t>
        </is>
      </c>
      <c r="C53" s="22" t="inlineStr">
        <is>
          <t>metro</t>
        </is>
      </c>
      <c r="D53" s="22" t="inlineStr">
        <is>
          <t>Türk Prysmian Kablo</t>
        </is>
      </c>
      <c r="E53" s="22" t="inlineStr">
        <is>
          <t>2021-05-03</t>
        </is>
      </c>
      <c r="F53" s="22" t="inlineStr">
        <is>
          <t>N2XH 3x2,5 0,6/1 kV</t>
        </is>
      </c>
      <c r="G53" s="22" t="inlineStr">
        <is>
          <t>m</t>
        </is>
      </c>
      <c r="H53" s="63" t="n">
        <v>1.26</v>
      </c>
      <c r="I53" s="22" t="inlineStr">
        <is>
          <t>USD</t>
        </is>
      </c>
      <c r="J53" s="22" t="inlineStr"/>
      <c r="K53" s="63" t="n">
        <v>1.30090949488813</v>
      </c>
      <c r="L53" s="22" t="inlineStr">
        <is>
          <t>5002.B</t>
        </is>
      </c>
      <c r="M53" s="22" t="n">
        <v>40</v>
      </c>
      <c r="N53" s="22" t="inlineStr">
        <is>
          <t>CIF İzmir, KDV hariç; USD/km fiyattan m'ye çevrildi; LME Cu 9.990 $/t, Al 2.445 $/t; sadece malzeme</t>
        </is>
      </c>
    </row>
    <row r="54">
      <c r="A54" s="22" t="inlineStr">
        <is>
          <t>R00686</t>
        </is>
      </c>
      <c r="B54" s="22" t="inlineStr">
        <is>
          <t>Izmir_Ucyol_Buca_Metro</t>
        </is>
      </c>
      <c r="C54" s="22" t="inlineStr">
        <is>
          <t>metro</t>
        </is>
      </c>
      <c r="D54" s="22" t="inlineStr">
        <is>
          <t>Türk Prysmian Kablo</t>
        </is>
      </c>
      <c r="E54" s="22" t="inlineStr">
        <is>
          <t>2021-05-03</t>
        </is>
      </c>
      <c r="F54" s="22" t="inlineStr">
        <is>
          <t>N2XH 5x2,5 0,6/1 kV</t>
        </is>
      </c>
      <c r="G54" s="22" t="inlineStr">
        <is>
          <t>m</t>
        </is>
      </c>
      <c r="H54" s="63" t="n">
        <v>1.96</v>
      </c>
      <c r="I54" s="22" t="inlineStr">
        <is>
          <t>USD</t>
        </is>
      </c>
      <c r="J54" s="22" t="inlineStr"/>
      <c r="K54" s="63" t="n">
        <v>2.02363699204821</v>
      </c>
      <c r="L54" s="22" t="inlineStr">
        <is>
          <t>5002.B</t>
        </is>
      </c>
      <c r="M54" s="22" t="n">
        <v>15</v>
      </c>
      <c r="N54" s="22" t="inlineStr">
        <is>
          <t>CIF İzmir, KDV hariç; USD/km fiyattan m'ye çevrildi; LME Cu 9.990 $/t, Al 2.445 $/t; sadece malzeme</t>
        </is>
      </c>
    </row>
    <row r="55">
      <c r="A55" s="22" t="inlineStr">
        <is>
          <t>R00687</t>
        </is>
      </c>
      <c r="B55" s="22" t="inlineStr">
        <is>
          <t>Izmir_Ucyol_Buca_Metro</t>
        </is>
      </c>
      <c r="C55" s="22" t="inlineStr">
        <is>
          <t>metro</t>
        </is>
      </c>
      <c r="D55" s="22" t="inlineStr">
        <is>
          <t>Türk Prysmian Kablo</t>
        </is>
      </c>
      <c r="E55" s="22" t="inlineStr">
        <is>
          <t>2021-05-03</t>
        </is>
      </c>
      <c r="F55" s="22" t="inlineStr">
        <is>
          <t>N2XH 4x6 0,6/1 kV</t>
        </is>
      </c>
      <c r="G55" s="22" t="inlineStr">
        <is>
          <t>m</t>
        </is>
      </c>
      <c r="H55" s="63" t="n">
        <v>3.48</v>
      </c>
      <c r="I55" s="22" t="inlineStr">
        <is>
          <t>USD</t>
        </is>
      </c>
      <c r="J55" s="22" t="inlineStr"/>
      <c r="K55" s="63" t="n">
        <v>3.59298812873866</v>
      </c>
      <c r="L55" s="22" t="inlineStr">
        <is>
          <t>2011.I</t>
        </is>
      </c>
      <c r="M55" s="22" t="n">
        <v>25</v>
      </c>
      <c r="N55" s="22" t="inlineStr">
        <is>
          <t>CIF İzmir, KDV hariç; USD/km fiyattan m'ye çevrildi; LME Cu 9.990 $/t, Al 2.445 $/t; sadece malzeme</t>
        </is>
      </c>
    </row>
    <row r="56">
      <c r="A56" s="22" t="inlineStr">
        <is>
          <t>R00688</t>
        </is>
      </c>
      <c r="B56" s="22" t="inlineStr">
        <is>
          <t>Izmir_Ucyol_Buca_Metro</t>
        </is>
      </c>
      <c r="C56" s="22" t="inlineStr">
        <is>
          <t>metro</t>
        </is>
      </c>
      <c r="D56" s="22" t="inlineStr">
        <is>
          <t>Türk Prysmian Kablo</t>
        </is>
      </c>
      <c r="E56" s="22" t="inlineStr">
        <is>
          <t>2021-05-03</t>
        </is>
      </c>
      <c r="F56" s="22" t="inlineStr">
        <is>
          <t>N2XH 4x16 0,6/1 kV</t>
        </is>
      </c>
      <c r="G56" s="22" t="inlineStr">
        <is>
          <t>m</t>
        </is>
      </c>
      <c r="H56" s="63" t="n">
        <v>8.24</v>
      </c>
      <c r="I56" s="22" t="inlineStr">
        <is>
          <t>USD</t>
        </is>
      </c>
      <c r="J56" s="22" t="inlineStr"/>
      <c r="K56" s="63" t="n">
        <v>8.50753510942717</v>
      </c>
      <c r="L56" s="22" t="inlineStr">
        <is>
          <t>2011.A</t>
        </is>
      </c>
      <c r="M56" s="22" t="n">
        <v>9</v>
      </c>
      <c r="N56" s="22" t="inlineStr">
        <is>
          <t>CIF İzmir, KDV hariç; USD/km fiyattan m'ye çevrildi; LME Cu 9.990 $/t, Al 2.445 $/t; sadece malzeme</t>
        </is>
      </c>
    </row>
    <row r="57">
      <c r="A57" s="22" t="inlineStr">
        <is>
          <t>R00689</t>
        </is>
      </c>
      <c r="B57" s="22" t="inlineStr">
        <is>
          <t>Izmir_Ucyol_Buca_Metro</t>
        </is>
      </c>
      <c r="C57" s="22" t="inlineStr">
        <is>
          <t>metro</t>
        </is>
      </c>
      <c r="D57" s="22" t="inlineStr">
        <is>
          <t>Türk Prysmian Kablo</t>
        </is>
      </c>
      <c r="E57" s="22" t="inlineStr">
        <is>
          <t>2021-05-03</t>
        </is>
      </c>
      <c r="F57" s="22" t="inlineStr">
        <is>
          <t>N2XH 3x70/35 0,6/1 kV</t>
        </is>
      </c>
      <c r="G57" s="22" t="inlineStr">
        <is>
          <t>m</t>
        </is>
      </c>
      <c r="H57" s="63" t="n">
        <v>30.18</v>
      </c>
      <c r="I57" s="22" t="inlineStr">
        <is>
          <t>USD</t>
        </is>
      </c>
      <c r="J57" s="22" t="inlineStr"/>
      <c r="K57" s="63" t="n">
        <v>31.1598798061301</v>
      </c>
      <c r="L57" s="22" t="inlineStr">
        <is>
          <t>2011.A</t>
        </is>
      </c>
      <c r="M57" s="22" t="n">
        <v>14</v>
      </c>
      <c r="N57" s="22" t="inlineStr">
        <is>
          <t>CIF İzmir, KDV hariç; USD/km fiyattan m'ye çevrildi; LME Cu 9.990 $/t, Al 2.445 $/t; sadece malzeme</t>
        </is>
      </c>
    </row>
    <row r="58">
      <c r="A58" s="22" t="inlineStr">
        <is>
          <t>R00690</t>
        </is>
      </c>
      <c r="B58" s="22" t="inlineStr">
        <is>
          <t>Izmir_Ucyol_Buca_Metro</t>
        </is>
      </c>
      <c r="C58" s="22" t="inlineStr">
        <is>
          <t>metro</t>
        </is>
      </c>
      <c r="D58" s="22" t="inlineStr">
        <is>
          <t>Türk Prysmian Kablo</t>
        </is>
      </c>
      <c r="E58" s="22" t="inlineStr">
        <is>
          <t>2021-05-03</t>
        </is>
      </c>
      <c r="F58" s="22" t="inlineStr">
        <is>
          <t>H07Z1-R 16 mm2 450/750 V sarı-yeşil</t>
        </is>
      </c>
      <c r="G58" s="22" t="inlineStr">
        <is>
          <t>m</t>
        </is>
      </c>
      <c r="H58" s="63" t="n">
        <v>1.94</v>
      </c>
      <c r="I58" s="22" t="inlineStr">
        <is>
          <t>USD</t>
        </is>
      </c>
      <c r="J58" s="22" t="inlineStr"/>
      <c r="K58" s="63" t="n">
        <v>2.00298763498649</v>
      </c>
      <c r="L58" s="22" t="inlineStr">
        <is>
          <t>2011.I</t>
        </is>
      </c>
      <c r="M58" s="22" t="n">
        <v>13</v>
      </c>
      <c r="N58" s="22" t="inlineStr">
        <is>
          <t>CIF İzmir, KDV hariç; USD/km fiyattan m'ye çevrildi; LME Cu 9.990 $/t, Al 2.445 $/t; sadece malzeme</t>
        </is>
      </c>
    </row>
    <row r="59">
      <c r="A59" s="22" t="inlineStr">
        <is>
          <t>R00691</t>
        </is>
      </c>
      <c r="B59" s="22" t="inlineStr">
        <is>
          <t>Izmir_Ucyol_Buca_Metro</t>
        </is>
      </c>
      <c r="C59" s="22" t="inlineStr">
        <is>
          <t>metro</t>
        </is>
      </c>
      <c r="D59" s="22" t="inlineStr">
        <is>
          <t>Türk Prysmian Kablo</t>
        </is>
      </c>
      <c r="E59" s="22" t="inlineStr">
        <is>
          <t>2021-05-03</t>
        </is>
      </c>
      <c r="F59" s="22" t="inlineStr">
        <is>
          <t>N2XH FE180 4x10 0,6/1 kV</t>
        </is>
      </c>
      <c r="G59" s="22" t="inlineStr">
        <is>
          <t>m</t>
        </is>
      </c>
      <c r="H59" s="63" t="n">
        <v>6.25</v>
      </c>
      <c r="I59" s="22" t="inlineStr">
        <is>
          <t>USD</t>
        </is>
      </c>
      <c r="J59" s="22" t="inlineStr"/>
      <c r="K59" s="63" t="n">
        <v>6.45292408178638</v>
      </c>
      <c r="L59" s="22" t="inlineStr">
        <is>
          <t>2011.A</t>
        </is>
      </c>
      <c r="M59" s="22" t="n">
        <v>8</v>
      </c>
      <c r="N59" s="22" t="inlineStr">
        <is>
          <t>CIF İzmir, KDV hariç; USD/km fiyattan m'ye çevrildi; LME Cu 9.990 $/t, Al 2.445 $/t; sadece malzeme</t>
        </is>
      </c>
    </row>
    <row r="60">
      <c r="A60" s="22" t="inlineStr">
        <is>
          <t>R00696</t>
        </is>
      </c>
      <c r="B60" s="22" t="inlineStr">
        <is>
          <t>Izmir_Ucyol_Buca_Metro</t>
        </is>
      </c>
      <c r="C60" s="22" t="inlineStr">
        <is>
          <t>metro</t>
        </is>
      </c>
      <c r="D60" s="22" t="inlineStr">
        <is>
          <t>ABB (Nurol'a teklif)</t>
        </is>
      </c>
      <c r="E60" s="22" t="inlineStr">
        <is>
          <t>2021-05-05</t>
        </is>
      </c>
      <c r="F60" s="22" t="inlineStr">
        <is>
          <t>Ring Giriş&amp;Çıkış Hücresi (Parafudrlu) 34,5 kV</t>
        </is>
      </c>
      <c r="G60" s="22" t="inlineStr">
        <is>
          <t>adet</t>
        </is>
      </c>
      <c r="H60" s="63" t="n">
        <v>18900</v>
      </c>
      <c r="I60" s="22" t="inlineStr">
        <is>
          <t>EUR</t>
        </is>
      </c>
      <c r="J60" s="22" t="inlineStr"/>
      <c r="K60" s="63" t="n">
        <v>23502.230934649</v>
      </c>
      <c r="L60" s="22" t="inlineStr">
        <is>
          <t>2004.A</t>
        </is>
      </c>
      <c r="M60" s="22" t="n">
        <v>1</v>
      </c>
      <c r="N60" s="22" t="inlineStr">
        <is>
          <t>İzmir HRS 5.Aşama Üçyol-Buca metrosu (750 V DC, ~13,5 km, 11 yeraltı istasyon + depo), Nurol teklif talebi; ABB paketi (OG şalt+trafo+cer merkezi+kaçak akım), saha servisi ayrı kalem (920 k€), fiyatlar malzeme</t>
        </is>
      </c>
    </row>
    <row r="61">
      <c r="A61" s="22" t="inlineStr">
        <is>
          <t>R00697</t>
        </is>
      </c>
      <c r="B61" s="22" t="inlineStr">
        <is>
          <t>Izmir_Ucyol_Buca_Metro</t>
        </is>
      </c>
      <c r="C61" s="22" t="inlineStr">
        <is>
          <t>metro</t>
        </is>
      </c>
      <c r="D61" s="22" t="inlineStr">
        <is>
          <t>ABB (Nurol'a teklif)</t>
        </is>
      </c>
      <c r="E61" s="22" t="inlineStr">
        <is>
          <t>2021-05-05</t>
        </is>
      </c>
      <c r="F61" s="22" t="inlineStr">
        <is>
          <t>CER Trafosu Çıkış Hücresi (Bara Gerilim Trafolu) 34,5 kV</t>
        </is>
      </c>
      <c r="G61" s="22" t="inlineStr">
        <is>
          <t>adet</t>
        </is>
      </c>
      <c r="H61" s="63" t="n">
        <v>19300</v>
      </c>
      <c r="I61" s="22" t="inlineStr">
        <is>
          <t>EUR</t>
        </is>
      </c>
      <c r="J61" s="22" t="inlineStr"/>
      <c r="K61" s="63" t="n">
        <v>23999.6326475517</v>
      </c>
      <c r="L61" s="22" t="inlineStr">
        <is>
          <t>2004.B</t>
        </is>
      </c>
      <c r="M61" s="22" t="n">
        <v>1</v>
      </c>
      <c r="N61" s="22" t="inlineStr">
        <is>
          <t>İzmir HRS 5.Aşama Üçyol-Buca metrosu (750 V DC, ~13,5 km, 11 yeraltı istasyon + depo), Nurol teklif talebi; ABB paketi (OG şalt+trafo+cer merkezi+kaçak akım), saha servisi ayrı kalem (920 k€), fiyatlar malzeme</t>
        </is>
      </c>
    </row>
    <row r="62">
      <c r="A62" s="22" t="inlineStr">
        <is>
          <t>R00698</t>
        </is>
      </c>
      <c r="B62" s="22" t="inlineStr">
        <is>
          <t>Izmir_Ucyol_Buca_Metro</t>
        </is>
      </c>
      <c r="C62" s="22" t="inlineStr">
        <is>
          <t>metro</t>
        </is>
      </c>
      <c r="D62" s="22" t="inlineStr">
        <is>
          <t>ABB (Nurol'a teklif)</t>
        </is>
      </c>
      <c r="E62" s="22" t="inlineStr">
        <is>
          <t>2021-05-05</t>
        </is>
      </c>
      <c r="F62" s="22" t="inlineStr">
        <is>
          <t>İç İhtiyaç Trafosu Hücresi (Bara Gerilim Trafolu) 34,5 kV</t>
        </is>
      </c>
      <c r="G62" s="22" t="inlineStr">
        <is>
          <t>adet</t>
        </is>
      </c>
      <c r="H62" s="63" t="n">
        <v>19300</v>
      </c>
      <c r="I62" s="22" t="inlineStr">
        <is>
          <t>EUR</t>
        </is>
      </c>
      <c r="J62" s="22" t="inlineStr"/>
      <c r="K62" s="63" t="n">
        <v>23999.6326475517</v>
      </c>
      <c r="L62" s="22" t="inlineStr">
        <is>
          <t>2004.C</t>
        </is>
      </c>
      <c r="M62" s="22" t="n">
        <v>1</v>
      </c>
      <c r="N62" s="22" t="inlineStr">
        <is>
          <t>İzmir HRS 5.Aşama Üçyol-Buca metrosu (750 V DC, ~13,5 km, 11 yeraltı istasyon + depo), Nurol teklif talebi; ABB paketi (OG şalt+trafo+cer merkezi+kaçak akım), saha servisi ayrı kalem (920 k€), fiyatlar malzeme</t>
        </is>
      </c>
    </row>
    <row r="63">
      <c r="A63" s="22" t="inlineStr">
        <is>
          <t>R00700</t>
        </is>
      </c>
      <c r="B63" s="22" t="inlineStr">
        <is>
          <t>Izmir_Ucyol_Buca_Metro</t>
        </is>
      </c>
      <c r="C63" s="22" t="inlineStr">
        <is>
          <t>metro</t>
        </is>
      </c>
      <c r="D63" s="22" t="inlineStr">
        <is>
          <t>ABB (Nurol'a teklif)</t>
        </is>
      </c>
      <c r="E63" s="22" t="inlineStr">
        <is>
          <t>2021-05-05</t>
        </is>
      </c>
      <c r="F63" s="22" t="inlineStr">
        <is>
          <t>2000 kVA 34,5/0,4 kV Al/Al kuru tip iç ihtiyaç trafosu IP23</t>
        </is>
      </c>
      <c r="G63" s="22" t="inlineStr">
        <is>
          <t>adet</t>
        </is>
      </c>
      <c r="H63" s="63" t="n">
        <v>46000</v>
      </c>
      <c r="I63" s="22" t="inlineStr">
        <is>
          <t>EUR</t>
        </is>
      </c>
      <c r="J63" s="22" t="inlineStr"/>
      <c r="K63" s="63" t="n">
        <v>57201.1969838019</v>
      </c>
      <c r="L63" s="22" t="inlineStr">
        <is>
          <t>2005.B</t>
        </is>
      </c>
      <c r="M63" s="22" t="n">
        <v>1</v>
      </c>
      <c r="N63" s="22" t="inlineStr">
        <is>
          <t>İzmir HRS 5.Aşama Üçyol-Buca metrosu (750 V DC, ~13,5 km, 11 yeraltı istasyon + depo), Nurol teklif talebi; ABB paketi (OG şalt+trafo+cer merkezi+kaçak akım), saha servisi ayrı kalem (920 k€), fiyatlar malzeme</t>
        </is>
      </c>
    </row>
    <row r="64">
      <c r="A64" s="22" t="inlineStr">
        <is>
          <t>R00702</t>
        </is>
      </c>
      <c r="B64" s="22" t="inlineStr">
        <is>
          <t>Izmir_Ucyol_Buca_Metro</t>
        </is>
      </c>
      <c r="C64" s="22" t="inlineStr">
        <is>
          <t>metro</t>
        </is>
      </c>
      <c r="D64" s="22" t="inlineStr">
        <is>
          <t>ABB (Nurol'a teklif)</t>
        </is>
      </c>
      <c r="E64" s="22" t="inlineStr">
        <is>
          <t>2021-05-05</t>
        </is>
      </c>
      <c r="F64" s="22" t="inlineStr">
        <is>
          <t>3300 kVA 34,5/0,6-0,6 kV Al/Al IP23 H/F AN CER Trafosu</t>
        </is>
      </c>
      <c r="G64" s="22" t="inlineStr">
        <is>
          <t>adet</t>
        </is>
      </c>
      <c r="H64" s="63" t="n">
        <v>75000</v>
      </c>
      <c r="I64" s="22" t="inlineStr">
        <is>
          <t>EUR</t>
        </is>
      </c>
      <c r="J64" s="22" t="inlineStr"/>
      <c r="K64" s="63" t="n">
        <v>93262.8211692422</v>
      </c>
      <c r="L64" s="22" t="inlineStr">
        <is>
          <t>2007.A</t>
        </is>
      </c>
      <c r="M64" s="22" t="n">
        <v>2</v>
      </c>
      <c r="N64" s="22" t="inlineStr">
        <is>
          <t>İzmir HRS 5.Aşama Üçyol-Buca metrosu (750 V DC, ~13,5 km, 11 yeraltı istasyon + depo), Nurol teklif talebi; ABB paketi (OG şalt+trafo+cer merkezi+kaçak akım), saha servisi ayrı kalem (920 k€), fiyatlar malzeme</t>
        </is>
      </c>
    </row>
    <row r="65">
      <c r="A65" s="22" t="inlineStr">
        <is>
          <t>R00703</t>
        </is>
      </c>
      <c r="B65" s="22" t="inlineStr">
        <is>
          <t>Izmir_Ucyol_Buca_Metro</t>
        </is>
      </c>
      <c r="C65" s="22" t="inlineStr">
        <is>
          <t>metro</t>
        </is>
      </c>
      <c r="D65" s="22" t="inlineStr">
        <is>
          <t>ABB (Nurol'a teklif)</t>
        </is>
      </c>
      <c r="E65" s="22" t="inlineStr">
        <is>
          <t>2021-05-05</t>
        </is>
      </c>
      <c r="F65" s="22" t="inlineStr">
        <is>
          <t>Diode Rectifier Unit 12-pulse</t>
        </is>
      </c>
      <c r="G65" s="22" t="inlineStr">
        <is>
          <t>adet</t>
        </is>
      </c>
      <c r="H65" s="63" t="n">
        <v>30500</v>
      </c>
      <c r="I65" s="22" t="inlineStr">
        <is>
          <t>EUR</t>
        </is>
      </c>
      <c r="J65" s="22" t="inlineStr"/>
      <c r="K65" s="63" t="n">
        <v>37926.8806088252</v>
      </c>
      <c r="L65" s="22" t="inlineStr">
        <is>
          <t>2007.A</t>
        </is>
      </c>
      <c r="M65" s="22" t="n">
        <v>2</v>
      </c>
      <c r="N65" s="22" t="inlineStr">
        <is>
          <t>İzmir HRS 5.Aşama Üçyol-Buca metrosu (750 V DC, ~13,5 km, 11 yeraltı istasyon + depo), Nurol teklif talebi; ABB paketi (OG şalt+trafo+cer merkezi+kaçak akım), saha servisi ayrı kalem (920 k€), fiyatlar malzeme</t>
        </is>
      </c>
    </row>
    <row r="66">
      <c r="A66" s="22" t="inlineStr">
        <is>
          <t>R00704</t>
        </is>
      </c>
      <c r="B66" s="22" t="inlineStr">
        <is>
          <t>Izmir_Ucyol_Buca_Metro</t>
        </is>
      </c>
      <c r="C66" s="22" t="inlineStr">
        <is>
          <t>metro</t>
        </is>
      </c>
      <c r="D66" s="22" t="inlineStr">
        <is>
          <t>ABB (Nurol'a teklif)</t>
        </is>
      </c>
      <c r="E66" s="22" t="inlineStr">
        <is>
          <t>2021-05-05</t>
        </is>
      </c>
      <c r="F66" s="22" t="inlineStr">
        <is>
          <t>Rectifier CB Panel 4000 A (DC giriş)</t>
        </is>
      </c>
      <c r="G66" s="22" t="inlineStr">
        <is>
          <t>adet</t>
        </is>
      </c>
      <c r="H66" s="63" t="n">
        <v>28500</v>
      </c>
      <c r="I66" s="22" t="inlineStr">
        <is>
          <t>EUR</t>
        </is>
      </c>
      <c r="J66" s="22" t="inlineStr"/>
      <c r="K66" s="63" t="n">
        <v>35439.8720443121</v>
      </c>
      <c r="L66" s="22" t="inlineStr">
        <is>
          <t>2007.A</t>
        </is>
      </c>
      <c r="M66" s="22" t="n">
        <v>2</v>
      </c>
      <c r="N66" s="22" t="inlineStr">
        <is>
          <t>İzmir HRS 5.Aşama Üçyol-Buca metrosu (750 V DC, ~13,5 km, 11 yeraltı istasyon + depo), Nurol teklif talebi; ABB paketi (OG şalt+trafo+cer merkezi+kaçak akım), saha servisi ayrı kalem (920 k€), fiyatlar malzeme</t>
        </is>
      </c>
    </row>
    <row r="67">
      <c r="A67" s="22" t="inlineStr">
        <is>
          <t>R00705</t>
        </is>
      </c>
      <c r="B67" s="22" t="inlineStr">
        <is>
          <t>Izmir_Ucyol_Buca_Metro</t>
        </is>
      </c>
      <c r="C67" s="22" t="inlineStr">
        <is>
          <t>metro</t>
        </is>
      </c>
      <c r="D67" s="22" t="inlineStr">
        <is>
          <t>ABB (Nurol'a teklif)</t>
        </is>
      </c>
      <c r="E67" s="22" t="inlineStr">
        <is>
          <t>2021-05-05</t>
        </is>
      </c>
      <c r="F67" s="22" t="inlineStr">
        <is>
          <t>Feeder Circuit Breaker Panel 4000 A (DC fider HSCB)</t>
        </is>
      </c>
      <c r="G67" s="22" t="inlineStr">
        <is>
          <t>adet</t>
        </is>
      </c>
      <c r="H67" s="63" t="n">
        <v>31200</v>
      </c>
      <c r="I67" s="22" t="inlineStr">
        <is>
          <t>EUR</t>
        </is>
      </c>
      <c r="J67" s="22" t="inlineStr"/>
      <c r="K67" s="63" t="n">
        <v>38797.3336064048</v>
      </c>
      <c r="L67" s="22" t="inlineStr">
        <is>
          <t>2007.A</t>
        </is>
      </c>
      <c r="M67" s="22" t="n">
        <v>2</v>
      </c>
      <c r="N67" s="22" t="inlineStr">
        <is>
          <t>İzmir HRS 5.Aşama Üçyol-Buca metrosu (750 V DC, ~13,5 km, 11 yeraltı istasyon + depo), Nurol teklif talebi; ABB paketi (OG şalt+trafo+cer merkezi+kaçak akım), saha servisi ayrı kalem (920 k€), fiyatlar malzeme</t>
        </is>
      </c>
    </row>
    <row r="68">
      <c r="A68" s="22" t="inlineStr">
        <is>
          <t>R00706</t>
        </is>
      </c>
      <c r="B68" s="22" t="inlineStr">
        <is>
          <t>Izmir_Ucyol_Buca_Metro</t>
        </is>
      </c>
      <c r="C68" s="22" t="inlineStr">
        <is>
          <t>metro</t>
        </is>
      </c>
      <c r="D68" s="22" t="inlineStr">
        <is>
          <t>ABB (Nurol'a teklif)</t>
        </is>
      </c>
      <c r="E68" s="22" t="inlineStr">
        <is>
          <t>2021-05-05</t>
        </is>
      </c>
      <c r="F68" s="22" t="inlineStr">
        <is>
          <t>Negative Return Panel</t>
        </is>
      </c>
      <c r="G68" s="22" t="inlineStr">
        <is>
          <t>adet</t>
        </is>
      </c>
      <c r="H68" s="63" t="n">
        <v>27142</v>
      </c>
      <c r="I68" s="22" t="inlineStr">
        <is>
          <t>EUR</t>
        </is>
      </c>
      <c r="J68" s="22" t="inlineStr"/>
      <c r="K68" s="63" t="n">
        <v>33751.1932290076</v>
      </c>
      <c r="L68" s="22" t="inlineStr">
        <is>
          <t>2007.A</t>
        </is>
      </c>
      <c r="M68" s="22" t="n">
        <v>2</v>
      </c>
      <c r="N68" s="22" t="inlineStr">
        <is>
          <t>İzmir HRS 5.Aşama Üçyol-Buca metrosu (750 V DC, ~13,5 km, 11 yeraltı istasyon + depo), Nurol teklif talebi; ABB paketi (OG şalt+trafo+cer merkezi+kaçak akım), saha servisi ayrı kalem (920 k€), fiyatlar malzeme</t>
        </is>
      </c>
    </row>
    <row r="69">
      <c r="A69" s="22" t="inlineStr">
        <is>
          <t>R00707</t>
        </is>
      </c>
      <c r="B69" s="22" t="inlineStr">
        <is>
          <t>Izmir_Ucyol_Buca_Metro</t>
        </is>
      </c>
      <c r="C69" s="22" t="inlineStr">
        <is>
          <t>metro</t>
        </is>
      </c>
      <c r="D69" s="22" t="inlineStr">
        <is>
          <t>ABB (Nurol'a teklif)</t>
        </is>
      </c>
      <c r="E69" s="22" t="inlineStr">
        <is>
          <t>2021-05-05</t>
        </is>
      </c>
      <c r="F69" s="22" t="inlineStr">
        <is>
          <t>Output and Air-gap LBS Panel 4000 A (2+1)</t>
        </is>
      </c>
      <c r="G69" s="22" t="inlineStr">
        <is>
          <t>set</t>
        </is>
      </c>
      <c r="H69" s="63" t="n">
        <v>28000</v>
      </c>
      <c r="I69" s="22" t="inlineStr">
        <is>
          <t>EUR</t>
        </is>
      </c>
      <c r="J69" s="22" t="inlineStr"/>
      <c r="K69" s="63" t="n">
        <v>34818.1199031838</v>
      </c>
      <c r="L69" s="22" t="inlineStr">
        <is>
          <t>2007.A</t>
        </is>
      </c>
      <c r="M69" s="22" t="n">
        <v>2</v>
      </c>
      <c r="N69" s="22" t="inlineStr">
        <is>
          <t>[AYKIRI DEĞER – otomatik dışlandı] İzmir HRS 5.Aşama Üçyol-Buca metrosu (750 V DC, ~13,5 km, 11 yeraltı istasyon + depo), Nurol teklif talebi; ABB paketi (OG şalt+trafo+cer merkezi+kaçak akım), saha servisi ayrı kalem (920 k€), fiyatlar malzeme</t>
        </is>
      </c>
    </row>
    <row r="70">
      <c r="A70" s="22" t="inlineStr">
        <is>
          <t>R00708</t>
        </is>
      </c>
      <c r="B70" s="22" t="inlineStr">
        <is>
          <t>Izmir_Ucyol_Buca_Metro</t>
        </is>
      </c>
      <c r="C70" s="22" t="inlineStr">
        <is>
          <t>metro</t>
        </is>
      </c>
      <c r="D70" s="22" t="inlineStr">
        <is>
          <t>ABB (Nurol'a teklif)</t>
        </is>
      </c>
      <c r="E70" s="22" t="inlineStr">
        <is>
          <t>2021-05-05</t>
        </is>
      </c>
      <c r="F70" s="22" t="inlineStr">
        <is>
          <t>Voltage Limiting Device type VLD-H</t>
        </is>
      </c>
      <c r="G70" s="22" t="inlineStr">
        <is>
          <t>adet</t>
        </is>
      </c>
      <c r="H70" s="63" t="n">
        <v>23000</v>
      </c>
      <c r="I70" s="22" t="inlineStr">
        <is>
          <t>EUR</t>
        </is>
      </c>
      <c r="J70" s="22" t="inlineStr"/>
      <c r="K70" s="63" t="n">
        <v>28600.598491901</v>
      </c>
      <c r="L70" s="22" t="inlineStr">
        <is>
          <t>2007.A</t>
        </is>
      </c>
      <c r="M70" s="22" t="n">
        <v>2</v>
      </c>
      <c r="N70" s="22" t="inlineStr">
        <is>
          <t>İzmir HRS 5.Aşama Üçyol-Buca metrosu (750 V DC, ~13,5 km, 11 yeraltı istasyon + depo), Nurol teklif talebi; ABB paketi (OG şalt+trafo+cer merkezi+kaçak akım), saha servisi ayrı kalem (920 k€), fiyatlar malzeme</t>
        </is>
      </c>
    </row>
    <row r="71">
      <c r="A71" s="22" t="inlineStr">
        <is>
          <t>R00716</t>
        </is>
      </c>
      <c r="B71" s="22" t="inlineStr">
        <is>
          <t>Izmir_Ucyol_Buca_Metro</t>
        </is>
      </c>
      <c r="C71" s="22" t="inlineStr">
        <is>
          <t>metro</t>
        </is>
      </c>
      <c r="D71" s="22" t="inlineStr">
        <is>
          <t>TEDAK Elektrik (ABB/E-Power)</t>
        </is>
      </c>
      <c r="E71" s="22" t="inlineStr">
        <is>
          <t>2021-05-05</t>
        </is>
      </c>
      <c r="F71" s="22" t="inlineStr">
        <is>
          <t>LVS-401 Ana Dağıtım Panosu (ADP) dikili modüler FORM 4B IP65 2213x6316x847 mm, ABB E-Power</t>
        </is>
      </c>
      <c r="G71" s="22" t="inlineStr">
        <is>
          <t>adet</t>
        </is>
      </c>
      <c r="H71" s="63" t="n">
        <v>67000</v>
      </c>
      <c r="I71" s="22" t="inlineStr">
        <is>
          <t>EUR</t>
        </is>
      </c>
      <c r="J71" s="22" t="inlineStr"/>
      <c r="K71" s="63" t="n">
        <v>83314.7869111897</v>
      </c>
      <c r="L71" s="22" t="inlineStr">
        <is>
          <t>2006.B</t>
        </is>
      </c>
      <c r="M71" s="22" t="n">
        <v>1</v>
      </c>
      <c r="N71" s="22" t="inlineStr">
        <is>
          <t>İzmir HRS 5.Aşama Üçyol-Buca metrosu (750 V DC, ~13,5 km, 11 yeraltı istasyon + depo), Nurol teklif talebi; yeraltı metro istasyonu panoları (URF tramvay ADP'den çok daha büyük); ortalama değerler; KDV hariç</t>
        </is>
      </c>
    </row>
    <row r="72">
      <c r="A72" s="22" t="inlineStr">
        <is>
          <t>R00717</t>
        </is>
      </c>
      <c r="B72" s="22" t="inlineStr">
        <is>
          <t>Izmir_Ucyol_Buca_Metro</t>
        </is>
      </c>
      <c r="C72" s="22" t="inlineStr">
        <is>
          <t>metro</t>
        </is>
      </c>
      <c r="D72" s="22" t="inlineStr">
        <is>
          <t>TEDAK Elektrik (ABB/E-Power)</t>
        </is>
      </c>
      <c r="E72" s="22" t="inlineStr">
        <is>
          <t>2021-05-05</t>
        </is>
      </c>
      <c r="F72" s="22" t="inlineStr">
        <is>
          <t>LVS-402 Ana Dağıtım Panosu (ikinci bölüm) 2213x3016x847 mm</t>
        </is>
      </c>
      <c r="G72" s="22" t="inlineStr">
        <is>
          <t>adet</t>
        </is>
      </c>
      <c r="H72" s="63" t="n">
        <v>26000</v>
      </c>
      <c r="I72" s="22" t="inlineStr">
        <is>
          <t>EUR</t>
        </is>
      </c>
      <c r="J72" s="22" t="inlineStr"/>
      <c r="K72" s="63" t="n">
        <v>32331.1113386706</v>
      </c>
      <c r="L72" s="22" t="inlineStr">
        <is>
          <t>2006.H</t>
        </is>
      </c>
      <c r="M72" s="22" t="n">
        <v>2</v>
      </c>
      <c r="N72" s="22" t="inlineStr">
        <is>
          <t>İzmir HRS 5.Aşama Üçyol-Buca metrosu (750 V DC, ~13,5 km, 11 yeraltı istasyon + depo), Nurol teklif talebi; yeraltı metro istasyonu panoları (URF tramvay ADP'den çok daha büyük); ortalama değerler; KDV hariç</t>
        </is>
      </c>
    </row>
    <row r="73">
      <c r="A73" s="22" t="inlineStr">
        <is>
          <t>R00719</t>
        </is>
      </c>
      <c r="B73" s="22" t="inlineStr">
        <is>
          <t>Izmir_Ucyol_Buca_Metro</t>
        </is>
      </c>
      <c r="C73" s="22" t="inlineStr">
        <is>
          <t>metro</t>
        </is>
      </c>
      <c r="D73" s="22" t="inlineStr">
        <is>
          <t>TEDAK Elektrik (ABB/E-Power)</t>
        </is>
      </c>
      <c r="E73" s="22" t="inlineStr">
        <is>
          <t>2021-05-05</t>
        </is>
      </c>
      <c r="F73" s="22" t="inlineStr">
        <is>
          <t>UPS dağıtım panosu dikili 2213x916x647 (FORM 4B)</t>
        </is>
      </c>
      <c r="G73" s="22" t="inlineStr">
        <is>
          <t>adet</t>
        </is>
      </c>
      <c r="H73" s="63" t="n">
        <v>6315</v>
      </c>
      <c r="I73" s="22" t="inlineStr">
        <is>
          <t>EUR</t>
        </is>
      </c>
      <c r="J73" s="22" t="inlineStr"/>
      <c r="K73" s="63" t="n">
        <v>7852.7295424502</v>
      </c>
      <c r="L73" s="22" t="inlineStr">
        <is>
          <t>2006.B</t>
        </is>
      </c>
      <c r="M73" s="22" t="n">
        <v>2</v>
      </c>
      <c r="N73" s="22" t="inlineStr">
        <is>
          <t>İzmir HRS 5.Aşama Üçyol-Buca metrosu (750 V DC, ~13,5 km, 11 yeraltı istasyon + depo), Nurol teklif talebi; yeraltı metro istasyonu panoları (URF tramvay ADP'den çok daha büyük); ortalama değerler; KDV hariç</t>
        </is>
      </c>
    </row>
    <row r="74">
      <c r="A74" s="22" t="inlineStr">
        <is>
          <t>R00720</t>
        </is>
      </c>
      <c r="B74" s="22" t="inlineStr">
        <is>
          <t>Izmir_Ucyol_Buca_Metro</t>
        </is>
      </c>
      <c r="C74" s="22" t="inlineStr">
        <is>
          <t>metro</t>
        </is>
      </c>
      <c r="D74" s="22" t="inlineStr">
        <is>
          <t>TEDAK Elektrik (ABB/E-Power)</t>
        </is>
      </c>
      <c r="E74" s="22" t="inlineStr">
        <is>
          <t>2021-05-05</t>
        </is>
      </c>
      <c r="F74" s="22" t="inlineStr">
        <is>
          <t>Tali dağıtım panosu SCT duvar tipi IP65 1203x803 (ortalama)</t>
        </is>
      </c>
      <c r="G74" s="22" t="inlineStr">
        <is>
          <t>adet</t>
        </is>
      </c>
      <c r="H74" s="63" t="n">
        <v>2421</v>
      </c>
      <c r="I74" s="22" t="inlineStr">
        <is>
          <t>EUR</t>
        </is>
      </c>
      <c r="J74" s="22" t="inlineStr"/>
      <c r="K74" s="63" t="n">
        <v>3010.52386734314</v>
      </c>
      <c r="L74" s="22" t="inlineStr">
        <is>
          <t>5002.B</t>
        </is>
      </c>
      <c r="M74" s="22" t="n">
        <v>5</v>
      </c>
      <c r="N74" s="22" t="inlineStr">
        <is>
          <t>İzmir HRS 5.Aşama Üçyol-Buca metrosu (750 V DC, ~13,5 km, 11 yeraltı istasyon + depo), Nurol teklif talebi; yeraltı metro istasyonu panoları (URF tramvay ADP'den çok daha büyük); ortalama değerler; KDV hariç</t>
        </is>
      </c>
    </row>
    <row r="75">
      <c r="A75" s="22" t="inlineStr">
        <is>
          <t>R00721</t>
        </is>
      </c>
      <c r="B75" s="22" t="inlineStr">
        <is>
          <t>Izmir_Ucyol_Buca_Metro</t>
        </is>
      </c>
      <c r="C75" s="22" t="inlineStr">
        <is>
          <t>metro</t>
        </is>
      </c>
      <c r="D75" s="22" t="inlineStr">
        <is>
          <t>TEDAK Elektrik (ABB/E-Power)</t>
        </is>
      </c>
      <c r="E75" s="22" t="inlineStr">
        <is>
          <t>2021-05-05</t>
        </is>
      </c>
      <c r="F75" s="22" t="inlineStr">
        <is>
          <t>Genel servis panosu GSP (ortalama)</t>
        </is>
      </c>
      <c r="G75" s="22" t="inlineStr">
        <is>
          <t>adet</t>
        </is>
      </c>
      <c r="H75" s="63" t="n">
        <v>2274</v>
      </c>
      <c r="I75" s="22" t="inlineStr">
        <is>
          <t>EUR</t>
        </is>
      </c>
      <c r="J75" s="22" t="inlineStr"/>
      <c r="K75" s="63" t="n">
        <v>2827.72873785142</v>
      </c>
      <c r="L75" s="22" t="inlineStr">
        <is>
          <t>5002.B</t>
        </is>
      </c>
      <c r="M75" s="22" t="n">
        <v>3</v>
      </c>
      <c r="N75" s="22" t="inlineStr">
        <is>
          <t>İzmir HRS 5.Aşama Üçyol-Buca metrosu (750 V DC, ~13,5 km, 11 yeraltı istasyon + depo), Nurol teklif talebi; yeraltı metro istasyonu panoları (URF tramvay ADP'den çok daha büyük); ortalama değerler; KDV hariç</t>
        </is>
      </c>
    </row>
    <row r="76">
      <c r="A76" s="22" t="inlineStr">
        <is>
          <t>R00724</t>
        </is>
      </c>
      <c r="B76" s="22" t="inlineStr">
        <is>
          <t>Izmir_Ucyol_Buca_Metro</t>
        </is>
      </c>
      <c r="C76" s="22" t="inlineStr">
        <is>
          <t>metro</t>
        </is>
      </c>
      <c r="D76" s="22" t="inlineStr">
        <is>
          <t>Kablo üreticisi (teklif no VTNFD-896)</t>
        </is>
      </c>
      <c r="E76" s="22" t="inlineStr">
        <is>
          <t>2021-05-05</t>
        </is>
      </c>
      <c r="F76" s="22" t="inlineStr">
        <is>
          <t>16 mm2 örgülü bakır iletken</t>
        </is>
      </c>
      <c r="G76" s="22" t="inlineStr">
        <is>
          <t>m</t>
        </is>
      </c>
      <c r="H76" s="63" t="n">
        <v>1.66</v>
      </c>
      <c r="I76" s="22" t="inlineStr">
        <is>
          <t>USD</t>
        </is>
      </c>
      <c r="J76" s="22" t="inlineStr"/>
      <c r="K76" s="63" t="n">
        <v>1.71946448025481</v>
      </c>
      <c r="L76" s="22" t="inlineStr">
        <is>
          <t>2008.H</t>
        </is>
      </c>
      <c r="M76" s="22" t="n">
        <v>4</v>
      </c>
      <c r="N76" s="22" t="inlineStr">
        <is>
          <t>net USD/m, LME Cu 10.100 $/t; malzeme; dosya tarihi</t>
        </is>
      </c>
    </row>
    <row r="77">
      <c r="A77" s="22" t="inlineStr">
        <is>
          <t>R00725</t>
        </is>
      </c>
      <c r="B77" s="22" t="inlineStr">
        <is>
          <t>Izmir_Ucyol_Buca_Metro</t>
        </is>
      </c>
      <c r="C77" s="22" t="inlineStr">
        <is>
          <t>metro</t>
        </is>
      </c>
      <c r="D77" s="22" t="inlineStr">
        <is>
          <t>Kablo üreticisi (teklif no VTNFD-896)</t>
        </is>
      </c>
      <c r="E77" s="22" t="inlineStr">
        <is>
          <t>2021-05-05</t>
        </is>
      </c>
      <c r="F77" s="22" t="inlineStr">
        <is>
          <t>120 mm2 örgülü bakır iletken</t>
        </is>
      </c>
      <c r="G77" s="22" t="inlineStr">
        <is>
          <t>m</t>
        </is>
      </c>
      <c r="H77" s="63" t="n">
        <v>12.13</v>
      </c>
      <c r="I77" s="22" t="inlineStr">
        <is>
          <t>USD</t>
        </is>
      </c>
      <c r="J77" s="22" t="inlineStr"/>
      <c r="K77" s="63" t="n">
        <v>12.5645205695728</v>
      </c>
      <c r="L77" s="22" t="inlineStr">
        <is>
          <t>2008.H</t>
        </is>
      </c>
      <c r="M77" s="22" t="n">
        <v>9</v>
      </c>
      <c r="N77" s="22" t="inlineStr">
        <is>
          <t>net USD/m, LME Cu 10.100 $/t; malzeme; dosya tarihi</t>
        </is>
      </c>
    </row>
    <row r="78">
      <c r="A78" s="22" t="inlineStr">
        <is>
          <t>R00726</t>
        </is>
      </c>
      <c r="B78" s="22" t="inlineStr">
        <is>
          <t>Izmir_Ucyol_Buca_Metro</t>
        </is>
      </c>
      <c r="C78" s="22" t="inlineStr">
        <is>
          <t>metro</t>
        </is>
      </c>
      <c r="D78" s="22" t="inlineStr">
        <is>
          <t>Kablo üreticisi (teklif no VTNFD-896)</t>
        </is>
      </c>
      <c r="E78" s="22" t="inlineStr">
        <is>
          <t>2021-05-05</t>
        </is>
      </c>
      <c r="F78" s="22" t="inlineStr">
        <is>
          <t>N2XH 1x240 0,6/1 kV</t>
        </is>
      </c>
      <c r="G78" s="22" t="inlineStr">
        <is>
          <t>m</t>
        </is>
      </c>
      <c r="H78" s="63" t="n">
        <v>25.12</v>
      </c>
      <c r="I78" s="22" t="inlineStr">
        <is>
          <t>USD</t>
        </is>
      </c>
      <c r="J78" s="22" t="inlineStr"/>
      <c r="K78" s="63" t="n">
        <v>26.0198480385547</v>
      </c>
      <c r="L78" s="22" t="inlineStr">
        <is>
          <t>2011.I</t>
        </is>
      </c>
      <c r="M78" s="22" t="n">
        <v>6</v>
      </c>
      <c r="N78" s="22" t="inlineStr">
        <is>
          <t>net USD/m, LME Cu 10.100 $/t; malzeme; dosya tarihi</t>
        </is>
      </c>
    </row>
    <row r="79">
      <c r="A79" s="22" t="inlineStr">
        <is>
          <t>R00727</t>
        </is>
      </c>
      <c r="B79" s="22" t="inlineStr">
        <is>
          <t>Izmir_Ucyol_Buca_Metro</t>
        </is>
      </c>
      <c r="C79" s="22" t="inlineStr">
        <is>
          <t>metro</t>
        </is>
      </c>
      <c r="D79" s="22" t="inlineStr">
        <is>
          <t>Kablo üreticisi (teklif no VTNFD-896)</t>
        </is>
      </c>
      <c r="E79" s="22" t="inlineStr">
        <is>
          <t>2021-05-05</t>
        </is>
      </c>
      <c r="F79" s="22" t="inlineStr">
        <is>
          <t>N2XH-J 3x2,5 0,6/1 kV</t>
        </is>
      </c>
      <c r="G79" s="22" t="inlineStr">
        <is>
          <t>m</t>
        </is>
      </c>
      <c r="H79" s="63" t="n">
        <v>1.1</v>
      </c>
      <c r="I79" s="22" t="inlineStr">
        <is>
          <t>USD</t>
        </is>
      </c>
      <c r="J79" s="22" t="inlineStr"/>
      <c r="K79" s="63" t="n">
        <v>1.13940417366282</v>
      </c>
      <c r="L79" s="22" t="inlineStr">
        <is>
          <t>5002.B</t>
        </is>
      </c>
      <c r="M79" s="22" t="n">
        <v>32</v>
      </c>
      <c r="N79" s="22" t="inlineStr">
        <is>
          <t>net USD/m, LME Cu 10.100 $/t; malzeme; dosya tarihi</t>
        </is>
      </c>
    </row>
    <row r="80">
      <c r="A80" s="22" t="inlineStr">
        <is>
          <t>R00728</t>
        </is>
      </c>
      <c r="B80" s="22" t="inlineStr">
        <is>
          <t>Izmir_Ucyol_Buca_Metro</t>
        </is>
      </c>
      <c r="C80" s="22" t="inlineStr">
        <is>
          <t>metro</t>
        </is>
      </c>
      <c r="D80" s="22" t="inlineStr">
        <is>
          <t>Schneider Electric (F400)</t>
        </is>
      </c>
      <c r="E80" s="22" t="inlineStr">
        <is>
          <t>2021-05-25</t>
        </is>
      </c>
      <c r="F80" s="22" t="inlineStr">
        <is>
          <t>F400 RING FEEDER 600A VT (36 kV)</t>
        </is>
      </c>
      <c r="G80" s="22" t="inlineStr">
        <is>
          <t>adet</t>
        </is>
      </c>
      <c r="H80" s="63" t="n">
        <v>15280</v>
      </c>
      <c r="I80" s="22" t="inlineStr">
        <is>
          <t>EUR</t>
        </is>
      </c>
      <c r="J80" s="22" t="inlineStr"/>
      <c r="K80" s="63" t="n">
        <v>19000.7454328803</v>
      </c>
      <c r="L80" s="22" t="inlineStr">
        <is>
          <t>2004.A</t>
        </is>
      </c>
      <c r="M80" s="22" t="n">
        <v>1</v>
      </c>
      <c r="N80" s="22" t="inlineStr">
        <is>
          <t>İzmir HRS 5.Aşama Üçyol-Buca metrosu (750 V DC, ~13,5 km, 11 yeraltı istasyon + depo), Nurol teklif talebi; Schneider F400 36 kV hücre, birim fiyat istasyonlara göre ±0,3% değişiyor (ortalama), teklif Ref SET.XXX.HKE, Rev0 25/05/2021</t>
        </is>
      </c>
    </row>
    <row r="81">
      <c r="A81" s="22" t="inlineStr">
        <is>
          <t>R00729</t>
        </is>
      </c>
      <c r="B81" s="22" t="inlineStr">
        <is>
          <t>Izmir_Ucyol_Buca_Metro</t>
        </is>
      </c>
      <c r="C81" s="22" t="inlineStr">
        <is>
          <t>metro</t>
        </is>
      </c>
      <c r="D81" s="22" t="inlineStr">
        <is>
          <t>Schneider Electric (F400)</t>
        </is>
      </c>
      <c r="E81" s="22" t="inlineStr">
        <is>
          <t>2021-05-25</t>
        </is>
      </c>
      <c r="F81" s="22" t="inlineStr">
        <is>
          <t>F400 BUSBAR METERING</t>
        </is>
      </c>
      <c r="G81" s="22" t="inlineStr">
        <is>
          <t>adet</t>
        </is>
      </c>
      <c r="H81" s="63" t="n">
        <v>9385</v>
      </c>
      <c r="I81" s="22" t="inlineStr">
        <is>
          <t>EUR</t>
        </is>
      </c>
      <c r="J81" s="22" t="inlineStr"/>
      <c r="K81" s="63" t="n">
        <v>11670.2876889778</v>
      </c>
      <c r="L81" s="22" t="inlineStr">
        <is>
          <t>2004.D</t>
        </is>
      </c>
      <c r="M81" s="22" t="n">
        <v>1</v>
      </c>
      <c r="N81" s="22" t="inlineStr">
        <is>
          <t>İzmir HRS 5.Aşama Üçyol-Buca metrosu (750 V DC, ~13,5 km, 11 yeraltı istasyon + depo), Nurol teklif talebi; Schneider F400 36 kV hücre, birim fiyat istasyonlara göre ±0,3% değişiyor (ortalama), teklif Ref SET.XXX.HKE, Rev0 25/05/2021</t>
        </is>
      </c>
    </row>
    <row r="82">
      <c r="A82" s="22" t="inlineStr">
        <is>
          <t>R00730</t>
        </is>
      </c>
      <c r="B82" s="22" t="inlineStr">
        <is>
          <t>Izmir_Ucyol_Buca_Metro</t>
        </is>
      </c>
      <c r="C82" s="22" t="inlineStr">
        <is>
          <t>metro</t>
        </is>
      </c>
      <c r="D82" s="22" t="inlineStr">
        <is>
          <t>Schneider Electric (F400)</t>
        </is>
      </c>
      <c r="E82" s="22" t="inlineStr">
        <is>
          <t>2021-05-25</t>
        </is>
      </c>
      <c r="F82" s="22" t="inlineStr">
        <is>
          <t>F400 FEEDER 100A (cer trafo besleme)</t>
        </is>
      </c>
      <c r="G82" s="22" t="inlineStr">
        <is>
          <t>adet</t>
        </is>
      </c>
      <c r="H82" s="63" t="n">
        <v>10964</v>
      </c>
      <c r="I82" s="22" t="inlineStr">
        <is>
          <t>EUR</t>
        </is>
      </c>
      <c r="J82" s="22" t="inlineStr"/>
      <c r="K82" s="63" t="n">
        <v>13633.780950661</v>
      </c>
      <c r="L82" s="22" t="inlineStr">
        <is>
          <t>2004.B</t>
        </is>
      </c>
      <c r="M82" s="22" t="n">
        <v>1</v>
      </c>
      <c r="N82" s="22" t="inlineStr">
        <is>
          <t>İzmir HRS 5.Aşama Üçyol-Buca metrosu (750 V DC, ~13,5 km, 11 yeraltı istasyon + depo), Nurol teklif talebi; Schneider F400 36 kV hücre, birim fiyat istasyonlara göre ±0,3% değişiyor (ortalama), teklif Ref SET.XXX.HKE, Rev0 25/05/2021</t>
        </is>
      </c>
    </row>
    <row r="83">
      <c r="A83" s="22" t="inlineStr">
        <is>
          <t>R00731</t>
        </is>
      </c>
      <c r="B83" s="22" t="inlineStr">
        <is>
          <t>Izmir_Ucyol_Buca_Metro</t>
        </is>
      </c>
      <c r="C83" s="22" t="inlineStr">
        <is>
          <t>metro</t>
        </is>
      </c>
      <c r="D83" s="22" t="inlineStr">
        <is>
          <t>Schneider Electric (F400)</t>
        </is>
      </c>
      <c r="E83" s="22" t="inlineStr">
        <is>
          <t>2021-05-25</t>
        </is>
      </c>
      <c r="F83" s="22" t="inlineStr">
        <is>
          <t>F400 Aux. FEEDER 50A (iç ihtiyaç)</t>
        </is>
      </c>
      <c r="G83" s="22" t="inlineStr">
        <is>
          <t>adet</t>
        </is>
      </c>
      <c r="H83" s="63" t="n">
        <v>11545</v>
      </c>
      <c r="I83" s="22" t="inlineStr">
        <is>
          <t>EUR</t>
        </is>
      </c>
      <c r="J83" s="22" t="inlineStr"/>
      <c r="K83" s="63" t="n">
        <v>14356.256938652</v>
      </c>
      <c r="L83" s="22" t="inlineStr">
        <is>
          <t>2004.C</t>
        </is>
      </c>
      <c r="M83" s="22" t="n">
        <v>2</v>
      </c>
      <c r="N83" s="22" t="inlineStr">
        <is>
          <t>İzmir HRS 5.Aşama Üçyol-Buca metrosu (750 V DC, ~13,5 km, 11 yeraltı istasyon + depo), Nurol teklif talebi; Schneider F400 36 kV hücre, birim fiyat istasyonlara göre ±0,3% değişiyor (ortalama), teklif Ref SET.XXX.HKE, Rev0 25/05/2021</t>
        </is>
      </c>
    </row>
    <row r="84">
      <c r="A84" s="22" t="inlineStr">
        <is>
          <t>R00734</t>
        </is>
      </c>
      <c r="B84" s="22" t="inlineStr">
        <is>
          <t>Izmir_Ucyol_Buca_Metro</t>
        </is>
      </c>
      <c r="C84" s="22" t="inlineStr">
        <is>
          <t>metro</t>
        </is>
      </c>
      <c r="D84" s="22" t="inlineStr">
        <is>
          <t>İnform (Legrand)</t>
        </is>
      </c>
      <c r="E84" s="22" t="inlineStr">
        <is>
          <t>2021-06-04</t>
        </is>
      </c>
      <c r="F84" s="22" t="inlineStr">
        <is>
          <t>2x Redresör 3x400V/110V 90A + 1x DC Pano 110V 40A (IP54, LVD, droper, DC toprak kaçağı, SCADA Modbus)</t>
        </is>
      </c>
      <c r="G84" s="22" t="inlineStr">
        <is>
          <t>set</t>
        </is>
      </c>
      <c r="H84" s="63" t="n">
        <v>15800</v>
      </c>
      <c r="I84" s="22" t="inlineStr">
        <is>
          <t>EUR</t>
        </is>
      </c>
      <c r="J84" s="22" t="inlineStr"/>
      <c r="K84" s="63" t="n">
        <v>19596.2881522748</v>
      </c>
      <c r="L84" s="22" t="inlineStr">
        <is>
          <t>2009.A</t>
        </is>
      </c>
      <c r="M84" s="22" t="n">
        <v>2</v>
      </c>
      <c r="N84" s="22" t="inlineStr">
        <is>
          <t>Yapı Merkezi'ne teklif; tablo EUR yazıyor, ticari koşullarda para birimi USD denmiş (belirsiz); devreye alma dahil</t>
        </is>
      </c>
    </row>
    <row r="85">
      <c r="A85" s="22" t="inlineStr">
        <is>
          <t>R00738</t>
        </is>
      </c>
      <c r="B85" s="22" t="inlineStr">
        <is>
          <t>Izmir_Ucyol_Buca_Metro</t>
        </is>
      </c>
      <c r="C85" s="22" t="inlineStr">
        <is>
          <t>metro</t>
        </is>
      </c>
      <c r="D85" s="22" t="inlineStr">
        <is>
          <t>İnform (Legrand)</t>
        </is>
      </c>
      <c r="E85" s="22" t="inlineStr">
        <is>
          <t>2021-06-04</t>
        </is>
      </c>
      <c r="F85" s="22" t="inlineStr">
        <is>
          <t>110V DC 140Ah Ni-Cd Akü (KL140P) kabin+raf</t>
        </is>
      </c>
      <c r="G85" s="22" t="inlineStr">
        <is>
          <t>takım</t>
        </is>
      </c>
      <c r="H85" s="63" t="n">
        <v>10500</v>
      </c>
      <c r="I85" s="22" t="inlineStr">
        <is>
          <t>EUR</t>
        </is>
      </c>
      <c r="J85" s="22" t="inlineStr"/>
      <c r="K85" s="63" t="n">
        <v>13022.8497214485</v>
      </c>
      <c r="L85" s="22" t="inlineStr">
        <is>
          <t>2009.A</t>
        </is>
      </c>
      <c r="M85" s="22" t="n">
        <v>1</v>
      </c>
      <c r="N85" s="22" t="inlineStr">
        <is>
          <t>Ni-Cd (URF VRLA 160Ah ister); tablo EUR, koşullar USD diyor</t>
        </is>
      </c>
    </row>
    <row r="86">
      <c r="A86" s="22" t="inlineStr">
        <is>
          <t>R00739</t>
        </is>
      </c>
      <c r="B86" s="22" t="inlineStr">
        <is>
          <t>Izmir_Ucyol_Buca_Metro</t>
        </is>
      </c>
      <c r="C86" s="22" t="inlineStr">
        <is>
          <t>metro</t>
        </is>
      </c>
      <c r="D86" s="22" t="inlineStr">
        <is>
          <t>EEC Entegre Bina (UTC Edwards EST3)</t>
        </is>
      </c>
      <c r="E86" s="22" t="inlineStr">
        <is>
          <t>2021-06-04</t>
        </is>
      </c>
      <c r="F86" s="22" t="inlineStr">
        <is>
          <t>EST3 Signature adreslenebilir network yangın kontrol paneli (4 loop)</t>
        </is>
      </c>
      <c r="G86" s="22" t="inlineStr">
        <is>
          <t>adet</t>
        </is>
      </c>
      <c r="H86" s="63" t="n">
        <v>3497.8</v>
      </c>
      <c r="I86" s="22" t="inlineStr">
        <is>
          <t>USD</t>
        </is>
      </c>
      <c r="J86" s="22" t="inlineStr"/>
      <c r="K86" s="63" t="n">
        <v>3580.27672696624</v>
      </c>
      <c r="L86" s="22" t="inlineStr">
        <is>
          <t>5004.B</t>
        </is>
      </c>
      <c r="M86" s="22" t="n">
        <v>1</v>
      </c>
      <c r="N86" s="22" t="inlineStr">
        <is>
          <t>Buca metrosu 11 istasyon+depo; malzeme (kablo/montaj hariç); Edwards yangın sistemi toplam 727.818 $</t>
        </is>
      </c>
    </row>
    <row r="87">
      <c r="A87" s="22" t="inlineStr">
        <is>
          <t>R00740</t>
        </is>
      </c>
      <c r="B87" s="22" t="inlineStr">
        <is>
          <t>Izmir_Ucyol_Buca_Metro</t>
        </is>
      </c>
      <c r="C87" s="22" t="inlineStr">
        <is>
          <t>metro</t>
        </is>
      </c>
      <c r="D87" s="22" t="inlineStr">
        <is>
          <t>EEC Entegre Bina (UTC Edwards EST3)</t>
        </is>
      </c>
      <c r="E87" s="22" t="inlineStr">
        <is>
          <t>2021-06-04</t>
        </is>
      </c>
      <c r="F87" s="22" t="inlineStr">
        <is>
          <t>3-LCDANN-E tekrarlama ve kontrol paneli</t>
        </is>
      </c>
      <c r="G87" s="22" t="inlineStr">
        <is>
          <t>adet</t>
        </is>
      </c>
      <c r="H87" s="63" t="n">
        <v>985.7</v>
      </c>
      <c r="I87" s="22" t="inlineStr">
        <is>
          <t>USD</t>
        </is>
      </c>
      <c r="J87" s="22" t="inlineStr"/>
      <c r="K87" s="63" t="n">
        <v>1008.94241230791</v>
      </c>
      <c r="L87" s="22" t="inlineStr">
        <is>
          <t>5004.I</t>
        </is>
      </c>
      <c r="M87" s="22" t="n">
        <v>2</v>
      </c>
      <c r="N87" s="22" t="inlineStr">
        <is>
          <t>Buca metrosu 11 istasyon+depo; malzeme (kablo/montaj hariç); Edwards yangın sistemi toplam 727.818 $</t>
        </is>
      </c>
    </row>
    <row r="88">
      <c r="A88" s="22" t="inlineStr">
        <is>
          <t>R00741</t>
        </is>
      </c>
      <c r="B88" s="22" t="inlineStr">
        <is>
          <t>Izmir_Ucyol_Buca_Metro</t>
        </is>
      </c>
      <c r="C88" s="22" t="inlineStr">
        <is>
          <t>metro</t>
        </is>
      </c>
      <c r="D88" s="22" t="inlineStr">
        <is>
          <t>EEC Entegre Bina (UTC Edwards EST3)</t>
        </is>
      </c>
      <c r="E88" s="22" t="inlineStr">
        <is>
          <t>2021-06-04</t>
        </is>
      </c>
      <c r="F88" s="22" t="inlineStr">
        <is>
          <t>SIGA-PDI adresli optik duman dedektörü + SIGA-SB soket</t>
        </is>
      </c>
      <c r="G88" s="22" t="inlineStr">
        <is>
          <t>adet</t>
        </is>
      </c>
      <c r="H88" s="63" t="n">
        <v>36.1</v>
      </c>
      <c r="I88" s="22" t="inlineStr">
        <is>
          <t>USD</t>
        </is>
      </c>
      <c r="J88" s="22" t="inlineStr"/>
      <c r="K88" s="63" t="n">
        <v>36.9512235815316</v>
      </c>
      <c r="L88" s="22" t="inlineStr">
        <is>
          <t>5004.B</t>
        </is>
      </c>
      <c r="M88" s="22" t="n">
        <v>13</v>
      </c>
      <c r="N88" s="22" t="inlineStr">
        <is>
          <t>Buca metrosu 11 istasyon+depo; malzeme (kablo/montaj hariç); Edwards yangın sistemi toplam 727.818 $</t>
        </is>
      </c>
    </row>
    <row r="89">
      <c r="A89" s="22" t="inlineStr">
        <is>
          <t>R00742</t>
        </is>
      </c>
      <c r="B89" s="22" t="inlineStr">
        <is>
          <t>Izmir_Ucyol_Buca_Metro</t>
        </is>
      </c>
      <c r="C89" s="22" t="inlineStr">
        <is>
          <t>metro</t>
        </is>
      </c>
      <c r="D89" s="22" t="inlineStr">
        <is>
          <t>EEC Entegre Bina (UTC Edwards EST3)</t>
        </is>
      </c>
      <c r="E89" s="22" t="inlineStr">
        <is>
          <t>2021-06-04</t>
        </is>
      </c>
      <c r="F89" s="22" t="inlineStr">
        <is>
          <t>SIGA-PHDI adresli kombine optik-ısı dedektörü + soket</t>
        </is>
      </c>
      <c r="G89" s="22" t="inlineStr">
        <is>
          <t>adet</t>
        </is>
      </c>
      <c r="H89" s="63" t="n">
        <v>39.6</v>
      </c>
      <c r="I89" s="22" t="inlineStr">
        <is>
          <t>USD</t>
        </is>
      </c>
      <c r="J89" s="22" t="inlineStr"/>
      <c r="K89" s="63" t="n">
        <v>40.5337521836192</v>
      </c>
      <c r="L89" s="22" t="inlineStr">
        <is>
          <t>5004.B</t>
        </is>
      </c>
      <c r="M89" s="22" t="n">
        <v>4</v>
      </c>
      <c r="N89" s="22" t="inlineStr">
        <is>
          <t>Buca metrosu 11 istasyon+depo; malzeme (kablo/montaj hariç); Edwards yangın sistemi toplam 727.818 $</t>
        </is>
      </c>
    </row>
    <row r="90">
      <c r="A90" s="22" t="inlineStr">
        <is>
          <t>R00743</t>
        </is>
      </c>
      <c r="B90" s="22" t="inlineStr">
        <is>
          <t>Izmir_Ucyol_Buca_Metro</t>
        </is>
      </c>
      <c r="C90" s="22" t="inlineStr">
        <is>
          <t>metro</t>
        </is>
      </c>
      <c r="D90" s="22" t="inlineStr">
        <is>
          <t>EEC Entegre Bina (UTC Edwards EST3)</t>
        </is>
      </c>
      <c r="E90" s="22" t="inlineStr">
        <is>
          <t>2021-06-04</t>
        </is>
      </c>
      <c r="F90" s="22" t="inlineStr">
        <is>
          <t>SIGA-HRDI adresli sabit sıcaklık/ısı dedektörü + soket</t>
        </is>
      </c>
      <c r="G90" s="22" t="inlineStr">
        <is>
          <t>adet</t>
        </is>
      </c>
      <c r="H90" s="63" t="n">
        <v>31.5</v>
      </c>
      <c r="I90" s="22" t="inlineStr">
        <is>
          <t>USD</t>
        </is>
      </c>
      <c r="J90" s="22" t="inlineStr"/>
      <c r="K90" s="63" t="n">
        <v>32.242757418788</v>
      </c>
      <c r="L90" s="22" t="inlineStr">
        <is>
          <t>5004.B</t>
        </is>
      </c>
      <c r="M90" s="22" t="n">
        <v>9</v>
      </c>
      <c r="N90" s="22" t="inlineStr">
        <is>
          <t>Buca metrosu 11 istasyon+depo; malzeme (kablo/montaj hariç); Edwards yangın sistemi toplam 727.818 $</t>
        </is>
      </c>
    </row>
    <row r="91">
      <c r="A91" s="22" t="inlineStr">
        <is>
          <t>R00744</t>
        </is>
      </c>
      <c r="B91" s="22" t="inlineStr">
        <is>
          <t>Izmir_Ucyol_Buca_Metro</t>
        </is>
      </c>
      <c r="C91" s="22" t="inlineStr">
        <is>
          <t>metro</t>
        </is>
      </c>
      <c r="D91" s="22" t="inlineStr">
        <is>
          <t>EEC Entegre Bina (UTC Edwards EST3)</t>
        </is>
      </c>
      <c r="E91" s="22" t="inlineStr">
        <is>
          <t>2021-06-04</t>
        </is>
      </c>
      <c r="F91" s="22" t="inlineStr">
        <is>
          <t>WCP3A cam kırma tipi harici yangın ihbar butonu sıva üstü</t>
        </is>
      </c>
      <c r="G91" s="22" t="inlineStr">
        <is>
          <t>adet</t>
        </is>
      </c>
      <c r="H91" s="63" t="n">
        <v>87.5</v>
      </c>
      <c r="I91" s="22" t="inlineStr">
        <is>
          <t>USD</t>
        </is>
      </c>
      <c r="J91" s="22" t="inlineStr"/>
      <c r="K91" s="63" t="n">
        <v>89.5632150521888</v>
      </c>
      <c r="L91" s="22" t="inlineStr">
        <is>
          <t>5004.B</t>
        </is>
      </c>
      <c r="M91" s="22" t="n">
        <v>8</v>
      </c>
      <c r="N91" s="22" t="inlineStr">
        <is>
          <t>Buca metrosu 11 istasyon+depo; malzeme (kablo/montaj hariç); Edwards yangın sistemi toplam 727.818 $</t>
        </is>
      </c>
    </row>
    <row r="92">
      <c r="A92" s="22" t="inlineStr">
        <is>
          <t>R00745</t>
        </is>
      </c>
      <c r="B92" s="22" t="inlineStr">
        <is>
          <t>Izmir_Ucyol_Buca_Metro</t>
        </is>
      </c>
      <c r="C92" s="22" t="inlineStr">
        <is>
          <t>metro</t>
        </is>
      </c>
      <c r="D92" s="22" t="inlineStr">
        <is>
          <t>EEC Entegre Bina (UTC Edwards EST3)</t>
        </is>
      </c>
      <c r="E92" s="22" t="inlineStr">
        <is>
          <t>2021-06-04</t>
        </is>
      </c>
      <c r="F92" s="22" t="inlineStr">
        <is>
          <t>OSID UV/IR ışın tipi duman dedektörü alıcı + verici</t>
        </is>
      </c>
      <c r="G92" s="22" t="inlineStr">
        <is>
          <t>adet</t>
        </is>
      </c>
      <c r="H92" s="63" t="n">
        <v>556.3</v>
      </c>
      <c r="I92" s="22" t="inlineStr">
        <is>
          <t>USD</t>
        </is>
      </c>
      <c r="J92" s="22" t="inlineStr"/>
      <c r="K92" s="63" t="n">
        <v>569.417331811802</v>
      </c>
      <c r="L92" s="22" t="inlineStr">
        <is>
          <t>5004.B</t>
        </is>
      </c>
      <c r="M92" s="22" t="n">
        <v>7</v>
      </c>
      <c r="N92" s="22" t="inlineStr">
        <is>
          <t>Buca metrosu 11 istasyon+depo; malzeme (kablo/montaj hariç); Edwards yangın sistemi toplam 727.818 $</t>
        </is>
      </c>
    </row>
    <row r="93">
      <c r="A93" s="22" t="inlineStr">
        <is>
          <t>R00746</t>
        </is>
      </c>
      <c r="B93" s="22" t="inlineStr">
        <is>
          <t>Izmir_Ucyol_Buca_Metro</t>
        </is>
      </c>
      <c r="C93" s="22" t="inlineStr">
        <is>
          <t>metro</t>
        </is>
      </c>
      <c r="D93" s="22" t="inlineStr">
        <is>
          <t>EEC Entegre Bina (UTC Edwards EST3)</t>
        </is>
      </c>
      <c r="E93" s="22" t="inlineStr">
        <is>
          <t>2021-06-04</t>
        </is>
      </c>
      <c r="F93" s="22" t="inlineStr">
        <is>
          <t>SIGA-CT2I adresli 2 girişli monitör modülü</t>
        </is>
      </c>
      <c r="G93" s="22" t="inlineStr">
        <is>
          <t>adet</t>
        </is>
      </c>
      <c r="H93" s="63" t="n">
        <v>28.6</v>
      </c>
      <c r="I93" s="22" t="inlineStr">
        <is>
          <t>USD</t>
        </is>
      </c>
      <c r="J93" s="22" t="inlineStr"/>
      <c r="K93" s="63" t="n">
        <v>29.2743765770583</v>
      </c>
      <c r="L93" s="22" t="inlineStr">
        <is>
          <t>5004.B</t>
        </is>
      </c>
      <c r="M93" s="22" t="n">
        <v>10</v>
      </c>
      <c r="N93" s="22" t="inlineStr">
        <is>
          <t>Buca metrosu 11 istasyon+depo; malzeme (kablo/montaj hariç); Edwards yangın sistemi toplam 727.818 $</t>
        </is>
      </c>
    </row>
    <row r="94">
      <c r="A94" s="22" t="inlineStr">
        <is>
          <t>R00747</t>
        </is>
      </c>
      <c r="B94" s="22" t="inlineStr">
        <is>
          <t>Izmir_Ucyol_Buca_Metro</t>
        </is>
      </c>
      <c r="C94" s="22" t="inlineStr">
        <is>
          <t>metro</t>
        </is>
      </c>
      <c r="D94" s="22" t="inlineStr">
        <is>
          <t>EEC Entegre Bina (UTC Edwards EST3)</t>
        </is>
      </c>
      <c r="E94" s="22" t="inlineStr">
        <is>
          <t>2021-06-04</t>
        </is>
      </c>
      <c r="F94" s="22" t="inlineStr">
        <is>
          <t>SIGA-CRI adresli röle modülü</t>
        </is>
      </c>
      <c r="G94" s="22" t="inlineStr">
        <is>
          <t>adet</t>
        </is>
      </c>
      <c r="H94" s="63" t="n">
        <v>30.3</v>
      </c>
      <c r="I94" s="22" t="inlineStr">
        <is>
          <t>USD</t>
        </is>
      </c>
      <c r="J94" s="22" t="inlineStr"/>
      <c r="K94" s="63" t="n">
        <v>31.0144618980723</v>
      </c>
      <c r="L94" s="22" t="inlineStr">
        <is>
          <t>5004.B</t>
        </is>
      </c>
      <c r="M94" s="22" t="n">
        <v>11</v>
      </c>
      <c r="N94" s="22" t="inlineStr">
        <is>
          <t>Buca metrosu 11 istasyon+depo; malzeme (kablo/montaj hariç); Edwards yangın sistemi toplam 727.818 $</t>
        </is>
      </c>
    </row>
    <row r="95">
      <c r="A95" s="22" t="inlineStr">
        <is>
          <t>R00749</t>
        </is>
      </c>
      <c r="B95" s="22" t="inlineStr">
        <is>
          <t>Izmir_Ucyol_Buca_Metro</t>
        </is>
      </c>
      <c r="C95" s="22" t="inlineStr">
        <is>
          <t>metro</t>
        </is>
      </c>
      <c r="D95" s="22" t="inlineStr">
        <is>
          <t>EEC Entegre Bina (UTC Edwards EST3)</t>
        </is>
      </c>
      <c r="E95" s="22" t="inlineStr">
        <is>
          <t>2021-06-04</t>
        </is>
      </c>
      <c r="F95" s="22" t="inlineStr">
        <is>
          <t>FL-RL-R-D flaşörlü siren IP65</t>
        </is>
      </c>
      <c r="G95" s="22" t="inlineStr">
        <is>
          <t>adet</t>
        </is>
      </c>
      <c r="H95" s="63" t="n">
        <v>30.6</v>
      </c>
      <c r="I95" s="22" t="inlineStr">
        <is>
          <t>USD</t>
        </is>
      </c>
      <c r="J95" s="22" t="inlineStr"/>
      <c r="K95" s="63" t="n">
        <v>31.3215357782512</v>
      </c>
      <c r="L95" s="22" t="inlineStr">
        <is>
          <t>5004.B</t>
        </is>
      </c>
      <c r="M95" s="22" t="n">
        <v>13</v>
      </c>
      <c r="N95" s="22" t="inlineStr">
        <is>
          <t>Buca metrosu 11 istasyon+depo; malzeme (kablo/montaj hariç); Edwards yangın sistemi toplam 727.818 $</t>
        </is>
      </c>
    </row>
    <row r="96">
      <c r="A96" s="22" t="inlineStr">
        <is>
          <t>R00751</t>
        </is>
      </c>
      <c r="B96" s="22" t="inlineStr">
        <is>
          <t>Izmir_Ucyol_Buca_Metro</t>
        </is>
      </c>
      <c r="C96" s="22" t="inlineStr">
        <is>
          <t>metro</t>
        </is>
      </c>
      <c r="D96" s="22" t="inlineStr">
        <is>
          <t>Aktif Mühendislik (DC hücre, EXW Milano)</t>
        </is>
      </c>
      <c r="E96" s="22" t="inlineStr">
        <is>
          <t>2021-06-11</t>
        </is>
      </c>
      <c r="F96" s="22" t="inlineStr">
        <is>
          <t>Incoming HSCB Cubicle 750 V DC 4000 A</t>
        </is>
      </c>
      <c r="G96" s="22" t="inlineStr">
        <is>
          <t>adet</t>
        </is>
      </c>
      <c r="H96" s="63" t="n">
        <v>29200</v>
      </c>
      <c r="I96" s="22" t="inlineStr">
        <is>
          <t>EUR</t>
        </is>
      </c>
      <c r="J96" s="22" t="inlineStr"/>
      <c r="K96" s="63" t="n">
        <v>36215.9249396472</v>
      </c>
      <c r="L96" s="22" t="inlineStr">
        <is>
          <t>2007.A</t>
        </is>
      </c>
      <c r="M96" s="22" t="n">
        <v>2</v>
      </c>
      <c r="N96" s="22" t="inlineStr">
        <is>
          <t>İzmir HRS 5.Aşama Üçyol-Buca metrosu (750 V DC, ~13,5 km, 11 yeraltı istasyon + depo), Nurol teklif talebi; 900 V/4000 A, 125 kA; tasarım+O&amp;M dökümanı dahil, redresör hücresi hariç, EXW; toplam 2.336.425 €</t>
        </is>
      </c>
    </row>
    <row r="97">
      <c r="A97" s="22" t="inlineStr">
        <is>
          <t>R00752</t>
        </is>
      </c>
      <c r="B97" s="22" t="inlineStr">
        <is>
          <t>Izmir_Ucyol_Buca_Metro</t>
        </is>
      </c>
      <c r="C97" s="22" t="inlineStr">
        <is>
          <t>metro</t>
        </is>
      </c>
      <c r="D97" s="22" t="inlineStr">
        <is>
          <t>Aktif Mühendislik (DC hücre, EXW Milano)</t>
        </is>
      </c>
      <c r="E97" s="22" t="inlineStr">
        <is>
          <t>2021-06-11</t>
        </is>
      </c>
      <c r="F97" s="22" t="inlineStr">
        <is>
          <t>Feeder HSCB Cubicle 750 V DC</t>
        </is>
      </c>
      <c r="G97" s="22" t="inlineStr">
        <is>
          <t>adet</t>
        </is>
      </c>
      <c r="H97" s="63" t="n">
        <v>30200</v>
      </c>
      <c r="I97" s="22" t="inlineStr">
        <is>
          <t>EUR</t>
        </is>
      </c>
      <c r="J97" s="22" t="inlineStr"/>
      <c r="K97" s="63" t="n">
        <v>37456.1963416899</v>
      </c>
      <c r="L97" s="22" t="inlineStr">
        <is>
          <t>2007.A</t>
        </is>
      </c>
      <c r="M97" s="22" t="n">
        <v>2</v>
      </c>
      <c r="N97" s="22" t="inlineStr">
        <is>
          <t>İzmir HRS 5.Aşama Üçyol-Buca metrosu (750 V DC, ~13,5 km, 11 yeraltı istasyon + depo), Nurol teklif talebi; 900 V/4000 A, 125 kA; tasarım+O&amp;M dökümanı dahil, redresör hücresi hariç, EXW; toplam 2.336.425 €</t>
        </is>
      </c>
    </row>
    <row r="98">
      <c r="A98" s="22" t="inlineStr">
        <is>
          <t>R00754</t>
        </is>
      </c>
      <c r="B98" s="22" t="inlineStr">
        <is>
          <t>Izmir_Ucyol_Buca_Metro</t>
        </is>
      </c>
      <c r="C98" s="22" t="inlineStr">
        <is>
          <t>metro</t>
        </is>
      </c>
      <c r="D98" s="22" t="inlineStr">
        <is>
          <t>Aktif Mühendislik (DC hücre, EXW Milano)</t>
        </is>
      </c>
      <c r="E98" s="22" t="inlineStr">
        <is>
          <t>2021-06-11</t>
        </is>
      </c>
      <c r="F98" s="22" t="inlineStr">
        <is>
          <t>Negative Voltage Limiting Device (VLD)</t>
        </is>
      </c>
      <c r="G98" s="22" t="inlineStr">
        <is>
          <t>adet</t>
        </is>
      </c>
      <c r="H98" s="63" t="n">
        <v>16900</v>
      </c>
      <c r="I98" s="22" t="inlineStr">
        <is>
          <t>EUR</t>
        </is>
      </c>
      <c r="J98" s="22" t="inlineStr"/>
      <c r="K98" s="63" t="n">
        <v>20960.5866945218</v>
      </c>
      <c r="L98" s="22" t="inlineStr">
        <is>
          <t>2007.A</t>
        </is>
      </c>
      <c r="M98" s="22" t="n">
        <v>2</v>
      </c>
      <c r="N98" s="22" t="inlineStr">
        <is>
          <t>İzmir HRS 5.Aşama Üçyol-Buca metrosu (750 V DC, ~13,5 km, 11 yeraltı istasyon + depo), Nurol teklif talebi; 900 V/4000 A, 125 kA; tasarım+O&amp;M dökümanı dahil, redresör hücresi hariç, EXW; toplam 2.336.425 €</t>
        </is>
      </c>
    </row>
    <row r="99">
      <c r="A99" s="22" t="inlineStr">
        <is>
          <t>R00755</t>
        </is>
      </c>
      <c r="B99" s="22" t="inlineStr">
        <is>
          <t>Izmir_Ucyol_Buca_Metro</t>
        </is>
      </c>
      <c r="C99" s="22" t="inlineStr">
        <is>
          <t>metro</t>
        </is>
      </c>
      <c r="D99" s="22" t="inlineStr">
        <is>
          <t>Aktif Mühendislik (DC hücre, EXW Milano)</t>
        </is>
      </c>
      <c r="E99" s="22" t="inlineStr">
        <is>
          <t>2021-06-11</t>
        </is>
      </c>
      <c r="F99" s="22" t="inlineStr">
        <is>
          <t>Main and By-pass Disconnector Cubicle</t>
        </is>
      </c>
      <c r="G99" s="22" t="inlineStr">
        <is>
          <t>adet</t>
        </is>
      </c>
      <c r="H99" s="63" t="n">
        <v>29125</v>
      </c>
      <c r="I99" s="22" t="inlineStr">
        <is>
          <t>EUR</t>
        </is>
      </c>
      <c r="J99" s="22" t="inlineStr"/>
      <c r="K99" s="63" t="n">
        <v>36122.904584494</v>
      </c>
      <c r="L99" s="22" t="inlineStr">
        <is>
          <t>2007.A</t>
        </is>
      </c>
      <c r="M99" s="22" t="n">
        <v>2</v>
      </c>
      <c r="N99" s="22" t="inlineStr">
        <is>
          <t>İzmir HRS 5.Aşama Üçyol-Buca metrosu (750 V DC, ~13,5 km, 11 yeraltı istasyon + depo), Nurol teklif talebi; 900 V/4000 A, 125 kA; tasarım+O&amp;M dökümanı dahil, redresör hücresi hariç, EXW; toplam 2.336.425 €</t>
        </is>
      </c>
    </row>
    <row r="100">
      <c r="A100" s="22" t="inlineStr">
        <is>
          <t>R00756</t>
        </is>
      </c>
      <c r="B100" s="22" t="inlineStr">
        <is>
          <t>Izmir_Ucyol_Buca_Metro</t>
        </is>
      </c>
      <c r="C100" s="22" t="inlineStr">
        <is>
          <t>metro</t>
        </is>
      </c>
      <c r="D100" s="22" t="inlineStr">
        <is>
          <t>Aktif Mühendislik (Tesar trafo, EXW Arezzo)</t>
        </is>
      </c>
      <c r="E100" s="22" t="inlineStr">
        <is>
          <t>2021-06-11</t>
        </is>
      </c>
      <c r="F100" s="22" t="inlineStr">
        <is>
          <t>Cast Resin Transformer 3300 kVA 34,5/0,6-0,6 kV Al, IP21 (cer trafosu)</t>
        </is>
      </c>
      <c r="G100" s="22" t="inlineStr">
        <is>
          <t>adet</t>
        </is>
      </c>
      <c r="H100" s="63" t="n">
        <v>79000</v>
      </c>
      <c r="I100" s="22" t="inlineStr">
        <is>
          <t>EUR</t>
        </is>
      </c>
      <c r="J100" s="22" t="inlineStr"/>
      <c r="K100" s="63" t="n">
        <v>97981.44076137419</v>
      </c>
      <c r="L100" s="22" t="inlineStr">
        <is>
          <t>2007.A</t>
        </is>
      </c>
      <c r="M100" s="22" t="n">
        <v>2</v>
      </c>
      <c r="N100" s="22" t="inlineStr">
        <is>
          <t>İzmir HRS 5.Aşama Üçyol-Buca metrosu (750 V DC, ~13,5 km, 11 yeraltı istasyon + depo), Nurol teklif talebi; EXW İtalya, nakliye/montaj hariç; magnet sacı fiyat oynaklığı nedeniyle 15 gün geçerli; toplam 2.120.500 €</t>
        </is>
      </c>
    </row>
    <row r="101">
      <c r="A101" s="22" t="inlineStr">
        <is>
          <t>R00758</t>
        </is>
      </c>
      <c r="B101" s="22" t="inlineStr">
        <is>
          <t>Izmir_Ucyol_Buca_Metro</t>
        </is>
      </c>
      <c r="C101" s="22" t="inlineStr">
        <is>
          <t>metro</t>
        </is>
      </c>
      <c r="D101" s="22" t="inlineStr">
        <is>
          <t>Aktif Mühendislik (Tesar trafo, EXW Arezzo)</t>
        </is>
      </c>
      <c r="E101" s="22" t="inlineStr">
        <is>
          <t>2021-06-11</t>
        </is>
      </c>
      <c r="F101" s="22" t="inlineStr">
        <is>
          <t>Cast Resin Transformer 2000 kVA 34,5/0,4 kV Al IP21</t>
        </is>
      </c>
      <c r="G101" s="22" t="inlineStr">
        <is>
          <t>adet</t>
        </is>
      </c>
      <c r="H101" s="63" t="n">
        <v>40750</v>
      </c>
      <c r="I101" s="22" t="inlineStr">
        <is>
          <t>EUR</t>
        </is>
      </c>
      <c r="J101" s="22" t="inlineStr"/>
      <c r="K101" s="63" t="n">
        <v>50541.0596332405</v>
      </c>
      <c r="L101" s="22" t="inlineStr">
        <is>
          <t>2005.B</t>
        </is>
      </c>
      <c r="M101" s="22" t="n">
        <v>1</v>
      </c>
      <c r="N101" s="22" t="inlineStr">
        <is>
          <t>İzmir HRS 5.Aşama Üçyol-Buca metrosu (750 V DC, ~13,5 km, 11 yeraltı istasyon + depo), Nurol teklif talebi; EXW İtalya, nakliye/montaj hariç; magnet sacı fiyat oynaklığı nedeniyle 15 gün geçerli; toplam 2.120.500 €</t>
        </is>
      </c>
    </row>
    <row r="102">
      <c r="A102" s="22" t="inlineStr">
        <is>
          <t>R00761</t>
        </is>
      </c>
      <c r="B102" s="22" t="inlineStr">
        <is>
          <t>Izmir_Ucyol_Buca_Metro</t>
        </is>
      </c>
      <c r="C102" s="22" t="inlineStr">
        <is>
          <t>metro</t>
        </is>
      </c>
      <c r="D102" s="22" t="inlineStr">
        <is>
          <t>Aktif Elektroteknik (SNC OG hücre)</t>
        </is>
      </c>
      <c r="E102" s="22" t="inlineStr">
        <is>
          <t>2021-06-14</t>
        </is>
      </c>
      <c r="F102" s="22" t="inlineStr">
        <is>
          <t>SNC-1 36 kV 630 A 16 kA trafo besleme hücresi</t>
        </is>
      </c>
      <c r="G102" s="22" t="inlineStr">
        <is>
          <t>adet</t>
        </is>
      </c>
      <c r="H102" s="63" t="n">
        <v>17237</v>
      </c>
      <c r="I102" s="22" t="inlineStr">
        <is>
          <t>EUR</t>
        </is>
      </c>
      <c r="J102" s="22" t="inlineStr"/>
      <c r="K102" s="63" t="n">
        <v>21378.5581570102</v>
      </c>
      <c r="L102" s="22" t="inlineStr">
        <is>
          <t>2004.C</t>
        </is>
      </c>
      <c r="M102" s="22" t="n">
        <v>1</v>
      </c>
      <c r="N102" s="22" t="inlineStr">
        <is>
          <t>İzmir HRS (Buca klasörü, Yapı Merkezi'ne teklif, Haziran 2021) 750 V DC; malzeme; toplam 457.476 €</t>
        </is>
      </c>
    </row>
    <row r="103">
      <c r="A103" s="22" t="inlineStr">
        <is>
          <t>R00762</t>
        </is>
      </c>
      <c r="B103" s="22" t="inlineStr">
        <is>
          <t>Izmir_Ucyol_Buca_Metro</t>
        </is>
      </c>
      <c r="C103" s="22" t="inlineStr">
        <is>
          <t>metro</t>
        </is>
      </c>
      <c r="D103" s="22" t="inlineStr">
        <is>
          <t>Aktif Elektroteknik (SNC OG hücre)</t>
        </is>
      </c>
      <c r="E103" s="22" t="inlineStr">
        <is>
          <t>2021-06-14</t>
        </is>
      </c>
      <c r="F103" s="22" t="inlineStr">
        <is>
          <t>SNC-1 36 kV 630 A 16 kA trafo besleme hücresi (tip 2)</t>
        </is>
      </c>
      <c r="G103" s="22" t="inlineStr">
        <is>
          <t>adet</t>
        </is>
      </c>
      <c r="H103" s="63" t="n">
        <v>18003</v>
      </c>
      <c r="I103" s="22" t="inlineStr">
        <is>
          <t>EUR</t>
        </is>
      </c>
      <c r="J103" s="22" t="inlineStr"/>
      <c r="K103" s="63" t="n">
        <v>22328.6060509749</v>
      </c>
      <c r="L103" s="22" t="inlineStr">
        <is>
          <t>2004.B</t>
        </is>
      </c>
      <c r="M103" s="22" t="n">
        <v>1</v>
      </c>
      <c r="N103" s="22" t="inlineStr">
        <is>
          <t>İzmir HRS (Buca klasörü, Yapı Merkezi'ne teklif, Haziran 2021) 750 V DC; malzeme; toplam 457.476 €</t>
        </is>
      </c>
    </row>
    <row r="104">
      <c r="A104" s="22" t="inlineStr">
        <is>
          <t>R00764</t>
        </is>
      </c>
      <c r="B104" s="22" t="inlineStr">
        <is>
          <t>Izmir_Ucyol_Buca_Metro</t>
        </is>
      </c>
      <c r="C104" s="22" t="inlineStr">
        <is>
          <t>metro</t>
        </is>
      </c>
      <c r="D104" s="22" t="inlineStr">
        <is>
          <t>Aktif Elektroteknik (SNC OG hücre)</t>
        </is>
      </c>
      <c r="E104" s="22" t="inlineStr">
        <is>
          <t>2021-06-14</t>
        </is>
      </c>
      <c r="F104" s="22" t="inlineStr">
        <is>
          <t>SNC-2 36 kV 1250 A 25 kA akım-gerilim ölçü hücresi</t>
        </is>
      </c>
      <c r="G104" s="22" t="inlineStr">
        <is>
          <t>adet</t>
        </is>
      </c>
      <c r="H104" s="63" t="n">
        <v>10178</v>
      </c>
      <c r="I104" s="22" t="inlineStr">
        <is>
          <t>EUR</t>
        </is>
      </c>
      <c r="J104" s="22" t="inlineStr"/>
      <c r="K104" s="63" t="n">
        <v>12623.4823299907</v>
      </c>
      <c r="L104" s="22" t="inlineStr">
        <is>
          <t>2004.D</t>
        </is>
      </c>
      <c r="M104" s="22" t="n">
        <v>1</v>
      </c>
      <c r="N104" s="22" t="inlineStr">
        <is>
          <t>İzmir HRS (Buca klasörü, Yapı Merkezi'ne teklif, Haziran 2021) 750 V DC; malzeme; toplam 457.476 €</t>
        </is>
      </c>
    </row>
    <row r="105">
      <c r="A105" s="22" t="inlineStr">
        <is>
          <t>R00765</t>
        </is>
      </c>
      <c r="B105" s="22" t="inlineStr">
        <is>
          <t>Izmir_Ucyol_Buca_Metro</t>
        </is>
      </c>
      <c r="C105" s="22" t="inlineStr">
        <is>
          <t>metro</t>
        </is>
      </c>
      <c r="D105" s="22" t="inlineStr">
        <is>
          <t>Aktif Elektroteknik (SNC OG hücre)</t>
        </is>
      </c>
      <c r="E105" s="22" t="inlineStr">
        <is>
          <t>2021-06-14</t>
        </is>
      </c>
      <c r="F105" s="22" t="inlineStr">
        <is>
          <t>SNC-2 36 kV 1250 A 25 kA trafo besleme hücresi</t>
        </is>
      </c>
      <c r="G105" s="22" t="inlineStr">
        <is>
          <t>adet</t>
        </is>
      </c>
      <c r="H105" s="63" t="n">
        <v>19914</v>
      </c>
      <c r="I105" s="22" t="inlineStr">
        <is>
          <t>EUR</t>
        </is>
      </c>
      <c r="J105" s="22" t="inlineStr"/>
      <c r="K105" s="63" t="n">
        <v>24698.7647002786</v>
      </c>
      <c r="L105" s="22" t="inlineStr">
        <is>
          <t>2004.B</t>
        </is>
      </c>
      <c r="M105" s="22" t="n">
        <v>1</v>
      </c>
      <c r="N105" s="22" t="inlineStr">
        <is>
          <t>İzmir HRS (Buca klasörü, Yapı Merkezi'ne teklif, Haziran 2021) 750 V DC; malzeme; toplam 457.476 €</t>
        </is>
      </c>
    </row>
    <row r="106">
      <c r="A106" s="22" t="inlineStr">
        <is>
          <t>R00768</t>
        </is>
      </c>
      <c r="B106" s="22" t="inlineStr">
        <is>
          <t>Izmir_Ucyol_Buca_Metro</t>
        </is>
      </c>
      <c r="C106" s="22" t="inlineStr">
        <is>
          <t>metro</t>
        </is>
      </c>
      <c r="D106" s="22" t="inlineStr">
        <is>
          <t>Aktif Mühendislik (Tesar trafo)</t>
        </is>
      </c>
      <c r="E106" s="22" t="inlineStr">
        <is>
          <t>2021-06-15</t>
        </is>
      </c>
      <c r="F106" s="22" t="inlineStr">
        <is>
          <t>Cast resin trafo 250 kVA 34,5/0,4 kV + IP23 kabin</t>
        </is>
      </c>
      <c r="G106" s="22" t="inlineStr">
        <is>
          <t>adet</t>
        </is>
      </c>
      <c r="H106" s="63" t="n">
        <v>17000</v>
      </c>
      <c r="I106" s="22" t="inlineStr">
        <is>
          <t>EUR</t>
        </is>
      </c>
      <c r="J106" s="22" t="inlineStr"/>
      <c r="K106" s="63" t="n">
        <v>21084.6138347261</v>
      </c>
      <c r="L106" s="22" t="inlineStr">
        <is>
          <t>2005.A</t>
        </is>
      </c>
      <c r="M106" s="22" t="n">
        <v>1</v>
      </c>
      <c r="N106" s="22" t="inlineStr">
        <is>
          <t>İzmir HRS (Buca klasörü, Yapı Merkezi'ne teklif, Haziran 2021) 750 V DC; EXW, trafo+kabin toplandı (ör. 3300 kVA 123.750+6.875 €); 11.06.2021 Nurol teklifine göre (79.000 €) ~%57 yüksek - magnet sacı artışı/rev.</t>
        </is>
      </c>
    </row>
    <row r="107">
      <c r="A107" s="22" t="inlineStr">
        <is>
          <t>R00769</t>
        </is>
      </c>
      <c r="B107" s="22" t="inlineStr">
        <is>
          <t>Izmir_Ucyol_Buca_Metro</t>
        </is>
      </c>
      <c r="C107" s="22" t="inlineStr">
        <is>
          <t>metro</t>
        </is>
      </c>
      <c r="D107" s="22" t="inlineStr">
        <is>
          <t>Aktif Mühendislik (DC hücre)</t>
        </is>
      </c>
      <c r="E107" s="22" t="inlineStr">
        <is>
          <t>2021-06-18</t>
        </is>
      </c>
      <c r="F107" s="22" t="inlineStr">
        <is>
          <t>Rectifier cubicle (12 darbe diyot, 36 diyot) 750 V DC</t>
        </is>
      </c>
      <c r="G107" s="22" t="inlineStr">
        <is>
          <t>adet</t>
        </is>
      </c>
      <c r="H107" s="63" t="n">
        <v>36625</v>
      </c>
      <c r="I107" s="22" t="inlineStr">
        <is>
          <t>EUR</t>
        </is>
      </c>
      <c r="J107" s="22" t="inlineStr"/>
      <c r="K107" s="63" t="n">
        <v>45424.9400998143</v>
      </c>
      <c r="L107" s="22" t="inlineStr">
        <is>
          <t>2007.A</t>
        </is>
      </c>
      <c r="M107" s="22" t="n">
        <v>2</v>
      </c>
      <c r="N107" s="22" t="inlineStr">
        <is>
          <t>İzmir HRS (Buca klasörü, Yapı Merkezi'ne teklif, Haziran 2021) 750 V DC; redresör dahil DC şalt; toplam 1.775.660 €</t>
        </is>
      </c>
    </row>
    <row r="108">
      <c r="A108" s="22" t="inlineStr">
        <is>
          <t>R00770</t>
        </is>
      </c>
      <c r="B108" s="22" t="inlineStr">
        <is>
          <t>Izmir_Ucyol_Buca_Metro</t>
        </is>
      </c>
      <c r="C108" s="22" t="inlineStr">
        <is>
          <t>metro</t>
        </is>
      </c>
      <c r="D108" s="22" t="inlineStr">
        <is>
          <t>Aktif Mühendislik (DC hücre)</t>
        </is>
      </c>
      <c r="E108" s="22" t="inlineStr">
        <is>
          <t>2021-06-18</t>
        </is>
      </c>
      <c r="F108" s="22" t="inlineStr">
        <is>
          <t>Incoming HSCB cubicle 750 V DC</t>
        </is>
      </c>
      <c r="G108" s="22" t="inlineStr">
        <is>
          <t>adet</t>
        </is>
      </c>
      <c r="H108" s="63" t="n">
        <v>29690</v>
      </c>
      <c r="I108" s="22" t="inlineStr">
        <is>
          <t>EUR</t>
        </is>
      </c>
      <c r="J108" s="22" t="inlineStr"/>
      <c r="K108" s="63" t="n">
        <v>36823.6579266481</v>
      </c>
      <c r="L108" s="22" t="inlineStr">
        <is>
          <t>2007.A</t>
        </is>
      </c>
      <c r="M108" s="22" t="n">
        <v>2</v>
      </c>
      <c r="N108" s="22" t="inlineStr">
        <is>
          <t>İzmir HRS (Buca klasörü, Yapı Merkezi'ne teklif, Haziran 2021) 750 V DC; redresör dahil DC şalt; toplam 1.775.660 €</t>
        </is>
      </c>
    </row>
    <row r="109">
      <c r="A109" s="22" t="inlineStr">
        <is>
          <t>R00771</t>
        </is>
      </c>
      <c r="B109" s="22" t="inlineStr">
        <is>
          <t>Izmir_Ucyol_Buca_Metro</t>
        </is>
      </c>
      <c r="C109" s="22" t="inlineStr">
        <is>
          <t>metro</t>
        </is>
      </c>
      <c r="D109" s="22" t="inlineStr">
        <is>
          <t>Aktif Mühendislik (DC hücre)</t>
        </is>
      </c>
      <c r="E109" s="22" t="inlineStr">
        <is>
          <t>2021-06-18</t>
        </is>
      </c>
      <c r="F109" s="22" t="inlineStr">
        <is>
          <t>Feeder HSCB cubicle with by-pass disconnector</t>
        </is>
      </c>
      <c r="G109" s="22" t="inlineStr">
        <is>
          <t>adet</t>
        </is>
      </c>
      <c r="H109" s="63" t="n">
        <v>34375</v>
      </c>
      <c r="I109" s="22" t="inlineStr">
        <is>
          <t>EUR</t>
        </is>
      </c>
      <c r="J109" s="22" t="inlineStr"/>
      <c r="K109" s="63" t="n">
        <v>42634.3294452182</v>
      </c>
      <c r="L109" s="22" t="inlineStr">
        <is>
          <t>2007.A</t>
        </is>
      </c>
      <c r="M109" s="22" t="n">
        <v>2</v>
      </c>
      <c r="N109" s="22" t="inlineStr">
        <is>
          <t>İzmir HRS (Buca klasörü, Yapı Merkezi'ne teklif, Haziran 2021) 750 V DC; redresör dahil DC şalt; toplam 1.775.660 €</t>
        </is>
      </c>
    </row>
    <row r="110">
      <c r="A110" s="22" t="inlineStr">
        <is>
          <t>R00773</t>
        </is>
      </c>
      <c r="B110" s="22" t="inlineStr">
        <is>
          <t>Izmir_Ucyol_Buca_Metro</t>
        </is>
      </c>
      <c r="C110" s="22" t="inlineStr">
        <is>
          <t>metro</t>
        </is>
      </c>
      <c r="D110" s="22" t="inlineStr">
        <is>
          <t>Aktif Mühendislik (DC hücre)</t>
        </is>
      </c>
      <c r="E110" s="22" t="inlineStr">
        <is>
          <t>2021-06-18</t>
        </is>
      </c>
      <c r="F110" s="22" t="inlineStr">
        <is>
          <t>Negative return disconnector cubicle (double)</t>
        </is>
      </c>
      <c r="G110" s="22" t="inlineStr">
        <is>
          <t>adet</t>
        </is>
      </c>
      <c r="H110" s="63" t="n">
        <v>22500</v>
      </c>
      <c r="I110" s="22" t="inlineStr">
        <is>
          <t>EUR</t>
        </is>
      </c>
      <c r="J110" s="22" t="inlineStr"/>
      <c r="K110" s="63" t="n">
        <v>27906.106545961</v>
      </c>
      <c r="L110" s="22" t="inlineStr">
        <is>
          <t>2007.A</t>
        </is>
      </c>
      <c r="M110" s="22" t="n">
        <v>2</v>
      </c>
      <c r="N110" s="22" t="inlineStr">
        <is>
          <t>İzmir HRS (Buca klasörü, Yapı Merkezi'ne teklif, Haziran 2021) 750 V DC; redresör dahil DC şalt; toplam 1.775.660 €</t>
        </is>
      </c>
    </row>
    <row r="111">
      <c r="A111" s="22" t="inlineStr">
        <is>
          <t>R00774</t>
        </is>
      </c>
      <c r="B111" s="22" t="inlineStr">
        <is>
          <t>Izmir_Ucyol_Buca_Metro</t>
        </is>
      </c>
      <c r="C111" s="22" t="inlineStr">
        <is>
          <t>metro</t>
        </is>
      </c>
      <c r="D111" s="22" t="inlineStr">
        <is>
          <t>Aktif Mühendislik (DC hücre)</t>
        </is>
      </c>
      <c r="E111" s="22" t="inlineStr">
        <is>
          <t>2021-06-18</t>
        </is>
      </c>
      <c r="F111" s="22" t="inlineStr">
        <is>
          <t>Negative return disconnector cubicle (single)</t>
        </is>
      </c>
      <c r="G111" s="22" t="inlineStr">
        <is>
          <t>adet</t>
        </is>
      </c>
      <c r="H111" s="63" t="n">
        <v>16875</v>
      </c>
      <c r="I111" s="22" t="inlineStr">
        <is>
          <t>EUR</t>
        </is>
      </c>
      <c r="J111" s="22" t="inlineStr"/>
      <c r="K111" s="63" t="n">
        <v>20929.5799094707</v>
      </c>
      <c r="L111" s="22" t="inlineStr">
        <is>
          <t>2007.A</t>
        </is>
      </c>
      <c r="M111" s="22" t="n">
        <v>2</v>
      </c>
      <c r="N111" s="22" t="inlineStr">
        <is>
          <t>İzmir HRS (Buca klasörü, Yapı Merkezi'ne teklif, Haziran 2021) 750 V DC; redresör dahil DC şalt; toplam 1.775.660 €</t>
        </is>
      </c>
    </row>
    <row r="112">
      <c r="A112" s="22" t="inlineStr">
        <is>
          <t>R00775</t>
        </is>
      </c>
      <c r="B112" s="22" t="inlineStr">
        <is>
          <t>Izmir_Ucyol_Buca_Metro</t>
        </is>
      </c>
      <c r="C112" s="22" t="inlineStr">
        <is>
          <t>metro</t>
        </is>
      </c>
      <c r="D112" s="22" t="inlineStr">
        <is>
          <t>Aktif Mühendislik (DC hücre)</t>
        </is>
      </c>
      <c r="E112" s="22" t="inlineStr">
        <is>
          <t>2021-06-18</t>
        </is>
      </c>
      <c r="F112" s="22" t="inlineStr">
        <is>
          <t>Negative voltage limiting device (VLD)</t>
        </is>
      </c>
      <c r="G112" s="22" t="inlineStr">
        <is>
          <t>adet</t>
        </is>
      </c>
      <c r="H112" s="63" t="n">
        <v>13565</v>
      </c>
      <c r="I112" s="22" t="inlineStr">
        <is>
          <t>EUR</t>
        </is>
      </c>
      <c r="J112" s="22" t="inlineStr"/>
      <c r="K112" s="63" t="n">
        <v>16824.2815687094</v>
      </c>
      <c r="L112" s="22" t="inlineStr">
        <is>
          <t>2007.A</t>
        </is>
      </c>
      <c r="M112" s="22" t="n">
        <v>2</v>
      </c>
      <c r="N112" s="22" t="inlineStr">
        <is>
          <t>İzmir HRS (Buca klasörü, Yapı Merkezi'ne teklif, Haziran 2021) 750 V DC; redresör dahil DC şalt; toplam 1.775.660 €</t>
        </is>
      </c>
    </row>
    <row r="113">
      <c r="A113" s="22" t="inlineStr">
        <is>
          <t>R00776</t>
        </is>
      </c>
      <c r="B113" s="22" t="inlineStr">
        <is>
          <t>Izmir_Ucyol_Buca_Metro</t>
        </is>
      </c>
      <c r="C113" s="22" t="inlineStr">
        <is>
          <t>metro</t>
        </is>
      </c>
      <c r="D113" s="22" t="inlineStr">
        <is>
          <t>NEV (Gent Vigilon)</t>
        </is>
      </c>
      <c r="E113" s="22" t="inlineStr">
        <is>
          <t>2021-06-22</t>
        </is>
      </c>
      <c r="F113" s="22" t="inlineStr">
        <is>
          <t>S-Quad optik duman dedektörü + taban (adresli)</t>
        </is>
      </c>
      <c r="G113" s="22" t="inlineStr">
        <is>
          <t>adet</t>
        </is>
      </c>
      <c r="H113" s="63" t="n">
        <v>21.23</v>
      </c>
      <c r="I113" s="22" t="inlineStr">
        <is>
          <t>EUR</t>
        </is>
      </c>
      <c r="J113" s="22" t="inlineStr"/>
      <c r="K113" s="63" t="n">
        <v>26.3309618653668</v>
      </c>
      <c r="L113" s="22" t="inlineStr">
        <is>
          <t>5004.B</t>
        </is>
      </c>
      <c r="M113" s="22" t="n">
        <v>13</v>
      </c>
      <c r="N113" s="22" t="inlineStr">
        <is>
          <t>malzeme (dedektörlerde taban 2 €, panelde network kartı eklendi); kablo ve montaj hariç (işçilik ayrı teklif 76.441 €); 11 metro istasyonu+depo</t>
        </is>
      </c>
    </row>
    <row r="114">
      <c r="A114" s="22" t="inlineStr">
        <is>
          <t>R00777</t>
        </is>
      </c>
      <c r="B114" s="22" t="inlineStr">
        <is>
          <t>Izmir_Ucyol_Buca_Metro</t>
        </is>
      </c>
      <c r="C114" s="22" t="inlineStr">
        <is>
          <t>metro</t>
        </is>
      </c>
      <c r="D114" s="22" t="inlineStr">
        <is>
          <t>NEV (Gent Vigilon)</t>
        </is>
      </c>
      <c r="E114" s="22" t="inlineStr">
        <is>
          <t>2021-06-22</t>
        </is>
      </c>
      <c r="F114" s="22" t="inlineStr">
        <is>
          <t>Isı sensörü (adresli) + taban</t>
        </is>
      </c>
      <c r="G114" s="22" t="inlineStr">
        <is>
          <t>adet</t>
        </is>
      </c>
      <c r="H114" s="63" t="n">
        <v>18.52</v>
      </c>
      <c r="I114" s="22" t="inlineStr">
        <is>
          <t>EUR</t>
        </is>
      </c>
      <c r="J114" s="22" t="inlineStr"/>
      <c r="K114" s="63" t="n">
        <v>22.969826365831</v>
      </c>
      <c r="L114" s="22" t="inlineStr">
        <is>
          <t>5004.B</t>
        </is>
      </c>
      <c r="M114" s="22" t="n">
        <v>9</v>
      </c>
      <c r="N114" s="22" t="inlineStr">
        <is>
          <t>malzeme (dedektörlerde taban 2 €, panelde network kartı eklendi); kablo ve montaj hariç (işçilik ayrı teklif 76.441 €); 11 metro istasyonu+depo</t>
        </is>
      </c>
    </row>
    <row r="115">
      <c r="A115" s="22" t="inlineStr">
        <is>
          <t>R00778</t>
        </is>
      </c>
      <c r="B115" s="22" t="inlineStr">
        <is>
          <t>Izmir_Ucyol_Buca_Metro</t>
        </is>
      </c>
      <c r="C115" s="22" t="inlineStr">
        <is>
          <t>metro</t>
        </is>
      </c>
      <c r="D115" s="22" t="inlineStr">
        <is>
          <t>NEV (Gent Vigilon)</t>
        </is>
      </c>
      <c r="E115" s="22" t="inlineStr">
        <is>
          <t>2021-06-22</t>
        </is>
      </c>
      <c r="F115" s="22" t="inlineStr">
        <is>
          <t>OH optik-ısı multi sensör</t>
        </is>
      </c>
      <c r="G115" s="22" t="inlineStr">
        <is>
          <t>adet</t>
        </is>
      </c>
      <c r="H115" s="63" t="n">
        <v>23.4</v>
      </c>
      <c r="I115" s="22" t="inlineStr">
        <is>
          <t>EUR</t>
        </is>
      </c>
      <c r="J115" s="22" t="inlineStr"/>
      <c r="K115" s="63" t="n">
        <v>29.0223508077994</v>
      </c>
      <c r="L115" s="22" t="inlineStr">
        <is>
          <t>5004.B</t>
        </is>
      </c>
      <c r="M115" s="22" t="n">
        <v>4</v>
      </c>
      <c r="N115" s="22" t="inlineStr">
        <is>
          <t>malzeme (dedektörlerde taban 2 €, panelde network kartı eklendi); kablo ve montaj hariç (işçilik ayrı teklif 76.441 €); 11 metro istasyonu+depo</t>
        </is>
      </c>
    </row>
    <row r="116">
      <c r="A116" s="22" t="inlineStr">
        <is>
          <t>R00779</t>
        </is>
      </c>
      <c r="B116" s="22" t="inlineStr">
        <is>
          <t>Izmir_Ucyol_Buca_Metro</t>
        </is>
      </c>
      <c r="C116" s="22" t="inlineStr">
        <is>
          <t>metro</t>
        </is>
      </c>
      <c r="D116" s="22" t="inlineStr">
        <is>
          <t>NEV (Gent Vigilon)</t>
        </is>
      </c>
      <c r="E116" s="22" t="inlineStr">
        <is>
          <t>2021-06-22</t>
        </is>
      </c>
      <c r="F116" s="22" t="inlineStr">
        <is>
          <t>LV Interface 1 giriş 1 çıkış modülü (IOM)</t>
        </is>
      </c>
      <c r="G116" s="22" t="inlineStr">
        <is>
          <t>adet</t>
        </is>
      </c>
      <c r="H116" s="63" t="n">
        <v>31.64</v>
      </c>
      <c r="I116" s="22" t="inlineStr">
        <is>
          <t>EUR</t>
        </is>
      </c>
      <c r="J116" s="22" t="inlineStr"/>
      <c r="K116" s="63" t="n">
        <v>39.2421871606314</v>
      </c>
      <c r="L116" s="22" t="inlineStr">
        <is>
          <t>5004.B</t>
        </is>
      </c>
      <c r="M116" s="22" t="n">
        <v>10</v>
      </c>
      <c r="N116" s="22" t="inlineStr">
        <is>
          <t>malzeme (dedektörlerde taban 2 €, panelde network kartı eklendi); kablo ve montaj hariç (işçilik ayrı teklif 76.441 €); 11 metro istasyonu+depo</t>
        </is>
      </c>
    </row>
    <row r="117">
      <c r="A117" s="22" t="inlineStr">
        <is>
          <t>R00780</t>
        </is>
      </c>
      <c r="B117" s="22" t="inlineStr">
        <is>
          <t>Izmir_Ucyol_Buca_Metro</t>
        </is>
      </c>
      <c r="C117" s="22" t="inlineStr">
        <is>
          <t>metro</t>
        </is>
      </c>
      <c r="D117" s="22" t="inlineStr">
        <is>
          <t>NEV (Gent Vigilon)</t>
        </is>
      </c>
      <c r="E117" s="22" t="inlineStr">
        <is>
          <t>2021-06-22</t>
        </is>
      </c>
      <c r="F117" s="22" t="inlineStr">
        <is>
          <t>Vigilon adresli yangın ihbar butonu (resetlenebilir)</t>
        </is>
      </c>
      <c r="G117" s="22" t="inlineStr">
        <is>
          <t>adet</t>
        </is>
      </c>
      <c r="H117" s="63" t="n">
        <v>28.61</v>
      </c>
      <c r="I117" s="22" t="inlineStr">
        <is>
          <t>EUR</t>
        </is>
      </c>
      <c r="J117" s="22" t="inlineStr"/>
      <c r="K117" s="63" t="n">
        <v>35.484164812442</v>
      </c>
      <c r="L117" s="22" t="inlineStr">
        <is>
          <t>5004.B</t>
        </is>
      </c>
      <c r="M117" s="22" t="n">
        <v>13</v>
      </c>
      <c r="N117" s="22" t="inlineStr">
        <is>
          <t>malzeme (dedektörlerde taban 2 €, panelde network kartı eklendi); kablo ve montaj hariç (işçilik ayrı teklif 76.441 €); 11 metro istasyonu+depo</t>
        </is>
      </c>
    </row>
    <row r="118">
      <c r="A118" s="22" t="inlineStr">
        <is>
          <t>R00781</t>
        </is>
      </c>
      <c r="B118" s="22" t="inlineStr">
        <is>
          <t>Izmir_Ucyol_Buca_Metro</t>
        </is>
      </c>
      <c r="C118" s="22" t="inlineStr">
        <is>
          <t>metro</t>
        </is>
      </c>
      <c r="D118" s="22" t="inlineStr">
        <is>
          <t>NEV (Gent Vigilon)</t>
        </is>
      </c>
      <c r="E118" s="22" t="inlineStr">
        <is>
          <t>2021-06-22</t>
        </is>
      </c>
      <c r="F118" s="22" t="inlineStr">
        <is>
          <t>Sounder beacon IP65 kırmızı (flaşörlü siren)</t>
        </is>
      </c>
      <c r="G118" s="22" t="inlineStr">
        <is>
          <t>adet</t>
        </is>
      </c>
      <c r="H118" s="63" t="n">
        <v>48.41</v>
      </c>
      <c r="I118" s="22" t="inlineStr">
        <is>
          <t>EUR</t>
        </is>
      </c>
      <c r="J118" s="22" t="inlineStr"/>
      <c r="K118" s="63" t="n">
        <v>60.0415385728876</v>
      </c>
      <c r="L118" s="22" t="inlineStr">
        <is>
          <t>5004.B</t>
        </is>
      </c>
      <c r="M118" s="22" t="n">
        <v>10</v>
      </c>
      <c r="N118" s="22" t="inlineStr">
        <is>
          <t>malzeme (dedektörlerde taban 2 €, panelde network kartı eklendi); kablo ve montaj hariç (işçilik ayrı teklif 76.441 €); 11 metro istasyonu+depo</t>
        </is>
      </c>
    </row>
    <row r="119">
      <c r="A119" s="22" t="inlineStr">
        <is>
          <t>R00782</t>
        </is>
      </c>
      <c r="B119" s="22" t="inlineStr">
        <is>
          <t>Izmir_Ucyol_Buca_Metro</t>
        </is>
      </c>
      <c r="C119" s="22" t="inlineStr">
        <is>
          <t>metro</t>
        </is>
      </c>
      <c r="D119" s="22" t="inlineStr">
        <is>
          <t>NEV (Gent Vigilon)</t>
        </is>
      </c>
      <c r="E119" s="22" t="inlineStr">
        <is>
          <t>2021-06-22</t>
        </is>
      </c>
      <c r="F119" s="22" t="inlineStr">
        <is>
          <t>Beam dedektör 8-100 m</t>
        </is>
      </c>
      <c r="G119" s="22" t="inlineStr">
        <is>
          <t>adet</t>
        </is>
      </c>
      <c r="H119" s="63" t="n">
        <v>237.08</v>
      </c>
      <c r="I119" s="22" t="inlineStr">
        <is>
          <t>EUR</t>
        </is>
      </c>
      <c r="J119" s="22" t="inlineStr"/>
      <c r="K119" s="63" t="n">
        <v>294.043543996286</v>
      </c>
      <c r="L119" s="22" t="inlineStr">
        <is>
          <t>5004.B</t>
        </is>
      </c>
      <c r="M119" s="22" t="n">
        <v>7</v>
      </c>
      <c r="N119" s="22" t="inlineStr">
        <is>
          <t>malzeme (dedektörlerde taban 2 €, panelde network kartı eklendi); kablo ve montaj hariç (işçilik ayrı teklif 76.441 €); 11 metro istasyonu+depo</t>
        </is>
      </c>
    </row>
    <row r="120">
      <c r="A120" s="22" t="inlineStr">
        <is>
          <t>R00783</t>
        </is>
      </c>
      <c r="B120" s="22" t="inlineStr">
        <is>
          <t>Izmir_Ucyol_Buca_Metro</t>
        </is>
      </c>
      <c r="C120" s="22" t="inlineStr">
        <is>
          <t>metro</t>
        </is>
      </c>
      <c r="D120" s="22" t="inlineStr">
        <is>
          <t>NEV (Gent Vigilon)</t>
        </is>
      </c>
      <c r="E120" s="22" t="inlineStr">
        <is>
          <t>2021-06-22</t>
        </is>
      </c>
      <c r="F120" s="22" t="inlineStr">
        <is>
          <t>Vigilon Compact 1-2 loop yangın paneli (akülü, 1 loop kart) + network kart</t>
        </is>
      </c>
      <c r="G120" s="22" t="inlineStr">
        <is>
          <t>adet</t>
        </is>
      </c>
      <c r="H120" s="63" t="n">
        <v>938.25</v>
      </c>
      <c r="I120" s="22" t="inlineStr">
        <is>
          <t>EUR</t>
        </is>
      </c>
      <c r="J120" s="22" t="inlineStr"/>
      <c r="K120" s="63" t="n">
        <v>1163.68464296657</v>
      </c>
      <c r="L120" s="22" t="inlineStr">
        <is>
          <t>5004.B</t>
        </is>
      </c>
      <c r="M120" s="22" t="n">
        <v>11</v>
      </c>
      <c r="N120" s="22" t="inlineStr">
        <is>
          <t>malzeme (dedektörlerde taban 2 €, panelde network kartı eklendi); kablo ve montaj hariç (işçilik ayrı teklif 76.441 €); 11 metro istasyonu+depo</t>
        </is>
      </c>
    </row>
    <row r="121">
      <c r="A121" s="22" t="inlineStr">
        <is>
          <t>R00784</t>
        </is>
      </c>
      <c r="B121" s="22" t="inlineStr">
        <is>
          <t>Izmir_Ucyol_Buca_Metro</t>
        </is>
      </c>
      <c r="C121" s="22" t="inlineStr">
        <is>
          <t>metro</t>
        </is>
      </c>
      <c r="D121" s="22" t="inlineStr">
        <is>
          <t>NEV (Gent Vigilon)</t>
        </is>
      </c>
      <c r="E121" s="22" t="inlineStr">
        <is>
          <t>2021-06-22</t>
        </is>
      </c>
      <c r="F121" s="22" t="inlineStr">
        <is>
          <t>1-4 loop Vigilon panel (1 loop kart, 2x21Ah akü)</t>
        </is>
      </c>
      <c r="G121" s="22" t="inlineStr">
        <is>
          <t>adet</t>
        </is>
      </c>
      <c r="H121" s="63" t="n">
        <v>1557.63</v>
      </c>
      <c r="I121" s="22" t="inlineStr">
        <is>
          <t>EUR</t>
        </is>
      </c>
      <c r="J121" s="22" t="inlineStr"/>
      <c r="K121" s="63" t="n">
        <v>1931.88394396379</v>
      </c>
      <c r="L121" s="22" t="inlineStr">
        <is>
          <t>5004.G</t>
        </is>
      </c>
      <c r="M121" s="22" t="n">
        <v>9</v>
      </c>
      <c r="N121" s="22" t="inlineStr">
        <is>
          <t>malzeme (dedektörlerde taban 2 €, panelde network kartı eklendi); kablo ve montaj hariç (işçilik ayrı teklif 76.441 €); 11 metro istasyonu+depo</t>
        </is>
      </c>
    </row>
    <row r="122">
      <c r="A122" s="22" t="inlineStr">
        <is>
          <t>R00785</t>
        </is>
      </c>
      <c r="B122" s="22" t="inlineStr">
        <is>
          <t>Izmir_Ucyol_Buca_Metro</t>
        </is>
      </c>
      <c r="C122" s="22" t="inlineStr">
        <is>
          <t>metro</t>
        </is>
      </c>
      <c r="D122" s="22" t="inlineStr">
        <is>
          <t>NEV (Gent Vigilon)</t>
        </is>
      </c>
      <c r="E122" s="22" t="inlineStr">
        <is>
          <t>2021-06-22</t>
        </is>
      </c>
      <c r="F122" s="22" t="inlineStr">
        <is>
          <t>Vigilon repeat panel</t>
        </is>
      </c>
      <c r="G122" s="22" t="inlineStr">
        <is>
          <t>adet</t>
        </is>
      </c>
      <c r="H122" s="63" t="n">
        <v>813.64</v>
      </c>
      <c r="I122" s="22" t="inlineStr">
        <is>
          <t>EUR</t>
        </is>
      </c>
      <c r="J122" s="22" t="inlineStr"/>
      <c r="K122" s="63" t="n">
        <v>1009.13442355803</v>
      </c>
      <c r="L122" s="22" t="inlineStr">
        <is>
          <t>5004.I</t>
        </is>
      </c>
      <c r="M122" s="22" t="n">
        <v>2</v>
      </c>
      <c r="N122" s="22" t="inlineStr">
        <is>
          <t>malzeme (dedektörlerde taban 2 €, panelde network kartı eklendi); kablo ve montaj hariç (işçilik ayrı teklif 76.441 €); 11 metro istasyonu+depo</t>
        </is>
      </c>
    </row>
    <row r="123">
      <c r="A123" s="22" t="inlineStr">
        <is>
          <t>R00786</t>
        </is>
      </c>
      <c r="B123" s="22" t="inlineStr">
        <is>
          <t>Izmir_Ucyol_Buca_Metro</t>
        </is>
      </c>
      <c r="C123" s="22" t="inlineStr">
        <is>
          <t>metro</t>
        </is>
      </c>
      <c r="D123" s="22" t="inlineStr">
        <is>
          <t>NEV (Gent Vigilon)</t>
        </is>
      </c>
      <c r="E123" s="22" t="inlineStr">
        <is>
          <t>2021-06-22</t>
        </is>
      </c>
      <c r="F123" s="22" t="inlineStr">
        <is>
          <t>Yangın algılama workstation</t>
        </is>
      </c>
      <c r="G123" s="22" t="inlineStr">
        <is>
          <t>adet</t>
        </is>
      </c>
      <c r="H123" s="63" t="n">
        <v>1429.16</v>
      </c>
      <c r="I123" s="22" t="inlineStr">
        <is>
          <t>EUR</t>
        </is>
      </c>
      <c r="J123" s="22" t="inlineStr"/>
      <c r="K123" s="63" t="n">
        <v>1772.54627694336</v>
      </c>
      <c r="L123" s="22" t="inlineStr">
        <is>
          <t>5004.I</t>
        </is>
      </c>
      <c r="M123" s="22" t="n">
        <v>3</v>
      </c>
      <c r="N123" s="22" t="inlineStr">
        <is>
          <t>malzeme (dedektörlerde taban 2 €, panelde network kartı eklendi); kablo ve montaj hariç (işçilik ayrı teklif 76.441 €); 11 metro istasyonu+depo</t>
        </is>
      </c>
    </row>
    <row r="124">
      <c r="A124" s="22" t="inlineStr">
        <is>
          <t>R00787</t>
        </is>
      </c>
      <c r="B124" s="22" t="inlineStr">
        <is>
          <t>Izmir_Ucyol_Buca_Metro</t>
        </is>
      </c>
      <c r="C124" s="22" t="inlineStr">
        <is>
          <t>metro</t>
        </is>
      </c>
      <c r="D124" s="22" t="inlineStr">
        <is>
          <t>NEV (Gent Vigilon)</t>
        </is>
      </c>
      <c r="E124" s="22" t="inlineStr">
        <is>
          <t>2021-06-22</t>
        </is>
      </c>
      <c r="F124" s="22" t="inlineStr">
        <is>
          <t>WINMAG plus base package 10000 (grafik izleme yazılımı)</t>
        </is>
      </c>
      <c r="G124" s="22" t="inlineStr">
        <is>
          <t>adet</t>
        </is>
      </c>
      <c r="H124" s="63" t="n">
        <v>5833.2</v>
      </c>
      <c r="I124" s="22" t="inlineStr">
        <is>
          <t>EUR</t>
        </is>
      </c>
      <c r="J124" s="22" t="inlineStr"/>
      <c r="K124" s="63" t="n">
        <v>7234.75114239554</v>
      </c>
      <c r="L124" s="22" t="inlineStr">
        <is>
          <t>5004.I</t>
        </is>
      </c>
      <c r="M124" s="22" t="n">
        <v>1</v>
      </c>
      <c r="N124" s="22" t="inlineStr">
        <is>
          <t>malzeme (dedektörlerde taban 2 €, panelde network kartı eklendi); kablo ve montaj hariç (işçilik ayrı teklif 76.441 €); 11 metro istasyonu+depo</t>
        </is>
      </c>
    </row>
    <row r="125">
      <c r="A125" s="22" t="inlineStr">
        <is>
          <t>R00789</t>
        </is>
      </c>
      <c r="B125" s="22" t="inlineStr">
        <is>
          <t>Izmir_Ucyol_Buca_Metro</t>
        </is>
      </c>
      <c r="C125" s="22" t="inlineStr">
        <is>
          <t>metro</t>
        </is>
      </c>
      <c r="D125" s="22" t="inlineStr">
        <is>
          <t>NEV (Gent Vigilon)</t>
        </is>
      </c>
      <c r="E125" s="22" t="inlineStr">
        <is>
          <t>2021-06-22</t>
        </is>
      </c>
      <c r="F125" s="22" t="inlineStr">
        <is>
          <t>Mühendislik hizmetleri ve devreye alma</t>
        </is>
      </c>
      <c r="G125" s="22" t="inlineStr">
        <is>
          <t>adet</t>
        </is>
      </c>
      <c r="H125" s="63" t="n">
        <v>21050</v>
      </c>
      <c r="I125" s="22" t="inlineStr">
        <is>
          <t>EUR</t>
        </is>
      </c>
      <c r="J125" s="22" t="inlineStr"/>
      <c r="K125" s="63" t="n">
        <v>26107.7130129991</v>
      </c>
      <c r="L125" s="22" t="inlineStr">
        <is>
          <t>5004.B</t>
        </is>
      </c>
      <c r="M125" s="22" t="n">
        <v>1</v>
      </c>
      <c r="N125" s="22" t="inlineStr">
        <is>
          <t>malzeme (dedektörlerde taban 2 €, panelde network kartı eklendi); kablo ve montaj hariç (işçilik ayrı teklif 76.441 €); 11 metro istasyonu+depo</t>
        </is>
      </c>
    </row>
    <row r="126">
      <c r="A126" s="22" t="inlineStr">
        <is>
          <t>R00792</t>
        </is>
      </c>
      <c r="B126" s="22" t="inlineStr">
        <is>
          <t>Izmir_Ucyol_Buca_Metro</t>
        </is>
      </c>
      <c r="C126" s="22" t="inlineStr">
        <is>
          <t>metro</t>
        </is>
      </c>
      <c r="D126" s="22" t="inlineStr">
        <is>
          <t>ESCO Elektrik</t>
        </is>
      </c>
      <c r="E126" s="22" t="inlineStr">
        <is>
          <t>2021-06-23</t>
        </is>
      </c>
      <c r="F126" s="22" t="inlineStr">
        <is>
          <t>120 mm2 örgülü bakır tel (temel topraklama)</t>
        </is>
      </c>
      <c r="G126" s="22" t="inlineStr">
        <is>
          <t>m</t>
        </is>
      </c>
      <c r="H126" s="63" t="n">
        <v>11.92</v>
      </c>
      <c r="I126" s="22" t="inlineStr">
        <is>
          <t>USD</t>
        </is>
      </c>
      <c r="J126" s="22" t="inlineStr"/>
      <c r="K126" s="63" t="n">
        <v>12.3705423080488</v>
      </c>
      <c r="L126" s="22" t="inlineStr">
        <is>
          <t>2008.H</t>
        </is>
      </c>
      <c r="M126" s="22" t="n">
        <v>8</v>
      </c>
      <c r="N126" s="22" t="inlineStr">
        <is>
          <t>malzeme, montaj hariç; Buca metro topraklama teklifi</t>
        </is>
      </c>
    </row>
    <row r="127">
      <c r="A127" s="22" t="inlineStr">
        <is>
          <t>R00793</t>
        </is>
      </c>
      <c r="B127" s="22" t="inlineStr">
        <is>
          <t>Izmir_Ucyol_Buca_Metro</t>
        </is>
      </c>
      <c r="C127" s="22" t="inlineStr">
        <is>
          <t>metro</t>
        </is>
      </c>
      <c r="D127" s="22" t="inlineStr">
        <is>
          <t>ESCO Elektrik</t>
        </is>
      </c>
      <c r="E127" s="22" t="inlineStr">
        <is>
          <t>2021-06-23</t>
        </is>
      </c>
      <c r="F127" s="22" t="inlineStr">
        <is>
          <t>Ø20/3500 mm som bakır topraklama elektrodu</t>
        </is>
      </c>
      <c r="G127" s="22" t="inlineStr">
        <is>
          <t>adet</t>
        </is>
      </c>
      <c r="H127" s="63" t="n">
        <v>115.35</v>
      </c>
      <c r="I127" s="22" t="inlineStr">
        <is>
          <t>USD</t>
        </is>
      </c>
      <c r="J127" s="22" t="inlineStr"/>
      <c r="K127" s="63" t="n">
        <v>119.709903962536</v>
      </c>
      <c r="L127" s="22" t="inlineStr">
        <is>
          <t>2008.H</t>
        </is>
      </c>
      <c r="M127" s="22" t="n">
        <v>13</v>
      </c>
      <c r="N127" s="22" t="inlineStr">
        <is>
          <t>malzeme, montaj hariç; Buca metro topraklama teklifi</t>
        </is>
      </c>
    </row>
    <row r="128">
      <c r="A128" s="22" t="inlineStr">
        <is>
          <t>R00794</t>
        </is>
      </c>
      <c r="B128" s="22" t="inlineStr">
        <is>
          <t>Izmir_Ucyol_Buca_Metro</t>
        </is>
      </c>
      <c r="C128" s="22" t="inlineStr">
        <is>
          <t>metro</t>
        </is>
      </c>
      <c r="D128" s="22" t="inlineStr">
        <is>
          <t>ESCO Elektrik</t>
        </is>
      </c>
      <c r="E128" s="22" t="inlineStr">
        <is>
          <t>2021-06-23</t>
        </is>
      </c>
      <c r="F128" s="22" t="inlineStr">
        <is>
          <t>30x3,5 galvaniz topraklama şeridi (rulo)</t>
        </is>
      </c>
      <c r="G128" s="22" t="inlineStr">
        <is>
          <t>m</t>
        </is>
      </c>
      <c r="H128" s="63" t="n">
        <v>1.45</v>
      </c>
      <c r="I128" s="22" t="inlineStr">
        <is>
          <t>USD</t>
        </is>
      </c>
      <c r="J128" s="22" t="inlineStr"/>
      <c r="K128" s="63" t="n">
        <v>1.50480590156634</v>
      </c>
      <c r="L128" s="22" t="inlineStr">
        <is>
          <t>2008.H</t>
        </is>
      </c>
      <c r="M128" s="22" t="n">
        <v>11</v>
      </c>
      <c r="N128" s="22" t="inlineStr">
        <is>
          <t>malzeme, montaj hariç; Buca metro topraklama teklifi</t>
        </is>
      </c>
    </row>
    <row r="129">
      <c r="A129" s="22" t="inlineStr">
        <is>
          <t>R00795</t>
        </is>
      </c>
      <c r="B129" s="22" t="inlineStr">
        <is>
          <t>Izmir_Ucyol_Buca_Metro</t>
        </is>
      </c>
      <c r="C129" s="22" t="inlineStr">
        <is>
          <t>metro</t>
        </is>
      </c>
      <c r="D129" s="22" t="inlineStr">
        <is>
          <t>ESCO Elektrik</t>
        </is>
      </c>
      <c r="E129" s="22" t="inlineStr">
        <is>
          <t>2021-06-23</t>
        </is>
      </c>
      <c r="F129" s="22" t="inlineStr">
        <is>
          <t>120 mm2 pirinç tespit klemensi silindir tip M6</t>
        </is>
      </c>
      <c r="G129" s="22" t="inlineStr">
        <is>
          <t>adet</t>
        </is>
      </c>
      <c r="H129" s="63" t="n">
        <v>1.19</v>
      </c>
      <c r="I129" s="22" t="inlineStr">
        <is>
          <t>USD</t>
        </is>
      </c>
      <c r="J129" s="22" t="inlineStr"/>
      <c r="K129" s="63" t="n">
        <v>1.23497863645789</v>
      </c>
      <c r="L129" s="22" t="inlineStr">
        <is>
          <t>2008.H</t>
        </is>
      </c>
      <c r="M129" s="22" t="n">
        <v>1</v>
      </c>
      <c r="N129" s="22" t="inlineStr">
        <is>
          <t>malzeme, montaj hariç; Buca metro topraklama teklifi</t>
        </is>
      </c>
    </row>
    <row r="130">
      <c r="A130" s="22" t="inlineStr">
        <is>
          <t>R00796</t>
        </is>
      </c>
      <c r="B130" s="22" t="inlineStr">
        <is>
          <t>Izmir_Ucyol_Buca_Metro</t>
        </is>
      </c>
      <c r="C130" s="22" t="inlineStr">
        <is>
          <t>metro</t>
        </is>
      </c>
      <c r="D130" s="22" t="inlineStr">
        <is>
          <t>ESCO Elektrik</t>
        </is>
      </c>
      <c r="E130" s="22" t="inlineStr">
        <is>
          <t>2021-06-23</t>
        </is>
      </c>
      <c r="F130" s="22" t="inlineStr">
        <is>
          <t>Kompozit topraklama test rogarı</t>
        </is>
      </c>
      <c r="G130" s="22" t="inlineStr">
        <is>
          <t>adet</t>
        </is>
      </c>
      <c r="H130" s="63" t="n">
        <v>40.7</v>
      </c>
      <c r="I130" s="22" t="inlineStr">
        <is>
          <t>USD</t>
        </is>
      </c>
      <c r="J130" s="22" t="inlineStr"/>
      <c r="K130" s="63" t="n">
        <v>42.2383449612069</v>
      </c>
      <c r="L130" s="22" t="inlineStr">
        <is>
          <t>2008.H</t>
        </is>
      </c>
      <c r="M130" s="22" t="n">
        <v>6</v>
      </c>
      <c r="N130" s="22" t="inlineStr">
        <is>
          <t>malzeme, montaj hariç; Buca metro topraklama teklifi</t>
        </is>
      </c>
    </row>
    <row r="131">
      <c r="A131" s="22" t="inlineStr">
        <is>
          <t>R00798</t>
        </is>
      </c>
      <c r="B131" s="22" t="inlineStr">
        <is>
          <t>Izmir_Ucyol_Buca_Metro</t>
        </is>
      </c>
      <c r="C131" s="22" t="inlineStr">
        <is>
          <t>metro</t>
        </is>
      </c>
      <c r="D131" s="22" t="inlineStr">
        <is>
          <t>ESCO Elektrik</t>
        </is>
      </c>
      <c r="E131" s="22" t="inlineStr">
        <is>
          <t>2021-06-23</t>
        </is>
      </c>
      <c r="F131" s="22" t="inlineStr">
        <is>
          <t>60x5 bakır lama 2,5 m (eşpotansiyel bara)</t>
        </is>
      </c>
      <c r="G131" s="22" t="inlineStr">
        <is>
          <t>adet</t>
        </is>
      </c>
      <c r="H131" s="63" t="n">
        <v>75.15000000000001</v>
      </c>
      <c r="I131" s="22" t="inlineStr">
        <is>
          <t>USD</t>
        </is>
      </c>
      <c r="J131" s="22" t="inlineStr"/>
      <c r="K131" s="63" t="n">
        <v>77.9904575880761</v>
      </c>
      <c r="L131" s="22" t="inlineStr">
        <is>
          <t>2008.H</t>
        </is>
      </c>
      <c r="M131" s="22" t="n">
        <v>8</v>
      </c>
      <c r="N131" s="22" t="inlineStr">
        <is>
          <t>malzeme, montaj hariç; Buca metro topraklama teklifi</t>
        </is>
      </c>
    </row>
    <row r="132">
      <c r="A132" s="22" t="inlineStr">
        <is>
          <t>R00800</t>
        </is>
      </c>
      <c r="B132" s="22" t="inlineStr">
        <is>
          <t>Izmir_Ucyol_Buca_Metro</t>
        </is>
      </c>
      <c r="C132" s="22" t="inlineStr">
        <is>
          <t>metro</t>
        </is>
      </c>
      <c r="D132" s="22" t="inlineStr">
        <is>
          <t>EAE Elektrik</t>
        </is>
      </c>
      <c r="E132" s="22" t="inlineStr">
        <is>
          <t>2021-07-27</t>
        </is>
      </c>
      <c r="F132" s="22" t="inlineStr">
        <is>
          <t>CTH 100 kablo kanalı 100x40x1 mm sıcak daldırma</t>
        </is>
      </c>
      <c r="G132" s="22" t="inlineStr">
        <is>
          <t>m</t>
        </is>
      </c>
      <c r="H132" s="63" t="n">
        <v>3.7</v>
      </c>
      <c r="I132" s="22" t="inlineStr">
        <is>
          <t>USD</t>
        </is>
      </c>
      <c r="J132" s="22" t="inlineStr"/>
      <c r="K132" s="63" t="n">
        <v>3.88930487835588</v>
      </c>
      <c r="L132" s="22" t="inlineStr">
        <is>
          <t>2011.I</t>
        </is>
      </c>
      <c r="M132" s="22" t="n">
        <v>8</v>
      </c>
      <c r="N132" s="22" t="inlineStr">
        <is>
          <t>malzeme (ek/dönüş/askı ayrı), montaj hariç; teklif toplamı 3.912.661 $</t>
        </is>
      </c>
    </row>
    <row r="133">
      <c r="A133" s="22" t="inlineStr">
        <is>
          <t>R00801</t>
        </is>
      </c>
      <c r="B133" s="22" t="inlineStr">
        <is>
          <t>Izmir_Ucyol_Buca_Metro</t>
        </is>
      </c>
      <c r="C133" s="22" t="inlineStr">
        <is>
          <t>metro</t>
        </is>
      </c>
      <c r="D133" s="22" t="inlineStr">
        <is>
          <t>EAE Elektrik</t>
        </is>
      </c>
      <c r="E133" s="22" t="inlineStr">
        <is>
          <t>2021-07-27</t>
        </is>
      </c>
      <c r="F133" s="22" t="inlineStr">
        <is>
          <t>CTH 200 kablo kanalı 200x40x1,5 mm SD</t>
        </is>
      </c>
      <c r="G133" s="22" t="inlineStr">
        <is>
          <t>m</t>
        </is>
      </c>
      <c r="H133" s="63" t="n">
        <v>7.93</v>
      </c>
      <c r="I133" s="22" t="inlineStr">
        <is>
          <t>USD</t>
        </is>
      </c>
      <c r="J133" s="22" t="inlineStr"/>
      <c r="K133" s="63" t="n">
        <v>8.33572640144922</v>
      </c>
      <c r="L133" s="22" t="inlineStr">
        <is>
          <t>2011.I</t>
        </is>
      </c>
      <c r="M133" s="22" t="n">
        <v>1</v>
      </c>
      <c r="N133" s="22" t="inlineStr">
        <is>
          <t>malzeme (ek/dönüş/askı ayrı), montaj hariç; teklif toplamı 3.912.661 $</t>
        </is>
      </c>
    </row>
    <row r="134">
      <c r="A134" s="22" t="inlineStr">
        <is>
          <t>R00803</t>
        </is>
      </c>
      <c r="B134" s="22" t="inlineStr">
        <is>
          <t>Izmir_Ucyol_Buca_Metro</t>
        </is>
      </c>
      <c r="C134" s="22" t="inlineStr">
        <is>
          <t>metro</t>
        </is>
      </c>
      <c r="D134" s="22" t="inlineStr">
        <is>
          <t>EAE Elektrik</t>
        </is>
      </c>
      <c r="E134" s="22" t="inlineStr">
        <is>
          <t>2021-07-27</t>
        </is>
      </c>
      <c r="F134" s="22" t="inlineStr">
        <is>
          <t>CTA 500 kablo kanalı 500x40x2 mm SD</t>
        </is>
      </c>
      <c r="G134" s="22" t="inlineStr">
        <is>
          <t>m</t>
        </is>
      </c>
      <c r="H134" s="63" t="n">
        <v>19.72</v>
      </c>
      <c r="I134" s="22" t="inlineStr">
        <is>
          <t>USD</t>
        </is>
      </c>
      <c r="J134" s="22" t="inlineStr"/>
      <c r="K134" s="63" t="n">
        <v>20.7289438381562</v>
      </c>
      <c r="L134" s="22" t="inlineStr">
        <is>
          <t>2011.I</t>
        </is>
      </c>
      <c r="M134" s="22" t="n">
        <v>1</v>
      </c>
      <c r="N134" s="22" t="inlineStr">
        <is>
          <t>malzeme (ek/dönüş/askı ayrı), montaj hariç; teklif toplamı 3.912.661 $</t>
        </is>
      </c>
    </row>
    <row r="135">
      <c r="A135" s="22" t="inlineStr">
        <is>
          <t>R00805</t>
        </is>
      </c>
      <c r="B135" s="22" t="inlineStr">
        <is>
          <t>Izmir_Ucyol_Buca_Metro</t>
        </is>
      </c>
      <c r="C135" s="22" t="inlineStr">
        <is>
          <t>metro</t>
        </is>
      </c>
      <c r="D135" s="22" t="inlineStr">
        <is>
          <t>EAE Elektrik</t>
        </is>
      </c>
      <c r="E135" s="22" t="inlineStr">
        <is>
          <t>2021-07-27</t>
        </is>
      </c>
      <c r="F135" s="22" t="inlineStr">
        <is>
          <t>KMA 300 kablo merdiveni 300x60x2 mm SD</t>
        </is>
      </c>
      <c r="G135" s="22" t="inlineStr">
        <is>
          <t>m</t>
        </is>
      </c>
      <c r="H135" s="63" t="n">
        <v>8.92</v>
      </c>
      <c r="I135" s="22" t="inlineStr">
        <is>
          <t>USD</t>
        </is>
      </c>
      <c r="J135" s="22" t="inlineStr"/>
      <c r="K135" s="63" t="n">
        <v>9.37637824727957</v>
      </c>
      <c r="L135" s="22" t="inlineStr">
        <is>
          <t>2011.I</t>
        </is>
      </c>
      <c r="M135" s="22" t="n">
        <v>6</v>
      </c>
      <c r="N135" s="22" t="inlineStr">
        <is>
          <t>malzeme (ek/dönüş/askı ayrı), montaj hariç; teklif toplamı 3.912.661 $</t>
        </is>
      </c>
    </row>
    <row r="136">
      <c r="A136" s="22" t="inlineStr">
        <is>
          <t>R00815</t>
        </is>
      </c>
      <c r="B136" s="22" t="inlineStr">
        <is>
          <t>Kabatas_Mecidiyekoy_Mahmutbey_Metro</t>
        </is>
      </c>
      <c r="C136" s="22" t="inlineStr">
        <is>
          <t>metro</t>
        </is>
      </c>
      <c r="D136" s="22" t="inlineStr">
        <is>
          <t>ABB Elektrik (UniGear ZS2)</t>
        </is>
      </c>
      <c r="E136" s="22" t="inlineStr">
        <is>
          <t>2015-02-25</t>
        </is>
      </c>
      <c r="F136" s="22" t="inlineStr">
        <is>
          <t>UniGear ZS2 36 kV Bara ölçü hücresi</t>
        </is>
      </c>
      <c r="G136" s="22" t="inlineStr">
        <is>
          <t>adet</t>
        </is>
      </c>
      <c r="H136" s="63" t="n">
        <v>16042</v>
      </c>
      <c r="I136" s="22" t="inlineStr">
        <is>
          <t>USD</t>
        </is>
      </c>
      <c r="J136" s="22" t="inlineStr"/>
      <c r="K136" s="63" t="n">
        <v>19106.0756219885</v>
      </c>
      <c r="L136" s="22" t="inlineStr">
        <is>
          <t>2004.D</t>
        </is>
      </c>
      <c r="M136" s="22" t="n">
        <v>1</v>
      </c>
      <c r="N136" s="22" t="inlineStr">
        <is>
          <t>Kabataş-Mecidiyeköy-Mahmutbey metrosu (1500 V DC, ~24,5 km, 19 istasyon+depo, ~19 cer TM) ihale hazırlığı 2015; ABB ref 15Q2540093 (preliminary draft); malzeme satış fiyatı; standart aksesuarlar ~2.000-2.700 $/pano ayrıca</t>
        </is>
      </c>
    </row>
    <row r="137">
      <c r="A137" s="22" t="inlineStr">
        <is>
          <t>R00825</t>
        </is>
      </c>
      <c r="B137" s="22" t="inlineStr">
        <is>
          <t>Kabatas_Mecidiyekoy_Mahmutbey_Metro</t>
        </is>
      </c>
      <c r="C137" s="22" t="inlineStr">
        <is>
          <t>metro</t>
        </is>
      </c>
      <c r="D137" s="22" t="inlineStr">
        <is>
          <t>Schneider Elektrik (bütçe teklifi)</t>
        </is>
      </c>
      <c r="E137" s="22" t="inlineStr">
        <is>
          <t>2015-04-02</t>
        </is>
      </c>
      <c r="F137" s="22" t="inlineStr">
        <is>
          <t>2000 kVA 34,5/0,4 kV Al kuru tip trafo</t>
        </is>
      </c>
      <c r="G137" s="22" t="inlineStr">
        <is>
          <t>adet</t>
        </is>
      </c>
      <c r="H137" s="63" t="n">
        <v>34700</v>
      </c>
      <c r="I137" s="22" t="inlineStr">
        <is>
          <t>EUR</t>
        </is>
      </c>
      <c r="J137" s="22" t="inlineStr"/>
      <c r="K137" s="63" t="n">
        <v>46152.841591158</v>
      </c>
      <c r="L137" s="22" t="inlineStr">
        <is>
          <t>2005.B</t>
        </is>
      </c>
      <c r="M137" s="22" t="n">
        <v>1</v>
      </c>
      <c r="N137" s="22" t="inlineStr">
        <is>
          <t>Kabataş-Mecidiyeköy-Mahmutbey metrosu (1500 V DC, ~24,5 km, 19 istasyon+depo, ~19 cer TM) ihale hazırlığı 2015; bütçe teklifi, kalem toplamından birim fiyat türetildi</t>
        </is>
      </c>
    </row>
    <row r="138">
      <c r="A138" s="22" t="inlineStr">
        <is>
          <t>R00837</t>
        </is>
      </c>
      <c r="B138" s="22" t="inlineStr">
        <is>
          <t>Kabatas_Mecidiyekoy_Mahmutbey_Metro</t>
        </is>
      </c>
      <c r="C138" s="22" t="inlineStr">
        <is>
          <t>metro</t>
        </is>
      </c>
      <c r="D138" s="22" t="inlineStr">
        <is>
          <t>Siemens (teklif cetveli IML7)</t>
        </is>
      </c>
      <c r="E138" s="22" t="inlineStr">
        <is>
          <t>2015-04-07</t>
        </is>
      </c>
      <c r="F138" s="22" t="inlineStr">
        <is>
          <t>34,5/0,4 kV İç ihtiyaç trafosu 2000 kVA</t>
        </is>
      </c>
      <c r="G138" s="22" t="inlineStr">
        <is>
          <t>adet</t>
        </is>
      </c>
      <c r="H138" s="63" t="n">
        <v>48136.66</v>
      </c>
      <c r="I138" s="22" t="inlineStr">
        <is>
          <t>EUR</t>
        </is>
      </c>
      <c r="J138" s="22" t="inlineStr"/>
      <c r="K138" s="63" t="n">
        <v>64024.3124987733</v>
      </c>
      <c r="L138" s="22" t="inlineStr">
        <is>
          <t>2005.B</t>
        </is>
      </c>
      <c r="M138" s="22" t="n">
        <v>1</v>
      </c>
      <c r="N138" s="22" t="inlineStr">
        <is>
          <t>Kabataş-Mecidiyeköy-Mahmutbey metrosu (1500 V DC, ~24,5 km, 19 istasyon+depo, ~19 cer TM) ihale hazırlığı 2015; EUR teklif cetveli (birim fiyatlar malzeme+montaj, cetvel formatı); akü şarj seti fiyatı düşük - kapsam belirsiz</t>
        </is>
      </c>
    </row>
    <row r="139">
      <c r="A139" s="22" t="inlineStr">
        <is>
          <t>R00841</t>
        </is>
      </c>
      <c r="B139" s="22" t="inlineStr">
        <is>
          <t>Kabatas_Mecidiyekoy_Mahmutbey_Metro</t>
        </is>
      </c>
      <c r="C139" s="22" t="inlineStr">
        <is>
          <t>metro</t>
        </is>
      </c>
      <c r="D139" s="22" t="inlineStr">
        <is>
          <t>Siemens (teklif cetveli IML7)</t>
        </is>
      </c>
      <c r="E139" s="22" t="inlineStr">
        <is>
          <t>2015-04-07</t>
        </is>
      </c>
      <c r="F139" s="22" t="inlineStr">
        <is>
          <t>Ray potansiyeli limitleme cihazı</t>
        </is>
      </c>
      <c r="G139" s="22" t="inlineStr">
        <is>
          <t>adet</t>
        </is>
      </c>
      <c r="H139" s="63" t="n">
        <v>15649.96</v>
      </c>
      <c r="I139" s="22" t="inlineStr">
        <is>
          <t>EUR</t>
        </is>
      </c>
      <c r="J139" s="22" t="inlineStr"/>
      <c r="K139" s="63" t="n">
        <v>20815.2773714109</v>
      </c>
      <c r="L139" s="22" t="inlineStr">
        <is>
          <t>2007.A</t>
        </is>
      </c>
      <c r="M139" s="22" t="n">
        <v>2</v>
      </c>
      <c r="N139" s="22" t="inlineStr">
        <is>
          <t>Kabataş-Mecidiyeköy-Mahmutbey metrosu (1500 V DC, ~24,5 km, 19 istasyon+depo, ~19 cer TM) ihale hazırlığı 2015; EUR teklif cetveli (birim fiyatlar malzeme+montaj, cetvel formatı); akü şarj seti fiyatı düşük - kapsam belirsiz</t>
        </is>
      </c>
    </row>
    <row r="140">
      <c r="A140" s="22" t="inlineStr">
        <is>
          <t>R00843</t>
        </is>
      </c>
      <c r="B140" s="22" t="inlineStr">
        <is>
          <t>Kabatas_Mecidiyekoy_Mahmutbey_Metro</t>
        </is>
      </c>
      <c r="C140" s="22" t="inlineStr">
        <is>
          <t>metro</t>
        </is>
      </c>
      <c r="D140" s="22" t="inlineStr">
        <is>
          <t>Siemens (teklif cetveli IML7)</t>
        </is>
      </c>
      <c r="E140" s="22" t="inlineStr">
        <is>
          <t>2015-04-07</t>
        </is>
      </c>
      <c r="F140" s="22" t="inlineStr">
        <is>
          <t>Güç temini ve cer gücü tasarımı</t>
        </is>
      </c>
      <c r="G140" s="22" t="inlineStr">
        <is>
          <t>takım</t>
        </is>
      </c>
      <c r="H140" s="63" t="n">
        <v>385093.31</v>
      </c>
      <c r="I140" s="22" t="inlineStr">
        <is>
          <t>EUR</t>
        </is>
      </c>
      <c r="J140" s="22" t="inlineStr"/>
      <c r="K140" s="63" t="n">
        <v>512194.539891778</v>
      </c>
      <c r="L140" s="22" t="inlineStr">
        <is>
          <t>2001</t>
        </is>
      </c>
      <c r="M140" s="22" t="n">
        <v>1</v>
      </c>
      <c r="N140" s="22" t="inlineStr">
        <is>
          <t>Kabataş-Mecidiyeköy-Mahmutbey metrosu (1500 V DC, ~24,5 km, 19 istasyon+depo, ~19 cer TM) ihale hazırlığı 2015; EUR teklif cetveli (birim fiyatlar malzeme+montaj, cetvel formatı); akü şarj seti fiyatı düşük - kapsam belirsiz</t>
        </is>
      </c>
    </row>
    <row r="141">
      <c r="A141" s="22" t="inlineStr">
        <is>
          <t>R00848</t>
        </is>
      </c>
      <c r="B141" s="22" t="inlineStr">
        <is>
          <t>Kent Meydani-Terminal Tram</t>
        </is>
      </c>
      <c r="C141" s="22" t="inlineStr">
        <is>
          <t>tramvay</t>
        </is>
      </c>
      <c r="D141" s="22" t="inlineStr">
        <is>
          <t>Delta Tema Elektrik (kablo)</t>
        </is>
      </c>
      <c r="E141" s="22" t="inlineStr">
        <is>
          <t>2015-05-29</t>
        </is>
      </c>
      <c r="F141" s="22" t="inlineStr">
        <is>
          <t>N2XH 0,6/1 kV 3x2,5</t>
        </is>
      </c>
      <c r="G141" s="22" t="inlineStr">
        <is>
          <t>m</t>
        </is>
      </c>
      <c r="H141" s="63" t="n">
        <v>2.26</v>
      </c>
      <c r="I141" s="22" t="inlineStr">
        <is>
          <t>TRY</t>
        </is>
      </c>
      <c r="J141" s="22" t="inlineStr"/>
      <c r="K141" s="63" t="n">
        <v>1.02698461792862</v>
      </c>
      <c r="L141" s="22" t="inlineStr">
        <is>
          <t>5002.B</t>
        </is>
      </c>
      <c r="M141" s="22" t="n">
        <v>34</v>
      </c>
      <c r="N141" s="22" t="inlineStr">
        <is>
          <t>Bursa T2 tramvay kablo teklifi, TL/km'den m'ye; malzeme, net fiyat (Prysmian 2015 net fiyatıyla aynı), yanındaki %55-68 sütunu muhtemelen liste iskontosu</t>
        </is>
      </c>
    </row>
    <row r="142">
      <c r="A142" s="22" t="inlineStr">
        <is>
          <t>R00849</t>
        </is>
      </c>
      <c r="B142" s="22" t="inlineStr">
        <is>
          <t>Kent Meydani-Terminal Tram</t>
        </is>
      </c>
      <c r="C142" s="22" t="inlineStr">
        <is>
          <t>tramvay</t>
        </is>
      </c>
      <c r="D142" s="22" t="inlineStr">
        <is>
          <t>Delta Tema Elektrik (kablo)</t>
        </is>
      </c>
      <c r="E142" s="22" t="inlineStr">
        <is>
          <t>2015-05-29</t>
        </is>
      </c>
      <c r="F142" s="22" t="inlineStr">
        <is>
          <t>N2XH 0,6/1 kV 5x2,5</t>
        </is>
      </c>
      <c r="G142" s="22" t="inlineStr">
        <is>
          <t>m</t>
        </is>
      </c>
      <c r="H142" s="63" t="n">
        <v>3.46</v>
      </c>
      <c r="I142" s="22" t="inlineStr">
        <is>
          <t>TRY</t>
        </is>
      </c>
      <c r="J142" s="22" t="inlineStr"/>
      <c r="K142" s="63" t="n">
        <v>1.57228618497036</v>
      </c>
      <c r="L142" s="22" t="inlineStr">
        <is>
          <t>5002.B</t>
        </is>
      </c>
      <c r="M142" s="22" t="n">
        <v>9</v>
      </c>
      <c r="N142" s="22" t="inlineStr">
        <is>
          <t>Bursa T2 tramvay kablo teklifi, TL/km'den m'ye; malzeme, net fiyat (Prysmian 2015 net fiyatıyla aynı), yanındaki %55-68 sütunu muhtemelen liste iskontosu</t>
        </is>
      </c>
    </row>
    <row r="143">
      <c r="A143" s="22" t="inlineStr">
        <is>
          <t>R00850</t>
        </is>
      </c>
      <c r="B143" s="22" t="inlineStr">
        <is>
          <t>Kent Meydani-Terminal Tram</t>
        </is>
      </c>
      <c r="C143" s="22" t="inlineStr">
        <is>
          <t>tramvay</t>
        </is>
      </c>
      <c r="D143" s="22" t="inlineStr">
        <is>
          <t>Delta Tema Elektrik (kablo)</t>
        </is>
      </c>
      <c r="E143" s="22" t="inlineStr">
        <is>
          <t>2015-05-29</t>
        </is>
      </c>
      <c r="F143" s="22" t="inlineStr">
        <is>
          <t>N2XH 0,6/1 kV 4x6</t>
        </is>
      </c>
      <c r="G143" s="22" t="inlineStr">
        <is>
          <t>m</t>
        </is>
      </c>
      <c r="H143" s="63" t="n">
        <v>5.62</v>
      </c>
      <c r="I143" s="22" t="inlineStr">
        <is>
          <t>TRY</t>
        </is>
      </c>
      <c r="J143" s="22" t="inlineStr"/>
      <c r="K143" s="63" t="n">
        <v>2.5538290056455</v>
      </c>
      <c r="L143" s="22" t="inlineStr">
        <is>
          <t>2011.I</t>
        </is>
      </c>
      <c r="M143" s="22" t="n">
        <v>24</v>
      </c>
      <c r="N143" s="22" t="inlineStr">
        <is>
          <t>Bursa T2 tramvay kablo teklifi, TL/km'den m'ye; malzeme, net fiyat (Prysmian 2015 net fiyatıyla aynı), yanındaki %55-68 sütunu muhtemelen liste iskontosu</t>
        </is>
      </c>
    </row>
    <row r="144">
      <c r="A144" s="22" t="inlineStr">
        <is>
          <t>R00851</t>
        </is>
      </c>
      <c r="B144" s="22" t="inlineStr">
        <is>
          <t>Kent Meydani-Terminal Tram</t>
        </is>
      </c>
      <c r="C144" s="22" t="inlineStr">
        <is>
          <t>tramvay</t>
        </is>
      </c>
      <c r="D144" s="22" t="inlineStr">
        <is>
          <t>Delta Tema Elektrik (kablo)</t>
        </is>
      </c>
      <c r="E144" s="22" t="inlineStr">
        <is>
          <t>2015-05-29</t>
        </is>
      </c>
      <c r="F144" s="22" t="inlineStr">
        <is>
          <t>N2XH 0,6/1 kV 1x120</t>
        </is>
      </c>
      <c r="G144" s="22" t="inlineStr">
        <is>
          <t>m</t>
        </is>
      </c>
      <c r="H144" s="63" t="n">
        <v>24.22</v>
      </c>
      <c r="I144" s="22" t="inlineStr">
        <is>
          <t>TRY</t>
        </is>
      </c>
      <c r="J144" s="22" t="inlineStr"/>
      <c r="K144" s="63" t="n">
        <v>11.0060032947925</v>
      </c>
      <c r="L144" s="22" t="inlineStr">
        <is>
          <t>2011.I</t>
        </is>
      </c>
      <c r="M144" s="22" t="n">
        <v>1</v>
      </c>
      <c r="N144" s="22" t="inlineStr">
        <is>
          <t>Bursa T2 tramvay kablo teklifi, TL/km'den m'ye; malzeme, net fiyat (Prysmian 2015 net fiyatıyla aynı), yanındaki %55-68 sütunu muhtemelen liste iskontosu</t>
        </is>
      </c>
    </row>
    <row r="145">
      <c r="A145" s="22" t="inlineStr">
        <is>
          <t>R00852</t>
        </is>
      </c>
      <c r="B145" s="22" t="inlineStr">
        <is>
          <t>Kent Meydani-Terminal Tram</t>
        </is>
      </c>
      <c r="C145" s="22" t="inlineStr">
        <is>
          <t>tramvay</t>
        </is>
      </c>
      <c r="D145" s="22" t="inlineStr">
        <is>
          <t>Haluk Elektrik</t>
        </is>
      </c>
      <c r="E145" s="22" t="inlineStr">
        <is>
          <t>2015-06-04</t>
        </is>
      </c>
      <c r="F145" s="22" t="inlineStr">
        <is>
          <t>BTR E2 Galvanizli Çelik Poligon Aydınlatma Direği</t>
        </is>
      </c>
      <c r="G145" s="22" t="inlineStr">
        <is>
          <t>kilogram</t>
        </is>
      </c>
      <c r="H145" s="63" t="n">
        <v>5.68</v>
      </c>
      <c r="I145" s="22" t="inlineStr">
        <is>
          <t>TRY</t>
        </is>
      </c>
      <c r="J145" s="22" t="inlineStr"/>
      <c r="K145" s="63" t="n">
        <v>2.47982007048673</v>
      </c>
      <c r="L145" s="22" t="inlineStr">
        <is>
          <t>5002.B</t>
        </is>
      </c>
      <c r="M145" s="22" t="n">
        <v>8</v>
      </c>
      <c r="N145" s="22" t="inlineStr">
        <is>
          <t>Bursa T2 Kent Meydanı-Terminal tramvayı (750 V DC, 11 istasyon, 6 cer TM: TR1-TR6, ihale 2015/51291); TL, 2015 kuru ~2,92-3,0 TL/€; malzeme+işçilik; fiyat kaynağı sütunu: HALUK ELK (ör. AKTİF=Aktif teklifi, ÇŞB/TEDAŞ birim fiyat, prysmian)</t>
        </is>
      </c>
    </row>
    <row r="146">
      <c r="A146" s="22" t="inlineStr">
        <is>
          <t>R00853</t>
        </is>
      </c>
      <c r="B146" s="22" t="inlineStr">
        <is>
          <t>Kent Meydani-Terminal Tram</t>
        </is>
      </c>
      <c r="C146" s="22" t="inlineStr">
        <is>
          <t>tramvay</t>
        </is>
      </c>
      <c r="D146" s="22" t="inlineStr">
        <is>
          <t>Haluk Elektrik</t>
        </is>
      </c>
      <c r="E146" s="22" t="inlineStr">
        <is>
          <t>2015-06-04</t>
        </is>
      </c>
      <c r="F146" s="22" t="inlineStr">
        <is>
          <t>BTR E3 2 mm'lik galvanizli sac tava veya rafları</t>
        </is>
      </c>
      <c r="G146" s="22" t="inlineStr">
        <is>
          <t>kilogram</t>
        </is>
      </c>
      <c r="H146" s="63" t="n">
        <v>9.09</v>
      </c>
      <c r="I146" s="22" t="inlineStr">
        <is>
          <t>TRY</t>
        </is>
      </c>
      <c r="J146" s="22" t="inlineStr"/>
      <c r="K146" s="63" t="n">
        <v>3.96858528885993</v>
      </c>
      <c r="L146" s="22" t="inlineStr">
        <is>
          <t>2011.I</t>
        </is>
      </c>
      <c r="M146" s="22" t="n">
        <v>11</v>
      </c>
      <c r="N146" s="22" t="inlineStr">
        <is>
          <t>Bursa T2 Kent Meydanı-Terminal tramvayı (750 V DC, 11 istasyon, 6 cer TM: TR1-TR6, ihale 2015/51291); TL, 2015 kuru ~2,92-3,0 TL/€; malzeme+işçilik; fiyat kaynağı sütunu: STS (ör. AKTİF=Aktif teklifi, ÇŞB/TEDAŞ birim fiyat, prysmian)</t>
        </is>
      </c>
    </row>
    <row r="147">
      <c r="A147" s="22" t="inlineStr">
        <is>
          <t>R00864</t>
        </is>
      </c>
      <c r="B147" s="22" t="inlineStr">
        <is>
          <t>Kent Meydani-Terminal Tram</t>
        </is>
      </c>
      <c r="C147" s="22" t="inlineStr">
        <is>
          <t>tramvay</t>
        </is>
      </c>
      <c r="D147" s="22" t="inlineStr">
        <is>
          <t>Haluk Elektrik</t>
        </is>
      </c>
      <c r="E147" s="22" t="inlineStr">
        <is>
          <t>2015-06-04</t>
        </is>
      </c>
      <c r="F147" s="22" t="inlineStr">
        <is>
          <t>BTR E64 Alüminyum 36 kV 1X95+16 mm2 XLPE Kablo</t>
        </is>
      </c>
      <c r="G147" s="22" t="inlineStr">
        <is>
          <t>metre</t>
        </is>
      </c>
      <c r="H147" s="63" t="n">
        <v>21.05</v>
      </c>
      <c r="I147" s="22" t="inlineStr">
        <is>
          <t>TRY</t>
        </is>
      </c>
      <c r="J147" s="22" t="inlineStr"/>
      <c r="K147" s="63" t="n">
        <v>9.190178254180591</v>
      </c>
      <c r="L147" s="22" t="inlineStr">
        <is>
          <t>2004.B</t>
        </is>
      </c>
      <c r="M147" s="22" t="n">
        <v>2</v>
      </c>
      <c r="N147" s="22" t="inlineStr">
        <is>
          <t>Bursa T2 Kent Meydanı-Terminal tramvayı (750 V DC, 11 istasyon, 6 cer TM: TR1-TR6, ihale 2015/51291); TL, 2015 kuru ~2,92-3,0 TL/€; malzeme+işçilik; fiyat kaynağı sütunu: prysmian (ör. AKTİF=Aktif teklifi, ÇŞB/TEDAŞ birim fiyat, prysmian)</t>
        </is>
      </c>
    </row>
    <row r="148">
      <c r="A148" s="22" t="inlineStr">
        <is>
          <t>R00865</t>
        </is>
      </c>
      <c r="B148" s="22" t="inlineStr">
        <is>
          <t>Kent Meydani-Terminal Tram</t>
        </is>
      </c>
      <c r="C148" s="22" t="inlineStr">
        <is>
          <t>tramvay</t>
        </is>
      </c>
      <c r="D148" s="22" t="inlineStr">
        <is>
          <t>Haluk Elektrik</t>
        </is>
      </c>
      <c r="E148" s="22" t="inlineStr">
        <is>
          <t>2015-06-04</t>
        </is>
      </c>
      <c r="F148" s="22" t="inlineStr">
        <is>
          <t>BTR E65 Alüminyum 36 kV 1X150+25 mm2 XLPE Kablo</t>
        </is>
      </c>
      <c r="G148" s="22" t="inlineStr">
        <is>
          <t>metre</t>
        </is>
      </c>
      <c r="H148" s="63" t="n">
        <v>24.94</v>
      </c>
      <c r="I148" s="22" t="inlineStr">
        <is>
          <t>TRY</t>
        </is>
      </c>
      <c r="J148" s="22" t="inlineStr"/>
      <c r="K148" s="63" t="n">
        <v>10.8885057320315</v>
      </c>
      <c r="L148" s="22" t="inlineStr">
        <is>
          <t>2002.A</t>
        </is>
      </c>
      <c r="M148" s="22" t="n">
        <v>1</v>
      </c>
      <c r="N148" s="22" t="inlineStr">
        <is>
          <t>Bursa T2 Kent Meydanı-Terminal tramvayı (750 V DC, 11 istasyon, 6 cer TM: TR1-TR6, ihale 2015/51291); TL, 2015 kuru ~2,92-3,0 TL/€; malzeme+işçilik; fiyat kaynağı sütunu: prysmian (ör. AKTİF=Aktif teklifi, ÇŞB/TEDAŞ birim fiyat, prysmian)</t>
        </is>
      </c>
    </row>
    <row r="149">
      <c r="A149" s="22" t="inlineStr">
        <is>
          <t>R00866</t>
        </is>
      </c>
      <c r="B149" s="22" t="inlineStr">
        <is>
          <t>Kent Meydani-Terminal Tram</t>
        </is>
      </c>
      <c r="C149" s="22" t="inlineStr">
        <is>
          <t>tramvay</t>
        </is>
      </c>
      <c r="D149" s="22" t="inlineStr">
        <is>
          <t>Haluk Elektrik</t>
        </is>
      </c>
      <c r="E149" s="22" t="inlineStr">
        <is>
          <t>2015-06-04</t>
        </is>
      </c>
      <c r="F149" s="22" t="inlineStr">
        <is>
          <t>BTR E66 Alüminyum 36 kV 1X400+35 mm2 XLPE Kablo</t>
        </is>
      </c>
      <c r="G149" s="22" t="inlineStr">
        <is>
          <t>metre</t>
        </is>
      </c>
      <c r="H149" s="63" t="n">
        <v>39.6</v>
      </c>
      <c r="I149" s="22" t="inlineStr">
        <is>
          <t>TRY</t>
        </is>
      </c>
      <c r="J149" s="22" t="inlineStr"/>
      <c r="K149" s="63" t="n">
        <v>17.2888864069146</v>
      </c>
      <c r="L149" s="22" t="inlineStr">
        <is>
          <t>2002.B</t>
        </is>
      </c>
      <c r="M149" s="22" t="n">
        <v>2</v>
      </c>
      <c r="N149" s="22" t="inlineStr">
        <is>
          <t>Bursa T2 Kent Meydanı-Terminal tramvayı (750 V DC, 11 istasyon, 6 cer TM: TR1-TR6, ihale 2015/51291); TL, 2015 kuru ~2,92-3,0 TL/€; malzeme+işçilik; fiyat kaynağı sütunu: prysmian (ör. AKTİF=Aktif teklifi, ÇŞB/TEDAŞ birim fiyat, prysmian)</t>
        </is>
      </c>
    </row>
    <row r="150">
      <c r="A150" s="22" t="inlineStr">
        <is>
          <t>R00867</t>
        </is>
      </c>
      <c r="B150" s="22" t="inlineStr">
        <is>
          <t>Kent Meydani-Terminal Tram</t>
        </is>
      </c>
      <c r="C150" s="22" t="inlineStr">
        <is>
          <t>tramvay</t>
        </is>
      </c>
      <c r="D150" s="22" t="inlineStr">
        <is>
          <t>Haluk Elektrik</t>
        </is>
      </c>
      <c r="E150" s="22" t="inlineStr">
        <is>
          <t>2015-06-04</t>
        </is>
      </c>
      <c r="F150" s="22" t="inlineStr">
        <is>
          <t>BTR E70 250 kVA'lık 3X400 A. Oto. Şalterli Dahili Tip AG Panosu (Analizörlü, DSYA'lı ,10 kVAR Sabit Kompanzasyonlu)</t>
        </is>
      </c>
      <c r="G150" s="22" t="inlineStr">
        <is>
          <t>adet</t>
        </is>
      </c>
      <c r="H150" s="63" t="n">
        <v>4850</v>
      </c>
      <c r="I150" s="22" t="inlineStr">
        <is>
          <t>TRY</t>
        </is>
      </c>
      <c r="J150" s="22" t="inlineStr"/>
      <c r="K150" s="63" t="n">
        <v>2117.45199680645</v>
      </c>
      <c r="L150" s="22" t="inlineStr">
        <is>
          <t>2006.H</t>
        </is>
      </c>
      <c r="M150" s="22" t="n">
        <v>1</v>
      </c>
      <c r="N150" s="22" t="inlineStr">
        <is>
          <t>Bursa T2 Kent Meydanı-Terminal tramvayı (750 V DC, 11 istasyon, 6 cer TM: TR1-TR6, ihale 2015/51291); TL, 2015 kuru ~2,92-3,0 TL/€; malzeme+işçilik; fiyat kaynağı sütunu: HALUK ELK (ör. AKTİF=Aktif teklifi, ÇŞB/TEDAŞ birim fiyat, prysmian)</t>
        </is>
      </c>
    </row>
    <row r="151">
      <c r="A151" s="22" t="inlineStr">
        <is>
          <t>R00868</t>
        </is>
      </c>
      <c r="B151" s="22" t="inlineStr">
        <is>
          <t>Kent Meydani-Terminal Tram</t>
        </is>
      </c>
      <c r="C151" s="22" t="inlineStr">
        <is>
          <t>tramvay</t>
        </is>
      </c>
      <c r="D151" s="22" t="inlineStr">
        <is>
          <t>Haluk Elektrik</t>
        </is>
      </c>
      <c r="E151" s="22" t="inlineStr">
        <is>
          <t>2015-06-04</t>
        </is>
      </c>
      <c r="F151" s="22" t="inlineStr">
        <is>
          <t>BTR E71 400 kVA'lık 3X630 A. Oto. Şalterli Dahili Tip AG Panosu (Analizörlü, DSYA'lı ,15 kVAR Sabit Kompanzasyonlu)</t>
        </is>
      </c>
      <c r="G151" s="22" t="inlineStr">
        <is>
          <t>adet</t>
        </is>
      </c>
      <c r="H151" s="63" t="n">
        <v>6150</v>
      </c>
      <c r="I151" s="22" t="inlineStr">
        <is>
          <t>TRY</t>
        </is>
      </c>
      <c r="J151" s="22" t="inlineStr"/>
      <c r="K151" s="63" t="n">
        <v>2685.0164495587</v>
      </c>
      <c r="L151" s="22" t="inlineStr">
        <is>
          <t>2006.H</t>
        </is>
      </c>
      <c r="M151" s="22" t="n">
        <v>1</v>
      </c>
      <c r="N151" s="22" t="inlineStr">
        <is>
          <t>Bursa T2 Kent Meydanı-Terminal tramvayı (750 V DC, 11 istasyon, 6 cer TM: TR1-TR6, ihale 2015/51291); TL, 2015 kuru ~2,92-3,0 TL/€; malzeme+işçilik; fiyat kaynağı sütunu: HALUK ELK (ör. AKTİF=Aktif teklifi, ÇŞB/TEDAŞ birim fiyat, prysmian)</t>
        </is>
      </c>
    </row>
    <row r="152">
      <c r="A152" s="22" t="inlineStr">
        <is>
          <t>R00869</t>
        </is>
      </c>
      <c r="B152" s="22" t="inlineStr">
        <is>
          <t>Kent Meydani-Terminal Tram</t>
        </is>
      </c>
      <c r="C152" s="22" t="inlineStr">
        <is>
          <t>tramvay</t>
        </is>
      </c>
      <c r="D152" s="22" t="inlineStr">
        <is>
          <t>Haluk Elektrik</t>
        </is>
      </c>
      <c r="E152" s="22" t="inlineStr">
        <is>
          <t>2015-06-04</t>
        </is>
      </c>
      <c r="F152" s="22" t="inlineStr">
        <is>
          <t>BTR E72 630 kVA'lık 3X1000 A. Oto. Şalterli Dahili Tip AG Panosu (Analizörlü, DSYA'lı ,20 kVAR Sabit Kompanzasyonlu)</t>
        </is>
      </c>
      <c r="G152" s="22" t="inlineStr">
        <is>
          <t>adet</t>
        </is>
      </c>
      <c r="H152" s="63" t="n">
        <v>9970</v>
      </c>
      <c r="I152" s="22" t="inlineStr">
        <is>
          <t>TRY</t>
        </is>
      </c>
      <c r="J152" s="22" t="inlineStr"/>
      <c r="K152" s="63" t="n">
        <v>4352.78276456915</v>
      </c>
      <c r="L152" s="22" t="inlineStr">
        <is>
          <t>2006.H</t>
        </is>
      </c>
      <c r="M152" s="22" t="n">
        <v>1</v>
      </c>
      <c r="N152" s="22" t="inlineStr">
        <is>
          <t>Bursa T2 Kent Meydanı-Terminal tramvayı (750 V DC, 11 istasyon, 6 cer TM: TR1-TR6, ihale 2015/51291); TL, 2015 kuru ~2,92-3,0 TL/€; malzeme+işçilik; fiyat kaynağı sütunu: HALUK ELK (ör. AKTİF=Aktif teklifi, ÇŞB/TEDAŞ birim fiyat, prysmian)</t>
        </is>
      </c>
    </row>
    <row r="153">
      <c r="A153" s="22" t="inlineStr">
        <is>
          <t>R00872</t>
        </is>
      </c>
      <c r="B153" s="22" t="inlineStr">
        <is>
          <t>Kent Meydani-Terminal Tram</t>
        </is>
      </c>
      <c r="C153" s="22" t="inlineStr">
        <is>
          <t>tramvay</t>
        </is>
      </c>
      <c r="D153" s="22" t="inlineStr">
        <is>
          <t>Haluk Elektrik</t>
        </is>
      </c>
      <c r="E153" s="22" t="inlineStr">
        <is>
          <t>2015-06-04</t>
        </is>
      </c>
      <c r="F153" s="22" t="inlineStr">
        <is>
          <t>BTR E111 Astronomik Zaman Rölesi (Aydınlatma Kontrolü için)</t>
        </is>
      </c>
      <c r="G153" s="22" t="inlineStr">
        <is>
          <t>adet</t>
        </is>
      </c>
      <c r="H153" s="63" t="n">
        <v>205.92</v>
      </c>
      <c r="I153" s="22" t="inlineStr">
        <is>
          <t>TRY</t>
        </is>
      </c>
      <c r="J153" s="22" t="inlineStr"/>
      <c r="K153" s="63" t="n">
        <v>89.9022093159557</v>
      </c>
      <c r="L153" s="22" t="inlineStr">
        <is>
          <t>5002.B</t>
        </is>
      </c>
      <c r="M153" s="22" t="n">
        <v>7</v>
      </c>
      <c r="N153" s="22" t="inlineStr">
        <is>
          <t>Bursa T2 Kent Meydanı-Terminal tramvayı (750 V DC, 11 istasyon, 6 cer TM: TR1-TR6, ihale 2015/51291); TL, 2015 kuru ~2,92-3,0 TL/€; malzeme+işçilik; fiyat kaynağı sütunu: ÇŞB-2015 (ör. AKTİF=Aktif teklifi, ÇŞB/TEDAŞ birim fiyat, prysmian)</t>
        </is>
      </c>
    </row>
    <row r="154">
      <c r="A154" s="22" t="inlineStr">
        <is>
          <t>R00874</t>
        </is>
      </c>
      <c r="B154" s="22" t="inlineStr">
        <is>
          <t>Kent Meydani-Terminal Tram</t>
        </is>
      </c>
      <c r="C154" s="22" t="inlineStr">
        <is>
          <t>tramvay</t>
        </is>
      </c>
      <c r="D154" s="22" t="inlineStr">
        <is>
          <t>Haluk Elektrik</t>
        </is>
      </c>
      <c r="E154" s="22" t="inlineStr">
        <is>
          <t>2015-06-04</t>
        </is>
      </c>
      <c r="F154" s="22" t="inlineStr">
        <is>
          <t>BTR E142 400 Voltta Güç Kondansatörü bataryaları (Kompanzasyon)</t>
        </is>
      </c>
      <c r="G154" s="22" t="inlineStr">
        <is>
          <t>kvar</t>
        </is>
      </c>
      <c r="H154" s="63" t="n">
        <v>42.9</v>
      </c>
      <c r="I154" s="22" t="inlineStr">
        <is>
          <t>TRY</t>
        </is>
      </c>
      <c r="J154" s="22" t="inlineStr"/>
      <c r="K154" s="63" t="n">
        <v>18.7296269408241</v>
      </c>
      <c r="L154" s="22" t="inlineStr">
        <is>
          <t>2003</t>
        </is>
      </c>
      <c r="M154" s="22" t="n">
        <v>2</v>
      </c>
      <c r="N154" s="22" t="inlineStr">
        <is>
          <t>Bursa T2 Kent Meydanı-Terminal tramvayı (750 V DC, 11 istasyon, 6 cer TM: TR1-TR6, ihale 2015/51291); TL, 2015 kuru ~2,92-3,0 TL/€; malzeme+işçilik; fiyat kaynağı sütunu: HALUK ELK (ör. AKTİF=Aktif teklifi, ÇŞB/TEDAŞ birim fiyat, prysmian)</t>
        </is>
      </c>
    </row>
    <row r="155">
      <c r="A155" s="22" t="inlineStr">
        <is>
          <t>R00876</t>
        </is>
      </c>
      <c r="B155" s="22" t="inlineStr">
        <is>
          <t>Kent Meydani-Terminal Tram</t>
        </is>
      </c>
      <c r="C155" s="22" t="inlineStr">
        <is>
          <t>tramvay</t>
        </is>
      </c>
      <c r="D155" s="22" t="inlineStr">
        <is>
          <t>Haluk Elektrik</t>
        </is>
      </c>
      <c r="E155" s="22" t="inlineStr">
        <is>
          <t>2015-06-04</t>
        </is>
      </c>
      <c r="F155" s="22" t="inlineStr">
        <is>
          <t>BTR E167 1200 kW 750 V Class VI Redresör</t>
        </is>
      </c>
      <c r="G155" s="22" t="inlineStr">
        <is>
          <t>adet</t>
        </is>
      </c>
      <c r="H155" s="63" t="n">
        <v>82400</v>
      </c>
      <c r="I155" s="22" t="inlineStr">
        <is>
          <t>TRY</t>
        </is>
      </c>
      <c r="J155" s="22" t="inlineStr"/>
      <c r="K155" s="63" t="n">
        <v>35974.8545436808</v>
      </c>
      <c r="L155" s="22" t="inlineStr">
        <is>
          <t>2007.A</t>
        </is>
      </c>
      <c r="M155" s="22" t="n">
        <v>2</v>
      </c>
      <c r="N155" s="22" t="inlineStr">
        <is>
          <t>Bursa T2 Kent Meydanı-Terminal tramvayı (750 V DC, 11 istasyon, 6 cer TM: TR1-TR6, ihale 2015/51291); TL, 2015 kuru ~2,92-3,0 TL/€; malzeme+işçilik; fiyat kaynağı sütunu: AKTİF (ör. AKTİF=Aktif teklifi, ÇŞB/TEDAŞ birim fiyat, prysmian)</t>
        </is>
      </c>
    </row>
    <row r="156">
      <c r="A156" s="22" t="inlineStr">
        <is>
          <t>R00877</t>
        </is>
      </c>
      <c r="B156" s="22" t="inlineStr">
        <is>
          <t>Kent Meydani-Terminal Tram</t>
        </is>
      </c>
      <c r="C156" s="22" t="inlineStr">
        <is>
          <t>tramvay</t>
        </is>
      </c>
      <c r="D156" s="22" t="inlineStr">
        <is>
          <t>Haluk Elektrik</t>
        </is>
      </c>
      <c r="E156" s="22" t="inlineStr">
        <is>
          <t>2015-06-04</t>
        </is>
      </c>
      <c r="F156" s="22" t="inlineStr">
        <is>
          <t>BTR E168 DC Fider Çıkış (Kesicili) Hücresi</t>
        </is>
      </c>
      <c r="G156" s="22" t="inlineStr">
        <is>
          <t>adet</t>
        </is>
      </c>
      <c r="H156" s="63" t="n">
        <v>102250</v>
      </c>
      <c r="I156" s="22" t="inlineStr">
        <is>
          <t>TRY</t>
        </is>
      </c>
      <c r="J156" s="22" t="inlineStr"/>
      <c r="K156" s="63" t="n">
        <v>44641.127149167</v>
      </c>
      <c r="L156" s="22" t="inlineStr">
        <is>
          <t>2007.A</t>
        </is>
      </c>
      <c r="M156" s="22" t="n">
        <v>2</v>
      </c>
      <c r="N156" s="22" t="inlineStr">
        <is>
          <t>Bursa T2 Kent Meydanı-Terminal tramvayı (750 V DC, 11 istasyon, 6 cer TM: TR1-TR6, ihale 2015/51291); TL, 2015 kuru ~2,92-3,0 TL/€; malzeme+işçilik; fiyat kaynağı sütunu: AKTİF (ör. AKTİF=Aktif teklifi, ÇŞB/TEDAŞ birim fiyat, prysmian)</t>
        </is>
      </c>
    </row>
    <row r="157">
      <c r="A157" s="22" t="inlineStr">
        <is>
          <t>R00878</t>
        </is>
      </c>
      <c r="B157" s="22" t="inlineStr">
        <is>
          <t>Kent Meydani-Terminal Tram</t>
        </is>
      </c>
      <c r="C157" s="22" t="inlineStr">
        <is>
          <t>tramvay</t>
        </is>
      </c>
      <c r="D157" s="22" t="inlineStr">
        <is>
          <t>Haluk Elektrik</t>
        </is>
      </c>
      <c r="E157" s="22" t="inlineStr">
        <is>
          <t>2015-06-04</t>
        </is>
      </c>
      <c r="F157" s="22" t="inlineStr">
        <is>
          <t>BTR E169 DC Negatif Geri Dönüş (Bara) Hüresi</t>
        </is>
      </c>
      <c r="G157" s="22" t="inlineStr">
        <is>
          <t>adet</t>
        </is>
      </c>
      <c r="H157" s="63" t="n">
        <v>96800</v>
      </c>
      <c r="I157" s="22" t="inlineStr">
        <is>
          <t>TRY</t>
        </is>
      </c>
      <c r="J157" s="22" t="inlineStr"/>
      <c r="K157" s="63" t="n">
        <v>42261.7223280134</v>
      </c>
      <c r="L157" s="22" t="inlineStr">
        <is>
          <t>2007.A</t>
        </is>
      </c>
      <c r="M157" s="22" t="n">
        <v>2</v>
      </c>
      <c r="N157" s="22" t="inlineStr">
        <is>
          <t>Bursa T2 Kent Meydanı-Terminal tramvayı (750 V DC, 11 istasyon, 6 cer TM: TR1-TR6, ihale 2015/51291); TL, 2015 kuru ~2,92-3,0 TL/€; malzeme+işçilik; fiyat kaynağı sütunu: AKTİF (ör. AKTİF=Aktif teklifi, ÇŞB/TEDAŞ birim fiyat, prysmian)</t>
        </is>
      </c>
    </row>
    <row r="158">
      <c r="A158" s="22" t="inlineStr">
        <is>
          <t>R00879</t>
        </is>
      </c>
      <c r="B158" s="22" t="inlineStr">
        <is>
          <t>Kent Meydani-Terminal Tram</t>
        </is>
      </c>
      <c r="C158" s="22" t="inlineStr">
        <is>
          <t>tramvay</t>
        </is>
      </c>
      <c r="D158" s="22" t="inlineStr">
        <is>
          <t>Haluk Elektrik</t>
        </is>
      </c>
      <c r="E158" s="22" t="inlineStr">
        <is>
          <t>2015-06-04</t>
        </is>
      </c>
      <c r="F158" s="22" t="inlineStr">
        <is>
          <t>BTR E170 36 kV 1250 A 25 kA Metal Cladet (LSC2B-PM) Giriş/Çıkış Ring Hücresi (SF6 Gazlı Kesicili-Arabalı)</t>
        </is>
      </c>
      <c r="G158" s="22" t="inlineStr">
        <is>
          <t>adet</t>
        </is>
      </c>
      <c r="H158" s="63" t="n">
        <v>69900</v>
      </c>
      <c r="I158" s="22" t="inlineStr">
        <is>
          <t>TRY</t>
        </is>
      </c>
      <c r="J158" s="22" t="inlineStr"/>
      <c r="K158" s="63" t="n">
        <v>30517.5040364477</v>
      </c>
      <c r="L158" s="22" t="inlineStr">
        <is>
          <t>2004.A</t>
        </is>
      </c>
      <c r="M158" s="22" t="n">
        <v>1</v>
      </c>
      <c r="N158" s="22" t="inlineStr">
        <is>
          <t>Bursa T2 Kent Meydanı-Terminal tramvayı (750 V DC, 11 istasyon, 6 cer TM: TR1-TR6, ihale 2015/51291); TL, 2015 kuru ~2,92-3,0 TL/€; malzeme+işçilik; fiyat kaynağı sütunu: AKTİF (ör. AKTİF=Aktif teklifi, ÇŞB/TEDAŞ birim fiyat, prysmian)</t>
        </is>
      </c>
    </row>
    <row r="159">
      <c r="A159" s="22" t="inlineStr">
        <is>
          <t>R00880</t>
        </is>
      </c>
      <c r="B159" s="22" t="inlineStr">
        <is>
          <t>Kent Meydani-Terminal Tram</t>
        </is>
      </c>
      <c r="C159" s="22" t="inlineStr">
        <is>
          <t>tramvay</t>
        </is>
      </c>
      <c r="D159" s="22" t="inlineStr">
        <is>
          <t>Haluk Elektrik</t>
        </is>
      </c>
      <c r="E159" s="22" t="inlineStr">
        <is>
          <t>2015-06-04</t>
        </is>
      </c>
      <c r="F159" s="22" t="inlineStr">
        <is>
          <t>BTR E171 36 kV Metal Cladet (LSC2B-PM) Akım-Gerilim Ölçü Hücresi</t>
        </is>
      </c>
      <c r="G159" s="22" t="inlineStr">
        <is>
          <t>adet</t>
        </is>
      </c>
      <c r="H159" s="63" t="n">
        <v>44100</v>
      </c>
      <c r="I159" s="22" t="inlineStr">
        <is>
          <t>TRY</t>
        </is>
      </c>
      <c r="J159" s="22" t="inlineStr"/>
      <c r="K159" s="63" t="n">
        <v>19253.5325895185</v>
      </c>
      <c r="L159" s="22" t="inlineStr">
        <is>
          <t>2004.D</t>
        </is>
      </c>
      <c r="M159" s="22" t="n">
        <v>1</v>
      </c>
      <c r="N159" s="22" t="inlineStr">
        <is>
          <t>Bursa T2 Kent Meydanı-Terminal tramvayı (750 V DC, 11 istasyon, 6 cer TM: TR1-TR6, ihale 2015/51291); TL, 2015 kuru ~2,92-3,0 TL/€; malzeme+işçilik; fiyat kaynağı sütunu: AKTİF (ör. AKTİF=Aktif teklifi, ÇŞB/TEDAŞ birim fiyat, prysmian)</t>
        </is>
      </c>
    </row>
    <row r="160">
      <c r="A160" s="22" t="inlineStr">
        <is>
          <t>R00881</t>
        </is>
      </c>
      <c r="B160" s="22" t="inlineStr">
        <is>
          <t>Kent Meydani-Terminal Tram</t>
        </is>
      </c>
      <c r="C160" s="22" t="inlineStr">
        <is>
          <t>tramvay</t>
        </is>
      </c>
      <c r="D160" s="22" t="inlineStr">
        <is>
          <t>Haluk Elektrik</t>
        </is>
      </c>
      <c r="E160" s="22" t="inlineStr">
        <is>
          <t>2015-06-04</t>
        </is>
      </c>
      <c r="F160" s="22" t="inlineStr">
        <is>
          <t>BTR E172 36 kV Metal Cladet (LSC2B-PM) Gerilim Ölçü Hücresi</t>
        </is>
      </c>
      <c r="G160" s="22" t="inlineStr">
        <is>
          <t>adet</t>
        </is>
      </c>
      <c r="H160" s="63" t="n">
        <v>31000</v>
      </c>
      <c r="I160" s="22" t="inlineStr">
        <is>
          <t>TRY</t>
        </is>
      </c>
      <c r="J160" s="22" t="inlineStr"/>
      <c r="K160" s="63" t="n">
        <v>13534.2292579382</v>
      </c>
      <c r="L160" s="22" t="inlineStr">
        <is>
          <t>2004.D</t>
        </is>
      </c>
      <c r="M160" s="22" t="n">
        <v>1</v>
      </c>
      <c r="N160" s="22" t="inlineStr">
        <is>
          <t>Bursa T2 Kent Meydanı-Terminal tramvayı (750 V DC, 11 istasyon, 6 cer TM: TR1-TR6, ihale 2015/51291); TL, 2015 kuru ~2,92-3,0 TL/€; malzeme+işçilik; fiyat kaynağı sütunu: AKTİF (ör. AKTİF=Aktif teklifi, ÇŞB/TEDAŞ birim fiyat, prysmian)</t>
        </is>
      </c>
    </row>
    <row r="161">
      <c r="A161" s="22" t="inlineStr">
        <is>
          <t>R00882</t>
        </is>
      </c>
      <c r="B161" s="22" t="inlineStr">
        <is>
          <t>Kent Meydani-Terminal Tram</t>
        </is>
      </c>
      <c r="C161" s="22" t="inlineStr">
        <is>
          <t>tramvay</t>
        </is>
      </c>
      <c r="D161" s="22" t="inlineStr">
        <is>
          <t>Haluk Elektrik</t>
        </is>
      </c>
      <c r="E161" s="22" t="inlineStr">
        <is>
          <t>2015-06-04</t>
        </is>
      </c>
      <c r="F161" s="22" t="inlineStr">
        <is>
          <t>BTR E173 36 kV, 1250A, 25 kA Metal Cladet (LSC2B-PM) Transformatör Koruma Hücresi (SF6 Gazlı Kesicili-Arabalı)</t>
        </is>
      </c>
      <c r="G161" s="22" t="inlineStr">
        <is>
          <t>adet</t>
        </is>
      </c>
      <c r="H161" s="63" t="n">
        <v>59850</v>
      </c>
      <c r="I161" s="22" t="inlineStr">
        <is>
          <t>TRY</t>
        </is>
      </c>
      <c r="J161" s="22" t="inlineStr"/>
      <c r="K161" s="63" t="n">
        <v>26129.7942286322</v>
      </c>
      <c r="L161" s="22" t="inlineStr">
        <is>
          <t>2004.B</t>
        </is>
      </c>
      <c r="M161" s="22" t="n">
        <v>2</v>
      </c>
      <c r="N161" s="22" t="inlineStr">
        <is>
          <t>Bursa T2 Kent Meydanı-Terminal tramvayı (750 V DC, 11 istasyon, 6 cer TM: TR1-TR6, ihale 2015/51291); TL, 2015 kuru ~2,92-3,0 TL/€; malzeme+işçilik; fiyat kaynağı sütunu: AKTİF (ör. AKTİF=Aktif teklifi, ÇŞB/TEDAŞ birim fiyat, prysmian)</t>
        </is>
      </c>
    </row>
    <row r="162">
      <c r="A162" s="22" t="inlineStr">
        <is>
          <t>R00886</t>
        </is>
      </c>
      <c r="B162" s="22" t="inlineStr">
        <is>
          <t>Kent Meydani-Terminal Tram</t>
        </is>
      </c>
      <c r="C162" s="22" t="inlineStr">
        <is>
          <t>tramvay</t>
        </is>
      </c>
      <c r="D162" s="22" t="inlineStr">
        <is>
          <t>Haluk Elektrik</t>
        </is>
      </c>
      <c r="E162" s="22" t="inlineStr">
        <is>
          <t>2015-06-04</t>
        </is>
      </c>
      <c r="F162" s="22" t="inlineStr">
        <is>
          <t>BTR E178 Reaktif (IGBT Tabanlı Gerçek Zamanlı Kadetemesiz) Kompanzasyon Sistemi Kurulması ve Devreye Alınması</t>
        </is>
      </c>
      <c r="G162" s="22" t="inlineStr">
        <is>
          <t>kvar</t>
        </is>
      </c>
      <c r="H162" s="63" t="n">
        <v>428</v>
      </c>
      <c r="I162" s="22" t="inlineStr">
        <is>
          <t>TRY</t>
        </is>
      </c>
      <c r="J162" s="22" t="inlineStr"/>
      <c r="K162" s="63" t="n">
        <v>186.859681367662</v>
      </c>
      <c r="L162" s="22" t="inlineStr">
        <is>
          <t>2003</t>
        </is>
      </c>
      <c r="M162" s="22" t="n">
        <v>1</v>
      </c>
      <c r="N162" s="22" t="inlineStr">
        <is>
          <t>Bursa T2 Kent Meydanı-Terminal tramvayı (750 V DC, 11 istasyon, 6 cer TM: TR1-TR6, ihale 2015/51291); TL, 2015 kuru ~2,92-3,0 TL/€; malzeme+işçilik; fiyat kaynağı sütunu: HALUK ELK (ör. AKTİF=Aktif teklifi, ÇŞB/TEDAŞ birim fiyat, prysmian)</t>
        </is>
      </c>
    </row>
    <row r="163">
      <c r="A163" s="22" t="inlineStr">
        <is>
          <t>R00888</t>
        </is>
      </c>
      <c r="B163" s="22" t="inlineStr">
        <is>
          <t>Kent Meydani-Terminal Tram</t>
        </is>
      </c>
      <c r="C163" s="22" t="inlineStr">
        <is>
          <t>tramvay</t>
        </is>
      </c>
      <c r="D163" s="22" t="inlineStr">
        <is>
          <t>Haluk Elektrik</t>
        </is>
      </c>
      <c r="E163" s="22" t="inlineStr">
        <is>
          <t>2015-06-04</t>
        </is>
      </c>
      <c r="F163" s="22" t="inlineStr">
        <is>
          <t>BTR E180 34.5 / 0.4 kV 630 kVA Kuru Tip İç İhtiyaç Trafosu</t>
        </is>
      </c>
      <c r="G163" s="22" t="inlineStr">
        <is>
          <t>adet</t>
        </is>
      </c>
      <c r="H163" s="63" t="n">
        <v>36500</v>
      </c>
      <c r="I163" s="22" t="inlineStr">
        <is>
          <t>TRY</t>
        </is>
      </c>
      <c r="J163" s="22" t="inlineStr"/>
      <c r="K163" s="63" t="n">
        <v>15935.4634811207</v>
      </c>
      <c r="L163" s="22" t="inlineStr">
        <is>
          <t>2005.A</t>
        </is>
      </c>
      <c r="M163" s="22" t="n">
        <v>1</v>
      </c>
      <c r="N163" s="22" t="inlineStr">
        <is>
          <t>Bursa T2 Kent Meydanı-Terminal tramvayı (750 V DC, 11 istasyon, 6 cer TM: TR1-TR6, ihale 2015/51291); TL, 2015 kuru ~2,92-3,0 TL/€; malzeme+işçilik; fiyat kaynağı sütunu: AKTİF (ör. AKTİF=Aktif teklifi, ÇŞB/TEDAŞ birim fiyat, prysmian)</t>
        </is>
      </c>
    </row>
    <row r="164">
      <c r="A164" s="22" t="inlineStr">
        <is>
          <t>R00890</t>
        </is>
      </c>
      <c r="B164" s="22" t="inlineStr">
        <is>
          <t>Kent Meydani-Terminal Tram</t>
        </is>
      </c>
      <c r="C164" s="22" t="inlineStr">
        <is>
          <t>tramvay</t>
        </is>
      </c>
      <c r="D164" s="22" t="inlineStr">
        <is>
          <t>Haluk Elektrik</t>
        </is>
      </c>
      <c r="E164" s="22" t="inlineStr">
        <is>
          <t>2015-06-04</t>
        </is>
      </c>
      <c r="F164" s="22" t="inlineStr">
        <is>
          <t>BTR E182 Demirtaş T.M. 34,5 kV Fider İlavesi</t>
        </is>
      </c>
      <c r="G164" s="22" t="inlineStr">
        <is>
          <t>set</t>
        </is>
      </c>
      <c r="H164" s="63" t="n">
        <v>90000</v>
      </c>
      <c r="I164" s="22" t="inlineStr">
        <is>
          <t>TRY</t>
        </is>
      </c>
      <c r="J164" s="22" t="inlineStr"/>
      <c r="K164" s="63" t="n">
        <v>39292.9236520785</v>
      </c>
      <c r="L164" s="22" t="inlineStr">
        <is>
          <t>2004.E</t>
        </is>
      </c>
      <c r="M164" s="22" t="n">
        <v>1</v>
      </c>
      <c r="N164" s="22" t="inlineStr">
        <is>
          <t>Bursa T2 Kent Meydanı-Terminal tramvayı (750 V DC, 11 istasyon, 6 cer TM: TR1-TR6, ihale 2015/51291); TL, 2015 kuru ~2,92-3,0 TL/€; malzeme+işçilik; fiyat kaynağı sütunu: MKARABACAK (ör. AKTİF=Aktif teklifi, ÇŞB/TEDAŞ birim fiyat, prysmian)</t>
        </is>
      </c>
    </row>
    <row r="165">
      <c r="A165" s="22" t="inlineStr">
        <is>
          <t>R00894</t>
        </is>
      </c>
      <c r="B165" s="22" t="inlineStr">
        <is>
          <t>Kent Meydani-Terminal Tram</t>
        </is>
      </c>
      <c r="C165" s="22" t="inlineStr">
        <is>
          <t>tramvay</t>
        </is>
      </c>
      <c r="D165" s="22" t="inlineStr">
        <is>
          <t>Haluk Elektrik</t>
        </is>
      </c>
      <c r="E165" s="22" t="inlineStr">
        <is>
          <t>2015-06-04</t>
        </is>
      </c>
      <c r="F165" s="22" t="inlineStr">
        <is>
          <t>BTR E186 İstasyon 220 VAC Kesintisiz Güç Kaynağı Temini ve Montajı (Aydınlatma Tesisatı İçin)</t>
        </is>
      </c>
      <c r="G165" s="22" t="inlineStr">
        <is>
          <t>adet</t>
        </is>
      </c>
      <c r="H165" s="63" t="n">
        <v>12144.2</v>
      </c>
      <c r="I165" s="22" t="inlineStr">
        <is>
          <t>TRY</t>
        </is>
      </c>
      <c r="J165" s="22" t="inlineStr"/>
      <c r="K165" s="63" t="n">
        <v>5302.01248239525</v>
      </c>
      <c r="L165" s="22" t="inlineStr">
        <is>
          <t>5002.B</t>
        </is>
      </c>
      <c r="M165" s="22" t="n">
        <v>7</v>
      </c>
      <c r="N165" s="22" t="inlineStr">
        <is>
          <t>Bursa T2 Kent Meydanı-Terminal tramvayı (750 V DC, 11 istasyon, 6 cer TM: TR1-TR6, ihale 2015/51291); TL, 2015 kuru ~2,92-3,0 TL/€; malzeme+işçilik; fiyat kaynağı sütunu: HALUK ELK (ör. AKTİF=Aktif teklifi, ÇŞB/TEDAŞ birim fiyat, prysmian)</t>
        </is>
      </c>
    </row>
    <row r="166">
      <c r="A166" s="22" t="inlineStr">
        <is>
          <t>R00895</t>
        </is>
      </c>
      <c r="B166" s="22" t="inlineStr">
        <is>
          <t>Kent Meydani-Terminal Tram</t>
        </is>
      </c>
      <c r="C166" s="22" t="inlineStr">
        <is>
          <t>tramvay</t>
        </is>
      </c>
      <c r="D166" s="22" t="inlineStr">
        <is>
          <t>Haluk Elektrik</t>
        </is>
      </c>
      <c r="E166" s="22" t="inlineStr">
        <is>
          <t>2015-06-04</t>
        </is>
      </c>
      <c r="F166" s="22" t="inlineStr">
        <is>
          <t>BTR E187 Hizmet Binası 220 VAC Kesintisiz Güç Kaynağı Temini ve Montajı (Aydınlatma Tesisatı İçin)</t>
        </is>
      </c>
      <c r="G166" s="22" t="inlineStr">
        <is>
          <t>adet</t>
        </is>
      </c>
      <c r="H166" s="63" t="n">
        <v>24128.2</v>
      </c>
      <c r="I166" s="22" t="inlineStr">
        <is>
          <t>TRY</t>
        </is>
      </c>
      <c r="J166" s="22" t="inlineStr"/>
      <c r="K166" s="63" t="n">
        <v>10534.0835606898</v>
      </c>
      <c r="L166" s="22" t="inlineStr">
        <is>
          <t>5002.G</t>
        </is>
      </c>
      <c r="M166" s="22" t="n">
        <v>1</v>
      </c>
      <c r="N166" s="22" t="inlineStr">
        <is>
          <t>Bursa T2 Kent Meydanı-Terminal tramvayı (750 V DC, 11 istasyon, 6 cer TM: TR1-TR6, ihale 2015/51291); TL, 2015 kuru ~2,92-3,0 TL/€; malzeme+işçilik; fiyat kaynağı sütunu: HALUK ELK (ör. AKTİF=Aktif teklifi, ÇŞB/TEDAŞ birim fiyat, prysmian)</t>
        </is>
      </c>
    </row>
    <row r="167">
      <c r="A167" s="22" t="inlineStr">
        <is>
          <t>R00896</t>
        </is>
      </c>
      <c r="B167" s="22" t="inlineStr">
        <is>
          <t>Kent Meydani-Terminal Tram</t>
        </is>
      </c>
      <c r="C167" s="22" t="inlineStr">
        <is>
          <t>tramvay</t>
        </is>
      </c>
      <c r="D167" s="22" t="inlineStr">
        <is>
          <t>Haluk Elektrik</t>
        </is>
      </c>
      <c r="E167" s="22" t="inlineStr">
        <is>
          <t>2015-06-04</t>
        </is>
      </c>
      <c r="F167" s="22" t="inlineStr">
        <is>
          <t>BTR E188 Ray Potansiyeli Sınırlama Cihazı ve Montajı</t>
        </is>
      </c>
      <c r="G167" s="22" t="inlineStr">
        <is>
          <t>adet</t>
        </is>
      </c>
      <c r="H167" s="63" t="n">
        <v>31650</v>
      </c>
      <c r="I167" s="22" t="inlineStr">
        <is>
          <t>TRY</t>
        </is>
      </c>
      <c r="J167" s="22" t="inlineStr"/>
      <c r="K167" s="63" t="n">
        <v>13818.0114843143</v>
      </c>
      <c r="L167" s="22" t="inlineStr">
        <is>
          <t>2007.A</t>
        </is>
      </c>
      <c r="M167" s="22" t="n">
        <v>3</v>
      </c>
      <c r="N167" s="22" t="inlineStr">
        <is>
          <t>Bursa T2 Kent Meydanı-Terminal tramvayı (750 V DC, 11 istasyon, 6 cer TM: TR1-TR6, ihale 2015/51291); TL, 2015 kuru ~2,92-3,0 TL/€; malzeme+işçilik; fiyat kaynağı sütunu: AKTİF (ör. AKTİF=Aktif teklifi, ÇŞB/TEDAŞ birim fiyat, prysmian)</t>
        </is>
      </c>
    </row>
    <row r="168">
      <c r="A168" s="22" t="inlineStr">
        <is>
          <t>R00897</t>
        </is>
      </c>
      <c r="B168" s="22" t="inlineStr">
        <is>
          <t>Kent Meydani-Terminal Tram</t>
        </is>
      </c>
      <c r="C168" s="22" t="inlineStr">
        <is>
          <t>tramvay</t>
        </is>
      </c>
      <c r="D168" s="22" t="inlineStr">
        <is>
          <t>Haluk Elektrik</t>
        </is>
      </c>
      <c r="E168" s="22" t="inlineStr">
        <is>
          <t>2015-06-04</t>
        </is>
      </c>
      <c r="F168" s="22" t="inlineStr">
        <is>
          <t>BTR E189 Hat Yapıları Kaçak Akım Toplama ve Korozyon Kontrolü</t>
        </is>
      </c>
      <c r="G168" s="22" t="inlineStr">
        <is>
          <t>set</t>
        </is>
      </c>
      <c r="H168" s="63" t="n">
        <v>200000</v>
      </c>
      <c r="I168" s="22" t="inlineStr">
        <is>
          <t>TRY</t>
        </is>
      </c>
      <c r="J168" s="22" t="inlineStr"/>
      <c r="K168" s="63" t="n">
        <v>87317.60811573009</v>
      </c>
      <c r="L168" s="22" t="inlineStr">
        <is>
          <t>2010.I</t>
        </is>
      </c>
      <c r="M168" s="22" t="n">
        <v>1</v>
      </c>
      <c r="N168" s="22" t="inlineStr">
        <is>
          <t>Bursa T2 Kent Meydanı-Terminal tramvayı (750 V DC, 11 istasyon, 6 cer TM: TR1-TR6, ihale 2015/51291); TL, 2015 kuru ~2,92-3,0 TL/€; malzeme+işçilik; fiyat kaynağı sütunu: 0 (ör. AKTİF=Aktif teklifi, ÇŞB/TEDAŞ birim fiyat, prysmian)</t>
        </is>
      </c>
    </row>
    <row r="169">
      <c r="A169" s="22" t="inlineStr">
        <is>
          <t>R00898</t>
        </is>
      </c>
      <c r="B169" s="22" t="inlineStr">
        <is>
          <t>Kent Meydani-Terminal Tram</t>
        </is>
      </c>
      <c r="C169" s="22" t="inlineStr">
        <is>
          <t>tramvay</t>
        </is>
      </c>
      <c r="D169" s="22" t="inlineStr">
        <is>
          <t>Haluk Elektrik</t>
        </is>
      </c>
      <c r="E169" s="22" t="inlineStr">
        <is>
          <t>2015-06-04</t>
        </is>
      </c>
      <c r="F169" s="22" t="inlineStr">
        <is>
          <t>BTR E190 İstasyon Kaçak Akım Toplama ve Korozyon Kontrolü</t>
        </is>
      </c>
      <c r="G169" s="22" t="inlineStr">
        <is>
          <t>set</t>
        </is>
      </c>
      <c r="H169" s="63" t="n">
        <v>9000</v>
      </c>
      <c r="I169" s="22" t="inlineStr">
        <is>
          <t>TRY</t>
        </is>
      </c>
      <c r="J169" s="22" t="inlineStr"/>
      <c r="K169" s="63" t="n">
        <v>3929.29236520785</v>
      </c>
      <c r="L169" s="22" t="inlineStr">
        <is>
          <t>2010.B</t>
        </is>
      </c>
      <c r="M169" s="22" t="n">
        <v>1</v>
      </c>
      <c r="N169" s="22" t="inlineStr">
        <is>
          <t>Bursa T2 Kent Meydanı-Terminal tramvayı (750 V DC, 11 istasyon, 6 cer TM: TR1-TR6, ihale 2015/51291); TL, 2015 kuru ~2,92-3,0 TL/€; malzeme+işçilik; fiyat kaynağı sütunu: 0 (ör. AKTİF=Aktif teklifi, ÇŞB/TEDAŞ birim fiyat, prysmian)</t>
        </is>
      </c>
    </row>
    <row r="170">
      <c r="A170" s="22" t="inlineStr">
        <is>
          <t>R00899</t>
        </is>
      </c>
      <c r="B170" s="22" t="inlineStr">
        <is>
          <t>Kent Meydani-Terminal Tram</t>
        </is>
      </c>
      <c r="C170" s="22" t="inlineStr">
        <is>
          <t>tramvay</t>
        </is>
      </c>
      <c r="D170" s="22" t="inlineStr">
        <is>
          <t>Haluk Elektrik</t>
        </is>
      </c>
      <c r="E170" s="22" t="inlineStr">
        <is>
          <t>2015-06-04</t>
        </is>
      </c>
      <c r="F170" s="22" t="inlineStr">
        <is>
          <t>BTR E191 Depo (Hizmet) Binası Kaçak Akım Toplama ve Korozyon Kontrolü</t>
        </is>
      </c>
      <c r="G170" s="22" t="inlineStr">
        <is>
          <t>set</t>
        </is>
      </c>
      <c r="H170" s="63" t="n">
        <v>60000</v>
      </c>
      <c r="I170" s="22" t="inlineStr">
        <is>
          <t>TRY</t>
        </is>
      </c>
      <c r="J170" s="22" t="inlineStr"/>
      <c r="K170" s="63" t="n">
        <v>26195.282434719</v>
      </c>
      <c r="L170" s="22" t="inlineStr">
        <is>
          <t>2010.G</t>
        </is>
      </c>
      <c r="M170" s="22" t="n">
        <v>1</v>
      </c>
      <c r="N170" s="22" t="inlineStr">
        <is>
          <t>Bursa T2 Kent Meydanı-Terminal tramvayı (750 V DC, 11 istasyon, 6 cer TM: TR1-TR6, ihale 2015/51291); TL, 2015 kuru ~2,92-3,0 TL/€; malzeme+işçilik; fiyat kaynağı sütunu: 0 (ör. AKTİF=Aktif teklifi, ÇŞB/TEDAŞ birim fiyat, prysmian)</t>
        </is>
      </c>
    </row>
    <row r="171">
      <c r="A171" s="22" t="inlineStr">
        <is>
          <t>R00900</t>
        </is>
      </c>
      <c r="B171" s="22" t="inlineStr">
        <is>
          <t>Kent Meydani-Terminal Tram</t>
        </is>
      </c>
      <c r="C171" s="22" t="inlineStr">
        <is>
          <t>tramvay</t>
        </is>
      </c>
      <c r="D171" s="22" t="inlineStr">
        <is>
          <t>Haluk Elektrik</t>
        </is>
      </c>
      <c r="E171" s="22" t="inlineStr">
        <is>
          <t>2015-06-04</t>
        </is>
      </c>
      <c r="F171" s="22" t="inlineStr">
        <is>
          <t>BTR E209 16 mm2 Çıplak Örgülü veya dolu (Cu) bakır tel</t>
        </is>
      </c>
      <c r="G171" s="22" t="inlineStr">
        <is>
          <t>metre</t>
        </is>
      </c>
      <c r="H171" s="63" t="n">
        <v>10.05</v>
      </c>
      <c r="I171" s="22" t="inlineStr">
        <is>
          <t>TRY</t>
        </is>
      </c>
      <c r="J171" s="22" t="inlineStr"/>
      <c r="K171" s="63" t="n">
        <v>4.38770980781544</v>
      </c>
      <c r="L171" s="22" t="inlineStr">
        <is>
          <t>2008.H</t>
        </is>
      </c>
      <c r="M171" s="22" t="n">
        <v>2</v>
      </c>
      <c r="N171" s="22" t="inlineStr">
        <is>
          <t>Bursa T2 Kent Meydanı-Terminal tramvayı (750 V DC, 11 istasyon, 6 cer TM: TR1-TR6, ihale 2015/51291); TL, 2015 kuru ~2,92-3,0 TL/€; malzeme+işçilik; fiyat kaynağı sütunu: prysmian (ör. AKTİF=Aktif teklifi, ÇŞB/TEDAŞ birim fiyat, prysmian)</t>
        </is>
      </c>
    </row>
    <row r="172">
      <c r="A172" s="22" t="inlineStr">
        <is>
          <t>R00901</t>
        </is>
      </c>
      <c r="B172" s="22" t="inlineStr">
        <is>
          <t>Kent Meydani-Terminal Tram</t>
        </is>
      </c>
      <c r="C172" s="22" t="inlineStr">
        <is>
          <t>tramvay</t>
        </is>
      </c>
      <c r="D172" s="22" t="inlineStr">
        <is>
          <t>Haluk Elektrik</t>
        </is>
      </c>
      <c r="E172" s="22" t="inlineStr">
        <is>
          <t>2015-06-04</t>
        </is>
      </c>
      <c r="F172" s="22" t="inlineStr">
        <is>
          <t>BTR E211 1 kV yeraltı kabloları ve besleme hattı (N2XH, 0,6/1 kV) 3x2,5 mm2</t>
        </is>
      </c>
      <c r="G172" s="22" t="inlineStr">
        <is>
          <t>metre</t>
        </is>
      </c>
      <c r="H172" s="63" t="n">
        <v>3.43</v>
      </c>
      <c r="I172" s="22" t="inlineStr">
        <is>
          <t>TRY</t>
        </is>
      </c>
      <c r="J172" s="22" t="inlineStr"/>
      <c r="K172" s="63" t="n">
        <v>1.49749697918477</v>
      </c>
      <c r="L172" s="22" t="inlineStr">
        <is>
          <t>5002.B</t>
        </is>
      </c>
      <c r="M172" s="22" t="n">
        <v>40</v>
      </c>
      <c r="N172" s="22" t="inlineStr">
        <is>
          <t>Bursa T2 Kent Meydanı-Terminal tramvayı (750 V DC, 11 istasyon, 6 cer TM: TR1-TR6, ihale 2015/51291); TL, 2015 kuru ~2,92-3,0 TL/€; malzeme+işçilik; fiyat kaynağı sütunu: prysmian (ör. AKTİF=Aktif teklifi, ÇŞB/TEDAŞ birim fiyat, prysmian)</t>
        </is>
      </c>
    </row>
    <row r="173">
      <c r="A173" s="22" t="inlineStr">
        <is>
          <t>R00902</t>
        </is>
      </c>
      <c r="B173" s="22" t="inlineStr">
        <is>
          <t>Kent Meydani-Terminal Tram</t>
        </is>
      </c>
      <c r="C173" s="22" t="inlineStr">
        <is>
          <t>tramvay</t>
        </is>
      </c>
      <c r="D173" s="22" t="inlineStr">
        <is>
          <t>Haluk Elektrik</t>
        </is>
      </c>
      <c r="E173" s="22" t="inlineStr">
        <is>
          <t>2015-06-04</t>
        </is>
      </c>
      <c r="F173" s="22" t="inlineStr">
        <is>
          <t>BTR E221 1 kV yeraltı kabloları ve besleme hattı (N2XH, 0,6/1 kV) 4x16 mm2</t>
        </is>
      </c>
      <c r="G173" s="22" t="inlineStr">
        <is>
          <t>metre</t>
        </is>
      </c>
      <c r="H173" s="63" t="n">
        <v>17.34</v>
      </c>
      <c r="I173" s="22" t="inlineStr">
        <is>
          <t>TRY</t>
        </is>
      </c>
      <c r="J173" s="22" t="inlineStr"/>
      <c r="K173" s="63" t="n">
        <v>7.5704366236338</v>
      </c>
      <c r="L173" s="22" t="inlineStr">
        <is>
          <t>2011.A</t>
        </is>
      </c>
      <c r="M173" s="22" t="n">
        <v>8</v>
      </c>
      <c r="N173" s="22" t="inlineStr">
        <is>
          <t>Bursa T2 Kent Meydanı-Terminal tramvayı (750 V DC, 11 istasyon, 6 cer TM: TR1-TR6, ihale 2015/51291); TL, 2015 kuru ~2,92-3,0 TL/€; malzeme+işçilik; fiyat kaynağı sütunu: prysmian (ör. AKTİF=Aktif teklifi, ÇŞB/TEDAŞ birim fiyat, prysmian)</t>
        </is>
      </c>
    </row>
    <row r="174">
      <c r="A174" s="22" t="inlineStr">
        <is>
          <t>R00903</t>
        </is>
      </c>
      <c r="B174" s="22" t="inlineStr">
        <is>
          <t>Kent Meydani-Terminal Tram</t>
        </is>
      </c>
      <c r="C174" s="22" t="inlineStr">
        <is>
          <t>tramvay</t>
        </is>
      </c>
      <c r="D174" s="22" t="inlineStr">
        <is>
          <t>Haluk Elektrik</t>
        </is>
      </c>
      <c r="E174" s="22" t="inlineStr">
        <is>
          <t>2015-06-04</t>
        </is>
      </c>
      <c r="F174" s="22" t="inlineStr">
        <is>
          <t>BTR E223 1 kV yeraltı kabloları ve besleme hattı (N2XH, 0,6/1 kV) 4x6 mm2</t>
        </is>
      </c>
      <c r="G174" s="22" t="inlineStr">
        <is>
          <t>metre</t>
        </is>
      </c>
      <c r="H174" s="63" t="n">
        <v>8.029999999999999</v>
      </c>
      <c r="I174" s="22" t="inlineStr">
        <is>
          <t>TRY</t>
        </is>
      </c>
      <c r="J174" s="22" t="inlineStr"/>
      <c r="K174" s="63" t="n">
        <v>3.50580196584656</v>
      </c>
      <c r="L174" s="22" t="inlineStr">
        <is>
          <t>2011.I</t>
        </is>
      </c>
      <c r="M174" s="22" t="n">
        <v>25</v>
      </c>
      <c r="N174" s="22" t="inlineStr">
        <is>
          <t>Bursa T2 Kent Meydanı-Terminal tramvayı (750 V DC, 11 istasyon, 6 cer TM: TR1-TR6, ihale 2015/51291); TL, 2015 kuru ~2,92-3,0 TL/€; malzeme+işçilik; fiyat kaynağı sütunu: prysmian (ör. AKTİF=Aktif teklifi, ÇŞB/TEDAŞ birim fiyat, prysmian)</t>
        </is>
      </c>
    </row>
    <row r="175">
      <c r="A175" s="22" t="inlineStr">
        <is>
          <t>R00904</t>
        </is>
      </c>
      <c r="B175" s="22" t="inlineStr">
        <is>
          <t>Kent Meydani-Terminal Tram</t>
        </is>
      </c>
      <c r="C175" s="22" t="inlineStr">
        <is>
          <t>tramvay</t>
        </is>
      </c>
      <c r="D175" s="22" t="inlineStr">
        <is>
          <t>Haluk Elektrik</t>
        </is>
      </c>
      <c r="E175" s="22" t="inlineStr">
        <is>
          <t>2015-06-04</t>
        </is>
      </c>
      <c r="F175" s="22" t="inlineStr">
        <is>
          <t>BTR E225 1 kV yeraltı kabloları ve besleme hattı (N2XH, 0,6/1 kV) 5x2,5 mm2</t>
        </is>
      </c>
      <c r="G175" s="22" t="inlineStr">
        <is>
          <t>metre</t>
        </is>
      </c>
      <c r="H175" s="63" t="n">
        <v>5.82</v>
      </c>
      <c r="I175" s="22" t="inlineStr">
        <is>
          <t>TRY</t>
        </is>
      </c>
      <c r="J175" s="22" t="inlineStr"/>
      <c r="K175" s="63" t="n">
        <v>2.54094239616775</v>
      </c>
      <c r="L175" s="22" t="inlineStr">
        <is>
          <t>5002.B</t>
        </is>
      </c>
      <c r="M175" s="22" t="n">
        <v>15</v>
      </c>
      <c r="N175" s="22" t="inlineStr">
        <is>
          <t>Bursa T2 Kent Meydanı-Terminal tramvayı (750 V DC, 11 istasyon, 6 cer TM: TR1-TR6, ihale 2015/51291); TL, 2015 kuru ~2,92-3,0 TL/€; malzeme+işçilik; fiyat kaynağı sütunu: prysmian (ör. AKTİF=Aktif teklifi, ÇŞB/TEDAŞ birim fiyat, prysmian)</t>
        </is>
      </c>
    </row>
    <row r="176">
      <c r="A176" s="22" t="inlineStr">
        <is>
          <t>R00905</t>
        </is>
      </c>
      <c r="B176" s="22" t="inlineStr">
        <is>
          <t>Kent Meydani-Terminal Tram</t>
        </is>
      </c>
      <c r="C176" s="22" t="inlineStr">
        <is>
          <t>tramvay</t>
        </is>
      </c>
      <c r="D176" s="22" t="inlineStr">
        <is>
          <t>Haluk Elektrik</t>
        </is>
      </c>
      <c r="E176" s="22" t="inlineStr">
        <is>
          <t>2015-06-04</t>
        </is>
      </c>
      <c r="F176" s="22" t="inlineStr">
        <is>
          <t>BTR E239 Sürekli yanan acil durum yönlendirme armatürü ve montajı (2 saat süreli ve çift yüzlü)</t>
        </is>
      </c>
      <c r="G176" s="22" t="inlineStr">
        <is>
          <t>adet</t>
        </is>
      </c>
      <c r="H176" s="63" t="n">
        <v>111.25</v>
      </c>
      <c r="I176" s="22" t="inlineStr">
        <is>
          <t>TRY</t>
        </is>
      </c>
      <c r="J176" s="22" t="inlineStr"/>
      <c r="K176" s="63" t="n">
        <v>48.5704195143749</v>
      </c>
      <c r="L176" s="22" t="inlineStr">
        <is>
          <t>5002.B</t>
        </is>
      </c>
      <c r="M176" s="22" t="n">
        <v>4</v>
      </c>
      <c r="N176" s="22" t="inlineStr">
        <is>
          <t>Bursa T2 Kent Meydanı-Terminal tramvayı (750 V DC, 11 istasyon, 6 cer TM: TR1-TR6, ihale 2015/51291); TL, 2015 kuru ~2,92-3,0 TL/€; malzeme+işçilik; fiyat kaynağı sütunu: ÇŞB-2015 (ör. AKTİF=Aktif teklifi, ÇŞB/TEDAŞ birim fiyat, prysmian)</t>
        </is>
      </c>
    </row>
    <row r="177">
      <c r="A177" s="22" t="inlineStr">
        <is>
          <t>R00906</t>
        </is>
      </c>
      <c r="B177" s="22" t="inlineStr">
        <is>
          <t>Kent Meydani-Terminal Tram</t>
        </is>
      </c>
      <c r="C177" s="22" t="inlineStr">
        <is>
          <t>tramvay</t>
        </is>
      </c>
      <c r="D177" s="22" t="inlineStr">
        <is>
          <t>Haluk Elektrik</t>
        </is>
      </c>
      <c r="E177" s="22" t="inlineStr">
        <is>
          <t>2015-06-04</t>
        </is>
      </c>
      <c r="F177" s="22" t="inlineStr">
        <is>
          <t>BTR E241 1 Çevrimli, 16 bölgeli akıllı analog adetresli yangın alarm santrali, 125 adetres kapasiteli, 16 yangın bölgesi göstergeli.</t>
        </is>
      </c>
      <c r="G177" s="22" t="inlineStr">
        <is>
          <t>adet</t>
        </is>
      </c>
      <c r="H177" s="63" t="n">
        <v>4011.3</v>
      </c>
      <c r="I177" s="22" t="inlineStr">
        <is>
          <t>TRY</t>
        </is>
      </c>
      <c r="J177" s="22" t="inlineStr"/>
      <c r="K177" s="63" t="n">
        <v>1751.28560717314</v>
      </c>
      <c r="L177" s="22" t="inlineStr">
        <is>
          <t>5004.B</t>
        </is>
      </c>
      <c r="M177" s="22" t="n">
        <v>10</v>
      </c>
      <c r="N177" s="22" t="inlineStr">
        <is>
          <t>Bursa T2 Kent Meydanı-Terminal tramvayı (750 V DC, 11 istasyon, 6 cer TM: TR1-TR6, ihale 2015/51291); TL, 2015 kuru ~2,92-3,0 TL/€; malzeme+işçilik; fiyat kaynağı sütunu: ÇŞB-2015 (ör. AKTİF=Aktif teklifi, ÇŞB/TEDAŞ birim fiyat, prysmian)</t>
        </is>
      </c>
    </row>
    <row r="178">
      <c r="A178" s="22" t="inlineStr">
        <is>
          <t>R00907</t>
        </is>
      </c>
      <c r="B178" s="22" t="inlineStr">
        <is>
          <t>Kent Meydani-Terminal Tram</t>
        </is>
      </c>
      <c r="C178" s="22" t="inlineStr">
        <is>
          <t>tramvay</t>
        </is>
      </c>
      <c r="D178" s="22" t="inlineStr">
        <is>
          <t>Haluk Elektrik</t>
        </is>
      </c>
      <c r="E178" s="22" t="inlineStr">
        <is>
          <t>2015-06-04</t>
        </is>
      </c>
      <c r="F178" s="22" t="inlineStr">
        <is>
          <t>BTR E242 16 Bölgeli akıllı analog adetresli yangın alarm tekrarlayıcı paneli</t>
        </is>
      </c>
      <c r="G178" s="22" t="inlineStr">
        <is>
          <t>adet</t>
        </is>
      </c>
      <c r="H178" s="63" t="n">
        <v>2453.6</v>
      </c>
      <c r="I178" s="22" t="inlineStr">
        <is>
          <t>TRY</t>
        </is>
      </c>
      <c r="J178" s="22" t="inlineStr"/>
      <c r="K178" s="63" t="n">
        <v>1071.21241636378</v>
      </c>
      <c r="L178" s="22" t="inlineStr">
        <is>
          <t>5004.B</t>
        </is>
      </c>
      <c r="M178" s="22" t="n">
        <v>2</v>
      </c>
      <c r="N178" s="22" t="inlineStr">
        <is>
          <t>Bursa T2 Kent Meydanı-Terminal tramvayı (750 V DC, 11 istasyon, 6 cer TM: TR1-TR6, ihale 2015/51291); TL, 2015 kuru ~2,92-3,0 TL/€; malzeme+işçilik; fiyat kaynağı sütunu: ÇŞB-2015 (ör. AKTİF=Aktif teklifi, ÇŞB/TEDAŞ birim fiyat, prysmian)</t>
        </is>
      </c>
    </row>
    <row r="179">
      <c r="A179" s="22" t="inlineStr">
        <is>
          <t>R00908</t>
        </is>
      </c>
      <c r="B179" s="22" t="inlineStr">
        <is>
          <t>Kent Meydani-Terminal Tram</t>
        </is>
      </c>
      <c r="C179" s="22" t="inlineStr">
        <is>
          <t>tramvay</t>
        </is>
      </c>
      <c r="D179" s="22" t="inlineStr">
        <is>
          <t>Haluk Elektrik</t>
        </is>
      </c>
      <c r="E179" s="22" t="inlineStr">
        <is>
          <t>2015-06-04</t>
        </is>
      </c>
      <c r="F179" s="22" t="inlineStr">
        <is>
          <t>BTR E243 Akıllı Analog adetresli optik duman detektörü</t>
        </is>
      </c>
      <c r="G179" s="22" t="inlineStr">
        <is>
          <t>adet</t>
        </is>
      </c>
      <c r="H179" s="63" t="n">
        <v>88.7</v>
      </c>
      <c r="I179" s="22" t="inlineStr">
        <is>
          <t>TRY</t>
        </is>
      </c>
      <c r="J179" s="22" t="inlineStr"/>
      <c r="K179" s="63" t="n">
        <v>38.7253591993263</v>
      </c>
      <c r="L179" s="22" t="inlineStr">
        <is>
          <t>5004.B</t>
        </is>
      </c>
      <c r="M179" s="22" t="n">
        <v>13</v>
      </c>
      <c r="N179" s="22" t="inlineStr">
        <is>
          <t>Bursa T2 Kent Meydanı-Terminal tramvayı (750 V DC, 11 istasyon, 6 cer TM: TR1-TR6, ihale 2015/51291); TL, 2015 kuru ~2,92-3,0 TL/€; malzeme+işçilik; fiyat kaynağı sütunu: ARTE (ör. AKTİF=Aktif teklifi, ÇŞB/TEDAŞ birim fiyat, prysmian)</t>
        </is>
      </c>
    </row>
    <row r="180">
      <c r="A180" s="22" t="inlineStr">
        <is>
          <t>R00909</t>
        </is>
      </c>
      <c r="B180" s="22" t="inlineStr">
        <is>
          <t>Kent Meydani-Terminal Tram</t>
        </is>
      </c>
      <c r="C180" s="22" t="inlineStr">
        <is>
          <t>tramvay</t>
        </is>
      </c>
      <c r="D180" s="22" t="inlineStr">
        <is>
          <t>Haluk Elektrik</t>
        </is>
      </c>
      <c r="E180" s="22" t="inlineStr">
        <is>
          <t>2015-06-04</t>
        </is>
      </c>
      <c r="F180" s="22" t="inlineStr">
        <is>
          <t>BTR E244 Akıllı Analog adetresli kombine optik, duman ve sıcaklık detektörü</t>
        </is>
      </c>
      <c r="G180" s="22" t="inlineStr">
        <is>
          <t>adet</t>
        </is>
      </c>
      <c r="H180" s="63" t="n">
        <v>121.15</v>
      </c>
      <c r="I180" s="22" t="inlineStr">
        <is>
          <t>TRY</t>
        </is>
      </c>
      <c r="J180" s="22" t="inlineStr"/>
      <c r="K180" s="63" t="n">
        <v>52.8926411161035</v>
      </c>
      <c r="L180" s="22" t="inlineStr">
        <is>
          <t>5004.B</t>
        </is>
      </c>
      <c r="M180" s="22" t="n">
        <v>4</v>
      </c>
      <c r="N180" s="22" t="inlineStr">
        <is>
          <t>Bursa T2 Kent Meydanı-Terminal tramvayı (750 V DC, 11 istasyon, 6 cer TM: TR1-TR6, ihale 2015/51291); TL, 2015 kuru ~2,92-3,0 TL/€; malzeme+işçilik; fiyat kaynağı sütunu: ARTE (ör. AKTİF=Aktif teklifi, ÇŞB/TEDAŞ birim fiyat, prysmian)</t>
        </is>
      </c>
    </row>
    <row r="181">
      <c r="A181" s="22" t="inlineStr">
        <is>
          <t>R00910</t>
        </is>
      </c>
      <c r="B181" s="22" t="inlineStr">
        <is>
          <t>Kent Meydani-Terminal Tram</t>
        </is>
      </c>
      <c r="C181" s="22" t="inlineStr">
        <is>
          <t>tramvay</t>
        </is>
      </c>
      <c r="D181" s="22" t="inlineStr">
        <is>
          <t>Haluk Elektrik</t>
        </is>
      </c>
      <c r="E181" s="22" t="inlineStr">
        <is>
          <t>2015-06-04</t>
        </is>
      </c>
      <c r="F181" s="22" t="inlineStr">
        <is>
          <t>BTR E245 Akıllı Analog adetresli sıfırlanabilir yangın ihbar butonu</t>
        </is>
      </c>
      <c r="G181" s="22" t="inlineStr">
        <is>
          <t>adet</t>
        </is>
      </c>
      <c r="H181" s="63" t="n">
        <v>87.59999999999999</v>
      </c>
      <c r="I181" s="22" t="inlineStr">
        <is>
          <t>TRY</t>
        </is>
      </c>
      <c r="J181" s="22" t="inlineStr"/>
      <c r="K181" s="63" t="n">
        <v>38.2451123546898</v>
      </c>
      <c r="L181" s="22" t="inlineStr">
        <is>
          <t>5004.B</t>
        </is>
      </c>
      <c r="M181" s="22" t="n">
        <v>13</v>
      </c>
      <c r="N181" s="22" t="inlineStr">
        <is>
          <t>Bursa T2 Kent Meydanı-Terminal tramvayı (750 V DC, 11 istasyon, 6 cer TM: TR1-TR6, ihale 2015/51291); TL, 2015 kuru ~2,92-3,0 TL/€; malzeme+işçilik; fiyat kaynağı sütunu: ARTE (ör. AKTİF=Aktif teklifi, ÇŞB/TEDAŞ birim fiyat, prysmian)</t>
        </is>
      </c>
    </row>
    <row r="182">
      <c r="A182" s="22" t="inlineStr">
        <is>
          <t>R00911</t>
        </is>
      </c>
      <c r="B182" s="22" t="inlineStr">
        <is>
          <t>Kent Meydani-Terminal Tram</t>
        </is>
      </c>
      <c r="C182" s="22" t="inlineStr">
        <is>
          <t>tramvay</t>
        </is>
      </c>
      <c r="D182" s="22" t="inlineStr">
        <is>
          <t>Haluk Elektrik</t>
        </is>
      </c>
      <c r="E182" s="22" t="inlineStr">
        <is>
          <t>2015-06-04</t>
        </is>
      </c>
      <c r="F182" s="22" t="inlineStr">
        <is>
          <t>BTR E246 Harici tip flaşörlü elektronik yangın ihbar sireni</t>
        </is>
      </c>
      <c r="G182" s="22" t="inlineStr">
        <is>
          <t>adet</t>
        </is>
      </c>
      <c r="H182" s="63" t="n">
        <v>130</v>
      </c>
      <c r="I182" s="22" t="inlineStr">
        <is>
          <t>TRY</t>
        </is>
      </c>
      <c r="J182" s="22" t="inlineStr"/>
      <c r="K182" s="63" t="n">
        <v>56.7564452752246</v>
      </c>
      <c r="L182" s="22" t="inlineStr">
        <is>
          <t>5004.B</t>
        </is>
      </c>
      <c r="M182" s="22" t="n">
        <v>13</v>
      </c>
      <c r="N182" s="22" t="inlineStr">
        <is>
          <t>Bursa T2 Kent Meydanı-Terminal tramvayı (750 V DC, 11 istasyon, 6 cer TM: TR1-TR6, ihale 2015/51291); TL, 2015 kuru ~2,92-3,0 TL/€; malzeme+işçilik; fiyat kaynağı sütunu: ARTE (ör. AKTİF=Aktif teklifi, ÇŞB/TEDAŞ birim fiyat, prysmian)</t>
        </is>
      </c>
    </row>
    <row r="183">
      <c r="A183" s="22" t="inlineStr">
        <is>
          <t>R00912</t>
        </is>
      </c>
      <c r="B183" s="22" t="inlineStr">
        <is>
          <t>Kent Meydani-Terminal Tram</t>
        </is>
      </c>
      <c r="C183" s="22" t="inlineStr">
        <is>
          <t>tramvay</t>
        </is>
      </c>
      <c r="D183" s="22" t="inlineStr">
        <is>
          <t>Haluk Elektrik</t>
        </is>
      </c>
      <c r="E183" s="22" t="inlineStr">
        <is>
          <t>2015-06-04</t>
        </is>
      </c>
      <c r="F183" s="22" t="inlineStr">
        <is>
          <t>BTR E247 Akıllı Anolog adetresli role modülü</t>
        </is>
      </c>
      <c r="G183" s="22" t="inlineStr">
        <is>
          <t>adet</t>
        </is>
      </c>
      <c r="H183" s="63" t="n">
        <v>184.7</v>
      </c>
      <c r="I183" s="22" t="inlineStr">
        <is>
          <t>TRY</t>
        </is>
      </c>
      <c r="J183" s="22" t="inlineStr"/>
      <c r="K183" s="63" t="n">
        <v>80.6378110948767</v>
      </c>
      <c r="L183" s="22" t="inlineStr">
        <is>
          <t>5004.B</t>
        </is>
      </c>
      <c r="M183" s="22" t="n">
        <v>11</v>
      </c>
      <c r="N183" s="22" t="inlineStr">
        <is>
          <t>Bursa T2 Kent Meydanı-Terminal tramvayı (750 V DC, 11 istasyon, 6 cer TM: TR1-TR6, ihale 2015/51291); TL, 2015 kuru ~2,92-3,0 TL/€; malzeme+işçilik; fiyat kaynağı sütunu: ARTE (ör. AKTİF=Aktif teklifi, ÇŞB/TEDAŞ birim fiyat, prysmian)</t>
        </is>
      </c>
    </row>
    <row r="184">
      <c r="A184" s="22" t="inlineStr">
        <is>
          <t>R00913</t>
        </is>
      </c>
      <c r="B184" s="22" t="inlineStr">
        <is>
          <t>Kent Meydani-Terminal Tram</t>
        </is>
      </c>
      <c r="C184" s="22" t="inlineStr">
        <is>
          <t>tramvay</t>
        </is>
      </c>
      <c r="D184" s="22" t="inlineStr">
        <is>
          <t>Haluk Elektrik</t>
        </is>
      </c>
      <c r="E184" s="22" t="inlineStr">
        <is>
          <t>2015-06-04</t>
        </is>
      </c>
      <c r="F184" s="22" t="inlineStr">
        <is>
          <t>BTR E248 Akıllı Anolog adetresli kontak izleme modülü</t>
        </is>
      </c>
      <c r="G184" s="22" t="inlineStr">
        <is>
          <t>adet</t>
        </is>
      </c>
      <c r="H184" s="63" t="n">
        <v>184.7</v>
      </c>
      <c r="I184" s="22" t="inlineStr">
        <is>
          <t>TRY</t>
        </is>
      </c>
      <c r="J184" s="22" t="inlineStr"/>
      <c r="K184" s="63" t="n">
        <v>80.6378110948767</v>
      </c>
      <c r="L184" s="22" t="inlineStr">
        <is>
          <t>5004.B</t>
        </is>
      </c>
      <c r="M184" s="22" t="n">
        <v>10</v>
      </c>
      <c r="N184" s="22" t="inlineStr">
        <is>
          <t>Bursa T2 Kent Meydanı-Terminal tramvayı (750 V DC, 11 istasyon, 6 cer TM: TR1-TR6, ihale 2015/51291); TL, 2015 kuru ~2,92-3,0 TL/€; malzeme+işçilik; fiyat kaynağı sütunu: ÇŞB-2015 (ör. AKTİF=Aktif teklifi, ÇŞB/TEDAŞ birim fiyat, prysmian)</t>
        </is>
      </c>
    </row>
    <row r="185">
      <c r="A185" s="22" t="inlineStr">
        <is>
          <t>R00914</t>
        </is>
      </c>
      <c r="B185" s="22" t="inlineStr">
        <is>
          <t>Kent Meydani-Terminal Tram</t>
        </is>
      </c>
      <c r="C185" s="22" t="inlineStr">
        <is>
          <t>tramvay</t>
        </is>
      </c>
      <c r="D185" s="22" t="inlineStr">
        <is>
          <t>Haluk Elektrik</t>
        </is>
      </c>
      <c r="E185" s="22" t="inlineStr">
        <is>
          <t>2015-06-04</t>
        </is>
      </c>
      <c r="F185" s="22" t="inlineStr">
        <is>
          <t>BTR E249 JH(St)H Halojensiz 2x2x1.5+1.5 mm2, yangın alarm kablosu</t>
        </is>
      </c>
      <c r="G185" s="22" t="inlineStr">
        <is>
          <t>metre</t>
        </is>
      </c>
      <c r="H185" s="63" t="n">
        <v>2.46</v>
      </c>
      <c r="I185" s="22" t="inlineStr">
        <is>
          <t>TRY</t>
        </is>
      </c>
      <c r="J185" s="22" t="inlineStr"/>
      <c r="K185" s="63" t="n">
        <v>1.07400657982348</v>
      </c>
      <c r="L185" s="22" t="inlineStr">
        <is>
          <t>5004.B</t>
        </is>
      </c>
      <c r="M185" s="22" t="n">
        <v>3</v>
      </c>
      <c r="N185" s="22" t="inlineStr">
        <is>
          <t>Bursa T2 Kent Meydanı-Terminal tramvayı (750 V DC, 11 istasyon, 6 cer TM: TR1-TR6, ihale 2015/51291); TL, 2015 kuru ~2,92-3,0 TL/€; malzeme+işçilik; fiyat kaynağı sütunu: prysmian (ör. AKTİF=Aktif teklifi, ÇŞB/TEDAŞ birim fiyat, prysmian)</t>
        </is>
      </c>
    </row>
    <row r="186">
      <c r="A186" s="22" t="inlineStr">
        <is>
          <t>R00915</t>
        </is>
      </c>
      <c r="B186" s="22" t="inlineStr">
        <is>
          <t>Kent Meydani-Terminal Tram</t>
        </is>
      </c>
      <c r="C186" s="22" t="inlineStr">
        <is>
          <t>tramvay</t>
        </is>
      </c>
      <c r="D186" s="22" t="inlineStr">
        <is>
          <t>Haluk Elektrik</t>
        </is>
      </c>
      <c r="E186" s="22" t="inlineStr">
        <is>
          <t>2015-06-04</t>
        </is>
      </c>
      <c r="F186" s="22" t="inlineStr">
        <is>
          <t>BTR E250 30x3,5 mm ebadetında Şartnamesine uygun galvanizli çelik lama (Bina-İstasyon topraklaması için)</t>
        </is>
      </c>
      <c r="G186" s="22" t="inlineStr">
        <is>
          <t>metre</t>
        </is>
      </c>
      <c r="H186" s="63" t="n">
        <v>6.25</v>
      </c>
      <c r="I186" s="22" t="inlineStr">
        <is>
          <t>TRY</t>
        </is>
      </c>
      <c r="J186" s="22" t="inlineStr"/>
      <c r="K186" s="63" t="n">
        <v>2.72867525361657</v>
      </c>
      <c r="L186" s="22" t="inlineStr">
        <is>
          <t>2008.H</t>
        </is>
      </c>
      <c r="M186" s="22" t="n">
        <v>11</v>
      </c>
      <c r="N186" s="22" t="inlineStr">
        <is>
          <t>Bursa T2 Kent Meydanı-Terminal tramvayı (750 V DC, 11 istasyon, 6 cer TM: TR1-TR6, ihale 2015/51291); TL, 2015 kuru ~2,92-3,0 TL/€; malzeme+işçilik; fiyat kaynağı sütunu: TEDAŞ-2014 (ör. AKTİF=Aktif teklifi, ÇŞB/TEDAŞ birim fiyat, prysmian)</t>
        </is>
      </c>
    </row>
    <row r="187">
      <c r="A187" s="22" t="inlineStr">
        <is>
          <t>R00916</t>
        </is>
      </c>
      <c r="B187" s="22" t="inlineStr">
        <is>
          <t>Kent Meydani-Terminal Tram</t>
        </is>
      </c>
      <c r="C187" s="22" t="inlineStr">
        <is>
          <t>tramvay</t>
        </is>
      </c>
      <c r="D187" s="22" t="inlineStr">
        <is>
          <t>Haluk Elektrik</t>
        </is>
      </c>
      <c r="E187" s="22" t="inlineStr">
        <is>
          <t>2015-06-04</t>
        </is>
      </c>
      <c r="F187" s="22" t="inlineStr">
        <is>
          <t>BTR E251 Toprak elektrodu (Çubuk) elektrolitik bakır (Q =20 mm çapında L=3,5 m boy)</t>
        </is>
      </c>
      <c r="G187" s="22" t="inlineStr">
        <is>
          <t>adet</t>
        </is>
      </c>
      <c r="H187" s="63" t="n">
        <v>350</v>
      </c>
      <c r="I187" s="22" t="inlineStr">
        <is>
          <t>TRY</t>
        </is>
      </c>
      <c r="J187" s="22" t="inlineStr"/>
      <c r="K187" s="63" t="n">
        <v>152.805814202528</v>
      </c>
      <c r="L187" s="22" t="inlineStr">
        <is>
          <t>2008.H</t>
        </is>
      </c>
      <c r="M187" s="22" t="n">
        <v>13</v>
      </c>
      <c r="N187" s="22" t="inlineStr">
        <is>
          <t>Bursa T2 Kent Meydanı-Terminal tramvayı (750 V DC, 11 istasyon, 6 cer TM: TR1-TR6, ihale 2015/51291); TL, 2015 kuru ~2,92-3,0 TL/€; malzeme+işçilik; fiyat kaynağı sütunu: ÖZEL (ör. AKTİF=Aktif teklifi, ÇŞB/TEDAŞ birim fiyat, prysmian)</t>
        </is>
      </c>
    </row>
    <row r="188">
      <c r="A188" s="22" t="inlineStr">
        <is>
          <t>R00917</t>
        </is>
      </c>
      <c r="B188" s="22" t="inlineStr">
        <is>
          <t>Kent Meydani-Terminal Tram</t>
        </is>
      </c>
      <c r="C188" s="22" t="inlineStr">
        <is>
          <t>tramvay</t>
        </is>
      </c>
      <c r="D188" s="22" t="inlineStr">
        <is>
          <t>Haluk Elektrik</t>
        </is>
      </c>
      <c r="E188" s="22" t="inlineStr">
        <is>
          <t>2015-06-04</t>
        </is>
      </c>
      <c r="F188" s="22" t="inlineStr">
        <is>
          <t>BTR E252 Saç pano 800 mm. (800 mm genişlik 2100 mm yükseklik)</t>
        </is>
      </c>
      <c r="G188" s="22" t="inlineStr">
        <is>
          <t>adet</t>
        </is>
      </c>
      <c r="H188" s="63" t="n">
        <v>1550</v>
      </c>
      <c r="I188" s="22" t="inlineStr">
        <is>
          <t>TRY</t>
        </is>
      </c>
      <c r="J188" s="22" t="inlineStr"/>
      <c r="K188" s="63" t="n">
        <v>676.711462896908</v>
      </c>
      <c r="L188" s="22" t="inlineStr">
        <is>
          <t>2006.B</t>
        </is>
      </c>
      <c r="M188" s="22" t="n">
        <v>6</v>
      </c>
      <c r="N188" s="22" t="inlineStr">
        <is>
          <t>Bursa T2 Kent Meydanı-Terminal tramvayı (750 V DC, 11 istasyon, 6 cer TM: TR1-TR6, ihale 2015/51291); TL, 2015 kuru ~2,92-3,0 TL/€; malzeme+işçilik; fiyat kaynağı sütunu: HALUK ELK (ör. AKTİF=Aktif teklifi, ÇŞB/TEDAŞ birim fiyat, prysmian)</t>
        </is>
      </c>
    </row>
    <row r="189">
      <c r="A189" s="22" t="inlineStr">
        <is>
          <t>R00920</t>
        </is>
      </c>
      <c r="B189" s="22" t="inlineStr">
        <is>
          <t>Kent Meydani-Terminal Tram</t>
        </is>
      </c>
      <c r="C189" s="22" t="inlineStr">
        <is>
          <t>tramvay</t>
        </is>
      </c>
      <c r="D189" s="22" t="inlineStr">
        <is>
          <t>Haluk Elektrik</t>
        </is>
      </c>
      <c r="E189" s="22" t="inlineStr">
        <is>
          <t>2015-06-04</t>
        </is>
      </c>
      <c r="F189" s="22" t="inlineStr">
        <is>
          <t>BTR E298 Pano Tipi Aşırı Gerilim Koruyucusu B Sınıfı,230 VAC, 3 faz-nötr-toprak</t>
        </is>
      </c>
      <c r="G189" s="22" t="inlineStr">
        <is>
          <t>adet</t>
        </is>
      </c>
      <c r="H189" s="63" t="n">
        <v>420.2</v>
      </c>
      <c r="I189" s="22" t="inlineStr">
        <is>
          <t>TRY</t>
        </is>
      </c>
      <c r="J189" s="22" t="inlineStr"/>
      <c r="K189" s="63" t="n">
        <v>183.454294651149</v>
      </c>
      <c r="L189" s="22" t="inlineStr">
        <is>
          <t>2006.B</t>
        </is>
      </c>
      <c r="M189" s="22" t="n">
        <v>7</v>
      </c>
      <c r="N189" s="22" t="inlineStr">
        <is>
          <t>Bursa T2 Kent Meydanı-Terminal tramvayı (750 V DC, 11 istasyon, 6 cer TM: TR1-TR6, ihale 2015/51291); TL, 2015 kuru ~2,92-3,0 TL/€; malzeme+işçilik; fiyat kaynağı sütunu: HALUK ELK (ör. AKTİF=Aktif teklifi, ÇŞB/TEDAŞ birim fiyat, prysmian)</t>
        </is>
      </c>
    </row>
    <row r="190">
      <c r="A190" s="22" t="inlineStr">
        <is>
          <t>R00921</t>
        </is>
      </c>
      <c r="B190" s="22" t="inlineStr">
        <is>
          <t>Kent Meydani-Terminal Tram</t>
        </is>
      </c>
      <c r="C190" s="22" t="inlineStr">
        <is>
          <t>tramvay</t>
        </is>
      </c>
      <c r="D190" s="22" t="inlineStr">
        <is>
          <t>Haluk Elektrik</t>
        </is>
      </c>
      <c r="E190" s="22" t="inlineStr">
        <is>
          <t>2015-06-04</t>
        </is>
      </c>
      <c r="F190" s="22" t="inlineStr">
        <is>
          <t>BTR E299 41 W Sıvaüstü 120 cm. Led Etanj Armatür (IP 65)</t>
        </is>
      </c>
      <c r="G190" s="22" t="inlineStr">
        <is>
          <t>adet</t>
        </is>
      </c>
      <c r="H190" s="63" t="n">
        <v>284</v>
      </c>
      <c r="I190" s="22" t="inlineStr">
        <is>
          <t>TRY</t>
        </is>
      </c>
      <c r="J190" s="22" t="inlineStr"/>
      <c r="K190" s="63" t="n">
        <v>123.991003524337</v>
      </c>
      <c r="L190" s="22" t="inlineStr">
        <is>
          <t>5002.B</t>
        </is>
      </c>
      <c r="M190" s="22" t="n">
        <v>23</v>
      </c>
      <c r="N190" s="22" t="inlineStr">
        <is>
          <t>Bursa T2 Kent Meydanı-Terminal tramvayı (750 V DC, 11 istasyon, 6 cer TM: TR1-TR6, ihale 2015/51291); TL, 2015 kuru ~2,92-3,0 TL/€; malzeme+işçilik; fiyat kaynağı sütunu: HALUK ELK (ör. AKTİF=Aktif teklifi, ÇŞB/TEDAŞ birim fiyat, prysmian)</t>
        </is>
      </c>
    </row>
    <row r="191">
      <c r="A191" s="22" t="inlineStr">
        <is>
          <t>R00922</t>
        </is>
      </c>
      <c r="B191" s="22" t="inlineStr">
        <is>
          <t>Kent Meydani-Terminal Tram</t>
        </is>
      </c>
      <c r="C191" s="22" t="inlineStr">
        <is>
          <t>tramvay</t>
        </is>
      </c>
      <c r="D191" s="22" t="inlineStr">
        <is>
          <t>Haluk Elektrik</t>
        </is>
      </c>
      <c r="E191" s="22" t="inlineStr">
        <is>
          <t>2015-06-04</t>
        </is>
      </c>
      <c r="F191" s="22" t="inlineStr">
        <is>
          <t>BTR E300 23 W Sıva Üstü 120 cm Led Etanj Armatür (IP 65)</t>
        </is>
      </c>
      <c r="G191" s="22" t="inlineStr">
        <is>
          <t>adet</t>
        </is>
      </c>
      <c r="H191" s="63" t="n">
        <v>215.8</v>
      </c>
      <c r="I191" s="22" t="inlineStr">
        <is>
          <t>TRY</t>
        </is>
      </c>
      <c r="J191" s="22" t="inlineStr"/>
      <c r="K191" s="63" t="n">
        <v>94.2156991568728</v>
      </c>
      <c r="L191" s="22" t="inlineStr">
        <is>
          <t>5002.B</t>
        </is>
      </c>
      <c r="M191" s="22" t="n">
        <v>20</v>
      </c>
      <c r="N191" s="22" t="inlineStr">
        <is>
          <t>Bursa T2 Kent Meydanı-Terminal tramvayı (750 V DC, 11 istasyon, 6 cer TM: TR1-TR6, ihale 2015/51291); TL, 2015 kuru ~2,92-3,0 TL/€; malzeme+işçilik; fiyat kaynağı sütunu: HALUK ELK (ör. AKTİF=Aktif teklifi, ÇŞB/TEDAŞ birim fiyat, prysmian)</t>
        </is>
      </c>
    </row>
    <row r="192">
      <c r="A192" s="22" t="inlineStr">
        <is>
          <t>R00923</t>
        </is>
      </c>
      <c r="B192" s="22" t="inlineStr">
        <is>
          <t>Kent Meydani-Terminal Tram</t>
        </is>
      </c>
      <c r="C192" s="22" t="inlineStr">
        <is>
          <t>tramvay</t>
        </is>
      </c>
      <c r="D192" s="22" t="inlineStr">
        <is>
          <t>Haluk Elektrik</t>
        </is>
      </c>
      <c r="E192" s="22" t="inlineStr">
        <is>
          <t>2015-06-04</t>
        </is>
      </c>
      <c r="F192" s="22" t="inlineStr">
        <is>
          <t>BTR E301 19 W Sıva Üstü 60 cm Led Etanj Armatür (IP 65)</t>
        </is>
      </c>
      <c r="G192" s="22" t="inlineStr">
        <is>
          <t>adet</t>
        </is>
      </c>
      <c r="H192" s="63" t="n">
        <v>136</v>
      </c>
      <c r="I192" s="22" t="inlineStr">
        <is>
          <t>TRY</t>
        </is>
      </c>
      <c r="J192" s="22" t="inlineStr"/>
      <c r="K192" s="63" t="n">
        <v>59.3759735186965</v>
      </c>
      <c r="L192" s="22" t="inlineStr">
        <is>
          <t>5002.B</t>
        </is>
      </c>
      <c r="M192" s="22" t="n">
        <v>2</v>
      </c>
      <c r="N192" s="22" t="inlineStr">
        <is>
          <t>Bursa T2 Kent Meydanı-Terminal tramvayı (750 V DC, 11 istasyon, 6 cer TM: TR1-TR6, ihale 2015/51291); TL, 2015 kuru ~2,92-3,0 TL/€; malzeme+işçilik; fiyat kaynağı sütunu: HALUK ELK (ör. AKTİF=Aktif teklifi, ÇŞB/TEDAŞ birim fiyat, prysmian)</t>
        </is>
      </c>
    </row>
    <row r="193">
      <c r="A193" s="22" t="inlineStr">
        <is>
          <t>R00924</t>
        </is>
      </c>
      <c r="B193" s="22" t="inlineStr">
        <is>
          <t>Kent Meydani-Terminal Tram</t>
        </is>
      </c>
      <c r="C193" s="22" t="inlineStr">
        <is>
          <t>tramvay</t>
        </is>
      </c>
      <c r="D193" s="22" t="inlineStr">
        <is>
          <t>Haluk Elektrik</t>
        </is>
      </c>
      <c r="E193" s="22" t="inlineStr">
        <is>
          <t>2015-06-04</t>
        </is>
      </c>
      <c r="F193" s="22" t="inlineStr">
        <is>
          <t>BTR E302 31 W Sıva Üstü (60x60 cm) Led Kare Armatür (IP 20)</t>
        </is>
      </c>
      <c r="G193" s="22" t="inlineStr">
        <is>
          <t>adet</t>
        </is>
      </c>
      <c r="H193" s="63" t="n">
        <v>143.2</v>
      </c>
      <c r="I193" s="22" t="inlineStr">
        <is>
          <t>TRY</t>
        </is>
      </c>
      <c r="J193" s="22" t="inlineStr"/>
      <c r="K193" s="63" t="n">
        <v>62.5194074108627</v>
      </c>
      <c r="L193" s="22" t="inlineStr">
        <is>
          <t>5002.G</t>
        </is>
      </c>
      <c r="M193" s="22" t="n">
        <v>3</v>
      </c>
      <c r="N193" s="22" t="inlineStr">
        <is>
          <t>Bursa T2 Kent Meydanı-Terminal tramvayı (750 V DC, 11 istasyon, 6 cer TM: TR1-TR6, ihale 2015/51291); TL, 2015 kuru ~2,92-3,0 TL/€; malzeme+işçilik; fiyat kaynağı sütunu: HALUK ELK (ör. AKTİF=Aktif teklifi, ÇŞB/TEDAŞ birim fiyat, prysmian)</t>
        </is>
      </c>
    </row>
    <row r="194">
      <c r="A194" s="22" t="inlineStr">
        <is>
          <t>R00925</t>
        </is>
      </c>
      <c r="B194" s="22" t="inlineStr">
        <is>
          <t>Kent Meydani-Terminal Tram</t>
        </is>
      </c>
      <c r="C194" s="22" t="inlineStr">
        <is>
          <t>tramvay</t>
        </is>
      </c>
      <c r="D194" s="22" t="inlineStr">
        <is>
          <t>Haluk Elektrik</t>
        </is>
      </c>
      <c r="E194" s="22" t="inlineStr">
        <is>
          <t>2015-06-04</t>
        </is>
      </c>
      <c r="F194" s="22" t="inlineStr">
        <is>
          <t>BTR E303 24 W Sıva Üstü (15 cm) Led Downlight Armatür (IP 20)</t>
        </is>
      </c>
      <c r="G194" s="22" t="inlineStr">
        <is>
          <t>adet</t>
        </is>
      </c>
      <c r="H194" s="63" t="n">
        <v>75.5</v>
      </c>
      <c r="I194" s="22" t="inlineStr">
        <is>
          <t>TRY</t>
        </is>
      </c>
      <c r="J194" s="22" t="inlineStr"/>
      <c r="K194" s="63" t="n">
        <v>32.9623970636881</v>
      </c>
      <c r="L194" s="22" t="inlineStr">
        <is>
          <t>5002.G</t>
        </is>
      </c>
      <c r="M194" s="22" t="n">
        <v>3</v>
      </c>
      <c r="N194" s="22" t="inlineStr">
        <is>
          <t>Bursa T2 Kent Meydanı-Terminal tramvayı (750 V DC, 11 istasyon, 6 cer TM: TR1-TR6, ihale 2015/51291); TL, 2015 kuru ~2,92-3,0 TL/€; malzeme+işçilik; fiyat kaynağı sütunu: HALUK ELK (ör. AKTİF=Aktif teklifi, ÇŞB/TEDAŞ birim fiyat, prysmian)</t>
        </is>
      </c>
    </row>
    <row r="195">
      <c r="A195" s="22" t="inlineStr">
        <is>
          <t>R00926</t>
        </is>
      </c>
      <c r="B195" s="22" t="inlineStr">
        <is>
          <t>Kent Meydani-Terminal Tram</t>
        </is>
      </c>
      <c r="C195" s="22" t="inlineStr">
        <is>
          <t>tramvay</t>
        </is>
      </c>
      <c r="D195" s="22" t="inlineStr">
        <is>
          <t>Haluk Elektrik</t>
        </is>
      </c>
      <c r="E195" s="22" t="inlineStr">
        <is>
          <t>2015-06-04</t>
        </is>
      </c>
      <c r="F195" s="22" t="inlineStr">
        <is>
          <t>BTR E304 Elektronik adetreslenebilir İnteraktif Yangın Alarm Kontrol Paneli;4 Loop 504 adetres Kapasitesine Genişliyebilir, 2x1,5mm2 Kablo ile 3000m Loop uzunluğu, 4x20 Karakter LCD Gösterge, Programlama ve Kontrol için Tuş Takımı, Tanımlanabilir 128 Yangın ALarm Bölgesi, LED Gösterge, Alrm, Arıza ve Siren ÇIkışı, Besleme ve Akü Şarj Ünitesi ile Birlikte, 2 adet Interaktif Power Loop Kartı; 252 adetres Kapasiteli Programlanabilir 8xOC Çıkışlı. 24V/7Ah Bakım gerektirmeyen akü ve 24V DC akü şarj ünitesi dahil.</t>
        </is>
      </c>
      <c r="G195" s="22" t="inlineStr">
        <is>
          <t>adet</t>
        </is>
      </c>
      <c r="H195" s="63" t="n">
        <v>6450</v>
      </c>
      <c r="I195" s="22" t="inlineStr">
        <is>
          <t>TRY</t>
        </is>
      </c>
      <c r="J195" s="22" t="inlineStr"/>
      <c r="K195" s="63" t="n">
        <v>2815.9928617323</v>
      </c>
      <c r="L195" s="22" t="inlineStr">
        <is>
          <t>5004.G</t>
        </is>
      </c>
      <c r="M195" s="22" t="n">
        <v>1</v>
      </c>
      <c r="N195" s="22" t="inlineStr">
        <is>
          <t>Bursa T2 Kent Meydanı-Terminal tramvayı (750 V DC, 11 istasyon, 6 cer TM: TR1-TR6, ihale 2015/51291); TL, 2015 kuru ~2,92-3,0 TL/€; malzeme+işçilik; fiyat kaynağı sütunu: ARTE (ör. AKTİF=Aktif teklifi, ÇŞB/TEDAŞ birim fiyat, prysmian)</t>
        </is>
      </c>
    </row>
    <row r="196">
      <c r="A196" s="22" t="inlineStr">
        <is>
          <t>R00927</t>
        </is>
      </c>
      <c r="B196" s="22" t="inlineStr">
        <is>
          <t>Kent Meydani-Terminal Tram</t>
        </is>
      </c>
      <c r="C196" s="22" t="inlineStr">
        <is>
          <t>tramvay</t>
        </is>
      </c>
      <c r="D196" s="22" t="inlineStr">
        <is>
          <t>Haluk Elektrik</t>
        </is>
      </c>
      <c r="E196" s="22" t="inlineStr">
        <is>
          <t>2015-06-04</t>
        </is>
      </c>
      <c r="F196" s="22" t="inlineStr">
        <is>
          <t>BTR E309 Fireray Reflektörlü Işın Tipi Duman Dedektörü, Ayarlanabilir 5-100m Açıklık Mesafesi, 15m Koruma Eni, Işın Verici, Reflektör ve Kontrol Ünitesi İle Birlikte</t>
        </is>
      </c>
      <c r="G196" s="22" t="inlineStr">
        <is>
          <t>adet</t>
        </is>
      </c>
      <c r="H196" s="63" t="n">
        <v>2036.4</v>
      </c>
      <c r="I196" s="22" t="inlineStr">
        <is>
          <t>TRY</t>
        </is>
      </c>
      <c r="J196" s="22" t="inlineStr"/>
      <c r="K196" s="63" t="n">
        <v>889.067885834364</v>
      </c>
      <c r="L196" s="22" t="inlineStr">
        <is>
          <t>5004.B</t>
        </is>
      </c>
      <c r="M196" s="22" t="n">
        <v>7</v>
      </c>
      <c r="N196" s="22" t="inlineStr">
        <is>
          <t>Bursa T2 Kent Meydanı-Terminal tramvayı (750 V DC, 11 istasyon, 6 cer TM: TR1-TR6, ihale 2015/51291); TL, 2015 kuru ~2,92-3,0 TL/€; malzeme+işçilik; fiyat kaynağı sütunu: ARTE (ör. AKTİF=Aktif teklifi, ÇŞB/TEDAŞ birim fiyat, prysmian)</t>
        </is>
      </c>
    </row>
    <row r="197">
      <c r="A197" s="22" t="inlineStr">
        <is>
          <t>R00929</t>
        </is>
      </c>
      <c r="B197" s="22" t="inlineStr">
        <is>
          <t>Kent Meydani-Terminal Tram</t>
        </is>
      </c>
      <c r="C197" s="22" t="inlineStr">
        <is>
          <t>tramvay</t>
        </is>
      </c>
      <c r="D197" s="22" t="inlineStr">
        <is>
          <t>Haluk Elektrik</t>
        </is>
      </c>
      <c r="E197" s="22" t="inlineStr">
        <is>
          <t>2015-06-04</t>
        </is>
      </c>
      <c r="F197" s="22" t="inlineStr">
        <is>
          <t>BTR E342 Normal sorti halogenfree aydınlatma sortisi</t>
        </is>
      </c>
      <c r="G197" s="22" t="inlineStr">
        <is>
          <t>adet</t>
        </is>
      </c>
      <c r="H197" s="63" t="n">
        <v>58</v>
      </c>
      <c r="I197" s="22" t="inlineStr">
        <is>
          <t>TRY</t>
        </is>
      </c>
      <c r="J197" s="22" t="inlineStr"/>
      <c r="K197" s="63" t="n">
        <v>25.3221063535617</v>
      </c>
      <c r="L197" s="22" t="inlineStr">
        <is>
          <t>5002.B</t>
        </is>
      </c>
      <c r="M197" s="22" t="n">
        <v>2</v>
      </c>
      <c r="N197" s="22" t="inlineStr">
        <is>
          <t>Bursa T2 Kent Meydanı-Terminal tramvayı (750 V DC, 11 istasyon, 6 cer TM: TR1-TR6, ihale 2015/51291); TL, 2015 kuru ~2,92-3,0 TL/€; malzeme+işçilik; fiyat kaynağı sütunu: ÇŞB-2015 (ör. AKTİF=Aktif teklifi, ÇŞB/TEDAŞ birim fiyat, prysmian)</t>
        </is>
      </c>
    </row>
    <row r="198">
      <c r="A198" s="22" t="inlineStr">
        <is>
          <t>R00930</t>
        </is>
      </c>
      <c r="B198" s="22" t="inlineStr">
        <is>
          <t>Kent Meydani-Terminal Tram</t>
        </is>
      </c>
      <c r="C198" s="22" t="inlineStr">
        <is>
          <t>tramvay</t>
        </is>
      </c>
      <c r="D198" s="22" t="inlineStr">
        <is>
          <t>Haluk Elektrik</t>
        </is>
      </c>
      <c r="E198" s="22" t="inlineStr">
        <is>
          <t>2015-06-04</t>
        </is>
      </c>
      <c r="F198" s="22" t="inlineStr">
        <is>
          <t>BTR E345 Paralel sorti halogenfree aydınlatma sortisi</t>
        </is>
      </c>
      <c r="G198" s="22" t="inlineStr">
        <is>
          <t>adet</t>
        </is>
      </c>
      <c r="H198" s="63" t="n">
        <v>26.5</v>
      </c>
      <c r="I198" s="22" t="inlineStr">
        <is>
          <t>TRY</t>
        </is>
      </c>
      <c r="J198" s="22" t="inlineStr"/>
      <c r="K198" s="63" t="n">
        <v>11.5695830753342</v>
      </c>
      <c r="L198" s="22" t="inlineStr">
        <is>
          <t>5002.B</t>
        </is>
      </c>
      <c r="M198" s="22" t="n">
        <v>2</v>
      </c>
      <c r="N198" s="22" t="inlineStr">
        <is>
          <t>Bursa T2 Kent Meydanı-Terminal tramvayı (750 V DC, 11 istasyon, 6 cer TM: TR1-TR6, ihale 2015/51291); TL, 2015 kuru ~2,92-3,0 TL/€; malzeme+işçilik; fiyat kaynağı sütunu: ÇŞB-2015 (ör. AKTİF=Aktif teklifi, ÇŞB/TEDAŞ birim fiyat, prysmian)</t>
        </is>
      </c>
    </row>
    <row r="199">
      <c r="A199" s="22" t="inlineStr">
        <is>
          <t>R00934</t>
        </is>
      </c>
      <c r="B199" s="22" t="inlineStr">
        <is>
          <t>Kent Meydani-Terminal Tram</t>
        </is>
      </c>
      <c r="C199" s="22" t="inlineStr">
        <is>
          <t>tramvay</t>
        </is>
      </c>
      <c r="D199" s="22" t="inlineStr">
        <is>
          <t>MET Mühendislik (keşif/maliyet tahmini)</t>
        </is>
      </c>
      <c r="E199" s="22" t="inlineStr">
        <is>
          <t>2015-06-08</t>
        </is>
      </c>
      <c r="F199" s="22" t="inlineStr">
        <is>
          <t>BTR E2 Galvanizli Celik Poligon Aydinlatma Diregi</t>
        </is>
      </c>
      <c r="G199" s="22" t="inlineStr">
        <is>
          <t>kilogram</t>
        </is>
      </c>
      <c r="H199" s="63" t="n">
        <v>7.44</v>
      </c>
      <c r="I199" s="22" t="inlineStr">
        <is>
          <t>TRY</t>
        </is>
      </c>
      <c r="J199" s="22" t="inlineStr"/>
      <c r="K199" s="63" t="n">
        <v>3.19685817982871</v>
      </c>
      <c r="L199" s="22" t="inlineStr">
        <is>
          <t>5002.B</t>
        </is>
      </c>
      <c r="M199" s="22" t="n">
        <v>7</v>
      </c>
      <c r="N199" s="22" t="inlineStr">
        <is>
          <t>Bursa T2 Kent Meydanı-Terminal tramvayı (750 V DC, 11 istasyon, 6 cer TM: TR1-TR6, ihale 2015/51291); TL, 2015 kuru ~2,92-3,0 TL/€; ELEKTRİK BİRİM FİYAT CETVELİ (maliyet keşfi, tedarikçi teklifi değil)</t>
        </is>
      </c>
    </row>
    <row r="200">
      <c r="A200" s="22" t="inlineStr">
        <is>
          <t>R00935</t>
        </is>
      </c>
      <c r="B200" s="22" t="inlineStr">
        <is>
          <t>Kent Meydani-Terminal Tram</t>
        </is>
      </c>
      <c r="C200" s="22" t="inlineStr">
        <is>
          <t>tramvay</t>
        </is>
      </c>
      <c r="D200" s="22" t="inlineStr">
        <is>
          <t>MET Mühendislik (keşif/maliyet tahmini)</t>
        </is>
      </c>
      <c r="E200" s="22" t="inlineStr">
        <is>
          <t>2015-06-08</t>
        </is>
      </c>
      <c r="F200" s="22" t="inlineStr">
        <is>
          <t>BTR E3 2 mm²lik galvanizli sac tava veya raflan</t>
        </is>
      </c>
      <c r="G200" s="22" t="inlineStr">
        <is>
          <t>kilogram</t>
        </is>
      </c>
      <c r="H200" s="63" t="n">
        <v>7.94</v>
      </c>
      <c r="I200" s="22" t="inlineStr">
        <is>
          <t>TRY</t>
        </is>
      </c>
      <c r="J200" s="22" t="inlineStr"/>
      <c r="K200" s="63" t="n">
        <v>3.41170079944085</v>
      </c>
      <c r="L200" s="22" t="inlineStr">
        <is>
          <t>2011.I</t>
        </is>
      </c>
      <c r="M200" s="22" t="n">
        <v>11</v>
      </c>
      <c r="N200" s="22" t="inlineStr">
        <is>
          <t>Bursa T2 Kent Meydanı-Terminal tramvayı (750 V DC, 11 istasyon, 6 cer TM: TR1-TR6, ihale 2015/51291); TL, 2015 kuru ~2,92-3,0 TL/€; ELEKTRİK BİRİM FİYAT CETVELİ (maliyet keşfi, tedarikçi teklifi değil)</t>
        </is>
      </c>
    </row>
    <row r="201">
      <c r="A201" s="22" t="inlineStr">
        <is>
          <t>R00943</t>
        </is>
      </c>
      <c r="B201" s="22" t="inlineStr">
        <is>
          <t>Kent Meydani-Terminal Tram</t>
        </is>
      </c>
      <c r="C201" s="22" t="inlineStr">
        <is>
          <t>tramvay</t>
        </is>
      </c>
      <c r="D201" s="22" t="inlineStr">
        <is>
          <t>MET Mühendislik (keşif/maliyet tahmini)</t>
        </is>
      </c>
      <c r="E201" s="22" t="inlineStr">
        <is>
          <t>2015-06-08</t>
        </is>
      </c>
      <c r="F201" s="22" t="inlineStr">
        <is>
          <t>BTR E64 Aluminyum 36 kV 1X95+16 mm2 XLPE Kablo</t>
        </is>
      </c>
      <c r="G201" s="22" t="inlineStr">
        <is>
          <t>metre</t>
        </is>
      </c>
      <c r="H201" s="63" t="n">
        <v>19.84</v>
      </c>
      <c r="I201" s="22" t="inlineStr">
        <is>
          <t>TRY</t>
        </is>
      </c>
      <c r="J201" s="22" t="inlineStr"/>
      <c r="K201" s="63" t="n">
        <v>8.52495514620988</v>
      </c>
      <c r="L201" s="22" t="inlineStr">
        <is>
          <t>2004.B</t>
        </is>
      </c>
      <c r="M201" s="22" t="n">
        <v>2</v>
      </c>
      <c r="N201" s="22" t="inlineStr">
        <is>
          <t>Bursa T2 Kent Meydanı-Terminal tramvayı (750 V DC, 11 istasyon, 6 cer TM: TR1-TR6, ihale 2015/51291); TL, 2015 kuru ~2,92-3,0 TL/€; ELEKTRİK BİRİM FİYAT CETVELİ (maliyet keşfi, tedarikçi teklifi değil)</t>
        </is>
      </c>
    </row>
    <row r="202">
      <c r="A202" s="22" t="inlineStr">
        <is>
          <t>R00944</t>
        </is>
      </c>
      <c r="B202" s="22" t="inlineStr">
        <is>
          <t>Kent Meydani-Terminal Tram</t>
        </is>
      </c>
      <c r="C202" s="22" t="inlineStr">
        <is>
          <t>tramvay</t>
        </is>
      </c>
      <c r="D202" s="22" t="inlineStr">
        <is>
          <t>MET Mühendislik (keşif/maliyet tahmini)</t>
        </is>
      </c>
      <c r="E202" s="22" t="inlineStr">
        <is>
          <t>2015-06-08</t>
        </is>
      </c>
      <c r="F202" s="22" t="inlineStr">
        <is>
          <t>BTR E65 Aluminyum 36 kV 1X150+25 mm2 XLPE Kablo</t>
        </is>
      </c>
      <c r="G202" s="22" t="inlineStr">
        <is>
          <t>metre</t>
        </is>
      </c>
      <c r="H202" s="63" t="n">
        <v>25.58</v>
      </c>
      <c r="I202" s="22" t="inlineStr">
        <is>
          <t>TRY</t>
        </is>
      </c>
      <c r="J202" s="22" t="inlineStr"/>
      <c r="K202" s="63" t="n">
        <v>10.9913484193573</v>
      </c>
      <c r="L202" s="22" t="inlineStr">
        <is>
          <t>2002.A</t>
        </is>
      </c>
      <c r="M202" s="22" t="n">
        <v>1</v>
      </c>
      <c r="N202" s="22" t="inlineStr">
        <is>
          <t>Bursa T2 Kent Meydanı-Terminal tramvayı (750 V DC, 11 istasyon, 6 cer TM: TR1-TR6, ihale 2015/51291); TL, 2015 kuru ~2,92-3,0 TL/€; ELEKTRİK BİRİM FİYAT CETVELİ (maliyet keşfi, tedarikçi teklifi değil)</t>
        </is>
      </c>
    </row>
    <row r="203">
      <c r="A203" s="22" t="inlineStr">
        <is>
          <t>R00945</t>
        </is>
      </c>
      <c r="B203" s="22" t="inlineStr">
        <is>
          <t>Kent Meydani-Terminal Tram</t>
        </is>
      </c>
      <c r="C203" s="22" t="inlineStr">
        <is>
          <t>tramvay</t>
        </is>
      </c>
      <c r="D203" s="22" t="inlineStr">
        <is>
          <t>MET Mühendislik (keşif/maliyet tahmini)</t>
        </is>
      </c>
      <c r="E203" s="22" t="inlineStr">
        <is>
          <t>2015-06-08</t>
        </is>
      </c>
      <c r="F203" s="22" t="inlineStr">
        <is>
          <t>BTR E66 Aluminyum 36 kV 1X400+35 mm2 XLPE Kablo</t>
        </is>
      </c>
      <c r="G203" s="22" t="inlineStr">
        <is>
          <t>metre</t>
        </is>
      </c>
      <c r="H203" s="63" t="n">
        <v>44.54</v>
      </c>
      <c r="I203" s="22" t="inlineStr">
        <is>
          <t>TRY</t>
        </is>
      </c>
      <c r="J203" s="22" t="inlineStr"/>
      <c r="K203" s="63" t="n">
        <v>19.1381805550498</v>
      </c>
      <c r="L203" s="22" t="inlineStr">
        <is>
          <t>2002.B</t>
        </is>
      </c>
      <c r="M203" s="22" t="n">
        <v>2</v>
      </c>
      <c r="N203" s="22" t="inlineStr">
        <is>
          <t>Bursa T2 Kent Meydanı-Terminal tramvayı (750 V DC, 11 istasyon, 6 cer TM: TR1-TR6, ihale 2015/51291); TL, 2015 kuru ~2,92-3,0 TL/€; ELEKTRİK BİRİM FİYAT CETVELİ (maliyet keşfi, tedarikçi teklifi değil)</t>
        </is>
      </c>
    </row>
    <row r="204">
      <c r="A204" s="22" t="inlineStr">
        <is>
          <t>R00946</t>
        </is>
      </c>
      <c r="B204" s="22" t="inlineStr">
        <is>
          <t>Kent Meydani-Terminal Tram</t>
        </is>
      </c>
      <c r="C204" s="22" t="inlineStr">
        <is>
          <t>tramvay</t>
        </is>
      </c>
      <c r="D204" s="22" t="inlineStr">
        <is>
          <t>MET Mühendislik (keşif/maliyet tahmini)</t>
        </is>
      </c>
      <c r="E204" s="22" t="inlineStr">
        <is>
          <t>2015-06-08</t>
        </is>
      </c>
      <c r="F204" s="22" t="inlineStr">
        <is>
          <t>BTR E72 630 kVA'LIK 3X1000 A. Oto. $alterli Dahili Tip AG Panosu (Analizörlü, DSYA'IJ ,20 kVAR Sabit Kompanzasyon lul</t>
        </is>
      </c>
      <c r="G204" s="22" t="inlineStr">
        <is>
          <t>adet</t>
        </is>
      </c>
      <c r="H204" s="63" t="n">
        <v>20929.71</v>
      </c>
      <c r="I204" s="22" t="inlineStr">
        <is>
          <t>TRY</t>
        </is>
      </c>
      <c r="J204" s="22" t="inlineStr"/>
      <c r="K204" s="63" t="n">
        <v>8993.18744824498</v>
      </c>
      <c r="L204" s="22" t="inlineStr">
        <is>
          <t>2006.H</t>
        </is>
      </c>
      <c r="M204" s="22" t="n">
        <v>1</v>
      </c>
      <c r="N204" s="22" t="inlineStr">
        <is>
          <t>Bursa T2 Kent Meydanı-Terminal tramvayı (750 V DC, 11 istasyon, 6 cer TM: TR1-TR6, ihale 2015/51291); TL, 2015 kuru ~2,92-3,0 TL/€; ELEKTRİK BİRİM FİYAT CETVELİ (maliyet keşfi, tedarikçi teklifi değil)</t>
        </is>
      </c>
    </row>
    <row r="205">
      <c r="A205" s="22" t="inlineStr">
        <is>
          <t>R00947</t>
        </is>
      </c>
      <c r="B205" s="22" t="inlineStr">
        <is>
          <t>Kent Meydani-Terminal Tram</t>
        </is>
      </c>
      <c r="C205" s="22" t="inlineStr">
        <is>
          <t>tramvay</t>
        </is>
      </c>
      <c r="D205" s="22" t="inlineStr">
        <is>
          <t>MET Mühendislik (keşif/maliyet tahmini)</t>
        </is>
      </c>
      <c r="E205" s="22" t="inlineStr">
        <is>
          <t>2015-06-08</t>
        </is>
      </c>
      <c r="F205" s="22" t="inlineStr">
        <is>
          <t>BTR E108 110 V Redresor ve 110 V 50 Ah Stasyoner Aku Grubu Temini ve Montajının Yapılması.</t>
        </is>
      </c>
      <c r="G205" s="22" t="inlineStr">
        <is>
          <t>adet</t>
        </is>
      </c>
      <c r="H205" s="63" t="n">
        <v>78182.16</v>
      </c>
      <c r="I205" s="22" t="inlineStr">
        <is>
          <t>TRY</t>
        </is>
      </c>
      <c r="J205" s="22" t="inlineStr"/>
      <c r="K205" s="63" t="n">
        <v>33593.7201226716</v>
      </c>
      <c r="L205" s="22" t="inlineStr">
        <is>
          <t>2009.A</t>
        </is>
      </c>
      <c r="M205" s="22" t="n">
        <v>2</v>
      </c>
      <c r="N205" s="22" t="inlineStr">
        <is>
          <t>Bursa T2 Kent Meydanı-Terminal tramvayı (750 V DC, 11 istasyon, 6 cer TM: TR1-TR6, ihale 2015/51291); TL, 2015 kuru ~2,92-3,0 TL/€; ELEKTRİK BİRİM FİYAT CETVELİ (maliyet keşfi, tedarikçi teklifi değil)</t>
        </is>
      </c>
    </row>
    <row r="206">
      <c r="A206" s="22" t="inlineStr">
        <is>
          <t>R00949</t>
        </is>
      </c>
      <c r="B206" s="22" t="inlineStr">
        <is>
          <t>Kent Meydani-Terminal Tram</t>
        </is>
      </c>
      <c r="C206" s="22" t="inlineStr">
        <is>
          <t>tramvay</t>
        </is>
      </c>
      <c r="D206" s="22" t="inlineStr">
        <is>
          <t>MET Mühendislik (keşif/maliyet tahmini)</t>
        </is>
      </c>
      <c r="E206" s="22" t="inlineStr">
        <is>
          <t>2015-06-08</t>
        </is>
      </c>
      <c r="F206" s="22" t="inlineStr">
        <is>
          <t>BTR E111 Astronomik Zaman Rolesi {Aydınlatma Kontrolu icin)</t>
        </is>
      </c>
      <c r="G206" s="22" t="inlineStr">
        <is>
          <t>adet</t>
        </is>
      </c>
      <c r="H206" s="63" t="n">
        <v>121.81</v>
      </c>
      <c r="I206" s="22" t="inlineStr">
        <is>
          <t>TRY</t>
        </is>
      </c>
      <c r="J206" s="22" t="inlineStr"/>
      <c r="K206" s="63" t="n">
        <v>52.3399589899106</v>
      </c>
      <c r="L206" s="22" t="inlineStr">
        <is>
          <t>5002.B</t>
        </is>
      </c>
      <c r="M206" s="22" t="n">
        <v>6</v>
      </c>
      <c r="N206" s="22" t="inlineStr">
        <is>
          <t>Bursa T2 Kent Meydanı-Terminal tramvayı (750 V DC, 11 istasyon, 6 cer TM: TR1-TR6, ihale 2015/51291); TL, 2015 kuru ~2,92-3,0 TL/€; ELEKTRİK BİRİM FİYAT CETVELİ (maliyet keşfi, tedarikçi teklifi değil)</t>
        </is>
      </c>
    </row>
    <row r="207">
      <c r="A207" s="22" t="inlineStr">
        <is>
          <t>R00951</t>
        </is>
      </c>
      <c r="B207" s="22" t="inlineStr">
        <is>
          <t>Kent Meydani-Terminal Tram</t>
        </is>
      </c>
      <c r="C207" s="22" t="inlineStr">
        <is>
          <t>tramvay</t>
        </is>
      </c>
      <c r="D207" s="22" t="inlineStr">
        <is>
          <t>MET Mühendislik (keşif/maliyet tahmini)</t>
        </is>
      </c>
      <c r="E207" s="22" t="inlineStr">
        <is>
          <t>2015-06-08</t>
        </is>
      </c>
      <c r="F207" s="22" t="inlineStr">
        <is>
          <t>BTR E142 400 Voltta Güç Kondansatörü bataryaları (Kompanzasyon)</t>
        </is>
      </c>
      <c r="G207" s="22" t="inlineStr">
        <is>
          <t>kvar</t>
        </is>
      </c>
      <c r="H207" s="63" t="n">
        <v>55.37</v>
      </c>
      <c r="I207" s="22" t="inlineStr">
        <is>
          <t>TRY</t>
        </is>
      </c>
      <c r="J207" s="22" t="inlineStr"/>
      <c r="K207" s="63" t="n">
        <v>23.7916716958489</v>
      </c>
      <c r="L207" s="22" t="inlineStr">
        <is>
          <t>2003</t>
        </is>
      </c>
      <c r="M207" s="22" t="n">
        <v>2</v>
      </c>
      <c r="N207" s="22" t="inlineStr">
        <is>
          <t>Bursa T2 Kent Meydanı-Terminal tramvayı (750 V DC, 11 istasyon, 6 cer TM: TR1-TR6, ihale 2015/51291); TL, 2015 kuru ~2,92-3,0 TL/€; ELEKTRİK BİRİM FİYAT CETVELİ (maliyet keşfi, tedarikçi teklifi değil)</t>
        </is>
      </c>
    </row>
    <row r="208">
      <c r="A208" s="22" t="inlineStr">
        <is>
          <t>R00954</t>
        </is>
      </c>
      <c r="B208" s="22" t="inlineStr">
        <is>
          <t>Kent Meydani-Terminal Tram</t>
        </is>
      </c>
      <c r="C208" s="22" t="inlineStr">
        <is>
          <t>tramvay</t>
        </is>
      </c>
      <c r="D208" s="22" t="inlineStr">
        <is>
          <t>MET Mühendislik (keşif/maliyet tahmini)</t>
        </is>
      </c>
      <c r="E208" s="22" t="inlineStr">
        <is>
          <t>2015-06-08</t>
        </is>
      </c>
      <c r="F208" s="22" t="inlineStr">
        <is>
          <t>BTR E168 DC Fider Cıkış (Kesicili) Hucresi</t>
        </is>
      </c>
      <c r="G208" s="22" t="inlineStr">
        <is>
          <t>adet</t>
        </is>
      </c>
      <c r="H208" s="63" t="n">
        <v>101863.36</v>
      </c>
      <c r="I208" s="22" t="inlineStr">
        <is>
          <t>TRY</t>
        </is>
      </c>
      <c r="J208" s="22" t="inlineStr"/>
      <c r="K208" s="63" t="n">
        <v>43769.1822097898</v>
      </c>
      <c r="L208" s="22" t="inlineStr">
        <is>
          <t>2007.A</t>
        </is>
      </c>
      <c r="M208" s="22" t="n">
        <v>2</v>
      </c>
      <c r="N208" s="22" t="inlineStr">
        <is>
          <t>Bursa T2 Kent Meydanı-Terminal tramvayı (750 V DC, 11 istasyon, 6 cer TM: TR1-TR6, ihale 2015/51291); TL, 2015 kuru ~2,92-3,0 TL/€; ELEKTRİK BİRİM FİYAT CETVELİ (maliyet keşfi, tedarikçi teklifi değil)</t>
        </is>
      </c>
    </row>
    <row r="209">
      <c r="A209" s="22" t="inlineStr">
        <is>
          <t>R00956</t>
        </is>
      </c>
      <c r="B209" s="22" t="inlineStr">
        <is>
          <t>Kent Meydani-Terminal Tram</t>
        </is>
      </c>
      <c r="C209" s="22" t="inlineStr">
        <is>
          <t>tramvay</t>
        </is>
      </c>
      <c r="D209" s="22" t="inlineStr">
        <is>
          <t>MET Mühendislik (keşif/maliyet tahmini)</t>
        </is>
      </c>
      <c r="E209" s="22" t="inlineStr">
        <is>
          <t>2015-06-08</t>
        </is>
      </c>
      <c r="F209" s="22" t="inlineStr">
        <is>
          <t>BTR E170 36 kV 1250 A 25 kA Metal Clad (LSC2B-PM) Giriş Çıkış  Ring Hucresi (SF6 Gazlt Kesicili-Arabalı )</t>
        </is>
      </c>
      <c r="G209" s="22" t="inlineStr">
        <is>
          <t>adet</t>
        </is>
      </c>
      <c r="H209" s="63" t="n">
        <v>56430.32</v>
      </c>
      <c r="I209" s="22" t="inlineStr">
        <is>
          <t>TRY</t>
        </is>
      </c>
      <c r="J209" s="22" t="inlineStr"/>
      <c r="K209" s="63" t="n">
        <v>24247.2755487032</v>
      </c>
      <c r="L209" s="22" t="inlineStr">
        <is>
          <t>2004.A</t>
        </is>
      </c>
      <c r="M209" s="22" t="n">
        <v>1</v>
      </c>
      <c r="N209" s="22" t="inlineStr">
        <is>
          <t>Bursa T2 Kent Meydanı-Terminal tramvayı (750 V DC, 11 istasyon, 6 cer TM: TR1-TR6, ihale 2015/51291); TL, 2015 kuru ~2,92-3,0 TL/€; ELEKTRİK BİRİM FİYAT CETVELİ (maliyet keşfi, tedarikçi teklifi değil)</t>
        </is>
      </c>
    </row>
    <row r="210">
      <c r="A210" s="22" t="inlineStr">
        <is>
          <t>R00957</t>
        </is>
      </c>
      <c r="B210" s="22" t="inlineStr">
        <is>
          <t>Kent Meydani-Terminal Tram</t>
        </is>
      </c>
      <c r="C210" s="22" t="inlineStr">
        <is>
          <t>tramvay</t>
        </is>
      </c>
      <c r="D210" s="22" t="inlineStr">
        <is>
          <t>MET Mühendislik (keşif/maliyet tahmini)</t>
        </is>
      </c>
      <c r="E210" s="22" t="inlineStr">
        <is>
          <t>2015-06-08</t>
        </is>
      </c>
      <c r="F210" s="22" t="inlineStr">
        <is>
          <t>BTR E171 36 kV Metal Clad(LSC2B-PM) Akım-Gerilim Olcu Hucresi</t>
        </is>
      </c>
      <c r="G210" s="22" t="inlineStr">
        <is>
          <t>adet</t>
        </is>
      </c>
      <c r="H210" s="63" t="n">
        <v>40551.31</v>
      </c>
      <c r="I210" s="22" t="inlineStr">
        <is>
          <t>TRY</t>
        </is>
      </c>
      <c r="J210" s="22" t="inlineStr"/>
      <c r="K210" s="63" t="n">
        <v>17424.2993382083</v>
      </c>
      <c r="L210" s="22" t="inlineStr">
        <is>
          <t>2004.D</t>
        </is>
      </c>
      <c r="M210" s="22" t="n">
        <v>1</v>
      </c>
      <c r="N210" s="22" t="inlineStr">
        <is>
          <t>Bursa T2 Kent Meydanı-Terminal tramvayı (750 V DC, 11 istasyon, 6 cer TM: TR1-TR6, ihale 2015/51291); TL, 2015 kuru ~2,92-3,0 TL/€; ELEKTRİK BİRİM FİYAT CETVELİ (maliyet keşfi, tedarikçi teklifi değil)</t>
        </is>
      </c>
    </row>
    <row r="211">
      <c r="A211" s="22" t="inlineStr">
        <is>
          <t>R00958</t>
        </is>
      </c>
      <c r="B211" s="22" t="inlineStr">
        <is>
          <t>Kent Meydani-Terminal Tram</t>
        </is>
      </c>
      <c r="C211" s="22" t="inlineStr">
        <is>
          <t>tramvay</t>
        </is>
      </c>
      <c r="D211" s="22" t="inlineStr">
        <is>
          <t>MET Mühendislik (keşif/maliyet tahmini)</t>
        </is>
      </c>
      <c r="E211" s="22" t="inlineStr">
        <is>
          <t>2015-06-08</t>
        </is>
      </c>
      <c r="F211" s="22" t="inlineStr">
        <is>
          <t>BTR E172 36 kV Metal Clad (LSC2B-PM) Gerilim Olcu Hucresi</t>
        </is>
      </c>
      <c r="G211" s="22" t="inlineStr">
        <is>
          <t>adet</t>
        </is>
      </c>
      <c r="H211" s="63" t="n">
        <v>25853.26</v>
      </c>
      <c r="I211" s="22" t="inlineStr">
        <is>
          <t>TRY</t>
        </is>
      </c>
      <c r="J211" s="22" t="inlineStr"/>
      <c r="K211" s="63" t="n">
        <v>11108.7642078277</v>
      </c>
      <c r="L211" s="22" t="inlineStr">
        <is>
          <t>2004.D</t>
        </is>
      </c>
      <c r="M211" s="22" t="n">
        <v>1</v>
      </c>
      <c r="N211" s="22" t="inlineStr">
        <is>
          <t>Bursa T2 Kent Meydanı-Terminal tramvayı (750 V DC, 11 istasyon, 6 cer TM: TR1-TR6, ihale 2015/51291); TL, 2015 kuru ~2,92-3,0 TL/€; ELEKTRİK BİRİM FİYAT CETVELİ (maliyet keşfi, tedarikçi teklifi değil)</t>
        </is>
      </c>
    </row>
    <row r="212">
      <c r="A212" s="22" t="inlineStr">
        <is>
          <t>R00962</t>
        </is>
      </c>
      <c r="B212" s="22" t="inlineStr">
        <is>
          <t>Kent Meydani-Terminal Tram</t>
        </is>
      </c>
      <c r="C212" s="22" t="inlineStr">
        <is>
          <t>tramvay</t>
        </is>
      </c>
      <c r="D212" s="22" t="inlineStr">
        <is>
          <t>MET Mühendislik (keşif/maliyet tahmini)</t>
        </is>
      </c>
      <c r="E212" s="22" t="inlineStr">
        <is>
          <t>2015-06-08</t>
        </is>
      </c>
      <c r="F212" s="22" t="inlineStr">
        <is>
          <t>BTR E180 34.5 / 0.4 kV 630 kVA Kuru Tip lç lhtiyac Trafosu</t>
        </is>
      </c>
      <c r="G212" s="22" t="inlineStr">
        <is>
          <t>adet</t>
        </is>
      </c>
      <c r="H212" s="63" t="n">
        <v>44491.08</v>
      </c>
      <c r="I212" s="22" t="inlineStr">
        <is>
          <t>TRY</t>
        </is>
      </c>
      <c r="J212" s="22" t="inlineStr"/>
      <c r="K212" s="63" t="n">
        <v>19117.160353147</v>
      </c>
      <c r="L212" s="22" t="inlineStr">
        <is>
          <t>2005.A</t>
        </is>
      </c>
      <c r="M212" s="22" t="n">
        <v>1</v>
      </c>
      <c r="N212" s="22" t="inlineStr">
        <is>
          <t>Bursa T2 Kent Meydanı-Terminal tramvayı (750 V DC, 11 istasyon, 6 cer TM: TR1-TR6, ihale 2015/51291); TL, 2015 kuru ~2,92-3,0 TL/€; ELEKTRİK BİRİM FİYAT CETVELİ (maliyet keşfi, tedarikçi teklifi değil)</t>
        </is>
      </c>
    </row>
    <row r="213">
      <c r="A213" s="22" t="inlineStr">
        <is>
          <t>R00964</t>
        </is>
      </c>
      <c r="B213" s="22" t="inlineStr">
        <is>
          <t>Kent Meydani-Terminal Tram</t>
        </is>
      </c>
      <c r="C213" s="22" t="inlineStr">
        <is>
          <t>tramvay</t>
        </is>
      </c>
      <c r="D213" s="22" t="inlineStr">
        <is>
          <t>MET Mühendislik (keşif/maliyet tahmini)</t>
        </is>
      </c>
      <c r="E213" s="22" t="inlineStr">
        <is>
          <t>2015-06-08</t>
        </is>
      </c>
      <c r="F213" s="22" t="inlineStr">
        <is>
          <t>BTR E182 Demirtas T.M. 34,5 kV Fider ilavesi</t>
        </is>
      </c>
      <c r="G213" s="22" t="inlineStr">
        <is>
          <t>set</t>
        </is>
      </c>
      <c r="H213" s="63" t="n">
        <v>69403.05</v>
      </c>
      <c r="I213" s="22" t="inlineStr">
        <is>
          <t>TRY</t>
        </is>
      </c>
      <c r="J213" s="22" t="inlineStr"/>
      <c r="K213" s="63" t="n">
        <v>29821.4661421453</v>
      </c>
      <c r="L213" s="22" t="inlineStr">
        <is>
          <t>2004.E</t>
        </is>
      </c>
      <c r="M213" s="22" t="n">
        <v>1</v>
      </c>
      <c r="N213" s="22" t="inlineStr">
        <is>
          <t>Bursa T2 Kent Meydanı-Terminal tramvayı (750 V DC, 11 istasyon, 6 cer TM: TR1-TR6, ihale 2015/51291); TL, 2015 kuru ~2,92-3,0 TL/€; ELEKTRİK BİRİM FİYAT CETVELİ (maliyet keşfi, tedarikçi teklifi değil)</t>
        </is>
      </c>
    </row>
    <row r="214">
      <c r="A214" s="22" t="inlineStr">
        <is>
          <t>R00966</t>
        </is>
      </c>
      <c r="B214" s="22" t="inlineStr">
        <is>
          <t>Kent Meydani-Terminal Tram</t>
        </is>
      </c>
      <c r="C214" s="22" t="inlineStr">
        <is>
          <t>tramvay</t>
        </is>
      </c>
      <c r="D214" s="22" t="inlineStr">
        <is>
          <t>MET Mühendislik (keşif/maliyet tahmini)</t>
        </is>
      </c>
      <c r="E214" s="22" t="inlineStr">
        <is>
          <t>2015-06-08</t>
        </is>
      </c>
      <c r="F214" s="22" t="inlineStr">
        <is>
          <t>BTR E187 Hizmet Binası 220 VAC Kesintisiz Güç Kaynağı (Aydınlatma Tesisatı için)</t>
        </is>
      </c>
      <c r="G214" s="22" t="inlineStr">
        <is>
          <t>adet</t>
        </is>
      </c>
      <c r="H214" s="63" t="n">
        <v>25620.39</v>
      </c>
      <c r="I214" s="22" t="inlineStr">
        <is>
          <t>TRY</t>
        </is>
      </c>
      <c r="J214" s="22" t="inlineStr"/>
      <c r="K214" s="63" t="n">
        <v>11008.7034061696</v>
      </c>
      <c r="L214" s="22" t="inlineStr">
        <is>
          <t>5002.G</t>
        </is>
      </c>
      <c r="M214" s="22" t="n">
        <v>1</v>
      </c>
      <c r="N214" s="22" t="inlineStr">
        <is>
          <t>Bursa T2 Kent Meydanı-Terminal tramvayı (750 V DC, 11 istasyon, 6 cer TM: TR1-TR6, ihale 2015/51291); TL, 2015 kuru ~2,92-3,0 TL/€; ELEKTRİK BİRİM FİYAT CETVELİ (maliyet keşfi, tedarikçi teklifi değil)</t>
        </is>
      </c>
    </row>
    <row r="215">
      <c r="A215" s="22" t="inlineStr">
        <is>
          <t>R00967</t>
        </is>
      </c>
      <c r="B215" s="22" t="inlineStr">
        <is>
          <t>Kent Meydani-Terminal Tram</t>
        </is>
      </c>
      <c r="C215" s="22" t="inlineStr">
        <is>
          <t>tramvay</t>
        </is>
      </c>
      <c r="D215" s="22" t="inlineStr">
        <is>
          <t>MET Mühendislik (keşif/maliyet tahmini)</t>
        </is>
      </c>
      <c r="E215" s="22" t="inlineStr">
        <is>
          <t>2015-06-08</t>
        </is>
      </c>
      <c r="F215" s="22" t="inlineStr">
        <is>
          <t>BTR E188 Ray Potansiyeli Sınırlama Cihazı ve Montajı</t>
        </is>
      </c>
      <c r="G215" s="22" t="inlineStr">
        <is>
          <t>adet</t>
        </is>
      </c>
      <c r="H215" s="63" t="n">
        <v>74687.17999999999</v>
      </c>
      <c r="I215" s="22" t="inlineStr">
        <is>
          <t>TRY</t>
        </is>
      </c>
      <c r="J215" s="22" t="inlineStr"/>
      <c r="K215" s="63" t="n">
        <v>32091.9788052875</v>
      </c>
      <c r="L215" s="22" t="inlineStr">
        <is>
          <t>2007.A</t>
        </is>
      </c>
      <c r="M215" s="22" t="n">
        <v>2</v>
      </c>
      <c r="N215" s="22" t="inlineStr">
        <is>
          <t>Bursa T2 Kent Meydanı-Terminal tramvayı (750 V DC, 11 istasyon, 6 cer TM: TR1-TR6, ihale 2015/51291); TL, 2015 kuru ~2,92-3,0 TL/€; ELEKTRİK BİRİM FİYAT CETVELİ (maliyet keşfi, tedarikçi teklifi değil)</t>
        </is>
      </c>
    </row>
    <row r="216">
      <c r="A216" s="22" t="inlineStr">
        <is>
          <t>R00968</t>
        </is>
      </c>
      <c r="B216" s="22" t="inlineStr">
        <is>
          <t>Kent Meydani-Terminal Tram</t>
        </is>
      </c>
      <c r="C216" s="22" t="inlineStr">
        <is>
          <t>tramvay</t>
        </is>
      </c>
      <c r="D216" s="22" t="inlineStr">
        <is>
          <t>MET Mühendislik (keşif/maliyet tahmini)</t>
        </is>
      </c>
      <c r="E216" s="22" t="inlineStr">
        <is>
          <t>2015-06-08</t>
        </is>
      </c>
      <c r="F216" s="22" t="inlineStr">
        <is>
          <t>BTR E189 Hat Yapıları Kaçak Akım Toplama ve Korozyon Kontrolü</t>
        </is>
      </c>
      <c r="G216" s="22" t="inlineStr">
        <is>
          <t>set</t>
        </is>
      </c>
      <c r="H216" s="63" t="n">
        <v>253007.04</v>
      </c>
      <c r="I216" s="22" t="inlineStr">
        <is>
          <t>TRY</t>
        </is>
      </c>
      <c r="J216" s="22" t="inlineStr"/>
      <c r="K216" s="63" t="n">
        <v>108713.390507829</v>
      </c>
      <c r="L216" s="22" t="inlineStr">
        <is>
          <t>2010.I</t>
        </is>
      </c>
      <c r="M216" s="22" t="n">
        <v>1</v>
      </c>
      <c r="N216" s="22" t="inlineStr">
        <is>
          <t>Bursa T2 Kent Meydanı-Terminal tramvayı (750 V DC, 11 istasyon, 6 cer TM: TR1-TR6, ihale 2015/51291); TL, 2015 kuru ~2,92-3,0 TL/€; ELEKTRİK BİRİM FİYAT CETVELİ (maliyet keşfi, tedarikçi teklifi değil)</t>
        </is>
      </c>
    </row>
    <row r="217">
      <c r="A217" s="22" t="inlineStr">
        <is>
          <t>R00969</t>
        </is>
      </c>
      <c r="B217" s="22" t="inlineStr">
        <is>
          <t>Kent Meydani-Terminal Tram</t>
        </is>
      </c>
      <c r="C217" s="22" t="inlineStr">
        <is>
          <t>tramvay</t>
        </is>
      </c>
      <c r="D217" s="22" t="inlineStr">
        <is>
          <t>MET Mühendislik (keşif/maliyet tahmini)</t>
        </is>
      </c>
      <c r="E217" s="22" t="inlineStr">
        <is>
          <t>2015-06-08</t>
        </is>
      </c>
      <c r="F217" s="22" t="inlineStr">
        <is>
          <t>BTR E190 İstasyon Kaçak Akım Toplama ve Korozyon Kontrolü</t>
        </is>
      </c>
      <c r="G217" s="22" t="inlineStr">
        <is>
          <t>set</t>
        </is>
      </c>
      <c r="H217" s="63" t="n">
        <v>4625.19</v>
      </c>
      <c r="I217" s="22" t="inlineStr">
        <is>
          <t>TRY</t>
        </is>
      </c>
      <c r="J217" s="22" t="inlineStr"/>
      <c r="K217" s="63" t="n">
        <v>1987.37587160779</v>
      </c>
      <c r="L217" s="22" t="inlineStr">
        <is>
          <t>2010.B</t>
        </is>
      </c>
      <c r="M217" s="22" t="n">
        <v>1</v>
      </c>
      <c r="N217" s="22" t="inlineStr">
        <is>
          <t>Bursa T2 Kent Meydanı-Terminal tramvayı (750 V DC, 11 istasyon, 6 cer TM: TR1-TR6, ihale 2015/51291); TL, 2015 kuru ~2,92-3,0 TL/€; ELEKTRİK BİRİM FİYAT CETVELİ (maliyet keşfi, tedarikçi teklifi değil)</t>
        </is>
      </c>
    </row>
    <row r="218">
      <c r="A218" s="22" t="inlineStr">
        <is>
          <t>R00970</t>
        </is>
      </c>
      <c r="B218" s="22" t="inlineStr">
        <is>
          <t>Kent Meydani-Terminal Tram</t>
        </is>
      </c>
      <c r="C218" s="22" t="inlineStr">
        <is>
          <t>tramvay</t>
        </is>
      </c>
      <c r="D218" s="22" t="inlineStr">
        <is>
          <t>MET Mühendislik (keşif/maliyet tahmini)</t>
        </is>
      </c>
      <c r="E218" s="22" t="inlineStr">
        <is>
          <t>2015-06-08</t>
        </is>
      </c>
      <c r="F218" s="22" t="inlineStr">
        <is>
          <t>BTR E191 Depo (Hizmet) Binası Kaçak Akım Toplama ve Korozyon Kontrolü</t>
        </is>
      </c>
      <c r="G218" s="22" t="inlineStr">
        <is>
          <t>set</t>
        </is>
      </c>
      <c r="H218" s="63" t="n">
        <v>52356.3</v>
      </c>
      <c r="I218" s="22" t="inlineStr">
        <is>
          <t>TRY</t>
        </is>
      </c>
      <c r="J218" s="22" t="inlineStr"/>
      <c r="K218" s="63" t="n">
        <v>22496.7292903986</v>
      </c>
      <c r="L218" s="22" t="inlineStr">
        <is>
          <t>2010.G</t>
        </is>
      </c>
      <c r="M218" s="22" t="n">
        <v>1</v>
      </c>
      <c r="N218" s="22" t="inlineStr">
        <is>
          <t>Bursa T2 Kent Meydanı-Terminal tramvayı (750 V DC, 11 istasyon, 6 cer TM: TR1-TR6, ihale 2015/51291); TL, 2015 kuru ~2,92-3,0 TL/€; ELEKTRİK BİRİM FİYAT CETVELİ (maliyet keşfi, tedarikçi teklifi değil)</t>
        </is>
      </c>
    </row>
    <row r="219">
      <c r="A219" s="22" t="inlineStr">
        <is>
          <t>R00971</t>
        </is>
      </c>
      <c r="B219" s="22" t="inlineStr">
        <is>
          <t>Kent Meydani-Terminal Tram</t>
        </is>
      </c>
      <c r="C219" s="22" t="inlineStr">
        <is>
          <t>tramvay</t>
        </is>
      </c>
      <c r="D219" s="22" t="inlineStr">
        <is>
          <t>MET Mühendislik (keşif/maliyet tahmini)</t>
        </is>
      </c>
      <c r="E219" s="22" t="inlineStr">
        <is>
          <t>2015-06-08</t>
        </is>
      </c>
      <c r="F219" s="22" t="inlineStr">
        <is>
          <t>BTR E209 16 mm2 Çıplak Orgulü veya dolu (Cu) Bakır tel</t>
        </is>
      </c>
      <c r="G219" s="22" t="inlineStr">
        <is>
          <t>metre</t>
        </is>
      </c>
      <c r="H219" s="63" t="n">
        <v>5.74</v>
      </c>
      <c r="I219" s="22" t="inlineStr">
        <is>
          <t>TRY</t>
        </is>
      </c>
      <c r="J219" s="22" t="inlineStr"/>
      <c r="K219" s="63" t="n">
        <v>2.46639327314742</v>
      </c>
      <c r="L219" s="22" t="inlineStr">
        <is>
          <t>2008.H</t>
        </is>
      </c>
      <c r="M219" s="22" t="n">
        <v>2</v>
      </c>
      <c r="N219" s="22" t="inlineStr">
        <is>
          <t>Bursa T2 Kent Meydanı-Terminal tramvayı (750 V DC, 11 istasyon, 6 cer TM: TR1-TR6, ihale 2015/51291); TL, 2015 kuru ~2,92-3,0 TL/€; ELEKTRİK BİRİM FİYAT CETVELİ (maliyet keşfi, tedarikçi teklifi değil)</t>
        </is>
      </c>
    </row>
    <row r="220">
      <c r="A220" s="22" t="inlineStr">
        <is>
          <t>R00972</t>
        </is>
      </c>
      <c r="B220" s="22" t="inlineStr">
        <is>
          <t>Kent Meydani-Terminal Tram</t>
        </is>
      </c>
      <c r="C220" s="22" t="inlineStr">
        <is>
          <t>tramvay</t>
        </is>
      </c>
      <c r="D220" s="22" t="inlineStr">
        <is>
          <t>MET Mühendislik (keşif/maliyet tahmini)</t>
        </is>
      </c>
      <c r="E220" s="22" t="inlineStr">
        <is>
          <t>2015-06-08</t>
        </is>
      </c>
      <c r="F220" s="22" t="inlineStr">
        <is>
          <t>BTR E211 1 kV yeraltı kablolan ve besleme hattı (N2XH, 0,6/1 kV) 3x2,5 mm2</t>
        </is>
      </c>
      <c r="G220" s="22" t="inlineStr">
        <is>
          <t>metre</t>
        </is>
      </c>
      <c r="H220" s="63" t="n">
        <v>4.45</v>
      </c>
      <c r="I220" s="22" t="inlineStr">
        <is>
          <t>TRY</t>
        </is>
      </c>
      <c r="J220" s="22" t="inlineStr"/>
      <c r="K220" s="63" t="n">
        <v>1.91209931454808</v>
      </c>
      <c r="L220" s="22" t="inlineStr">
        <is>
          <t>5002.B</t>
        </is>
      </c>
      <c r="M220" s="22" t="n">
        <v>40</v>
      </c>
      <c r="N220" s="22" t="inlineStr">
        <is>
          <t>Bursa T2 Kent Meydanı-Terminal tramvayı (750 V DC, 11 istasyon, 6 cer TM: TR1-TR6, ihale 2015/51291); TL, 2015 kuru ~2,92-3,0 TL/€; ELEKTRİK BİRİM FİYAT CETVELİ (maliyet keşfi, tedarikçi teklifi değil)</t>
        </is>
      </c>
    </row>
    <row r="221">
      <c r="A221" s="22" t="inlineStr">
        <is>
          <t>R00973</t>
        </is>
      </c>
      <c r="B221" s="22" t="inlineStr">
        <is>
          <t>Kent Meydani-Terminal Tram</t>
        </is>
      </c>
      <c r="C221" s="22" t="inlineStr">
        <is>
          <t>tramvay</t>
        </is>
      </c>
      <c r="D221" s="22" t="inlineStr">
        <is>
          <t>MET Mühendislik (keşif/maliyet tahmini)</t>
        </is>
      </c>
      <c r="E221" s="22" t="inlineStr">
        <is>
          <t>2015-06-08</t>
        </is>
      </c>
      <c r="F221" s="22" t="inlineStr">
        <is>
          <t>BTR E221 1 kV yeraltı kablolan ve besleme hattı (N2XH, 0,6/1 kV) 4x16 mm2</t>
        </is>
      </c>
      <c r="G221" s="22" t="inlineStr">
        <is>
          <t>metre</t>
        </is>
      </c>
      <c r="H221" s="63" t="n">
        <v>23.81</v>
      </c>
      <c r="I221" s="22" t="inlineStr">
        <is>
          <t>TRY</t>
        </is>
      </c>
      <c r="J221" s="22" t="inlineStr"/>
      <c r="K221" s="63" t="n">
        <v>10.2308055459303</v>
      </c>
      <c r="L221" s="22" t="inlineStr">
        <is>
          <t>2011.A</t>
        </is>
      </c>
      <c r="M221" s="22" t="n">
        <v>8</v>
      </c>
      <c r="N221" s="22" t="inlineStr">
        <is>
          <t>Bursa T2 Kent Meydanı-Terminal tramvayı (750 V DC, 11 istasyon, 6 cer TM: TR1-TR6, ihale 2015/51291); TL, 2015 kuru ~2,92-3,0 TL/€; ELEKTRİK BİRİM FİYAT CETVELİ (maliyet keşfi, tedarikçi teklifi değil)</t>
        </is>
      </c>
    </row>
    <row r="222">
      <c r="A222" s="22" t="inlineStr">
        <is>
          <t>R00974</t>
        </is>
      </c>
      <c r="B222" s="22" t="inlineStr">
        <is>
          <t>Kent Meydani-Terminal Tram</t>
        </is>
      </c>
      <c r="C222" s="22" t="inlineStr">
        <is>
          <t>tramvay</t>
        </is>
      </c>
      <c r="D222" s="22" t="inlineStr">
        <is>
          <t>MET Mühendislik (keşif/maliyet tahmini)</t>
        </is>
      </c>
      <c r="E222" s="22" t="inlineStr">
        <is>
          <t>2015-06-08</t>
        </is>
      </c>
      <c r="F222" s="22" t="inlineStr">
        <is>
          <t>BTR E223 1 kV yeraltı kabloları ve besleme hattı (N2XH,0,6/1 kV) 4x6 mm2</t>
        </is>
      </c>
      <c r="G222" s="22" t="inlineStr">
        <is>
          <t>metre</t>
        </is>
      </c>
      <c r="H222" s="63" t="n">
        <v>10.24</v>
      </c>
      <c r="I222" s="22" t="inlineStr">
        <is>
          <t>TRY</t>
        </is>
      </c>
      <c r="J222" s="22" t="inlineStr"/>
      <c r="K222" s="63" t="n">
        <v>4.39997684965671</v>
      </c>
      <c r="L222" s="22" t="inlineStr">
        <is>
          <t>2011.I</t>
        </is>
      </c>
      <c r="M222" s="22" t="n">
        <v>25</v>
      </c>
      <c r="N222" s="22" t="inlineStr">
        <is>
          <t>Bursa T2 Kent Meydanı-Terminal tramvayı (750 V DC, 11 istasyon, 6 cer TM: TR1-TR6, ihale 2015/51291); TL, 2015 kuru ~2,92-3,0 TL/€; ELEKTRİK BİRİM FİYAT CETVELİ (maliyet keşfi, tedarikçi teklifi değil)</t>
        </is>
      </c>
    </row>
    <row r="223">
      <c r="A223" s="22" t="inlineStr">
        <is>
          <t>R00975</t>
        </is>
      </c>
      <c r="B223" s="22" t="inlineStr">
        <is>
          <t>Kent Meydani-Terminal Tram</t>
        </is>
      </c>
      <c r="C223" s="22" t="inlineStr">
        <is>
          <t>tramvay</t>
        </is>
      </c>
      <c r="D223" s="22" t="inlineStr">
        <is>
          <t>MET Mühendislik (keşif/maliyet tahmini)</t>
        </is>
      </c>
      <c r="E223" s="22" t="inlineStr">
        <is>
          <t>2015-06-08</t>
        </is>
      </c>
      <c r="F223" s="22" t="inlineStr">
        <is>
          <t>BTR E225 1 kV yeraltı kabloları ve besleme hattı (N2XH,0,6/1 kV) 5x2,5 mm2</t>
        </is>
      </c>
      <c r="G223" s="22" t="inlineStr">
        <is>
          <t>metre</t>
        </is>
      </c>
      <c r="H223" s="63" t="n">
        <v>6.48</v>
      </c>
      <c r="I223" s="22" t="inlineStr">
        <is>
          <t>TRY</t>
        </is>
      </c>
      <c r="J223" s="22" t="inlineStr"/>
      <c r="K223" s="63" t="n">
        <v>2.78436035017339</v>
      </c>
      <c r="L223" s="22" t="inlineStr">
        <is>
          <t>5002.B</t>
        </is>
      </c>
      <c r="M223" s="22" t="n">
        <v>15</v>
      </c>
      <c r="N223" s="22" t="inlineStr">
        <is>
          <t>Bursa T2 Kent Meydanı-Terminal tramvayı (750 V DC, 11 istasyon, 6 cer TM: TR1-TR6, ihale 2015/51291); TL, 2015 kuru ~2,92-3,0 TL/€; ELEKTRİK BİRİM FİYAT CETVELİ (maliyet keşfi, tedarikçi teklifi değil)</t>
        </is>
      </c>
    </row>
    <row r="224">
      <c r="A224" s="22" t="inlineStr">
        <is>
          <t>R00976</t>
        </is>
      </c>
      <c r="B224" s="22" t="inlineStr">
        <is>
          <t>Kent Meydani-Terminal Tram</t>
        </is>
      </c>
      <c r="C224" s="22" t="inlineStr">
        <is>
          <t>tramvay</t>
        </is>
      </c>
      <c r="D224" s="22" t="inlineStr">
        <is>
          <t>MET Mühendislik (keşif/maliyet tahmini)</t>
        </is>
      </c>
      <c r="E224" s="22" t="inlineStr">
        <is>
          <t>2015-06-08</t>
        </is>
      </c>
      <c r="F224" s="22" t="inlineStr">
        <is>
          <t>BTR E242 16 Bölgeli akıllı analog adresli yangın alarm tekrarlayım paneli</t>
        </is>
      </c>
      <c r="G224" s="22" t="inlineStr">
        <is>
          <t>adet</t>
        </is>
      </c>
      <c r="H224" s="63" t="n">
        <v>2204.75</v>
      </c>
      <c r="I224" s="22" t="inlineStr">
        <is>
          <t>TRY</t>
        </is>
      </c>
      <c r="J224" s="22" t="inlineStr"/>
      <c r="K224" s="63" t="n">
        <v>947.34853117975</v>
      </c>
      <c r="L224" s="22" t="inlineStr">
        <is>
          <t>5004.B</t>
        </is>
      </c>
      <c r="M224" s="22" t="n">
        <v>2</v>
      </c>
      <c r="N224" s="22" t="inlineStr">
        <is>
          <t>Bursa T2 Kent Meydanı-Terminal tramvayı (750 V DC, 11 istasyon, 6 cer TM: TR1-TR6, ihale 2015/51291); TL, 2015 kuru ~2,92-3,0 TL/€; ELEKTRİK BİRİM FİYAT CETVELİ (maliyet keşfi, tedarikçi teklifi değil)</t>
        </is>
      </c>
    </row>
    <row r="225">
      <c r="A225" s="22" t="inlineStr">
        <is>
          <t>R00977</t>
        </is>
      </c>
      <c r="B225" s="22" t="inlineStr">
        <is>
          <t>Kent Meydani-Terminal Tram</t>
        </is>
      </c>
      <c r="C225" s="22" t="inlineStr">
        <is>
          <t>tramvay</t>
        </is>
      </c>
      <c r="D225" s="22" t="inlineStr">
        <is>
          <t>MET Mühendislik (keşif/maliyet tahmini)</t>
        </is>
      </c>
      <c r="E225" s="22" t="inlineStr">
        <is>
          <t>2015-06-08</t>
        </is>
      </c>
      <c r="F225" s="22" t="inlineStr">
        <is>
          <t>BTR E243 Akıllı Analog adresli optik duman detektorü</t>
        </is>
      </c>
      <c r="G225" s="22" t="inlineStr">
        <is>
          <t>adet</t>
        </is>
      </c>
      <c r="H225" s="63" t="n">
        <v>92.69</v>
      </c>
      <c r="I225" s="22" t="inlineStr">
        <is>
          <t>TRY</t>
        </is>
      </c>
      <c r="J225" s="22" t="inlineStr"/>
      <c r="K225" s="63" t="n">
        <v>39.8275248236993</v>
      </c>
      <c r="L225" s="22" t="inlineStr">
        <is>
          <t>5004.B</t>
        </is>
      </c>
      <c r="M225" s="22" t="n">
        <v>13</v>
      </c>
      <c r="N225" s="22" t="inlineStr">
        <is>
          <t>Bursa T2 Kent Meydanı-Terminal tramvayı (750 V DC, 11 istasyon, 6 cer TM: TR1-TR6, ihale 2015/51291); TL, 2015 kuru ~2,92-3,0 TL/€; ELEKTRİK BİRİM FİYAT CETVELİ (maliyet keşfi, tedarikçi teklifi değil)</t>
        </is>
      </c>
    </row>
    <row r="226">
      <c r="A226" s="22" t="inlineStr">
        <is>
          <t>R00978</t>
        </is>
      </c>
      <c r="B226" s="22" t="inlineStr">
        <is>
          <t>Kent Meydani-Terminal Tram</t>
        </is>
      </c>
      <c r="C226" s="22" t="inlineStr">
        <is>
          <t>tramvay</t>
        </is>
      </c>
      <c r="D226" s="22" t="inlineStr">
        <is>
          <t>MET Mühendislik (keşif/maliyet tahmini)</t>
        </is>
      </c>
      <c r="E226" s="22" t="inlineStr">
        <is>
          <t>2015-06-08</t>
        </is>
      </c>
      <c r="F226" s="22" t="inlineStr">
        <is>
          <t>BTR E244 Akıllı Analog adresli kombine optik, duman ve sıcaklık detektörü</t>
        </is>
      </c>
      <c r="G226" s="22" t="inlineStr">
        <is>
          <t>adet</t>
        </is>
      </c>
      <c r="H226" s="63" t="n">
        <v>140.22</v>
      </c>
      <c r="I226" s="22" t="inlineStr">
        <is>
          <t>TRY</t>
        </is>
      </c>
      <c r="J226" s="22" t="inlineStr"/>
      <c r="K226" s="63" t="n">
        <v>60.2504642440297</v>
      </c>
      <c r="L226" s="22" t="inlineStr">
        <is>
          <t>5004.B</t>
        </is>
      </c>
      <c r="M226" s="22" t="n">
        <v>4</v>
      </c>
      <c r="N226" s="22" t="inlineStr">
        <is>
          <t>Bursa T2 Kent Meydanı-Terminal tramvayı (750 V DC, 11 istasyon, 6 cer TM: TR1-TR6, ihale 2015/51291); TL, 2015 kuru ~2,92-3,0 TL/€; ELEKTRİK BİRİM FİYAT CETVELİ (maliyet keşfi, tedarikçi teklifi değil)</t>
        </is>
      </c>
    </row>
    <row r="227">
      <c r="A227" s="22" t="inlineStr">
        <is>
          <t>R00979</t>
        </is>
      </c>
      <c r="B227" s="22" t="inlineStr">
        <is>
          <t>Kent Meydani-Terminal Tram</t>
        </is>
      </c>
      <c r="C227" s="22" t="inlineStr">
        <is>
          <t>tramvay</t>
        </is>
      </c>
      <c r="D227" s="22" t="inlineStr">
        <is>
          <t>MET Mühendislik (keşif/maliyet tahmini)</t>
        </is>
      </c>
      <c r="E227" s="22" t="inlineStr">
        <is>
          <t>2015-06-08</t>
        </is>
      </c>
      <c r="F227" s="22" t="inlineStr">
        <is>
          <t>BTR E245 Akıllı Analog adresli sıfırlanabilir yangın ihbar butonu</t>
        </is>
      </c>
      <c r="G227" s="22" t="inlineStr">
        <is>
          <t>adet</t>
        </is>
      </c>
      <c r="H227" s="63" t="n">
        <v>99.33</v>
      </c>
      <c r="I227" s="22" t="inlineStr">
        <is>
          <t>TRY</t>
        </is>
      </c>
      <c r="J227" s="22" t="inlineStr"/>
      <c r="K227" s="63" t="n">
        <v>42.6806348121486</v>
      </c>
      <c r="L227" s="22" t="inlineStr">
        <is>
          <t>5004.B</t>
        </is>
      </c>
      <c r="M227" s="22" t="n">
        <v>13</v>
      </c>
      <c r="N227" s="22" t="inlineStr">
        <is>
          <t>Bursa T2 Kent Meydanı-Terminal tramvayı (750 V DC, 11 istasyon, 6 cer TM: TR1-TR6, ihale 2015/51291); TL, 2015 kuru ~2,92-3,0 TL/€; ELEKTRİK BİRİM FİYAT CETVELİ (maliyet keşfi, tedarikçi teklifi değil)</t>
        </is>
      </c>
    </row>
    <row r="228">
      <c r="A228" s="22" t="inlineStr">
        <is>
          <t>R00980</t>
        </is>
      </c>
      <c r="B228" s="22" t="inlineStr">
        <is>
          <t>Kent Meydani-Terminal Tram</t>
        </is>
      </c>
      <c r="C228" s="22" t="inlineStr">
        <is>
          <t>tramvay</t>
        </is>
      </c>
      <c r="D228" s="22" t="inlineStr">
        <is>
          <t>MET Mühendislik (keşif/maliyet tahmini)</t>
        </is>
      </c>
      <c r="E228" s="22" t="inlineStr">
        <is>
          <t>2015-06-08</t>
        </is>
      </c>
      <c r="F228" s="22" t="inlineStr">
        <is>
          <t>BTR E246 Harici tip flasörlü elektronik yangın ihbar sireni</t>
        </is>
      </c>
      <c r="G228" s="22" t="inlineStr">
        <is>
          <t>adet</t>
        </is>
      </c>
      <c r="H228" s="63" t="n">
        <v>351.27</v>
      </c>
      <c r="I228" s="22" t="inlineStr">
        <is>
          <t>TRY</t>
        </is>
      </c>
      <c r="J228" s="22" t="inlineStr"/>
      <c r="K228" s="63" t="n">
        <v>150.935533982316</v>
      </c>
      <c r="L228" s="22" t="inlineStr">
        <is>
          <t>5004.B</t>
        </is>
      </c>
      <c r="M228" s="22" t="n">
        <v>10</v>
      </c>
      <c r="N228" s="22" t="inlineStr">
        <is>
          <t>Bursa T2 Kent Meydanı-Terminal tramvayı (750 V DC, 11 istasyon, 6 cer TM: TR1-TR6, ihale 2015/51291); TL, 2015 kuru ~2,92-3,0 TL/€; ELEKTRİK BİRİM FİYAT CETVELİ (maliyet keşfi, tedarikçi teklifi değil)</t>
        </is>
      </c>
    </row>
    <row r="229">
      <c r="A229" s="22" t="inlineStr">
        <is>
          <t>R00981</t>
        </is>
      </c>
      <c r="B229" s="22" t="inlineStr">
        <is>
          <t>Kent Meydani-Terminal Tram</t>
        </is>
      </c>
      <c r="C229" s="22" t="inlineStr">
        <is>
          <t>tramvay</t>
        </is>
      </c>
      <c r="D229" s="22" t="inlineStr">
        <is>
          <t>MET Mühendislik (keşif/maliyet tahmini)</t>
        </is>
      </c>
      <c r="E229" s="22" t="inlineStr">
        <is>
          <t>2015-06-08</t>
        </is>
      </c>
      <c r="F229" s="22" t="inlineStr">
        <is>
          <t>BTR E247 Akıllı Anolog adresli role modülü</t>
        </is>
      </c>
      <c r="G229" s="22" t="inlineStr">
        <is>
          <t>adet</t>
        </is>
      </c>
      <c r="H229" s="63" t="n">
        <v>186.96</v>
      </c>
      <c r="I229" s="22" t="inlineStr">
        <is>
          <t>TRY</t>
        </is>
      </c>
      <c r="J229" s="22" t="inlineStr"/>
      <c r="K229" s="63" t="n">
        <v>80.33395232537301</v>
      </c>
      <c r="L229" s="22" t="inlineStr">
        <is>
          <t>5004.B</t>
        </is>
      </c>
      <c r="M229" s="22" t="n">
        <v>11</v>
      </c>
      <c r="N229" s="22" t="inlineStr">
        <is>
          <t>Bursa T2 Kent Meydanı-Terminal tramvayı (750 V DC, 11 istasyon, 6 cer TM: TR1-TR6, ihale 2015/51291); TL, 2015 kuru ~2,92-3,0 TL/€; ELEKTRİK BİRİM FİYAT CETVELİ (maliyet keşfi, tedarikçi teklifi değil)</t>
        </is>
      </c>
    </row>
    <row r="230">
      <c r="A230" s="22" t="inlineStr">
        <is>
          <t>R00982</t>
        </is>
      </c>
      <c r="B230" s="22" t="inlineStr">
        <is>
          <t>Kent Meydani-Terminal Tram</t>
        </is>
      </c>
      <c r="C230" s="22" t="inlineStr">
        <is>
          <t>tramvay</t>
        </is>
      </c>
      <c r="D230" s="22" t="inlineStr">
        <is>
          <t>MET Mühendislik (keşif/maliyet tahmini)</t>
        </is>
      </c>
      <c r="E230" s="22" t="inlineStr">
        <is>
          <t>2015-06-08</t>
        </is>
      </c>
      <c r="F230" s="22" t="inlineStr">
        <is>
          <t>BTR E248 Akıllı Anolog adresli kontak izleme modülü</t>
        </is>
      </c>
      <c r="G230" s="22" t="inlineStr">
        <is>
          <t>adet</t>
        </is>
      </c>
      <c r="H230" s="63" t="n">
        <v>159.23</v>
      </c>
      <c r="I230" s="22" t="inlineStr">
        <is>
          <t>TRY</t>
        </is>
      </c>
      <c r="J230" s="22" t="inlineStr"/>
      <c r="K230" s="63" t="n">
        <v>68.4187806416835</v>
      </c>
      <c r="L230" s="22" t="inlineStr">
        <is>
          <t>5004.B</t>
        </is>
      </c>
      <c r="M230" s="22" t="n">
        <v>10</v>
      </c>
      <c r="N230" s="22" t="inlineStr">
        <is>
          <t>Bursa T2 Kent Meydanı-Terminal tramvayı (750 V DC, 11 istasyon, 6 cer TM: TR1-TR6, ihale 2015/51291); TL, 2015 kuru ~2,92-3,0 TL/€; ELEKTRİK BİRİM FİYAT CETVELİ (maliyet keşfi, tedarikçi teklifi değil)</t>
        </is>
      </c>
    </row>
    <row r="231">
      <c r="A231" s="22" t="inlineStr">
        <is>
          <t>R00983</t>
        </is>
      </c>
      <c r="B231" s="22" t="inlineStr">
        <is>
          <t>Kent Meydani-Terminal Tram</t>
        </is>
      </c>
      <c r="C231" s="22" t="inlineStr">
        <is>
          <t>tramvay</t>
        </is>
      </c>
      <c r="D231" s="22" t="inlineStr">
        <is>
          <t>MET Mühendislik (keşif/maliyet tahmini)</t>
        </is>
      </c>
      <c r="E231" s="22" t="inlineStr">
        <is>
          <t>2015-06-08</t>
        </is>
      </c>
      <c r="F231" s="22" t="inlineStr">
        <is>
          <t>BTR E249 JH(St)H Halojensiz 2x2x1.5+1.5 mm2, yangm alarm kablosu</t>
        </is>
      </c>
      <c r="G231" s="22" t="inlineStr">
        <is>
          <t>metre</t>
        </is>
      </c>
      <c r="H231" s="63" t="n">
        <v>3.89</v>
      </c>
      <c r="I231" s="22" t="inlineStr">
        <is>
          <t>TRY</t>
        </is>
      </c>
      <c r="J231" s="22" t="inlineStr"/>
      <c r="K231" s="63" t="n">
        <v>1.67147558058248</v>
      </c>
      <c r="L231" s="22" t="inlineStr">
        <is>
          <t>5004.B</t>
        </is>
      </c>
      <c r="M231" s="22" t="n">
        <v>3</v>
      </c>
      <c r="N231" s="22" t="inlineStr">
        <is>
          <t>Bursa T2 Kent Meydanı-Terminal tramvayı (750 V DC, 11 istasyon, 6 cer TM: TR1-TR6, ihale 2015/51291); TL, 2015 kuru ~2,92-3,0 TL/€; ELEKTRİK BİRİM FİYAT CETVELİ (maliyet keşfi, tedarikçi teklifi değil)</t>
        </is>
      </c>
    </row>
    <row r="232">
      <c r="A232" s="22" t="inlineStr">
        <is>
          <t>R00984</t>
        </is>
      </c>
      <c r="B232" s="22" t="inlineStr">
        <is>
          <t>Kent Meydani-Terminal Tram</t>
        </is>
      </c>
      <c r="C232" s="22" t="inlineStr">
        <is>
          <t>tramvay</t>
        </is>
      </c>
      <c r="D232" s="22" t="inlineStr">
        <is>
          <t>MET Mühendislik (keşif/maliyet tahmini)</t>
        </is>
      </c>
      <c r="E232" s="22" t="inlineStr">
        <is>
          <t>2015-06-08</t>
        </is>
      </c>
      <c r="F232" s="22" t="inlineStr">
        <is>
          <t>BTR E251 Toprak elektrodu (yubuk) elektrolitik Bakır (Q =20 mm   p1nda L=3,5 m boy)</t>
        </is>
      </c>
      <c r="G232" s="22" t="inlineStr">
        <is>
          <t>adet</t>
        </is>
      </c>
      <c r="H232" s="63" t="n">
        <v>391.53</v>
      </c>
      <c r="I232" s="22" t="inlineStr">
        <is>
          <t>TRY</t>
        </is>
      </c>
      <c r="J232" s="22" t="inlineStr"/>
      <c r="K232" s="63" t="n">
        <v>168.234661713486</v>
      </c>
      <c r="L232" s="22" t="inlineStr">
        <is>
          <t>2008.H</t>
        </is>
      </c>
      <c r="M232" s="22" t="n">
        <v>13</v>
      </c>
      <c r="N232" s="22" t="inlineStr">
        <is>
          <t>Bursa T2 Kent Meydanı-Terminal tramvayı (750 V DC, 11 istasyon, 6 cer TM: TR1-TR6, ihale 2015/51291); TL, 2015 kuru ~2,92-3,0 TL/€; ELEKTRİK BİRİM FİYAT CETVELİ (maliyet keşfi, tedarikçi teklifi değil)</t>
        </is>
      </c>
    </row>
    <row r="233">
      <c r="A233" s="22" t="inlineStr">
        <is>
          <t>R00985</t>
        </is>
      </c>
      <c r="B233" s="22" t="inlineStr">
        <is>
          <t>Kent Meydani-Terminal Tram</t>
        </is>
      </c>
      <c r="C233" s="22" t="inlineStr">
        <is>
          <t>tramvay</t>
        </is>
      </c>
      <c r="D233" s="22" t="inlineStr">
        <is>
          <t>MET Mühendislik (keşif/maliyet tahmini)</t>
        </is>
      </c>
      <c r="E233" s="22" t="inlineStr">
        <is>
          <t>2015-06-08</t>
        </is>
      </c>
      <c r="F233" s="22" t="inlineStr">
        <is>
          <t>BTR E252 Sac pano 800 mm. (800 mm genislik 2100 mm yukseklik)</t>
        </is>
      </c>
      <c r="G233" s="22" t="inlineStr">
        <is>
          <t>adet</t>
        </is>
      </c>
      <c r="H233" s="63" t="n">
        <v>5033.6</v>
      </c>
      <c r="I233" s="22" t="inlineStr">
        <is>
          <t>TRY</t>
        </is>
      </c>
      <c r="J233" s="22" t="inlineStr"/>
      <c r="K233" s="63" t="n">
        <v>2162.86362015938</v>
      </c>
      <c r="L233" s="22" t="inlineStr">
        <is>
          <t>2006.B</t>
        </is>
      </c>
      <c r="M233" s="22" t="n">
        <v>6</v>
      </c>
      <c r="N233" s="22" t="inlineStr">
        <is>
          <t>Bursa T2 Kent Meydanı-Terminal tramvayı (750 V DC, 11 istasyon, 6 cer TM: TR1-TR6, ihale 2015/51291); TL, 2015 kuru ~2,92-3,0 TL/€; ELEKTRİK BİRİM FİYAT CETVELİ (maliyet keşfi, tedarikçi teklifi değil)</t>
        </is>
      </c>
    </row>
    <row r="234">
      <c r="A234" s="22" t="inlineStr">
        <is>
          <t>R00987</t>
        </is>
      </c>
      <c r="B234" s="22" t="inlineStr">
        <is>
          <t>Kent Meydani-Terminal Tram</t>
        </is>
      </c>
      <c r="C234" s="22" t="inlineStr">
        <is>
          <t>tramvay</t>
        </is>
      </c>
      <c r="D234" s="22" t="inlineStr">
        <is>
          <t>MET Mühendislik (keşif/maliyet tahmini)</t>
        </is>
      </c>
      <c r="E234" s="22" t="inlineStr">
        <is>
          <t>2015-06-08</t>
        </is>
      </c>
      <c r="F234" s="22" t="inlineStr">
        <is>
          <t>BTR E298 Pano Tipi Asırı Gerilim Koruyucusu B Sınıfı,230 VAC, 3 faz-nötr-toprak</t>
        </is>
      </c>
      <c r="G234" s="22" t="inlineStr">
        <is>
          <t>adet</t>
        </is>
      </c>
      <c r="H234" s="63" t="n">
        <v>1085.66</v>
      </c>
      <c r="I234" s="22" t="inlineStr">
        <is>
          <t>TRY</t>
        </is>
      </c>
      <c r="J234" s="22" t="inlineStr"/>
      <c r="K234" s="63" t="n">
        <v>466.492076816241</v>
      </c>
      <c r="L234" s="22" t="inlineStr">
        <is>
          <t>2006.B</t>
        </is>
      </c>
      <c r="M234" s="22" t="n">
        <v>7</v>
      </c>
      <c r="N234" s="22" t="inlineStr">
        <is>
          <t>Bursa T2 Kent Meydanı-Terminal tramvayı (750 V DC, 11 istasyon, 6 cer TM: TR1-TR6, ihale 2015/51291); TL, 2015 kuru ~2,92-3,0 TL/€; ELEKTRİK BİRİM FİYAT CETVELİ (maliyet keşfi, tedarikçi teklifi değil)</t>
        </is>
      </c>
    </row>
    <row r="235">
      <c r="A235" s="22" t="inlineStr">
        <is>
          <t>R00988</t>
        </is>
      </c>
      <c r="B235" s="22" t="inlineStr">
        <is>
          <t>Kent Meydani-Terminal Tram</t>
        </is>
      </c>
      <c r="C235" s="22" t="inlineStr">
        <is>
          <t>tramvay</t>
        </is>
      </c>
      <c r="D235" s="22" t="inlineStr">
        <is>
          <t>MET Mühendislik (keşif/maliyet tahmini)</t>
        </is>
      </c>
      <c r="E235" s="22" t="inlineStr">
        <is>
          <t>2015-06-08</t>
        </is>
      </c>
      <c r="F235" s="22" t="inlineStr">
        <is>
          <t>BTR E299 41 W Sıvaüstü 120 cm. Led Etanj Armatur (IP 65)</t>
        </is>
      </c>
      <c r="G235" s="22" t="inlineStr">
        <is>
          <t>adet</t>
        </is>
      </c>
      <c r="H235" s="63" t="n">
        <v>186.75</v>
      </c>
      <c r="I235" s="22" t="inlineStr">
        <is>
          <t>TRY</t>
        </is>
      </c>
      <c r="J235" s="22" t="inlineStr"/>
      <c r="K235" s="63" t="n">
        <v>80.2437184251359</v>
      </c>
      <c r="L235" s="22" t="inlineStr">
        <is>
          <t>5002.B</t>
        </is>
      </c>
      <c r="M235" s="22" t="n">
        <v>23</v>
      </c>
      <c r="N235" s="22" t="inlineStr">
        <is>
          <t>Bursa T2 Kent Meydanı-Terminal tramvayı (750 V DC, 11 istasyon, 6 cer TM: TR1-TR6, ihale 2015/51291); TL, 2015 kuru ~2,92-3,0 TL/€; ELEKTRİK BİRİM FİYAT CETVELİ (maliyet keşfi, tedarikçi teklifi değil)</t>
        </is>
      </c>
    </row>
    <row r="236">
      <c r="A236" s="22" t="inlineStr">
        <is>
          <t>R00989</t>
        </is>
      </c>
      <c r="B236" s="22" t="inlineStr">
        <is>
          <t>Kent Meydani-Terminal Tram</t>
        </is>
      </c>
      <c r="C236" s="22" t="inlineStr">
        <is>
          <t>tramvay</t>
        </is>
      </c>
      <c r="D236" s="22" t="inlineStr">
        <is>
          <t>MET Mühendislik (keşif/maliyet tahmini)</t>
        </is>
      </c>
      <c r="E236" s="22" t="inlineStr">
        <is>
          <t>2015-06-08</t>
        </is>
      </c>
      <c r="F236" s="22" t="inlineStr">
        <is>
          <t>BTR E300 23 W Sıvaüstü  120 cm Led Etani Armatür (IP 65)</t>
        </is>
      </c>
      <c r="G236" s="22" t="inlineStr">
        <is>
          <t>adet</t>
        </is>
      </c>
      <c r="H236" s="63" t="n">
        <v>186.75</v>
      </c>
      <c r="I236" s="22" t="inlineStr">
        <is>
          <t>TRY</t>
        </is>
      </c>
      <c r="J236" s="22" t="inlineStr"/>
      <c r="K236" s="63" t="n">
        <v>80.2437184251359</v>
      </c>
      <c r="L236" s="22" t="inlineStr">
        <is>
          <t>5002.B</t>
        </is>
      </c>
      <c r="M236" s="22" t="n">
        <v>3</v>
      </c>
      <c r="N236" s="22" t="inlineStr">
        <is>
          <t>Bursa T2 Kent Meydanı-Terminal tramvayı (750 V DC, 11 istasyon, 6 cer TM: TR1-TR6, ihale 2015/51291); TL, 2015 kuru ~2,92-3,0 TL/€; ELEKTRİK BİRİM FİYAT CETVELİ (maliyet keşfi, tedarikçi teklifi değil)</t>
        </is>
      </c>
    </row>
    <row r="237">
      <c r="A237" s="22" t="inlineStr">
        <is>
          <t>R00990</t>
        </is>
      </c>
      <c r="B237" s="22" t="inlineStr">
        <is>
          <t>Kent Meydani-Terminal Tram</t>
        </is>
      </c>
      <c r="C237" s="22" t="inlineStr">
        <is>
          <t>tramvay</t>
        </is>
      </c>
      <c r="D237" s="22" t="inlineStr">
        <is>
          <t>MET Mühendislik (keşif/maliyet tahmini)</t>
        </is>
      </c>
      <c r="E237" s="22" t="inlineStr">
        <is>
          <t>2015-06-08</t>
        </is>
      </c>
      <c r="F237" s="22" t="inlineStr">
        <is>
          <t>BTR E301 19 W Sıvaüstü  60 cm Led Etanj Armatur (IP 65)</t>
        </is>
      </c>
      <c r="G237" s="22" t="inlineStr">
        <is>
          <t>adet</t>
        </is>
      </c>
      <c r="H237" s="63" t="n">
        <v>114.18</v>
      </c>
      <c r="I237" s="22" t="inlineStr">
        <is>
          <t>TRY</t>
        </is>
      </c>
      <c r="J237" s="22" t="inlineStr"/>
      <c r="K237" s="63" t="n">
        <v>49.0614606146293</v>
      </c>
      <c r="L237" s="22" t="inlineStr">
        <is>
          <t>5002.B</t>
        </is>
      </c>
      <c r="M237" s="22" t="n">
        <v>2</v>
      </c>
      <c r="N237" s="22" t="inlineStr">
        <is>
          <t>Bursa T2 Kent Meydanı-Terminal tramvayı (750 V DC, 11 istasyon, 6 cer TM: TR1-TR6, ihale 2015/51291); TL, 2015 kuru ~2,92-3,0 TL/€; ELEKTRİK BİRİM FİYAT CETVELİ (maliyet keşfi, tedarikçi teklifi değil)</t>
        </is>
      </c>
    </row>
    <row r="238">
      <c r="A238" s="22" t="inlineStr">
        <is>
          <t>R00991</t>
        </is>
      </c>
      <c r="B238" s="22" t="inlineStr">
        <is>
          <t>Kent Meydani-Terminal Tram</t>
        </is>
      </c>
      <c r="C238" s="22" t="inlineStr">
        <is>
          <t>tramvay</t>
        </is>
      </c>
      <c r="D238" s="22" t="inlineStr">
        <is>
          <t>MET Mühendislik (keşif/maliyet tahmini)</t>
        </is>
      </c>
      <c r="E238" s="22" t="inlineStr">
        <is>
          <t>2015-06-08</t>
        </is>
      </c>
      <c r="F238" s="22" t="inlineStr">
        <is>
          <t>BTR E302 31 W Sıvaüstü  (60x60 cm) Led Kare Armator (IP 20)</t>
        </is>
      </c>
      <c r="G238" s="22" t="inlineStr">
        <is>
          <t>adet</t>
        </is>
      </c>
      <c r="H238" s="63" t="n">
        <v>168.9</v>
      </c>
      <c r="I238" s="22" t="inlineStr">
        <is>
          <t>TRY</t>
        </is>
      </c>
      <c r="J238" s="22" t="inlineStr"/>
      <c r="K238" s="63" t="n">
        <v>72.5738369049823</v>
      </c>
      <c r="L238" s="22" t="inlineStr">
        <is>
          <t>5002.G</t>
        </is>
      </c>
      <c r="M238" s="22" t="n">
        <v>3</v>
      </c>
      <c r="N238" s="22" t="inlineStr">
        <is>
          <t>Bursa T2 Kent Meydanı-Terminal tramvayı (750 V DC, 11 istasyon, 6 cer TM: TR1-TR6, ihale 2015/51291); TL, 2015 kuru ~2,92-3,0 TL/€; ELEKTRİK BİRİM FİYAT CETVELİ (maliyet keşfi, tedarikçi teklifi değil)</t>
        </is>
      </c>
    </row>
    <row r="239">
      <c r="A239" s="22" t="inlineStr">
        <is>
          <t>R00992</t>
        </is>
      </c>
      <c r="B239" s="22" t="inlineStr">
        <is>
          <t>Kent Meydani-Terminal Tram</t>
        </is>
      </c>
      <c r="C239" s="22" t="inlineStr">
        <is>
          <t>tramvay</t>
        </is>
      </c>
      <c r="D239" s="22" t="inlineStr">
        <is>
          <t>MET Mühendislik (keşif/maliyet tahmini)</t>
        </is>
      </c>
      <c r="E239" s="22" t="inlineStr">
        <is>
          <t>2015-06-08</t>
        </is>
      </c>
      <c r="F239" s="22" t="inlineStr">
        <is>
          <t>BTR E303 24 W Sıvaüstü  (15 cm) Led Downlight Armator (IP 20)</t>
        </is>
      </c>
      <c r="G239" s="22" t="inlineStr">
        <is>
          <t>adet</t>
        </is>
      </c>
      <c r="H239" s="63" t="n">
        <v>69.81</v>
      </c>
      <c r="I239" s="22" t="inlineStr">
        <is>
          <t>TRY</t>
        </is>
      </c>
      <c r="J239" s="22" t="inlineStr"/>
      <c r="K239" s="63" t="n">
        <v>29.9963265502476</v>
      </c>
      <c r="L239" s="22" t="inlineStr">
        <is>
          <t>5002.G</t>
        </is>
      </c>
      <c r="M239" s="22" t="n">
        <v>3</v>
      </c>
      <c r="N239" s="22" t="inlineStr">
        <is>
          <t>Bursa T2 Kent Meydanı-Terminal tramvayı (750 V DC, 11 istasyon, 6 cer TM: TR1-TR6, ihale 2015/51291); TL, 2015 kuru ~2,92-3,0 TL/€; ELEKTRİK BİRİM FİYAT CETVELİ (maliyet keşfi, tedarikçi teklifi değil)</t>
        </is>
      </c>
    </row>
    <row r="240">
      <c r="A240" s="22" t="inlineStr">
        <is>
          <t>R01043</t>
        </is>
      </c>
      <c r="B240" s="22" t="inlineStr">
        <is>
          <t>Kocaeli_Sekapark_Otogar_Tramvay (Kent Meydani klasöründe)</t>
        </is>
      </c>
      <c r="C240" s="22" t="inlineStr">
        <is>
          <t>tramvay</t>
        </is>
      </c>
      <c r="D240" s="22" t="inlineStr">
        <is>
          <t>Kocaeli tramvay yüklenici teklif cetveli (Sekaray?)</t>
        </is>
      </c>
      <c r="E240" s="22" t="inlineStr">
        <is>
          <t>2015-04-06</t>
        </is>
      </c>
      <c r="F240" s="22" t="inlineStr">
        <is>
          <t>RING HÜCRESİ 36 kV</t>
        </is>
      </c>
      <c r="G240" s="22" t="inlineStr">
        <is>
          <t>ad</t>
        </is>
      </c>
      <c r="H240" s="63" t="n">
        <v>74500</v>
      </c>
      <c r="I240" s="22" t="inlineStr">
        <is>
          <t>TRY</t>
        </is>
      </c>
      <c r="J240" s="22" t="inlineStr"/>
      <c r="K240" s="63" t="n">
        <v>35206.5922360816</v>
      </c>
      <c r="L240" s="22" t="inlineStr">
        <is>
          <t>2004.A</t>
        </is>
      </c>
      <c r="M240" s="22" t="n">
        <v>1</v>
      </c>
      <c r="N240" s="22" t="inlineStr">
        <is>
          <t>Kocaeli Sekapark-Otogar tramvayı (750 V DC, 6 cer TM, 12x1500 kVA cer trafo) teklif cetveli; TL KDV hariç; dosya YAPIRAY_BURSA_Teklifler klasöründe referans olarak</t>
        </is>
      </c>
    </row>
    <row r="241">
      <c r="A241" s="22" t="inlineStr">
        <is>
          <t>R01044</t>
        </is>
      </c>
      <c r="B241" s="22" t="inlineStr">
        <is>
          <t>Kocaeli_Sekapark_Otogar_Tramvay (Kent Meydani klasöründe)</t>
        </is>
      </c>
      <c r="C241" s="22" t="inlineStr">
        <is>
          <t>tramvay</t>
        </is>
      </c>
      <c r="D241" s="22" t="inlineStr">
        <is>
          <t>Kocaeli tramvay yüklenici teklif cetveli (Sekaray?)</t>
        </is>
      </c>
      <c r="E241" s="22" t="inlineStr">
        <is>
          <t>2015-04-06</t>
        </is>
      </c>
      <c r="F241" s="22" t="inlineStr">
        <is>
          <t>TRAFO BESLEME HÜCRESİ 36 kV</t>
        </is>
      </c>
      <c r="G241" s="22" t="inlineStr">
        <is>
          <t>ad</t>
        </is>
      </c>
      <c r="H241" s="63" t="n">
        <v>73250</v>
      </c>
      <c r="I241" s="22" t="inlineStr">
        <is>
          <t>TRY</t>
        </is>
      </c>
      <c r="J241" s="22" t="inlineStr"/>
      <c r="K241" s="63" t="n">
        <v>34615.877601248</v>
      </c>
      <c r="L241" s="22" t="inlineStr">
        <is>
          <t>2004.B</t>
        </is>
      </c>
      <c r="M241" s="22" t="n">
        <v>2</v>
      </c>
      <c r="N241" s="22" t="inlineStr">
        <is>
          <t>Kocaeli Sekapark-Otogar tramvayı (750 V DC, 6 cer TM, 12x1500 kVA cer trafo) teklif cetveli; TL KDV hariç; dosya YAPIRAY_BURSA_Teklifler klasöründe referans olarak</t>
        </is>
      </c>
    </row>
    <row r="242">
      <c r="A242" s="22" t="inlineStr">
        <is>
          <t>R01047</t>
        </is>
      </c>
      <c r="B242" s="22" t="inlineStr">
        <is>
          <t>Kocaeli_Sekapark_Otogar_Tramvay (Kent Meydani klasöründe)</t>
        </is>
      </c>
      <c r="C242" s="22" t="inlineStr">
        <is>
          <t>tramvay</t>
        </is>
      </c>
      <c r="D242" s="22" t="inlineStr">
        <is>
          <t>Kocaeli tramvay yüklenici teklif cetveli (Sekaray?)</t>
        </is>
      </c>
      <c r="E242" s="22" t="inlineStr">
        <is>
          <t>2015-04-06</t>
        </is>
      </c>
      <c r="F242" s="22" t="inlineStr">
        <is>
          <t>DC ÇIKIŞ FİDER HÜCRESİ</t>
        </is>
      </c>
      <c r="G242" s="22" t="inlineStr">
        <is>
          <t>ad</t>
        </is>
      </c>
      <c r="H242" s="63" t="n">
        <v>157000</v>
      </c>
      <c r="I242" s="22" t="inlineStr">
        <is>
          <t>TRY</t>
        </is>
      </c>
      <c r="J242" s="22" t="inlineStr"/>
      <c r="K242" s="63" t="n">
        <v>74193.75813509811</v>
      </c>
      <c r="L242" s="22" t="inlineStr">
        <is>
          <t>2007.A</t>
        </is>
      </c>
      <c r="M242" s="22" t="n">
        <v>2</v>
      </c>
      <c r="N242" s="22" t="inlineStr">
        <is>
          <t>Kocaeli Sekapark-Otogar tramvayı (750 V DC, 6 cer TM, 12x1500 kVA cer trafo) teklif cetveli; TL KDV hariç; dosya YAPIRAY_BURSA_Teklifler klasöründe referans olarak</t>
        </is>
      </c>
    </row>
    <row r="243">
      <c r="A243" s="22" t="inlineStr">
        <is>
          <t>R01048</t>
        </is>
      </c>
      <c r="B243" s="22" t="inlineStr">
        <is>
          <t>Kocaeli_Sekapark_Otogar_Tramvay (Kent Meydani klasöründe)</t>
        </is>
      </c>
      <c r="C243" s="22" t="inlineStr">
        <is>
          <t>tramvay</t>
        </is>
      </c>
      <c r="D243" s="22" t="inlineStr">
        <is>
          <t>Kocaeli tramvay yüklenici teklif cetveli (Sekaray?)</t>
        </is>
      </c>
      <c r="E243" s="22" t="inlineStr">
        <is>
          <t>2015-04-06</t>
        </is>
      </c>
      <c r="F243" s="22" t="inlineStr">
        <is>
          <t>DC GİRİŞ FİDER HÜCRESİ</t>
        </is>
      </c>
      <c r="G243" s="22" t="inlineStr">
        <is>
          <t>ad</t>
        </is>
      </c>
      <c r="H243" s="63" t="n">
        <v>49500</v>
      </c>
      <c r="I243" s="22" t="inlineStr">
        <is>
          <t>TRY</t>
        </is>
      </c>
      <c r="J243" s="22" t="inlineStr"/>
      <c r="K243" s="63" t="n">
        <v>23392.2995394099</v>
      </c>
      <c r="L243" s="22" t="inlineStr">
        <is>
          <t>2007.A</t>
        </is>
      </c>
      <c r="M243" s="22" t="n">
        <v>2</v>
      </c>
      <c r="N243" s="22" t="inlineStr">
        <is>
          <t>Kocaeli Sekapark-Otogar tramvayı (750 V DC, 6 cer TM, 12x1500 kVA cer trafo) teklif cetveli; TL KDV hariç; dosya YAPIRAY_BURSA_Teklifler klasöründe referans olarak</t>
        </is>
      </c>
    </row>
    <row r="244">
      <c r="A244" s="22" t="inlineStr">
        <is>
          <t>R01049</t>
        </is>
      </c>
      <c r="B244" s="22" t="inlineStr">
        <is>
          <t>Kocaeli_Sekapark_Otogar_Tramvay (Kent Meydani klasöründe)</t>
        </is>
      </c>
      <c r="C244" s="22" t="inlineStr">
        <is>
          <t>tramvay</t>
        </is>
      </c>
      <c r="D244" s="22" t="inlineStr">
        <is>
          <t>Kocaeli tramvay yüklenici teklif cetveli (Sekaray?)</t>
        </is>
      </c>
      <c r="E244" s="22" t="inlineStr">
        <is>
          <t>2015-04-06</t>
        </is>
      </c>
      <c r="F244" s="22" t="inlineStr">
        <is>
          <t>DC NEGATİF BARA HÜCRESİ</t>
        </is>
      </c>
      <c r="G244" s="22" t="inlineStr">
        <is>
          <t>ad</t>
        </is>
      </c>
      <c r="H244" s="63" t="n">
        <v>49500</v>
      </c>
      <c r="I244" s="22" t="inlineStr">
        <is>
          <t>TRY</t>
        </is>
      </c>
      <c r="J244" s="22" t="inlineStr"/>
      <c r="K244" s="63" t="n">
        <v>23392.2995394099</v>
      </c>
      <c r="L244" s="22" t="inlineStr">
        <is>
          <t>2007.A</t>
        </is>
      </c>
      <c r="M244" s="22" t="n">
        <v>2</v>
      </c>
      <c r="N244" s="22" t="inlineStr">
        <is>
          <t>Kocaeli Sekapark-Otogar tramvayı (750 V DC, 6 cer TM, 12x1500 kVA cer trafo) teklif cetveli; TL KDV hariç; dosya YAPIRAY_BURSA_Teklifler klasöründe referans olarak</t>
        </is>
      </c>
    </row>
    <row r="245">
      <c r="A245" s="22" t="inlineStr">
        <is>
          <t>R01050</t>
        </is>
      </c>
      <c r="B245" s="22" t="inlineStr">
        <is>
          <t>Kocaeli_Sekapark_Otogar_Tramvay (Kent Meydani klasöründe)</t>
        </is>
      </c>
      <c r="C245" s="22" t="inlineStr">
        <is>
          <t>tramvay</t>
        </is>
      </c>
      <c r="D245" s="22" t="inlineStr">
        <is>
          <t>Kocaeli tramvay yüklenici teklif cetveli (Sekaray?)</t>
        </is>
      </c>
      <c r="E245" s="22" t="inlineStr">
        <is>
          <t>2015-04-06</t>
        </is>
      </c>
      <c r="F245" s="22" t="inlineStr">
        <is>
          <t>DC SİSTEM KABLOLARI (1x240 2XSY) 1,8/3 kV</t>
        </is>
      </c>
      <c r="G245" s="22" t="inlineStr">
        <is>
          <t>m</t>
        </is>
      </c>
      <c r="H245" s="63" t="n">
        <v>65</v>
      </c>
      <c r="I245" s="22" t="inlineStr">
        <is>
          <t>TRY</t>
        </is>
      </c>
      <c r="J245" s="22" t="inlineStr"/>
      <c r="K245" s="63" t="n">
        <v>30.7171610113464</v>
      </c>
      <c r="L245" s="22" t="inlineStr">
        <is>
          <t>2007.A</t>
        </is>
      </c>
      <c r="M245" s="22" t="n">
        <v>6</v>
      </c>
      <c r="N245" s="22" t="inlineStr">
        <is>
          <t>Kocaeli Sekapark-Otogar tramvayı (750 V DC, 6 cer TM, 12x1500 kVA cer trafo) teklif cetveli; TL KDV hariç; dosya YAPIRAY_BURSA_Teklifler klasöründe referans olarak</t>
        </is>
      </c>
    </row>
    <row r="246">
      <c r="A246" s="22" t="inlineStr">
        <is>
          <t>R01052</t>
        </is>
      </c>
      <c r="B246" s="22" t="inlineStr">
        <is>
          <t>Kocaeli_Sekapark_Otogar_Tramvay (Kent Meydani klasöründe)</t>
        </is>
      </c>
      <c r="C246" s="22" t="inlineStr">
        <is>
          <t>tramvay</t>
        </is>
      </c>
      <c r="D246" s="22" t="inlineStr">
        <is>
          <t>Kocaeli tramvay yüklenici teklif cetveli (Sekaray?)</t>
        </is>
      </c>
      <c r="E246" s="22" t="inlineStr">
        <is>
          <t>2015-04-06</t>
        </is>
      </c>
      <c r="F246" s="22" t="inlineStr">
        <is>
          <t>İÇ İHTİYAÇ TRAFOSU 250 KVA</t>
        </is>
      </c>
      <c r="G246" s="22" t="inlineStr">
        <is>
          <t>ad</t>
        </is>
      </c>
      <c r="H246" s="63" t="n">
        <v>67750</v>
      </c>
      <c r="I246" s="22" t="inlineStr">
        <is>
          <t>TRY</t>
        </is>
      </c>
      <c r="J246" s="22" t="inlineStr"/>
      <c r="K246" s="63" t="n">
        <v>32016.7332079802</v>
      </c>
      <c r="L246" s="22" t="inlineStr">
        <is>
          <t>2005.A</t>
        </is>
      </c>
      <c r="M246" s="22" t="n">
        <v>1</v>
      </c>
      <c r="N246" s="22" t="inlineStr">
        <is>
          <t>Kocaeli Sekapark-Otogar tramvayı (750 V DC, 6 cer TM, 12x1500 kVA cer trafo) teklif cetveli; TL KDV hariç; dosya YAPIRAY_BURSA_Teklifler klasöründe referans olarak</t>
        </is>
      </c>
    </row>
    <row r="247">
      <c r="A247" s="22" t="inlineStr">
        <is>
          <t>R01053</t>
        </is>
      </c>
      <c r="B247" s="22" t="inlineStr">
        <is>
          <t>Kocaeli_Sekapark_Otogar_Tramvay (Kent Meydani klasöründe)</t>
        </is>
      </c>
      <c r="C247" s="22" t="inlineStr">
        <is>
          <t>tramvay</t>
        </is>
      </c>
      <c r="D247" s="22" t="inlineStr">
        <is>
          <t>Kocaeli tramvay yüklenici teklif cetveli (Sekaray?)</t>
        </is>
      </c>
      <c r="E247" s="22" t="inlineStr">
        <is>
          <t>2015-04-06</t>
        </is>
      </c>
      <c r="F247" s="22" t="inlineStr">
        <is>
          <t>220/380 V AC DAĞITIM PANOSU (cer TM)</t>
        </is>
      </c>
      <c r="G247" s="22" t="inlineStr">
        <is>
          <t>ad</t>
        </is>
      </c>
      <c r="H247" s="63" t="n">
        <v>23880</v>
      </c>
      <c r="I247" s="22" t="inlineStr">
        <is>
          <t>TRY</t>
        </is>
      </c>
      <c r="J247" s="22" t="inlineStr"/>
      <c r="K247" s="63" t="n">
        <v>11285.0123838608</v>
      </c>
      <c r="L247" s="22" t="inlineStr">
        <is>
          <t>2006.H</t>
        </is>
      </c>
      <c r="M247" s="22" t="n">
        <v>1</v>
      </c>
      <c r="N247" s="22" t="inlineStr">
        <is>
          <t>Kocaeli Sekapark-Otogar tramvayı (750 V DC, 6 cer TM, 12x1500 kVA cer trafo) teklif cetveli; TL KDV hariç; dosya YAPIRAY_BURSA_Teklifler klasöründe referans olarak</t>
        </is>
      </c>
    </row>
    <row r="248">
      <c r="A248" s="22" t="inlineStr">
        <is>
          <t>R01054</t>
        </is>
      </c>
      <c r="B248" s="22" t="inlineStr">
        <is>
          <t>Kocaeli_Sekapark_Otogar_Tramvay (Kent Meydani klasöründe)</t>
        </is>
      </c>
      <c r="C248" s="22" t="inlineStr">
        <is>
          <t>tramvay</t>
        </is>
      </c>
      <c r="D248" s="22" t="inlineStr">
        <is>
          <t>Kocaeli tramvay yüklenici teklif cetveli (Sekaray?)</t>
        </is>
      </c>
      <c r="E248" s="22" t="inlineStr">
        <is>
          <t>2015-04-06</t>
        </is>
      </c>
      <c r="F248" s="22" t="inlineStr">
        <is>
          <t>110 V DC BESLEME/DAĞITIM PANOSU</t>
        </is>
      </c>
      <c r="G248" s="22" t="inlineStr">
        <is>
          <t>ad</t>
        </is>
      </c>
      <c r="H248" s="63" t="n">
        <v>5130</v>
      </c>
      <c r="I248" s="22" t="inlineStr">
        <is>
          <t>TRY</t>
        </is>
      </c>
      <c r="J248" s="22" t="inlineStr"/>
      <c r="K248" s="63" t="n">
        <v>2424.29286135703</v>
      </c>
      <c r="L248" s="22" t="inlineStr">
        <is>
          <t>2009.A</t>
        </is>
      </c>
      <c r="M248" s="22" t="n">
        <v>1</v>
      </c>
      <c r="N248" s="22" t="inlineStr">
        <is>
          <t>Kocaeli Sekapark-Otogar tramvayı (750 V DC, 6 cer TM, 12x1500 kVA cer trafo) teklif cetveli; TL KDV hariç; dosya YAPIRAY_BURSA_Teklifler klasöründe referans olarak</t>
        </is>
      </c>
    </row>
    <row r="249">
      <c r="A249" s="22" t="inlineStr">
        <is>
          <t>R01055</t>
        </is>
      </c>
      <c r="B249" s="22" t="inlineStr">
        <is>
          <t>Kocaeli_Sekapark_Otogar_Tramvay (Kent Meydani klasöründe)</t>
        </is>
      </c>
      <c r="C249" s="22" t="inlineStr">
        <is>
          <t>tramvay</t>
        </is>
      </c>
      <c r="D249" s="22" t="inlineStr">
        <is>
          <t>Kocaeli tramvay yüklenici teklif cetveli (Sekaray?)</t>
        </is>
      </c>
      <c r="E249" s="22" t="inlineStr">
        <is>
          <t>2015-04-06</t>
        </is>
      </c>
      <c r="F249" s="22" t="inlineStr">
        <is>
          <t>REDRESÖR GRUBU 110 V DC 85 Ah (Ni-Cd akü+şarj)</t>
        </is>
      </c>
      <c r="G249" s="22" t="inlineStr">
        <is>
          <t>ad</t>
        </is>
      </c>
      <c r="H249" s="63" t="n">
        <v>37412</v>
      </c>
      <c r="I249" s="22" t="inlineStr">
        <is>
          <t>TRY</t>
        </is>
      </c>
      <c r="J249" s="22" t="inlineStr"/>
      <c r="K249" s="63" t="n">
        <v>17679.8527347152</v>
      </c>
      <c r="L249" s="22" t="inlineStr">
        <is>
          <t>2009.A</t>
        </is>
      </c>
      <c r="M249" s="22" t="n">
        <v>2</v>
      </c>
      <c r="N249" s="22" t="inlineStr">
        <is>
          <t>Kocaeli Sekapark-Otogar tramvayı (750 V DC, 6 cer TM, 12x1500 kVA cer trafo) teklif cetveli; TL KDV hariç; dosya YAPIRAY_BURSA_Teklifler klasöründe referans olarak</t>
        </is>
      </c>
    </row>
    <row r="250">
      <c r="A250" s="22" t="inlineStr">
        <is>
          <t>R01056</t>
        </is>
      </c>
      <c r="B250" s="22" t="inlineStr">
        <is>
          <t>Kocaeli_Sekapark_Otogar_Tramvay (Kent Meydani klasöründe)</t>
        </is>
      </c>
      <c r="C250" s="22" t="inlineStr">
        <is>
          <t>tramvay</t>
        </is>
      </c>
      <c r="D250" s="22" t="inlineStr">
        <is>
          <t>Kocaeli tramvay yüklenici teklif cetveli (Sekaray?)</t>
        </is>
      </c>
      <c r="E250" s="22" t="inlineStr">
        <is>
          <t>2015-04-06</t>
        </is>
      </c>
      <c r="F250" s="22" t="inlineStr">
        <is>
          <t>TRAFO MERKEZİ TOPRAKLAMA VE YILDIRIMDAN KORUMA SİSTEMİ</t>
        </is>
      </c>
      <c r="G250" s="22" t="inlineStr">
        <is>
          <t>ad</t>
        </is>
      </c>
      <c r="H250" s="63" t="n">
        <v>15950</v>
      </c>
      <c r="I250" s="22" t="inlineStr">
        <is>
          <t>TRY</t>
        </is>
      </c>
      <c r="J250" s="22" t="inlineStr"/>
      <c r="K250" s="63" t="n">
        <v>7537.51874047653</v>
      </c>
      <c r="L250" s="22" t="inlineStr">
        <is>
          <t>2008.H</t>
        </is>
      </c>
      <c r="M250" s="22" t="n">
        <v>1</v>
      </c>
      <c r="N250" s="22" t="inlineStr">
        <is>
          <t>Kocaeli Sekapark-Otogar tramvayı (750 V DC, 6 cer TM, 12x1500 kVA cer trafo) teklif cetveli; TL KDV hariç; dosya YAPIRAY_BURSA_Teklifler klasöründe referans olarak</t>
        </is>
      </c>
    </row>
    <row r="251">
      <c r="A251" s="22" t="inlineStr">
        <is>
          <t>R01057</t>
        </is>
      </c>
      <c r="B251" s="22" t="inlineStr">
        <is>
          <t>Kocaeli_Sekapark_Otogar_Tramvay (Kent Meydani klasöründe)</t>
        </is>
      </c>
      <c r="C251" s="22" t="inlineStr">
        <is>
          <t>tramvay</t>
        </is>
      </c>
      <c r="D251" s="22" t="inlineStr">
        <is>
          <t>Kocaeli tramvay yüklenici teklif cetveli (Sekaray?)</t>
        </is>
      </c>
      <c r="E251" s="22" t="inlineStr">
        <is>
          <t>2015-04-06</t>
        </is>
      </c>
      <c r="F251" s="22" t="inlineStr">
        <is>
          <t>KESİNTİSİZ GÜÇ KAYNAKLARI (UPS) 20 kVA (cer TM)</t>
        </is>
      </c>
      <c r="G251" s="22" t="inlineStr">
        <is>
          <t>ad</t>
        </is>
      </c>
      <c r="H251" s="63" t="n">
        <v>15537.5</v>
      </c>
      <c r="I251" s="22" t="inlineStr">
        <is>
          <t>TRY</t>
        </is>
      </c>
      <c r="J251" s="22" t="inlineStr"/>
      <c r="K251" s="63" t="n">
        <v>7342.58291098145</v>
      </c>
      <c r="L251" s="22" t="inlineStr">
        <is>
          <t>5002.I</t>
        </is>
      </c>
      <c r="M251" s="22" t="n">
        <v>1</v>
      </c>
      <c r="N251" s="22" t="inlineStr">
        <is>
          <t>Kocaeli Sekapark-Otogar tramvayı (750 V DC, 6 cer TM, 12x1500 kVA cer trafo) teklif cetveli; TL KDV hariç; dosya YAPIRAY_BURSA_Teklifler klasöründe referans olarak</t>
        </is>
      </c>
    </row>
    <row r="252">
      <c r="A252" s="22" t="inlineStr">
        <is>
          <t>R01067</t>
        </is>
      </c>
      <c r="B252" s="22" t="inlineStr">
        <is>
          <t>Kocaeli_Sekapark_Otogar_Tramvay (Kent Meydani klasöründe)</t>
        </is>
      </c>
      <c r="C252" s="22" t="inlineStr">
        <is>
          <t>tramvay</t>
        </is>
      </c>
      <c r="D252" s="22" t="inlineStr">
        <is>
          <t>Sekaray BFTC (taşeron/ tedarikçi birim fiyat teklifi)</t>
        </is>
      </c>
      <c r="E252" s="22" t="inlineStr">
        <is>
          <t>2015-04-08</t>
        </is>
      </c>
      <c r="F252" s="22" t="inlineStr">
        <is>
          <t>RING HÜCRESİ metal gövdeli 36 kV 1250 A 25 kA vakum kesicili arabalı, röle+analizör+AT/GT dahil</t>
        </is>
      </c>
      <c r="G252" s="22" t="inlineStr">
        <is>
          <t>ad</t>
        </is>
      </c>
      <c r="H252" s="63" t="n">
        <v>37000</v>
      </c>
      <c r="I252" s="22" t="inlineStr">
        <is>
          <t>TRY</t>
        </is>
      </c>
      <c r="J252" s="22" t="inlineStr"/>
      <c r="K252" s="63" t="n">
        <v>17488.2600057846</v>
      </c>
      <c r="L252" s="22" t="inlineStr">
        <is>
          <t>2004.A</t>
        </is>
      </c>
      <c r="M252" s="22" t="n">
        <v>1</v>
      </c>
      <c r="N252" s="22" t="inlineStr">
        <is>
          <t>Kocaeli Sekapark-Otogar tramvayı (750 V DC, 6 cer TM, 12x1500 kVA cer trafo) teklif cetveli; TL KDV hariç; dosya YAPIRAY_BURSA_Teklifler klasöründe referans olarak; bu teklifte cer trafo, redresör, DC hücreler fiyatlandırılmamış (-); TL</t>
        </is>
      </c>
    </row>
    <row r="253">
      <c r="A253" s="22" t="inlineStr">
        <is>
          <t>R01068</t>
        </is>
      </c>
      <c r="B253" s="22" t="inlineStr">
        <is>
          <t>Kocaeli_Sekapark_Otogar_Tramvay (Kent Meydani klasöründe)</t>
        </is>
      </c>
      <c r="C253" s="22" t="inlineStr">
        <is>
          <t>tramvay</t>
        </is>
      </c>
      <c r="D253" s="22" t="inlineStr">
        <is>
          <t>Sekaray BFTC (taşeron/ tedarikçi birim fiyat teklifi)</t>
        </is>
      </c>
      <c r="E253" s="22" t="inlineStr">
        <is>
          <t>2015-04-08</t>
        </is>
      </c>
      <c r="F253" s="22" t="inlineStr">
        <is>
          <t>TRAFO BESLEME HÜCRESİ 36 kV 630 A 25 kA SF6/vakum kesicili arabalı, röle+analizör</t>
        </is>
      </c>
      <c r="G253" s="22" t="inlineStr">
        <is>
          <t>ad</t>
        </is>
      </c>
      <c r="H253" s="63" t="n">
        <v>16000</v>
      </c>
      <c r="I253" s="22" t="inlineStr">
        <is>
          <t>TRY</t>
        </is>
      </c>
      <c r="J253" s="22" t="inlineStr"/>
      <c r="K253" s="63" t="n">
        <v>7562.49081331228</v>
      </c>
      <c r="L253" s="22" t="inlineStr">
        <is>
          <t>2004.B</t>
        </is>
      </c>
      <c r="M253" s="22" t="n">
        <v>1</v>
      </c>
      <c r="N253" s="22" t="inlineStr">
        <is>
          <t>Kocaeli Sekapark-Otogar tramvayı (750 V DC, 6 cer TM, 12x1500 kVA cer trafo) teklif cetveli; TL KDV hariç; dosya YAPIRAY_BURSA_Teklifler klasöründe referans olarak; bu teklifte cer trafo, redresör, DC hücreler fiyatlandırılmamış (-); TL</t>
        </is>
      </c>
    </row>
    <row r="254">
      <c r="A254" s="22" t="inlineStr">
        <is>
          <t>R01070</t>
        </is>
      </c>
      <c r="B254" s="22" t="inlineStr">
        <is>
          <t>Kocaeli_Sekapark_Otogar_Tramvay (Kent Meydani klasöründe)</t>
        </is>
      </c>
      <c r="C254" s="22" t="inlineStr">
        <is>
          <t>tramvay</t>
        </is>
      </c>
      <c r="D254" s="22" t="inlineStr">
        <is>
          <t>Sekaray BFTC (taşeron/ tedarikçi birim fiyat teklifi)</t>
        </is>
      </c>
      <c r="E254" s="22" t="inlineStr">
        <is>
          <t>2015-04-08</t>
        </is>
      </c>
      <c r="F254" s="22" t="inlineStr">
        <is>
          <t>İÇ İHTİYAÇ TRAFOSU 250 kVA kuru tip bakır sargılı kabinli IP23</t>
        </is>
      </c>
      <c r="G254" s="22" t="inlineStr">
        <is>
          <t>ad</t>
        </is>
      </c>
      <c r="H254" s="63" t="n">
        <v>25000</v>
      </c>
      <c r="I254" s="22" t="inlineStr">
        <is>
          <t>TRY</t>
        </is>
      </c>
      <c r="J254" s="22" t="inlineStr"/>
      <c r="K254" s="63" t="n">
        <v>11816.3918958004</v>
      </c>
      <c r="L254" s="22" t="inlineStr">
        <is>
          <t>2005.A</t>
        </is>
      </c>
      <c r="M254" s="22" t="n">
        <v>1</v>
      </c>
      <c r="N254" s="22" t="inlineStr">
        <is>
          <t>Kocaeli Sekapark-Otogar tramvayı (750 V DC, 6 cer TM, 12x1500 kVA cer trafo) teklif cetveli; TL KDV hariç; dosya YAPIRAY_BURSA_Teklifler klasöründe referans olarak; bu teklifte cer trafo, redresör, DC hücreler fiyatlandırılmamış (-); TL</t>
        </is>
      </c>
    </row>
    <row r="255">
      <c r="A255" s="22" t="inlineStr">
        <is>
          <t>R01071</t>
        </is>
      </c>
      <c r="B255" s="22" t="inlineStr">
        <is>
          <t>Kocaeli_Sekapark_Otogar_Tramvay (Kent Meydani klasöründe)</t>
        </is>
      </c>
      <c r="C255" s="22" t="inlineStr">
        <is>
          <t>tramvay</t>
        </is>
      </c>
      <c r="D255" s="22" t="inlineStr">
        <is>
          <t>Sekaray BFTC (taşeron/ tedarikçi birim fiyat teklifi)</t>
        </is>
      </c>
      <c r="E255" s="22" t="inlineStr">
        <is>
          <t>2015-04-08</t>
        </is>
      </c>
      <c r="F255" s="22" t="inlineStr">
        <is>
          <t>220/380 V AC DAĞITIM PANOSU</t>
        </is>
      </c>
      <c r="G255" s="22" t="inlineStr">
        <is>
          <t>ad</t>
        </is>
      </c>
      <c r="H255" s="63" t="n">
        <v>26000</v>
      </c>
      <c r="I255" s="22" t="inlineStr">
        <is>
          <t>TRY</t>
        </is>
      </c>
      <c r="J255" s="22" t="inlineStr"/>
      <c r="K255" s="63" t="n">
        <v>12289.0475716325</v>
      </c>
      <c r="L255" s="22" t="inlineStr">
        <is>
          <t>2006.H</t>
        </is>
      </c>
      <c r="M255" s="22" t="n">
        <v>1</v>
      </c>
      <c r="N255" s="22" t="inlineStr">
        <is>
          <t>Kocaeli Sekapark-Otogar tramvayı (750 V DC, 6 cer TM, 12x1500 kVA cer trafo) teklif cetveli; TL KDV hariç; dosya YAPIRAY_BURSA_Teklifler klasöründe referans olarak; bu teklifte cer trafo, redresör, DC hücreler fiyatlandırılmamış (-); TL</t>
        </is>
      </c>
    </row>
    <row r="256">
      <c r="A256" s="22" t="inlineStr">
        <is>
          <t>R01075</t>
        </is>
      </c>
      <c r="B256" s="22" t="inlineStr">
        <is>
          <t>Kocaeli_Sekapark_Otogar_Tramvay (Kent Meydani klasöründe)</t>
        </is>
      </c>
      <c r="C256" s="22" t="inlineStr">
        <is>
          <t>tramvay</t>
        </is>
      </c>
      <c r="D256" s="22" t="inlineStr">
        <is>
          <t>Sekaray BFTC (taşeron/ tedarikçi birim fiyat teklifi)</t>
        </is>
      </c>
      <c r="E256" s="22" t="inlineStr">
        <is>
          <t>2015-04-08</t>
        </is>
      </c>
      <c r="F256" s="22" t="inlineStr">
        <is>
          <t>DC SİSTEM KABLOLARI (1x240 2XSY)</t>
        </is>
      </c>
      <c r="G256" s="22" t="inlineStr">
        <is>
          <t>mt</t>
        </is>
      </c>
      <c r="H256" s="63" t="n">
        <v>60</v>
      </c>
      <c r="I256" s="22" t="inlineStr">
        <is>
          <t>TRY</t>
        </is>
      </c>
      <c r="J256" s="22" t="inlineStr"/>
      <c r="K256" s="63" t="n">
        <v>28.3593405499211</v>
      </c>
      <c r="L256" s="22" t="inlineStr">
        <is>
          <t>2007.A</t>
        </is>
      </c>
      <c r="M256" s="22" t="n">
        <v>6</v>
      </c>
      <c r="N256" s="22" t="inlineStr">
        <is>
          <t>Kocaeli Sekapark-Otogar tramvayı (750 V DC, 6 cer TM, 12x1500 kVA cer trafo) teklif cetveli; TL KDV hariç; dosya YAPIRAY_BURSA_Teklifler klasöründe referans olarak; bu teklifte cer trafo, redresör, DC hücreler fiyatlandırılmamış (-); TL</t>
        </is>
      </c>
    </row>
    <row r="257">
      <c r="A257" s="22" t="inlineStr">
        <is>
          <t>R01077</t>
        </is>
      </c>
      <c r="B257" s="22" t="inlineStr">
        <is>
          <t>Kocaeli_Sekapark_Otogar_Tramvay (Kent Meydani klasöründe)</t>
        </is>
      </c>
      <c r="C257" s="22" t="inlineStr">
        <is>
          <t>tramvay</t>
        </is>
      </c>
      <c r="D257" s="22" t="inlineStr">
        <is>
          <t>Sekaray BFTC (taşeron/ tedarikçi birim fiyat teklifi)</t>
        </is>
      </c>
      <c r="E257" s="22" t="inlineStr">
        <is>
          <t>2015-04-08</t>
        </is>
      </c>
      <c r="F257" s="22" t="inlineStr">
        <is>
          <t>Adreslenebilir yangın alarm kontrol paneli 128 bölge</t>
        </is>
      </c>
      <c r="G257" s="22" t="inlineStr">
        <is>
          <t>ad</t>
        </is>
      </c>
      <c r="H257" s="63" t="n">
        <v>7150</v>
      </c>
      <c r="I257" s="22" t="inlineStr">
        <is>
          <t>TRY</t>
        </is>
      </c>
      <c r="J257" s="22" t="inlineStr"/>
      <c r="K257" s="63" t="n">
        <v>3379.48808219893</v>
      </c>
      <c r="L257" s="22" t="inlineStr">
        <is>
          <t>5004.G</t>
        </is>
      </c>
      <c r="M257" s="22" t="n">
        <v>10</v>
      </c>
      <c r="N257" s="22" t="inlineStr">
        <is>
          <t>Kocaeli Sekapark-Otogar tramvayı (750 V DC, 6 cer TM, 12x1500 kVA cer trafo) teklif cetveli; TL KDV hariç; dosya YAPIRAY_BURSA_Teklifler klasöründe referans olarak; bu teklifte cer trafo, redresör, DC hücreler fiyatlandırılmamış (-); TL</t>
        </is>
      </c>
    </row>
    <row r="258">
      <c r="A258" s="22" t="inlineStr">
        <is>
          <t>R01078</t>
        </is>
      </c>
      <c r="B258" s="22" t="inlineStr">
        <is>
          <t>Kocaeli_Sekapark_Otogar_Tramvay (Kent Meydani klasöründe)</t>
        </is>
      </c>
      <c r="C258" s="22" t="inlineStr">
        <is>
          <t>tramvay</t>
        </is>
      </c>
      <c r="D258" s="22" t="inlineStr">
        <is>
          <t>Sekaray BFTC (taşeron/ tedarikçi birim fiyat teklifi)</t>
        </is>
      </c>
      <c r="E258" s="22" t="inlineStr">
        <is>
          <t>2015-04-08</t>
        </is>
      </c>
      <c r="F258" s="22" t="inlineStr">
        <is>
          <t>Adresli optik duman dedektörü</t>
        </is>
      </c>
      <c r="G258" s="22" t="inlineStr">
        <is>
          <t>ad</t>
        </is>
      </c>
      <c r="H258" s="63" t="n">
        <v>77</v>
      </c>
      <c r="I258" s="22" t="inlineStr">
        <is>
          <t>TRY</t>
        </is>
      </c>
      <c r="J258" s="22" t="inlineStr"/>
      <c r="K258" s="63" t="n">
        <v>36.3944870390653</v>
      </c>
      <c r="L258" s="22" t="inlineStr">
        <is>
          <t>5004.B</t>
        </is>
      </c>
      <c r="M258" s="22" t="n">
        <v>13</v>
      </c>
      <c r="N258" s="22" t="inlineStr">
        <is>
          <t>Kocaeli Sekapark-Otogar tramvayı (750 V DC, 6 cer TM, 12x1500 kVA cer trafo) teklif cetveli; TL KDV hariç; dosya YAPIRAY_BURSA_Teklifler klasöründe referans olarak; bu teklifte cer trafo, redresör, DC hücreler fiyatlandırılmamış (-); TL</t>
        </is>
      </c>
    </row>
    <row r="259">
      <c r="A259" s="22" t="inlineStr">
        <is>
          <t>R01080</t>
        </is>
      </c>
      <c r="B259" s="22" t="inlineStr">
        <is>
          <t>Kocaeli_Sekapark_Otogar_Tramvay (Kent Meydani klasöründe)</t>
        </is>
      </c>
      <c r="C259" s="22" t="inlineStr">
        <is>
          <t>tramvay</t>
        </is>
      </c>
      <c r="D259" s="22" t="inlineStr">
        <is>
          <t>Sekaray BFTC (taşeron/ tedarikçi birim fiyat teklifi)</t>
        </is>
      </c>
      <c r="E259" s="22" t="inlineStr">
        <is>
          <t>2015-04-08</t>
        </is>
      </c>
      <c r="F259" s="22" t="inlineStr">
        <is>
          <t>Adresli yangın alarm butonu cam kırma tipi izolatörlü</t>
        </is>
      </c>
      <c r="G259" s="22" t="inlineStr">
        <is>
          <t>ad</t>
        </is>
      </c>
      <c r="H259" s="63" t="n">
        <v>253</v>
      </c>
      <c r="I259" s="22" t="inlineStr">
        <is>
          <t>TRY</t>
        </is>
      </c>
      <c r="J259" s="22" t="inlineStr"/>
      <c r="K259" s="63" t="n">
        <v>119.5818859855</v>
      </c>
      <c r="L259" s="22" t="inlineStr">
        <is>
          <t>5004.B</t>
        </is>
      </c>
      <c r="M259" s="22" t="n">
        <v>13</v>
      </c>
      <c r="N259" s="22" t="inlineStr">
        <is>
          <t>Kocaeli Sekapark-Otogar tramvayı (750 V DC, 6 cer TM, 12x1500 kVA cer trafo) teklif cetveli; TL KDV hariç; dosya YAPIRAY_BURSA_Teklifler klasöründe referans olarak; bu teklifte cer trafo, redresör, DC hücreler fiyatlandırılmamış (-); TL</t>
        </is>
      </c>
    </row>
    <row r="260">
      <c r="A260" s="22" t="inlineStr">
        <is>
          <t>R01081</t>
        </is>
      </c>
      <c r="B260" s="22" t="inlineStr">
        <is>
          <t>Kocaeli_Sekapark_Otogar_Tramvay (Kent Meydani klasöründe)</t>
        </is>
      </c>
      <c r="C260" s="22" t="inlineStr">
        <is>
          <t>tramvay</t>
        </is>
      </c>
      <c r="D260" s="22" t="inlineStr">
        <is>
          <t>Sekaray BFTC (taşeron/ tedarikçi birim fiyat teklifi)</t>
        </is>
      </c>
      <c r="E260" s="22" t="inlineStr">
        <is>
          <t>2015-04-08</t>
        </is>
      </c>
      <c r="F260" s="22" t="inlineStr">
        <is>
          <t>Elektronik siren 106 dB</t>
        </is>
      </c>
      <c r="G260" s="22" t="inlineStr">
        <is>
          <t>ad</t>
        </is>
      </c>
      <c r="H260" s="63" t="n">
        <v>132</v>
      </c>
      <c r="I260" s="22" t="inlineStr">
        <is>
          <t>TRY</t>
        </is>
      </c>
      <c r="J260" s="22" t="inlineStr"/>
      <c r="K260" s="63" t="n">
        <v>62.3905492098263</v>
      </c>
      <c r="L260" s="22" t="inlineStr">
        <is>
          <t>5004.B</t>
        </is>
      </c>
      <c r="M260" s="22" t="n">
        <v>10</v>
      </c>
      <c r="N260" s="22" t="inlineStr">
        <is>
          <t>Kocaeli Sekapark-Otogar tramvayı (750 V DC, 6 cer TM, 12x1500 kVA cer trafo) teklif cetveli; TL KDV hariç; dosya YAPIRAY_BURSA_Teklifler klasöründe referans olarak; bu teklifte cer trafo, redresör, DC hücreler fiyatlandırılmamış (-); TL</t>
        </is>
      </c>
    </row>
    <row r="261">
      <c r="A261" s="22" t="inlineStr">
        <is>
          <t>R01082</t>
        </is>
      </c>
      <c r="B261" s="22" t="inlineStr">
        <is>
          <t>Kocaeli_Sekapark_Otogar_Tramvay (Kent Meydani klasöründe)</t>
        </is>
      </c>
      <c r="C261" s="22" t="inlineStr">
        <is>
          <t>tramvay</t>
        </is>
      </c>
      <c r="D261" s="22" t="inlineStr">
        <is>
          <t>Sekaray BFTC (taşeron/ tedarikçi birim fiyat teklifi)</t>
        </is>
      </c>
      <c r="E261" s="22" t="inlineStr">
        <is>
          <t>2015-04-08</t>
        </is>
      </c>
      <c r="F261" s="22" t="inlineStr">
        <is>
          <t>Fireray reflektörlü ışın tipi duman dedektörü 5-50 m</t>
        </is>
      </c>
      <c r="G261" s="22" t="inlineStr">
        <is>
          <t>ad</t>
        </is>
      </c>
      <c r="H261" s="63" t="n">
        <v>3080</v>
      </c>
      <c r="I261" s="22" t="inlineStr">
        <is>
          <t>TRY</t>
        </is>
      </c>
      <c r="J261" s="22" t="inlineStr"/>
      <c r="K261" s="63" t="n">
        <v>1455.77948156261</v>
      </c>
      <c r="L261" s="22" t="inlineStr">
        <is>
          <t>5004.B</t>
        </is>
      </c>
      <c r="M261" s="22" t="n">
        <v>7</v>
      </c>
      <c r="N261" s="22" t="inlineStr">
        <is>
          <t>Kocaeli Sekapark-Otogar tramvayı (750 V DC, 6 cer TM, 12x1500 kVA cer trafo) teklif cetveli; TL KDV hariç; dosya YAPIRAY_BURSA_Teklifler klasöründe referans olarak; bu teklifte cer trafo, redresör, DC hücreler fiyatlandırılmamış (-); TL</t>
        </is>
      </c>
    </row>
    <row r="262">
      <c r="A262" s="22" t="inlineStr">
        <is>
          <t>R01083</t>
        </is>
      </c>
      <c r="B262" s="22" t="inlineStr">
        <is>
          <t>Mezitli_3_Ocak_HRS_Metro</t>
        </is>
      </c>
      <c r="C262" s="22" t="inlineStr">
        <is>
          <t>metro</t>
        </is>
      </c>
      <c r="D262" s="22" t="inlineStr">
        <is>
          <t>Aktif Mühendislik (cast resin trafo)</t>
        </is>
      </c>
      <c r="E262" s="22" t="inlineStr">
        <is>
          <t>2021-01-11</t>
        </is>
      </c>
      <c r="F262" s="22" t="inlineStr">
        <is>
          <t>Cast resin cer trafosu 2500 kVA 31,5/0,6-0,6 kV + IP23 kabin</t>
        </is>
      </c>
      <c r="G262" s="22" t="inlineStr">
        <is>
          <t>adet</t>
        </is>
      </c>
      <c r="H262" s="63" t="n">
        <v>54875</v>
      </c>
      <c r="I262" s="22" t="inlineStr">
        <is>
          <t>EUR</t>
        </is>
      </c>
      <c r="J262" s="22" t="inlineStr"/>
      <c r="K262" s="63" t="n">
        <v>69597.89685007599</v>
      </c>
      <c r="L262" s="22" t="inlineStr">
        <is>
          <t>2007.A</t>
        </is>
      </c>
      <c r="M262" s="22" t="n">
        <v>2</v>
      </c>
      <c r="N262" s="22" t="inlineStr">
        <is>
          <t>Mersin metrosu Gar-Mezitli (1500 V DC, ~13,4 km, 11 yeraltı istasyon+depo, 5 cer TM, 31,5 kV); trafo+kabin fiyatı toplandı (cer trafo 47.375+7.500 €); EXW, 30 gün geçerli; toplam 1.016.250 €; NOT: 31,5 kV (URF 34,5 kV)</t>
        </is>
      </c>
    </row>
    <row r="263">
      <c r="A263" s="22" t="inlineStr">
        <is>
          <t>R01085</t>
        </is>
      </c>
      <c r="B263" s="22" t="inlineStr">
        <is>
          <t>Mezitli_3_Ocak_HRS_Metro</t>
        </is>
      </c>
      <c r="C263" s="22" t="inlineStr">
        <is>
          <t>metro</t>
        </is>
      </c>
      <c r="D263" s="22" t="inlineStr">
        <is>
          <t>Aktif Mühendislik (cast resin trafo)</t>
        </is>
      </c>
      <c r="E263" s="22" t="inlineStr">
        <is>
          <t>2021-01-11</t>
        </is>
      </c>
      <c r="F263" s="22" t="inlineStr">
        <is>
          <t>Cast resin trafo 2000 kVA 31,5/0,4 kV + IP23 kabin</t>
        </is>
      </c>
      <c r="G263" s="22" t="inlineStr">
        <is>
          <t>adet</t>
        </is>
      </c>
      <c r="H263" s="63" t="n">
        <v>29125</v>
      </c>
      <c r="I263" s="22" t="inlineStr">
        <is>
          <t>EUR</t>
        </is>
      </c>
      <c r="J263" s="22" t="inlineStr"/>
      <c r="K263" s="63" t="n">
        <v>36939.2026561907</v>
      </c>
      <c r="L263" s="22" t="inlineStr">
        <is>
          <t>2005.B</t>
        </is>
      </c>
      <c r="M263" s="22" t="n">
        <v>1</v>
      </c>
      <c r="N263" s="22" t="inlineStr">
        <is>
          <t>Mersin metrosu Gar-Mezitli (1500 V DC, ~13,4 km, 11 yeraltı istasyon+depo, 5 cer TM, 31,5 kV); trafo+kabin fiyatı toplandı (cer trafo 47.375+7.500 €); EXW, 30 gün geçerli; toplam 1.016.250 €; NOT: 31,5 kV (URF 34,5 kV)</t>
        </is>
      </c>
    </row>
    <row r="264">
      <c r="A264" s="22" t="inlineStr">
        <is>
          <t>R01091</t>
        </is>
      </c>
      <c r="B264" s="22" t="inlineStr">
        <is>
          <t>Mezitli_3_Ocak_HRS_Metro</t>
        </is>
      </c>
      <c r="C264" s="22" t="inlineStr">
        <is>
          <t>metro</t>
        </is>
      </c>
      <c r="D264" s="22" t="inlineStr">
        <is>
          <t>Siemens Mobility (BFTC REV)</t>
        </is>
      </c>
      <c r="E264" s="22" t="inlineStr">
        <is>
          <t>2021-02-02</t>
        </is>
      </c>
      <c r="F264" s="22" t="inlineStr">
        <is>
          <t>31,5/0,4 kV iç ihtiyaç trafosu 2000 kVA</t>
        </is>
      </c>
      <c r="G264" s="22" t="inlineStr">
        <is>
          <t>adet</t>
        </is>
      </c>
      <c r="H264" s="63" t="n">
        <v>28500</v>
      </c>
      <c r="I264" s="22" t="inlineStr">
        <is>
          <t>EUR</t>
        </is>
      </c>
      <c r="J264" s="22" t="inlineStr"/>
      <c r="K264" s="63" t="n">
        <v>36071.1678510517</v>
      </c>
      <c r="L264" s="22" t="inlineStr">
        <is>
          <t>2005.B</t>
        </is>
      </c>
      <c r="M264" s="22" t="n">
        <v>1</v>
      </c>
      <c r="N264" s="22" t="inlineStr">
        <is>
          <t>Mersin metrosu Gar-Mezitli (1500 V DC, ~13,4 km, 11 yeraltı istasyon+depo, 5 cer TM, 31,5 kV); BFTC birim fiyat (temin+montaj kabulü), KDV hariç</t>
        </is>
      </c>
    </row>
    <row r="265">
      <c r="A265" s="22" t="inlineStr">
        <is>
          <t>R01093</t>
        </is>
      </c>
      <c r="B265" s="22" t="inlineStr">
        <is>
          <t>Mezitli_3_Ocak_HRS_Metro</t>
        </is>
      </c>
      <c r="C265" s="22" t="inlineStr">
        <is>
          <t>metro</t>
        </is>
      </c>
      <c r="D265" s="22" t="inlineStr">
        <is>
          <t>Siemens Mobility (BFTC REV)</t>
        </is>
      </c>
      <c r="E265" s="22" t="inlineStr">
        <is>
          <t>2021-02-02</t>
        </is>
      </c>
      <c r="F265" s="22" t="inlineStr">
        <is>
          <t>Cer merkezi cer trafosu 2500 kVA (1500 V DC)</t>
        </is>
      </c>
      <c r="G265" s="22" t="inlineStr">
        <is>
          <t>adet</t>
        </is>
      </c>
      <c r="H265" s="63" t="n">
        <v>65000</v>
      </c>
      <c r="I265" s="22" t="inlineStr">
        <is>
          <t>EUR</t>
        </is>
      </c>
      <c r="J265" s="22" t="inlineStr"/>
      <c r="K265" s="63" t="n">
        <v>82267.57580064431</v>
      </c>
      <c r="L265" s="22" t="inlineStr">
        <is>
          <t>2007.A</t>
        </is>
      </c>
      <c r="M265" s="22" t="n">
        <v>2</v>
      </c>
      <c r="N265" s="22" t="inlineStr">
        <is>
          <t>Mersin metrosu Gar-Mezitli (1500 V DC, ~13,4 km, 11 yeraltı istasyon+depo, 5 cer TM, 31,5 kV); BFTC birim fiyat (temin+montaj kabulü), KDV hariç</t>
        </is>
      </c>
    </row>
    <row r="266">
      <c r="A266" s="22" t="inlineStr">
        <is>
          <t>R01098</t>
        </is>
      </c>
      <c r="B266" s="22" t="inlineStr">
        <is>
          <t>Mezitli_3_Ocak_HRS_Metro</t>
        </is>
      </c>
      <c r="C266" s="22" t="inlineStr">
        <is>
          <t>metro</t>
        </is>
      </c>
      <c r="D266" s="22" t="inlineStr">
        <is>
          <t>Siemens Mobility (BFTC REV)</t>
        </is>
      </c>
      <c r="E266" s="22" t="inlineStr">
        <is>
          <t>2021-02-02</t>
        </is>
      </c>
      <c r="F266" s="22" t="inlineStr">
        <is>
          <t>Güç temini ve cer gücü tasarım hizmetleri</t>
        </is>
      </c>
      <c r="G266" s="22" t="inlineStr">
        <is>
          <t>takım</t>
        </is>
      </c>
      <c r="H266" s="63" t="n">
        <v>490000</v>
      </c>
      <c r="I266" s="22" t="inlineStr">
        <is>
          <t>EUR</t>
        </is>
      </c>
      <c r="J266" s="22" t="inlineStr"/>
      <c r="K266" s="63" t="n">
        <v>620170.956035626</v>
      </c>
      <c r="L266" s="22" t="inlineStr">
        <is>
          <t>2001</t>
        </is>
      </c>
      <c r="M266" s="22" t="n">
        <v>1</v>
      </c>
      <c r="N266" s="22" t="inlineStr">
        <is>
          <t>Mersin metrosu Gar-Mezitli (1500 V DC, ~13,4 km, 11 yeraltı istasyon+depo, 5 cer TM, 31,5 kV); BFTC birim fiyat (temin+montaj kabulü), KDV hariç</t>
        </is>
      </c>
    </row>
    <row r="267">
      <c r="A267" s="22" t="inlineStr">
        <is>
          <t>R01101</t>
        </is>
      </c>
      <c r="B267" s="22" t="inlineStr">
        <is>
          <t>Mezitli_3_Ocak_HRS_Metro</t>
        </is>
      </c>
      <c r="C267" s="22" t="inlineStr">
        <is>
          <t>metro</t>
        </is>
      </c>
      <c r="D267" s="22" t="inlineStr">
        <is>
          <t>Arkom</t>
        </is>
      </c>
      <c r="E267" s="22" t="inlineStr">
        <is>
          <t>2021-02-09</t>
        </is>
      </c>
      <c r="F267" s="22" t="inlineStr">
        <is>
          <t>200 mm sıcak daldırma galvaniz kablo kanalı h60 e2,0 (STS)</t>
        </is>
      </c>
      <c r="G267" s="22" t="inlineStr">
        <is>
          <t>m</t>
        </is>
      </c>
      <c r="H267" s="63" t="n">
        <v>7.72</v>
      </c>
      <c r="I267" s="22" t="inlineStr">
        <is>
          <t>USD</t>
        </is>
      </c>
      <c r="J267" s="22" t="inlineStr"/>
      <c r="K267" s="63" t="n">
        <v>8.07241960929602</v>
      </c>
      <c r="L267" s="22" t="inlineStr">
        <is>
          <t>2011.I</t>
        </is>
      </c>
      <c r="M267" s="22" t="n">
        <v>1</v>
      </c>
      <c r="N267" s="22" t="inlineStr">
        <is>
          <t>Mersin metrosu Gar-Mezitli (1500 V DC, ~13,4 km, 11 yeraltı istasyon+depo, 5 cer TM, 31,5 kV); malzeme, Ankara depo teslim, KDV hariç</t>
        </is>
      </c>
    </row>
    <row r="268">
      <c r="A268" s="22" t="inlineStr">
        <is>
          <t>R01102</t>
        </is>
      </c>
      <c r="B268" s="22" t="inlineStr">
        <is>
          <t>Mezitli_3_Ocak_HRS_Metro</t>
        </is>
      </c>
      <c r="C268" s="22" t="inlineStr">
        <is>
          <t>metro</t>
        </is>
      </c>
      <c r="D268" s="22" t="inlineStr">
        <is>
          <t>Arkom</t>
        </is>
      </c>
      <c r="E268" s="22" t="inlineStr">
        <is>
          <t>2021-02-09</t>
        </is>
      </c>
      <c r="F268" s="22" t="inlineStr">
        <is>
          <t>100 mm SD galvaniz kablo kanalı h60 e2,0</t>
        </is>
      </c>
      <c r="G268" s="22" t="inlineStr">
        <is>
          <t>m</t>
        </is>
      </c>
      <c r="H268" s="63" t="n">
        <v>5.39</v>
      </c>
      <c r="I268" s="22" t="inlineStr">
        <is>
          <t>USD</t>
        </is>
      </c>
      <c r="J268" s="22" t="inlineStr"/>
      <c r="K268" s="63" t="n">
        <v>5.6360546235888</v>
      </c>
      <c r="L268" s="22" t="inlineStr">
        <is>
          <t>2011.I</t>
        </is>
      </c>
      <c r="M268" s="22" t="n">
        <v>8</v>
      </c>
      <c r="N268" s="22" t="inlineStr">
        <is>
          <t>Mersin metrosu Gar-Mezitli (1500 V DC, ~13,4 km, 11 yeraltı istasyon+depo, 5 cer TM, 31,5 kV); malzeme, Ankara depo teslim, KDV hariç</t>
        </is>
      </c>
    </row>
    <row r="269">
      <c r="A269" s="22" t="inlineStr">
        <is>
          <t>R01103</t>
        </is>
      </c>
      <c r="B269" s="22" t="inlineStr">
        <is>
          <t>Mezitli_3_Ocak_HRS_Metro</t>
        </is>
      </c>
      <c r="C269" s="22" t="inlineStr">
        <is>
          <t>metro</t>
        </is>
      </c>
      <c r="D269" s="22" t="inlineStr">
        <is>
          <t>Arkom</t>
        </is>
      </c>
      <c r="E269" s="22" t="inlineStr">
        <is>
          <t>2021-02-09</t>
        </is>
      </c>
      <c r="F269" s="22" t="inlineStr">
        <is>
          <t>500 mm kablo merdiveni h60 e2,0</t>
        </is>
      </c>
      <c r="G269" s="22" t="inlineStr">
        <is>
          <t>m</t>
        </is>
      </c>
      <c r="H269" s="63" t="n">
        <v>7.61</v>
      </c>
      <c r="I269" s="22" t="inlineStr">
        <is>
          <t>USD</t>
        </is>
      </c>
      <c r="J269" s="22" t="inlineStr"/>
      <c r="K269" s="63" t="n">
        <v>7.95739808636564</v>
      </c>
      <c r="L269" s="22" t="inlineStr">
        <is>
          <t>2011.I</t>
        </is>
      </c>
      <c r="M269" s="22" t="n">
        <v>6</v>
      </c>
      <c r="N269" s="22" t="inlineStr">
        <is>
          <t>Mersin metrosu Gar-Mezitli (1500 V DC, ~13,4 km, 11 yeraltı istasyon+depo, 5 cer TM, 31,5 kV); malzeme, Ankara depo teslim, KDV hariç</t>
        </is>
      </c>
    </row>
    <row r="270">
      <c r="A270" s="22" t="inlineStr">
        <is>
          <t>R01104</t>
        </is>
      </c>
      <c r="B270" s="22" t="inlineStr">
        <is>
          <t>Mezitli_3_Ocak_HRS_Metro</t>
        </is>
      </c>
      <c r="C270" s="22" t="inlineStr">
        <is>
          <t>metro</t>
        </is>
      </c>
      <c r="D270" s="22" t="inlineStr">
        <is>
          <t>Arkom</t>
        </is>
      </c>
      <c r="E270" s="22" t="inlineStr">
        <is>
          <t>2021-02-09</t>
        </is>
      </c>
      <c r="F270" s="22" t="inlineStr">
        <is>
          <t>600 mm SD galvaniz kablo kanalı h60 e2,0</t>
        </is>
      </c>
      <c r="G270" s="22" t="inlineStr">
        <is>
          <t>m</t>
        </is>
      </c>
      <c r="H270" s="63" t="n">
        <v>17.08</v>
      </c>
      <c r="I270" s="22" t="inlineStr">
        <is>
          <t>USD</t>
        </is>
      </c>
      <c r="J270" s="22" t="inlineStr"/>
      <c r="K270" s="63" t="n">
        <v>17.8597055604632</v>
      </c>
      <c r="L270" s="22" t="inlineStr">
        <is>
          <t>2013.A</t>
        </is>
      </c>
      <c r="M270" s="22" t="n">
        <v>1</v>
      </c>
      <c r="N270" s="22" t="inlineStr">
        <is>
          <t>Mersin metrosu Gar-Mezitli (1500 V DC, ~13,4 km, 11 yeraltı istasyon+depo, 5 cer TM, 31,5 kV); malzeme, Ankara depo teslim, KDV hariç</t>
        </is>
      </c>
    </row>
    <row r="271">
      <c r="A271" s="22" t="inlineStr">
        <is>
          <t>R01105</t>
        </is>
      </c>
      <c r="B271" s="22" t="inlineStr">
        <is>
          <t>Mezitli_3_Ocak_HRS_Metro</t>
        </is>
      </c>
      <c r="C271" s="22" t="inlineStr">
        <is>
          <t>metro</t>
        </is>
      </c>
      <c r="D271" s="22" t="inlineStr">
        <is>
          <t>Arkom</t>
        </is>
      </c>
      <c r="E271" s="22" t="inlineStr">
        <is>
          <t>2021-02-09</t>
        </is>
      </c>
      <c r="F271" s="22" t="inlineStr">
        <is>
          <t>400 mm SD galvaniz kablo kanalı</t>
        </is>
      </c>
      <c r="G271" s="22" t="inlineStr">
        <is>
          <t>m</t>
        </is>
      </c>
      <c r="H271" s="63" t="n">
        <v>12.41</v>
      </c>
      <c r="I271" s="22" t="inlineStr">
        <is>
          <t>USD</t>
        </is>
      </c>
      <c r="J271" s="22" t="inlineStr"/>
      <c r="K271" s="63" t="n">
        <v>12.9765190869642</v>
      </c>
      <c r="L271" s="22" t="inlineStr">
        <is>
          <t>2011.I</t>
        </is>
      </c>
      <c r="M271" s="22" t="n">
        <v>1</v>
      </c>
      <c r="N271" s="22" t="inlineStr">
        <is>
          <t>Mersin metrosu Gar-Mezitli (1500 V DC, ~13,4 km, 11 yeraltı istasyon+depo, 5 cer TM, 31,5 kV); malzeme, Ankara depo teslim, KDV hariç</t>
        </is>
      </c>
    </row>
    <row r="272">
      <c r="A272" s="22" t="inlineStr">
        <is>
          <t>R01106</t>
        </is>
      </c>
      <c r="B272" s="22" t="inlineStr">
        <is>
          <t>Mezitli_3_Ocak_HRS_Metro</t>
        </is>
      </c>
      <c r="C272" s="22" t="inlineStr">
        <is>
          <t>metro</t>
        </is>
      </c>
      <c r="D272" s="22" t="inlineStr">
        <is>
          <t>Arkom</t>
        </is>
      </c>
      <c r="E272" s="22" t="inlineStr">
        <is>
          <t>2021-02-09</t>
        </is>
      </c>
      <c r="F272" s="22" t="inlineStr">
        <is>
          <t>30x3,5 mm galvaniz topraklama şeridi</t>
        </is>
      </c>
      <c r="G272" s="22" t="inlineStr">
        <is>
          <t>m</t>
        </is>
      </c>
      <c r="H272" s="63" t="n">
        <v>8</v>
      </c>
      <c r="I272" s="22" t="inlineStr">
        <is>
          <t>TRY</t>
        </is>
      </c>
      <c r="J272" s="22" t="inlineStr"/>
      <c r="K272" s="63" t="n">
        <v>1.17895743028781</v>
      </c>
      <c r="L272" s="22" t="inlineStr">
        <is>
          <t>2008.H</t>
        </is>
      </c>
      <c r="M272" s="22" t="n">
        <v>11</v>
      </c>
      <c r="N272" s="22" t="inlineStr">
        <is>
          <t>Mersin metrosu Gar-Mezitli (1500 V DC, ~13,4 km, 11 yeraltı istasyon+depo, 5 cer TM, 31,5 kV); malzeme, Ankara depo teslim, KDV hariç</t>
        </is>
      </c>
    </row>
    <row r="273">
      <c r="A273" s="22" t="inlineStr">
        <is>
          <t>R01107</t>
        </is>
      </c>
      <c r="B273" s="22" t="inlineStr">
        <is>
          <t>Mezitli_3_Ocak_HRS_Metro</t>
        </is>
      </c>
      <c r="C273" s="22" t="inlineStr">
        <is>
          <t>metro</t>
        </is>
      </c>
      <c r="D273" s="22" t="inlineStr">
        <is>
          <t>Arkom</t>
        </is>
      </c>
      <c r="E273" s="22" t="inlineStr">
        <is>
          <t>2021-02-09</t>
        </is>
      </c>
      <c r="F273" s="22" t="inlineStr">
        <is>
          <t>1x120 mm2 örgülü çıplak bakır iletken</t>
        </is>
      </c>
      <c r="G273" s="22" t="inlineStr">
        <is>
          <t>kg</t>
        </is>
      </c>
      <c r="H273" s="63" t="n">
        <v>74</v>
      </c>
      <c r="I273" s="22" t="inlineStr">
        <is>
          <t>TRY</t>
        </is>
      </c>
      <c r="J273" s="22" t="inlineStr"/>
      <c r="K273" s="63" t="n">
        <v>10.9053562301623</v>
      </c>
      <c r="L273" s="22" t="inlineStr">
        <is>
          <t>2008.H</t>
        </is>
      </c>
      <c r="M273" s="22" t="n">
        <v>7</v>
      </c>
      <c r="N273" s="22" t="inlineStr">
        <is>
          <t>Mersin metrosu Gar-Mezitli (1500 V DC, ~13,4 km, 11 yeraltı istasyon+depo, 5 cer TM, 31,5 kV); malzeme, Ankara depo teslim, KDV hariç; 120 mm2 örgülü Cu ~1,08 kg/m → ~80 TL/m</t>
        </is>
      </c>
    </row>
    <row r="274">
      <c r="A274" s="22" t="inlineStr">
        <is>
          <t>R01108</t>
        </is>
      </c>
      <c r="B274" s="22" t="inlineStr">
        <is>
          <t>Mezitli_3_Ocak_HRS_Metro</t>
        </is>
      </c>
      <c r="C274" s="22" t="inlineStr">
        <is>
          <t>metro</t>
        </is>
      </c>
      <c r="D274" s="22" t="inlineStr">
        <is>
          <t>Arkom</t>
        </is>
      </c>
      <c r="E274" s="22" t="inlineStr">
        <is>
          <t>2021-02-09</t>
        </is>
      </c>
      <c r="F274" s="22" t="inlineStr">
        <is>
          <t>Eş potansiyel topraklama barası</t>
        </is>
      </c>
      <c r="G274" s="22" t="inlineStr">
        <is>
          <t>adet</t>
        </is>
      </c>
      <c r="H274" s="63" t="n">
        <v>135</v>
      </c>
      <c r="I274" s="22" t="inlineStr">
        <is>
          <t>TRY</t>
        </is>
      </c>
      <c r="J274" s="22" t="inlineStr"/>
      <c r="K274" s="63" t="n">
        <v>19.8949066361069</v>
      </c>
      <c r="L274" s="22" t="inlineStr">
        <is>
          <t>2008.H</t>
        </is>
      </c>
      <c r="M274" s="22" t="n">
        <v>8</v>
      </c>
      <c r="N274" s="22" t="inlineStr">
        <is>
          <t>Mersin metrosu Gar-Mezitli (1500 V DC, ~13,4 km, 11 yeraltı istasyon+depo, 5 cer TM, 31,5 kV); malzeme, Ankara depo teslim, KDV hariç</t>
        </is>
      </c>
    </row>
    <row r="275">
      <c r="A275" s="22" t="inlineStr">
        <is>
          <t>R01109</t>
        </is>
      </c>
      <c r="B275" s="22" t="inlineStr">
        <is>
          <t>Mezitli_3_Ocak_HRS_Metro</t>
        </is>
      </c>
      <c r="C275" s="22" t="inlineStr">
        <is>
          <t>metro</t>
        </is>
      </c>
      <c r="D275" s="22" t="inlineStr">
        <is>
          <t>Arkom</t>
        </is>
      </c>
      <c r="E275" s="22" t="inlineStr">
        <is>
          <t>2021-02-09</t>
        </is>
      </c>
      <c r="F275" s="22" t="inlineStr">
        <is>
          <t>16 mm2 NYAF-HF kablo</t>
        </is>
      </c>
      <c r="G275" s="22" t="inlineStr">
        <is>
          <t>m</t>
        </is>
      </c>
      <c r="H275" s="63" t="n">
        <v>11.1</v>
      </c>
      <c r="I275" s="22" t="inlineStr">
        <is>
          <t>TRY</t>
        </is>
      </c>
      <c r="J275" s="22" t="inlineStr"/>
      <c r="K275" s="63" t="n">
        <v>1.63580343452434</v>
      </c>
      <c r="L275" s="22" t="inlineStr">
        <is>
          <t>2008.H</t>
        </is>
      </c>
      <c r="M275" s="22" t="n">
        <v>13</v>
      </c>
      <c r="N275" s="22" t="inlineStr">
        <is>
          <t>Mersin metrosu Gar-Mezitli (1500 V DC, ~13,4 km, 11 yeraltı istasyon+depo, 5 cer TM, 31,5 kV); malzeme, Ankara depo teslim, KDV hariç</t>
        </is>
      </c>
    </row>
    <row r="276">
      <c r="A276" s="22" t="inlineStr">
        <is>
          <t>R01115</t>
        </is>
      </c>
      <c r="B276" s="22" t="inlineStr">
        <is>
          <t>Usk_Umr_Cekmekoy_Metro_Ins_ve_EM</t>
        </is>
      </c>
      <c r="C276" s="22" t="inlineStr">
        <is>
          <t>metro</t>
        </is>
      </c>
      <c r="D276" s="22" t="inlineStr">
        <is>
          <t>ABB (PPTR transformatör)</t>
        </is>
      </c>
      <c r="E276" s="22" t="inlineStr">
        <is>
          <t>2011-07-15</t>
        </is>
      </c>
      <c r="F276" s="22" t="inlineStr">
        <is>
          <t>DTE 630/36 kuru tip trafo 630 kVA</t>
        </is>
      </c>
      <c r="G276" s="22" t="inlineStr">
        <is>
          <t>adet</t>
        </is>
      </c>
      <c r="H276" s="63" t="n">
        <v>18200</v>
      </c>
      <c r="I276" s="22" t="inlineStr">
        <is>
          <t>EUR</t>
        </is>
      </c>
      <c r="J276" s="22" t="inlineStr"/>
      <c r="K276" s="63" t="n">
        <v>25501.9992237491</v>
      </c>
      <c r="L276" s="22" t="inlineStr">
        <is>
          <t>2005.A</t>
        </is>
      </c>
      <c r="M276" s="22" t="n">
        <v>1</v>
      </c>
      <c r="N276" s="22" t="inlineStr">
        <is>
          <t>Üsküdar-Ümraniye-Çekmeköy metrosu (1500 V DC, ~20 km, 16 istasyon+depo, 10 redresör merkezi) 2011; malzeme, 20-22 hafta teslim; tip testleri ayrı (sıcaklık artış 2.500 €/ad); toplam 53 ad 2.430.900 €</t>
        </is>
      </c>
    </row>
    <row r="277">
      <c r="A277" s="22" t="inlineStr">
        <is>
          <t>R01129</t>
        </is>
      </c>
      <c r="B277" s="22" t="inlineStr">
        <is>
          <t>Usk_Umr_Cekmekoy_Metro_Ins_ve_EM</t>
        </is>
      </c>
      <c r="C277" s="22" t="inlineStr">
        <is>
          <t>metro</t>
        </is>
      </c>
      <c r="D277" s="22" t="inlineStr">
        <is>
          <t>Siemens</t>
        </is>
      </c>
      <c r="E277" s="22" t="inlineStr">
        <is>
          <t>2011-08-12</t>
        </is>
      </c>
      <c r="F277" s="22" t="inlineStr">
        <is>
          <t>110V 50A Redresör / 110V 50A Rectifier</t>
        </is>
      </c>
      <c r="G277" s="22" t="inlineStr">
        <is>
          <t>set</t>
        </is>
      </c>
      <c r="H277" s="63" t="n">
        <v>1625.4</v>
      </c>
      <c r="I277" s="22" t="inlineStr">
        <is>
          <t>EUR</t>
        </is>
      </c>
      <c r="J277" s="22" t="inlineStr">
        <is>
          <t>M+İ</t>
        </is>
      </c>
      <c r="K277" s="63" t="n">
        <v>2273.2324326458</v>
      </c>
      <c r="L277" s="22" t="inlineStr">
        <is>
          <t>2009.A</t>
        </is>
      </c>
      <c r="M277" s="22" t="n">
        <v>1</v>
      </c>
      <c r="N277" s="22" t="inlineStr">
        <is>
          <t>[AYKIRI DEĞER – otomatik dışlandı] 1500 V DC metro (Üsküdar-Ümraniye-Çekmeköy), Siemens 34,5 kV 8BT2/Simoprime; malzeme+montaj ayrı; KDV hariç</t>
        </is>
      </c>
    </row>
    <row r="278">
      <c r="A278" s="22" t="inlineStr">
        <is>
          <t>R01130</t>
        </is>
      </c>
      <c r="B278" s="22" t="inlineStr">
        <is>
          <t>Usk_Umr_Cekmekoy_Metro_Ins_ve_EM</t>
        </is>
      </c>
      <c r="C278" s="22" t="inlineStr">
        <is>
          <t>metro</t>
        </is>
      </c>
      <c r="D278" s="22" t="inlineStr">
        <is>
          <t>Siemens</t>
        </is>
      </c>
      <c r="E278" s="22" t="inlineStr">
        <is>
          <t>2011-08-12</t>
        </is>
      </c>
      <c r="F278" s="22" t="inlineStr">
        <is>
          <t>Aküler 185Ah / Batteries 185Ah</t>
        </is>
      </c>
      <c r="G278" s="22" t="inlineStr">
        <is>
          <t>set</t>
        </is>
      </c>
      <c r="H278" s="63" t="n">
        <v>14245.36</v>
      </c>
      <c r="I278" s="22" t="inlineStr">
        <is>
          <t>EUR</t>
        </is>
      </c>
      <c r="J278" s="22" t="inlineStr">
        <is>
          <t>M+İ</t>
        </is>
      </c>
      <c r="K278" s="63" t="n">
        <v>19923.1046922081</v>
      </c>
      <c r="L278" s="22" t="inlineStr">
        <is>
          <t>2009.A</t>
        </is>
      </c>
      <c r="M278" s="22" t="n">
        <v>1</v>
      </c>
      <c r="N278" s="22" t="inlineStr">
        <is>
          <t>1500 V DC metro (Üsküdar-Ümraniye-Çekmeköy), Siemens 34,5 kV 8BT2/Simoprime; malzeme+montaj ayrı; KDV hariç</t>
        </is>
      </c>
    </row>
    <row r="279">
      <c r="A279" s="22" t="inlineStr">
        <is>
          <t>R01159</t>
        </is>
      </c>
      <c r="B279" s="22" t="inlineStr">
        <is>
          <t>Usk_Umr_Cekmekoy_Metro_Ins_ve_EM</t>
        </is>
      </c>
      <c r="C279" s="22" t="inlineStr">
        <is>
          <t>metro</t>
        </is>
      </c>
      <c r="D279" s="22" t="inlineStr">
        <is>
          <t>Siemens</t>
        </is>
      </c>
      <c r="E279" s="22" t="inlineStr">
        <is>
          <t>2011-08-12</t>
        </is>
      </c>
      <c r="F279" s="22" t="inlineStr">
        <is>
          <t>Ray Potansiyeli Limitleme Cihazı Sitras SCD / Rail Potential Limiting Device Sitras SCD</t>
        </is>
      </c>
      <c r="G279" s="22" t="inlineStr">
        <is>
          <t>set</t>
        </is>
      </c>
      <c r="H279" s="63" t="n">
        <v>13491.91</v>
      </c>
      <c r="I279" s="22" t="inlineStr">
        <is>
          <t>EUR</t>
        </is>
      </c>
      <c r="J279" s="22" t="inlineStr">
        <is>
          <t>M+İ</t>
        </is>
      </c>
      <c r="K279" s="63" t="n">
        <v>18869.3536300838</v>
      </c>
      <c r="L279" s="22" t="inlineStr">
        <is>
          <t>2007.A</t>
        </is>
      </c>
      <c r="M279" s="22" t="n">
        <v>2</v>
      </c>
      <c r="N279" s="22" t="inlineStr">
        <is>
          <t>[AYKIRI DEĞER – otomatik dışlandı] 1500 V DC metro (Üsküdar-Ümraniye-Çekmeköy), Siemens 34,5 kV 8BT2/Simoprime; malzeme+montaj ayrı; KDV hariç</t>
        </is>
      </c>
    </row>
    <row r="280">
      <c r="A280" s="22" t="inlineStr">
        <is>
          <t>R01183</t>
        </is>
      </c>
      <c r="B280" s="22" t="inlineStr">
        <is>
          <t>Ankara-Sivas_YHT_Projesi_5_ad_YHT_istasyon_yapimi</t>
        </is>
      </c>
      <c r="C280" s="22" t="inlineStr">
        <is>
          <t>bina</t>
        </is>
      </c>
      <c r="D280" s="22" t="inlineStr">
        <is>
          <t>Yapı Merkezi İDİS maliyet çalışması (marka sütunu: tedarikçi)</t>
        </is>
      </c>
      <c r="E280" s="22" t="inlineStr">
        <is>
          <t>2019-03-18</t>
        </is>
      </c>
      <c r="F280" s="22" t="inlineStr">
        <is>
          <t>782.703 Telefon prizi rj-11 veya rj-12 (6 kontaklı) (22,5 x 45 mm)</t>
        </is>
      </c>
      <c r="G280" s="22" t="inlineStr">
        <is>
          <t>AD</t>
        </is>
      </c>
      <c r="H280" s="63" t="n">
        <v>15.8</v>
      </c>
      <c r="I280" s="22" t="inlineStr">
        <is>
          <t>TRY</t>
        </is>
      </c>
      <c r="J280" s="22" t="inlineStr">
        <is>
          <t>M+İ</t>
        </is>
      </c>
      <c r="K280" s="63" t="n">
        <v>3.26331884648065</v>
      </c>
      <c r="L280" s="22" t="inlineStr">
        <is>
          <t>4005.G</t>
        </is>
      </c>
      <c r="M280" s="22" t="n">
        <v>9</v>
      </c>
      <c r="N280" s="22" t="inlineStr">
        <is>
          <t xml:space="preserve">Yerköy-Sivas YHT 5 istasyon binası elektrik BoQ; birim_fiyat = YM malzeme(TL, kur 6,18 TL/EUR)+işçilik maliyeti; YM teklif birim fiyatı: 10.8 TL; marka: </t>
        </is>
      </c>
    </row>
    <row r="281">
      <c r="A281" s="22" t="inlineStr">
        <is>
          <t>R01188</t>
        </is>
      </c>
      <c r="B281" s="22" t="inlineStr">
        <is>
          <t>Ankara-Sivas_YHT_Projesi_5_ad_YHT_istasyon_yapimi</t>
        </is>
      </c>
      <c r="C281" s="22" t="inlineStr">
        <is>
          <t>bina</t>
        </is>
      </c>
      <c r="D281" s="22" t="inlineStr">
        <is>
          <t>Yapı Merkezi İDİS maliyet çalışması (marka sütunu: tedarikçi)</t>
        </is>
      </c>
      <c r="E281" s="22" t="inlineStr">
        <is>
          <t>2019-03-18</t>
        </is>
      </c>
      <c r="F281" s="22" t="inlineStr">
        <is>
          <t>825.226 en az 10 cm rakam yüksekliği çift taraflı IP Dijital Tali Saat</t>
        </is>
      </c>
      <c r="G281" s="22" t="inlineStr">
        <is>
          <t>AD</t>
        </is>
      </c>
      <c r="H281" s="63" t="n">
        <v>3290</v>
      </c>
      <c r="I281" s="22" t="inlineStr">
        <is>
          <t>TRY</t>
        </is>
      </c>
      <c r="J281" s="22" t="inlineStr">
        <is>
          <t>M+İ</t>
        </is>
      </c>
      <c r="K281" s="63" t="n">
        <v>679.513861070971</v>
      </c>
      <c r="L281" s="22" t="inlineStr">
        <is>
          <t>4012.A</t>
        </is>
      </c>
      <c r="M281" s="22" t="n">
        <v>7</v>
      </c>
      <c r="N281" s="22" t="inlineStr">
        <is>
          <t>Yerköy-Sivas YHT 5 istasyon binası elektrik BoQ; birim_fiyat = YM malzeme(TL, kur 6,18 TL/EUR)+işçilik maliyeti; YM teklif birim fiyatı: 2920.0 TL; marka: On El./Avikon/Lancom</t>
        </is>
      </c>
    </row>
    <row r="282">
      <c r="A282" s="22" t="inlineStr">
        <is>
          <t>R01190</t>
        </is>
      </c>
      <c r="B282" s="22" t="inlineStr">
        <is>
          <t>Ankara-Sivas_YHT_Projesi_5_ad_YHT_istasyon_yapimi</t>
        </is>
      </c>
      <c r="C282" s="22" t="inlineStr">
        <is>
          <t>bina</t>
        </is>
      </c>
      <c r="D282" s="22" t="inlineStr">
        <is>
          <t>Yapı Merkezi İDİS maliyet çalışması (marka sütunu: tedarikçi)</t>
        </is>
      </c>
      <c r="E282" s="22" t="inlineStr">
        <is>
          <t>2019-03-18</t>
        </is>
      </c>
      <c r="F282" s="22" t="inlineStr">
        <is>
          <t>833.1210 Dijital acil anons çağrı istasyonu, en az 8 bölgeli</t>
        </is>
      </c>
      <c r="G282" s="22" t="inlineStr">
        <is>
          <t>AD</t>
        </is>
      </c>
      <c r="H282" s="63" t="n">
        <v>8534</v>
      </c>
      <c r="I282" s="22" t="inlineStr">
        <is>
          <t>TRY</t>
        </is>
      </c>
      <c r="J282" s="22" t="inlineStr">
        <is>
          <t>M+İ</t>
        </is>
      </c>
      <c r="K282" s="63" t="n">
        <v>1762.60525543455</v>
      </c>
      <c r="L282" s="22" t="inlineStr">
        <is>
          <t>4008</t>
        </is>
      </c>
      <c r="M282" s="22" t="n">
        <v>2</v>
      </c>
      <c r="N282" s="22" t="inlineStr">
        <is>
          <t>Yerköy-Sivas YHT 5 istasyon binası elektrik BoQ; birim_fiyat = YM malzeme(TL, kur 6,18 TL/EUR)+işçilik maliyeti; YM teklif birim fiyatı: 2900.0 TL; marka: Bosch/Ambient</t>
        </is>
      </c>
    </row>
    <row r="283">
      <c r="A283" s="22" t="inlineStr">
        <is>
          <t>R01196</t>
        </is>
      </c>
      <c r="B283" s="22" t="inlineStr">
        <is>
          <t>Ankara-Sivas_YHT_Projesi_5_ad_YHT_istasyon_yapimi</t>
        </is>
      </c>
      <c r="C283" s="22" t="inlineStr">
        <is>
          <t>bina</t>
        </is>
      </c>
      <c r="D283" s="22" t="inlineStr">
        <is>
          <t>Yapı Merkezi İDİS maliyet çalışması (marka sütunu: tedarikçi)</t>
        </is>
      </c>
      <c r="E283" s="22" t="inlineStr">
        <is>
          <t>2019-03-18</t>
        </is>
      </c>
      <c r="F283" s="22" t="inlineStr">
        <is>
          <t>880.602 4 core mm zırhlı f/o kablo multi mode fiber optik kablo</t>
        </is>
      </c>
      <c r="G283" s="22" t="inlineStr">
        <is>
          <t>MT</t>
        </is>
      </c>
      <c r="H283" s="63" t="n">
        <v>10.05</v>
      </c>
      <c r="I283" s="22" t="inlineStr">
        <is>
          <t>TRY</t>
        </is>
      </c>
      <c r="J283" s="22" t="inlineStr">
        <is>
          <t>M+İ</t>
        </is>
      </c>
      <c r="K283" s="63" t="n">
        <v>2.07571863336269</v>
      </c>
      <c r="L283" s="22" t="inlineStr">
        <is>
          <t>4003</t>
        </is>
      </c>
      <c r="M283" s="22" t="n">
        <v>1</v>
      </c>
      <c r="N283" s="22" t="inlineStr">
        <is>
          <t xml:space="preserve">Yerköy-Sivas YHT 5 istasyon binası elektrik BoQ; birim_fiyat = YM malzeme(TL, kur 6,18 TL/EUR)+işçilik maliyeti; YM teklif birim fiyatı: 6.05 TL; marka: </t>
        </is>
      </c>
    </row>
    <row r="284">
      <c r="A284" s="22" t="inlineStr">
        <is>
          <t>R01197</t>
        </is>
      </c>
      <c r="B284" s="22" t="inlineStr">
        <is>
          <t>Ankara-Sivas_YHT_Projesi_5_ad_YHT_istasyon_yapimi</t>
        </is>
      </c>
      <c r="C284" s="22" t="inlineStr">
        <is>
          <t>bina</t>
        </is>
      </c>
      <c r="D284" s="22" t="inlineStr">
        <is>
          <t>Yapı Merkezi İDİS maliyet çalışması (marka sütunu: tedarikçi)</t>
        </is>
      </c>
      <c r="E284" s="22" t="inlineStr">
        <is>
          <t>2019-03-18</t>
        </is>
      </c>
      <c r="F284" s="22" t="inlineStr">
        <is>
          <t>880.780 Rak tipi fiber optik terminasyon birimi 12 fiber kapasiteli sc / mm</t>
        </is>
      </c>
      <c r="G284" s="22" t="inlineStr">
        <is>
          <t>AD</t>
        </is>
      </c>
      <c r="H284" s="63" t="n">
        <v>590</v>
      </c>
      <c r="I284" s="22" t="inlineStr">
        <is>
          <t>TRY</t>
        </is>
      </c>
      <c r="J284" s="22" t="inlineStr">
        <is>
          <t>M+İ</t>
        </is>
      </c>
      <c r="K284" s="63" t="n">
        <v>121.858108824277</v>
      </c>
      <c r="L284" s="22" t="inlineStr">
        <is>
          <t>4003</t>
        </is>
      </c>
      <c r="M284" s="22" t="n">
        <v>8</v>
      </c>
      <c r="N284" s="22" t="inlineStr">
        <is>
          <t xml:space="preserve">Yerköy-Sivas YHT 5 istasyon binası elektrik BoQ; birim_fiyat = YM malzeme(TL, kur 6,18 TL/EUR)+işçilik maliyeti; YM teklif birim fiyatı: 570.0 TL; marka: </t>
        </is>
      </c>
    </row>
    <row r="285">
      <c r="A285" s="22" t="inlineStr">
        <is>
          <t>R01201</t>
        </is>
      </c>
      <c r="B285" s="22" t="inlineStr">
        <is>
          <t>Ankara-Sivas_YHT_Projesi_5_ad_YHT_istasyon_yapimi</t>
        </is>
      </c>
      <c r="C285" s="22" t="inlineStr">
        <is>
          <t>bina</t>
        </is>
      </c>
      <c r="D285" s="22" t="inlineStr">
        <is>
          <t>Yapı Merkezi İDİS maliyet çalışması (marka sütunu: tedarikçi)</t>
        </is>
      </c>
      <c r="E285" s="22" t="inlineStr">
        <is>
          <t>2019-03-18</t>
        </is>
      </c>
      <c r="F285" s="22" t="inlineStr">
        <is>
          <t>KTB-ELK.020.1 SABİT KAMERA MONTAJ DİREĞİ</t>
        </is>
      </c>
      <c r="G285" s="22" t="inlineStr">
        <is>
          <t>AD</t>
        </is>
      </c>
      <c r="H285" s="63" t="n">
        <v>1177</v>
      </c>
      <c r="I285" s="22" t="inlineStr">
        <is>
          <t>TRY</t>
        </is>
      </c>
      <c r="J285" s="22" t="inlineStr">
        <is>
          <t>M+İ</t>
        </is>
      </c>
      <c r="K285" s="63" t="n">
        <v>243.096600146059</v>
      </c>
      <c r="L285" s="22" t="inlineStr">
        <is>
          <t>4010.A</t>
        </is>
      </c>
      <c r="M285" s="22" t="n">
        <v>1</v>
      </c>
      <c r="N285" s="22" t="inlineStr">
        <is>
          <t>Yerköy-Sivas YHT 5 istasyon binası elektrik BoQ; birim_fiyat = YM malzeme(TL, kur 6,18 TL/EUR)+işçilik maliyeti; YM teklif birim fiyatı: 519.62 TL; marka: Mitaş/Çepaş</t>
        </is>
      </c>
    </row>
    <row r="286">
      <c r="A286" s="22" t="inlineStr">
        <is>
          <t>R01202</t>
        </is>
      </c>
      <c r="B286" s="22" t="inlineStr">
        <is>
          <t>Ankara-Sivas_YHT_Projesi_5_ad_YHT_istasyon_yapimi</t>
        </is>
      </c>
      <c r="C286" s="22" t="inlineStr">
        <is>
          <t>bina</t>
        </is>
      </c>
      <c r="D286" s="22" t="inlineStr">
        <is>
          <t>Yapı Merkezi İDİS maliyet çalışması (marka sütunu: tedarikçi)</t>
        </is>
      </c>
      <c r="E286" s="22" t="inlineStr">
        <is>
          <t>2019-03-18</t>
        </is>
      </c>
      <c r="F286" s="22" t="inlineStr">
        <is>
          <t>ÖZ-ELK.12 F/O Dönüştürücü 2 port</t>
        </is>
      </c>
      <c r="G286" s="22" t="inlineStr">
        <is>
          <t>AD</t>
        </is>
      </c>
      <c r="H286" s="63" t="n">
        <v>431.41</v>
      </c>
      <c r="I286" s="22" t="inlineStr">
        <is>
          <t>TRY</t>
        </is>
      </c>
      <c r="J286" s="22" t="inlineStr">
        <is>
          <t>M+İ</t>
        </is>
      </c>
      <c r="K286" s="63" t="n">
        <v>89.1030622506467</v>
      </c>
      <c r="L286" s="22" t="inlineStr">
        <is>
          <t>4003</t>
        </is>
      </c>
      <c r="M286" s="22" t="n">
        <v>3</v>
      </c>
      <c r="N286" s="22" t="inlineStr">
        <is>
          <t xml:space="preserve">Yerköy-Sivas YHT 5 istasyon binası elektrik BoQ; birim_fiyat = YM malzeme(TL, kur 6,18 TL/EUR)+işçilik maliyeti; YM teklif birim fiyatı: 426.41 TL; marka: </t>
        </is>
      </c>
    </row>
    <row r="287">
      <c r="A287" s="22" t="inlineStr">
        <is>
          <t>R01206</t>
        </is>
      </c>
      <c r="B287" s="22" t="inlineStr">
        <is>
          <t>Ankara-Sivas_YHT_Projesi_5_ad_YHT_istasyon_yapimi</t>
        </is>
      </c>
      <c r="C287" s="22" t="inlineStr">
        <is>
          <t>bina</t>
        </is>
      </c>
      <c r="D287" s="22" t="inlineStr">
        <is>
          <t>Yapı Merkezi İDİS maliyet çalışması (marka sütunu: tedarikçi)</t>
        </is>
      </c>
      <c r="E287" s="22" t="inlineStr">
        <is>
          <t>2019-03-18</t>
        </is>
      </c>
      <c r="F287" s="22" t="inlineStr">
        <is>
          <t>ÖZ-ELK.22 Harici vandal proof  2 MP Box IP kamera ( D/N) (Ayak,Lens vb dahil) 50 IRE F 1:2 de 1 lx, S/B da 0.25 lx. POE</t>
        </is>
      </c>
      <c r="G287" s="22" t="inlineStr">
        <is>
          <t>AD</t>
        </is>
      </c>
      <c r="H287" s="63" t="n">
        <v>4496</v>
      </c>
      <c r="I287" s="22" t="inlineStr">
        <is>
          <t>TRY</t>
        </is>
      </c>
      <c r="J287" s="22" t="inlineStr">
        <is>
          <t>M+İ</t>
        </is>
      </c>
      <c r="K287" s="63" t="n">
        <v>928.600097074494</v>
      </c>
      <c r="L287" s="22" t="inlineStr">
        <is>
          <t>4010.A</t>
        </is>
      </c>
      <c r="M287" s="22" t="n">
        <v>8</v>
      </c>
      <c r="N287" s="22" t="inlineStr">
        <is>
          <t>Yerköy-Sivas YHT 5 istasyon binası elektrik BoQ; birim_fiyat = YM malzeme(TL, kur 6,18 TL/EUR)+işçilik maliyeti; YM teklif birim fiyatı: 2387.5 TL; marka: Bosch/Axis</t>
        </is>
      </c>
    </row>
    <row r="288">
      <c r="A288" s="22" t="inlineStr">
        <is>
          <t>R01208</t>
        </is>
      </c>
      <c r="B288" s="22" t="inlineStr">
        <is>
          <t>Ankara-Sivas_YHT_Projesi_5_ad_YHT_istasyon_yapimi</t>
        </is>
      </c>
      <c r="C288" s="22" t="inlineStr">
        <is>
          <t>bina</t>
        </is>
      </c>
      <c r="D288" s="22" t="inlineStr">
        <is>
          <t>Yapı Merkezi İDİS maliyet çalışması (marka sütunu: tedarikçi)</t>
        </is>
      </c>
      <c r="E288" s="22" t="inlineStr">
        <is>
          <t>2019-03-18</t>
        </is>
      </c>
      <c r="F288" s="22" t="inlineStr">
        <is>
          <t>ÖZ-ELK.26 42" LED CCTV Renkli Monitör + Askı Tertibatı Dahil</t>
        </is>
      </c>
      <c r="G288" s="22" t="inlineStr">
        <is>
          <t>AD</t>
        </is>
      </c>
      <c r="H288" s="63" t="n">
        <v>7279.6</v>
      </c>
      <c r="I288" s="22" t="inlineStr">
        <is>
          <t>TRY</t>
        </is>
      </c>
      <c r="J288" s="22" t="inlineStr">
        <is>
          <t>M+İ</t>
        </is>
      </c>
      <c r="K288" s="63" t="n">
        <v>1503.52252372409</v>
      </c>
      <c r="L288" s="22" t="inlineStr">
        <is>
          <t>4010.J</t>
        </is>
      </c>
      <c r="M288" s="22" t="n">
        <v>1</v>
      </c>
      <c r="N288" s="22" t="inlineStr">
        <is>
          <t xml:space="preserve">Yerköy-Sivas YHT 5 istasyon binası elektrik BoQ; birim_fiyat = YM malzeme(TL, kur 6,18 TL/EUR)+işçilik maliyeti; YM teklif birim fiyatı: 7079.6 TL; marka: </t>
        </is>
      </c>
    </row>
    <row r="289">
      <c r="A289" s="22" t="inlineStr">
        <is>
          <t>R01209</t>
        </is>
      </c>
      <c r="B289" s="22" t="inlineStr">
        <is>
          <t>Ankara-Sivas_YHT_Projesi_5_ad_YHT_istasyon_yapimi</t>
        </is>
      </c>
      <c r="C289" s="22" t="inlineStr">
        <is>
          <t>bina</t>
        </is>
      </c>
      <c r="D289" s="22" t="inlineStr">
        <is>
          <t>Yapı Merkezi İDİS maliyet çalışması (marka sütunu: tedarikçi)</t>
        </is>
      </c>
      <c r="E289" s="22" t="inlineStr">
        <is>
          <t>2019-03-18</t>
        </is>
      </c>
      <c r="F289" s="22" t="inlineStr">
        <is>
          <t>ÖZ-ELK.27 21,5" LED CCTV Renkli Monitör + Askı Tertibatı Dahil</t>
        </is>
      </c>
      <c r="G289" s="22" t="inlineStr">
        <is>
          <t>AD</t>
        </is>
      </c>
      <c r="H289" s="63" t="n">
        <v>1834.52</v>
      </c>
      <c r="I289" s="22" t="inlineStr">
        <is>
          <t>TRY</t>
        </is>
      </c>
      <c r="J289" s="22" t="inlineStr">
        <is>
          <t>M+İ</t>
        </is>
      </c>
      <c r="K289" s="63" t="n">
        <v>378.900233559853</v>
      </c>
      <c r="L289" s="22" t="inlineStr">
        <is>
          <t>4010.J</t>
        </is>
      </c>
      <c r="M289" s="22" t="n">
        <v>1</v>
      </c>
      <c r="N289" s="22" t="inlineStr">
        <is>
          <t xml:space="preserve">Yerköy-Sivas YHT 5 istasyon binası elektrik BoQ; birim_fiyat = YM malzeme(TL, kur 6,18 TL/EUR)+işçilik maliyeti; YM teklif birim fiyatı: 1634.52 TL; marka: </t>
        </is>
      </c>
    </row>
    <row r="290">
      <c r="A290" s="22" t="inlineStr">
        <is>
          <t>R01210</t>
        </is>
      </c>
      <c r="B290" s="22" t="inlineStr">
        <is>
          <t>Ankara-Sivas_YHT_Projesi_5_ad_YHT_istasyon_yapimi</t>
        </is>
      </c>
      <c r="C290" s="22" t="inlineStr">
        <is>
          <t>bina</t>
        </is>
      </c>
      <c r="D290" s="22" t="inlineStr">
        <is>
          <t>Yapı Merkezi İDİS maliyet çalışması (marka sütunu: tedarikçi)</t>
        </is>
      </c>
      <c r="E290" s="22" t="inlineStr">
        <is>
          <t>2019-03-18</t>
        </is>
      </c>
      <c r="F290" s="22" t="inlineStr">
        <is>
          <t>ÖZ-ELK.29 Omurga switch (bakır) 3U</t>
        </is>
      </c>
      <c r="G290" s="22" t="inlineStr">
        <is>
          <t>AD</t>
        </is>
      </c>
      <c r="H290" s="63" t="n">
        <v>18952.7</v>
      </c>
      <c r="I290" s="22" t="inlineStr">
        <is>
          <t>TRY</t>
        </is>
      </c>
      <c r="J290" s="22" t="inlineStr">
        <is>
          <t>M+İ</t>
        </is>
      </c>
      <c r="K290" s="63" t="n">
        <v>3914.47487985404</v>
      </c>
      <c r="L290" s="22" t="inlineStr">
        <is>
          <t>4002.J</t>
        </is>
      </c>
      <c r="M290" s="22" t="n">
        <v>1</v>
      </c>
      <c r="N290" s="22" t="inlineStr">
        <is>
          <t xml:space="preserve">Yerköy-Sivas YHT 5 istasyon binası elektrik BoQ; birim_fiyat = YM malzeme(TL, kur 6,18 TL/EUR)+işçilik maliyeti; YM teklif birim fiyatı: 15952.7 TL; marka: </t>
        </is>
      </c>
    </row>
    <row r="291">
      <c r="A291" s="22" t="inlineStr">
        <is>
          <t>R01211</t>
        </is>
      </c>
      <c r="B291" s="22" t="inlineStr">
        <is>
          <t>Ankara-Sivas_YHT_Projesi_5_ad_YHT_istasyon_yapimi</t>
        </is>
      </c>
      <c r="C291" s="22" t="inlineStr">
        <is>
          <t>bina</t>
        </is>
      </c>
      <c r="D291" s="22" t="inlineStr">
        <is>
          <t>Yapı Merkezi İDİS maliyet çalışması (marka sütunu: tedarikçi)</t>
        </is>
      </c>
      <c r="E291" s="22" t="inlineStr">
        <is>
          <t>2019-03-18</t>
        </is>
      </c>
      <c r="F291" s="22" t="inlineStr">
        <is>
          <t>ÖZ-ELK.30 Kamera Direği Ø4" çelik boru h=4m</t>
        </is>
      </c>
      <c r="G291" s="22" t="inlineStr">
        <is>
          <t>AD</t>
        </is>
      </c>
      <c r="H291" s="63" t="n">
        <v>868</v>
      </c>
      <c r="I291" s="22" t="inlineStr">
        <is>
          <t>TRY</t>
        </is>
      </c>
      <c r="J291" s="22" t="inlineStr">
        <is>
          <t>M+İ</t>
        </is>
      </c>
      <c r="K291" s="63" t="n">
        <v>179.275997388937</v>
      </c>
      <c r="L291" s="22" t="inlineStr">
        <is>
          <t>4010.A</t>
        </is>
      </c>
      <c r="M291" s="22" t="n">
        <v>2</v>
      </c>
      <c r="N291" s="22" t="inlineStr">
        <is>
          <t>Yerköy-Sivas YHT 5 istasyon binası elektrik BoQ; birim_fiyat = YM malzeme(TL, kur 6,18 TL/EUR)+işçilik maliyeti; YM teklif birim fiyatı: 1464.19 TL; marka: Şara</t>
        </is>
      </c>
    </row>
    <row r="292">
      <c r="A292" s="22" t="inlineStr">
        <is>
          <t>R01213</t>
        </is>
      </c>
      <c r="B292" s="22" t="inlineStr">
        <is>
          <t>Ankara-Sivas_YHT_Projesi_5_ad_YHT_istasyon_yapimi</t>
        </is>
      </c>
      <c r="C292" s="22" t="inlineStr">
        <is>
          <t>bina</t>
        </is>
      </c>
      <c r="D292" s="22" t="inlineStr">
        <is>
          <t>Yapı Merkezi İDİS maliyet çalışması (marka sütunu: tedarikçi)</t>
        </is>
      </c>
      <c r="E292" s="22" t="inlineStr">
        <is>
          <t>2019-03-18</t>
        </is>
      </c>
      <c r="F292" s="22" t="inlineStr">
        <is>
          <t>ÖZ-ELK.33 24 port 10/100/1000 Mbps 10Gb E Switch</t>
        </is>
      </c>
      <c r="G292" s="22" t="inlineStr">
        <is>
          <t>AD</t>
        </is>
      </c>
      <c r="H292" s="63" t="n">
        <v>6966.8</v>
      </c>
      <c r="I292" s="22" t="inlineStr">
        <is>
          <t>TRY</t>
        </is>
      </c>
      <c r="J292" s="22" t="inlineStr">
        <is>
          <t>M+İ</t>
        </is>
      </c>
      <c r="K292" s="63" t="n">
        <v>1438.91707213047</v>
      </c>
      <c r="L292" s="22" t="inlineStr">
        <is>
          <t>4002.A</t>
        </is>
      </c>
      <c r="M292" s="22" t="n">
        <v>2</v>
      </c>
      <c r="N292" s="22" t="inlineStr">
        <is>
          <t xml:space="preserve">Yerköy-Sivas YHT 5 istasyon binası elektrik BoQ; birim_fiyat = YM malzeme(TL, kur 6,18 TL/EUR)+işçilik maliyeti; YM teklif birim fiyatı: 6666.8 TL; marka: </t>
        </is>
      </c>
    </row>
    <row r="293">
      <c r="A293" s="22" t="inlineStr">
        <is>
          <t>R01214</t>
        </is>
      </c>
      <c r="B293" s="22" t="inlineStr">
        <is>
          <t>Ankara-Sivas_YHT_Projesi_5_ad_YHT_istasyon_yapimi</t>
        </is>
      </c>
      <c r="C293" s="22" t="inlineStr">
        <is>
          <t>bina</t>
        </is>
      </c>
      <c r="D293" s="22" t="inlineStr">
        <is>
          <t>Yapı Merkezi İDİS maliyet çalışması (marka sütunu: tedarikçi)</t>
        </is>
      </c>
      <c r="E293" s="22" t="inlineStr">
        <is>
          <t>2019-03-18</t>
        </is>
      </c>
      <c r="F293" s="22" t="inlineStr">
        <is>
          <t>ÖZ-ELK.51 Güç Kaynağı (IP Kamera) Redundant</t>
        </is>
      </c>
      <c r="G293" s="22" t="inlineStr">
        <is>
          <t>AD</t>
        </is>
      </c>
      <c r="H293" s="63" t="n">
        <v>10295</v>
      </c>
      <c r="I293" s="22" t="inlineStr">
        <is>
          <t>TRY</t>
        </is>
      </c>
      <c r="J293" s="22" t="inlineStr">
        <is>
          <t>M+İ</t>
        </is>
      </c>
      <c r="K293" s="63" t="n">
        <v>2126.32072939989</v>
      </c>
      <c r="L293" s="22" t="inlineStr">
        <is>
          <t>4010.A</t>
        </is>
      </c>
      <c r="M293" s="22" t="n">
        <v>5</v>
      </c>
      <c r="N293" s="22" t="inlineStr">
        <is>
          <t xml:space="preserve">Yerköy-Sivas YHT 5 istasyon binası elektrik BoQ; birim_fiyat = YM malzeme(TL, kur 6,18 TL/EUR)+işçilik maliyeti; YM teklif birim fiyatı: 10275.0 TL; marka: </t>
        </is>
      </c>
    </row>
    <row r="294">
      <c r="A294" s="22" t="inlineStr">
        <is>
          <t>R01217</t>
        </is>
      </c>
      <c r="B294" s="22" t="inlineStr">
        <is>
          <t>Ankara-Sivas_YHT_Projesi_5_ad_YHT_istasyon_yapimi</t>
        </is>
      </c>
      <c r="C294" s="22" t="inlineStr">
        <is>
          <t>bina</t>
        </is>
      </c>
      <c r="D294" s="22" t="inlineStr">
        <is>
          <t>Yapı Merkezi İDİS maliyet çalışması (marka sütunu: tedarikçi)</t>
        </is>
      </c>
      <c r="E294" s="22" t="inlineStr">
        <is>
          <t>2019-03-18</t>
        </is>
      </c>
      <c r="F294" s="22" t="inlineStr">
        <is>
          <t>ÖZ-ELK.61 PoE Switch 8 Port</t>
        </is>
      </c>
      <c r="G294" s="22" t="inlineStr">
        <is>
          <t>AD</t>
        </is>
      </c>
      <c r="H294" s="63" t="n">
        <v>4809.6</v>
      </c>
      <c r="I294" s="22" t="inlineStr">
        <is>
          <t>TRY</t>
        </is>
      </c>
      <c r="J294" s="22" t="inlineStr">
        <is>
          <t>M+İ</t>
        </is>
      </c>
      <c r="K294" s="63" t="n">
        <v>993.37078000211</v>
      </c>
      <c r="L294" s="22" t="inlineStr">
        <is>
          <t>4002.A</t>
        </is>
      </c>
      <c r="M294" s="22" t="n">
        <v>1</v>
      </c>
      <c r="N294" s="22" t="inlineStr">
        <is>
          <t xml:space="preserve">Yerköy-Sivas YHT 5 istasyon binası elektrik BoQ; birim_fiyat = YM malzeme(TL, kur 6,18 TL/EUR)+işçilik maliyeti; YM teklif birim fiyatı: 3809.6 TL; marka: </t>
        </is>
      </c>
    </row>
    <row r="295">
      <c r="A295" s="22" t="inlineStr">
        <is>
          <t>R01218</t>
        </is>
      </c>
      <c r="B295" s="22" t="inlineStr">
        <is>
          <t>Ankara-Sivas_YHT_Projesi_5_ad_YHT_istasyon_yapimi</t>
        </is>
      </c>
      <c r="C295" s="22" t="inlineStr">
        <is>
          <t>bina</t>
        </is>
      </c>
      <c r="D295" s="22" t="inlineStr">
        <is>
          <t>Yapı Merkezi İDİS maliyet çalışması (marka sütunu: tedarikçi)</t>
        </is>
      </c>
      <c r="E295" s="22" t="inlineStr">
        <is>
          <t>2019-03-18</t>
        </is>
      </c>
      <c r="F295" s="22" t="inlineStr">
        <is>
          <t>ÖZ-ELK.71 24 port 10/100/1000 TX POE+2 Port SPF Switch 1U</t>
        </is>
      </c>
      <c r="G295" s="22" t="inlineStr">
        <is>
          <t>AD</t>
        </is>
      </c>
      <c r="H295" s="63" t="n">
        <v>6238.2</v>
      </c>
      <c r="I295" s="22" t="inlineStr">
        <is>
          <t>TRY</t>
        </is>
      </c>
      <c r="J295" s="22" t="inlineStr">
        <is>
          <t>M+İ</t>
        </is>
      </c>
      <c r="K295" s="63" t="n">
        <v>1288.43263469086</v>
      </c>
      <c r="L295" s="22" t="inlineStr">
        <is>
          <t>4002.A</t>
        </is>
      </c>
      <c r="M295" s="22" t="n">
        <v>2</v>
      </c>
      <c r="N295" s="22" t="inlineStr">
        <is>
          <t xml:space="preserve">Yerköy-Sivas YHT 5 istasyon binası elektrik BoQ; birim_fiyat = YM malzeme(TL, kur 6,18 TL/EUR)+işçilik maliyeti; YM teklif birim fiyatı: 5238.2 TL; marka: </t>
        </is>
      </c>
    </row>
    <row r="296">
      <c r="A296" s="22" t="inlineStr">
        <is>
          <t>R01242</t>
        </is>
      </c>
      <c r="B296" s="22" t="inlineStr">
        <is>
          <t>Baskentray</t>
        </is>
      </c>
      <c r="C296" s="22" t="inlineStr">
        <is>
          <t>banliyo</t>
        </is>
      </c>
      <c r="D296" s="22" t="inlineStr">
        <is>
          <t>Thales (İspanya)</t>
        </is>
      </c>
      <c r="E296" s="22" t="inlineStr">
        <is>
          <t>2012-04-24</t>
        </is>
      </c>
      <c r="F296" s="22" t="inlineStr">
        <is>
          <t>UPQ 33 Konsollar (sayısal telefon seti)</t>
        </is>
      </c>
      <c r="G296" s="22" t="inlineStr">
        <is>
          <t>ADET</t>
        </is>
      </c>
      <c r="H296" s="63" t="n">
        <v>457.58</v>
      </c>
      <c r="I296" s="22" t="inlineStr">
        <is>
          <t>EUR</t>
        </is>
      </c>
      <c r="J296" s="22" t="inlineStr"/>
      <c r="K296" s="63" t="n">
        <v>621.413876610411</v>
      </c>
      <c r="L296" s="22" t="inlineStr">
        <is>
          <t>4005.I</t>
        </is>
      </c>
      <c r="M296" s="22" t="n">
        <v>1</v>
      </c>
      <c r="N296" s="22" t="inlineStr">
        <is>
          <t>Başkentray Kayaş-Ankara-Sincan banliyö (28 istasyon); Thales sinyal&amp;telekom BoQ; para birimi tabloda yazmıyor, ihale BoQ formatı EURO; malzeme+işçilik; Kayaş-Sincan (28 ist.)</t>
        </is>
      </c>
    </row>
    <row r="297">
      <c r="A297" s="22" t="inlineStr">
        <is>
          <t>R01252</t>
        </is>
      </c>
      <c r="B297" s="22" t="inlineStr">
        <is>
          <t>Baskentray</t>
        </is>
      </c>
      <c r="C297" s="22" t="inlineStr">
        <is>
          <t>banliyo</t>
        </is>
      </c>
      <c r="D297" s="22" t="inlineStr">
        <is>
          <t>Thales (İspanya)</t>
        </is>
      </c>
      <c r="E297" s="22" t="inlineStr">
        <is>
          <t>2012-04-24</t>
        </is>
      </c>
      <c r="F297" s="22" t="inlineStr">
        <is>
          <t>859.4 10 W hava bacinçli (horn) harici hoparlör</t>
        </is>
      </c>
      <c r="G297" s="22" t="inlineStr">
        <is>
          <t>adet</t>
        </is>
      </c>
      <c r="H297" s="63" t="n">
        <v>131.33</v>
      </c>
      <c r="I297" s="22" t="inlineStr">
        <is>
          <t>EUR</t>
        </is>
      </c>
      <c r="J297" s="22" t="inlineStr">
        <is>
          <t>M+İ</t>
        </is>
      </c>
      <c r="K297" s="63" t="n">
        <v>178.351948107971</v>
      </c>
      <c r="L297" s="22" t="inlineStr">
        <is>
          <t>4008.A</t>
        </is>
      </c>
      <c r="M297" s="22" t="n">
        <v>7</v>
      </c>
      <c r="N297" s="22" t="inlineStr">
        <is>
          <t>Başkentray Kayaş-Ankara-Sincan banliyö (28 istasyon); Thales sinyal&amp;telekom BoQ; para birimi tabloda yazmıyor, ihale BoQ formatı EURO; malzeme+işçilik; alt iş kalemi detay sayfası (malzeme+işçilik)</t>
        </is>
      </c>
    </row>
    <row r="298">
      <c r="A298" s="22" t="inlineStr">
        <is>
          <t>R01255</t>
        </is>
      </c>
      <c r="B298" s="22" t="inlineStr">
        <is>
          <t>Baskentray</t>
        </is>
      </c>
      <c r="C298" s="22" t="inlineStr">
        <is>
          <t>banliyo</t>
        </is>
      </c>
      <c r="D298" s="22" t="inlineStr">
        <is>
          <t>Thales (İspanya)</t>
        </is>
      </c>
      <c r="E298" s="22" t="inlineStr">
        <is>
          <t>2012-04-24</t>
        </is>
      </c>
      <c r="F298" s="22" t="inlineStr">
        <is>
          <t>860.1 PID merkezi sunucusu</t>
        </is>
      </c>
      <c r="G298" s="22" t="inlineStr">
        <is>
          <t>adet</t>
        </is>
      </c>
      <c r="H298" s="63" t="n">
        <v>4865.75</v>
      </c>
      <c r="I298" s="22" t="inlineStr">
        <is>
          <t>EUR</t>
        </is>
      </c>
      <c r="J298" s="22" t="inlineStr">
        <is>
          <t>M+İ</t>
        </is>
      </c>
      <c r="K298" s="63" t="n">
        <v>6607.90368922835</v>
      </c>
      <c r="L298" s="22" t="inlineStr">
        <is>
          <t>4018.G</t>
        </is>
      </c>
      <c r="M298" s="22" t="n">
        <v>1</v>
      </c>
      <c r="N298" s="22" t="inlineStr">
        <is>
          <t>Başkentray Kayaş-Ankara-Sincan banliyö (28 istasyon); Thales sinyal&amp;telekom BoQ; para birimi tabloda yazmıyor, ihale BoQ formatı EURO; malzeme+işçilik; alt iş kalemi detay sayfası (malzeme+işçilik)</t>
        </is>
      </c>
    </row>
    <row r="299">
      <c r="A299" s="22" t="inlineStr">
        <is>
          <t>R01276</t>
        </is>
      </c>
      <c r="B299" s="22" t="inlineStr">
        <is>
          <t>Baskentray</t>
        </is>
      </c>
      <c r="C299" s="22" t="inlineStr">
        <is>
          <t>banliyo</t>
        </is>
      </c>
      <c r="D299" s="22" t="inlineStr">
        <is>
          <t>Thales (İspanya)</t>
        </is>
      </c>
      <c r="E299" s="22" t="inlineStr">
        <is>
          <t>2012-04-24</t>
        </is>
      </c>
      <c r="F299" s="22" t="inlineStr">
        <is>
          <t>24 fiberli optik kablo</t>
        </is>
      </c>
      <c r="G299" s="22" t="inlineStr">
        <is>
          <t>km</t>
        </is>
      </c>
      <c r="H299" s="63" t="n">
        <v>2251.55</v>
      </c>
      <c r="I299" s="22" t="inlineStr">
        <is>
          <t>EUR</t>
        </is>
      </c>
      <c r="J299" s="22" t="inlineStr">
        <is>
          <t>M+İ</t>
        </is>
      </c>
      <c r="K299" s="63" t="n">
        <v>3057.70447546259</v>
      </c>
      <c r="L299" s="22" t="inlineStr">
        <is>
          <t>4003</t>
        </is>
      </c>
      <c r="M299" s="22" t="n">
        <v>1</v>
      </c>
      <c r="N299" s="22" t="inlineStr">
        <is>
          <t>Başkentray Kayaş-Ankara-Sincan banliyö (28 istasyon); Thales sinyal&amp;telekom BoQ; para birimi tabloda yazmıyor, ihale BoQ formatı EURO; malzeme+işçilik; haberleşme kabloları detay (Türkiye menşei)</t>
        </is>
      </c>
    </row>
    <row r="300">
      <c r="A300" s="22" t="inlineStr">
        <is>
          <t>R01278</t>
        </is>
      </c>
      <c r="B300" s="22" t="inlineStr">
        <is>
          <t>Baskentray</t>
        </is>
      </c>
      <c r="C300" s="22" t="inlineStr">
        <is>
          <t>banliyo</t>
        </is>
      </c>
      <c r="D300" s="22" t="inlineStr">
        <is>
          <t>Thales (İspanya)</t>
        </is>
      </c>
      <c r="E300" s="22" t="inlineStr">
        <is>
          <t>2012-04-24</t>
        </is>
      </c>
      <c r="F300" s="22" t="inlineStr">
        <is>
          <t>96 fiberlik ODF (pigtail+konnektör)</t>
        </is>
      </c>
      <c r="G300" s="22" t="inlineStr">
        <is>
          <t>adet</t>
        </is>
      </c>
      <c r="H300" s="63" t="n">
        <v>1400.71</v>
      </c>
      <c r="I300" s="22" t="inlineStr">
        <is>
          <t>EUR</t>
        </is>
      </c>
      <c r="J300" s="22" t="inlineStr">
        <is>
          <t>M+İ</t>
        </is>
      </c>
      <c r="K300" s="63" t="n">
        <v>1902.22612681273</v>
      </c>
      <c r="L300" s="22" t="inlineStr">
        <is>
          <t>4003</t>
        </is>
      </c>
      <c r="M300" s="22" t="n">
        <v>2</v>
      </c>
      <c r="N300" s="22" t="inlineStr">
        <is>
          <t>Başkentray Kayaş-Ankara-Sincan banliyö (28 istasyon); Thales sinyal&amp;telekom BoQ; para birimi tabloda yazmıyor, ihale BoQ formatı EURO; malzeme+işçilik; haberleşme kabloları detay (Türkiye menşei)</t>
        </is>
      </c>
    </row>
    <row r="301">
      <c r="A301" s="22" t="inlineStr">
        <is>
          <t>R01279</t>
        </is>
      </c>
      <c r="B301" s="22" t="inlineStr">
        <is>
          <t>Baskentray</t>
        </is>
      </c>
      <c r="C301" s="22" t="inlineStr">
        <is>
          <t>banliyo</t>
        </is>
      </c>
      <c r="D301" s="22" t="inlineStr">
        <is>
          <t>Thales (İspanya)</t>
        </is>
      </c>
      <c r="E301" s="22" t="inlineStr">
        <is>
          <t>2012-04-24</t>
        </is>
      </c>
      <c r="F301" s="22" t="inlineStr">
        <is>
          <t>24 fiberlik ODF (pigtail+konnektör)</t>
        </is>
      </c>
      <c r="G301" s="22" t="inlineStr">
        <is>
          <t>adet</t>
        </is>
      </c>
      <c r="H301" s="63" t="n">
        <v>473.15</v>
      </c>
      <c r="I301" s="22" t="inlineStr">
        <is>
          <t>EUR</t>
        </is>
      </c>
      <c r="J301" s="22" t="inlineStr">
        <is>
          <t>M+İ</t>
        </is>
      </c>
      <c r="K301" s="63" t="n">
        <v>642.558625198251</v>
      </c>
      <c r="L301" s="22" t="inlineStr">
        <is>
          <t>4003</t>
        </is>
      </c>
      <c r="M301" s="22" t="n">
        <v>8</v>
      </c>
      <c r="N301" s="22" t="inlineStr">
        <is>
          <t>Başkentray Kayaş-Ankara-Sincan banliyö (28 istasyon); Thales sinyal&amp;telekom BoQ; para birimi tabloda yazmıyor, ihale BoQ formatı EURO; malzeme+işçilik; haberleşme kabloları detay (Türkiye menşei)</t>
        </is>
      </c>
    </row>
    <row r="302">
      <c r="A302" s="22" t="inlineStr">
        <is>
          <t>R01281</t>
        </is>
      </c>
      <c r="B302" s="22" t="inlineStr">
        <is>
          <t>Baskentray</t>
        </is>
      </c>
      <c r="C302" s="22" t="inlineStr">
        <is>
          <t>banliyo</t>
        </is>
      </c>
      <c r="D302" s="22" t="inlineStr">
        <is>
          <t>Thales (İspanya)</t>
        </is>
      </c>
      <c r="E302" s="22" t="inlineStr">
        <is>
          <t>2012-04-24</t>
        </is>
      </c>
      <c r="F302" s="22" t="inlineStr">
        <is>
          <t>Fiber optik terminasyon kutusu</t>
        </is>
      </c>
      <c r="G302" s="22" t="inlineStr">
        <is>
          <t>adet</t>
        </is>
      </c>
      <c r="H302" s="63" t="n">
        <v>493.65</v>
      </c>
      <c r="I302" s="22" t="inlineStr">
        <is>
          <t>EUR</t>
        </is>
      </c>
      <c r="J302" s="22" t="inlineStr">
        <is>
          <t>M+İ</t>
        </is>
      </c>
      <c r="K302" s="63" t="n">
        <v>670.398531816795</v>
      </c>
      <c r="L302" s="22" t="inlineStr">
        <is>
          <t>4003</t>
        </is>
      </c>
      <c r="M302" s="22" t="n">
        <v>1</v>
      </c>
      <c r="N302" s="22" t="inlineStr">
        <is>
          <t>Başkentray Kayaş-Ankara-Sincan banliyö (28 istasyon); Thales sinyal&amp;telekom BoQ; para birimi tabloda yazmıyor, ihale BoQ formatı EURO; malzeme+işçilik; haberleşme kabloları detay (Türkiye menşei)</t>
        </is>
      </c>
    </row>
    <row r="303">
      <c r="A303" s="22" t="inlineStr">
        <is>
          <t>R01282</t>
        </is>
      </c>
      <c r="B303" s="22" t="inlineStr">
        <is>
          <t>Baskentray</t>
        </is>
      </c>
      <c r="C303" s="22" t="inlineStr">
        <is>
          <t>banliyo</t>
        </is>
      </c>
      <c r="D303" s="22" t="inlineStr">
        <is>
          <t>Thales (İspanya)</t>
        </is>
      </c>
      <c r="E303" s="22" t="inlineStr">
        <is>
          <t>2012-04-24</t>
        </is>
      </c>
      <c r="F303" s="22" t="inlineStr">
        <is>
          <t>96 FO kablo OTDR/zayıflama ölçümü</t>
        </is>
      </c>
      <c r="G303" s="22" t="inlineStr">
        <is>
          <t>km</t>
        </is>
      </c>
      <c r="H303" s="63" t="n">
        <v>1209.6</v>
      </c>
      <c r="I303" s="22" t="inlineStr">
        <is>
          <t>EUR</t>
        </is>
      </c>
      <c r="J303" s="22" t="inlineStr">
        <is>
          <t>M+İ</t>
        </is>
      </c>
      <c r="K303" s="63" t="n">
        <v>1642.69029491663</v>
      </c>
      <c r="L303" s="22" t="inlineStr">
        <is>
          <t>4003</t>
        </is>
      </c>
      <c r="M303" s="22" t="n">
        <v>1</v>
      </c>
      <c r="N303" s="22" t="inlineStr">
        <is>
          <t>Başkentray Kayaş-Ankara-Sincan banliyö (28 istasyon); Thales sinyal&amp;telekom BoQ; para birimi tabloda yazmıyor, ihale BoQ formatı EURO; malzeme+işçilik; haberleşme kabloları detay (Türkiye menşei)</t>
        </is>
      </c>
    </row>
    <row r="304">
      <c r="A304" s="22" t="inlineStr">
        <is>
          <t>R01283</t>
        </is>
      </c>
      <c r="B304" s="22" t="inlineStr">
        <is>
          <t>Baskentray</t>
        </is>
      </c>
      <c r="C304" s="22" t="inlineStr">
        <is>
          <t>banliyo</t>
        </is>
      </c>
      <c r="D304" s="22" t="inlineStr">
        <is>
          <t>Thales (İspanya)</t>
        </is>
      </c>
      <c r="E304" s="22" t="inlineStr">
        <is>
          <t>2012-04-24</t>
        </is>
      </c>
      <c r="F304" s="22" t="inlineStr">
        <is>
          <t>24 FO kablo OTDR/zayıflama ölçümü</t>
        </is>
      </c>
      <c r="G304" s="22" t="inlineStr">
        <is>
          <t>km</t>
        </is>
      </c>
      <c r="H304" s="63" t="n">
        <v>302.4</v>
      </c>
      <c r="I304" s="22" t="inlineStr">
        <is>
          <t>EUR</t>
        </is>
      </c>
      <c r="J304" s="22" t="inlineStr">
        <is>
          <t>M+İ</t>
        </is>
      </c>
      <c r="K304" s="63" t="n">
        <v>410.672573729158</v>
      </c>
      <c r="L304" s="22" t="inlineStr">
        <is>
          <t>4003</t>
        </is>
      </c>
      <c r="M304" s="22" t="n">
        <v>1</v>
      </c>
      <c r="N304" s="22" t="inlineStr">
        <is>
          <t>Başkentray Kayaş-Ankara-Sincan banliyö (28 istasyon); Thales sinyal&amp;telekom BoQ; para birimi tabloda yazmıyor, ihale BoQ formatı EURO; malzeme+işçilik; haberleşme kabloları detay (Türkiye menşei)</t>
        </is>
      </c>
    </row>
    <row r="305">
      <c r="A305" s="22" t="inlineStr">
        <is>
          <t>R01290</t>
        </is>
      </c>
      <c r="B305" s="22" t="inlineStr">
        <is>
          <t>Cerkezkoy_Kapikule_Railway</t>
        </is>
      </c>
      <c r="C305" s="22" t="inlineStr">
        <is>
          <t>anahat</t>
        </is>
      </c>
      <c r="D305" s="22" t="inlineStr">
        <is>
          <t>Yapı Merkezi İDİS bütçe (tedarikçi: Netaş, Iskratel, Bosch, On Elektronik, Prysmian)</t>
        </is>
      </c>
      <c r="E305" s="22" t="inlineStr">
        <is>
          <t>2018-10-16</t>
        </is>
      </c>
      <c r="F305" s="22" t="inlineStr">
        <is>
          <t>501.4 Industrial switches</t>
        </is>
      </c>
      <c r="G305" s="22" t="inlineStr">
        <is>
          <t>adet</t>
        </is>
      </c>
      <c r="H305" s="63" t="n">
        <v>2644.18</v>
      </c>
      <c r="I305" s="22" t="inlineStr">
        <is>
          <t>EUR</t>
        </is>
      </c>
      <c r="J305" s="22" t="inlineStr"/>
      <c r="K305" s="63" t="n">
        <v>3374.11387104891</v>
      </c>
      <c r="L305" s="22" t="inlineStr">
        <is>
          <t>4002.I</t>
        </is>
      </c>
      <c r="M305" s="22" t="n">
        <v>1</v>
      </c>
      <c r="N305" s="22" t="inlineStr">
        <is>
          <t>Kapıkule-Çerkezköy anahat (~230 km, 7 istasyon) S&amp;T yaklaşık maliyet bütçesi; maliyet birim fiyatı; tedarikçi: Netaş</t>
        </is>
      </c>
    </row>
    <row r="306">
      <c r="A306" s="22" t="inlineStr">
        <is>
          <t>R01301</t>
        </is>
      </c>
      <c r="B306" s="22" t="inlineStr">
        <is>
          <t>Cerkezkoy_Kapikule_Railway</t>
        </is>
      </c>
      <c r="C306" s="22" t="inlineStr">
        <is>
          <t>anahat</t>
        </is>
      </c>
      <c r="D306" s="22" t="inlineStr">
        <is>
          <t>Yapı Merkezi İDİS bütçe (tedarikçi: Netaş, Iskratel, Bosch, On Elektronik, Prysmian)</t>
        </is>
      </c>
      <c r="E306" s="22" t="inlineStr">
        <is>
          <t>2018-10-16</t>
        </is>
      </c>
      <c r="F306" s="22" t="inlineStr">
        <is>
          <t>503 Telephone system design</t>
        </is>
      </c>
      <c r="G306" s="22" t="inlineStr">
        <is>
          <t>ls</t>
        </is>
      </c>
      <c r="H306" s="63" t="n">
        <v>5999.69</v>
      </c>
      <c r="I306" s="22" t="inlineStr">
        <is>
          <t>EUR</t>
        </is>
      </c>
      <c r="J306" s="22" t="inlineStr"/>
      <c r="K306" s="63" t="n">
        <v>7655.92253590657</v>
      </c>
      <c r="L306" s="22" t="inlineStr">
        <is>
          <t>4004</t>
        </is>
      </c>
      <c r="M306" s="22" t="n">
        <v>1</v>
      </c>
      <c r="N306" s="22" t="inlineStr">
        <is>
          <t>Kapıkule-Çerkezköy anahat (~230 km, 7 istasyon) S&amp;T yaklaşık maliyet bütçesi; maliyet birim fiyatı; tedarikçi: Iskratel</t>
        </is>
      </c>
    </row>
    <row r="307">
      <c r="A307" s="22" t="inlineStr">
        <is>
          <t>R01311</t>
        </is>
      </c>
      <c r="B307" s="22" t="inlineStr">
        <is>
          <t>Cerkezkoy_Kapikule_Railway</t>
        </is>
      </c>
      <c r="C307" s="22" t="inlineStr">
        <is>
          <t>anahat</t>
        </is>
      </c>
      <c r="D307" s="22" t="inlineStr">
        <is>
          <t>Yapı Merkezi İDİS bütçe (tedarikçi: Netaş, Iskratel, Bosch, On Elektronik, Prysmian)</t>
        </is>
      </c>
      <c r="E307" s="22" t="inlineStr">
        <is>
          <t>2018-10-16</t>
        </is>
      </c>
      <c r="F307" s="22" t="inlineStr">
        <is>
          <t>HDPE boru ile ray/karayolu altı geçiş</t>
        </is>
      </c>
      <c r="G307" s="22" t="inlineStr">
        <is>
          <t>m</t>
        </is>
      </c>
      <c r="H307" s="63" t="n">
        <v>3.63</v>
      </c>
      <c r="I307" s="22" t="inlineStr">
        <is>
          <t>EUR</t>
        </is>
      </c>
      <c r="J307" s="22" t="inlineStr"/>
      <c r="K307" s="63" t="n">
        <v>4.63207245796714</v>
      </c>
      <c r="L307" s="22" t="inlineStr"/>
      <c r="M307" s="22" t="n">
        <v>8</v>
      </c>
      <c r="N307" s="22" t="inlineStr">
        <is>
          <t>Kapıkule-Çerkezköy anahat (~230 km, 7 istasyon) S&amp;T yaklaşık maliyet bütçesi; maliyet birim fiyatı; tedarikçi: CVL</t>
        </is>
      </c>
    </row>
    <row r="308">
      <c r="A308" s="22" t="inlineStr">
        <is>
          <t>R01501</t>
        </is>
      </c>
      <c r="B308" s="22" t="inlineStr">
        <is>
          <t>Izmir_Konak_Karsiyaka_Tramvay</t>
        </is>
      </c>
      <c r="C308" s="22" t="inlineStr">
        <is>
          <t>tramvay</t>
        </is>
      </c>
      <c r="D308" s="22" t="inlineStr">
        <is>
          <t>Elmak Kontrol Sistemleri</t>
        </is>
      </c>
      <c r="E308" s="22" t="inlineStr">
        <is>
          <t>2014-01-14</t>
        </is>
      </c>
      <c r="F308" s="22" t="inlineStr">
        <is>
          <t>GE PLC CPU 1.1GHz (yedek)</t>
        </is>
      </c>
      <c r="G308" s="22" t="inlineStr">
        <is>
          <t>adet</t>
        </is>
      </c>
      <c r="H308" s="63" t="n">
        <v>1500</v>
      </c>
      <c r="I308" s="22" t="inlineStr">
        <is>
          <t>EUR</t>
        </is>
      </c>
      <c r="J308" s="22" t="inlineStr"/>
      <c r="K308" s="63" t="n">
        <v>2027.37878174643</v>
      </c>
      <c r="L308" s="22" t="inlineStr">
        <is>
          <t>4016.H</t>
        </is>
      </c>
      <c r="M308" s="22" t="n">
        <v>5</v>
      </c>
      <c r="N308" s="22" t="inlineStr">
        <is>
          <t>İzmir tramvay SCADA (GE PLC/RTU her trafo merkezi ve depo için 1 set, WinCC OA merkezde; anahtar teslim, devreye alma/eğitim dahil); KDV hariç; yedek malzeme listesi</t>
        </is>
      </c>
    </row>
    <row r="309">
      <c r="A309" s="22" t="inlineStr">
        <is>
          <t>R01502</t>
        </is>
      </c>
      <c r="B309" s="22" t="inlineStr">
        <is>
          <t>Izmir_Konak_Karsiyaka_Tramvay</t>
        </is>
      </c>
      <c r="C309" s="22" t="inlineStr">
        <is>
          <t>tramvay</t>
        </is>
      </c>
      <c r="D309" s="22" t="inlineStr">
        <is>
          <t>Elmak Kontrol Sistemleri</t>
        </is>
      </c>
      <c r="E309" s="22" t="inlineStr">
        <is>
          <t>2014-01-14</t>
        </is>
      </c>
      <c r="F309" s="22" t="inlineStr">
        <is>
          <t>GE digital input card 32 DI 24VDC</t>
        </is>
      </c>
      <c r="G309" s="22" t="inlineStr">
        <is>
          <t>adet</t>
        </is>
      </c>
      <c r="H309" s="63" t="n">
        <v>381</v>
      </c>
      <c r="I309" s="22" t="inlineStr">
        <is>
          <t>EUR</t>
        </is>
      </c>
      <c r="J309" s="22" t="inlineStr"/>
      <c r="K309" s="63" t="n">
        <v>514.954210563594</v>
      </c>
      <c r="L309" s="22" t="inlineStr">
        <is>
          <t>4016.H</t>
        </is>
      </c>
      <c r="M309" s="22" t="n">
        <v>5</v>
      </c>
      <c r="N309" s="22" t="inlineStr">
        <is>
          <t>İzmir tramvay SCADA (GE PLC/RTU her trafo merkezi ve depo için 1 set, WinCC OA merkezde; anahtar teslim, devreye alma/eğitim dahil); KDV hariç; yedek malzeme listesi</t>
        </is>
      </c>
    </row>
    <row r="310">
      <c r="A310" s="22" t="inlineStr">
        <is>
          <t>R01503</t>
        </is>
      </c>
      <c r="B310" s="22" t="inlineStr">
        <is>
          <t>Izmir_Konak_Karsiyaka_Tramvay</t>
        </is>
      </c>
      <c r="C310" s="22" t="inlineStr">
        <is>
          <t>tramvay</t>
        </is>
      </c>
      <c r="D310" s="22" t="inlineStr">
        <is>
          <t>Elmak Kontrol Sistemleri</t>
        </is>
      </c>
      <c r="E310" s="22" t="inlineStr">
        <is>
          <t>2014-01-14</t>
        </is>
      </c>
      <c r="F310" s="22" t="inlineStr">
        <is>
          <t>GE digital output 32 DO 24VDC</t>
        </is>
      </c>
      <c r="G310" s="22" t="inlineStr">
        <is>
          <t>adet</t>
        </is>
      </c>
      <c r="H310" s="63" t="n">
        <v>426</v>
      </c>
      <c r="I310" s="22" t="inlineStr">
        <is>
          <t>EUR</t>
        </is>
      </c>
      <c r="J310" s="22" t="inlineStr"/>
      <c r="K310" s="63" t="n">
        <v>575.775574015987</v>
      </c>
      <c r="L310" s="22" t="inlineStr">
        <is>
          <t>4016.H</t>
        </is>
      </c>
      <c r="M310" s="22" t="n">
        <v>5</v>
      </c>
      <c r="N310" s="22" t="inlineStr">
        <is>
          <t>İzmir tramvay SCADA (GE PLC/RTU her trafo merkezi ve depo için 1 set, WinCC OA merkezde; anahtar teslim, devreye alma/eğitim dahil); KDV hariç; yedek malzeme listesi</t>
        </is>
      </c>
    </row>
    <row r="311">
      <c r="A311" s="22" t="inlineStr">
        <is>
          <t>R01504</t>
        </is>
      </c>
      <c r="B311" s="22" t="inlineStr">
        <is>
          <t>Izmir_Konak_Karsiyaka_Tramvay</t>
        </is>
      </c>
      <c r="C311" s="22" t="inlineStr">
        <is>
          <t>tramvay</t>
        </is>
      </c>
      <c r="D311" s="22" t="inlineStr">
        <is>
          <t>Elmak Kontrol Sistemleri</t>
        </is>
      </c>
      <c r="E311" s="22" t="inlineStr">
        <is>
          <t>2014-01-14</t>
        </is>
      </c>
      <c r="F311" s="22" t="inlineStr">
        <is>
          <t>GE güç kaynağı</t>
        </is>
      </c>
      <c r="G311" s="22" t="inlineStr">
        <is>
          <t>adet</t>
        </is>
      </c>
      <c r="H311" s="63" t="n">
        <v>323</v>
      </c>
      <c r="I311" s="22" t="inlineStr">
        <is>
          <t>EUR</t>
        </is>
      </c>
      <c r="J311" s="22" t="inlineStr"/>
      <c r="K311" s="63" t="n">
        <v>436.562231002732</v>
      </c>
      <c r="L311" s="22" t="inlineStr">
        <is>
          <t>4016.H</t>
        </is>
      </c>
      <c r="M311" s="22" t="n">
        <v>5</v>
      </c>
      <c r="N311" s="22" t="inlineStr">
        <is>
          <t>İzmir tramvay SCADA (GE PLC/RTU her trafo merkezi ve depo için 1 set, WinCC OA merkezde; anahtar teslim, devreye alma/eğitim dahil); KDV hariç; yedek malzeme listesi</t>
        </is>
      </c>
    </row>
    <row r="312">
      <c r="A312" s="22" t="inlineStr">
        <is>
          <t>R01524</t>
        </is>
      </c>
      <c r="B312" s="22" t="inlineStr">
        <is>
          <t>Izmir_Metro_Project_II_FahrettinAltay_Narlidere</t>
        </is>
      </c>
      <c r="C312" s="22" t="inlineStr">
        <is>
          <t>metro</t>
        </is>
      </c>
      <c r="D312" s="22" t="inlineStr">
        <is>
          <t>Elmak Kontrol Sistemleri</t>
        </is>
      </c>
      <c r="E312" s="22" t="inlineStr">
        <is>
          <t>2018-01-19</t>
        </is>
      </c>
      <c r="F312" s="22" t="inlineStr">
        <is>
          <t>5.4.422 SCADA/ECS Tasarımı</t>
        </is>
      </c>
      <c r="G312" s="22" t="inlineStr">
        <is>
          <t>takım</t>
        </is>
      </c>
      <c r="H312" s="63" t="n">
        <v>25000</v>
      </c>
      <c r="I312" s="22" t="inlineStr">
        <is>
          <t>EUR</t>
        </is>
      </c>
      <c r="J312" s="22" t="inlineStr"/>
      <c r="K312" s="63" t="n">
        <v>32881.3583103584</v>
      </c>
      <c r="L312" s="22" t="inlineStr">
        <is>
          <t>4015</t>
        </is>
      </c>
      <c r="M312" s="22" t="n">
        <v>1</v>
      </c>
      <c r="N312" s="22" t="inlineStr">
        <is>
          <t xml:space="preserve">Narlıdere metro SCADA (7 yeraltı istasyon); KDV hariç; </t>
        </is>
      </c>
    </row>
    <row r="313">
      <c r="A313" s="22" t="inlineStr">
        <is>
          <t>R01528</t>
        </is>
      </c>
      <c r="B313" s="22" t="inlineStr">
        <is>
          <t>Izmir_Metro_Project_II_FahrettinAltay_Narlidere</t>
        </is>
      </c>
      <c r="C313" s="22" t="inlineStr">
        <is>
          <t>metro</t>
        </is>
      </c>
      <c r="D313" s="22" t="inlineStr">
        <is>
          <t>Uskom</t>
        </is>
      </c>
      <c r="E313" s="22" t="inlineStr">
        <is>
          <t>2018-03-19</t>
        </is>
      </c>
      <c r="F313" s="22" t="inlineStr">
        <is>
          <t>5.4.400 İletim Sistemi Tasarımı</t>
        </is>
      </c>
      <c r="G313" s="22" t="inlineStr">
        <is>
          <t>takım</t>
        </is>
      </c>
      <c r="H313" s="63" t="n">
        <v>14677.15</v>
      </c>
      <c r="I313" s="22" t="inlineStr">
        <is>
          <t>USD</t>
        </is>
      </c>
      <c r="J313" s="22" t="inlineStr"/>
      <c r="K313" s="63" t="n">
        <v>15477.2506548551</v>
      </c>
      <c r="L313" s="22" t="inlineStr">
        <is>
          <t>4001</t>
        </is>
      </c>
      <c r="M313" s="22" t="n">
        <v>1</v>
      </c>
      <c r="N313" s="22" t="inlineStr">
        <is>
          <t>Narlıdere metro (7 yeraltı istasyon, ~7 km); KDV hariç; teklif cetveli özet pozu (istasyon başı götürü); Güvenlik Sistemi=erişim kontrol</t>
        </is>
      </c>
    </row>
    <row r="314">
      <c r="A314" s="22" t="inlineStr">
        <is>
          <t>R01577</t>
        </is>
      </c>
      <c r="B314" s="22" t="inlineStr">
        <is>
          <t>Izmir_Metro_Project_II_FahrettinAltay_Narlidere</t>
        </is>
      </c>
      <c r="C314" s="22" t="inlineStr">
        <is>
          <t>metro</t>
        </is>
      </c>
      <c r="D314" s="22" t="inlineStr">
        <is>
          <t>Uskom</t>
        </is>
      </c>
      <c r="E314" s="22" t="inlineStr">
        <is>
          <t>2018-03-19</t>
        </is>
      </c>
      <c r="F314" s="22" t="inlineStr">
        <is>
          <t>5.4.419 Güvenlik Sistemi Tasarımı</t>
        </is>
      </c>
      <c r="G314" s="22" t="inlineStr">
        <is>
          <t>takım</t>
        </is>
      </c>
      <c r="H314" s="63" t="n">
        <v>30042.61</v>
      </c>
      <c r="I314" s="22" t="inlineStr">
        <is>
          <t>USD</t>
        </is>
      </c>
      <c r="J314" s="22" t="inlineStr"/>
      <c r="K314" s="63" t="n">
        <v>31680.33339552</v>
      </c>
      <c r="L314" s="22" t="inlineStr">
        <is>
          <t>4013</t>
        </is>
      </c>
      <c r="M314" s="22" t="n">
        <v>1</v>
      </c>
      <c r="N314" s="22" t="inlineStr">
        <is>
          <t>Narlıdere metro (7 yeraltı istasyon, ~7 km); KDV hariç; teklif cetveli özet pozu (istasyon başı götürü); Güvenlik Sistemi=erişim kontrol</t>
        </is>
      </c>
    </row>
    <row r="315">
      <c r="A315" s="22" t="inlineStr">
        <is>
          <t>R01606</t>
        </is>
      </c>
      <c r="B315" s="22" t="inlineStr">
        <is>
          <t>Izmir_Metro_Project_II_FahrettinAltay_Narlidere</t>
        </is>
      </c>
      <c r="C315" s="22" t="inlineStr">
        <is>
          <t>metro</t>
        </is>
      </c>
      <c r="D315" s="22" t="inlineStr">
        <is>
          <t>Uskom</t>
        </is>
      </c>
      <c r="E315" s="22" t="inlineStr">
        <is>
          <t>2018-03-19</t>
        </is>
      </c>
      <c r="F315" s="22" t="inlineStr">
        <is>
          <t>As-Built Documentation</t>
        </is>
      </c>
      <c r="G315" s="22" t="inlineStr">
        <is>
          <t>adet</t>
        </is>
      </c>
      <c r="H315" s="63" t="n">
        <v>3542.76</v>
      </c>
      <c r="I315" s="22" t="inlineStr">
        <is>
          <t>USD</t>
        </is>
      </c>
      <c r="J315" s="22" t="inlineStr">
        <is>
          <t>Malzeme</t>
        </is>
      </c>
      <c r="K315" s="63" t="n">
        <v>3735.88772547766</v>
      </c>
      <c r="L315" s="22" t="inlineStr">
        <is>
          <t>4001</t>
        </is>
      </c>
      <c r="M315" s="22" t="n">
        <v>1</v>
      </c>
      <c r="N315" s="22" t="inlineStr">
        <is>
          <t>Narlıdere metro (7 yeraltı istasyon, ~7 km); KDV hariç; fiyat detay sayfası "S-MPLS Sistemi - Fiyat Detayı" kalem 1.3</t>
        </is>
      </c>
    </row>
    <row r="316">
      <c r="A316" s="22" t="inlineStr">
        <is>
          <t>R01609</t>
        </is>
      </c>
      <c r="B316" s="22" t="inlineStr">
        <is>
          <t>Izmir_Metro_Project_II_FahrettinAltay_Narlidere</t>
        </is>
      </c>
      <c r="C316" s="22" t="inlineStr">
        <is>
          <t>metro</t>
        </is>
      </c>
      <c r="D316" s="22" t="inlineStr">
        <is>
          <t>Uskom</t>
        </is>
      </c>
      <c r="E316" s="22" t="inlineStr">
        <is>
          <t>2018-03-19</t>
        </is>
      </c>
      <c r="F316" s="22" t="inlineStr">
        <is>
          <t>NMS</t>
        </is>
      </c>
      <c r="G316" s="22" t="inlineStr">
        <is>
          <t>adet</t>
        </is>
      </c>
      <c r="H316" s="63" t="n">
        <v>16317.76</v>
      </c>
      <c r="I316" s="22" t="inlineStr">
        <is>
          <t>USD</t>
        </is>
      </c>
      <c r="J316" s="22" t="inlineStr">
        <is>
          <t>M+İ</t>
        </is>
      </c>
      <c r="K316" s="63" t="n">
        <v>17207.2958064589</v>
      </c>
      <c r="L316" s="22" t="inlineStr">
        <is>
          <t>4002.J</t>
        </is>
      </c>
      <c r="M316" s="22" t="n">
        <v>1</v>
      </c>
      <c r="N316" s="22" t="inlineStr">
        <is>
          <t>Narlıdere metro (7 yeraltı istasyon, ~7 km); KDV hariç; fiyat detay sayfası "S-MPLS Sistemi - Fiyat Detayı" kalem 3.2</t>
        </is>
      </c>
    </row>
    <row r="317">
      <c r="A317" s="22" t="inlineStr">
        <is>
          <t>R01613</t>
        </is>
      </c>
      <c r="B317" s="22" t="inlineStr">
        <is>
          <t>Izmir_Metro_Project_II_FahrettinAltay_Narlidere</t>
        </is>
      </c>
      <c r="C317" s="22" t="inlineStr">
        <is>
          <t>metro</t>
        </is>
      </c>
      <c r="D317" s="22" t="inlineStr">
        <is>
          <t>Uskom</t>
        </is>
      </c>
      <c r="E317" s="22" t="inlineStr">
        <is>
          <t>2018-03-19</t>
        </is>
      </c>
      <c r="F317" s="22" t="inlineStr">
        <is>
          <t>24 port CAT6 FTP patch panel (without RJ45 jacks)</t>
        </is>
      </c>
      <c r="G317" s="22" t="inlineStr">
        <is>
          <t>adet</t>
        </is>
      </c>
      <c r="H317" s="63" t="n">
        <v>60.93</v>
      </c>
      <c r="I317" s="22" t="inlineStr">
        <is>
          <t>USD</t>
        </is>
      </c>
      <c r="J317" s="22" t="inlineStr">
        <is>
          <t>M+İ</t>
        </is>
      </c>
      <c r="K317" s="63" t="n">
        <v>64.2514985811496</v>
      </c>
      <c r="L317" s="22" t="inlineStr">
        <is>
          <t>4002.A</t>
        </is>
      </c>
      <c r="M317" s="22" t="n">
        <v>6</v>
      </c>
      <c r="N317" s="22" t="inlineStr">
        <is>
          <t>Narlıdere metro (7 yeraltı istasyon, ~7 km); KDV hariç; fiyat detay sayfası "S-MPLS Sistemi - Fiyat Detayı" kalem 4.4</t>
        </is>
      </c>
    </row>
    <row r="318">
      <c r="A318" s="22" t="inlineStr">
        <is>
          <t>R01615</t>
        </is>
      </c>
      <c r="B318" s="22" t="inlineStr">
        <is>
          <t>Izmir_Metro_Project_II_FahrettinAltay_Narlidere</t>
        </is>
      </c>
      <c r="C318" s="22" t="inlineStr">
        <is>
          <t>metro</t>
        </is>
      </c>
      <c r="D318" s="22" t="inlineStr">
        <is>
          <t>Uskom</t>
        </is>
      </c>
      <c r="E318" s="22" t="inlineStr">
        <is>
          <t>2018-03-19</t>
        </is>
      </c>
      <c r="F318" s="22" t="inlineStr">
        <is>
          <t>1.5mt F.O patch cord</t>
        </is>
      </c>
      <c r="G318" s="22" t="inlineStr">
        <is>
          <t>adet</t>
        </is>
      </c>
      <c r="H318" s="63" t="n">
        <v>12.64</v>
      </c>
      <c r="I318" s="22" t="inlineStr">
        <is>
          <t>USD</t>
        </is>
      </c>
      <c r="J318" s="22" t="inlineStr">
        <is>
          <t>M+İ</t>
        </is>
      </c>
      <c r="K318" s="63" t="n">
        <v>13.3290487783642</v>
      </c>
      <c r="L318" s="22" t="inlineStr">
        <is>
          <t>4002.A</t>
        </is>
      </c>
      <c r="M318" s="22" t="n">
        <v>6</v>
      </c>
      <c r="N318" s="22" t="inlineStr">
        <is>
          <t>Narlıdere metro (7 yeraltı istasyon, ~7 km); KDV hariç; fiyat detay sayfası "S-MPLS Sistemi - Fiyat Detayı" kalem 4.6</t>
        </is>
      </c>
    </row>
    <row r="319">
      <c r="A319" s="22" t="inlineStr">
        <is>
          <t>R01621</t>
        </is>
      </c>
      <c r="B319" s="22" t="inlineStr">
        <is>
          <t>Izmir_Metro_Project_II_FahrettinAltay_Narlidere</t>
        </is>
      </c>
      <c r="C319" s="22" t="inlineStr">
        <is>
          <t>metro</t>
        </is>
      </c>
      <c r="D319" s="22" t="inlineStr">
        <is>
          <t>Uskom</t>
        </is>
      </c>
      <c r="E319" s="22" t="inlineStr">
        <is>
          <t>2018-03-19</t>
        </is>
      </c>
      <c r="F319" s="22" t="inlineStr">
        <is>
          <t>Optic Cable, 2 SM G652-D fibers, Fire Retardant LSZH and as per TRFO)</t>
        </is>
      </c>
      <c r="G319" s="22" t="inlineStr">
        <is>
          <t>adet</t>
        </is>
      </c>
      <c r="H319" s="63" t="n">
        <v>2.61</v>
      </c>
      <c r="I319" s="22" t="inlineStr">
        <is>
          <t>USD</t>
        </is>
      </c>
      <c r="J319" s="22" t="inlineStr">
        <is>
          <t>M+İ</t>
        </is>
      </c>
      <c r="K319" s="63" t="n">
        <v>2.75227985059577</v>
      </c>
      <c r="L319" s="22" t="inlineStr">
        <is>
          <t>4002</t>
        </is>
      </c>
      <c r="M319" s="22" t="n">
        <v>2</v>
      </c>
      <c r="N319" s="22" t="inlineStr">
        <is>
          <t>Narlıdere metro (7 yeraltı istasyon, ~7 km); KDV hariç; fiyat detay sayfası "S-MPLS Sistemi - Fiyat Detayı" kalem 5.2</t>
        </is>
      </c>
    </row>
    <row r="320">
      <c r="A320" s="22" t="inlineStr">
        <is>
          <t>R01622</t>
        </is>
      </c>
      <c r="B320" s="22" t="inlineStr">
        <is>
          <t>Izmir_Metro_Project_II_FahrettinAltay_Narlidere</t>
        </is>
      </c>
      <c r="C320" s="22" t="inlineStr">
        <is>
          <t>metro</t>
        </is>
      </c>
      <c r="D320" s="22" t="inlineStr">
        <is>
          <t>Uskom</t>
        </is>
      </c>
      <c r="E320" s="22" t="inlineStr">
        <is>
          <t>2018-03-19</t>
        </is>
      </c>
      <c r="F320" s="22" t="inlineStr">
        <is>
          <t>N2XH 3x2,5 Power cable - Flame Retardant between UPS to main and remote LAN central cabinets</t>
        </is>
      </c>
      <c r="G320" s="22" t="inlineStr">
        <is>
          <t>adet</t>
        </is>
      </c>
      <c r="H320" s="63" t="n">
        <v>3.18</v>
      </c>
      <c r="I320" s="22" t="inlineStr">
        <is>
          <t>USD</t>
        </is>
      </c>
      <c r="J320" s="22" t="inlineStr">
        <is>
          <t>M+İ</t>
        </is>
      </c>
      <c r="K320" s="63" t="n">
        <v>3.35335246164543</v>
      </c>
      <c r="L320" s="22" t="inlineStr">
        <is>
          <t>4002.A</t>
        </is>
      </c>
      <c r="M320" s="22" t="n">
        <v>32</v>
      </c>
      <c r="N320" s="22" t="inlineStr">
        <is>
          <t>Narlıdere metro (7 yeraltı istasyon, ~7 km); KDV hariç; fiyat detay sayfası "S-MPLS Sistemi - Fiyat Detayı" kalem 5.3</t>
        </is>
      </c>
    </row>
    <row r="321">
      <c r="A321" s="22" t="inlineStr">
        <is>
          <t>R01635</t>
        </is>
      </c>
      <c r="B321" s="22" t="inlineStr">
        <is>
          <t>Izmir_Metro_Project_II_FahrettinAltay_Narlidere</t>
        </is>
      </c>
      <c r="C321" s="22" t="inlineStr">
        <is>
          <t>metro</t>
        </is>
      </c>
      <c r="D321" s="22" t="inlineStr">
        <is>
          <t>Uskom</t>
        </is>
      </c>
      <c r="E321" s="22" t="inlineStr">
        <is>
          <t>2018-03-19</t>
        </is>
      </c>
      <c r="F321" s="22" t="inlineStr">
        <is>
          <t>ODF - 96 ports including pigtails, cassettes, couplers</t>
        </is>
      </c>
      <c r="G321" s="22" t="inlineStr">
        <is>
          <t>adet</t>
        </is>
      </c>
      <c r="H321" s="63" t="n">
        <v>520.8099999999999</v>
      </c>
      <c r="I321" s="22" t="inlineStr">
        <is>
          <t>USD</t>
        </is>
      </c>
      <c r="J321" s="22" t="inlineStr">
        <is>
          <t>Malzeme</t>
        </is>
      </c>
      <c r="K321" s="63" t="n">
        <v>549.20109922942</v>
      </c>
      <c r="L321" s="22" t="inlineStr">
        <is>
          <t>4003</t>
        </is>
      </c>
      <c r="M321" s="22" t="n">
        <v>2</v>
      </c>
      <c r="N321" s="22" t="inlineStr">
        <is>
          <t>Narlıdere metro (7 yeraltı istasyon, ~7 km); KDV hariç; fiyat detay sayfası "Fiber Optik-Fiyat Detayı" kalem 4.7</t>
        </is>
      </c>
    </row>
    <row r="322">
      <c r="A322" s="22" t="inlineStr">
        <is>
          <t>R01636</t>
        </is>
      </c>
      <c r="B322" s="22" t="inlineStr">
        <is>
          <t>Izmir_Metro_Project_II_FahrettinAltay_Narlidere</t>
        </is>
      </c>
      <c r="C322" s="22" t="inlineStr">
        <is>
          <t>metro</t>
        </is>
      </c>
      <c r="D322" s="22" t="inlineStr">
        <is>
          <t>Uskom</t>
        </is>
      </c>
      <c r="E322" s="22" t="inlineStr">
        <is>
          <t>2018-03-19</t>
        </is>
      </c>
      <c r="F322" s="22" t="inlineStr">
        <is>
          <t>Fiber optic cable termination works and OTDR tests</t>
        </is>
      </c>
      <c r="G322" s="22" t="inlineStr">
        <is>
          <t>adet</t>
        </is>
      </c>
      <c r="H322" s="63" t="n">
        <v>12.75</v>
      </c>
      <c r="I322" s="22" t="inlineStr">
        <is>
          <t>USD</t>
        </is>
      </c>
      <c r="J322" s="22" t="inlineStr">
        <is>
          <t>M+İ</t>
        </is>
      </c>
      <c r="K322" s="63" t="n">
        <v>13.4450452471633</v>
      </c>
      <c r="L322" s="22" t="inlineStr">
        <is>
          <t>4003</t>
        </is>
      </c>
      <c r="M322" s="22" t="n">
        <v>8</v>
      </c>
      <c r="N322" s="22" t="inlineStr">
        <is>
          <t>Narlıdere metro (7 yeraltı istasyon, ~7 km); KDV hariç; fiyat detay sayfası "Fiber Optik-Fiyat Detayı" kalem 4.9</t>
        </is>
      </c>
    </row>
    <row r="323">
      <c r="A323" s="22" t="inlineStr">
        <is>
          <t>R01641</t>
        </is>
      </c>
      <c r="B323" s="22" t="inlineStr">
        <is>
          <t>Izmir_Metro_Project_II_FahrettinAltay_Narlidere</t>
        </is>
      </c>
      <c r="C323" s="22" t="inlineStr">
        <is>
          <t>metro</t>
        </is>
      </c>
      <c r="D323" s="22" t="inlineStr">
        <is>
          <t>Uskom</t>
        </is>
      </c>
      <c r="E323" s="22" t="inlineStr">
        <is>
          <t>2018-03-19</t>
        </is>
      </c>
      <c r="F323" s="22" t="inlineStr">
        <is>
          <t>As-Built Documentation</t>
        </is>
      </c>
      <c r="G323" s="22" t="inlineStr">
        <is>
          <t>adet</t>
        </is>
      </c>
      <c r="H323" s="63" t="n">
        <v>7085.52</v>
      </c>
      <c r="I323" s="22" t="inlineStr">
        <is>
          <t>EUR</t>
        </is>
      </c>
      <c r="J323" s="22" t="inlineStr">
        <is>
          <t>Malzeme</t>
        </is>
      </c>
      <c r="K323" s="63" t="n">
        <v>9197.008402580899</v>
      </c>
      <c r="L323" s="22" t="inlineStr">
        <is>
          <t>4004</t>
        </is>
      </c>
      <c r="M323" s="22" t="n">
        <v>1</v>
      </c>
      <c r="N323" s="22" t="inlineStr">
        <is>
          <t>Narlıdere metro (7 yeraltı istasyon, ~7 km); KDV hariç; fiyat detay sayfası "Telefon Sistemi - Fiyat Detayı" kalem 1.3</t>
        </is>
      </c>
    </row>
    <row r="324">
      <c r="A324" s="22" t="inlineStr">
        <is>
          <t>R01646</t>
        </is>
      </c>
      <c r="B324" s="22" t="inlineStr">
        <is>
          <t>Izmir_Metro_Project_II_FahrettinAltay_Narlidere</t>
        </is>
      </c>
      <c r="C324" s="22" t="inlineStr">
        <is>
          <t>metro</t>
        </is>
      </c>
      <c r="D324" s="22" t="inlineStr">
        <is>
          <t>Uskom</t>
        </is>
      </c>
      <c r="E324" s="22" t="inlineStr">
        <is>
          <t>2018-03-19</t>
        </is>
      </c>
      <c r="F324" s="22" t="inlineStr">
        <is>
          <t>Operator PC and Licence, keyboard, mouse and headset/mic-speaker</t>
        </is>
      </c>
      <c r="G324" s="22" t="inlineStr">
        <is>
          <t>adet</t>
        </is>
      </c>
      <c r="H324" s="63" t="n">
        <v>3288.05</v>
      </c>
      <c r="I324" s="22" t="inlineStr">
        <is>
          <t>EUR</t>
        </is>
      </c>
      <c r="J324" s="22" t="inlineStr">
        <is>
          <t>Malzeme</t>
        </is>
      </c>
      <c r="K324" s="63" t="n">
        <v>4267.89049753668</v>
      </c>
      <c r="L324" s="22" t="inlineStr">
        <is>
          <t>4005</t>
        </is>
      </c>
      <c r="M324" s="22" t="n">
        <v>1</v>
      </c>
      <c r="N324" s="22" t="inlineStr">
        <is>
          <t>Narlıdere metro (7 yeraltı istasyon, ~7 km); KDV hariç; fiyat detay sayfası "Telefon Sistemi - Fiyat Detayı" kalem 2.6</t>
        </is>
      </c>
    </row>
    <row r="325">
      <c r="A325" s="22" t="inlineStr">
        <is>
          <t>R01648</t>
        </is>
      </c>
      <c r="B325" s="22" t="inlineStr">
        <is>
          <t>Izmir_Metro_Project_II_FahrettinAltay_Narlidere</t>
        </is>
      </c>
      <c r="C325" s="22" t="inlineStr">
        <is>
          <t>metro</t>
        </is>
      </c>
      <c r="D325" s="22" t="inlineStr">
        <is>
          <t>Uskom</t>
        </is>
      </c>
      <c r="E325" s="22" t="inlineStr">
        <is>
          <t>2018-03-19</t>
        </is>
      </c>
      <c r="F325" s="22" t="inlineStr">
        <is>
          <t>Analog telephone</t>
        </is>
      </c>
      <c r="G325" s="22" t="inlineStr">
        <is>
          <t>adet</t>
        </is>
      </c>
      <c r="H325" s="63" t="n">
        <v>36.63</v>
      </c>
      <c r="I325" s="22" t="inlineStr">
        <is>
          <t>EUR</t>
        </is>
      </c>
      <c r="J325" s="22" t="inlineStr">
        <is>
          <t>M+İ</t>
        </is>
      </c>
      <c r="K325" s="63" t="n">
        <v>47.5457577971043</v>
      </c>
      <c r="L325" s="22" t="inlineStr">
        <is>
          <t>4005.G</t>
        </is>
      </c>
      <c r="M325" s="22" t="n">
        <v>1</v>
      </c>
      <c r="N325" s="22" t="inlineStr">
        <is>
          <t>Narlıdere metro (7 yeraltı istasyon, ~7 km); KDV hariç; fiyat detay sayfası "Telefon Sistemi - Fiyat Detayı" kalem 2.8</t>
        </is>
      </c>
    </row>
    <row r="326">
      <c r="A326" s="22" t="inlineStr">
        <is>
          <t>R01651</t>
        </is>
      </c>
      <c r="B326" s="22" t="inlineStr">
        <is>
          <t>Izmir_Metro_Project_II_FahrettinAltay_Narlidere</t>
        </is>
      </c>
      <c r="C326" s="22" t="inlineStr">
        <is>
          <t>metro</t>
        </is>
      </c>
      <c r="D326" s="22" t="inlineStr">
        <is>
          <t>Uskom</t>
        </is>
      </c>
      <c r="E326" s="22" t="inlineStr">
        <is>
          <t>2018-03-19</t>
        </is>
      </c>
      <c r="F326" s="22" t="inlineStr">
        <is>
          <t>IP65 emergency phone in stations and platforms (İntercom type)</t>
        </is>
      </c>
      <c r="G326" s="22" t="inlineStr">
        <is>
          <t>adet</t>
        </is>
      </c>
      <c r="H326" s="63" t="n">
        <v>209.02</v>
      </c>
      <c r="I326" s="22" t="inlineStr">
        <is>
          <t>EUR</t>
        </is>
      </c>
      <c r="J326" s="22" t="inlineStr">
        <is>
          <t>M+İ</t>
        </is>
      </c>
      <c r="K326" s="63" t="n">
        <v>271.308061554757</v>
      </c>
      <c r="L326" s="22" t="inlineStr">
        <is>
          <t>4005.A</t>
        </is>
      </c>
      <c r="M326" s="22" t="n">
        <v>6</v>
      </c>
      <c r="N326" s="22" t="inlineStr">
        <is>
          <t>Narlıdere metro (7 yeraltı istasyon, ~7 km); KDV hariç; fiyat detay sayfası "Telefon Sistemi - Fiyat Detayı" kalem 2.13</t>
        </is>
      </c>
    </row>
    <row r="327">
      <c r="A327" s="22" t="inlineStr">
        <is>
          <t>R01656</t>
        </is>
      </c>
      <c r="B327" s="22" t="inlineStr">
        <is>
          <t>Izmir_Metro_Project_II_FahrettinAltay_Narlidere</t>
        </is>
      </c>
      <c r="C327" s="22" t="inlineStr">
        <is>
          <t>metro</t>
        </is>
      </c>
      <c r="D327" s="22" t="inlineStr">
        <is>
          <t>Uskom</t>
        </is>
      </c>
      <c r="E327" s="22" t="inlineStr">
        <is>
          <t>2018-03-19</t>
        </is>
      </c>
      <c r="F327" s="22" t="inlineStr">
        <is>
          <t>Telephone sockets for station telephones</t>
        </is>
      </c>
      <c r="G327" s="22" t="inlineStr">
        <is>
          <t>adet</t>
        </is>
      </c>
      <c r="H327" s="63" t="n">
        <v>21.2</v>
      </c>
      <c r="I327" s="22" t="inlineStr">
        <is>
          <t>EUR</t>
        </is>
      </c>
      <c r="J327" s="22" t="inlineStr">
        <is>
          <t>M+İ</t>
        </is>
      </c>
      <c r="K327" s="63" t="n">
        <v>27.5176103002624</v>
      </c>
      <c r="L327" s="22" t="inlineStr">
        <is>
          <t>4005.G</t>
        </is>
      </c>
      <c r="M327" s="22" t="n">
        <v>9</v>
      </c>
      <c r="N327" s="22" t="inlineStr">
        <is>
          <t>Narlıdere metro (7 yeraltı istasyon, ~7 km); KDV hariç; fiyat detay sayfası "Telefon Sistemi - Fiyat Detayı" kalem 2.19</t>
        </is>
      </c>
    </row>
    <row r="328">
      <c r="A328" s="22" t="inlineStr">
        <is>
          <t>R01658</t>
        </is>
      </c>
      <c r="B328" s="22" t="inlineStr">
        <is>
          <t>Izmir_Metro_Project_II_FahrettinAltay_Narlidere</t>
        </is>
      </c>
      <c r="C328" s="22" t="inlineStr">
        <is>
          <t>metro</t>
        </is>
      </c>
      <c r="D328" s="22" t="inlineStr">
        <is>
          <t>Uskom</t>
        </is>
      </c>
      <c r="E328" s="22" t="inlineStr">
        <is>
          <t>2018-03-19</t>
        </is>
      </c>
      <c r="F328" s="22" t="inlineStr">
        <is>
          <t>16 digital &amp; IP port voice recording sytem with 16 simultaneus recording</t>
        </is>
      </c>
      <c r="G328" s="22" t="inlineStr">
        <is>
          <t>adet</t>
        </is>
      </c>
      <c r="H328" s="63" t="n">
        <v>9794.190000000001</v>
      </c>
      <c r="I328" s="22" t="inlineStr">
        <is>
          <t>EUR</t>
        </is>
      </c>
      <c r="J328" s="22" t="inlineStr">
        <is>
          <t>Malzeme</t>
        </is>
      </c>
      <c r="K328" s="63" t="n">
        <v>12712.8633786192</v>
      </c>
      <c r="L328" s="22" t="inlineStr">
        <is>
          <t>4005</t>
        </is>
      </c>
      <c r="M328" s="22" t="n">
        <v>1</v>
      </c>
      <c r="N328" s="22" t="inlineStr">
        <is>
          <t>Narlıdere metro (7 yeraltı istasyon, ~7 km); KDV hariç; fiyat detay sayfası "Telefon Sistemi - Fiyat Detayı" kalem 3.2</t>
        </is>
      </c>
    </row>
    <row r="329">
      <c r="A329" s="22" t="inlineStr">
        <is>
          <t>R01659</t>
        </is>
      </c>
      <c r="B329" s="22" t="inlineStr">
        <is>
          <t>Izmir_Metro_Project_II_FahrettinAltay_Narlidere</t>
        </is>
      </c>
      <c r="C329" s="22" t="inlineStr">
        <is>
          <t>metro</t>
        </is>
      </c>
      <c r="D329" s="22" t="inlineStr">
        <is>
          <t>Uskom</t>
        </is>
      </c>
      <c r="E329" s="22" t="inlineStr">
        <is>
          <t>2018-03-19</t>
        </is>
      </c>
      <c r="F329" s="22" t="inlineStr">
        <is>
          <t>Workstation</t>
        </is>
      </c>
      <c r="G329" s="22" t="inlineStr">
        <is>
          <t>adet</t>
        </is>
      </c>
      <c r="H329" s="63" t="n">
        <v>1049.38</v>
      </c>
      <c r="I329" s="22" t="inlineStr">
        <is>
          <t>EUR</t>
        </is>
      </c>
      <c r="J329" s="22" t="inlineStr">
        <is>
          <t>Malzeme</t>
        </is>
      </c>
      <c r="K329" s="63" t="n">
        <v>1362.09574985327</v>
      </c>
      <c r="L329" s="22" t="inlineStr">
        <is>
          <t>4005</t>
        </is>
      </c>
      <c r="M329" s="22" t="n">
        <v>1</v>
      </c>
      <c r="N329" s="22" t="inlineStr">
        <is>
          <t>Narlıdere metro (7 yeraltı istasyon, ~7 km); KDV hariç; fiyat detay sayfası "Telefon Sistemi - Fiyat Detayı" kalem 3.3</t>
        </is>
      </c>
    </row>
    <row r="330">
      <c r="A330" s="22" t="inlineStr">
        <is>
          <t>R01664</t>
        </is>
      </c>
      <c r="B330" s="22" t="inlineStr">
        <is>
          <t>Izmir_Metro_Project_II_FahrettinAltay_Narlidere</t>
        </is>
      </c>
      <c r="C330" s="22" t="inlineStr">
        <is>
          <t>metro</t>
        </is>
      </c>
      <c r="D330" s="22" t="inlineStr">
        <is>
          <t>Uskom</t>
        </is>
      </c>
      <c r="E330" s="22" t="inlineStr">
        <is>
          <t>2018-03-19</t>
        </is>
      </c>
      <c r="F330" s="22" t="inlineStr">
        <is>
          <t>2x2x0,6 FE180 PH90 armoured (Station Emergency Phones)</t>
        </is>
      </c>
      <c r="G330" s="22" t="inlineStr">
        <is>
          <t>adet</t>
        </is>
      </c>
      <c r="H330" s="63" t="n">
        <v>1.43</v>
      </c>
      <c r="I330" s="22" t="inlineStr">
        <is>
          <t>EUR</t>
        </is>
      </c>
      <c r="J330" s="22" t="inlineStr">
        <is>
          <t>M+İ</t>
        </is>
      </c>
      <c r="K330" s="63" t="n">
        <v>1.85614069478185</v>
      </c>
      <c r="L330" s="22" t="inlineStr">
        <is>
          <t>4005.A</t>
        </is>
      </c>
      <c r="M330" s="22" t="n">
        <v>6</v>
      </c>
      <c r="N330" s="22" t="inlineStr">
        <is>
          <t>[AYKIRI DEĞER – otomatik dışlandı] Narlıdere metro (7 yeraltı istasyon, ~7 km); KDV hariç; fiyat detay sayfası "Telefon Sistemi - Fiyat Detayı" kalem 4.5</t>
        </is>
      </c>
    </row>
    <row r="331">
      <c r="A331" s="22" t="inlineStr">
        <is>
          <t>R01685</t>
        </is>
      </c>
      <c r="B331" s="22" t="inlineStr">
        <is>
          <t>Izmir_Metro_Project_II_FahrettinAltay_Narlidere</t>
        </is>
      </c>
      <c r="C331" s="22" t="inlineStr">
        <is>
          <t>metro</t>
        </is>
      </c>
      <c r="D331" s="22" t="inlineStr">
        <is>
          <t>Uskom</t>
        </is>
      </c>
      <c r="E331" s="22" t="inlineStr">
        <is>
          <t>2018-03-19</t>
        </is>
      </c>
      <c r="F331" s="22" t="inlineStr">
        <is>
          <t>Main Server Dell/HP or equivalent with Monitor, Keyboard and Mouse</t>
        </is>
      </c>
      <c r="G331" s="22" t="inlineStr">
        <is>
          <t>adet</t>
        </is>
      </c>
      <c r="H331" s="63" t="n">
        <v>5168.53</v>
      </c>
      <c r="I331" s="22" t="inlineStr">
        <is>
          <t>USD</t>
        </is>
      </c>
      <c r="J331" s="22" t="inlineStr">
        <is>
          <t>Malzeme</t>
        </is>
      </c>
      <c r="K331" s="63" t="n">
        <v>5450.28389892712</v>
      </c>
      <c r="L331" s="22" t="inlineStr">
        <is>
          <t>4014.I</t>
        </is>
      </c>
      <c r="M331" s="22" t="n">
        <v>1</v>
      </c>
      <c r="N331" s="22" t="inlineStr">
        <is>
          <t>Narlıdere metro (7 yeraltı istasyon, ~7 km); KDV hariç; fiyat detay sayfası "ACS Sistemi - Fiyat Detayı" kalem 2.1</t>
        </is>
      </c>
    </row>
    <row r="332">
      <c r="A332" s="22" t="inlineStr">
        <is>
          <t>R01687</t>
        </is>
      </c>
      <c r="B332" s="22" t="inlineStr">
        <is>
          <t>Izmir_Metro_Project_II_FahrettinAltay_Narlidere</t>
        </is>
      </c>
      <c r="C332" s="22" t="inlineStr">
        <is>
          <t>metro</t>
        </is>
      </c>
      <c r="D332" s="22" t="inlineStr">
        <is>
          <t>Uskom</t>
        </is>
      </c>
      <c r="E332" s="22" t="inlineStr">
        <is>
          <t>2018-03-19</t>
        </is>
      </c>
      <c r="F332" s="22" t="inlineStr">
        <is>
          <t>Operator Workstation Dell/HP or equivalent with 23" Monitor</t>
        </is>
      </c>
      <c r="G332" s="22" t="inlineStr">
        <is>
          <t>adet</t>
        </is>
      </c>
      <c r="H332" s="63" t="n">
        <v>1371.51</v>
      </c>
      <c r="I332" s="22" t="inlineStr">
        <is>
          <t>USD</t>
        </is>
      </c>
      <c r="J332" s="22" t="inlineStr">
        <is>
          <t>M+İ</t>
        </is>
      </c>
      <c r="K332" s="63" t="n">
        <v>1446.27560838721</v>
      </c>
      <c r="L332" s="22" t="inlineStr">
        <is>
          <t>4014.I</t>
        </is>
      </c>
      <c r="M332" s="22" t="n">
        <v>4</v>
      </c>
      <c r="N332" s="22" t="inlineStr">
        <is>
          <t>Narlıdere metro (7 yeraltı istasyon, ~7 km); KDV hariç; fiyat detay sayfası "ACS Sistemi - Fiyat Detayı" kalem 2.3</t>
        </is>
      </c>
    </row>
    <row r="333">
      <c r="A333" s="22" t="inlineStr">
        <is>
          <t>R01689</t>
        </is>
      </c>
      <c r="B333" s="22" t="inlineStr">
        <is>
          <t>Izmir_Metro_Project_II_FahrettinAltay_Narlidere</t>
        </is>
      </c>
      <c r="C333" s="22" t="inlineStr">
        <is>
          <t>metro</t>
        </is>
      </c>
      <c r="D333" s="22" t="inlineStr">
        <is>
          <t>Uskom</t>
        </is>
      </c>
      <c r="E333" s="22" t="inlineStr">
        <is>
          <t>2018-03-19</t>
        </is>
      </c>
      <c r="F333" s="22" t="inlineStr">
        <is>
          <t>12VDC / 12,5A 155W Güç kaynağı, 12V/7Ah akü dahil.</t>
        </is>
      </c>
      <c r="G333" s="22" t="inlineStr">
        <is>
          <t>adet</t>
        </is>
      </c>
      <c r="H333" s="63" t="n">
        <v>292.3</v>
      </c>
      <c r="I333" s="22" t="inlineStr">
        <is>
          <t>USD</t>
        </is>
      </c>
      <c r="J333" s="22" t="inlineStr">
        <is>
          <t>M+İ</t>
        </is>
      </c>
      <c r="K333" s="63" t="n">
        <v>308.234252999672</v>
      </c>
      <c r="L333" s="22" t="inlineStr">
        <is>
          <t>4014</t>
        </is>
      </c>
      <c r="M333" s="22" t="n">
        <v>7</v>
      </c>
      <c r="N333" s="22" t="inlineStr">
        <is>
          <t>Narlıdere metro (7 yeraltı istasyon, ~7 km); KDV hariç; fiyat detay sayfası "ACS Sistemi - Fiyat Detayı" kalem 2.5</t>
        </is>
      </c>
    </row>
    <row r="334">
      <c r="A334" s="22" t="inlineStr">
        <is>
          <t>R01690</t>
        </is>
      </c>
      <c r="B334" s="22" t="inlineStr">
        <is>
          <t>Izmir_Metro_Project_II_FahrettinAltay_Narlidere</t>
        </is>
      </c>
      <c r="C334" s="22" t="inlineStr">
        <is>
          <t>metro</t>
        </is>
      </c>
      <c r="D334" s="22" t="inlineStr">
        <is>
          <t>Uskom</t>
        </is>
      </c>
      <c r="E334" s="22" t="inlineStr">
        <is>
          <t>2018-03-19</t>
        </is>
      </c>
      <c r="F334" s="22" t="inlineStr">
        <is>
          <t>Temaline Dijital Input/Output 4 giriş / 4 çıkış kapasiteli I/O modülü, LonWorks</t>
        </is>
      </c>
      <c r="G334" s="22" t="inlineStr">
        <is>
          <t>adet</t>
        </is>
      </c>
      <c r="H334" s="63" t="n">
        <v>241.59</v>
      </c>
      <c r="I334" s="22" t="inlineStr">
        <is>
          <t>USD</t>
        </is>
      </c>
      <c r="J334" s="22" t="inlineStr">
        <is>
          <t>M+İ</t>
        </is>
      </c>
      <c r="K334" s="63" t="n">
        <v>254.759880883308</v>
      </c>
      <c r="L334" s="22" t="inlineStr">
        <is>
          <t>4014.A</t>
        </is>
      </c>
      <c r="M334" s="22" t="n">
        <v>1</v>
      </c>
      <c r="N334" s="22" t="inlineStr">
        <is>
          <t>Narlıdere metro (7 yeraltı istasyon, ~7 km); KDV hariç; fiyat detay sayfası "ACS Sistemi - Fiyat Detayı" kalem 2.7</t>
        </is>
      </c>
    </row>
    <row r="335">
      <c r="A335" s="22" t="inlineStr">
        <is>
          <t>R01691</t>
        </is>
      </c>
      <c r="B335" s="22" t="inlineStr">
        <is>
          <t>Izmir_Metro_Project_II_FahrettinAltay_Narlidere</t>
        </is>
      </c>
      <c r="C335" s="22" t="inlineStr">
        <is>
          <t>metro</t>
        </is>
      </c>
      <c r="D335" s="22" t="inlineStr">
        <is>
          <t>Uskom</t>
        </is>
      </c>
      <c r="E335" s="22" t="inlineStr">
        <is>
          <t>2018-03-19</t>
        </is>
      </c>
      <c r="F335" s="22" t="inlineStr">
        <is>
          <t>Yüzey Montaj Tipi Manyetik Kontak</t>
        </is>
      </c>
      <c r="G335" s="22" t="inlineStr">
        <is>
          <t>adet</t>
        </is>
      </c>
      <c r="H335" s="63" t="n">
        <v>17.37</v>
      </c>
      <c r="I335" s="22" t="inlineStr">
        <is>
          <t>USD</t>
        </is>
      </c>
      <c r="J335" s="22" t="inlineStr">
        <is>
          <t>M+İ</t>
        </is>
      </c>
      <c r="K335" s="63" t="n">
        <v>18.3168969367236</v>
      </c>
      <c r="L335" s="22" t="inlineStr">
        <is>
          <t>4014.A</t>
        </is>
      </c>
      <c r="M335" s="22" t="n">
        <v>7</v>
      </c>
      <c r="N335" s="22" t="inlineStr">
        <is>
          <t>Narlıdere metro (7 yeraltı istasyon, ~7 km); KDV hariç; fiyat detay sayfası "ACS Sistemi - Fiyat Detayı" kalem 2.13</t>
        </is>
      </c>
    </row>
    <row r="336">
      <c r="A336" s="22" t="inlineStr">
        <is>
          <t>R01692</t>
        </is>
      </c>
      <c r="B336" s="22" t="inlineStr">
        <is>
          <t>Izmir_Metro_Project_II_FahrettinAltay_Narlidere</t>
        </is>
      </c>
      <c r="C336" s="22" t="inlineStr">
        <is>
          <t>metro</t>
        </is>
      </c>
      <c r="D336" s="22" t="inlineStr">
        <is>
          <t>Uskom</t>
        </is>
      </c>
      <c r="E336" s="22" t="inlineStr">
        <is>
          <t>2018-03-19</t>
        </is>
      </c>
      <c r="F336" s="22" t="inlineStr">
        <is>
          <t>Credit Card Style PVC Card, HID Prox Compatible, 34 bit Honeywell format, Honeywell logo</t>
        </is>
      </c>
      <c r="G336" s="22" t="inlineStr">
        <is>
          <t>adet</t>
        </is>
      </c>
      <c r="H336" s="63" t="n">
        <v>5.6</v>
      </c>
      <c r="I336" s="22" t="inlineStr">
        <is>
          <t>USD</t>
        </is>
      </c>
      <c r="J336" s="22" t="inlineStr">
        <is>
          <t>Malzeme</t>
        </is>
      </c>
      <c r="K336" s="63" t="n">
        <v>5.90527477522465</v>
      </c>
      <c r="L336" s="22" t="inlineStr">
        <is>
          <t>4014.G</t>
        </is>
      </c>
      <c r="M336" s="22" t="n">
        <v>1</v>
      </c>
      <c r="N336" s="22" t="inlineStr">
        <is>
          <t>Narlıdere metro (7 yeraltı istasyon, ~7 km); KDV hariç; fiyat detay sayfası "ACS Sistemi - Fiyat Detayı" kalem 2.14</t>
        </is>
      </c>
    </row>
    <row r="337">
      <c r="A337" s="22" t="inlineStr">
        <is>
          <t>R01696</t>
        </is>
      </c>
      <c r="B337" s="22" t="inlineStr">
        <is>
          <t>Izmir_Metro_Project_II_FahrettinAltay_Narlidere</t>
        </is>
      </c>
      <c r="C337" s="22" t="inlineStr">
        <is>
          <t>metro</t>
        </is>
      </c>
      <c r="D337" s="22" t="inlineStr">
        <is>
          <t>Uskom</t>
        </is>
      </c>
      <c r="E337" s="22" t="inlineStr">
        <is>
          <t>2018-03-19</t>
        </is>
      </c>
      <c r="F337" s="22" t="inlineStr">
        <is>
          <t>2X2X0.22 LI2Y(ST)CH RS 485 KABLO</t>
        </is>
      </c>
      <c r="G337" s="22" t="inlineStr">
        <is>
          <t>adet</t>
        </is>
      </c>
      <c r="H337" s="63" t="n">
        <v>1.72</v>
      </c>
      <c r="I337" s="22" t="inlineStr">
        <is>
          <t>USD</t>
        </is>
      </c>
      <c r="J337" s="22" t="inlineStr">
        <is>
          <t>M+İ</t>
        </is>
      </c>
      <c r="K337" s="63" t="n">
        <v>1.81376296667614</v>
      </c>
      <c r="L337" s="22" t="inlineStr">
        <is>
          <t>4014</t>
        </is>
      </c>
      <c r="M337" s="22" t="n">
        <v>3</v>
      </c>
      <c r="N337" s="22" t="inlineStr">
        <is>
          <t xml:space="preserve">Narlıdere metro (7 yeraltı istasyon, ~7 km); KDV hariç; fiyat detay sayfası "ACS Sistemi - Fiyat Detayı" kalem </t>
        </is>
      </c>
    </row>
    <row r="338">
      <c r="A338" s="22" t="inlineStr">
        <is>
          <t>R01697</t>
        </is>
      </c>
      <c r="B338" s="22" t="inlineStr">
        <is>
          <t>Izmir_Metro_Project_II_FahrettinAltay_Narlidere</t>
        </is>
      </c>
      <c r="C338" s="22" t="inlineStr">
        <is>
          <t>metro</t>
        </is>
      </c>
      <c r="D338" s="22" t="inlineStr">
        <is>
          <t>Uskom</t>
        </is>
      </c>
      <c r="E338" s="22" t="inlineStr">
        <is>
          <t>2018-03-19</t>
        </is>
      </c>
      <c r="F338" s="22" t="inlineStr">
        <is>
          <t>N2XH 3x4 Power cable - Flame Retardant between UPS to Control Panel</t>
        </is>
      </c>
      <c r="G338" s="22" t="inlineStr">
        <is>
          <t>adet</t>
        </is>
      </c>
      <c r="H338" s="63" t="n">
        <v>2.53</v>
      </c>
      <c r="I338" s="22" t="inlineStr">
        <is>
          <t>USD</t>
        </is>
      </c>
      <c r="J338" s="22" t="inlineStr">
        <is>
          <t>M+İ</t>
        </is>
      </c>
      <c r="K338" s="63" t="n">
        <v>2.66791878237828</v>
      </c>
      <c r="L338" s="22" t="inlineStr">
        <is>
          <t>4014.A</t>
        </is>
      </c>
      <c r="M338" s="22" t="n">
        <v>7</v>
      </c>
      <c r="N338" s="22" t="inlineStr">
        <is>
          <t xml:space="preserve">Narlıdere metro (7 yeraltı istasyon, ~7 km); KDV hariç; fiyat detay sayfası "ACS Sistemi - Fiyat Detayı" kalem </t>
        </is>
      </c>
    </row>
    <row r="339">
      <c r="A339" s="22" t="inlineStr">
        <is>
          <t>R01698</t>
        </is>
      </c>
      <c r="B339" s="22" t="inlineStr">
        <is>
          <t>Izmir_Metro_Project_II_FahrettinAltay_Narlidere</t>
        </is>
      </c>
      <c r="C339" s="22" t="inlineStr">
        <is>
          <t>metro</t>
        </is>
      </c>
      <c r="D339" s="22" t="inlineStr">
        <is>
          <t>Uskom</t>
        </is>
      </c>
      <c r="E339" s="22" t="inlineStr">
        <is>
          <t>2018-03-19</t>
        </is>
      </c>
      <c r="F339" s="22" t="inlineStr">
        <is>
          <t>N2XH 3x1,5 Power cable - Flame Retardant between UPS to Control Panel</t>
        </is>
      </c>
      <c r="G339" s="22" t="inlineStr">
        <is>
          <t>adet</t>
        </is>
      </c>
      <c r="H339" s="63" t="n">
        <v>1.86</v>
      </c>
      <c r="I339" s="22" t="inlineStr">
        <is>
          <t>USD</t>
        </is>
      </c>
      <c r="J339" s="22" t="inlineStr">
        <is>
          <t>M+İ</t>
        </is>
      </c>
      <c r="K339" s="63" t="n">
        <v>1.96139483605676</v>
      </c>
      <c r="L339" s="22" t="inlineStr">
        <is>
          <t>4014.A</t>
        </is>
      </c>
      <c r="M339" s="22" t="n">
        <v>1</v>
      </c>
      <c r="N339" s="22" t="inlineStr">
        <is>
          <t xml:space="preserve">Narlıdere metro (7 yeraltı istasyon, ~7 km); KDV hariç; fiyat detay sayfası "ACS Sistemi - Fiyat Detayı" kalem </t>
        </is>
      </c>
    </row>
    <row r="340">
      <c r="A340" s="22" t="inlineStr">
        <is>
          <t>R01700</t>
        </is>
      </c>
      <c r="B340" s="22" t="inlineStr">
        <is>
          <t>Izmir_Metro_Project_II_FahrettinAltay_Narlidere</t>
        </is>
      </c>
      <c r="C340" s="22" t="inlineStr">
        <is>
          <t>metro</t>
        </is>
      </c>
      <c r="D340" s="22" t="inlineStr">
        <is>
          <t>Uskom</t>
        </is>
      </c>
      <c r="E340" s="22" t="inlineStr">
        <is>
          <t>2018-03-19</t>
        </is>
      </c>
      <c r="F340" s="22" t="inlineStr">
        <is>
          <t>Temaline Wiegand Kapı Kontrol Modülü 2 kart okuyucu (giriş-çıkış) &amp; 2 giriş / 2 çıkış kapasiteli wiegand bağlantı modülü, LonWorks</t>
        </is>
      </c>
      <c r="G340" s="22" t="inlineStr">
        <is>
          <t>adet</t>
        </is>
      </c>
      <c r="H340" s="63" t="n">
        <v>230.86</v>
      </c>
      <c r="I340" s="22" t="inlineStr">
        <is>
          <t>USD</t>
        </is>
      </c>
      <c r="J340" s="22" t="inlineStr">
        <is>
          <t>Malzeme</t>
        </is>
      </c>
      <c r="K340" s="63" t="n">
        <v>243.444952608636</v>
      </c>
      <c r="L340" s="22" t="inlineStr">
        <is>
          <t>4014.A</t>
        </is>
      </c>
      <c r="M340" s="22" t="n">
        <v>6</v>
      </c>
      <c r="N340" s="22" t="inlineStr">
        <is>
          <t>Narlıdere metro (7 yeraltı istasyon, ~7 km); KDV hariç; fiyat detay sayfası "ACS Sistemi - Fiyat Detayı" kalem S.1</t>
        </is>
      </c>
    </row>
    <row r="341">
      <c r="A341" s="22" t="inlineStr">
        <is>
          <t>R01701</t>
        </is>
      </c>
      <c r="B341" s="22" t="inlineStr">
        <is>
          <t>Izmir_Metro_Project_II_FahrettinAltay_Narlidere</t>
        </is>
      </c>
      <c r="C341" s="22" t="inlineStr">
        <is>
          <t>metro</t>
        </is>
      </c>
      <c r="D341" s="22" t="inlineStr">
        <is>
          <t>Uskom</t>
        </is>
      </c>
      <c r="E341" s="22" t="inlineStr">
        <is>
          <t>2018-03-19</t>
        </is>
      </c>
      <c r="F341" s="22" t="inlineStr">
        <is>
          <t>Temaline Dijital Input/Output 4 giriş / 4 çıkış kapasiteli I/O modülü, LonWorks</t>
        </is>
      </c>
      <c r="G341" s="22" t="inlineStr">
        <is>
          <t>adet</t>
        </is>
      </c>
      <c r="H341" s="63" t="n">
        <v>167.9</v>
      </c>
      <c r="I341" s="22" t="inlineStr">
        <is>
          <t>USD</t>
        </is>
      </c>
      <c r="J341" s="22" t="inlineStr">
        <is>
          <t>Malzeme</t>
        </is>
      </c>
      <c r="K341" s="63" t="n">
        <v>177.052791921468</v>
      </c>
      <c r="L341" s="22" t="inlineStr">
        <is>
          <t>4014.A</t>
        </is>
      </c>
      <c r="M341" s="22" t="n">
        <v>1</v>
      </c>
      <c r="N341" s="22" t="inlineStr">
        <is>
          <t>Narlıdere metro (7 yeraltı istasyon, ~7 km); KDV hariç; fiyat detay sayfası "ACS Sistemi - Fiyat Detayı" kalem S.2</t>
        </is>
      </c>
    </row>
    <row r="342">
      <c r="A342" s="22" t="inlineStr">
        <is>
          <t>R01702</t>
        </is>
      </c>
      <c r="B342" s="22" t="inlineStr">
        <is>
          <t>Izmir_Metro_Project_II_FahrettinAltay_Narlidere</t>
        </is>
      </c>
      <c r="C342" s="22" t="inlineStr">
        <is>
          <t>metro</t>
        </is>
      </c>
      <c r="D342" s="22" t="inlineStr">
        <is>
          <t>Uskom</t>
        </is>
      </c>
      <c r="E342" s="22" t="inlineStr">
        <is>
          <t>2018-03-19</t>
        </is>
      </c>
      <c r="F342" s="22" t="inlineStr">
        <is>
          <t>Proximity Kart Okuyucu, 4" okuma mesafesi</t>
        </is>
      </c>
      <c r="G342" s="22" t="inlineStr">
        <is>
          <t>adet</t>
        </is>
      </c>
      <c r="H342" s="63" t="n">
        <v>82.55</v>
      </c>
      <c r="I342" s="22" t="inlineStr">
        <is>
          <t>USD</t>
        </is>
      </c>
      <c r="J342" s="22" t="inlineStr">
        <is>
          <t>Malzeme</t>
        </is>
      </c>
      <c r="K342" s="63" t="n">
        <v>87.0500772669276</v>
      </c>
      <c r="L342" s="22" t="inlineStr">
        <is>
          <t>4014.A</t>
        </is>
      </c>
      <c r="M342" s="22" t="n">
        <v>7</v>
      </c>
      <c r="N342" s="22" t="inlineStr">
        <is>
          <t>Narlıdere metro (7 yeraltı istasyon, ~7 km); KDV hariç; fiyat detay sayfası "ACS Sistemi - Fiyat Detayı" kalem S.3</t>
        </is>
      </c>
    </row>
    <row r="343">
      <c r="A343" s="22" t="inlineStr">
        <is>
          <t>R01703</t>
        </is>
      </c>
      <c r="B343" s="22" t="inlineStr">
        <is>
          <t>Izmir_Metro_Project_II_FahrettinAltay_Narlidere</t>
        </is>
      </c>
      <c r="C343" s="22" t="inlineStr">
        <is>
          <t>metro</t>
        </is>
      </c>
      <c r="D343" s="22" t="inlineStr">
        <is>
          <t>Uskom</t>
        </is>
      </c>
      <c r="E343" s="22" t="inlineStr">
        <is>
          <t>2018-03-19</t>
        </is>
      </c>
      <c r="F343" s="22" t="inlineStr">
        <is>
          <t>Yüzey Tip Çıkış Butonu, paslanmaz çelik (25mm), çift kontaklı, kare tip</t>
        </is>
      </c>
      <c r="G343" s="22" t="inlineStr">
        <is>
          <t>adet</t>
        </is>
      </c>
      <c r="H343" s="63" t="n">
        <v>27.98</v>
      </c>
      <c r="I343" s="22" t="inlineStr">
        <is>
          <t>USD</t>
        </is>
      </c>
      <c r="J343" s="22" t="inlineStr">
        <is>
          <t>Malzeme</t>
        </is>
      </c>
      <c r="K343" s="63" t="n">
        <v>29.5052836090689</v>
      </c>
      <c r="L343" s="22" t="inlineStr">
        <is>
          <t>4014.A</t>
        </is>
      </c>
      <c r="M343" s="22" t="n">
        <v>7</v>
      </c>
      <c r="N343" s="22" t="inlineStr">
        <is>
          <t>Narlıdere metro (7 yeraltı istasyon, ~7 km); KDV hariç; fiyat detay sayfası "ACS Sistemi - Fiyat Detayı" kalem S.4</t>
        </is>
      </c>
    </row>
    <row r="344">
      <c r="A344" s="22" t="inlineStr">
        <is>
          <t>R01704</t>
        </is>
      </c>
      <c r="B344" s="22" t="inlineStr">
        <is>
          <t>Izmir_Metro_Project_II_FahrettinAltay_Narlidere</t>
        </is>
      </c>
      <c r="C344" s="22" t="inlineStr">
        <is>
          <t>metro</t>
        </is>
      </c>
      <c r="D344" s="22" t="inlineStr">
        <is>
          <t>Uskom</t>
        </is>
      </c>
      <c r="E344" s="22" t="inlineStr">
        <is>
          <t>2018-03-19</t>
        </is>
      </c>
      <c r="F344" s="22" t="inlineStr">
        <is>
          <t>Manyetik Kilit, 12/24 VDC, 500kg tutma kapasiteli, standart tip</t>
        </is>
      </c>
      <c r="G344" s="22" t="inlineStr">
        <is>
          <t>adet</t>
        </is>
      </c>
      <c r="H344" s="63" t="n">
        <v>79.75</v>
      </c>
      <c r="I344" s="22" t="inlineStr">
        <is>
          <t>USD</t>
        </is>
      </c>
      <c r="J344" s="22" t="inlineStr">
        <is>
          <t>Malzeme</t>
        </is>
      </c>
      <c r="K344" s="63" t="n">
        <v>84.0974398793153</v>
      </c>
      <c r="L344" s="22" t="inlineStr">
        <is>
          <t>4014.A</t>
        </is>
      </c>
      <c r="M344" s="22" t="n">
        <v>7</v>
      </c>
      <c r="N344" s="22" t="inlineStr">
        <is>
          <t>Narlıdere metro (7 yeraltı istasyon, ~7 km); KDV hariç; fiyat detay sayfası "ACS Sistemi - Fiyat Detayı" kalem S.5</t>
        </is>
      </c>
    </row>
    <row r="345">
      <c r="A345" s="22" t="inlineStr">
        <is>
          <t>R01711</t>
        </is>
      </c>
      <c r="B345" s="22" t="inlineStr">
        <is>
          <t>Izmir_Metro_Project_II_FahrettinAltay_Narlidere</t>
        </is>
      </c>
      <c r="C345" s="22" t="inlineStr">
        <is>
          <t>metro</t>
        </is>
      </c>
      <c r="D345" s="22" t="inlineStr">
        <is>
          <t>Uskom</t>
        </is>
      </c>
      <c r="E345" s="22" t="inlineStr">
        <is>
          <t>2018-03-19</t>
        </is>
      </c>
      <c r="F345" s="22" t="inlineStr">
        <is>
          <t>Preliminary design &amp; Station Coverage Simulations</t>
        </is>
      </c>
      <c r="G345" s="22" t="inlineStr">
        <is>
          <t>set</t>
        </is>
      </c>
      <c r="H345" s="63" t="n">
        <v>25507.87</v>
      </c>
      <c r="I345" s="22" t="inlineStr">
        <is>
          <t>EUR</t>
        </is>
      </c>
      <c r="J345" s="22" t="inlineStr">
        <is>
          <t>Malzeme</t>
        </is>
      </c>
      <c r="K345" s="63" t="n">
        <v>33109.2276532903</v>
      </c>
      <c r="L345" s="22" t="inlineStr">
        <is>
          <t>4006</t>
        </is>
      </c>
      <c r="M345" s="22" t="n">
        <v>1</v>
      </c>
      <c r="N345" s="22" t="inlineStr">
        <is>
          <t>Narlıdere metro (7 yeraltı istasyon, ~7 km); KDV hariç; fiyat detay sayfası "Telsiz Sistemi - Fiyat Detayı" kalem 1.1</t>
        </is>
      </c>
    </row>
    <row r="346">
      <c r="A346" s="22" t="inlineStr">
        <is>
          <t>R01713</t>
        </is>
      </c>
      <c r="B346" s="22" t="inlineStr">
        <is>
          <t>Izmir_Metro_Project_II_FahrettinAltay_Narlidere</t>
        </is>
      </c>
      <c r="C346" s="22" t="inlineStr">
        <is>
          <t>metro</t>
        </is>
      </c>
      <c r="D346" s="22" t="inlineStr">
        <is>
          <t>Uskom</t>
        </is>
      </c>
      <c r="E346" s="22" t="inlineStr">
        <is>
          <t>2018-03-19</t>
        </is>
      </c>
      <c r="F346" s="22" t="inlineStr">
        <is>
          <t>As-Built Documentation</t>
        </is>
      </c>
      <c r="G346" s="22" t="inlineStr">
        <is>
          <t>adet</t>
        </is>
      </c>
      <c r="H346" s="63" t="n">
        <v>10628.28</v>
      </c>
      <c r="I346" s="22" t="inlineStr">
        <is>
          <t>EUR</t>
        </is>
      </c>
      <c r="J346" s="22" t="inlineStr">
        <is>
          <t>Malzeme</t>
        </is>
      </c>
      <c r="K346" s="63" t="n">
        <v>13795.5126038713</v>
      </c>
      <c r="L346" s="22" t="inlineStr">
        <is>
          <t>4006</t>
        </is>
      </c>
      <c r="M346" s="22" t="n">
        <v>1</v>
      </c>
      <c r="N346" s="22" t="inlineStr">
        <is>
          <t>Narlıdere metro (7 yeraltı istasyon, ~7 km); KDV hariç; fiyat detay sayfası "Telsiz Sistemi - Fiyat Detayı" kalem 1.3</t>
        </is>
      </c>
    </row>
    <row r="347">
      <c r="A347" s="22" t="inlineStr">
        <is>
          <t>R01743</t>
        </is>
      </c>
      <c r="B347" s="22" t="inlineStr">
        <is>
          <t>Izmir_Metro_Project_II_FahrettinAltay_Narlidere</t>
        </is>
      </c>
      <c r="C347" s="22" t="inlineStr">
        <is>
          <t>metro</t>
        </is>
      </c>
      <c r="D347" s="22" t="inlineStr">
        <is>
          <t>Uskom</t>
        </is>
      </c>
      <c r="E347" s="22" t="inlineStr">
        <is>
          <t>2018-03-19</t>
        </is>
      </c>
      <c r="F347" s="22" t="inlineStr">
        <is>
          <t>19" 42U Rack Kabinet ve Aksesuarları</t>
        </is>
      </c>
      <c r="G347" s="22" t="inlineStr">
        <is>
          <t>adet</t>
        </is>
      </c>
      <c r="H347" s="63" t="n">
        <v>3234.16</v>
      </c>
      <c r="I347" s="22" t="inlineStr">
        <is>
          <t>USD</t>
        </is>
      </c>
      <c r="J347" s="22" t="inlineStr">
        <is>
          <t>M+İ</t>
        </is>
      </c>
      <c r="K347" s="63" t="n">
        <v>3410.46490482867</v>
      </c>
      <c r="L347" s="22" t="inlineStr">
        <is>
          <t>4008</t>
        </is>
      </c>
      <c r="M347" s="22" t="n">
        <v>4</v>
      </c>
      <c r="N347" s="22" t="inlineStr">
        <is>
          <t>Narlıdere metro (7 yeraltı istasyon, ~7 km); KDV hariç; fiyat detay sayfası "PA Sistemi - Fiyat Detayı" kalem 2.1.12</t>
        </is>
      </c>
    </row>
    <row r="348">
      <c r="A348" s="22" t="inlineStr">
        <is>
          <t>R01744</t>
        </is>
      </c>
      <c r="B348" s="22" t="inlineStr">
        <is>
          <t>Izmir_Metro_Project_II_FahrettinAltay_Narlidere</t>
        </is>
      </c>
      <c r="C348" s="22" t="inlineStr">
        <is>
          <t>metro</t>
        </is>
      </c>
      <c r="D348" s="22" t="inlineStr">
        <is>
          <t>Uskom</t>
        </is>
      </c>
      <c r="E348" s="22" t="inlineStr">
        <is>
          <t>2018-03-19</t>
        </is>
      </c>
      <c r="F348" s="22" t="inlineStr">
        <is>
          <t>Acil Durum Güç Kaynağı, EN54-4 12A-150A</t>
        </is>
      </c>
      <c r="G348" s="22" t="inlineStr">
        <is>
          <t>adet</t>
        </is>
      </c>
      <c r="H348" s="63" t="n">
        <v>1989.8</v>
      </c>
      <c r="I348" s="22" t="inlineStr">
        <is>
          <t>USD</t>
        </is>
      </c>
      <c r="J348" s="22" t="inlineStr">
        <is>
          <t>M+İ</t>
        </is>
      </c>
      <c r="K348" s="63" t="n">
        <v>2098.27066923964</v>
      </c>
      <c r="L348" s="22" t="inlineStr">
        <is>
          <t>4008</t>
        </is>
      </c>
      <c r="M348" s="22" t="n">
        <v>1</v>
      </c>
      <c r="N348" s="22" t="inlineStr">
        <is>
          <t>Narlıdere metro (7 yeraltı istasyon, ~7 km); KDV hariç; fiyat detay sayfası "PA Sistemi - Fiyat Detayı" kalem 2.1.13</t>
        </is>
      </c>
    </row>
    <row r="349">
      <c r="A349" s="22" t="inlineStr">
        <is>
          <t>R01745</t>
        </is>
      </c>
      <c r="B349" s="22" t="inlineStr">
        <is>
          <t>Izmir_Metro_Project_II_FahrettinAltay_Narlidere</t>
        </is>
      </c>
      <c r="C349" s="22" t="inlineStr">
        <is>
          <t>metro</t>
        </is>
      </c>
      <c r="D349" s="22" t="inlineStr">
        <is>
          <t>Uskom</t>
        </is>
      </c>
      <c r="E349" s="22" t="inlineStr">
        <is>
          <t>2018-03-19</t>
        </is>
      </c>
      <c r="F349" s="22" t="inlineStr">
        <is>
          <t>Akü 12V / 150Ah</t>
        </is>
      </c>
      <c r="G349" s="22" t="inlineStr">
        <is>
          <t>adet</t>
        </is>
      </c>
      <c r="H349" s="63" t="n">
        <v>541.48</v>
      </c>
      <c r="I349" s="22" t="inlineStr">
        <is>
          <t>USD</t>
        </is>
      </c>
      <c r="J349" s="22" t="inlineStr">
        <is>
          <t>Malzeme</t>
        </is>
      </c>
      <c r="K349" s="63" t="n">
        <v>570.997890230115</v>
      </c>
      <c r="L349" s="22" t="inlineStr">
        <is>
          <t>4008</t>
        </is>
      </c>
      <c r="M349" s="22" t="n">
        <v>4</v>
      </c>
      <c r="N349" s="22" t="inlineStr">
        <is>
          <t>Narlıdere metro (7 yeraltı istasyon, ~7 km); KDV hariç; fiyat detay sayfası "PA Sistemi - Fiyat Detayı" kalem 2.1.14</t>
        </is>
      </c>
    </row>
    <row r="350">
      <c r="A350" s="22" t="inlineStr">
        <is>
          <t>R01747</t>
        </is>
      </c>
      <c r="B350" s="22" t="inlineStr">
        <is>
          <t>Izmir_Metro_Project_II_FahrettinAltay_Narlidere</t>
        </is>
      </c>
      <c r="C350" s="22" t="inlineStr">
        <is>
          <t>metro</t>
        </is>
      </c>
      <c r="D350" s="22" t="inlineStr">
        <is>
          <t>Uskom</t>
        </is>
      </c>
      <c r="E350" s="22" t="inlineStr">
        <is>
          <t>2018-03-19</t>
        </is>
      </c>
      <c r="F350" s="22" t="inlineStr">
        <is>
          <t>PA System Server with Win Svr OS</t>
        </is>
      </c>
      <c r="G350" s="22" t="inlineStr">
        <is>
          <t>adet</t>
        </is>
      </c>
      <c r="H350" s="63" t="n">
        <v>4063.19</v>
      </c>
      <c r="I350" s="22" t="inlineStr">
        <is>
          <t>USD</t>
        </is>
      </c>
      <c r="J350" s="22" t="inlineStr">
        <is>
          <t>Malzeme</t>
        </is>
      </c>
      <c r="K350" s="63" t="n">
        <v>4284.68810963304</v>
      </c>
      <c r="L350" s="22" t="inlineStr">
        <is>
          <t>4008.H</t>
        </is>
      </c>
      <c r="M350" s="22" t="n">
        <v>1</v>
      </c>
      <c r="N350" s="22" t="inlineStr">
        <is>
          <t>Narlıdere metro (7 yeraltı istasyon, ~7 km); KDV hariç; fiyat detay sayfası "PA Sistemi - Fiyat Detayı" kalem 2.1.18</t>
        </is>
      </c>
    </row>
    <row r="351">
      <c r="A351" s="22" t="inlineStr">
        <is>
          <t>R01752</t>
        </is>
      </c>
      <c r="B351" s="22" t="inlineStr">
        <is>
          <t>Izmir_Metro_Project_II_FahrettinAltay_Narlidere</t>
        </is>
      </c>
      <c r="C351" s="22" t="inlineStr">
        <is>
          <t>metro</t>
        </is>
      </c>
      <c r="D351" s="22" t="inlineStr">
        <is>
          <t>Uskom</t>
        </is>
      </c>
      <c r="E351" s="22" t="inlineStr">
        <is>
          <t>2018-03-19</t>
        </is>
      </c>
      <c r="F351" s="22" t="inlineStr">
        <is>
          <t>Dijital Anons İstasyonu DCS7</t>
        </is>
      </c>
      <c r="G351" s="22" t="inlineStr">
        <is>
          <t>adet</t>
        </is>
      </c>
      <c r="H351" s="63" t="n">
        <v>1385.9</v>
      </c>
      <c r="I351" s="22" t="inlineStr">
        <is>
          <t>USD</t>
        </is>
      </c>
      <c r="J351" s="22" t="inlineStr">
        <is>
          <t>M+İ</t>
        </is>
      </c>
      <c r="K351" s="63" t="n">
        <v>1461.45005553283</v>
      </c>
      <c r="L351" s="22" t="inlineStr">
        <is>
          <t>4008.H</t>
        </is>
      </c>
      <c r="M351" s="22" t="n">
        <v>2</v>
      </c>
      <c r="N351" s="22" t="inlineStr">
        <is>
          <t>Narlıdere metro (7 yeraltı istasyon, ~7 km); KDV hariç; fiyat detay sayfası "PA Sistemi - Fiyat Detayı" kalem 2.2.2</t>
        </is>
      </c>
    </row>
    <row r="352">
      <c r="A352" s="22" t="inlineStr">
        <is>
          <t>R01753</t>
        </is>
      </c>
      <c r="B352" s="22" t="inlineStr">
        <is>
          <t>Izmir_Metro_Project_II_FahrettinAltay_Narlidere</t>
        </is>
      </c>
      <c r="C352" s="22" t="inlineStr">
        <is>
          <t>metro</t>
        </is>
      </c>
      <c r="D352" s="22" t="inlineStr">
        <is>
          <t>Uskom</t>
        </is>
      </c>
      <c r="E352" s="22" t="inlineStr">
        <is>
          <t>2018-03-19</t>
        </is>
      </c>
      <c r="F352" s="22" t="inlineStr">
        <is>
          <t>Tavan tipi hoparlör w/Fire dome, EN54 onaylı, IP21</t>
        </is>
      </c>
      <c r="G352" s="22" t="inlineStr">
        <is>
          <t>adet</t>
        </is>
      </c>
      <c r="H352" s="63" t="n">
        <v>100.23</v>
      </c>
      <c r="I352" s="22" t="inlineStr">
        <is>
          <t>USD</t>
        </is>
      </c>
      <c r="J352" s="22" t="inlineStr">
        <is>
          <t>M+İ</t>
        </is>
      </c>
      <c r="K352" s="63" t="n">
        <v>105.693873342994</v>
      </c>
      <c r="L352" s="22" t="inlineStr">
        <is>
          <t>4008.A</t>
        </is>
      </c>
      <c r="M352" s="22" t="n">
        <v>1</v>
      </c>
      <c r="N352" s="22" t="inlineStr">
        <is>
          <t xml:space="preserve">Narlıdere metro (7 yeraltı istasyon, ~7 km); KDV hariç; fiyat detay sayfası "PA Sistemi - Fiyat Detayı" kalem </t>
        </is>
      </c>
    </row>
    <row r="353">
      <c r="A353" s="22" t="inlineStr">
        <is>
          <t>R01754</t>
        </is>
      </c>
      <c r="B353" s="22" t="inlineStr">
        <is>
          <t>Izmir_Metro_Project_II_FahrettinAltay_Narlidere</t>
        </is>
      </c>
      <c r="C353" s="22" t="inlineStr">
        <is>
          <t>metro</t>
        </is>
      </c>
      <c r="D353" s="22" t="inlineStr">
        <is>
          <t>Uskom</t>
        </is>
      </c>
      <c r="E353" s="22" t="inlineStr">
        <is>
          <t>2018-03-19</t>
        </is>
      </c>
      <c r="F353" s="22" t="inlineStr">
        <is>
          <t>Unidirect. Projektör tip hoparlör 10 / 5 / 2,5 / 1,25 W, EN-54, IP65</t>
        </is>
      </c>
      <c r="G353" s="22" t="inlineStr">
        <is>
          <t>adet</t>
        </is>
      </c>
      <c r="H353" s="63" t="n">
        <v>115.62</v>
      </c>
      <c r="I353" s="22" t="inlineStr">
        <is>
          <t>USD</t>
        </is>
      </c>
      <c r="J353" s="22" t="inlineStr">
        <is>
          <t>M+İ</t>
        </is>
      </c>
      <c r="K353" s="63" t="n">
        <v>121.922833841335</v>
      </c>
      <c r="L353" s="22" t="inlineStr">
        <is>
          <t>4008.A</t>
        </is>
      </c>
      <c r="M353" s="22" t="n">
        <v>7</v>
      </c>
      <c r="N353" s="22" t="inlineStr">
        <is>
          <t>Narlıdere metro (7 yeraltı istasyon, ~7 km); KDV hariç; fiyat detay sayfası "PA Sistemi - Fiyat Detayı" kalem 2.2.5</t>
        </is>
      </c>
    </row>
    <row r="354">
      <c r="A354" s="22" t="inlineStr">
        <is>
          <t>R01755</t>
        </is>
      </c>
      <c r="B354" s="22" t="inlineStr">
        <is>
          <t>Izmir_Metro_Project_II_FahrettinAltay_Narlidere</t>
        </is>
      </c>
      <c r="C354" s="22" t="inlineStr">
        <is>
          <t>metro</t>
        </is>
      </c>
      <c r="D354" s="22" t="inlineStr">
        <is>
          <t>Uskom</t>
        </is>
      </c>
      <c r="E354" s="22" t="inlineStr">
        <is>
          <t>2018-03-19</t>
        </is>
      </c>
      <c r="F354" s="22" t="inlineStr">
        <is>
          <t>2x1,5 FE180 PH90 (Noise sensors)</t>
        </is>
      </c>
      <c r="G354" s="22" t="inlineStr">
        <is>
          <t>adet</t>
        </is>
      </c>
      <c r="H354" s="63" t="n">
        <v>1.59</v>
      </c>
      <c r="I354" s="22" t="inlineStr">
        <is>
          <t>USD</t>
        </is>
      </c>
      <c r="J354" s="22" t="inlineStr">
        <is>
          <t>M+İ</t>
        </is>
      </c>
      <c r="K354" s="63" t="n">
        <v>1.67667623082271</v>
      </c>
      <c r="L354" s="22" t="inlineStr">
        <is>
          <t>4008.A</t>
        </is>
      </c>
      <c r="M354" s="22" t="n">
        <v>20</v>
      </c>
      <c r="N354" s="22" t="inlineStr">
        <is>
          <t xml:space="preserve">Narlıdere metro (7 yeraltı istasyon, ~7 km); KDV hariç; fiyat detay sayfası "PA Sistemi - Fiyat Detayı" kalem </t>
        </is>
      </c>
    </row>
    <row r="355">
      <c r="A355" s="22" t="inlineStr">
        <is>
          <t>R01756</t>
        </is>
      </c>
      <c r="B355" s="22" t="inlineStr">
        <is>
          <t>Izmir_Metro_Project_II_FahrettinAltay_Narlidere</t>
        </is>
      </c>
      <c r="C355" s="22" t="inlineStr">
        <is>
          <t>metro</t>
        </is>
      </c>
      <c r="D355" s="22" t="inlineStr">
        <is>
          <t>Uskom</t>
        </is>
      </c>
      <c r="E355" s="22" t="inlineStr">
        <is>
          <t>2018-03-19</t>
        </is>
      </c>
      <c r="F355" s="22" t="inlineStr">
        <is>
          <t>2x2,5 FE180 PH90 (Audio)</t>
        </is>
      </c>
      <c r="G355" s="22" t="inlineStr">
        <is>
          <t>adet</t>
        </is>
      </c>
      <c r="H355" s="63" t="n">
        <v>1.94</v>
      </c>
      <c r="I355" s="22" t="inlineStr">
        <is>
          <t>USD</t>
        </is>
      </c>
      <c r="J355" s="22" t="inlineStr">
        <is>
          <t>M+İ</t>
        </is>
      </c>
      <c r="K355" s="63" t="n">
        <v>2.04575590427425</v>
      </c>
      <c r="L355" s="22" t="inlineStr">
        <is>
          <t>4008.A</t>
        </is>
      </c>
      <c r="M355" s="22" t="n">
        <v>2</v>
      </c>
      <c r="N355" s="22" t="inlineStr">
        <is>
          <t xml:space="preserve">Narlıdere metro (7 yeraltı istasyon, ~7 km); KDV hariç; fiyat detay sayfası "PA Sistemi - Fiyat Detayı" kalem </t>
        </is>
      </c>
    </row>
    <row r="356">
      <c r="A356" s="22" t="inlineStr">
        <is>
          <t>R01763</t>
        </is>
      </c>
      <c r="B356" s="22" t="inlineStr">
        <is>
          <t>Izmir_Metro_Project_II_FahrettinAltay_Narlidere</t>
        </is>
      </c>
      <c r="C356" s="22" t="inlineStr">
        <is>
          <t>metro</t>
        </is>
      </c>
      <c r="D356" s="22" t="inlineStr">
        <is>
          <t>Uskom</t>
        </is>
      </c>
      <c r="E356" s="22" t="inlineStr">
        <is>
          <t>2018-03-19</t>
        </is>
      </c>
      <c r="F356" s="22" t="inlineStr">
        <is>
          <t>Güç Amplifikatörü 2x250W, 100V/T, EN54 onaylı</t>
        </is>
      </c>
      <c r="G356" s="22" t="inlineStr">
        <is>
          <t>adet</t>
        </is>
      </c>
      <c r="H356" s="63" t="n">
        <v>1311.02</v>
      </c>
      <c r="I356" s="22" t="inlineStr">
        <is>
          <t>USD</t>
        </is>
      </c>
      <c r="J356" s="22" t="inlineStr">
        <is>
          <t>Malzeme</t>
        </is>
      </c>
      <c r="K356" s="63" t="n">
        <v>1382.48809568125</v>
      </c>
      <c r="L356" s="22" t="inlineStr">
        <is>
          <t>4008.A</t>
        </is>
      </c>
      <c r="M356" s="22" t="n">
        <v>1</v>
      </c>
      <c r="N356" s="22" t="inlineStr">
        <is>
          <t>Narlıdere metro (7 yeraltı istasyon, ~7 km); KDV hariç; fiyat detay sayfası "PA Sistemi - Fiyat Detayı" kalem S.1</t>
        </is>
      </c>
    </row>
    <row r="357">
      <c r="A357" s="22" t="inlineStr">
        <is>
          <t>R01764</t>
        </is>
      </c>
      <c r="B357" s="22" t="inlineStr">
        <is>
          <t>Izmir_Metro_Project_II_FahrettinAltay_Narlidere</t>
        </is>
      </c>
      <c r="C357" s="22" t="inlineStr">
        <is>
          <t>metro</t>
        </is>
      </c>
      <c r="D357" s="22" t="inlineStr">
        <is>
          <t>Uskom</t>
        </is>
      </c>
      <c r="E357" s="22" t="inlineStr">
        <is>
          <t>2018-03-19</t>
        </is>
      </c>
      <c r="F357" s="22" t="inlineStr">
        <is>
          <t>Güç Amplifikatörü 4x125W, 100V, EN54 onaylı</t>
        </is>
      </c>
      <c r="G357" s="22" t="inlineStr">
        <is>
          <t>adet</t>
        </is>
      </c>
      <c r="H357" s="63" t="n">
        <v>2613.65</v>
      </c>
      <c r="I357" s="22" t="inlineStr">
        <is>
          <t>USD</t>
        </is>
      </c>
      <c r="J357" s="22" t="inlineStr">
        <is>
          <t>Malzeme</t>
        </is>
      </c>
      <c r="K357" s="63" t="n">
        <v>2756.1288243332</v>
      </c>
      <c r="L357" s="22" t="inlineStr">
        <is>
          <t>4008.A</t>
        </is>
      </c>
      <c r="M357" s="22" t="n">
        <v>7</v>
      </c>
      <c r="N357" s="22" t="inlineStr">
        <is>
          <t xml:space="preserve">Narlıdere metro (7 yeraltı istasyon, ~7 km); KDV hariç; fiyat detay sayfası "PA Sistemi - Fiyat Detayı" kalem </t>
        </is>
      </c>
    </row>
    <row r="358">
      <c r="A358" s="22" t="inlineStr">
        <is>
          <t>R01778</t>
        </is>
      </c>
      <c r="B358" s="22" t="inlineStr">
        <is>
          <t>Izmir_Metro_Project_II_FahrettinAltay_Narlidere</t>
        </is>
      </c>
      <c r="C358" s="22" t="inlineStr">
        <is>
          <t>metro</t>
        </is>
      </c>
      <c r="D358" s="22" t="inlineStr">
        <is>
          <t>Uskom</t>
        </is>
      </c>
      <c r="E358" s="22" t="inlineStr">
        <is>
          <t>2018-03-19</t>
        </is>
      </c>
      <c r="F358" s="22" t="inlineStr">
        <is>
          <t>DVM Database Standart Sunucu</t>
        </is>
      </c>
      <c r="G358" s="22" t="inlineStr">
        <is>
          <t>adet</t>
        </is>
      </c>
      <c r="H358" s="63" t="n">
        <v>5791.22</v>
      </c>
      <c r="I358" s="22" t="inlineStr">
        <is>
          <t>USD</t>
        </is>
      </c>
      <c r="J358" s="22" t="inlineStr">
        <is>
          <t>M+İ</t>
        </is>
      </c>
      <c r="K358" s="63" t="n">
        <v>6106.91881853152</v>
      </c>
      <c r="L358" s="22" t="inlineStr">
        <is>
          <t>4010.J</t>
        </is>
      </c>
      <c r="M358" s="22" t="n">
        <v>1</v>
      </c>
      <c r="N358" s="22" t="inlineStr">
        <is>
          <t xml:space="preserve">Narlıdere metro (7 yeraltı istasyon, ~7 km); KDV hariç; fiyat detay sayfası "CCTV Sistemi - Fiyat Detayı" kalem </t>
        </is>
      </c>
    </row>
    <row r="359">
      <c r="A359" s="22" t="inlineStr">
        <is>
          <t>R01780</t>
        </is>
      </c>
      <c r="B359" s="22" t="inlineStr">
        <is>
          <t>Izmir_Metro_Project_II_FahrettinAltay_Narlidere</t>
        </is>
      </c>
      <c r="C359" s="22" t="inlineStr">
        <is>
          <t>metro</t>
        </is>
      </c>
      <c r="D359" s="22" t="inlineStr">
        <is>
          <t>Uskom</t>
        </is>
      </c>
      <c r="E359" s="22" t="inlineStr">
        <is>
          <t>2018-03-19</t>
        </is>
      </c>
      <c r="F359" s="22" t="inlineStr">
        <is>
          <t>DVM Operatör İstasyonu - 2 Monitör İçin</t>
        </is>
      </c>
      <c r="G359" s="22" t="inlineStr">
        <is>
          <t>adet</t>
        </is>
      </c>
      <c r="H359" s="63" t="n">
        <v>2965.47</v>
      </c>
      <c r="I359" s="22" t="inlineStr">
        <is>
          <t>USD</t>
        </is>
      </c>
      <c r="J359" s="22" t="inlineStr">
        <is>
          <t>M+İ</t>
        </is>
      </c>
      <c r="K359" s="63" t="n">
        <v>3127.12771208669</v>
      </c>
      <c r="L359" s="22" t="inlineStr">
        <is>
          <t>4010.J</t>
        </is>
      </c>
      <c r="M359" s="22" t="n">
        <v>1</v>
      </c>
      <c r="N359" s="22" t="inlineStr">
        <is>
          <t>Narlıdere metro (7 yeraltı istasyon, ~7 km); KDV hariç; fiyat detay sayfası "CCTV Sistemi - Fiyat Detayı" kalem 2.2</t>
        </is>
      </c>
    </row>
    <row r="360">
      <c r="A360" s="22" t="inlineStr">
        <is>
          <t>R01781</t>
        </is>
      </c>
      <c r="B360" s="22" t="inlineStr">
        <is>
          <t>Izmir_Metro_Project_II_FahrettinAltay_Narlidere</t>
        </is>
      </c>
      <c r="C360" s="22" t="inlineStr">
        <is>
          <t>metro</t>
        </is>
      </c>
      <c r="D360" s="22" t="inlineStr">
        <is>
          <t>Uskom</t>
        </is>
      </c>
      <c r="E360" s="22" t="inlineStr">
        <is>
          <t>2018-03-19</t>
        </is>
      </c>
      <c r="F360" s="22" t="inlineStr">
        <is>
          <t>22'' Full HD Monitör</t>
        </is>
      </c>
      <c r="G360" s="22" t="inlineStr">
        <is>
          <t>adet</t>
        </is>
      </c>
      <c r="H360" s="63" t="n">
        <v>305.63</v>
      </c>
      <c r="I360" s="22" t="inlineStr">
        <is>
          <t>USD</t>
        </is>
      </c>
      <c r="J360" s="22" t="inlineStr">
        <is>
          <t>M+İ</t>
        </is>
      </c>
      <c r="K360" s="63" t="n">
        <v>322.290915991412</v>
      </c>
      <c r="L360" s="22" t="inlineStr">
        <is>
          <t>4010.J</t>
        </is>
      </c>
      <c r="M360" s="22" t="n">
        <v>2</v>
      </c>
      <c r="N360" s="22" t="inlineStr">
        <is>
          <t>Narlıdere metro (7 yeraltı istasyon, ~7 km); KDV hariç; fiyat detay sayfası "CCTV Sistemi - Fiyat Detayı" kalem 2.3</t>
        </is>
      </c>
    </row>
    <row r="361">
      <c r="A361" s="22" t="inlineStr">
        <is>
          <t>R01783</t>
        </is>
      </c>
      <c r="B361" s="22" t="inlineStr">
        <is>
          <t>Izmir_Metro_Project_II_FahrettinAltay_Narlidere</t>
        </is>
      </c>
      <c r="C361" s="22" t="inlineStr">
        <is>
          <t>metro</t>
        </is>
      </c>
      <c r="D361" s="22" t="inlineStr">
        <is>
          <t>Uskom</t>
        </is>
      </c>
      <c r="E361" s="22" t="inlineStr">
        <is>
          <t>2018-03-19</t>
        </is>
      </c>
      <c r="F361" s="22" t="inlineStr">
        <is>
          <t>Programlanabilir IP CCTV Kontrol Klavyesi, Renkli Dokunmatik Ekran</t>
        </is>
      </c>
      <c r="G361" s="22" t="inlineStr">
        <is>
          <t>adet</t>
        </is>
      </c>
      <c r="H361" s="63" t="n">
        <v>1275.88</v>
      </c>
      <c r="I361" s="22" t="inlineStr">
        <is>
          <t>USD</t>
        </is>
      </c>
      <c r="J361" s="22" t="inlineStr">
        <is>
          <t>M+İ</t>
        </is>
      </c>
      <c r="K361" s="63" t="n">
        <v>1345.43249646672</v>
      </c>
      <c r="L361" s="22" t="inlineStr">
        <is>
          <t>4010.J</t>
        </is>
      </c>
      <c r="M361" s="22" t="n">
        <v>1</v>
      </c>
      <c r="N361" s="22" t="inlineStr">
        <is>
          <t>Narlıdere metro (7 yeraltı istasyon, ~7 km); KDV hariç; fiyat detay sayfası "CCTV Sistemi - Fiyat Detayı" kalem 2.8</t>
        </is>
      </c>
    </row>
    <row r="362">
      <c r="A362" s="22" t="inlineStr">
        <is>
          <t>R01784</t>
        </is>
      </c>
      <c r="B362" s="22" t="inlineStr">
        <is>
          <t>Izmir_Metro_Project_II_FahrettinAltay_Narlidere</t>
        </is>
      </c>
      <c r="C362" s="22" t="inlineStr">
        <is>
          <t>metro</t>
        </is>
      </c>
      <c r="D362" s="22" t="inlineStr">
        <is>
          <t>Uskom</t>
        </is>
      </c>
      <c r="E362" s="22" t="inlineStr">
        <is>
          <t>2018-03-19</t>
        </is>
      </c>
      <c r="F362" s="22" t="inlineStr">
        <is>
          <t>1/3" 3MP IP IR Dome Kamera, 2.7~12mm MFZ Lens, 86°~28° Yatay Açı, H.264, TDN, AWB, AGC, BLC, HLC, DWDR, 3D~NR, Koridor Modu, 30m Smart IR, IP66, IK10, 4 Alan Maskeleme, 128GB SD Kart Desteği, -30°~+60° Çalışma Sıcaklık Aralığı, 12VDC/PoE</t>
        </is>
      </c>
      <c r="G362" s="22" t="inlineStr">
        <is>
          <t>adet</t>
        </is>
      </c>
      <c r="H362" s="63" t="n">
        <v>457.53</v>
      </c>
      <c r="I362" s="22" t="inlineStr">
        <is>
          <t>USD</t>
        </is>
      </c>
      <c r="J362" s="22" t="inlineStr">
        <is>
          <t>M+İ</t>
        </is>
      </c>
      <c r="K362" s="63" t="n">
        <v>482.471494269381</v>
      </c>
      <c r="L362" s="22" t="inlineStr">
        <is>
          <t>4010.A</t>
        </is>
      </c>
      <c r="M362" s="22" t="n">
        <v>11</v>
      </c>
      <c r="N362" s="22" t="inlineStr">
        <is>
          <t>Narlıdere metro (7 yeraltı istasyon, ~7 km); KDV hariç; fiyat detay sayfası "CCTV Sistemi - Fiyat Detayı" kalem 2.30</t>
        </is>
      </c>
    </row>
    <row r="363">
      <c r="A363" s="22" t="inlineStr">
        <is>
          <t>R01799</t>
        </is>
      </c>
      <c r="B363" s="22" t="inlineStr">
        <is>
          <t>Izmir_Metro_Project_II_FahrettinAltay_Narlidere</t>
        </is>
      </c>
      <c r="C363" s="22" t="inlineStr">
        <is>
          <t>metro</t>
        </is>
      </c>
      <c r="D363" s="22" t="inlineStr">
        <is>
          <t>Uskom</t>
        </is>
      </c>
      <c r="E363" s="22" t="inlineStr">
        <is>
          <t>2018-03-19</t>
        </is>
      </c>
      <c r="F363" s="22" t="inlineStr">
        <is>
          <t>Remote minibox including 4 fiber ODF</t>
        </is>
      </c>
      <c r="G363" s="22" t="inlineStr">
        <is>
          <t>adet</t>
        </is>
      </c>
      <c r="H363" s="63" t="n">
        <v>288.17</v>
      </c>
      <c r="I363" s="22" t="inlineStr">
        <is>
          <t>USD</t>
        </is>
      </c>
      <c r="J363" s="22" t="inlineStr">
        <is>
          <t>M+İ</t>
        </is>
      </c>
      <c r="K363" s="63" t="n">
        <v>303.879112852944</v>
      </c>
      <c r="L363" s="22" t="inlineStr">
        <is>
          <t>4010</t>
        </is>
      </c>
      <c r="M363" s="22" t="n">
        <v>2</v>
      </c>
      <c r="N363" s="22" t="inlineStr">
        <is>
          <t xml:space="preserve">Narlıdere metro (7 yeraltı istasyon, ~7 km); KDV hariç; fiyat detay sayfası "CCTV Sistemi - Fiyat Detayı" kalem </t>
        </is>
      </c>
    </row>
    <row r="364">
      <c r="A364" s="22" t="inlineStr">
        <is>
          <t>R01801</t>
        </is>
      </c>
      <c r="B364" s="22" t="inlineStr">
        <is>
          <t>Izmir_Metro_Project_II_FahrettinAltay_Narlidere</t>
        </is>
      </c>
      <c r="C364" s="22" t="inlineStr">
        <is>
          <t>metro</t>
        </is>
      </c>
      <c r="D364" s="22" t="inlineStr">
        <is>
          <t>Uskom</t>
        </is>
      </c>
      <c r="E364" s="22" t="inlineStr">
        <is>
          <t>2018-03-19</t>
        </is>
      </c>
      <c r="F364" s="22" t="inlineStr">
        <is>
          <t>Optic Cable, 4 cores, SM</t>
        </is>
      </c>
      <c r="G364" s="22" t="inlineStr">
        <is>
          <t>adet</t>
        </is>
      </c>
      <c r="H364" s="63" t="n">
        <v>1.55</v>
      </c>
      <c r="I364" s="22" t="inlineStr">
        <is>
          <t>USD</t>
        </is>
      </c>
      <c r="J364" s="22" t="inlineStr">
        <is>
          <t>M+İ</t>
        </is>
      </c>
      <c r="K364" s="63" t="n">
        <v>1.63449569671397</v>
      </c>
      <c r="L364" s="22" t="inlineStr">
        <is>
          <t>4010</t>
        </is>
      </c>
      <c r="M364" s="22" t="n">
        <v>5</v>
      </c>
      <c r="N364" s="22" t="inlineStr">
        <is>
          <t xml:space="preserve">Narlıdere metro (7 yeraltı istasyon, ~7 km); KDV hariç; fiyat detay sayfası "CCTV Sistemi - Fiyat Detayı" kalem </t>
        </is>
      </c>
    </row>
    <row r="365">
      <c r="A365" s="22" t="inlineStr">
        <is>
          <t>R01802</t>
        </is>
      </c>
      <c r="B365" s="22" t="inlineStr">
        <is>
          <t>Izmir_Metro_Project_II_FahrettinAltay_Narlidere</t>
        </is>
      </c>
      <c r="C365" s="22" t="inlineStr">
        <is>
          <t>metro</t>
        </is>
      </c>
      <c r="D365" s="22" t="inlineStr">
        <is>
          <t>Uskom</t>
        </is>
      </c>
      <c r="E365" s="22" t="inlineStr">
        <is>
          <t>2018-03-19</t>
        </is>
      </c>
      <c r="F365" s="22" t="inlineStr">
        <is>
          <t>N2XH 3x2,5 Power cable</t>
        </is>
      </c>
      <c r="G365" s="22" t="inlineStr">
        <is>
          <t>adet</t>
        </is>
      </c>
      <c r="H365" s="63" t="n">
        <v>2</v>
      </c>
      <c r="I365" s="22" t="inlineStr">
        <is>
          <t>USD</t>
        </is>
      </c>
      <c r="J365" s="22" t="inlineStr">
        <is>
          <t>M+İ</t>
        </is>
      </c>
      <c r="K365" s="63" t="n">
        <v>2.10902670543737</v>
      </c>
      <c r="L365" s="22" t="inlineStr">
        <is>
          <t>4010</t>
        </is>
      </c>
      <c r="M365" s="22" t="n">
        <v>25</v>
      </c>
      <c r="N365" s="22" t="inlineStr">
        <is>
          <t xml:space="preserve">Narlıdere metro (7 yeraltı istasyon, ~7 km); KDV hariç; fiyat detay sayfası "CCTV Sistemi - Fiyat Detayı" kalem </t>
        </is>
      </c>
    </row>
    <row r="366">
      <c r="A366" s="22" t="inlineStr">
        <is>
          <t>R01820</t>
        </is>
      </c>
      <c r="B366" s="22" t="inlineStr">
        <is>
          <t>Izmir_Metro_Project_II_FahrettinAltay_Narlidere</t>
        </is>
      </c>
      <c r="C366" s="22" t="inlineStr">
        <is>
          <t>metro</t>
        </is>
      </c>
      <c r="D366" s="22" t="inlineStr">
        <is>
          <t>Uskom</t>
        </is>
      </c>
      <c r="E366" s="22" t="inlineStr">
        <is>
          <t>2018-03-19</t>
        </is>
      </c>
      <c r="F366" s="22" t="inlineStr">
        <is>
          <t>Operator PIS PC with a 23" LCD monitor</t>
        </is>
      </c>
      <c r="G366" s="22" t="inlineStr">
        <is>
          <t>adet</t>
        </is>
      </c>
      <c r="H366" s="63" t="n">
        <v>1748.96</v>
      </c>
      <c r="I366" s="22" t="inlineStr">
        <is>
          <t>EUR</t>
        </is>
      </c>
      <c r="J366" s="22" t="inlineStr">
        <is>
          <t>Malzeme</t>
        </is>
      </c>
      <c r="K366" s="63" t="n">
        <v>2270.15092975221</v>
      </c>
      <c r="L366" s="22" t="inlineStr">
        <is>
          <t>4018.A</t>
        </is>
      </c>
      <c r="M366" s="22" t="n">
        <v>1</v>
      </c>
      <c r="N366" s="22" t="inlineStr">
        <is>
          <t>Narlıdere metro (7 yeraltı istasyon, ~7 km); KDV hariç; fiyat detay sayfası "YBS Sistemi - Fiyat Detayı" kalem 2.2</t>
        </is>
      </c>
    </row>
    <row r="367">
      <c r="A367" s="22" t="inlineStr">
        <is>
          <t>R01823</t>
        </is>
      </c>
      <c r="B367" s="22" t="inlineStr">
        <is>
          <t>Izmir_Metro_Project_II_FahrettinAltay_Narlidere</t>
        </is>
      </c>
      <c r="C367" s="22" t="inlineStr">
        <is>
          <t>metro</t>
        </is>
      </c>
      <c r="D367" s="22" t="inlineStr">
        <is>
          <t>Uskom</t>
        </is>
      </c>
      <c r="E367" s="22" t="inlineStr">
        <is>
          <t>2018-03-19</t>
        </is>
      </c>
      <c r="F367" s="22" t="inlineStr">
        <is>
          <t>Uskom LCD display (Double sided)</t>
        </is>
      </c>
      <c r="G367" s="22" t="inlineStr">
        <is>
          <t>adet</t>
        </is>
      </c>
      <c r="H367" s="63" t="n">
        <v>5491.02</v>
      </c>
      <c r="I367" s="22" t="inlineStr">
        <is>
          <t>EUR</t>
        </is>
      </c>
      <c r="J367" s="22" t="inlineStr">
        <is>
          <t>M+İ</t>
        </is>
      </c>
      <c r="K367" s="63" t="n">
        <v>7127.34662787484</v>
      </c>
      <c r="L367" s="22" t="inlineStr">
        <is>
          <t>4018.A</t>
        </is>
      </c>
      <c r="M367" s="22" t="n">
        <v>6</v>
      </c>
      <c r="N367" s="22" t="inlineStr">
        <is>
          <t>Narlıdere metro (7 yeraltı istasyon, ~7 km); KDV hariç; fiyat detay sayfası "YBS Sistemi - Fiyat Detayı" kalem 2.5</t>
        </is>
      </c>
    </row>
    <row r="368">
      <c r="A368" s="22" t="inlineStr">
        <is>
          <t>R01825</t>
        </is>
      </c>
      <c r="B368" s="22" t="inlineStr">
        <is>
          <t>Izmir_Metro_Project_II_FahrettinAltay_Narlidere</t>
        </is>
      </c>
      <c r="C368" s="22" t="inlineStr">
        <is>
          <t>metro</t>
        </is>
      </c>
      <c r="D368" s="22" t="inlineStr">
        <is>
          <t>Uskom</t>
        </is>
      </c>
      <c r="E368" s="22" t="inlineStr">
        <is>
          <t>2018-03-19</t>
        </is>
      </c>
      <c r="F368" s="22" t="inlineStr">
        <is>
          <t>Display steel support for ceiling mount</t>
        </is>
      </c>
      <c r="G368" s="22" t="inlineStr">
        <is>
          <t>adet</t>
        </is>
      </c>
      <c r="H368" s="63" t="n">
        <v>281.27</v>
      </c>
      <c r="I368" s="22" t="inlineStr">
        <is>
          <t>EUR</t>
        </is>
      </c>
      <c r="J368" s="22" t="inlineStr">
        <is>
          <t>M+İ</t>
        </is>
      </c>
      <c r="K368" s="63" t="n">
        <v>365.088596658245</v>
      </c>
      <c r="L368" s="22" t="inlineStr">
        <is>
          <t>4018.A</t>
        </is>
      </c>
      <c r="M368" s="22" t="n">
        <v>6</v>
      </c>
      <c r="N368" s="22" t="inlineStr">
        <is>
          <t>Narlıdere metro (7 yeraltı istasyon, ~7 km); KDV hariç; fiyat detay sayfası "YBS Sistemi - Fiyat Detayı" kalem 2.11</t>
        </is>
      </c>
    </row>
    <row r="369">
      <c r="A369" s="22" t="inlineStr">
        <is>
          <t>R01827</t>
        </is>
      </c>
      <c r="B369" s="22" t="inlineStr">
        <is>
          <t>Izmir_Metro_Project_II_FahrettinAltay_Narlidere</t>
        </is>
      </c>
      <c r="C369" s="22" t="inlineStr">
        <is>
          <t>metro</t>
        </is>
      </c>
      <c r="D369" s="22" t="inlineStr">
        <is>
          <t>Uskom</t>
        </is>
      </c>
      <c r="E369" s="22" t="inlineStr">
        <is>
          <t>2018-03-19</t>
        </is>
      </c>
      <c r="F369" s="22" t="inlineStr">
        <is>
          <t>3x2,5 N2XH cable</t>
        </is>
      </c>
      <c r="G369" s="22" t="inlineStr">
        <is>
          <t>adet</t>
        </is>
      </c>
      <c r="H369" s="63" t="n">
        <v>2</v>
      </c>
      <c r="I369" s="22" t="inlineStr">
        <is>
          <t>EUR</t>
        </is>
      </c>
      <c r="J369" s="22" t="inlineStr">
        <is>
          <t>M+İ</t>
        </is>
      </c>
      <c r="K369" s="63" t="n">
        <v>2.59600097172286</v>
      </c>
      <c r="L369" s="22" t="inlineStr">
        <is>
          <t>4018</t>
        </is>
      </c>
      <c r="M369" s="22" t="n">
        <v>25</v>
      </c>
      <c r="N369" s="22" t="inlineStr">
        <is>
          <t xml:space="preserve">Narlıdere metro (7 yeraltı istasyon, ~7 km); KDV hariç; fiyat detay sayfası "YBS Sistemi - Fiyat Detayı" kalem </t>
        </is>
      </c>
    </row>
    <row r="370">
      <c r="A370" s="22" t="inlineStr">
        <is>
          <t>R01836</t>
        </is>
      </c>
      <c r="B370" s="22" t="inlineStr">
        <is>
          <t>Izmir_Metro_Project_II_FahrettinAltay_Narlidere</t>
        </is>
      </c>
      <c r="C370" s="22" t="inlineStr">
        <is>
          <t>metro</t>
        </is>
      </c>
      <c r="D370" s="22" t="inlineStr">
        <is>
          <t>Uskom</t>
        </is>
      </c>
      <c r="E370" s="22" t="inlineStr">
        <is>
          <t>2018-03-19</t>
        </is>
      </c>
      <c r="F370" s="22" t="inlineStr">
        <is>
          <t>Central Master Clock including GPS and Battery (Will be installed in Telecom cabinets)</t>
        </is>
      </c>
      <c r="G370" s="22" t="inlineStr">
        <is>
          <t>adet</t>
        </is>
      </c>
      <c r="H370" s="63" t="n">
        <v>2048.35</v>
      </c>
      <c r="I370" s="22" t="inlineStr">
        <is>
          <t>EUR</t>
        </is>
      </c>
      <c r="J370" s="22" t="inlineStr">
        <is>
          <t>M+İ</t>
        </is>
      </c>
      <c r="K370" s="63" t="n">
        <v>2658.75929521426</v>
      </c>
      <c r="L370" s="22" t="inlineStr">
        <is>
          <t>4012.H</t>
        </is>
      </c>
      <c r="M370" s="22" t="n">
        <v>1</v>
      </c>
      <c r="N370" s="22" t="inlineStr">
        <is>
          <t>Narlıdere metro (7 yeraltı istasyon, ~7 km); KDV hariç; fiyat detay sayfası "SAAT Sistemi - Fiyat Detayı" kalem 2.1</t>
        </is>
      </c>
    </row>
    <row r="371">
      <c r="A371" s="22" t="inlineStr">
        <is>
          <t>R01840</t>
        </is>
      </c>
      <c r="B371" s="22" t="inlineStr">
        <is>
          <t>Izmir_Metro_Project_II_FahrettinAltay_Narlidere</t>
        </is>
      </c>
      <c r="C371" s="22" t="inlineStr">
        <is>
          <t>metro</t>
        </is>
      </c>
      <c r="D371" s="22" t="inlineStr">
        <is>
          <t>Uskom</t>
        </is>
      </c>
      <c r="E371" s="22" t="inlineStr">
        <is>
          <t>2018-03-19</t>
        </is>
      </c>
      <c r="F371" s="22" t="inlineStr">
        <is>
          <t>Analog NTP Clock Double Sided</t>
        </is>
      </c>
      <c r="G371" s="22" t="inlineStr">
        <is>
          <t>adet</t>
        </is>
      </c>
      <c r="H371" s="63" t="n">
        <v>3132.18</v>
      </c>
      <c r="I371" s="22" t="inlineStr">
        <is>
          <t>EUR</t>
        </is>
      </c>
      <c r="J371" s="22" t="inlineStr">
        <is>
          <t>M+İ</t>
        </is>
      </c>
      <c r="K371" s="63" t="n">
        <v>4065.57116180546</v>
      </c>
      <c r="L371" s="22" t="inlineStr">
        <is>
          <t>4012.A</t>
        </is>
      </c>
      <c r="M371" s="22" t="n">
        <v>6</v>
      </c>
      <c r="N371" s="22" t="inlineStr">
        <is>
          <t>Narlıdere metro (7 yeraltı istasyon, ~7 km); KDV hariç; fiyat detay sayfası "SAAT Sistemi - Fiyat Detayı" kalem 2.8</t>
        </is>
      </c>
    </row>
    <row r="372">
      <c r="A372" s="22" t="inlineStr">
        <is>
          <t>R01852</t>
        </is>
      </c>
      <c r="B372" s="22" t="inlineStr">
        <is>
          <t>Izmir_Metro_Project_II_FahrettinAltay_Narlidere</t>
        </is>
      </c>
      <c r="C372" s="22" t="inlineStr">
        <is>
          <t>metro</t>
        </is>
      </c>
      <c r="D372" s="22" t="inlineStr">
        <is>
          <t>Yapı Merkezi İDİS (iç maliyet çalışması)</t>
        </is>
      </c>
      <c r="E372" s="22" t="inlineStr">
        <is>
          <t>2018-04-09</t>
        </is>
      </c>
      <c r="F372" s="22" t="inlineStr">
        <is>
          <t>5.4.429 Yolcu Geçiş Kontrol (Ücret Toplama) Sistemi Giriş/Çıkış Turnikesi</t>
        </is>
      </c>
      <c r="G372" s="22" t="inlineStr">
        <is>
          <t>adet</t>
        </is>
      </c>
      <c r="H372" s="63" t="n">
        <v>1464</v>
      </c>
      <c r="I372" s="22" t="inlineStr">
        <is>
          <t>USD</t>
        </is>
      </c>
      <c r="J372" s="22" t="inlineStr"/>
      <c r="K372" s="63" t="n">
        <v>1538.30619845071</v>
      </c>
      <c r="L372" s="22" t="inlineStr">
        <is>
          <t>4019.A</t>
        </is>
      </c>
      <c r="M372" s="22" t="n">
        <v>1</v>
      </c>
      <c r="N372" s="22" t="inlineStr">
        <is>
          <t>7 istasyonluk çalışma; KDV hariç anahtar teslim; turnike harici tüm giderler 431 nolu kalemde</t>
        </is>
      </c>
    </row>
    <row r="373">
      <c r="A373" s="22" t="inlineStr">
        <is>
          <t>R01853</t>
        </is>
      </c>
      <c r="B373" s="22" t="inlineStr">
        <is>
          <t>Izmir_Metro_Project_II_FahrettinAltay_Narlidere</t>
        </is>
      </c>
      <c r="C373" s="22" t="inlineStr">
        <is>
          <t>metro</t>
        </is>
      </c>
      <c r="D373" s="22" t="inlineStr">
        <is>
          <t>Yapı Merkezi İDİS (iç maliyet çalışması)</t>
        </is>
      </c>
      <c r="E373" s="22" t="inlineStr">
        <is>
          <t>2018-04-09</t>
        </is>
      </c>
      <c r="F373" s="22" t="inlineStr">
        <is>
          <t>5.4.430 Yolcu Geçiş Kontrol (Ücret Toplama) Sistemi Engelli Geçiş Turnikesi</t>
        </is>
      </c>
      <c r="G373" s="22" t="inlineStr">
        <is>
          <t>adet</t>
        </is>
      </c>
      <c r="H373" s="63" t="n">
        <v>1434</v>
      </c>
      <c r="I373" s="22" t="inlineStr">
        <is>
          <t>USD</t>
        </is>
      </c>
      <c r="J373" s="22" t="inlineStr"/>
      <c r="K373" s="63" t="n">
        <v>1506.78353044967</v>
      </c>
      <c r="L373" s="22" t="inlineStr">
        <is>
          <t>4019.B</t>
        </is>
      </c>
      <c r="M373" s="22" t="n">
        <v>1</v>
      </c>
      <c r="N373" s="22" t="inlineStr">
        <is>
          <t>7 istasyonluk çalışma; KDV hariç anahtar teslim; turnike harici tüm giderler 431 nolu kalemde</t>
        </is>
      </c>
    </row>
    <row r="374">
      <c r="A374" s="22" t="inlineStr">
        <is>
          <t>R01858</t>
        </is>
      </c>
      <c r="B374" s="22" t="inlineStr">
        <is>
          <t>Izmir_Ucyol_Buca_Metro</t>
        </is>
      </c>
      <c r="C374" s="22" t="inlineStr">
        <is>
          <t>metro</t>
        </is>
      </c>
      <c r="D374" s="22" t="inlineStr">
        <is>
          <t>ON Elektronik</t>
        </is>
      </c>
      <c r="E374" s="22" t="inlineStr">
        <is>
          <t>2020-03-20</t>
        </is>
      </c>
      <c r="F374" s="22" t="inlineStr">
        <is>
          <t>PERON YBS Ekranı çift yönlü (LED 32x224 px RGB, 34x200x28 cm)</t>
        </is>
      </c>
      <c r="G374" s="22" t="inlineStr">
        <is>
          <t>adet</t>
        </is>
      </c>
      <c r="H374" s="63" t="n">
        <v>3370</v>
      </c>
      <c r="I374" s="22" t="inlineStr">
        <is>
          <t>EUR</t>
        </is>
      </c>
      <c r="J374" s="22" t="inlineStr"/>
      <c r="K374" s="63" t="n">
        <v>4281.89161133834</v>
      </c>
      <c r="L374" s="22" t="inlineStr">
        <is>
          <t>4018.A</t>
        </is>
      </c>
      <c r="M374" s="22" t="n">
        <v>1</v>
      </c>
      <c r="N374" s="22" t="inlineStr">
        <is>
          <t>LED matrix tip, URF LED TV 43-55" tip</t>
        </is>
      </c>
    </row>
    <row r="375">
      <c r="A375" s="22" t="inlineStr">
        <is>
          <t>R01863</t>
        </is>
      </c>
      <c r="B375" s="22" t="inlineStr">
        <is>
          <t>Izmir_Ucyol_Buca_Metro</t>
        </is>
      </c>
      <c r="C375" s="22" t="inlineStr">
        <is>
          <t>metro</t>
        </is>
      </c>
      <c r="D375" s="22" t="inlineStr">
        <is>
          <t>ON Elektronik</t>
        </is>
      </c>
      <c r="E375" s="22" t="inlineStr">
        <is>
          <t>2020-03-20</t>
        </is>
      </c>
      <c r="F375" s="22" t="inlineStr">
        <is>
          <t>Peron Kenar Switch</t>
        </is>
      </c>
      <c r="G375" s="22" t="inlineStr">
        <is>
          <t>adet</t>
        </is>
      </c>
      <c r="H375" s="63" t="n">
        <v>300</v>
      </c>
      <c r="I375" s="22" t="inlineStr">
        <is>
          <t>EUR</t>
        </is>
      </c>
      <c r="J375" s="22" t="inlineStr"/>
      <c r="K375" s="63" t="n">
        <v>381.177294777894</v>
      </c>
      <c r="L375" s="22" t="inlineStr">
        <is>
          <t>4002</t>
        </is>
      </c>
      <c r="M375" s="22" t="n">
        <v>1</v>
      </c>
      <c r="N375" s="22" t="inlineStr"/>
    </row>
    <row r="376">
      <c r="A376" s="22" t="inlineStr">
        <is>
          <t>R01868</t>
        </is>
      </c>
      <c r="B376" s="22" t="inlineStr">
        <is>
          <t>Izmir_Ucyol_Buca_Metro</t>
        </is>
      </c>
      <c r="C376" s="22" t="inlineStr">
        <is>
          <t>metro</t>
        </is>
      </c>
      <c r="D376" s="22" t="inlineStr">
        <is>
          <t>ON Elektronik</t>
        </is>
      </c>
      <c r="E376" s="22" t="inlineStr">
        <is>
          <t>2020-03-20</t>
        </is>
      </c>
      <c r="F376" s="22" t="inlineStr">
        <is>
          <t>YBS Sunucu Bilgisayarı</t>
        </is>
      </c>
      <c r="G376" s="22" t="inlineStr">
        <is>
          <t>adet</t>
        </is>
      </c>
      <c r="H376" s="63" t="n">
        <v>3500</v>
      </c>
      <c r="I376" s="22" t="inlineStr">
        <is>
          <t>EUR</t>
        </is>
      </c>
      <c r="J376" s="22" t="inlineStr"/>
      <c r="K376" s="63" t="n">
        <v>4447.06843907543</v>
      </c>
      <c r="L376" s="22" t="inlineStr">
        <is>
          <t>4018.G</t>
        </is>
      </c>
      <c r="M376" s="22" t="n">
        <v>2</v>
      </c>
      <c r="N376" s="22" t="inlineStr"/>
    </row>
    <row r="377">
      <c r="A377" s="22" t="inlineStr">
        <is>
          <t>R01872</t>
        </is>
      </c>
      <c r="B377" s="22" t="inlineStr">
        <is>
          <t>Izmir_Ucyol_Buca_Metro</t>
        </is>
      </c>
      <c r="C377" s="22" t="inlineStr">
        <is>
          <t>metro</t>
        </is>
      </c>
      <c r="D377" s="22" t="inlineStr">
        <is>
          <t>ON Elektronik</t>
        </is>
      </c>
      <c r="E377" s="22" t="inlineStr">
        <is>
          <t>2020-03-20</t>
        </is>
      </c>
      <c r="F377" s="22" t="inlineStr">
        <is>
          <t>Sistem Tasarımı</t>
        </is>
      </c>
      <c r="G377" s="22" t="inlineStr">
        <is>
          <t>adet</t>
        </is>
      </c>
      <c r="H377" s="63" t="n">
        <v>2500</v>
      </c>
      <c r="I377" s="22" t="inlineStr">
        <is>
          <t>EUR</t>
        </is>
      </c>
      <c r="J377" s="22" t="inlineStr"/>
      <c r="K377" s="63" t="n">
        <v>3176.47745648245</v>
      </c>
      <c r="L377" s="22" t="inlineStr">
        <is>
          <t>4017</t>
        </is>
      </c>
      <c r="M377" s="22" t="n">
        <v>1</v>
      </c>
      <c r="N377" s="22" t="inlineStr"/>
    </row>
    <row r="378">
      <c r="A378" s="22" t="inlineStr">
        <is>
          <t>R01876</t>
        </is>
      </c>
      <c r="B378" s="22" t="inlineStr">
        <is>
          <t>Izmir_Ucyol_Buca_Metro</t>
        </is>
      </c>
      <c r="C378" s="22" t="inlineStr">
        <is>
          <t>metro</t>
        </is>
      </c>
      <c r="D378" s="22" t="inlineStr">
        <is>
          <t>ON Elektronik</t>
        </is>
      </c>
      <c r="E378" s="22" t="inlineStr">
        <is>
          <t>2020-03-20</t>
        </is>
      </c>
      <c r="F378" s="22" t="inlineStr">
        <is>
          <t>Mevcut Sisteme Entegrasyon</t>
        </is>
      </c>
      <c r="G378" s="22" t="inlineStr">
        <is>
          <t>adet</t>
        </is>
      </c>
      <c r="H378" s="63" t="n">
        <v>5000</v>
      </c>
      <c r="I378" s="22" t="inlineStr">
        <is>
          <t>EUR</t>
        </is>
      </c>
      <c r="J378" s="22" t="inlineStr"/>
      <c r="K378" s="63" t="n">
        <v>6352.9549129649</v>
      </c>
      <c r="L378" s="22" t="inlineStr">
        <is>
          <t>4018.G</t>
        </is>
      </c>
      <c r="M378" s="22" t="n">
        <v>3</v>
      </c>
      <c r="N378" s="22" t="inlineStr"/>
    </row>
    <row r="379">
      <c r="A379" s="22" t="inlineStr">
        <is>
          <t>R01893</t>
        </is>
      </c>
      <c r="B379" s="22" t="inlineStr">
        <is>
          <t>Izmir_Ucyol_Buca_Metro</t>
        </is>
      </c>
      <c r="C379" s="22" t="inlineStr">
        <is>
          <t>metro</t>
        </is>
      </c>
      <c r="D379" s="22" t="inlineStr">
        <is>
          <t>Avikon Elektronik</t>
        </is>
      </c>
      <c r="E379" s="22" t="inlineStr">
        <is>
          <t>2021-03-19</t>
        </is>
      </c>
      <c r="F379" s="22" t="inlineStr">
        <is>
          <t>YBS Tasarım, Mühendislik ve Dokümantasyon</t>
        </is>
      </c>
      <c r="G379" s="22" t="inlineStr">
        <is>
          <t>set</t>
        </is>
      </c>
      <c r="H379" s="63" t="n">
        <v>8300</v>
      </c>
      <c r="I379" s="22" t="inlineStr">
        <is>
          <t>EUR</t>
        </is>
      </c>
      <c r="J379" s="22" t="inlineStr"/>
      <c r="K379" s="63" t="n">
        <v>10407.3125786164</v>
      </c>
      <c r="L379" s="22" t="inlineStr">
        <is>
          <t>4017</t>
        </is>
      </c>
      <c r="M379" s="22" t="n">
        <v>1</v>
      </c>
      <c r="N379" s="22" t="inlineStr"/>
    </row>
    <row r="380">
      <c r="A380" s="22" t="inlineStr">
        <is>
          <t>R01894</t>
        </is>
      </c>
      <c r="B380" s="22" t="inlineStr">
        <is>
          <t>Izmir_Ucyol_Buca_Metro</t>
        </is>
      </c>
      <c r="C380" s="22" t="inlineStr">
        <is>
          <t>metro</t>
        </is>
      </c>
      <c r="D380" s="22" t="inlineStr">
        <is>
          <t>Avikon Elektronik</t>
        </is>
      </c>
      <c r="E380" s="22" t="inlineStr">
        <is>
          <t>2021-03-19</t>
        </is>
      </c>
      <c r="F380" s="22" t="inlineStr">
        <is>
          <t>Yolcu Bilgilendirme Ekranı Çift Taraflı (55" FHD endüstriyel LED TV, 2 hoparlör dahil)</t>
        </is>
      </c>
      <c r="G380" s="22" t="inlineStr">
        <is>
          <t>adet</t>
        </is>
      </c>
      <c r="H380" s="63" t="n">
        <v>3900</v>
      </c>
      <c r="I380" s="22" t="inlineStr">
        <is>
          <t>EUR</t>
        </is>
      </c>
      <c r="J380" s="22" t="inlineStr"/>
      <c r="K380" s="63" t="n">
        <v>4890.18301886792</v>
      </c>
      <c r="L380" s="22" t="inlineStr">
        <is>
          <t>4018.A</t>
        </is>
      </c>
      <c r="M380" s="22" t="n">
        <v>7</v>
      </c>
      <c r="N380" s="22" t="inlineStr"/>
    </row>
    <row r="381">
      <c r="A381" s="22" t="inlineStr">
        <is>
          <t>R01895</t>
        </is>
      </c>
      <c r="B381" s="22" t="inlineStr">
        <is>
          <t>Izmir_Ucyol_Buca_Metro</t>
        </is>
      </c>
      <c r="C381" s="22" t="inlineStr">
        <is>
          <t>metro</t>
        </is>
      </c>
      <c r="D381" s="22" t="inlineStr">
        <is>
          <t>Avikon Elektronik</t>
        </is>
      </c>
      <c r="E381" s="22" t="inlineStr">
        <is>
          <t>2021-03-19</t>
        </is>
      </c>
      <c r="F381" s="22" t="inlineStr">
        <is>
          <t>Yolcu Bilgilendirme Ekranı Tek Taraflı (55" FHD endüstriyel)</t>
        </is>
      </c>
      <c r="G381" s="22" t="inlineStr">
        <is>
          <t>adet</t>
        </is>
      </c>
      <c r="H381" s="63" t="n">
        <v>2645</v>
      </c>
      <c r="I381" s="22" t="inlineStr">
        <is>
          <t>EUR</t>
        </is>
      </c>
      <c r="J381" s="22" t="inlineStr"/>
      <c r="K381" s="63" t="n">
        <v>3316.54720125786</v>
      </c>
      <c r="L381" s="22" t="inlineStr">
        <is>
          <t>4018.A</t>
        </is>
      </c>
      <c r="M381" s="22" t="n">
        <v>1</v>
      </c>
      <c r="N381" s="22" t="inlineStr"/>
    </row>
    <row r="382">
      <c r="A382" s="22" t="inlineStr">
        <is>
          <t>R01896</t>
        </is>
      </c>
      <c r="B382" s="22" t="inlineStr">
        <is>
          <t>Izmir_Ucyol_Buca_Metro</t>
        </is>
      </c>
      <c r="C382" s="22" t="inlineStr">
        <is>
          <t>metro</t>
        </is>
      </c>
      <c r="D382" s="22" t="inlineStr">
        <is>
          <t>Avikon Elektronik</t>
        </is>
      </c>
      <c r="E382" s="22" t="inlineStr">
        <is>
          <t>2021-03-19</t>
        </is>
      </c>
      <c r="F382" s="22" t="inlineStr">
        <is>
          <t>Yolcu Bilgilendirme Ekranı Montaj Ayağı (2 m paslanmaz)</t>
        </is>
      </c>
      <c r="G382" s="22" t="inlineStr">
        <is>
          <t>adet</t>
        </is>
      </c>
      <c r="H382" s="63" t="n">
        <v>195</v>
      </c>
      <c r="I382" s="22" t="inlineStr">
        <is>
          <t>EUR</t>
        </is>
      </c>
      <c r="J382" s="22" t="inlineStr"/>
      <c r="K382" s="63" t="n">
        <v>244.509150943396</v>
      </c>
      <c r="L382" s="22" t="inlineStr">
        <is>
          <t>4018.A</t>
        </is>
      </c>
      <c r="M382" s="22" t="n">
        <v>6</v>
      </c>
      <c r="N382" s="22" t="inlineStr"/>
    </row>
    <row r="383">
      <c r="A383" s="22" t="inlineStr">
        <is>
          <t>R01898</t>
        </is>
      </c>
      <c r="B383" s="22" t="inlineStr">
        <is>
          <t>Izmir_Ucyol_Buca_Metro</t>
        </is>
      </c>
      <c r="C383" s="22" t="inlineStr">
        <is>
          <t>metro</t>
        </is>
      </c>
      <c r="D383" s="22" t="inlineStr">
        <is>
          <t>Avikon Elektronik</t>
        </is>
      </c>
      <c r="E383" s="22" t="inlineStr">
        <is>
          <t>2021-03-19</t>
        </is>
      </c>
      <c r="F383" s="22" t="inlineStr">
        <is>
          <t>Sinyalizasyon Entegrasyon Bedeli</t>
        </is>
      </c>
      <c r="G383" s="22" t="inlineStr">
        <is>
          <t>set</t>
        </is>
      </c>
      <c r="H383" s="63" t="n">
        <v>7500</v>
      </c>
      <c r="I383" s="22" t="inlineStr">
        <is>
          <t>EUR</t>
        </is>
      </c>
      <c r="J383" s="22" t="inlineStr"/>
      <c r="K383" s="63" t="n">
        <v>9404.198113207551</v>
      </c>
      <c r="L383" s="22" t="inlineStr">
        <is>
          <t>4018.G</t>
        </is>
      </c>
      <c r="M383" s="22" t="n">
        <v>2</v>
      </c>
      <c r="N383" s="22" t="inlineStr"/>
    </row>
    <row r="384">
      <c r="A384" s="22" t="inlineStr">
        <is>
          <t>R01899</t>
        </is>
      </c>
      <c r="B384" s="22" t="inlineStr">
        <is>
          <t>Izmir_Ucyol_Buca_Metro</t>
        </is>
      </c>
      <c r="C384" s="22" t="inlineStr">
        <is>
          <t>metro</t>
        </is>
      </c>
      <c r="D384" s="22" t="inlineStr">
        <is>
          <t>Avikon Elektronik</t>
        </is>
      </c>
      <c r="E384" s="22" t="inlineStr">
        <is>
          <t>2021-03-19</t>
        </is>
      </c>
      <c r="F384" s="22" t="inlineStr">
        <is>
          <t>Kapı ve SCADA Sistemi Entegrasyon Bedeli</t>
        </is>
      </c>
      <c r="G384" s="22" t="inlineStr">
        <is>
          <t>set</t>
        </is>
      </c>
      <c r="H384" s="63" t="n">
        <v>10000</v>
      </c>
      <c r="I384" s="22" t="inlineStr">
        <is>
          <t>EUR</t>
        </is>
      </c>
      <c r="J384" s="22" t="inlineStr"/>
      <c r="K384" s="63" t="n">
        <v>12538.9308176101</v>
      </c>
      <c r="L384" s="22" t="inlineStr">
        <is>
          <t>4018.G</t>
        </is>
      </c>
      <c r="M384" s="22" t="n">
        <v>3</v>
      </c>
      <c r="N384" s="22" t="inlineStr"/>
    </row>
    <row r="385">
      <c r="A385" s="22" t="inlineStr">
        <is>
          <t>R01900</t>
        </is>
      </c>
      <c r="B385" s="22" t="inlineStr">
        <is>
          <t>Izmir_Ucyol_Buca_Metro</t>
        </is>
      </c>
      <c r="C385" s="22" t="inlineStr">
        <is>
          <t>metro</t>
        </is>
      </c>
      <c r="D385" s="22" t="inlineStr">
        <is>
          <t>Avikon Elektronik</t>
        </is>
      </c>
      <c r="E385" s="22" t="inlineStr">
        <is>
          <t>2021-03-19</t>
        </is>
      </c>
      <c r="F385" s="22" t="inlineStr">
        <is>
          <t>YBS Merkezi Sunucu Sistemi</t>
        </is>
      </c>
      <c r="G385" s="22" t="inlineStr">
        <is>
          <t>set</t>
        </is>
      </c>
      <c r="H385" s="63" t="n">
        <v>4750</v>
      </c>
      <c r="I385" s="22" t="inlineStr">
        <is>
          <t>EUR</t>
        </is>
      </c>
      <c r="J385" s="22" t="inlineStr"/>
      <c r="K385" s="63" t="n">
        <v>5955.99213836478</v>
      </c>
      <c r="L385" s="22" t="inlineStr">
        <is>
          <t>4018.G</t>
        </is>
      </c>
      <c r="M385" s="22" t="n">
        <v>2</v>
      </c>
      <c r="N385" s="22" t="inlineStr"/>
    </row>
    <row r="386">
      <c r="A386" s="22" t="inlineStr">
        <is>
          <t>R01901</t>
        </is>
      </c>
      <c r="B386" s="22" t="inlineStr">
        <is>
          <t>Izmir_Ucyol_Buca_Metro</t>
        </is>
      </c>
      <c r="C386" s="22" t="inlineStr">
        <is>
          <t>metro</t>
        </is>
      </c>
      <c r="D386" s="22" t="inlineStr">
        <is>
          <t>Avikon Elektronik</t>
        </is>
      </c>
      <c r="E386" s="22" t="inlineStr">
        <is>
          <t>2021-03-19</t>
        </is>
      </c>
      <c r="F386" s="22" t="inlineStr">
        <is>
          <t>YBS Operatör Bilgisayarı</t>
        </is>
      </c>
      <c r="G386" s="22" t="inlineStr">
        <is>
          <t>adet</t>
        </is>
      </c>
      <c r="H386" s="63" t="n">
        <v>3150</v>
      </c>
      <c r="I386" s="22" t="inlineStr">
        <is>
          <t>EUR</t>
        </is>
      </c>
      <c r="J386" s="22" t="inlineStr"/>
      <c r="K386" s="63" t="n">
        <v>3949.76320754717</v>
      </c>
      <c r="L386" s="22" t="inlineStr">
        <is>
          <t>4018.G</t>
        </is>
      </c>
      <c r="M386" s="22" t="n">
        <v>1</v>
      </c>
      <c r="N386" s="22" t="inlineStr"/>
    </row>
    <row r="387">
      <c r="A387" s="22" t="inlineStr">
        <is>
          <t>R01914</t>
        </is>
      </c>
      <c r="B387" s="22" t="inlineStr">
        <is>
          <t>Izmir_Ucyol_Buca_Metro</t>
        </is>
      </c>
      <c r="C387" s="22" t="inlineStr">
        <is>
          <t>metro</t>
        </is>
      </c>
      <c r="D387" s="22" t="inlineStr">
        <is>
          <t>Huawei</t>
        </is>
      </c>
      <c r="E387" s="22" t="inlineStr">
        <is>
          <t>2021-04-15</t>
        </is>
      </c>
      <c r="F387" s="22" t="inlineStr">
        <is>
          <t>Cloud Engine S6730-S24X6Q / AP Access Core Switch</t>
        </is>
      </c>
      <c r="G387" s="22" t="inlineStr">
        <is>
          <t>Adet (Pieces)</t>
        </is>
      </c>
      <c r="H387" s="63" t="n">
        <v>11232.588</v>
      </c>
      <c r="I387" s="22" t="inlineStr">
        <is>
          <t>EUR</t>
        </is>
      </c>
      <c r="J387" s="22" t="inlineStr"/>
      <c r="K387" s="63" t="n">
        <v>14004.2746945234</v>
      </c>
      <c r="L387" s="22" t="inlineStr"/>
      <c r="M387" s="22" t="n">
        <v>1</v>
      </c>
      <c r="N387" s="22" t="inlineStr">
        <is>
          <t>Üçyol-Buca metro (11 yeraltı istasyon + depo); DDP İzmir, KDV hariç; T2G=train-to-ground WiFi (URF kapsamında yok) [sayfa: HW Price Sheet]</t>
        </is>
      </c>
    </row>
    <row r="388">
      <c r="A388" s="22" t="inlineStr">
        <is>
          <t>R01918</t>
        </is>
      </c>
      <c r="B388" s="22" t="inlineStr">
        <is>
          <t>Izmir_Ucyol_Buca_Metro</t>
        </is>
      </c>
      <c r="C388" s="22" t="inlineStr">
        <is>
          <t>metro</t>
        </is>
      </c>
      <c r="D388" s="22" t="inlineStr">
        <is>
          <t>Huawei</t>
        </is>
      </c>
      <c r="E388" s="22" t="inlineStr">
        <is>
          <t>2021-04-15</t>
        </is>
      </c>
      <c r="F388" s="22" t="inlineStr">
        <is>
          <t>CloudEngine S5732-H24S6Q / Station Switch</t>
        </is>
      </c>
      <c r="G388" s="22" t="inlineStr">
        <is>
          <t>Adet (Pieces)</t>
        </is>
      </c>
      <c r="H388" s="63" t="n">
        <v>3925.2528</v>
      </c>
      <c r="I388" s="22" t="inlineStr">
        <is>
          <t>EUR</t>
        </is>
      </c>
      <c r="J388" s="22" t="inlineStr"/>
      <c r="K388" s="63" t="n">
        <v>4893.82486535135</v>
      </c>
      <c r="L388" s="22" t="inlineStr">
        <is>
          <t>4002.A</t>
        </is>
      </c>
      <c r="M388" s="22" t="n">
        <v>1</v>
      </c>
      <c r="N388" s="22" t="inlineStr">
        <is>
          <t>Üçyol-Buca metro (11 yeraltı istasyon + depo); DDP İzmir, KDV hariç; T2G=train-to-ground WiFi (URF kapsamında yok) [sayfa: HW Price Sheet]</t>
        </is>
      </c>
    </row>
    <row r="389">
      <c r="A389" s="22" t="inlineStr">
        <is>
          <t>R01924</t>
        </is>
      </c>
      <c r="B389" s="22" t="inlineStr">
        <is>
          <t>Izmir_Ucyol_Buca_Metro</t>
        </is>
      </c>
      <c r="C389" s="22" t="inlineStr">
        <is>
          <t>metro</t>
        </is>
      </c>
      <c r="D389" s="22" t="inlineStr">
        <is>
          <t>Huawei</t>
        </is>
      </c>
      <c r="E389" s="22" t="inlineStr">
        <is>
          <t>2021-04-15</t>
        </is>
      </c>
      <c r="F389" s="22" t="inlineStr">
        <is>
          <t>M3250-10-EI / Fixed Dome (IP54)</t>
        </is>
      </c>
      <c r="G389" s="22" t="inlineStr">
        <is>
          <t>Adet (Pieces)</t>
        </is>
      </c>
      <c r="H389" s="63" t="n">
        <v>378.6336</v>
      </c>
      <c r="I389" s="22" t="inlineStr">
        <is>
          <t>EUR</t>
        </is>
      </c>
      <c r="J389" s="22" t="inlineStr"/>
      <c r="K389" s="63" t="n">
        <v>472.06297809341</v>
      </c>
      <c r="L389" s="22" t="inlineStr">
        <is>
          <t>4010.A</t>
        </is>
      </c>
      <c r="M389" s="22" t="n">
        <v>9</v>
      </c>
      <c r="N389" s="22" t="inlineStr">
        <is>
          <t>Üçyol-Buca metro (11 yeraltı istasyon + depo); DDP İzmir, KDV hariç; T2G=train-to-ground WiFi (URF kapsamında yok) [sayfa: HW Price Sheet]</t>
        </is>
      </c>
    </row>
    <row r="390">
      <c r="A390" s="22" t="inlineStr">
        <is>
          <t>R01947</t>
        </is>
      </c>
      <c r="B390" s="22" t="inlineStr">
        <is>
          <t>Izmir_Ucyol_Buca_Metro</t>
        </is>
      </c>
      <c r="C390" s="22" t="inlineStr">
        <is>
          <t>metro</t>
        </is>
      </c>
      <c r="D390" s="22" t="inlineStr">
        <is>
          <t>Cesa Bilişim (Honeywell)</t>
        </is>
      </c>
      <c r="E390" s="22" t="inlineStr">
        <is>
          <t>2021-05-24</t>
        </is>
      </c>
      <c r="F390" s="22" t="inlineStr">
        <is>
          <t>AVC Sensör mikrofon (HONEYWELL 581310)</t>
        </is>
      </c>
      <c r="G390" s="22" t="inlineStr">
        <is>
          <t>adet</t>
        </is>
      </c>
      <c r="H390" s="63" t="n">
        <v>434.71</v>
      </c>
      <c r="I390" s="22" t="inlineStr">
        <is>
          <t>EUR</t>
        </is>
      </c>
      <c r="J390" s="22" t="inlineStr"/>
      <c r="K390" s="63" t="n">
        <v>540.563746539751</v>
      </c>
      <c r="L390" s="22" t="inlineStr">
        <is>
          <t>4008.H</t>
        </is>
      </c>
      <c r="M390" s="22" t="n">
        <v>6</v>
      </c>
      <c r="N390" s="22" t="inlineStr">
        <is>
          <t xml:space="preserve">Üçyol-Buca metro 11 ist.; malzeme fiyatı (indirimli), KDV hariç, montaj/kablo hariç; </t>
        </is>
      </c>
    </row>
    <row r="391">
      <c r="A391" s="22" t="inlineStr">
        <is>
          <t>R01948</t>
        </is>
      </c>
      <c r="B391" s="22" t="inlineStr">
        <is>
          <t>Izmir_Ucyol_Buca_Metro</t>
        </is>
      </c>
      <c r="C391" s="22" t="inlineStr">
        <is>
          <t>metro</t>
        </is>
      </c>
      <c r="D391" s="22" t="inlineStr">
        <is>
          <t>Cesa Bilişim (Honeywell)</t>
        </is>
      </c>
      <c r="E391" s="22" t="inlineStr">
        <is>
          <t>2021-05-24</t>
        </is>
      </c>
      <c r="F391" s="22" t="inlineStr">
        <is>
          <t>Modül sonu (EOL) (HONEYWELL 583496)</t>
        </is>
      </c>
      <c r="G391" s="22" t="inlineStr">
        <is>
          <t>adet</t>
        </is>
      </c>
      <c r="H391" s="63" t="n">
        <v>23.23</v>
      </c>
      <c r="I391" s="22" t="inlineStr">
        <is>
          <t>EUR</t>
        </is>
      </c>
      <c r="J391" s="22" t="inlineStr"/>
      <c r="K391" s="63" t="n">
        <v>28.88660447682</v>
      </c>
      <c r="L391" s="22" t="inlineStr">
        <is>
          <t>4008</t>
        </is>
      </c>
      <c r="M391" s="22" t="n">
        <v>7</v>
      </c>
      <c r="N391" s="22" t="inlineStr">
        <is>
          <t xml:space="preserve">Üçyol-Buca metro 11 ist.; malzeme fiyatı (indirimli), KDV hariç, montaj/kablo hariç; </t>
        </is>
      </c>
    </row>
    <row r="392">
      <c r="A392" s="22" t="inlineStr">
        <is>
          <t>R01949</t>
        </is>
      </c>
      <c r="B392" s="22" t="inlineStr">
        <is>
          <t>Izmir_Ucyol_Buca_Metro</t>
        </is>
      </c>
      <c r="C392" s="22" t="inlineStr">
        <is>
          <t>metro</t>
        </is>
      </c>
      <c r="D392" s="22" t="inlineStr">
        <is>
          <t>Cesa Bilişim (Honeywell)</t>
        </is>
      </c>
      <c r="E392" s="22" t="inlineStr">
        <is>
          <t>2021-05-24</t>
        </is>
      </c>
      <c r="F392" s="22" t="inlineStr">
        <is>
          <t>Dijital Anons İstasyonu DCS PLUS (583501.RE yerine tavsiye edilir) (HONEYWELL 583520)</t>
        </is>
      </c>
      <c r="G392" s="22" t="inlineStr">
        <is>
          <t>adet</t>
        </is>
      </c>
      <c r="H392" s="63" t="n">
        <v>863.79</v>
      </c>
      <c r="I392" s="22" t="inlineStr">
        <is>
          <t>EUR</t>
        </is>
      </c>
      <c r="J392" s="22" t="inlineStr"/>
      <c r="K392" s="63" t="n">
        <v>1074.1265639704</v>
      </c>
      <c r="L392" s="22" t="inlineStr">
        <is>
          <t>4008.H</t>
        </is>
      </c>
      <c r="M392" s="22" t="n">
        <v>2</v>
      </c>
      <c r="N392" s="22" t="inlineStr">
        <is>
          <t xml:space="preserve">Üçyol-Buca metro 11 ist.; malzeme fiyatı (indirimli), KDV hariç, montaj/kablo hariç; </t>
        </is>
      </c>
    </row>
    <row r="393">
      <c r="A393" s="22" t="inlineStr">
        <is>
          <t>R01951</t>
        </is>
      </c>
      <c r="B393" s="22" t="inlineStr">
        <is>
          <t>Izmir_Ucyol_Buca_Metro</t>
        </is>
      </c>
      <c r="C393" s="22" t="inlineStr">
        <is>
          <t>metro</t>
        </is>
      </c>
      <c r="D393" s="22" t="inlineStr">
        <is>
          <t>Cesa Bilişim (Honeywell)</t>
        </is>
      </c>
      <c r="E393" s="22" t="inlineStr">
        <is>
          <t>2021-05-24</t>
        </is>
      </c>
      <c r="F393" s="22" t="inlineStr">
        <is>
          <t>Acil durum güç Kaynağı PSU 24 V-2 (HONEYWELL 581722)</t>
        </is>
      </c>
      <c r="G393" s="22" t="inlineStr">
        <is>
          <t>adet</t>
        </is>
      </c>
      <c r="H393" s="63" t="n">
        <v>981.29</v>
      </c>
      <c r="I393" s="22" t="inlineStr">
        <is>
          <t>EUR</t>
        </is>
      </c>
      <c r="J393" s="22" t="inlineStr"/>
      <c r="K393" s="63" t="n">
        <v>1220.23831713554</v>
      </c>
      <c r="L393" s="22" t="inlineStr">
        <is>
          <t>4008</t>
        </is>
      </c>
      <c r="M393" s="22" t="n">
        <v>1</v>
      </c>
      <c r="N393" s="22" t="inlineStr">
        <is>
          <t xml:space="preserve">Üçyol-Buca metro 11 ist.; malzeme fiyatı (indirimli), KDV hariç, montaj/kablo hariç; </t>
        </is>
      </c>
    </row>
    <row r="394">
      <c r="A394" s="22" t="inlineStr">
        <is>
          <t>R01952</t>
        </is>
      </c>
      <c r="B394" s="22" t="inlineStr">
        <is>
          <t>Izmir_Ucyol_Buca_Metro</t>
        </is>
      </c>
      <c r="C394" s="22" t="inlineStr">
        <is>
          <t>metro</t>
        </is>
      </c>
      <c r="D394" s="22" t="inlineStr">
        <is>
          <t>Cesa Bilişim (Honeywell)</t>
        </is>
      </c>
      <c r="E394" s="22" t="inlineStr">
        <is>
          <t>2021-05-24</t>
        </is>
      </c>
      <c r="F394" s="22" t="inlineStr">
        <is>
          <t>Akü 12V / 105 Ah (HONEYWELL 581730)</t>
        </is>
      </c>
      <c r="G394" s="22" t="inlineStr">
        <is>
          <t>adet</t>
        </is>
      </c>
      <c r="H394" s="63" t="n">
        <v>273.97</v>
      </c>
      <c r="I394" s="22" t="inlineStr">
        <is>
          <t>EUR</t>
        </is>
      </c>
      <c r="J394" s="22" t="inlineStr"/>
      <c r="K394" s="63" t="n">
        <v>340.682868209831</v>
      </c>
      <c r="L394" s="22" t="inlineStr">
        <is>
          <t>4008</t>
        </is>
      </c>
      <c r="M394" s="22" t="n">
        <v>4</v>
      </c>
      <c r="N394" s="22" t="inlineStr">
        <is>
          <t xml:space="preserve">Üçyol-Buca metro 11 ist.; malzeme fiyatı (indirimli), KDV hariç, montaj/kablo hariç; </t>
        </is>
      </c>
    </row>
    <row r="395">
      <c r="A395" s="22" t="inlineStr">
        <is>
          <t>R01954</t>
        </is>
      </c>
      <c r="B395" s="22" t="inlineStr">
        <is>
          <t>Izmir_Ucyol_Buca_Metro</t>
        </is>
      </c>
      <c r="C395" s="22" t="inlineStr">
        <is>
          <t>metro</t>
        </is>
      </c>
      <c r="D395" s="22" t="inlineStr">
        <is>
          <t>Cesa Bilişim (Honeywell)</t>
        </is>
      </c>
      <c r="E395" s="22" t="inlineStr">
        <is>
          <t>2021-05-24</t>
        </is>
      </c>
      <c r="F395" s="22" t="inlineStr">
        <is>
          <t>Güç Amplifikatörü 4x300W, 100V (HONEYWELL 580248.11)</t>
        </is>
      </c>
      <c r="G395" s="22" t="inlineStr">
        <is>
          <t>adet</t>
        </is>
      </c>
      <c r="H395" s="63" t="n">
        <v>1898.89</v>
      </c>
      <c r="I395" s="22" t="inlineStr">
        <is>
          <t>EUR</t>
        </is>
      </c>
      <c r="J395" s="22" t="inlineStr"/>
      <c r="K395" s="63" t="n">
        <v>2361.27784653417</v>
      </c>
      <c r="L395" s="22" t="inlineStr">
        <is>
          <t>4008.A</t>
        </is>
      </c>
      <c r="M395" s="22" t="n">
        <v>1</v>
      </c>
      <c r="N395" s="22" t="inlineStr">
        <is>
          <t xml:space="preserve">Üçyol-Buca metro 11 ist.; malzeme fiyatı (indirimli), KDV hariç, montaj/kablo hariç; </t>
        </is>
      </c>
    </row>
    <row r="396">
      <c r="A396" s="22" t="inlineStr">
        <is>
          <t>R01956</t>
        </is>
      </c>
      <c r="B396" s="22" t="inlineStr">
        <is>
          <t>Izmir_Ucyol_Buca_Metro</t>
        </is>
      </c>
      <c r="C396" s="22" t="inlineStr">
        <is>
          <t>metro</t>
        </is>
      </c>
      <c r="D396" s="22" t="inlineStr">
        <is>
          <t>Cesa Bilişim (Honeywell)</t>
        </is>
      </c>
      <c r="E396" s="22" t="inlineStr">
        <is>
          <t>2021-05-24</t>
        </is>
      </c>
      <c r="F396" s="22" t="inlineStr">
        <is>
          <t>Duvar tipi hoparlör DL-A 10-165/T (HONEYWELL 582423)</t>
        </is>
      </c>
      <c r="G396" s="22" t="inlineStr">
        <is>
          <t>adet</t>
        </is>
      </c>
      <c r="H396" s="63" t="n">
        <v>38.74</v>
      </c>
      <c r="I396" s="22" t="inlineStr">
        <is>
          <t>EUR</t>
        </is>
      </c>
      <c r="J396" s="22" t="inlineStr"/>
      <c r="K396" s="63" t="n">
        <v>48.1733558946193</v>
      </c>
      <c r="L396" s="22" t="inlineStr">
        <is>
          <t>4008.A</t>
        </is>
      </c>
      <c r="M396" s="22" t="n">
        <v>1</v>
      </c>
      <c r="N396" s="22" t="inlineStr">
        <is>
          <t xml:space="preserve">Üçyol-Buca metro 11 ist.; malzeme fiyatı (indirimli), KDV hariç, montaj/kablo hariç; </t>
        </is>
      </c>
    </row>
    <row r="397">
      <c r="A397" s="22" t="inlineStr">
        <is>
          <t>R01959</t>
        </is>
      </c>
      <c r="B397" s="22" t="inlineStr">
        <is>
          <t>Izmir_Ucyol_Buca_Metro</t>
        </is>
      </c>
      <c r="C397" s="22" t="inlineStr">
        <is>
          <t>metro</t>
        </is>
      </c>
      <c r="D397" s="22" t="inlineStr">
        <is>
          <t>Cesa Bilişim (Honeywell)</t>
        </is>
      </c>
      <c r="E397" s="22" t="inlineStr">
        <is>
          <t>2021-05-24</t>
        </is>
      </c>
      <c r="F397" s="22" t="inlineStr">
        <is>
          <t>1 Monitör çıkışlı bilgisayar ( 22'' monitör + klavye + yazıcı dahil ) (HP/DELL WS1)</t>
        </is>
      </c>
      <c r="G397" s="22" t="inlineStr">
        <is>
          <t>adet</t>
        </is>
      </c>
      <c r="H397" s="63" t="n">
        <v>1760</v>
      </c>
      <c r="I397" s="22" t="inlineStr">
        <is>
          <t>EUR</t>
        </is>
      </c>
      <c r="J397" s="22" t="inlineStr"/>
      <c r="K397" s="63" t="n">
        <v>2188.56753677155</v>
      </c>
      <c r="L397" s="22" t="inlineStr">
        <is>
          <t>4014</t>
        </is>
      </c>
      <c r="M397" s="22" t="n">
        <v>4</v>
      </c>
      <c r="N397" s="22" t="inlineStr">
        <is>
          <t xml:space="preserve">Üçyol-Buca metro 11 ist.; malzeme fiyatı (indirimli), KDV hariç, montaj/kablo hariç; </t>
        </is>
      </c>
    </row>
    <row r="398">
      <c r="A398" s="22" t="inlineStr">
        <is>
          <t>R01960</t>
        </is>
      </c>
      <c r="B398" s="22" t="inlineStr">
        <is>
          <t>Izmir_Ucyol_Buca_Metro</t>
        </is>
      </c>
      <c r="C398" s="22" t="inlineStr">
        <is>
          <t>metro</t>
        </is>
      </c>
      <c r="D398" s="22" t="inlineStr">
        <is>
          <t>Cesa Bilişim (Honeywell)</t>
        </is>
      </c>
      <c r="E398" s="22" t="inlineStr">
        <is>
          <t>2021-05-24</t>
        </is>
      </c>
      <c r="F398" s="22" t="inlineStr">
        <is>
          <t>PRO3200 Akıllı Kontrol Ünitesi - Mercury Powered (HONEYWELL PRO32IC)</t>
        </is>
      </c>
      <c r="G398" s="22" t="inlineStr">
        <is>
          <t>adet</t>
        </is>
      </c>
      <c r="H398" s="63" t="n">
        <v>398.82</v>
      </c>
      <c r="I398" s="22" t="inlineStr">
        <is>
          <t>EUR</t>
        </is>
      </c>
      <c r="J398" s="22" t="inlineStr"/>
      <c r="K398" s="63" t="n">
        <v>495.934377849562</v>
      </c>
      <c r="L398" s="22" t="inlineStr">
        <is>
          <t>4014</t>
        </is>
      </c>
      <c r="M398" s="22" t="n">
        <v>1</v>
      </c>
      <c r="N398" s="22" t="inlineStr">
        <is>
          <t xml:space="preserve">Üçyol-Buca metro 11 ist.; malzeme fiyatı (indirimli), KDV hariç, montaj/kablo hariç; </t>
        </is>
      </c>
    </row>
    <row r="399">
      <c r="A399" s="22" t="inlineStr">
        <is>
          <t>R01961</t>
        </is>
      </c>
      <c r="B399" s="22" t="inlineStr">
        <is>
          <t>Izmir_Ucyol_Buca_Metro</t>
        </is>
      </c>
      <c r="C399" s="22" t="inlineStr">
        <is>
          <t>metro</t>
        </is>
      </c>
      <c r="D399" s="22" t="inlineStr">
        <is>
          <t>Cesa Bilişim (Honeywell)</t>
        </is>
      </c>
      <c r="E399" s="22" t="inlineStr">
        <is>
          <t>2021-05-24</t>
        </is>
      </c>
      <c r="F399" s="22" t="inlineStr">
        <is>
          <t>PRO3000 Akıllı Kontrol Ünitesi - 2 Kapı (HONEYWELL PRO3000)</t>
        </is>
      </c>
      <c r="G399" s="22" t="inlineStr">
        <is>
          <t>adet</t>
        </is>
      </c>
      <c r="H399" s="63" t="n">
        <v>185</v>
      </c>
      <c r="I399" s="22" t="inlineStr">
        <is>
          <t>EUR</t>
        </is>
      </c>
      <c r="J399" s="22" t="inlineStr"/>
      <c r="K399" s="63" t="n">
        <v>230.048292217464</v>
      </c>
      <c r="L399" s="22" t="inlineStr">
        <is>
          <t>4014</t>
        </is>
      </c>
      <c r="M399" s="22" t="n">
        <v>6</v>
      </c>
      <c r="N399" s="22" t="inlineStr">
        <is>
          <t xml:space="preserve">Üçyol-Buca metro 11 ist.; malzeme fiyatı (indirimli), KDV hariç, montaj/kablo hariç; </t>
        </is>
      </c>
    </row>
    <row r="400">
      <c r="A400" s="22" t="inlineStr">
        <is>
          <t>R01966</t>
        </is>
      </c>
      <c r="B400" s="22" t="inlineStr">
        <is>
          <t>Izmir_Ucyol_Buca_Metro</t>
        </is>
      </c>
      <c r="C400" s="22" t="inlineStr">
        <is>
          <t>metro</t>
        </is>
      </c>
      <c r="D400" s="22" t="inlineStr">
        <is>
          <t>Cesa Bilişim (Honeywell)</t>
        </is>
      </c>
      <c r="E400" s="22" t="inlineStr">
        <is>
          <t>2021-05-24</t>
        </is>
      </c>
      <c r="F400" s="22" t="inlineStr">
        <is>
          <t>OP10 Proximity mullion reader. Typical read range 2-3". Optical tamper, host LED and internal buzzer, c/w 3 bezels - Black, Charcoal Grey &amp; Ivory. Honeywell logo (HONEYWELL  OP10HONS)</t>
        </is>
      </c>
      <c r="G400" s="22" t="inlineStr">
        <is>
          <t>adet</t>
        </is>
      </c>
      <c r="H400" s="63" t="n">
        <v>47.53</v>
      </c>
      <c r="I400" s="22" t="inlineStr">
        <is>
          <t>EUR</t>
        </is>
      </c>
      <c r="J400" s="22" t="inlineStr"/>
      <c r="K400" s="63" t="n">
        <v>59.1037585356544</v>
      </c>
      <c r="L400" s="22" t="inlineStr">
        <is>
          <t>4014.A</t>
        </is>
      </c>
      <c r="M400" s="22" t="n">
        <v>8</v>
      </c>
      <c r="N400" s="22" t="inlineStr">
        <is>
          <t xml:space="preserve">Üçyol-Buca metro 11 ist.; malzeme fiyatı (indirimli), KDV hariç, montaj/kablo hariç; </t>
        </is>
      </c>
    </row>
    <row r="401">
      <c r="A401" s="22" t="inlineStr">
        <is>
          <t>R01967</t>
        </is>
      </c>
      <c r="B401" s="22" t="inlineStr">
        <is>
          <t>Izmir_Ucyol_Buca_Metro</t>
        </is>
      </c>
      <c r="C401" s="22" t="inlineStr">
        <is>
          <t>metro</t>
        </is>
      </c>
      <c r="D401" s="22" t="inlineStr">
        <is>
          <t>Cesa Bilişim (Honeywell)</t>
        </is>
      </c>
      <c r="E401" s="22" t="inlineStr">
        <is>
          <t>2021-05-24</t>
        </is>
      </c>
      <c r="F401" s="22" t="inlineStr">
        <is>
          <t>YALE Manyetik kilit, 12-24 VDC, kapı durumu izleme kontaklı, 250 kg tutma kapasiteli (YALE U250M)</t>
        </is>
      </c>
      <c r="G401" s="22" t="inlineStr">
        <is>
          <t>adet</t>
        </is>
      </c>
      <c r="H401" s="63" t="n">
        <v>32.73</v>
      </c>
      <c r="I401" s="22" t="inlineStr">
        <is>
          <t>EUR</t>
        </is>
      </c>
      <c r="J401" s="22" t="inlineStr"/>
      <c r="K401" s="63" t="n">
        <v>40.6998951582573</v>
      </c>
      <c r="L401" s="22" t="inlineStr">
        <is>
          <t>4014.A</t>
        </is>
      </c>
      <c r="M401" s="22" t="n">
        <v>8</v>
      </c>
      <c r="N401" s="22" t="inlineStr">
        <is>
          <t xml:space="preserve">Üçyol-Buca metro 11 ist.; malzeme fiyatı (indirimli), KDV hariç, montaj/kablo hariç; </t>
        </is>
      </c>
    </row>
    <row r="402">
      <c r="A402" s="22" t="inlineStr">
        <is>
          <t>R01968</t>
        </is>
      </c>
      <c r="B402" s="22" t="inlineStr">
        <is>
          <t>Izmir_Ucyol_Buca_Metro</t>
        </is>
      </c>
      <c r="C402" s="22" t="inlineStr">
        <is>
          <t>metro</t>
        </is>
      </c>
      <c r="D402" s="22" t="inlineStr">
        <is>
          <t>Cesa Bilişim (Honeywell)</t>
        </is>
      </c>
      <c r="E402" s="22" t="inlineStr">
        <is>
          <t>2021-05-24</t>
        </is>
      </c>
      <c r="F402" s="22" t="inlineStr">
        <is>
          <t>YALE L&amp;Z tipi braket (YALE U251-LZ)</t>
        </is>
      </c>
      <c r="G402" s="22" t="inlineStr">
        <is>
          <t>adet</t>
        </is>
      </c>
      <c r="H402" s="63" t="n">
        <v>17.27</v>
      </c>
      <c r="I402" s="22" t="inlineStr">
        <is>
          <t>EUR</t>
        </is>
      </c>
      <c r="J402" s="22" t="inlineStr"/>
      <c r="K402" s="63" t="n">
        <v>21.4753189545708</v>
      </c>
      <c r="L402" s="22" t="inlineStr">
        <is>
          <t>4014</t>
        </is>
      </c>
      <c r="M402" s="22" t="n">
        <v>7</v>
      </c>
      <c r="N402" s="22" t="inlineStr">
        <is>
          <t xml:space="preserve">Üçyol-Buca metro 11 ist.; malzeme fiyatı (indirimli), KDV hariç, montaj/kablo hariç; </t>
        </is>
      </c>
    </row>
    <row r="403">
      <c r="A403" s="22" t="inlineStr">
        <is>
          <t>R01970</t>
        </is>
      </c>
      <c r="B403" s="22" t="inlineStr">
        <is>
          <t>Izmir_Ucyol_Buca_Metro</t>
        </is>
      </c>
      <c r="C403" s="22" t="inlineStr">
        <is>
          <t>metro</t>
        </is>
      </c>
      <c r="D403" s="22" t="inlineStr">
        <is>
          <t>Cesa Bilişim (Honeywell)</t>
        </is>
      </c>
      <c r="E403" s="22" t="inlineStr">
        <is>
          <t>2021-05-24</t>
        </is>
      </c>
      <c r="F403" s="22" t="inlineStr">
        <is>
          <t>Resetlenebilir tip acil çıkış butonu, koruyucu kapaklı, çift kontaklı (ASSA ABLOY DCP-32)</t>
        </is>
      </c>
      <c r="G403" s="22" t="inlineStr">
        <is>
          <t>adet</t>
        </is>
      </c>
      <c r="H403" s="63" t="n">
        <v>15.45</v>
      </c>
      <c r="I403" s="22" t="inlineStr">
        <is>
          <t>EUR</t>
        </is>
      </c>
      <c r="J403" s="22" t="inlineStr"/>
      <c r="K403" s="63" t="n">
        <v>19.2121411608639</v>
      </c>
      <c r="L403" s="22" t="inlineStr">
        <is>
          <t>4014.A</t>
        </is>
      </c>
      <c r="M403" s="22" t="n">
        <v>7</v>
      </c>
      <c r="N403" s="22" t="inlineStr">
        <is>
          <t xml:space="preserve">Üçyol-Buca metro 11 ist.; malzeme fiyatı (indirimli), KDV hariç, montaj/kablo hariç; </t>
        </is>
      </c>
    </row>
    <row r="404">
      <c r="A404" s="22" t="inlineStr">
        <is>
          <t>R01972</t>
        </is>
      </c>
      <c r="B404" s="22" t="inlineStr">
        <is>
          <t>Izmir_Ucyol_Buca_Metro</t>
        </is>
      </c>
      <c r="C404" s="22" t="inlineStr">
        <is>
          <t>metro</t>
        </is>
      </c>
      <c r="D404" s="22" t="inlineStr">
        <is>
          <t>Cesa Bilişim (Honeywell)</t>
        </is>
      </c>
      <c r="E404" s="22" t="inlineStr">
        <is>
          <t>2021-05-24</t>
        </is>
      </c>
      <c r="F404" s="22" t="inlineStr">
        <is>
          <t>MAXPRO VMS Base Software (HONEYWELL HNMSWVMS)</t>
        </is>
      </c>
      <c r="G404" s="22" t="inlineStr">
        <is>
          <t>adet</t>
        </is>
      </c>
      <c r="H404" s="63" t="n">
        <v>2558.34</v>
      </c>
      <c r="I404" s="22" t="inlineStr">
        <is>
          <t>EUR</t>
        </is>
      </c>
      <c r="J404" s="22" t="inlineStr"/>
      <c r="K404" s="63" t="n">
        <v>3181.30674546826</v>
      </c>
      <c r="L404" s="22" t="inlineStr">
        <is>
          <t>4010.J</t>
        </is>
      </c>
      <c r="M404" s="22" t="n">
        <v>1</v>
      </c>
      <c r="N404" s="22" t="inlineStr">
        <is>
          <t xml:space="preserve">Üçyol-Buca metro 11 ist.; malzeme fiyatı (indirimli), KDV hariç, montaj/kablo hariç; </t>
        </is>
      </c>
    </row>
    <row r="405">
      <c r="A405" s="22" t="inlineStr">
        <is>
          <t>R01975</t>
        </is>
      </c>
      <c r="B405" s="22" t="inlineStr">
        <is>
          <t>Izmir_Ucyol_Buca_Metro</t>
        </is>
      </c>
      <c r="C405" s="22" t="inlineStr">
        <is>
          <t>metro</t>
        </is>
      </c>
      <c r="D405" s="22" t="inlineStr">
        <is>
          <t>Cesa Bilişim (Honeywell)</t>
        </is>
      </c>
      <c r="E405" s="22" t="inlineStr">
        <is>
          <t>2021-05-24</t>
        </is>
      </c>
      <c r="F405" s="22" t="inlineStr">
        <is>
          <t>MVMS Redundant System (HONEYWELL HNMSWRED)</t>
        </is>
      </c>
      <c r="G405" s="22" t="inlineStr">
        <is>
          <t>adet</t>
        </is>
      </c>
      <c r="H405" s="63" t="n">
        <v>1313.58</v>
      </c>
      <c r="I405" s="22" t="inlineStr">
        <is>
          <t>EUR</t>
        </is>
      </c>
      <c r="J405" s="22" t="inlineStr"/>
      <c r="K405" s="63" t="n">
        <v>1633.44235508658</v>
      </c>
      <c r="L405" s="22" t="inlineStr">
        <is>
          <t>4010.J</t>
        </is>
      </c>
      <c r="M405" s="22" t="n">
        <v>1</v>
      </c>
      <c r="N405" s="22" t="inlineStr">
        <is>
          <t xml:space="preserve">Üçyol-Buca metro 11 ist.; malzeme fiyatı (indirimli), KDV hariç, montaj/kablo hariç; </t>
        </is>
      </c>
    </row>
    <row r="406">
      <c r="A406" s="22" t="inlineStr">
        <is>
          <t>R01977</t>
        </is>
      </c>
      <c r="B406" s="22" t="inlineStr">
        <is>
          <t>Izmir_Ucyol_Buca_Metro</t>
        </is>
      </c>
      <c r="C406" s="22" t="inlineStr">
        <is>
          <t>metro</t>
        </is>
      </c>
      <c r="D406" s="22" t="inlineStr">
        <is>
          <t>Cesa Bilişim (Honeywell)</t>
        </is>
      </c>
      <c r="E406" s="22" t="inlineStr">
        <is>
          <t>2021-05-24</t>
        </is>
      </c>
      <c r="F406" s="22" t="inlineStr">
        <is>
          <t>Honeywell Server, 6x8TB, SATA HDD (36.37 TB RAID5) (HONEYWELL HNMSPEC48T8)</t>
        </is>
      </c>
      <c r="G406" s="22" t="inlineStr">
        <is>
          <t>adet</t>
        </is>
      </c>
      <c r="H406" s="63" t="n">
        <v>6071</v>
      </c>
      <c r="I406" s="22" t="inlineStr">
        <is>
          <t>EUR</t>
        </is>
      </c>
      <c r="J406" s="22" t="inlineStr"/>
      <c r="K406" s="63" t="n">
        <v>7549.31449757959</v>
      </c>
      <c r="L406" s="22" t="inlineStr">
        <is>
          <t>4010.J</t>
        </is>
      </c>
      <c r="M406" s="22" t="n">
        <v>1</v>
      </c>
      <c r="N406" s="22" t="inlineStr">
        <is>
          <t xml:space="preserve">Üçyol-Buca metro 11 ist.; malzeme fiyatı (indirimli), KDV hariç, montaj/kablo hariç; </t>
        </is>
      </c>
    </row>
    <row r="407">
      <c r="A407" s="22" t="inlineStr">
        <is>
          <t>R01980</t>
        </is>
      </c>
      <c r="B407" s="22" t="inlineStr">
        <is>
          <t>Izmir_Ucyol_Buca_Metro</t>
        </is>
      </c>
      <c r="C407" s="22" t="inlineStr">
        <is>
          <t>metro</t>
        </is>
      </c>
      <c r="D407" s="22" t="inlineStr">
        <is>
          <t>Cesa Bilişim (Honeywell)</t>
        </is>
      </c>
      <c r="E407" s="22" t="inlineStr">
        <is>
          <t>2021-05-24</t>
        </is>
      </c>
      <c r="F407" s="22" t="inlineStr">
        <is>
          <t>Network TDN Low Light WDR IR Outdoor Dome Camera, 1/2.8” 2 Megapixel progressive scan CMOS, 2.7-13.5 mm MFZ, 4 IR LEDs, PoE+, H.265+,Onboard video analytics events (HONEYWELL  H4W2GR1V)</t>
        </is>
      </c>
      <c r="G407" s="22" t="inlineStr">
        <is>
          <t>adet</t>
        </is>
      </c>
      <c r="H407" s="63" t="n">
        <v>280.18</v>
      </c>
      <c r="I407" s="22" t="inlineStr">
        <is>
          <t>EUR</t>
        </is>
      </c>
      <c r="J407" s="22" t="inlineStr"/>
      <c r="K407" s="63" t="n">
        <v>348.405029802644</v>
      </c>
      <c r="L407" s="22" t="inlineStr">
        <is>
          <t>4010.A</t>
        </is>
      </c>
      <c r="M407" s="22" t="n">
        <v>2</v>
      </c>
      <c r="N407" s="22" t="inlineStr">
        <is>
          <t xml:space="preserve">Üçyol-Buca metro 11 ist.; malzeme fiyatı (indirimli), KDV hariç, montaj/kablo hariç; </t>
        </is>
      </c>
    </row>
    <row r="408">
      <c r="A408" s="22" t="inlineStr">
        <is>
          <t>R01983</t>
        </is>
      </c>
      <c r="B408" s="22" t="inlineStr">
        <is>
          <t>Izmir_Ucyol_Buca_Metro</t>
        </is>
      </c>
      <c r="C408" s="22" t="inlineStr">
        <is>
          <t>metro</t>
        </is>
      </c>
      <c r="D408" s="22" t="inlineStr">
        <is>
          <t>Cesa Bilişim (Honeywell)</t>
        </is>
      </c>
      <c r="E408" s="22" t="inlineStr">
        <is>
          <t>2021-05-24</t>
        </is>
      </c>
      <c r="F408" s="22" t="inlineStr">
        <is>
          <t>PTZ Wall mount (HONEYWELL HDZWM1)</t>
        </is>
      </c>
      <c r="G408" s="22" t="inlineStr">
        <is>
          <t>adet</t>
        </is>
      </c>
      <c r="H408" s="63" t="n">
        <v>32.46</v>
      </c>
      <c r="I408" s="22" t="inlineStr">
        <is>
          <t>EUR</t>
        </is>
      </c>
      <c r="J408" s="22" t="inlineStr"/>
      <c r="K408" s="63" t="n">
        <v>40.364149002048</v>
      </c>
      <c r="L408" s="22" t="inlineStr">
        <is>
          <t>4010.I</t>
        </is>
      </c>
      <c r="M408" s="22" t="n">
        <v>8</v>
      </c>
      <c r="N408" s="22" t="inlineStr">
        <is>
          <t xml:space="preserve">Üçyol-Buca metro 11 ist.; malzeme fiyatı (indirimli), KDV hariç, montaj/kablo hariç; </t>
        </is>
      </c>
    </row>
    <row r="409">
      <c r="A409" s="22" t="inlineStr">
        <is>
          <t>R01987</t>
        </is>
      </c>
      <c r="B409" s="22" t="inlineStr">
        <is>
          <t>Izmir_Ucyol_Buca_Metro</t>
        </is>
      </c>
      <c r="C409" s="22" t="inlineStr">
        <is>
          <t>metro</t>
        </is>
      </c>
      <c r="D409" s="22" t="inlineStr">
        <is>
          <t>Merit İletişim</t>
        </is>
      </c>
      <c r="E409" s="22" t="inlineStr">
        <is>
          <t>2021-05-27</t>
        </is>
      </c>
      <c r="F409" s="22" t="inlineStr">
        <is>
          <t>Sistem tasarımı, arayüzleri, projelendirme, dökümantasyon,EMC, RAMS, sunumlar vb. komple</t>
        </is>
      </c>
      <c r="G409" s="22" t="inlineStr">
        <is>
          <t>takım</t>
        </is>
      </c>
      <c r="H409" s="63" t="n">
        <v>6000</v>
      </c>
      <c r="I409" s="22" t="inlineStr">
        <is>
          <t>EUR</t>
        </is>
      </c>
      <c r="J409" s="22" t="inlineStr"/>
      <c r="K409" s="63" t="n">
        <v>7461.02569353938</v>
      </c>
      <c r="L409" s="22" t="inlineStr">
        <is>
          <t>4004</t>
        </is>
      </c>
      <c r="M409" s="22" t="n">
        <v>1</v>
      </c>
      <c r="N409" s="22" t="inlineStr">
        <is>
          <t>Üçyol-Buca metro telefon sistemi (Alcatel-Lucent OmniPCX, 11 ist.+depo+merkez); KDV hariç; bölüm: TASARIM</t>
        </is>
      </c>
    </row>
    <row r="410">
      <c r="A410" s="22" t="inlineStr">
        <is>
          <t>R01999</t>
        </is>
      </c>
      <c r="B410" s="22" t="inlineStr">
        <is>
          <t>Izmir_Ucyol_Buca_Metro</t>
        </is>
      </c>
      <c r="C410" s="22" t="inlineStr">
        <is>
          <t>metro</t>
        </is>
      </c>
      <c r="D410" s="22" t="inlineStr">
        <is>
          <t>Merit İletişim</t>
        </is>
      </c>
      <c r="E410" s="22" t="inlineStr">
        <is>
          <t>2021-05-27</t>
        </is>
      </c>
      <c r="F410" s="22" t="inlineStr">
        <is>
          <t>Santral Kabin (IP 54, 42U, fanlı) (LN 42RK6855 IND)</t>
        </is>
      </c>
      <c r="G410" s="22" t="inlineStr">
        <is>
          <t>ad</t>
        </is>
      </c>
      <c r="H410" s="63" t="n">
        <v>949.9</v>
      </c>
      <c r="I410" s="22" t="inlineStr">
        <is>
          <t>EUR</t>
        </is>
      </c>
      <c r="J410" s="22" t="inlineStr"/>
      <c r="K410" s="63" t="n">
        <v>1181.20471771551</v>
      </c>
      <c r="L410" s="22" t="inlineStr">
        <is>
          <t>4005.I</t>
        </is>
      </c>
      <c r="M410" s="22" t="n">
        <v>4</v>
      </c>
      <c r="N410" s="22" t="inlineStr">
        <is>
          <t>Üçyol-Buca metro telefon sistemi (Alcatel-Lucent OmniPCX, 11 ist.+depo+merkez); KDV hariç; bölüm: İSTASYON-1</t>
        </is>
      </c>
    </row>
    <row r="411">
      <c r="A411" s="22" t="inlineStr">
        <is>
          <t>R02005</t>
        </is>
      </c>
      <c r="B411" s="22" t="inlineStr">
        <is>
          <t>Izmir_Ucyol_Buca_Metro</t>
        </is>
      </c>
      <c r="C411" s="22" t="inlineStr">
        <is>
          <t>metro</t>
        </is>
      </c>
      <c r="D411" s="22" t="inlineStr">
        <is>
          <t>Merit İletişim</t>
        </is>
      </c>
      <c r="E411" s="22" t="inlineStr">
        <is>
          <t>2021-05-27</t>
        </is>
      </c>
      <c r="F411" s="22" t="inlineStr">
        <is>
          <t>Acil durum tel- gömme tip IP 66- Teleindustria TEL249M1</t>
        </is>
      </c>
      <c r="G411" s="22" t="inlineStr">
        <is>
          <t>ad</t>
        </is>
      </c>
      <c r="H411" s="63" t="n">
        <v>498</v>
      </c>
      <c r="I411" s="22" t="inlineStr">
        <is>
          <t>EUR</t>
        </is>
      </c>
      <c r="J411" s="22" t="inlineStr"/>
      <c r="K411" s="63" t="n">
        <v>619.265132563768</v>
      </c>
      <c r="L411" s="22" t="inlineStr">
        <is>
          <t>4005.A</t>
        </is>
      </c>
      <c r="M411" s="22" t="n">
        <v>6</v>
      </c>
      <c r="N411" s="22" t="inlineStr">
        <is>
          <t>Üçyol-Buca metro telefon sistemi (Alcatel-Lucent OmniPCX, 11 ist.+depo+merkez); KDV hariç; bölüm: İSTASYON-1</t>
        </is>
      </c>
    </row>
    <row r="412">
      <c r="A412" s="22" t="inlineStr">
        <is>
          <t>R02008</t>
        </is>
      </c>
      <c r="B412" s="22" t="inlineStr">
        <is>
          <t>Izmir_Ucyol_Buca_Metro</t>
        </is>
      </c>
      <c r="C412" s="22" t="inlineStr">
        <is>
          <t>metro</t>
        </is>
      </c>
      <c r="D412" s="22" t="inlineStr">
        <is>
          <t>Merit İletişim</t>
        </is>
      </c>
      <c r="E412" s="22" t="inlineStr">
        <is>
          <t>2021-05-27</t>
        </is>
      </c>
      <c r="F412" s="22" t="inlineStr">
        <is>
          <t>İdare tel- analog- SOR-ofis-  Gigaset DA310</t>
        </is>
      </c>
      <c r="G412" s="22" t="inlineStr">
        <is>
          <t>ad</t>
        </is>
      </c>
      <c r="H412" s="63" t="n">
        <v>30</v>
      </c>
      <c r="I412" s="22" t="inlineStr">
        <is>
          <t>EUR</t>
        </is>
      </c>
      <c r="J412" s="22" t="inlineStr"/>
      <c r="K412" s="63" t="n">
        <v>37.3051284676969</v>
      </c>
      <c r="L412" s="22" t="inlineStr">
        <is>
          <t>4005.G</t>
        </is>
      </c>
      <c r="M412" s="22" t="n">
        <v>1</v>
      </c>
      <c r="N412" s="22" t="inlineStr">
        <is>
          <t>Üçyol-Buca metro telefon sistemi (Alcatel-Lucent OmniPCX, 11 ist.+depo+merkez); KDV hariç; bölüm: İSTASYON-1</t>
        </is>
      </c>
    </row>
    <row r="413">
      <c r="A413" s="22" t="inlineStr">
        <is>
          <t>R02010</t>
        </is>
      </c>
      <c r="B413" s="22" t="inlineStr">
        <is>
          <t>Izmir_Ucyol_Buca_Metro</t>
        </is>
      </c>
      <c r="C413" s="22" t="inlineStr">
        <is>
          <t>metro</t>
        </is>
      </c>
      <c r="D413" s="22" t="inlineStr">
        <is>
          <t>Merit İletişim</t>
        </is>
      </c>
      <c r="E413" s="22" t="inlineStr">
        <is>
          <t>2021-05-27</t>
        </is>
      </c>
      <c r="F413" s="22" t="inlineStr">
        <is>
          <t>Sayısal tel- SOR-teknik oda Alcatel 8039</t>
        </is>
      </c>
      <c r="G413" s="22" t="inlineStr">
        <is>
          <t>ad</t>
        </is>
      </c>
      <c r="H413" s="63" t="n">
        <v>157.05</v>
      </c>
      <c r="I413" s="22" t="inlineStr">
        <is>
          <t>EUR</t>
        </is>
      </c>
      <c r="J413" s="22" t="inlineStr"/>
      <c r="K413" s="63" t="n">
        <v>195.292347528393</v>
      </c>
      <c r="L413" s="22" t="inlineStr">
        <is>
          <t>4005.G</t>
        </is>
      </c>
      <c r="M413" s="22" t="n">
        <v>2</v>
      </c>
      <c r="N413" s="22" t="inlineStr">
        <is>
          <t>Üçyol-Buca metro telefon sistemi (Alcatel-Lucent OmniPCX, 11 ist.+depo+merkez); KDV hariç; bölüm: İSTASYON-1</t>
        </is>
      </c>
    </row>
    <row r="414">
      <c r="A414" s="22" t="inlineStr">
        <is>
          <t>R02011</t>
        </is>
      </c>
      <c r="B414" s="22" t="inlineStr">
        <is>
          <t>Izmir_Ucyol_Buca_Metro</t>
        </is>
      </c>
      <c r="C414" s="22" t="inlineStr">
        <is>
          <t>metro</t>
        </is>
      </c>
      <c r="D414" s="22" t="inlineStr">
        <is>
          <t>Merit İletişim</t>
        </is>
      </c>
      <c r="E414" s="22" t="inlineStr">
        <is>
          <t>2021-05-27</t>
        </is>
      </c>
      <c r="F414" s="22" t="inlineStr">
        <is>
          <t>Test ve Devreye Alma</t>
        </is>
      </c>
      <c r="G414" s="22" t="inlineStr">
        <is>
          <t>set</t>
        </is>
      </c>
      <c r="H414" s="63" t="n">
        <v>2500</v>
      </c>
      <c r="I414" s="22" t="inlineStr">
        <is>
          <t>EUR</t>
        </is>
      </c>
      <c r="J414" s="22" t="inlineStr"/>
      <c r="K414" s="63" t="n">
        <v>3108.76070564141</v>
      </c>
      <c r="L414" s="22" t="inlineStr">
        <is>
          <t>4005</t>
        </is>
      </c>
      <c r="M414" s="22" t="n">
        <v>1</v>
      </c>
      <c r="N414" s="22" t="inlineStr">
        <is>
          <t>Üçyol-Buca metro telefon sistemi (Alcatel-Lucent OmniPCX, 11 ist.+depo+merkez); KDV hariç; bölüm: İSTASYON-1</t>
        </is>
      </c>
    </row>
    <row r="415">
      <c r="A415" s="22" t="inlineStr">
        <is>
          <t>R02047</t>
        </is>
      </c>
      <c r="B415" s="22" t="inlineStr">
        <is>
          <t>Izmir_Ucyol_Buca_Metro</t>
        </is>
      </c>
      <c r="C415" s="22" t="inlineStr">
        <is>
          <t>metro</t>
        </is>
      </c>
      <c r="D415" s="22" t="inlineStr">
        <is>
          <t>Merit İletişim</t>
        </is>
      </c>
      <c r="E415" s="22" t="inlineStr">
        <is>
          <t>2021-05-27</t>
        </is>
      </c>
      <c r="F415" s="22" t="inlineStr">
        <is>
          <t>Ses Kayıt Server</t>
        </is>
      </c>
      <c r="G415" s="22" t="inlineStr">
        <is>
          <t>ad</t>
        </is>
      </c>
      <c r="H415" s="63" t="n">
        <v>4000</v>
      </c>
      <c r="I415" s="22" t="inlineStr">
        <is>
          <t>EUR</t>
        </is>
      </c>
      <c r="J415" s="22" t="inlineStr"/>
      <c r="K415" s="63" t="n">
        <v>4974.01712902625</v>
      </c>
      <c r="L415" s="22" t="inlineStr">
        <is>
          <t>4005.I</t>
        </is>
      </c>
      <c r="M415" s="22" t="n">
        <v>1</v>
      </c>
      <c r="N415" s="22" t="inlineStr">
        <is>
          <t>Üçyol-Buca metro telefon sistemi (Alcatel-Lucent OmniPCX, 11 ist.+depo+merkez); KDV hariç; bölüm: MERKEZ</t>
        </is>
      </c>
    </row>
    <row r="416">
      <c r="A416" s="22" t="inlineStr">
        <is>
          <t>R02056</t>
        </is>
      </c>
      <c r="B416" s="22" t="inlineStr">
        <is>
          <t>Izmir_Ucyol_Buca_Metro</t>
        </is>
      </c>
      <c r="C416" s="22" t="inlineStr">
        <is>
          <t>metro</t>
        </is>
      </c>
      <c r="D416" s="22" t="inlineStr">
        <is>
          <t>Merit İletişim</t>
        </is>
      </c>
      <c r="E416" s="22" t="inlineStr">
        <is>
          <t>2021-05-27</t>
        </is>
      </c>
      <c r="F416" s="22" t="inlineStr">
        <is>
          <t>Teorik ve Pratik Eğitimler (Santral ve telefon setleri)</t>
        </is>
      </c>
      <c r="G416" s="22" t="inlineStr">
        <is>
          <t>set</t>
        </is>
      </c>
      <c r="H416" s="63" t="n">
        <v>3000</v>
      </c>
      <c r="I416" s="22" t="inlineStr">
        <is>
          <t>EUR</t>
        </is>
      </c>
      <c r="J416" s="22" t="inlineStr"/>
      <c r="K416" s="63" t="n">
        <v>3730.51284676969</v>
      </c>
      <c r="L416" s="22" t="inlineStr">
        <is>
          <t>4005.I</t>
        </is>
      </c>
      <c r="M416" s="22" t="n">
        <v>1</v>
      </c>
      <c r="N416" s="22" t="inlineStr">
        <is>
          <t>[AYKIRI DEĞER – otomatik dışlandı] Üçyol-Buca metro telefon sistemi (Alcatel-Lucent OmniPCX, 11 ist.+depo+merkez); KDV hariç; bölüm: GENEL</t>
        </is>
      </c>
    </row>
    <row r="417">
      <c r="A417" s="22" t="inlineStr">
        <is>
          <t>R02073</t>
        </is>
      </c>
      <c r="B417" s="22" t="inlineStr">
        <is>
          <t>Izmir_Ucyol_Buca_Metro</t>
        </is>
      </c>
      <c r="C417" s="22" t="inlineStr">
        <is>
          <t>metro</t>
        </is>
      </c>
      <c r="D417" s="22" t="inlineStr">
        <is>
          <t>Siemens Smart Infrastructure (Nurol İnşaat'a)</t>
        </is>
      </c>
      <c r="E417" s="22" t="inlineStr">
        <is>
          <t>2021-06-09</t>
        </is>
      </c>
      <c r="F417" s="22" t="inlineStr">
        <is>
          <t>2MP PTZ Kamera, 30x Optic Zoom, 120dB WDR, IP66 IK10 [S7230L-EW1]</t>
        </is>
      </c>
      <c r="G417" s="22" t="inlineStr">
        <is>
          <t>adet</t>
        </is>
      </c>
      <c r="H417" s="63" t="n">
        <v>1598.02</v>
      </c>
      <c r="I417" s="22" t="inlineStr">
        <is>
          <t>EUR</t>
        </is>
      </c>
      <c r="J417" s="22" t="inlineStr"/>
      <c r="K417" s="63" t="n">
        <v>1981.97850589229</v>
      </c>
      <c r="L417" s="22" t="inlineStr">
        <is>
          <t>4010.I</t>
        </is>
      </c>
      <c r="M417" s="22" t="n">
        <v>2</v>
      </c>
      <c r="N417" s="22" t="inlineStr">
        <is>
          <t xml:space="preserve">Üçyol-Buca metro 11 ist.; saha montajı ve kablolama işçiliği hariç, KDV hariç; </t>
        </is>
      </c>
    </row>
    <row r="418">
      <c r="A418" s="22" t="inlineStr">
        <is>
          <t>R02074</t>
        </is>
      </c>
      <c r="B418" s="22" t="inlineStr">
        <is>
          <t>Izmir_Ucyol_Buca_Metro</t>
        </is>
      </c>
      <c r="C418" s="22" t="inlineStr">
        <is>
          <t>metro</t>
        </is>
      </c>
      <c r="D418" s="22" t="inlineStr">
        <is>
          <t>Siemens Smart Infrastructure (Nurol İnşaat'a)</t>
        </is>
      </c>
      <c r="E418" s="22" t="inlineStr">
        <is>
          <t>2021-06-09</t>
        </is>
      </c>
      <c r="F418" s="22" t="inlineStr">
        <is>
          <t>Wall mount brcakte for PTZ Camera [IWM-SW]</t>
        </is>
      </c>
      <c r="G418" s="22" t="inlineStr">
        <is>
          <t>adet</t>
        </is>
      </c>
      <c r="H418" s="63" t="n">
        <v>44.86</v>
      </c>
      <c r="I418" s="22" t="inlineStr">
        <is>
          <t>EUR</t>
        </is>
      </c>
      <c r="J418" s="22" t="inlineStr"/>
      <c r="K418" s="63" t="n">
        <v>55.638575095636</v>
      </c>
      <c r="L418" s="22" t="inlineStr">
        <is>
          <t>4010.I</t>
        </is>
      </c>
      <c r="M418" s="22" t="n">
        <v>8</v>
      </c>
      <c r="N418" s="22" t="inlineStr">
        <is>
          <t xml:space="preserve">Üçyol-Buca metro 11 ist.; saha montajı ve kablolama işçiliği hariç, KDV hariç; </t>
        </is>
      </c>
    </row>
    <row r="419">
      <c r="A419" s="22" t="inlineStr">
        <is>
          <t>R02076</t>
        </is>
      </c>
      <c r="B419" s="22" t="inlineStr">
        <is>
          <t>Izmir_Ucyol_Buca_Metro</t>
        </is>
      </c>
      <c r="C419" s="22" t="inlineStr">
        <is>
          <t>metro</t>
        </is>
      </c>
      <c r="D419" s="22" t="inlineStr">
        <is>
          <t>Siemens Smart Infrastructure (Nurol İnşaat'a)</t>
        </is>
      </c>
      <c r="E419" s="22" t="inlineStr">
        <is>
          <t>2021-06-09</t>
        </is>
      </c>
      <c r="F419" s="22" t="inlineStr">
        <is>
          <t>5MP Bullet Kamera, Autofocus, motorized, 50m IR, 120dB WDR, IP66 IK10 [IBP531-1ER]</t>
        </is>
      </c>
      <c r="G419" s="22" t="inlineStr">
        <is>
          <t>adet</t>
        </is>
      </c>
      <c r="H419" s="63" t="n">
        <v>429.88</v>
      </c>
      <c r="I419" s="22" t="inlineStr">
        <is>
          <t>EUR</t>
        </is>
      </c>
      <c r="J419" s="22" t="inlineStr"/>
      <c r="K419" s="63" t="n">
        <v>533.167870310121</v>
      </c>
      <c r="L419" s="22" t="inlineStr">
        <is>
          <t>4010.A</t>
        </is>
      </c>
      <c r="M419" s="22" t="n">
        <v>9</v>
      </c>
      <c r="N419" s="22" t="inlineStr">
        <is>
          <t xml:space="preserve">Üçyol-Buca metro 11 ist.; saha montajı ve kablolama işçiliği hariç, KDV hariç; </t>
        </is>
      </c>
    </row>
    <row r="420">
      <c r="A420" s="22" t="inlineStr">
        <is>
          <t>R02077</t>
        </is>
      </c>
      <c r="B420" s="22" t="inlineStr">
        <is>
          <t>Izmir_Ucyol_Buca_Metro</t>
        </is>
      </c>
      <c r="C420" s="22" t="inlineStr">
        <is>
          <t>metro</t>
        </is>
      </c>
      <c r="D420" s="22" t="inlineStr">
        <is>
          <t>Siemens Smart Infrastructure (Nurol İnşaat'a)</t>
        </is>
      </c>
      <c r="E420" s="22" t="inlineStr">
        <is>
          <t>2021-06-09</t>
        </is>
      </c>
      <c r="F420" s="22" t="inlineStr">
        <is>
          <t>5MP Dome Kamera, Autofocus, motorized, 120dB WDR, IP66 [IMP531-1ES]</t>
        </is>
      </c>
      <c r="G420" s="22" t="inlineStr">
        <is>
          <t>adet</t>
        </is>
      </c>
      <c r="H420" s="63" t="n">
        <v>374.97</v>
      </c>
      <c r="I420" s="22" t="inlineStr">
        <is>
          <t>EUR</t>
        </is>
      </c>
      <c r="J420" s="22" t="inlineStr"/>
      <c r="K420" s="63" t="n">
        <v>465.064567623955</v>
      </c>
      <c r="L420" s="22" t="inlineStr">
        <is>
          <t>4010.A</t>
        </is>
      </c>
      <c r="M420" s="22" t="n">
        <v>11</v>
      </c>
      <c r="N420" s="22" t="inlineStr">
        <is>
          <t xml:space="preserve">Üçyol-Buca metro 11 ist.; saha montajı ve kablolama işçiliği hariç, KDV hariç; </t>
        </is>
      </c>
    </row>
    <row r="421">
      <c r="A421" s="22" t="inlineStr">
        <is>
          <t>R02079</t>
        </is>
      </c>
      <c r="B421" s="22" t="inlineStr">
        <is>
          <t>Izmir_Ucyol_Buca_Metro</t>
        </is>
      </c>
      <c r="C421" s="22" t="inlineStr">
        <is>
          <t>metro</t>
        </is>
      </c>
      <c r="D421" s="22" t="inlineStr">
        <is>
          <t>Siemens Smart Infrastructure (Nurol İnşaat'a)</t>
        </is>
      </c>
      <c r="E421" s="22" t="inlineStr">
        <is>
          <t>2021-06-09</t>
        </is>
      </c>
      <c r="F421" s="22" t="inlineStr">
        <is>
          <t>Wall mount arm for dome camera [WMVE-SW]</t>
        </is>
      </c>
      <c r="G421" s="22" t="inlineStr">
        <is>
          <t>adet</t>
        </is>
      </c>
      <c r="H421" s="63" t="n">
        <v>26.63</v>
      </c>
      <c r="I421" s="22" t="inlineStr">
        <is>
          <t>EUR</t>
        </is>
      </c>
      <c r="J421" s="22" t="inlineStr"/>
      <c r="K421" s="63" t="n">
        <v>33.0284274363974</v>
      </c>
      <c r="L421" s="22" t="inlineStr">
        <is>
          <t>4010.A</t>
        </is>
      </c>
      <c r="M421" s="22" t="n">
        <v>2</v>
      </c>
      <c r="N421" s="22" t="inlineStr">
        <is>
          <t xml:space="preserve">[AYKIRI DEĞER – otomatik dışlandı] Üçyol-Buca metro 11 ist.; saha montajı ve kablolama işçiliği hariç, KDV hariç; </t>
        </is>
      </c>
    </row>
    <row r="422">
      <c r="A422" s="22" t="inlineStr">
        <is>
          <t>R02083</t>
        </is>
      </c>
      <c r="B422" s="22" t="inlineStr">
        <is>
          <t>Izmir_Ucyol_Buca_Metro</t>
        </is>
      </c>
      <c r="C422" s="22" t="inlineStr">
        <is>
          <t>metro</t>
        </is>
      </c>
      <c r="D422" s="22" t="inlineStr">
        <is>
          <t>Siemens Smart Infrastructure (Nurol İnşaat'a)</t>
        </is>
      </c>
      <c r="E422" s="22" t="inlineStr">
        <is>
          <t>2021-06-09</t>
        </is>
      </c>
      <c r="F422" s="22" t="inlineStr">
        <is>
          <t>İş İstasyonu (2 Ekran Çıkışlı) [WorkS_PC_2]</t>
        </is>
      </c>
      <c r="G422" s="22" t="inlineStr">
        <is>
          <t>adet</t>
        </is>
      </c>
      <c r="H422" s="63" t="n">
        <v>1356.29</v>
      </c>
      <c r="I422" s="22" t="inlineStr">
        <is>
          <t>EUR</t>
        </is>
      </c>
      <c r="J422" s="22" t="inlineStr"/>
      <c r="K422" s="63" t="n">
        <v>1682.16769987651</v>
      </c>
      <c r="L422" s="22" t="inlineStr">
        <is>
          <t>4010</t>
        </is>
      </c>
      <c r="M422" s="22" t="n">
        <v>2</v>
      </c>
      <c r="N422" s="22" t="inlineStr">
        <is>
          <t xml:space="preserve">Üçyol-Buca metro 11 ist.; saha montajı ve kablolama işçiliği hariç, KDV hariç; </t>
        </is>
      </c>
    </row>
    <row r="423">
      <c r="A423" s="22" t="inlineStr">
        <is>
          <t>R02087</t>
        </is>
      </c>
      <c r="B423" s="22" t="inlineStr">
        <is>
          <t>Izmir_Ucyol_Buca_Metro</t>
        </is>
      </c>
      <c r="C423" s="22" t="inlineStr">
        <is>
          <t>metro</t>
        </is>
      </c>
      <c r="D423" s="22" t="inlineStr">
        <is>
          <t>Siemens Smart Infrastructure (Nurol İnşaat'a)</t>
        </is>
      </c>
      <c r="E423" s="22" t="inlineStr">
        <is>
          <t>2021-06-09</t>
        </is>
      </c>
      <c r="F423" s="22" t="inlineStr">
        <is>
          <t>CCTV Sistemi Video Yönetim Yazılımı - 1.034 Kamera Lisansı (%20 yedek dahil) [Pelco]</t>
        </is>
      </c>
      <c r="G423" s="22" t="inlineStr">
        <is>
          <t>adet</t>
        </is>
      </c>
      <c r="H423" s="63" t="n">
        <v>60393.08</v>
      </c>
      <c r="I423" s="22" t="inlineStr">
        <is>
          <t>EUR</t>
        </is>
      </c>
      <c r="J423" s="22" t="inlineStr"/>
      <c r="K423" s="63" t="n">
        <v>74903.8100052776</v>
      </c>
      <c r="L423" s="22" t="inlineStr">
        <is>
          <t>4010.J</t>
        </is>
      </c>
      <c r="M423" s="22" t="n">
        <v>1</v>
      </c>
      <c r="N423" s="22" t="inlineStr">
        <is>
          <t xml:space="preserve">Üçyol-Buca metro 11 ist.; saha montajı ve kablolama işçiliği hariç, KDV hariç; </t>
        </is>
      </c>
    </row>
    <row r="424">
      <c r="A424" s="22" t="inlineStr">
        <is>
          <t>R02088</t>
        </is>
      </c>
      <c r="B424" s="22" t="inlineStr">
        <is>
          <t>Izmir_Ucyol_Buca_Metro</t>
        </is>
      </c>
      <c r="C424" s="22" t="inlineStr">
        <is>
          <t>metro</t>
        </is>
      </c>
      <c r="D424" s="22" t="inlineStr">
        <is>
          <t>Siemens Smart Infrastructure (Nurol İnşaat'a)</t>
        </is>
      </c>
      <c r="E424" s="22" t="inlineStr">
        <is>
          <t>2021-06-09</t>
        </is>
      </c>
      <c r="F424" s="22" t="inlineStr">
        <is>
          <t>VideoXpert Professional, Power Server (NVR, max. 12x 16TB) [VXP-P2-0-XT]</t>
        </is>
      </c>
      <c r="G424" s="22" t="inlineStr">
        <is>
          <t>adet</t>
        </is>
      </c>
      <c r="H424" s="63" t="n">
        <v>5607.09</v>
      </c>
      <c r="I424" s="22" t="inlineStr">
        <is>
          <t>EUR</t>
        </is>
      </c>
      <c r="J424" s="22" t="inlineStr"/>
      <c r="K424" s="63" t="n">
        <v>6954.31337567967</v>
      </c>
      <c r="L424" s="22" t="inlineStr">
        <is>
          <t>4010.J</t>
        </is>
      </c>
      <c r="M424" s="22" t="n">
        <v>2</v>
      </c>
      <c r="N424" s="22" t="inlineStr">
        <is>
          <t xml:space="preserve">Üçyol-Buca metro 11 ist.; saha montajı ve kablolama işçiliği hariç, KDV hariç; </t>
        </is>
      </c>
    </row>
    <row r="425">
      <c r="A425" s="22" t="inlineStr">
        <is>
          <t>R02092</t>
        </is>
      </c>
      <c r="B425" s="22" t="inlineStr">
        <is>
          <t>Izmir_Ucyol_Buca_Metro</t>
        </is>
      </c>
      <c r="C425" s="22" t="inlineStr">
        <is>
          <t>metro</t>
        </is>
      </c>
      <c r="D425" s="22" t="inlineStr">
        <is>
          <t>Siemens Smart Infrastructure (Nurol İnşaat'a)</t>
        </is>
      </c>
      <c r="E425" s="22" t="inlineStr">
        <is>
          <t>2021-06-09</t>
        </is>
      </c>
      <c r="F425" s="22" t="inlineStr">
        <is>
          <t>İstemci Bilgisayarı (SiPass) [Client_SPC]</t>
        </is>
      </c>
      <c r="G425" s="22" t="inlineStr">
        <is>
          <t>adet</t>
        </is>
      </c>
      <c r="H425" s="63" t="n">
        <v>1017.22</v>
      </c>
      <c r="I425" s="22" t="inlineStr">
        <is>
          <t>EUR</t>
        </is>
      </c>
      <c r="J425" s="22" t="inlineStr"/>
      <c r="K425" s="63" t="n">
        <v>1261.62887558589</v>
      </c>
      <c r="L425" s="22" t="inlineStr">
        <is>
          <t>4014</t>
        </is>
      </c>
      <c r="M425" s="22" t="n">
        <v>1</v>
      </c>
      <c r="N425" s="22" t="inlineStr">
        <is>
          <t xml:space="preserve">Üçyol-Buca metro 11 ist.; saha montajı ve kablolama işçiliği hariç, KDV hariç; </t>
        </is>
      </c>
    </row>
    <row r="426">
      <c r="A426" s="22" t="inlineStr">
        <is>
          <t>R02093</t>
        </is>
      </c>
      <c r="B426" s="22" t="inlineStr">
        <is>
          <t>Izmir_Ucyol_Buca_Metro</t>
        </is>
      </c>
      <c r="C426" s="22" t="inlineStr">
        <is>
          <t>metro</t>
        </is>
      </c>
      <c r="D426" s="22" t="inlineStr">
        <is>
          <t>Siemens Smart Infrastructure (Nurol İnşaat'a)</t>
        </is>
      </c>
      <c r="E426" s="22" t="inlineStr">
        <is>
          <t>2021-06-09</t>
        </is>
      </c>
      <c r="F426" s="22" t="inlineStr">
        <is>
          <t>27" LED PC Monitor [PCM27]</t>
        </is>
      </c>
      <c r="G426" s="22" t="inlineStr">
        <is>
          <t>adet</t>
        </is>
      </c>
      <c r="H426" s="63" t="n">
        <v>184.26</v>
      </c>
      <c r="I426" s="22" t="inlineStr">
        <is>
          <t>EUR</t>
        </is>
      </c>
      <c r="J426" s="22" t="inlineStr"/>
      <c r="K426" s="63" t="n">
        <v>228.53240854039</v>
      </c>
      <c r="L426" s="22" t="inlineStr">
        <is>
          <t>4014</t>
        </is>
      </c>
      <c r="M426" s="22" t="n">
        <v>1</v>
      </c>
      <c r="N426" s="22" t="inlineStr">
        <is>
          <t xml:space="preserve">Üçyol-Buca metro 11 ist.; saha montajı ve kablolama işçiliği hariç, KDV hariç; </t>
        </is>
      </c>
    </row>
    <row r="427">
      <c r="A427" s="22" t="inlineStr">
        <is>
          <t>R02094</t>
        </is>
      </c>
      <c r="B427" s="22" t="inlineStr">
        <is>
          <t>Izmir_Ucyol_Buca_Metro</t>
        </is>
      </c>
      <c r="C427" s="22" t="inlineStr">
        <is>
          <t>metro</t>
        </is>
      </c>
      <c r="D427" s="22" t="inlineStr">
        <is>
          <t>Siemens Smart Infrastructure (Nurol İnşaat'a)</t>
        </is>
      </c>
      <c r="E427" s="22" t="inlineStr">
        <is>
          <t>2021-06-09</t>
        </is>
      </c>
      <c r="F427" s="22" t="inlineStr">
        <is>
          <t>Çift yüz Termal Kart Yazıcı (USB + Ethernet ile Bağlantı) [CardPrinter_C]</t>
        </is>
      </c>
      <c r="G427" s="22" t="inlineStr">
        <is>
          <t>adet</t>
        </is>
      </c>
      <c r="H427" s="63" t="n">
        <v>1215.65</v>
      </c>
      <c r="I427" s="22" t="inlineStr">
        <is>
          <t>EUR</t>
        </is>
      </c>
      <c r="J427" s="22" t="inlineStr"/>
      <c r="K427" s="63" t="n">
        <v>1507.73592989322</v>
      </c>
      <c r="L427" s="22" t="inlineStr">
        <is>
          <t>4014.G</t>
        </is>
      </c>
      <c r="M427" s="22" t="n">
        <v>1</v>
      </c>
      <c r="N427" s="22" t="inlineStr">
        <is>
          <t xml:space="preserve">Üçyol-Buca metro 11 ist.; saha montajı ve kablolama işçiliği hariç, KDV hariç; </t>
        </is>
      </c>
    </row>
    <row r="428">
      <c r="A428" s="22" t="inlineStr">
        <is>
          <t>R02100</t>
        </is>
      </c>
      <c r="B428" s="22" t="inlineStr">
        <is>
          <t>Izmir_Ucyol_Buca_Metro</t>
        </is>
      </c>
      <c r="C428" s="22" t="inlineStr">
        <is>
          <t>metro</t>
        </is>
      </c>
      <c r="D428" s="22" t="inlineStr">
        <is>
          <t>Siemens Smart Infrastructure (Nurol İnşaat'a)</t>
        </is>
      </c>
      <c r="E428" s="22" t="inlineStr">
        <is>
          <t>2021-06-09</t>
        </is>
      </c>
      <c r="F428" s="22" t="inlineStr">
        <is>
          <t>Manyetik Kilit, 12/24 VDC, 545kg tutma kapasiteli (LED'li) [1200-LED]</t>
        </is>
      </c>
      <c r="G428" s="22" t="inlineStr">
        <is>
          <t>adet</t>
        </is>
      </c>
      <c r="H428" s="63" t="n">
        <v>45.19</v>
      </c>
      <c r="I428" s="22" t="inlineStr">
        <is>
          <t>EUR</t>
        </is>
      </c>
      <c r="J428" s="22" t="inlineStr"/>
      <c r="K428" s="63" t="n">
        <v>56.0478646583101</v>
      </c>
      <c r="L428" s="22" t="inlineStr">
        <is>
          <t>4014.A</t>
        </is>
      </c>
      <c r="M428" s="22" t="n">
        <v>8</v>
      </c>
      <c r="N428" s="22" t="inlineStr">
        <is>
          <t xml:space="preserve">Üçyol-Buca metro 11 ist.; saha montajı ve kablolama işçiliği hariç, KDV hariç; </t>
        </is>
      </c>
    </row>
    <row r="429">
      <c r="A429" s="22" t="inlineStr">
        <is>
          <t>R02102</t>
        </is>
      </c>
      <c r="B429" s="22" t="inlineStr">
        <is>
          <t>Izmir_Ucyol_Buca_Metro</t>
        </is>
      </c>
      <c r="C429" s="22" t="inlineStr">
        <is>
          <t>metro</t>
        </is>
      </c>
      <c r="D429" s="22" t="inlineStr">
        <is>
          <t>Siemens Smart Infrastructure (Nurol İnşaat'a)</t>
        </is>
      </c>
      <c r="E429" s="22" t="inlineStr">
        <is>
          <t>2021-06-09</t>
        </is>
      </c>
      <c r="F429" s="22" t="inlineStr">
        <is>
          <t>Mifare Kart Okuyucu OA 13,56 Mhz [45-MR-1125OA]</t>
        </is>
      </c>
      <c r="G429" s="22" t="inlineStr">
        <is>
          <t>adet</t>
        </is>
      </c>
      <c r="H429" s="63" t="n">
        <v>18.87</v>
      </c>
      <c r="I429" s="22" t="inlineStr">
        <is>
          <t>EUR</t>
        </is>
      </c>
      <c r="J429" s="22" t="inlineStr"/>
      <c r="K429" s="63" t="n">
        <v>23.403921356546</v>
      </c>
      <c r="L429" s="22" t="inlineStr">
        <is>
          <t>4014.A</t>
        </is>
      </c>
      <c r="M429" s="22" t="n">
        <v>8</v>
      </c>
      <c r="N429" s="22" t="inlineStr">
        <is>
          <t xml:space="preserve">Üçyol-Buca metro 11 ist.; saha montajı ve kablolama işçiliği hariç, KDV hariç; </t>
        </is>
      </c>
    </row>
    <row r="430">
      <c r="A430" s="22" t="inlineStr">
        <is>
          <t>R02103</t>
        </is>
      </c>
      <c r="B430" s="22" t="inlineStr">
        <is>
          <t>Izmir_Ucyol_Buca_Metro</t>
        </is>
      </c>
      <c r="C430" s="22" t="inlineStr">
        <is>
          <t>metro</t>
        </is>
      </c>
      <c r="D430" s="22" t="inlineStr">
        <is>
          <t>Siemens Smart Infrastructure (Nurol İnşaat'a)</t>
        </is>
      </c>
      <c r="E430" s="22" t="inlineStr">
        <is>
          <t>2021-06-09</t>
        </is>
      </c>
      <c r="F430" s="22" t="inlineStr">
        <is>
          <t>Paslanmaz Çelik Çıkış Butonu (Gömme Tip), tek kontaklı (kare kasa) [DEB-33SS]</t>
        </is>
      </c>
      <c r="G430" s="22" t="inlineStr">
        <is>
          <t>adet</t>
        </is>
      </c>
      <c r="H430" s="63" t="n">
        <v>5.04</v>
      </c>
      <c r="I430" s="22" t="inlineStr">
        <is>
          <t>EUR</t>
        </is>
      </c>
      <c r="J430" s="22" t="inlineStr"/>
      <c r="K430" s="63" t="n">
        <v>6.25096786629526</v>
      </c>
      <c r="L430" s="22" t="inlineStr">
        <is>
          <t>4014.A</t>
        </is>
      </c>
      <c r="M430" s="22" t="n">
        <v>7</v>
      </c>
      <c r="N430" s="22" t="inlineStr">
        <is>
          <t xml:space="preserve">Üçyol-Buca metro 11 ist.; saha montajı ve kablolama işçiliği hariç, KDV hariç; </t>
        </is>
      </c>
    </row>
    <row r="431">
      <c r="A431" s="22" t="inlineStr">
        <is>
          <t>R02104</t>
        </is>
      </c>
      <c r="B431" s="22" t="inlineStr">
        <is>
          <t>Izmir_Ucyol_Buca_Metro</t>
        </is>
      </c>
      <c r="C431" s="22" t="inlineStr">
        <is>
          <t>metro</t>
        </is>
      </c>
      <c r="D431" s="22" t="inlineStr">
        <is>
          <t>Siemens Smart Infrastructure (Nurol İnşaat'a)</t>
        </is>
      </c>
      <c r="E431" s="22" t="inlineStr">
        <is>
          <t>2021-06-09</t>
        </is>
      </c>
      <c r="F431" s="22" t="inlineStr">
        <is>
          <t>Acil Çıkış Butonu, resetlenebilir tip, çift kontak, koruyucu kapaklı EDR819-2</t>
        </is>
      </c>
      <c r="G431" s="22" t="inlineStr">
        <is>
          <t>adet</t>
        </is>
      </c>
      <c r="H431" s="63" t="n">
        <v>7.01</v>
      </c>
      <c r="I431" s="22" t="inlineStr">
        <is>
          <t>EUR</t>
        </is>
      </c>
      <c r="J431" s="22" t="inlineStr"/>
      <c r="K431" s="63" t="n">
        <v>8.69430252831941</v>
      </c>
      <c r="L431" s="22" t="inlineStr">
        <is>
          <t>4014.A</t>
        </is>
      </c>
      <c r="M431" s="22" t="n">
        <v>7</v>
      </c>
      <c r="N431" s="22" t="inlineStr">
        <is>
          <t xml:space="preserve">Üçyol-Buca metro 11 ist.; saha montajı ve kablolama işçiliği hariç, KDV hariç; </t>
        </is>
      </c>
    </row>
    <row r="432">
      <c r="A432" s="22" t="inlineStr">
        <is>
          <t>R02107</t>
        </is>
      </c>
      <c r="B432" s="22" t="inlineStr">
        <is>
          <t>Izmir_Ucyol_Buca_Metro</t>
        </is>
      </c>
      <c r="C432" s="22" t="inlineStr">
        <is>
          <t>metro</t>
        </is>
      </c>
      <c r="D432" s="22" t="inlineStr">
        <is>
          <t>Siemens Smart Infrastructure (Nurol İnşaat'a)</t>
        </is>
      </c>
      <c r="E432" s="22" t="inlineStr">
        <is>
          <t>2021-06-09</t>
        </is>
      </c>
      <c r="F432" s="22" t="inlineStr">
        <is>
          <t>Dual Reader Interface [ADD5100]</t>
        </is>
      </c>
      <c r="G432" s="22" t="inlineStr">
        <is>
          <t>adet</t>
        </is>
      </c>
      <c r="H432" s="63" t="n">
        <v>308.65</v>
      </c>
      <c r="I432" s="22" t="inlineStr">
        <is>
          <t>EUR</t>
        </is>
      </c>
      <c r="J432" s="22" t="inlineStr"/>
      <c r="K432" s="63" t="n">
        <v>382.809768240483</v>
      </c>
      <c r="L432" s="22" t="inlineStr">
        <is>
          <t>4014.A</t>
        </is>
      </c>
      <c r="M432" s="22" t="n">
        <v>6</v>
      </c>
      <c r="N432" s="22" t="inlineStr">
        <is>
          <t xml:space="preserve">Üçyol-Buca metro 11 ist.; saha montajı ve kablolama işçiliği hariç, KDV hariç; </t>
        </is>
      </c>
    </row>
    <row r="433">
      <c r="A433" s="22" t="inlineStr">
        <is>
          <t>R02110</t>
        </is>
      </c>
      <c r="B433" s="22" t="inlineStr">
        <is>
          <t>Izmir_Ucyol_Buca_Metro</t>
        </is>
      </c>
      <c r="C433" s="22" t="inlineStr">
        <is>
          <t>metro</t>
        </is>
      </c>
      <c r="D433" s="22" t="inlineStr">
        <is>
          <t>Siemens Smart Infrastructure (Nurol İnşaat'a)</t>
        </is>
      </c>
      <c r="E433" s="22" t="inlineStr">
        <is>
          <t>2021-06-09</t>
        </is>
      </c>
      <c r="F433" s="22" t="inlineStr">
        <is>
          <t>8-Input/Output Module [AFO5200]</t>
        </is>
      </c>
      <c r="G433" s="22" t="inlineStr">
        <is>
          <t>adet</t>
        </is>
      </c>
      <c r="H433" s="63" t="n">
        <v>442.52</v>
      </c>
      <c r="I433" s="22" t="inlineStr">
        <is>
          <t>EUR</t>
        </is>
      </c>
      <c r="J433" s="22" t="inlineStr"/>
      <c r="K433" s="63" t="n">
        <v>548.84490083194</v>
      </c>
      <c r="L433" s="22" t="inlineStr">
        <is>
          <t>4014.A</t>
        </is>
      </c>
      <c r="M433" s="22" t="n">
        <v>1</v>
      </c>
      <c r="N433" s="22" t="inlineStr">
        <is>
          <t xml:space="preserve">Üçyol-Buca metro 11 ist.; saha montajı ve kablolama işçiliği hariç, KDV hariç; </t>
        </is>
      </c>
    </row>
    <row r="434">
      <c r="A434" s="22" t="inlineStr">
        <is>
          <t>R02125</t>
        </is>
      </c>
      <c r="B434" s="22" t="inlineStr">
        <is>
          <t>Izmir_Ucyol_Buca_Metro</t>
        </is>
      </c>
      <c r="C434" s="22" t="inlineStr">
        <is>
          <t>metro</t>
        </is>
      </c>
      <c r="D434" s="22" t="inlineStr">
        <is>
          <t>Siemens Smart Infrastructure (Nurol İnşaat'a)</t>
        </is>
      </c>
      <c r="E434" s="22" t="inlineStr">
        <is>
          <t>2021-06-09</t>
        </is>
      </c>
      <c r="F434" s="22" t="inlineStr">
        <is>
          <t>42U Cihaz Dolabı [42U680]</t>
        </is>
      </c>
      <c r="G434" s="22" t="inlineStr">
        <is>
          <t>adet</t>
        </is>
      </c>
      <c r="H434" s="63" t="n">
        <v>391.45</v>
      </c>
      <c r="I434" s="22" t="inlineStr">
        <is>
          <t>EUR</t>
        </is>
      </c>
      <c r="J434" s="22" t="inlineStr"/>
      <c r="K434" s="63" t="n">
        <v>485.504240329619</v>
      </c>
      <c r="L434" s="22" t="inlineStr">
        <is>
          <t>4008</t>
        </is>
      </c>
      <c r="M434" s="22" t="n">
        <v>4</v>
      </c>
      <c r="N434" s="22" t="inlineStr">
        <is>
          <t xml:space="preserve">Üçyol-Buca metro 11 ist.; saha montajı ve kablolama işçiliği hariç, KDV hariç; </t>
        </is>
      </c>
    </row>
    <row r="435">
      <c r="A435" s="22" t="inlineStr">
        <is>
          <t>R02126</t>
        </is>
      </c>
      <c r="B435" s="22" t="inlineStr">
        <is>
          <t>Izmir_Ucyol_Buca_Metro</t>
        </is>
      </c>
      <c r="C435" s="22" t="inlineStr">
        <is>
          <t>metro</t>
        </is>
      </c>
      <c r="D435" s="22" t="inlineStr">
        <is>
          <t>Siemens Smart Infrastructure (Nurol İnşaat'a)</t>
        </is>
      </c>
      <c r="E435" s="22" t="inlineStr">
        <is>
          <t>2021-06-09</t>
        </is>
      </c>
      <c r="F435" s="22" t="inlineStr">
        <is>
          <t>Power Amplifier (2x250W) [PV2001-A1]</t>
        </is>
      </c>
      <c r="G435" s="22" t="inlineStr">
        <is>
          <t>adet</t>
        </is>
      </c>
      <c r="H435" s="63" t="n">
        <v>1499.66</v>
      </c>
      <c r="I435" s="22" t="inlineStr">
        <is>
          <t>EUR</t>
        </is>
      </c>
      <c r="J435" s="22" t="inlineStr"/>
      <c r="K435" s="63" t="n">
        <v>1859.98541078737</v>
      </c>
      <c r="L435" s="22" t="inlineStr">
        <is>
          <t>4008.A</t>
        </is>
      </c>
      <c r="M435" s="22" t="n">
        <v>8</v>
      </c>
      <c r="N435" s="22" t="inlineStr">
        <is>
          <t xml:space="preserve">Üçyol-Buca metro 11 ist.; saha montajı ve kablolama işçiliği hariç, KDV hariç; </t>
        </is>
      </c>
    </row>
    <row r="436">
      <c r="A436" s="22" t="inlineStr">
        <is>
          <t>R02130</t>
        </is>
      </c>
      <c r="B436" s="22" t="inlineStr">
        <is>
          <t>Izmir_Ucyol_Buca_Metro</t>
        </is>
      </c>
      <c r="C436" s="22" t="inlineStr">
        <is>
          <t>metro</t>
        </is>
      </c>
      <c r="D436" s="22" t="inlineStr">
        <is>
          <t>Siemens Smart Infrastructure (Nurol İnşaat'a)</t>
        </is>
      </c>
      <c r="E436" s="22" t="inlineStr">
        <is>
          <t>2021-06-09</t>
        </is>
      </c>
      <c r="F436" s="22" t="inlineStr">
        <is>
          <t>Call station ext. (RS485, 8) [PTO2006-A1]</t>
        </is>
      </c>
      <c r="G436" s="22" t="inlineStr">
        <is>
          <t>adet</t>
        </is>
      </c>
      <c r="H436" s="63" t="n">
        <v>487.54</v>
      </c>
      <c r="I436" s="22" t="inlineStr">
        <is>
          <t>EUR</t>
        </is>
      </c>
      <c r="J436" s="22" t="inlineStr"/>
      <c r="K436" s="63" t="n">
        <v>604.681919351903</v>
      </c>
      <c r="L436" s="22" t="inlineStr">
        <is>
          <t>4008</t>
        </is>
      </c>
      <c r="M436" s="22" t="n">
        <v>1</v>
      </c>
      <c r="N436" s="22" t="inlineStr">
        <is>
          <t xml:space="preserve">Üçyol-Buca metro 11 ist.; saha montajı ve kablolama işçiliği hariç, KDV hariç; </t>
        </is>
      </c>
    </row>
    <row r="437">
      <c r="A437" s="22" t="inlineStr">
        <is>
          <t>R02132</t>
        </is>
      </c>
      <c r="B437" s="22" t="inlineStr">
        <is>
          <t>Izmir_Ucyol_Buca_Metro</t>
        </is>
      </c>
      <c r="C437" s="22" t="inlineStr">
        <is>
          <t>metro</t>
        </is>
      </c>
      <c r="D437" s="22" t="inlineStr">
        <is>
          <t>Siemens Smart Infrastructure (Nurol İnşaat'a)</t>
        </is>
      </c>
      <c r="E437" s="22" t="inlineStr">
        <is>
          <t>2021-06-09</t>
        </is>
      </c>
      <c r="F437" s="22" t="inlineStr">
        <is>
          <t>Autom. volume control micro [PCA2007-A1]</t>
        </is>
      </c>
      <c r="G437" s="22" t="inlineStr">
        <is>
          <t>adet</t>
        </is>
      </c>
      <c r="H437" s="63" t="n">
        <v>221.71</v>
      </c>
      <c r="I437" s="22" t="inlineStr">
        <is>
          <t>EUR</t>
        </is>
      </c>
      <c r="J437" s="22" t="inlineStr"/>
      <c r="K437" s="63" t="n">
        <v>274.980572546889</v>
      </c>
      <c r="L437" s="22" t="inlineStr">
        <is>
          <t>4008</t>
        </is>
      </c>
      <c r="M437" s="22" t="n">
        <v>6</v>
      </c>
      <c r="N437" s="22" t="inlineStr">
        <is>
          <t xml:space="preserve">Üçyol-Buca metro 11 ist.; saha montajı ve kablolama işçiliği hariç, KDV hariç; </t>
        </is>
      </c>
    </row>
    <row r="438">
      <c r="A438" s="22" t="inlineStr">
        <is>
          <t>R02134</t>
        </is>
      </c>
      <c r="B438" s="22" t="inlineStr">
        <is>
          <t>Izmir_Ucyol_Buca_Metro</t>
        </is>
      </c>
      <c r="C438" s="22" t="inlineStr">
        <is>
          <t>metro</t>
        </is>
      </c>
      <c r="D438" s="22" t="inlineStr">
        <is>
          <t>Siemens Smart Infrastructure (Nurol İnşaat'a)</t>
        </is>
      </c>
      <c r="E438" s="22" t="inlineStr">
        <is>
          <t>2021-06-09</t>
        </is>
      </c>
      <c r="F438" s="22" t="inlineStr">
        <is>
          <t>Ceiling speaker, 10 watts, RAL 9010, metal, with thermal fuse [DL 10-165/T-]</t>
        </is>
      </c>
      <c r="G438" s="22" t="inlineStr">
        <is>
          <t>adet</t>
        </is>
      </c>
      <c r="H438" s="63" t="n">
        <v>35.43</v>
      </c>
      <c r="I438" s="22" t="inlineStr">
        <is>
          <t>EUR</t>
        </is>
      </c>
      <c r="J438" s="22" t="inlineStr"/>
      <c r="K438" s="63" t="n">
        <v>43.9428157743733</v>
      </c>
      <c r="L438" s="22" t="inlineStr">
        <is>
          <t>4008.A</t>
        </is>
      </c>
      <c r="M438" s="22" t="n">
        <v>1</v>
      </c>
      <c r="N438" s="22" t="inlineStr">
        <is>
          <t xml:space="preserve">Üçyol-Buca metro 11 ist.; saha montajı ve kablolama işçiliği hariç, KDV hariç; </t>
        </is>
      </c>
    </row>
    <row r="439">
      <c r="A439" s="22" t="inlineStr">
        <is>
          <t>R02135</t>
        </is>
      </c>
      <c r="B439" s="22" t="inlineStr">
        <is>
          <t>Izmir_Ucyol_Buca_Metro</t>
        </is>
      </c>
      <c r="C439" s="22" t="inlineStr">
        <is>
          <t>metro</t>
        </is>
      </c>
      <c r="D439" s="22" t="inlineStr">
        <is>
          <t>Siemens Smart Infrastructure (Nurol İnşaat'a)</t>
        </is>
      </c>
      <c r="E439" s="22" t="inlineStr">
        <is>
          <t>2021-06-09</t>
        </is>
      </c>
      <c r="F439" s="22" t="inlineStr">
        <is>
          <t>EOL Module (active) [PCA2004-A1]</t>
        </is>
      </c>
      <c r="G439" s="22" t="inlineStr">
        <is>
          <t>adet</t>
        </is>
      </c>
      <c r="H439" s="63" t="n">
        <v>63</v>
      </c>
      <c r="I439" s="22" t="inlineStr">
        <is>
          <t>EUR</t>
        </is>
      </c>
      <c r="J439" s="22" t="inlineStr"/>
      <c r="K439" s="63" t="n">
        <v>78.1370983286908</v>
      </c>
      <c r="L439" s="22" t="inlineStr">
        <is>
          <t>4008</t>
        </is>
      </c>
      <c r="M439" s="22" t="n">
        <v>7</v>
      </c>
      <c r="N439" s="22" t="inlineStr">
        <is>
          <t xml:space="preserve">Üçyol-Buca metro 11 ist.; saha montajı ve kablolama işçiliği hariç, KDV hariç; </t>
        </is>
      </c>
    </row>
    <row r="440">
      <c r="A440" s="22" t="inlineStr">
        <is>
          <t>R02146</t>
        </is>
      </c>
      <c r="B440" s="22" t="inlineStr">
        <is>
          <t>Izmir_Ucyol_Buca_Metro</t>
        </is>
      </c>
      <c r="C440" s="22" t="inlineStr">
        <is>
          <t>metro</t>
        </is>
      </c>
      <c r="D440" s="22" t="inlineStr">
        <is>
          <t>Tansa Güvenlik Sistemleri</t>
        </is>
      </c>
      <c r="E440" s="22" t="inlineStr">
        <is>
          <t>2021-07-28</t>
        </is>
      </c>
      <c r="F440" s="22" t="inlineStr">
        <is>
          <t>LTT-303A açılı kapaklı tripod turnike (1,5 mm 304 paslanmaz gövde, paslanmaz kol)</t>
        </is>
      </c>
      <c r="G440" s="22" t="inlineStr">
        <is>
          <t>adet</t>
        </is>
      </c>
      <c r="H440" s="63" t="n">
        <v>725</v>
      </c>
      <c r="I440" s="22" t="inlineStr">
        <is>
          <t>USD</t>
        </is>
      </c>
      <c r="J440" s="22" t="inlineStr"/>
      <c r="K440" s="63" t="n">
        <v>762.2871611825</v>
      </c>
      <c r="L440" s="22" t="inlineStr">
        <is>
          <t>4019.A</t>
        </is>
      </c>
      <c r="M440" s="22" t="n">
        <v>1</v>
      </c>
      <c r="N440" s="22" t="inlineStr">
        <is>
          <t>validatör/okuyucu dahil değil (yalnız mekanik+elektronik gövde); KDV hariç</t>
        </is>
      </c>
    </row>
    <row r="441">
      <c r="A441" s="22" t="inlineStr">
        <is>
          <t>R02147</t>
        </is>
      </c>
      <c r="B441" s="22" t="inlineStr">
        <is>
          <t>Izmir_Ucyol_Buca_Metro</t>
        </is>
      </c>
      <c r="C441" s="22" t="inlineStr">
        <is>
          <t>metro</t>
        </is>
      </c>
      <c r="D441" s="22" t="inlineStr">
        <is>
          <t>Tansa Güvenlik Sistemleri</t>
        </is>
      </c>
      <c r="E441" s="22" t="inlineStr">
        <is>
          <t>2021-07-28</t>
        </is>
      </c>
      <c r="F441" s="22" t="inlineStr">
        <is>
          <t>SG-312 çift yönlü motorlu swing gate turnike (304 paslanmaz, pleksi kanat)</t>
        </is>
      </c>
      <c r="G441" s="22" t="inlineStr">
        <is>
          <t>adet</t>
        </is>
      </c>
      <c r="H441" s="63" t="n">
        <v>500</v>
      </c>
      <c r="I441" s="22" t="inlineStr">
        <is>
          <t>USD</t>
        </is>
      </c>
      <c r="J441" s="22" t="inlineStr"/>
      <c r="K441" s="63" t="n">
        <v>525.715283574138</v>
      </c>
      <c r="L441" s="22" t="inlineStr">
        <is>
          <t>4019.B</t>
        </is>
      </c>
      <c r="M441" s="22" t="n">
        <v>1</v>
      </c>
      <c r="N441" s="22" t="inlineStr">
        <is>
          <t>validatör hariç; fiyat düşük - teklifte yazıldığı gibi</t>
        </is>
      </c>
    </row>
    <row r="442">
      <c r="A442" s="22" t="inlineStr">
        <is>
          <t>R02148</t>
        </is>
      </c>
      <c r="B442" s="22" t="inlineStr">
        <is>
          <t>Izmir_Ucyol_Buca_Metro</t>
        </is>
      </c>
      <c r="C442" s="22" t="inlineStr">
        <is>
          <t>metro</t>
        </is>
      </c>
      <c r="D442" s="22" t="inlineStr">
        <is>
          <t>Tansa Güvenlik Sistemleri</t>
        </is>
      </c>
      <c r="E442" s="22" t="inlineStr">
        <is>
          <t>2021-07-28</t>
        </is>
      </c>
      <c r="F442" s="22" t="inlineStr">
        <is>
          <t>TNS-003 uzaktan kumanda alıcı ünite</t>
        </is>
      </c>
      <c r="G442" s="22" t="inlineStr">
        <is>
          <t>adet</t>
        </is>
      </c>
      <c r="H442" s="63" t="n">
        <v>62.5</v>
      </c>
      <c r="I442" s="22" t="inlineStr">
        <is>
          <t>USD</t>
        </is>
      </c>
      <c r="J442" s="22" t="inlineStr"/>
      <c r="K442" s="63" t="n">
        <v>65.7144104467673</v>
      </c>
      <c r="L442" s="22" t="inlineStr">
        <is>
          <t>4019.C</t>
        </is>
      </c>
      <c r="M442" s="22" t="n">
        <v>6</v>
      </c>
      <c r="N442" s="22" t="inlineStr"/>
    </row>
    <row r="443">
      <c r="A443" s="22" t="inlineStr">
        <is>
          <t>R02149</t>
        </is>
      </c>
      <c r="B443" s="22" t="inlineStr">
        <is>
          <t>Izmir_Ucyol_Buca_Metro</t>
        </is>
      </c>
      <c r="C443" s="22" t="inlineStr">
        <is>
          <t>metro</t>
        </is>
      </c>
      <c r="D443" s="22" t="inlineStr">
        <is>
          <t>Tansa Güvenlik Sistemleri</t>
        </is>
      </c>
      <c r="E443" s="22" t="inlineStr">
        <is>
          <t>2021-07-28</t>
        </is>
      </c>
      <c r="F443" s="22" t="inlineStr">
        <is>
          <t>TNS-002 uzaktan kumanda</t>
        </is>
      </c>
      <c r="G443" s="22" t="inlineStr">
        <is>
          <t>adet</t>
        </is>
      </c>
      <c r="H443" s="63" t="n">
        <v>12.5</v>
      </c>
      <c r="I443" s="22" t="inlineStr">
        <is>
          <t>USD</t>
        </is>
      </c>
      <c r="J443" s="22" t="inlineStr"/>
      <c r="K443" s="63" t="n">
        <v>13.1428820893535</v>
      </c>
      <c r="L443" s="22" t="inlineStr"/>
      <c r="M443" s="22" t="n">
        <v>6</v>
      </c>
      <c r="N443" s="22" t="inlineStr"/>
    </row>
    <row r="444">
      <c r="A444" s="22" t="inlineStr">
        <is>
          <t>R02154</t>
        </is>
      </c>
      <c r="B444" s="22" t="inlineStr">
        <is>
          <t>Izmir_Ucyol_Buca_Metro</t>
        </is>
      </c>
      <c r="C444" s="22" t="inlineStr">
        <is>
          <t>metro</t>
        </is>
      </c>
      <c r="D444" s="22" t="inlineStr">
        <is>
          <t>Erben A.Ş. (Bodet)</t>
        </is>
      </c>
      <c r="E444" s="22" t="inlineStr">
        <is>
          <t>2021-08-05</t>
        </is>
      </c>
      <c r="F444" s="22" t="inlineStr">
        <is>
          <t>GPS anten (montaj ayağı + 20 m kablo)</t>
        </is>
      </c>
      <c r="G444" s="22" t="inlineStr">
        <is>
          <t>adet</t>
        </is>
      </c>
      <c r="H444" s="63" t="n">
        <v>260</v>
      </c>
      <c r="I444" s="22" t="inlineStr">
        <is>
          <t>EUR</t>
        </is>
      </c>
      <c r="J444" s="22" t="inlineStr"/>
      <c r="K444" s="63" t="n">
        <v>321.634374884238</v>
      </c>
      <c r="L444" s="22" t="inlineStr">
        <is>
          <t>4012.H</t>
        </is>
      </c>
      <c r="M444" s="22" t="n">
        <v>1</v>
      </c>
      <c r="N444" s="22" t="inlineStr">
        <is>
          <t>Üçyol-Buca metro merkezi saat; indirimli (%20) fiyat, KDV/montaj/kablo/FAT hariç; liste 325</t>
        </is>
      </c>
    </row>
    <row r="445">
      <c r="A445" s="22" t="inlineStr">
        <is>
          <t>R02155</t>
        </is>
      </c>
      <c r="B445" s="22" t="inlineStr">
        <is>
          <t>Izmir_Ucyol_Buca_Metro</t>
        </is>
      </c>
      <c r="C445" s="22" t="inlineStr">
        <is>
          <t>metro</t>
        </is>
      </c>
      <c r="D445" s="22" t="inlineStr">
        <is>
          <t>Erben A.Ş. (Bodet)</t>
        </is>
      </c>
      <c r="E445" s="22" t="inlineStr">
        <is>
          <t>2021-08-05</t>
        </is>
      </c>
      <c r="F445" s="22" t="inlineStr">
        <is>
          <t>BODET HMS LED 30 dijital saat (konkors/istasyon kontrol odası/depo)</t>
        </is>
      </c>
      <c r="G445" s="22" t="inlineStr">
        <is>
          <t>adet</t>
        </is>
      </c>
      <c r="H445" s="63" t="n">
        <v>2544</v>
      </c>
      <c r="I445" s="22" t="inlineStr">
        <is>
          <t>EUR</t>
        </is>
      </c>
      <c r="J445" s="22" t="inlineStr"/>
      <c r="K445" s="63" t="n">
        <v>3147.06865271347</v>
      </c>
      <c r="L445" s="22" t="inlineStr">
        <is>
          <t>4012.A</t>
        </is>
      </c>
      <c r="M445" s="22" t="n">
        <v>1</v>
      </c>
      <c r="N445" s="22" t="inlineStr">
        <is>
          <t>Üçyol-Buca metro merkezi saat; indirimli (%20) fiyat, KDV/montaj/kablo/FAT hariç; liste 3.180 EUR; iç ortam</t>
        </is>
      </c>
    </row>
    <row r="446">
      <c r="A446" s="22" t="inlineStr">
        <is>
          <t>R02157</t>
        </is>
      </c>
      <c r="B446" s="22" t="inlineStr">
        <is>
          <t>Izmir_Ucyol_Buca_Metro</t>
        </is>
      </c>
      <c r="C446" s="22" t="inlineStr">
        <is>
          <t>metro</t>
        </is>
      </c>
      <c r="D446" s="22" t="inlineStr">
        <is>
          <t>Erben A.Ş. (Bodet)</t>
        </is>
      </c>
      <c r="E446" s="22" t="inlineStr">
        <is>
          <t>2021-08-05</t>
        </is>
      </c>
      <c r="F446" s="22" t="inlineStr">
        <is>
          <t>Çift taraflı saat montaj aparatı</t>
        </is>
      </c>
      <c r="G446" s="22" t="inlineStr">
        <is>
          <t>adet</t>
        </is>
      </c>
      <c r="H446" s="63" t="n">
        <v>392</v>
      </c>
      <c r="I446" s="22" t="inlineStr">
        <is>
          <t>EUR</t>
        </is>
      </c>
      <c r="J446" s="22" t="inlineStr"/>
      <c r="K446" s="63" t="n">
        <v>484.925672902389</v>
      </c>
      <c r="L446" s="22" t="inlineStr">
        <is>
          <t>4012.A</t>
        </is>
      </c>
      <c r="M446" s="22" t="n">
        <v>6</v>
      </c>
      <c r="N446" s="22" t="inlineStr">
        <is>
          <t xml:space="preserve">Üçyol-Buca metro merkezi saat; indirimli (%20) fiyat, KDV/montaj/kablo/FAT hariç; </t>
        </is>
      </c>
    </row>
    <row r="447">
      <c r="A447" s="22" t="inlineStr">
        <is>
          <t>R02168</t>
        </is>
      </c>
      <c r="B447" s="22" t="inlineStr">
        <is>
          <t>Izmir_Ucyol_Buca_Metro</t>
        </is>
      </c>
      <c r="C447" s="22" t="inlineStr">
        <is>
          <t>metro</t>
        </is>
      </c>
      <c r="D447" s="22" t="inlineStr">
        <is>
          <t>belirtilmemiş (Nokia 7250/7210 MPLS + ALE OmniSwitch + Aruba/T2G; hizmet satırları "TELKONET")</t>
        </is>
      </c>
      <c r="E447" s="22" t="inlineStr">
        <is>
          <t>2021-08-11</t>
        </is>
      </c>
      <c r="F447" s="22" t="inlineStr">
        <is>
          <t>3HE00028CA / SFP - GIGE LX - LC ROHS 6/6 DDM -40/85C</t>
        </is>
      </c>
      <c r="G447" s="22" t="inlineStr">
        <is>
          <t>adet</t>
        </is>
      </c>
      <c r="H447" s="63" t="n">
        <v>123.2434</v>
      </c>
      <c r="I447" s="22" t="inlineStr">
        <is>
          <t>EUR</t>
        </is>
      </c>
      <c r="J447" s="22" t="inlineStr"/>
      <c r="K447" s="63" t="n">
        <v>152.458899683108</v>
      </c>
      <c r="L447" s="22" t="inlineStr">
        <is>
          <t>4002.A</t>
        </is>
      </c>
      <c r="M447" s="22" t="n">
        <v>8</v>
      </c>
      <c r="N447" s="22" t="inlineStr">
        <is>
          <t>Üçyol-Buca metro 11 istasyon;  [sayfa: Mpls]</t>
        </is>
      </c>
    </row>
    <row r="448">
      <c r="A448" s="22" t="inlineStr">
        <is>
          <t>R02188</t>
        </is>
      </c>
      <c r="B448" s="22" t="inlineStr">
        <is>
          <t>Izmir_Ucyol_Buca_Metro</t>
        </is>
      </c>
      <c r="C448" s="22" t="inlineStr">
        <is>
          <t>metro</t>
        </is>
      </c>
      <c r="D448" s="22" t="inlineStr">
        <is>
          <t>belirtilmemiş (Nokia 7250/7210 MPLS + ALE OmniSwitch + Aruba/T2G; hizmet satırları "TELKONET")</t>
        </is>
      </c>
      <c r="E448" s="22" t="inlineStr">
        <is>
          <t>2021-08-11</t>
        </is>
      </c>
      <c r="F448" s="22" t="inlineStr">
        <is>
          <t>SFP-GIG-LX / 1000Base-LX Gigabit Ethernet optical transceiver SFP MSA). Supports single mode fiber over 1310nm wavelength nominal) with an LC connector. Typical reach of 10 Km on 9/125 m SMF.</t>
        </is>
      </c>
      <c r="G448" s="22" t="inlineStr">
        <is>
          <t>adet</t>
        </is>
      </c>
      <c r="H448" s="63" t="n">
        <v>127.6878</v>
      </c>
      <c r="I448" s="22" t="inlineStr">
        <is>
          <t>EUR</t>
        </is>
      </c>
      <c r="J448" s="22" t="inlineStr"/>
      <c r="K448" s="63" t="n">
        <v>157.956868205168</v>
      </c>
      <c r="L448" s="22" t="inlineStr">
        <is>
          <t>4002.A</t>
        </is>
      </c>
      <c r="M448" s="22" t="n">
        <v>8</v>
      </c>
      <c r="N448" s="22" t="inlineStr">
        <is>
          <t>Üçyol-Buca metro 11 istasyon;  [sayfa: Switch]</t>
        </is>
      </c>
    </row>
    <row r="449">
      <c r="A449" s="22" t="inlineStr">
        <is>
          <t>R02196</t>
        </is>
      </c>
      <c r="B449" s="22" t="inlineStr">
        <is>
          <t>Izmir_Ucyol_Buca_Metro</t>
        </is>
      </c>
      <c r="C449" s="22" t="inlineStr">
        <is>
          <t>metro</t>
        </is>
      </c>
      <c r="D449" s="22" t="inlineStr">
        <is>
          <t>belirtilmemiş (Nokia 7250/7210 MPLS + ALE OmniSwitch + Aruba/T2G; hizmet satırları "TELKONET")</t>
        </is>
      </c>
      <c r="E449" s="22" t="inlineStr">
        <is>
          <t>2021-08-11</t>
        </is>
      </c>
      <c r="F449" s="22" t="inlineStr">
        <is>
          <t>OS6465-P6 / Hardened GigE fan-less switch. 4x10/100/1000 RJ-45 PoE+ (2x60W PoE), 2x100/1000 Base-X SFP,RS-232 Console, Alarm relay: 1 In 1 out &amp; USB port. Includes user manual, access card &amp; TS-35/7.5</t>
        </is>
      </c>
      <c r="G449" s="22" t="inlineStr">
        <is>
          <t>adet</t>
        </is>
      </c>
      <c r="H449" s="63" t="n">
        <v>594.7317</v>
      </c>
      <c r="I449" s="22" t="inlineStr">
        <is>
          <t>EUR</t>
        </is>
      </c>
      <c r="J449" s="22" t="inlineStr"/>
      <c r="K449" s="63" t="n">
        <v>735.715994435923</v>
      </c>
      <c r="L449" s="22" t="inlineStr">
        <is>
          <t>4002.A</t>
        </is>
      </c>
      <c r="M449" s="22" t="n">
        <v>4</v>
      </c>
      <c r="N449" s="22" t="inlineStr">
        <is>
          <t>Üçyol-Buca metro 11 istasyon;  [sayfa: Switch]</t>
        </is>
      </c>
    </row>
    <row r="450">
      <c r="A450" s="22" t="inlineStr">
        <is>
          <t>R02197</t>
        </is>
      </c>
      <c r="B450" s="22" t="inlineStr">
        <is>
          <t>Izmir_Ucyol_Buca_Metro</t>
        </is>
      </c>
      <c r="C450" s="22" t="inlineStr">
        <is>
          <t>metro</t>
        </is>
      </c>
      <c r="D450" s="22" t="inlineStr">
        <is>
          <t>belirtilmemiş (Nokia 7250/7210 MPLS + ALE OmniSwitch + Aruba/T2G; hizmet satırları "TELKONET")</t>
        </is>
      </c>
      <c r="E450" s="22" t="inlineStr">
        <is>
          <t>2021-08-11</t>
        </is>
      </c>
      <c r="F450" s="22" t="inlineStr">
        <is>
          <t>OS6465-BPN-H / OS6465 modular DIN 180W AC backup power supply. Provides system &amp; PoE power to one OS6465-P6 or OS6465-P12 switch. Ships with country specific power cord &amp; TS-35/7.5 or 15 DIN rail moun</t>
        </is>
      </c>
      <c r="G450" s="22" t="inlineStr">
        <is>
          <t>adet</t>
        </is>
      </c>
      <c r="H450" s="63" t="n">
        <v>140.4878</v>
      </c>
      <c r="I450" s="22" t="inlineStr">
        <is>
          <t>EUR</t>
        </is>
      </c>
      <c r="J450" s="22" t="inlineStr"/>
      <c r="K450" s="63" t="n">
        <v>173.791175891776</v>
      </c>
      <c r="L450" s="22" t="inlineStr">
        <is>
          <t>4002.A</t>
        </is>
      </c>
      <c r="M450" s="22" t="n">
        <v>1</v>
      </c>
      <c r="N450" s="22" t="inlineStr">
        <is>
          <t>Üçyol-Buca metro 11 istasyon;  [sayfa: Switch]</t>
        </is>
      </c>
    </row>
    <row r="451">
      <c r="A451" s="22" t="inlineStr">
        <is>
          <t>R02199</t>
        </is>
      </c>
      <c r="B451" s="22" t="inlineStr">
        <is>
          <t>Izmir_Ucyol_Buca_Metro</t>
        </is>
      </c>
      <c r="C451" s="22" t="inlineStr">
        <is>
          <t>metro</t>
        </is>
      </c>
      <c r="D451" s="22" t="inlineStr">
        <is>
          <t>belirtilmemiş (Nokia 7250/7210 MPLS + ALE OmniSwitch + Aruba/T2G; hizmet satırları "TELKONET")</t>
        </is>
      </c>
      <c r="E451" s="22" t="inlineStr">
        <is>
          <t>2021-08-11</t>
        </is>
      </c>
      <c r="F451" s="22" t="inlineStr">
        <is>
          <t>OS6465-P12-XX / Hardened GigE fan-less switch. 8x10/100/1000 Base-T RJ-45 PoE+ (4x60W PoE), 4x100/1000 Base-X SFP,RS-232 Console, Alarm relay: 1 In 1 out &amp; USB port.Includes 75W AC PSU, US power cord,</t>
        </is>
      </c>
      <c r="G451" s="22" t="inlineStr">
        <is>
          <t>adet</t>
        </is>
      </c>
      <c r="H451" s="63" t="n">
        <v>772.0585</v>
      </c>
      <c r="I451" s="22" t="inlineStr">
        <is>
          <t>EUR</t>
        </is>
      </c>
      <c r="J451" s="22" t="inlineStr"/>
      <c r="K451" s="63" t="n">
        <v>955.079050082932</v>
      </c>
      <c r="L451" s="22" t="inlineStr">
        <is>
          <t>4002.A</t>
        </is>
      </c>
      <c r="M451" s="22" t="n">
        <v>9</v>
      </c>
      <c r="N451" s="22" t="inlineStr">
        <is>
          <t>Üçyol-Buca metro 11 istasyon;  [sayfa: Switch]</t>
        </is>
      </c>
    </row>
    <row r="452">
      <c r="A452" s="22" t="inlineStr">
        <is>
          <t>R02200</t>
        </is>
      </c>
      <c r="B452" s="22" t="inlineStr">
        <is>
          <t>Izmir_Ucyol_Buca_Metro</t>
        </is>
      </c>
      <c r="C452" s="22" t="inlineStr">
        <is>
          <t>metro</t>
        </is>
      </c>
      <c r="D452" s="22" t="inlineStr">
        <is>
          <t>belirtilmemiş (Nokia 7250/7210 MPLS + ALE OmniSwitch + Aruba/T2G; hizmet satırları "TELKONET")</t>
        </is>
      </c>
      <c r="E452" s="22" t="inlineStr">
        <is>
          <t>2021-08-11</t>
        </is>
      </c>
      <c r="F452" s="22" t="inlineStr">
        <is>
          <t>OS6465-BPN-H / OS6465 modular DIN 180W AC backup power supply. Provides system &amp; PoE power to one OS6465-P6 or OS6465-P12 switch. Ships with country specific power cord &amp; TS-35/7.5 or 15 DIN rail moun</t>
        </is>
      </c>
      <c r="G452" s="22" t="inlineStr">
        <is>
          <t>adet</t>
        </is>
      </c>
      <c r="H452" s="63" t="n">
        <v>140.4878</v>
      </c>
      <c r="I452" s="22" t="inlineStr">
        <is>
          <t>EUR</t>
        </is>
      </c>
      <c r="J452" s="22" t="inlineStr"/>
      <c r="K452" s="63" t="n">
        <v>173.791175891776</v>
      </c>
      <c r="L452" s="22" t="inlineStr">
        <is>
          <t>4002.A</t>
        </is>
      </c>
      <c r="M452" s="22" t="n">
        <v>6</v>
      </c>
      <c r="N452" s="22" t="inlineStr">
        <is>
          <t>Üçyol-Buca metro 11 istasyon;  [sayfa: Switch]</t>
        </is>
      </c>
    </row>
    <row r="453">
      <c r="A453" s="22" t="inlineStr">
        <is>
          <t>R02201</t>
        </is>
      </c>
      <c r="B453" s="22" t="inlineStr">
        <is>
          <t>Izmir_Ucyol_Buca_Metro</t>
        </is>
      </c>
      <c r="C453" s="22" t="inlineStr">
        <is>
          <t>metro</t>
        </is>
      </c>
      <c r="D453" s="22" t="inlineStr">
        <is>
          <t>belirtilmemiş (Nokia 7250/7210 MPLS + ALE OmniSwitch + Aruba/T2G; hizmet satırları "TELKONET")</t>
        </is>
      </c>
      <c r="E453" s="22" t="inlineStr">
        <is>
          <t>2021-08-11</t>
        </is>
      </c>
      <c r="F453" s="22" t="inlineStr">
        <is>
          <t>ISFP-GIG-LX / 1000Base-LX Industrial Gigabit Ethernet optical transceiver (SFP MSA). Supports single mode fiber over 1310nm wavelength (nominal) with an LC connector. Typical reach of 10 Km on 9/125 ,</t>
        </is>
      </c>
      <c r="G453" s="22" t="inlineStr">
        <is>
          <t>adet</t>
        </is>
      </c>
      <c r="H453" s="63" t="n">
        <v>121.1317</v>
      </c>
      <c r="I453" s="22" t="inlineStr">
        <is>
          <t>EUR</t>
        </is>
      </c>
      <c r="J453" s="22" t="inlineStr"/>
      <c r="K453" s="63" t="n">
        <v>149.846610031404</v>
      </c>
      <c r="L453" s="22" t="inlineStr">
        <is>
          <t>4002.A</t>
        </is>
      </c>
      <c r="M453" s="22" t="n">
        <v>8</v>
      </c>
      <c r="N453" s="22" t="inlineStr">
        <is>
          <t>Üçyol-Buca metro 11 istasyon;  [sayfa: Switch]</t>
        </is>
      </c>
    </row>
    <row r="454">
      <c r="A454" s="22" t="inlineStr">
        <is>
          <t>R02228</t>
        </is>
      </c>
      <c r="B454" s="22" t="inlineStr">
        <is>
          <t>Izmir_Ucyol_Buca_Metro</t>
        </is>
      </c>
      <c r="C454" s="22" t="inlineStr">
        <is>
          <t>metro</t>
        </is>
      </c>
      <c r="D454" s="22" t="inlineStr">
        <is>
          <t>belirtilmemiş (Nokia 7250/7210 MPLS + ALE OmniSwitch + Aruba/T2G; hizmet satırları "TELKONET")</t>
        </is>
      </c>
      <c r="E454" s="22" t="inlineStr">
        <is>
          <t>2021-08-11</t>
        </is>
      </c>
      <c r="F454" s="22" t="inlineStr">
        <is>
          <t>CSS-X-4280A / 42U 800x1000mm 19" Inorax-Series Server Cabin</t>
        </is>
      </c>
      <c r="G454" s="22" t="inlineStr">
        <is>
          <t>adet</t>
        </is>
      </c>
      <c r="H454" s="63" t="n">
        <v>600.6623</v>
      </c>
      <c r="I454" s="22" t="inlineStr">
        <is>
          <t>EUR</t>
        </is>
      </c>
      <c r="J454" s="22" t="inlineStr"/>
      <c r="K454" s="63" t="n">
        <v>743.052474527033</v>
      </c>
      <c r="L454" s="22" t="inlineStr">
        <is>
          <t>4002</t>
        </is>
      </c>
      <c r="M454" s="22" t="n">
        <v>4</v>
      </c>
      <c r="N454" s="22" t="inlineStr">
        <is>
          <t>Üçyol-Buca metro 11 istasyon;  [sayfa: Cabling]</t>
        </is>
      </c>
    </row>
    <row r="455">
      <c r="A455" s="22" t="inlineStr">
        <is>
          <t>R02236</t>
        </is>
      </c>
      <c r="B455" s="22" t="inlineStr">
        <is>
          <t>Izmir_Ucyol_Buca_Metro</t>
        </is>
      </c>
      <c r="C455" s="22" t="inlineStr">
        <is>
          <t>metro</t>
        </is>
      </c>
      <c r="D455" s="22" t="inlineStr">
        <is>
          <t>belirtilmemiş (Nokia 7250/7210 MPLS + ALE OmniSwitch + Aruba/T2G; hizmet satırları "TELKONET")</t>
        </is>
      </c>
      <c r="E455" s="22" t="inlineStr">
        <is>
          <t>2021-08-11</t>
        </is>
      </c>
      <c r="F455" s="22" t="inlineStr">
        <is>
          <t>48417100HDDY / 3.0 meter LC/UPC-LC/UPC Duplex SM Fiber Optik Patch Cord, LSZH, (Yellow) G652D</t>
        </is>
      </c>
      <c r="G455" s="22" t="inlineStr">
        <is>
          <t>adet</t>
        </is>
      </c>
      <c r="H455" s="63" t="n">
        <v>5.3557</v>
      </c>
      <c r="I455" s="22" t="inlineStr">
        <is>
          <t>EUR</t>
        </is>
      </c>
      <c r="J455" s="22" t="inlineStr"/>
      <c r="K455" s="63" t="n">
        <v>6.62529700602889</v>
      </c>
      <c r="L455" s="22" t="inlineStr">
        <is>
          <t>4003</t>
        </is>
      </c>
      <c r="M455" s="22" t="n">
        <v>6</v>
      </c>
      <c r="N455" s="22" t="inlineStr">
        <is>
          <t>Üçyol-Buca metro 11 istasyon;  [sayfa: Cabling]</t>
        </is>
      </c>
    </row>
    <row r="456">
      <c r="A456" s="22" t="inlineStr">
        <is>
          <t>R02238</t>
        </is>
      </c>
      <c r="B456" s="22" t="inlineStr">
        <is>
          <t>Izmir_Ucyol_Buca_Metro</t>
        </is>
      </c>
      <c r="C456" s="22" t="inlineStr">
        <is>
          <t>metro</t>
        </is>
      </c>
      <c r="D456" s="22" t="inlineStr">
        <is>
          <t>belirtilmemiş (Nokia 7250/7210 MPLS + ALE OmniSwitch + Aruba/T2G; hizmet satırları "TELKONET")</t>
        </is>
      </c>
      <c r="E456" s="22" t="inlineStr">
        <is>
          <t>2021-08-11</t>
        </is>
      </c>
      <c r="F456" s="22" t="inlineStr">
        <is>
          <t>48743320XAAD / Cat.7 S/FTP 22AWG Kablo, LSZH, (Grey), 500m Kutu</t>
        </is>
      </c>
      <c r="G456" s="22" t="inlineStr">
        <is>
          <t>m</t>
        </is>
      </c>
      <c r="H456" s="63" t="n">
        <v>1.1305</v>
      </c>
      <c r="I456" s="22" t="inlineStr">
        <is>
          <t>EUR</t>
        </is>
      </c>
      <c r="J456" s="22" t="inlineStr"/>
      <c r="K456" s="63" t="n">
        <v>1.39849100310243</v>
      </c>
      <c r="L456" s="22" t="inlineStr">
        <is>
          <t>4002</t>
        </is>
      </c>
      <c r="M456" s="22" t="n">
        <v>42</v>
      </c>
      <c r="N456" s="22" t="inlineStr">
        <is>
          <t>Üçyol-Buca metro 11 istasyon;  [sayfa: Cabling]</t>
        </is>
      </c>
    </row>
    <row r="457">
      <c r="A457" s="22" t="inlineStr">
        <is>
          <t>R02239</t>
        </is>
      </c>
      <c r="B457" s="22" t="inlineStr">
        <is>
          <t>Izmir_Ucyol_Buca_Metro</t>
        </is>
      </c>
      <c r="C457" s="22" t="inlineStr">
        <is>
          <t>metro</t>
        </is>
      </c>
      <c r="D457" s="22" t="inlineStr">
        <is>
          <t>belirtilmemiş (Nokia 7250/7210 MPLS + ALE OmniSwitch + Aruba/T2G; hizmet satırları "TELKONET")</t>
        </is>
      </c>
      <c r="E457" s="22" t="inlineStr">
        <is>
          <t>2021-08-11</t>
        </is>
      </c>
      <c r="F457" s="22" t="inlineStr">
        <is>
          <t>48017001KBAK / 24 Port  Patch Panel, 1U 19” (Black) FTP</t>
        </is>
      </c>
      <c r="G457" s="22" t="inlineStr">
        <is>
          <t>adet</t>
        </is>
      </c>
      <c r="H457" s="63" t="n">
        <v>20.0297</v>
      </c>
      <c r="I457" s="22" t="inlineStr">
        <is>
          <t>EUR</t>
        </is>
      </c>
      <c r="J457" s="22" t="inlineStr"/>
      <c r="K457" s="63" t="n">
        <v>24.7778463023801</v>
      </c>
      <c r="L457" s="22" t="inlineStr">
        <is>
          <t>4002.A</t>
        </is>
      </c>
      <c r="M457" s="22" t="n">
        <v>6</v>
      </c>
      <c r="N457" s="22" t="inlineStr">
        <is>
          <t>Üçyol-Buca metro 11 istasyon;  [sayfa: Cabling]</t>
        </is>
      </c>
    </row>
    <row r="458">
      <c r="A458" s="22" t="inlineStr">
        <is>
          <t>R02241</t>
        </is>
      </c>
      <c r="B458" s="22" t="inlineStr">
        <is>
          <t>Izmir_Ucyol_Buca_Metro</t>
        </is>
      </c>
      <c r="C458" s="22" t="inlineStr">
        <is>
          <t>metro</t>
        </is>
      </c>
      <c r="D458" s="22" t="inlineStr">
        <is>
          <t>belirtilmemiş (Nokia 7250/7210 MPLS + ALE OmniSwitch + Aruba/T2G; hizmet satırları "TELKONET")</t>
        </is>
      </c>
      <c r="E458" s="22" t="inlineStr">
        <is>
          <t>2021-08-11</t>
        </is>
      </c>
      <c r="F458" s="22" t="inlineStr">
        <is>
          <t>48417100FFHD / 1 meter Cat.6A S/FTP LSZH Patch cord, (Grey)</t>
        </is>
      </c>
      <c r="G458" s="22" t="inlineStr">
        <is>
          <t>adet</t>
        </is>
      </c>
      <c r="H458" s="63" t="n">
        <v>3.0262</v>
      </c>
      <c r="I458" s="22" t="inlineStr">
        <is>
          <t>EUR</t>
        </is>
      </c>
      <c r="J458" s="22" t="inlineStr"/>
      <c r="K458" s="63" t="n">
        <v>3.74357671259492</v>
      </c>
      <c r="L458" s="22" t="inlineStr">
        <is>
          <t>4002.A</t>
        </is>
      </c>
      <c r="M458" s="22" t="n">
        <v>6</v>
      </c>
      <c r="N458" s="22" t="inlineStr">
        <is>
          <t>Üçyol-Buca metro 11 istasyon;  [sayfa: Cabling]</t>
        </is>
      </c>
    </row>
    <row r="459">
      <c r="A459" s="22" t="inlineStr">
        <is>
          <t>R02249</t>
        </is>
      </c>
      <c r="B459" s="22" t="inlineStr">
        <is>
          <t>Izmir_Ucyol_Buca_Metro</t>
        </is>
      </c>
      <c r="C459" s="22" t="inlineStr">
        <is>
          <t>metro</t>
        </is>
      </c>
      <c r="D459" s="22" t="inlineStr">
        <is>
          <t>belirtilmemiş (Nokia 7250/7210 MPLS + ALE OmniSwitch + Aruba/T2G; hizmet satırları "TELKONET")</t>
        </is>
      </c>
      <c r="E459" s="22" t="inlineStr">
        <is>
          <t>2021-08-11</t>
        </is>
      </c>
      <c r="F459" s="22" t="inlineStr">
        <is>
          <t>Özet: LLD&amp;HLD Documentation, Node Configuration</t>
        </is>
      </c>
      <c r="G459" s="22" t="inlineStr">
        <is>
          <t>set</t>
        </is>
      </c>
      <c r="H459" s="63" t="n">
        <v>56634.26</v>
      </c>
      <c r="I459" s="22" t="inlineStr">
        <is>
          <t>EUR</t>
        </is>
      </c>
      <c r="J459" s="22" t="inlineStr"/>
      <c r="K459" s="63" t="n">
        <v>70059.71081588999</v>
      </c>
      <c r="L459" s="22" t="inlineStr">
        <is>
          <t>4001-4003</t>
        </is>
      </c>
      <c r="M459" s="22" t="n">
        <v>1</v>
      </c>
      <c r="N459" s="22" t="inlineStr">
        <is>
          <t xml:space="preserve">Üçyol-Buca metro 11 istasyon; </t>
        </is>
      </c>
    </row>
    <row r="460">
      <c r="A460" s="22" t="inlineStr">
        <is>
          <t>R02252</t>
        </is>
      </c>
      <c r="B460" s="22" t="inlineStr">
        <is>
          <t>KONYA_ALAADDIN_ADLIYE_TRAMVAY_PROJESI</t>
        </is>
      </c>
      <c r="C460" s="22" t="inlineStr">
        <is>
          <t>tramvay</t>
        </is>
      </c>
      <c r="D460" s="22" t="inlineStr">
        <is>
          <t>Elmak Kontrol Sistemleri</t>
        </is>
      </c>
      <c r="E460" s="22" t="inlineStr">
        <is>
          <t>2013-06-18</t>
        </is>
      </c>
      <c r="F460" s="22" t="inlineStr">
        <is>
          <t>B.056 RTU programlama</t>
        </is>
      </c>
      <c r="G460" s="22" t="inlineStr">
        <is>
          <t>set</t>
        </is>
      </c>
      <c r="H460" s="63" t="n">
        <v>25988</v>
      </c>
      <c r="I460" s="22" t="inlineStr">
        <is>
          <t>EUR</t>
        </is>
      </c>
      <c r="J460" s="22" t="inlineStr"/>
      <c r="K460" s="63" t="n">
        <v>34808.0322193924</v>
      </c>
      <c r="L460" s="22" t="inlineStr">
        <is>
          <t>4015</t>
        </is>
      </c>
      <c r="M460" s="22" t="n">
        <v>1</v>
      </c>
      <c r="N460" s="22" t="inlineStr">
        <is>
          <t xml:space="preserve">Konya Alaaddin-Adliye tramvay SCADA (3 RTU lokasyonu); KDV hariç; </t>
        </is>
      </c>
    </row>
    <row r="461">
      <c r="A461" s="22" t="inlineStr">
        <is>
          <t>R02255</t>
        </is>
      </c>
      <c r="B461" s="22" t="inlineStr">
        <is>
          <t>KONYA_ALAADDIN_ADLIYE_TRAMVAY_PROJESI</t>
        </is>
      </c>
      <c r="C461" s="22" t="inlineStr">
        <is>
          <t>tramvay</t>
        </is>
      </c>
      <c r="D461" s="22" t="inlineStr">
        <is>
          <t>Elmak Kontrol Sistemleri</t>
        </is>
      </c>
      <c r="E461" s="22" t="inlineStr">
        <is>
          <t>2013-06-18</t>
        </is>
      </c>
      <c r="F461" s="22" t="inlineStr">
        <is>
          <t>B.059 RTU geliştirme programı</t>
        </is>
      </c>
      <c r="G461" s="22" t="inlineStr">
        <is>
          <t>set</t>
        </is>
      </c>
      <c r="H461" s="63" t="n">
        <v>2500</v>
      </c>
      <c r="I461" s="22" t="inlineStr">
        <is>
          <t>EUR</t>
        </is>
      </c>
      <c r="J461" s="22" t="inlineStr"/>
      <c r="K461" s="63" t="n">
        <v>3348.47162338313</v>
      </c>
      <c r="L461" s="22" t="inlineStr">
        <is>
          <t>4016.I</t>
        </is>
      </c>
      <c r="M461" s="22" t="n">
        <v>1</v>
      </c>
      <c r="N461" s="22" t="inlineStr">
        <is>
          <t xml:space="preserve">Konya Alaaddin-Adliye tramvay SCADA (3 RTU lokasyonu); KDV hariç; </t>
        </is>
      </c>
    </row>
    <row r="462">
      <c r="A462" s="22" t="inlineStr">
        <is>
          <t>R02256</t>
        </is>
      </c>
      <c r="B462" s="22" t="inlineStr">
        <is>
          <t>KONYA_ALAADDIN_ADLIYE_TRAMVAY_PROJESI</t>
        </is>
      </c>
      <c r="C462" s="22" t="inlineStr">
        <is>
          <t>tramvay</t>
        </is>
      </c>
      <c r="D462" s="22" t="inlineStr">
        <is>
          <t>Elmak Kontrol Sistemleri</t>
        </is>
      </c>
      <c r="E462" s="22" t="inlineStr">
        <is>
          <t>2013-06-18</t>
        </is>
      </c>
      <c r="F462" s="22" t="inlineStr">
        <is>
          <t>B.060 RTU panosu ve ekipmanları</t>
        </is>
      </c>
      <c r="G462" s="22" t="inlineStr">
        <is>
          <t>set</t>
        </is>
      </c>
      <c r="H462" s="63" t="n">
        <v>14505</v>
      </c>
      <c r="I462" s="22" t="inlineStr">
        <is>
          <t>EUR</t>
        </is>
      </c>
      <c r="J462" s="22" t="inlineStr"/>
      <c r="K462" s="63" t="n">
        <v>19427.8323588689</v>
      </c>
      <c r="L462" s="22" t="inlineStr">
        <is>
          <t>4016.H</t>
        </is>
      </c>
      <c r="M462" s="22" t="n">
        <v>2</v>
      </c>
      <c r="N462" s="22" t="inlineStr">
        <is>
          <t xml:space="preserve">Konya Alaaddin-Adliye tramvay SCADA (3 RTU lokasyonu); KDV hariç; </t>
        </is>
      </c>
    </row>
    <row r="463">
      <c r="A463" s="22" t="inlineStr">
        <is>
          <t>R02269</t>
        </is>
      </c>
      <c r="B463" s="22" t="inlineStr">
        <is>
          <t>Kabatas_Mecidiyekoy_Mahmutbey_Metro</t>
        </is>
      </c>
      <c r="C463" s="22" t="inlineStr">
        <is>
          <t>metro</t>
        </is>
      </c>
      <c r="D463" s="22" t="inlineStr">
        <is>
          <t>Erben A.Ş. (Bodet) [MS- teklif no serisi]</t>
        </is>
      </c>
      <c r="E463" s="22" t="inlineStr">
        <is>
          <t>2015-04-07</t>
        </is>
      </c>
      <c r="F463" s="22" t="inlineStr">
        <is>
          <t>BODET Profil 960 çift taraflı harici ortam LED analog saat</t>
        </is>
      </c>
      <c r="G463" s="22" t="inlineStr">
        <is>
          <t>adet</t>
        </is>
      </c>
      <c r="H463" s="63" t="n">
        <v>1785</v>
      </c>
      <c r="I463" s="22" t="inlineStr">
        <is>
          <t>EUR</t>
        </is>
      </c>
      <c r="J463" s="22" t="inlineStr"/>
      <c r="K463" s="63" t="n">
        <v>2374.14473314747</v>
      </c>
      <c r="L463" s="22" t="inlineStr">
        <is>
          <t>4012.A</t>
        </is>
      </c>
      <c r="M463" s="22" t="n">
        <v>7</v>
      </c>
      <c r="N463" s="22" t="inlineStr">
        <is>
          <t>KMM metro (18 yeraltı istasyon); KDV hariç; liste fiyat; toplamda %20 iskonto =&gt; ~1.428</t>
        </is>
      </c>
    </row>
    <row r="464">
      <c r="A464" s="22" t="inlineStr">
        <is>
          <t>R02274</t>
        </is>
      </c>
      <c r="B464" s="22" t="inlineStr">
        <is>
          <t>Kabatas_Mecidiyekoy_Mahmutbey_Metro</t>
        </is>
      </c>
      <c r="C464" s="22" t="inlineStr">
        <is>
          <t>metro</t>
        </is>
      </c>
      <c r="D464" s="22" t="inlineStr">
        <is>
          <t>Ateksis (Bosch)</t>
        </is>
      </c>
      <c r="E464" s="22" t="inlineStr">
        <is>
          <t>2015-04-08</t>
        </is>
      </c>
      <c r="F464" s="22" t="inlineStr">
        <is>
          <t>ARD-R10 / Iclass Wiegand Proximity Kart Okuyucu, 9 cm Okuma Mesafesi</t>
        </is>
      </c>
      <c r="G464" s="22" t="inlineStr">
        <is>
          <t>Ad.</t>
        </is>
      </c>
      <c r="H464" s="63" t="n">
        <v>64</v>
      </c>
      <c r="I464" s="22" t="inlineStr">
        <is>
          <t>EUR</t>
        </is>
      </c>
      <c r="J464" s="22" t="inlineStr"/>
      <c r="K464" s="63" t="n">
        <v>85.123396594643</v>
      </c>
      <c r="L464" s="22" t="inlineStr">
        <is>
          <t>4014.A</t>
        </is>
      </c>
      <c r="M464" s="22" t="n">
        <v>7</v>
      </c>
      <c r="N464" s="22" t="inlineStr">
        <is>
          <t>KMM metro (18 yeraltı istasyon); KDV hariç; malzeme fiyatı; kablo/montaj/proje hariç; devreye alma ayrı [sayfa: AC]</t>
        </is>
      </c>
    </row>
    <row r="465">
      <c r="A465" s="22" t="inlineStr">
        <is>
          <t>R02280</t>
        </is>
      </c>
      <c r="B465" s="22" t="inlineStr">
        <is>
          <t>Kabatas_Mecidiyekoy_Mahmutbey_Metro</t>
        </is>
      </c>
      <c r="C465" s="22" t="inlineStr">
        <is>
          <t>metro</t>
        </is>
      </c>
      <c r="D465" s="22" t="inlineStr">
        <is>
          <t>Ateksis (Bosch)</t>
        </is>
      </c>
      <c r="E465" s="22" t="inlineStr">
        <is>
          <t>2015-04-08</t>
        </is>
      </c>
      <c r="F465" s="22" t="inlineStr">
        <is>
          <t>APC-AMC2-4WCF / AMC2 4 Okuyucu Kapasiteli Kontrol Ünitesi, 2 GB Kompakt Flash Bellek, LCD Display, Ethernet 10/100BaseT (TCP/IP), Tamper Switch</t>
        </is>
      </c>
      <c r="G465" s="22" t="inlineStr">
        <is>
          <t>Ad.</t>
        </is>
      </c>
      <c r="H465" s="63" t="n">
        <v>715</v>
      </c>
      <c r="I465" s="22" t="inlineStr">
        <is>
          <t>EUR</t>
        </is>
      </c>
      <c r="J465" s="22" t="inlineStr"/>
      <c r="K465" s="63" t="n">
        <v>950.987946330778</v>
      </c>
      <c r="L465" s="22" t="inlineStr">
        <is>
          <t>4014.A</t>
        </is>
      </c>
      <c r="M465" s="22" t="n">
        <v>1</v>
      </c>
      <c r="N465" s="22" t="inlineStr">
        <is>
          <t>KMM metro (18 yeraltı istasyon); KDV hariç; malzeme fiyatı; kablo/montaj/proje hariç; devreye alma ayrı [sayfa: AC]</t>
        </is>
      </c>
    </row>
    <row r="466">
      <c r="A466" s="22" t="inlineStr">
        <is>
          <t>R02282</t>
        </is>
      </c>
      <c r="B466" s="22" t="inlineStr">
        <is>
          <t>Kabatas_Mecidiyekoy_Mahmutbey_Metro</t>
        </is>
      </c>
      <c r="C466" s="22" t="inlineStr">
        <is>
          <t>metro</t>
        </is>
      </c>
      <c r="D466" s="22" t="inlineStr">
        <is>
          <t>Ateksis (Bosch)</t>
        </is>
      </c>
      <c r="E466" s="22" t="inlineStr">
        <is>
          <t>2015-04-08</t>
        </is>
      </c>
      <c r="F466" s="22" t="inlineStr">
        <is>
          <t>API-AMC2-4WE / AMC2 4 Okuyucu Kapasiteli Genişleme Ünitesi, 4WCF Kontrol Ünitesine RS485 Bağlantı</t>
        </is>
      </c>
      <c r="G466" s="22" t="inlineStr">
        <is>
          <t>Ad.</t>
        </is>
      </c>
      <c r="H466" s="63" t="n">
        <v>569</v>
      </c>
      <c r="I466" s="22" t="inlineStr">
        <is>
          <t>EUR</t>
        </is>
      </c>
      <c r="J466" s="22" t="inlineStr"/>
      <c r="K466" s="63" t="n">
        <v>756.800197849248</v>
      </c>
      <c r="L466" s="22" t="inlineStr">
        <is>
          <t>4014.A</t>
        </is>
      </c>
      <c r="M466" s="22" t="n">
        <v>1</v>
      </c>
      <c r="N466" s="22" t="inlineStr">
        <is>
          <t>KMM metro (18 yeraltı istasyon); KDV hariç; malzeme fiyatı; kablo/montaj/proje hariç; devreye alma ayrı [sayfa: AC]</t>
        </is>
      </c>
    </row>
    <row r="467">
      <c r="A467" s="22" t="inlineStr">
        <is>
          <t>R02287</t>
        </is>
      </c>
      <c r="B467" s="22" t="inlineStr">
        <is>
          <t>Kabatas_Mecidiyekoy_Mahmutbey_Metro</t>
        </is>
      </c>
      <c r="C467" s="22" t="inlineStr">
        <is>
          <t>metro</t>
        </is>
      </c>
      <c r="D467" s="22" t="inlineStr">
        <is>
          <t>Ateksis (Bosch)</t>
        </is>
      </c>
      <c r="E467" s="22" t="inlineStr">
        <is>
          <t>2015-04-08</t>
        </is>
      </c>
      <c r="F467" s="22" t="inlineStr">
        <is>
          <t>HP / İzleme Bilgisayarı, Monitör Dahil</t>
        </is>
      </c>
      <c r="G467" s="22" t="inlineStr">
        <is>
          <t>Ad.</t>
        </is>
      </c>
      <c r="H467" s="63" t="n">
        <v>1500</v>
      </c>
      <c r="I467" s="22" t="inlineStr">
        <is>
          <t>EUR</t>
        </is>
      </c>
      <c r="J467" s="22" t="inlineStr"/>
      <c r="K467" s="63" t="n">
        <v>1995.07960768695</v>
      </c>
      <c r="L467" s="22" t="inlineStr">
        <is>
          <t>4014</t>
        </is>
      </c>
      <c r="M467" s="22" t="n">
        <v>2</v>
      </c>
      <c r="N467" s="22" t="inlineStr">
        <is>
          <t>KMM metro (18 yeraltı istasyon); KDV hariç; malzeme fiyatı; kablo/montaj/proje hariç; devreye alma ayrı [sayfa: AC]</t>
        </is>
      </c>
    </row>
    <row r="468">
      <c r="A468" s="22" t="inlineStr">
        <is>
          <t>R02297</t>
        </is>
      </c>
      <c r="B468" s="22" t="inlineStr">
        <is>
          <t>Kabatas_Mecidiyekoy_Mahmutbey_Metro</t>
        </is>
      </c>
      <c r="C468" s="22" t="inlineStr">
        <is>
          <t>metro</t>
        </is>
      </c>
      <c r="D468" s="22" t="inlineStr">
        <is>
          <t>Ateksis (Bosch)</t>
        </is>
      </c>
      <c r="E468" s="22" t="inlineStr">
        <is>
          <t>2015-04-08</t>
        </is>
      </c>
      <c r="F468" s="22" t="inlineStr">
        <is>
          <t>281-000 / 12/24 V DC Manyetik Kilit 500 kg</t>
        </is>
      </c>
      <c r="G468" s="22" t="inlineStr">
        <is>
          <t>Ad.</t>
        </is>
      </c>
      <c r="H468" s="63" t="n">
        <v>81</v>
      </c>
      <c r="I468" s="22" t="inlineStr">
        <is>
          <t>EUR</t>
        </is>
      </c>
      <c r="J468" s="22" t="inlineStr"/>
      <c r="K468" s="63" t="n">
        <v>107.734298815095</v>
      </c>
      <c r="L468" s="22" t="inlineStr">
        <is>
          <t>4014.A</t>
        </is>
      </c>
      <c r="M468" s="22" t="n">
        <v>7</v>
      </c>
      <c r="N468" s="22" t="inlineStr">
        <is>
          <t>KMM metro (18 yeraltı istasyon); KDV hariç; malzeme fiyatı; kablo/montaj/proje hariç; devreye alma ayrı [sayfa: AC]</t>
        </is>
      </c>
    </row>
    <row r="469">
      <c r="A469" s="22" t="inlineStr">
        <is>
          <t>R02301</t>
        </is>
      </c>
      <c r="B469" s="22" t="inlineStr">
        <is>
          <t>Kabatas_Mecidiyekoy_Mahmutbey_Metro</t>
        </is>
      </c>
      <c r="C469" s="22" t="inlineStr">
        <is>
          <t>metro</t>
        </is>
      </c>
      <c r="D469" s="22" t="inlineStr">
        <is>
          <t>Ateksis (Bosch)</t>
        </is>
      </c>
      <c r="E469" s="22" t="inlineStr">
        <is>
          <t>2015-04-08</t>
        </is>
      </c>
      <c r="F469" s="22" t="inlineStr">
        <is>
          <t>APC-AMC2-4WCF / AMC2 4 Okuyucu Kapasiteli Kontrol Ünitesi, 2 GB Kompakt Flash Bellek, LCD Display, Ethernet 10/100BaseT (TCP/IP), Tamper Switch</t>
        </is>
      </c>
      <c r="G469" s="22" t="inlineStr">
        <is>
          <t>Ad.</t>
        </is>
      </c>
      <c r="H469" s="63" t="n">
        <v>715</v>
      </c>
      <c r="I469" s="22" t="inlineStr">
        <is>
          <t>EUR</t>
        </is>
      </c>
      <c r="J469" s="22" t="inlineStr"/>
      <c r="K469" s="63" t="n">
        <v>950.987946330778</v>
      </c>
      <c r="L469" s="22" t="inlineStr">
        <is>
          <t>4014.A</t>
        </is>
      </c>
      <c r="M469" s="22" t="n">
        <v>1</v>
      </c>
      <c r="N469" s="22" t="inlineStr">
        <is>
          <t>KMM metro (18 yeraltı istasyon); KDV hariç; malzeme fiyatı; kablo/montaj/proje hariç; devreye alma ayrı [sayfa: AC]</t>
        </is>
      </c>
    </row>
    <row r="470">
      <c r="A470" s="22" t="inlineStr">
        <is>
          <t>R02307</t>
        </is>
      </c>
      <c r="B470" s="22" t="inlineStr">
        <is>
          <t>Kabatas_Mecidiyekoy_Mahmutbey_Metro</t>
        </is>
      </c>
      <c r="C470" s="22" t="inlineStr">
        <is>
          <t>metro</t>
        </is>
      </c>
      <c r="D470" s="22" t="inlineStr">
        <is>
          <t>Ateksis (Bosch)</t>
        </is>
      </c>
      <c r="E470" s="22" t="inlineStr">
        <is>
          <t>2015-04-08</t>
        </is>
      </c>
      <c r="F470" s="22" t="inlineStr">
        <is>
          <t>ANONS SİSTEMİ UYGULAMA VE AS-BUİLT PROJELERİ</t>
        </is>
      </c>
      <c r="G470" s="22" t="inlineStr">
        <is>
          <t>Ad.</t>
        </is>
      </c>
      <c r="H470" s="63" t="n">
        <v>1000</v>
      </c>
      <c r="I470" s="22" t="inlineStr">
        <is>
          <t>EUR</t>
        </is>
      </c>
      <c r="J470" s="22" t="inlineStr"/>
      <c r="K470" s="63" t="n">
        <v>1330.0530717913</v>
      </c>
      <c r="L470" s="22" t="inlineStr">
        <is>
          <t>4007</t>
        </is>
      </c>
      <c r="M470" s="22" t="n">
        <v>1</v>
      </c>
      <c r="N470" s="22" t="inlineStr">
        <is>
          <t>KMM metro (18 yeraltı istasyon); KDV hariç; malzeme fiyatı; kablo/montaj/proje hariç; devreye alma ayrı [sayfa: PA]</t>
        </is>
      </c>
    </row>
    <row r="471">
      <c r="A471" s="22" t="inlineStr">
        <is>
          <t>R02312</t>
        </is>
      </c>
      <c r="B471" s="22" t="inlineStr">
        <is>
          <t>Kabatas_Mecidiyekoy_Mahmutbey_Metro</t>
        </is>
      </c>
      <c r="C471" s="22" t="inlineStr">
        <is>
          <t>metro</t>
        </is>
      </c>
      <c r="D471" s="22" t="inlineStr">
        <is>
          <t>Ateksis (Bosch)</t>
        </is>
      </c>
      <c r="E471" s="22" t="inlineStr">
        <is>
          <t>2015-04-08</t>
        </is>
      </c>
      <c r="F471" s="22" t="inlineStr">
        <is>
          <t>LC1-UM12E8 / Modüler Tavan Hoparlörü, 12W, 100dB@12W, (1kHz, 1m), EN54-24 Onaylı, EN54-24 Onaylı</t>
        </is>
      </c>
      <c r="G471" s="22" t="inlineStr">
        <is>
          <t>Ad.</t>
        </is>
      </c>
      <c r="H471" s="63" t="n">
        <v>37</v>
      </c>
      <c r="I471" s="22" t="inlineStr">
        <is>
          <t>EUR</t>
        </is>
      </c>
      <c r="J471" s="22" t="inlineStr"/>
      <c r="K471" s="63" t="n">
        <v>49.211963656278</v>
      </c>
      <c r="L471" s="22" t="inlineStr">
        <is>
          <t>4008.A</t>
        </is>
      </c>
      <c r="M471" s="22" t="n">
        <v>1</v>
      </c>
      <c r="N471" s="22" t="inlineStr">
        <is>
          <t>KMM metro (18 yeraltı istasyon); KDV hariç; malzeme fiyatı; kablo/montaj/proje hariç; devreye alma ayrı [sayfa: PA]</t>
        </is>
      </c>
    </row>
    <row r="472">
      <c r="A472" s="22" t="inlineStr">
        <is>
          <t>R02314</t>
        </is>
      </c>
      <c r="B472" s="22" t="inlineStr">
        <is>
          <t>Kabatas_Mecidiyekoy_Mahmutbey_Metro</t>
        </is>
      </c>
      <c r="C472" s="22" t="inlineStr">
        <is>
          <t>metro</t>
        </is>
      </c>
      <c r="D472" s="22" t="inlineStr">
        <is>
          <t>Ateksis (Bosch)</t>
        </is>
      </c>
      <c r="E472" s="22" t="inlineStr">
        <is>
          <t>2015-04-08</t>
        </is>
      </c>
      <c r="F472" s="22" t="inlineStr">
        <is>
          <t>LP1-UC10E-1 / Sound Projektör Hoparlör, 10W, IP65, 10W, IP65, 96dB@10W, (1kHz, 1m), EN54-24 Onaylı</t>
        </is>
      </c>
      <c r="G472" s="22" t="inlineStr">
        <is>
          <t>Ad.</t>
        </is>
      </c>
      <c r="H472" s="63" t="n">
        <v>60</v>
      </c>
      <c r="I472" s="22" t="inlineStr">
        <is>
          <t>EUR</t>
        </is>
      </c>
      <c r="J472" s="22" t="inlineStr"/>
      <c r="K472" s="63" t="n">
        <v>79.80318430747781</v>
      </c>
      <c r="L472" s="22" t="inlineStr">
        <is>
          <t>4008.A</t>
        </is>
      </c>
      <c r="M472" s="22" t="n">
        <v>7</v>
      </c>
      <c r="N472" s="22" t="inlineStr">
        <is>
          <t>KMM metro (18 yeraltı istasyon); KDV hariç; malzeme fiyatı; kablo/montaj/proje hariç; devreye alma ayrı [sayfa: PA]</t>
        </is>
      </c>
    </row>
    <row r="473">
      <c r="A473" s="22" t="inlineStr">
        <is>
          <t>R02319</t>
        </is>
      </c>
      <c r="B473" s="22" t="inlineStr">
        <is>
          <t>Kabatas_Mecidiyekoy_Mahmutbey_Metro</t>
        </is>
      </c>
      <c r="C473" s="22" t="inlineStr">
        <is>
          <t>metro</t>
        </is>
      </c>
      <c r="D473" s="22" t="inlineStr">
        <is>
          <t>Ateksis (Bosch)</t>
        </is>
      </c>
      <c r="E473" s="22" t="inlineStr">
        <is>
          <t>2015-04-08</t>
        </is>
      </c>
      <c r="F473" s="22" t="inlineStr">
        <is>
          <t>IP AUDIO INTERFACE</t>
        </is>
      </c>
      <c r="G473" s="22" t="inlineStr">
        <is>
          <t>Ad.</t>
        </is>
      </c>
      <c r="H473" s="63" t="n">
        <v>900</v>
      </c>
      <c r="I473" s="22" t="inlineStr">
        <is>
          <t>EUR</t>
        </is>
      </c>
      <c r="J473" s="22" t="inlineStr"/>
      <c r="K473" s="63" t="n">
        <v>1197.04776461217</v>
      </c>
      <c r="L473" s="22" t="inlineStr">
        <is>
          <t>4008</t>
        </is>
      </c>
      <c r="M473" s="22" t="n">
        <v>1</v>
      </c>
      <c r="N473" s="22" t="inlineStr">
        <is>
          <t>KMM metro (18 yeraltı istasyon); KDV hariç; malzeme fiyatı; kablo/montaj/proje hariç; devreye alma ayrı [sayfa: PA]</t>
        </is>
      </c>
    </row>
    <row r="474">
      <c r="A474" s="22" t="inlineStr">
        <is>
          <t>R02320</t>
        </is>
      </c>
      <c r="B474" s="22" t="inlineStr">
        <is>
          <t>Kabatas_Mecidiyekoy_Mahmutbey_Metro</t>
        </is>
      </c>
      <c r="C474" s="22" t="inlineStr">
        <is>
          <t>metro</t>
        </is>
      </c>
      <c r="D474" s="22" t="inlineStr">
        <is>
          <t>Ateksis (Bosch)</t>
        </is>
      </c>
      <c r="E474" s="22" t="inlineStr">
        <is>
          <t>2015-04-08</t>
        </is>
      </c>
      <c r="F474" s="22" t="inlineStr">
        <is>
          <t>PRS-NCO-3 / Network Kontrol Ünitesi, 4 Ses Girişi/ Çıkışı, 28 Ses Kanalının Yönlendirilmesi, 8 Denetimli Kontrol Girişi, 5 Kontrol Çıkışı, Ethernet Arabirimi,</t>
        </is>
      </c>
      <c r="G474" s="22" t="inlineStr">
        <is>
          <t>Ad.</t>
        </is>
      </c>
      <c r="H474" s="63" t="n">
        <v>2410.66</v>
      </c>
      <c r="I474" s="22" t="inlineStr">
        <is>
          <t>EUR</t>
        </is>
      </c>
      <c r="J474" s="22" t="inlineStr"/>
      <c r="K474" s="63" t="n">
        <v>3206.30573804441</v>
      </c>
      <c r="L474" s="22" t="inlineStr">
        <is>
          <t>4008</t>
        </is>
      </c>
      <c r="M474" s="22" t="n">
        <v>1</v>
      </c>
      <c r="N474" s="22" t="inlineStr">
        <is>
          <t>KMM metro (18 yeraltı istasyon); KDV hariç; malzeme fiyatı; kablo/montaj/proje hariç; devreye alma ayrı [sayfa: PA]</t>
        </is>
      </c>
    </row>
    <row r="475">
      <c r="A475" s="22" t="inlineStr">
        <is>
          <t>R02324</t>
        </is>
      </c>
      <c r="B475" s="22" t="inlineStr">
        <is>
          <t>Kabatas_Mecidiyekoy_Mahmutbey_Metro</t>
        </is>
      </c>
      <c r="C475" s="22" t="inlineStr">
        <is>
          <t>metro</t>
        </is>
      </c>
      <c r="D475" s="22" t="inlineStr">
        <is>
          <t>Ateksis (Bosch)</t>
        </is>
      </c>
      <c r="E475" s="22" t="inlineStr">
        <is>
          <t>2015-04-08</t>
        </is>
      </c>
      <c r="F475" s="22" t="inlineStr">
        <is>
          <t>LBC1401/10 / Ses Kontrol Ünitesi 12W</t>
        </is>
      </c>
      <c r="G475" s="22" t="inlineStr">
        <is>
          <t>Ad.</t>
        </is>
      </c>
      <c r="H475" s="63" t="n">
        <v>19.2</v>
      </c>
      <c r="I475" s="22" t="inlineStr">
        <is>
          <t>EUR</t>
        </is>
      </c>
      <c r="J475" s="22" t="inlineStr"/>
      <c r="K475" s="63" t="n">
        <v>25.5370189783929</v>
      </c>
      <c r="L475" s="22" t="inlineStr">
        <is>
          <t>4008</t>
        </is>
      </c>
      <c r="M475" s="22" t="n">
        <v>1</v>
      </c>
      <c r="N475" s="22" t="inlineStr">
        <is>
          <t>KMM metro (18 yeraltı istasyon); KDV hariç; malzeme fiyatı; kablo/montaj/proje hariç; devreye alma ayrı [sayfa: PA]</t>
        </is>
      </c>
    </row>
    <row r="476">
      <c r="A476" s="22" t="inlineStr">
        <is>
          <t>R02325</t>
        </is>
      </c>
      <c r="B476" s="22" t="inlineStr">
        <is>
          <t>Kabatas_Mecidiyekoy_Mahmutbey_Metro</t>
        </is>
      </c>
      <c r="C476" s="22" t="inlineStr">
        <is>
          <t>metro</t>
        </is>
      </c>
      <c r="D476" s="22" t="inlineStr">
        <is>
          <t>Ateksis (Bosch)</t>
        </is>
      </c>
      <c r="E476" s="22" t="inlineStr">
        <is>
          <t>2015-04-08</t>
        </is>
      </c>
      <c r="F476" s="22" t="inlineStr">
        <is>
          <t>Rack Kabinet</t>
        </is>
      </c>
      <c r="G476" s="22" t="inlineStr">
        <is>
          <t>Ad.</t>
        </is>
      </c>
      <c r="H476" s="63" t="n">
        <v>900</v>
      </c>
      <c r="I476" s="22" t="inlineStr">
        <is>
          <t>EUR</t>
        </is>
      </c>
      <c r="J476" s="22" t="inlineStr"/>
      <c r="K476" s="63" t="n">
        <v>1197.04776461217</v>
      </c>
      <c r="L476" s="22" t="inlineStr">
        <is>
          <t>4008</t>
        </is>
      </c>
      <c r="M476" s="22" t="n">
        <v>4</v>
      </c>
      <c r="N476" s="22" t="inlineStr">
        <is>
          <t>KMM metro (18 yeraltı istasyon); KDV hariç; malzeme fiyatı; kablo/montaj/proje hariç; devreye alma ayrı [sayfa: PA]</t>
        </is>
      </c>
    </row>
    <row r="477">
      <c r="A477" s="22" t="inlineStr">
        <is>
          <t>R02349</t>
        </is>
      </c>
      <c r="B477" s="22" t="inlineStr">
        <is>
          <t>Kabatas_Mecidiyekoy_Mahmutbey_Metro</t>
        </is>
      </c>
      <c r="C477" s="22" t="inlineStr">
        <is>
          <t>metro</t>
        </is>
      </c>
      <c r="D477" s="22" t="inlineStr">
        <is>
          <t>Ateksis (Bosch)</t>
        </is>
      </c>
      <c r="E477" s="22" t="inlineStr">
        <is>
          <t>2015-04-08</t>
        </is>
      </c>
      <c r="F477" s="22" t="inlineStr">
        <is>
          <t>IP CCTV SİSTEMİ UYGULAMA VE AS-BUİLT PROJELERİ</t>
        </is>
      </c>
      <c r="G477" s="22" t="inlineStr">
        <is>
          <t>SET</t>
        </is>
      </c>
      <c r="H477" s="63" t="n">
        <v>1500</v>
      </c>
      <c r="I477" s="22" t="inlineStr">
        <is>
          <t>USD</t>
        </is>
      </c>
      <c r="J477" s="22" t="inlineStr"/>
      <c r="K477" s="63" t="n">
        <v>1836.75161819826</v>
      </c>
      <c r="L477" s="22" t="inlineStr">
        <is>
          <t>4009</t>
        </is>
      </c>
      <c r="M477" s="22" t="n">
        <v>1</v>
      </c>
      <c r="N477" s="22" t="inlineStr">
        <is>
          <t>KMM metro (18 yeraltı istasyon); KDV hariç; malzeme fiyatı; kablo/montaj/proje hariç; devreye alma ayrı [sayfa: IP CCTV]</t>
        </is>
      </c>
    </row>
    <row r="478">
      <c r="A478" s="22" t="inlineStr">
        <is>
          <t>R02358</t>
        </is>
      </c>
      <c r="B478" s="22" t="inlineStr">
        <is>
          <t>Kabatas_Mecidiyekoy_Mahmutbey_Metro</t>
        </is>
      </c>
      <c r="C478" s="22" t="inlineStr">
        <is>
          <t>metro</t>
        </is>
      </c>
      <c r="D478" s="22" t="inlineStr">
        <is>
          <t>Ateksis (Bosch)</t>
        </is>
      </c>
      <c r="E478" s="22" t="inlineStr">
        <is>
          <t>2015-04-08</t>
        </is>
      </c>
      <c r="F478" s="22" t="inlineStr">
        <is>
          <t>3-Axis Kontrol Klavyesi</t>
        </is>
      </c>
      <c r="G478" s="22" t="inlineStr">
        <is>
          <t>Ad.</t>
        </is>
      </c>
      <c r="H478" s="63" t="n">
        <v>503</v>
      </c>
      <c r="I478" s="22" t="inlineStr">
        <is>
          <t>USD</t>
        </is>
      </c>
      <c r="J478" s="22" t="inlineStr"/>
      <c r="K478" s="63" t="n">
        <v>615.924042635815</v>
      </c>
      <c r="L478" s="22" t="inlineStr">
        <is>
          <t>4010.J</t>
        </is>
      </c>
      <c r="M478" s="22" t="n">
        <v>1</v>
      </c>
      <c r="N478" s="22" t="inlineStr">
        <is>
          <t>KMM metro (18 yeraltı istasyon); KDV hariç; malzeme fiyatı; kablo/montaj/proje hariç; devreye alma ayrı [sayfa: IP CCTV]</t>
        </is>
      </c>
    </row>
    <row r="479">
      <c r="A479" s="22" t="inlineStr">
        <is>
          <t>R02370</t>
        </is>
      </c>
      <c r="B479" s="22" t="inlineStr">
        <is>
          <t>Kabatas_Mecidiyekoy_Mahmutbey_Metro</t>
        </is>
      </c>
      <c r="C479" s="22" t="inlineStr">
        <is>
          <t>metro</t>
        </is>
      </c>
      <c r="D479" s="22" t="inlineStr">
        <is>
          <t>Ateksis (Bosch)</t>
        </is>
      </c>
      <c r="E479" s="22" t="inlineStr">
        <is>
          <t>2015-04-08</t>
        </is>
      </c>
      <c r="F479" s="22" t="inlineStr">
        <is>
          <t>HP/DELL/NEC / 23" LED monitör</t>
        </is>
      </c>
      <c r="G479" s="22" t="inlineStr">
        <is>
          <t>Ad.</t>
        </is>
      </c>
      <c r="H479" s="63" t="n">
        <v>700</v>
      </c>
      <c r="I479" s="22" t="inlineStr">
        <is>
          <t>USD</t>
        </is>
      </c>
      <c r="J479" s="22" t="inlineStr"/>
      <c r="K479" s="63" t="n">
        <v>857.150755159186</v>
      </c>
      <c r="L479" s="22" t="inlineStr">
        <is>
          <t>4010.J</t>
        </is>
      </c>
      <c r="M479" s="22" t="n">
        <v>1</v>
      </c>
      <c r="N479" s="22" t="inlineStr">
        <is>
          <t>KMM metro (18 yeraltı istasyon); KDV hariç; malzeme fiyatı; kablo/montaj/proje hariç; devreye alma ayrı [sayfa: IP CCTV]</t>
        </is>
      </c>
    </row>
    <row r="480">
      <c r="A480" s="22" t="inlineStr">
        <is>
          <t>R02486</t>
        </is>
      </c>
      <c r="B480" s="22" t="inlineStr">
        <is>
          <t>Kabatas_Mecidiyekoy_Mahmutbey_Metro</t>
        </is>
      </c>
      <c r="C480" s="22" t="inlineStr">
        <is>
          <t>metro</t>
        </is>
      </c>
      <c r="D480" s="22" t="inlineStr">
        <is>
          <t>Asimetrik (RCF)</t>
        </is>
      </c>
      <c r="E480" s="22" t="inlineStr">
        <is>
          <t>2015-04-10</t>
        </is>
      </c>
      <c r="F480" s="22" t="inlineStr">
        <is>
          <t>RCF BM 5804 Paging-emergency mic. Cons., 3 program. + ALL-CALL  DXT5000</t>
        </is>
      </c>
      <c r="G480" s="22" t="inlineStr">
        <is>
          <t>Adet</t>
        </is>
      </c>
      <c r="H480" s="63" t="n">
        <v>630</v>
      </c>
      <c r="I480" s="22" t="inlineStr">
        <is>
          <t>EUR</t>
        </is>
      </c>
      <c r="J480" s="22" t="inlineStr"/>
      <c r="K480" s="63" t="n">
        <v>837.9334352285171</v>
      </c>
      <c r="L480" s="22" t="inlineStr">
        <is>
          <t>4008</t>
        </is>
      </c>
      <c r="M480" s="22" t="n">
        <v>2</v>
      </c>
      <c r="N480" s="22" t="inlineStr">
        <is>
          <t>KMM metro anons (RCF DXT5000); Türkiye teslim, KDV hariç; montaj/kablo hariç; genel toplamda %20 özel indirim var (birim fiyatlar indirimsiz);  [sayfa: OCC Sistem Merkezi]</t>
        </is>
      </c>
    </row>
    <row r="481">
      <c r="A481" s="22" t="inlineStr">
        <is>
          <t>R02493</t>
        </is>
      </c>
      <c r="B481" s="22" t="inlineStr">
        <is>
          <t>Kabatas_Mecidiyekoy_Mahmutbey_Metro</t>
        </is>
      </c>
      <c r="C481" s="22" t="inlineStr">
        <is>
          <t>metro</t>
        </is>
      </c>
      <c r="D481" s="22" t="inlineStr">
        <is>
          <t>Asimetrik (RCF)</t>
        </is>
      </c>
      <c r="E481" s="22" t="inlineStr">
        <is>
          <t>2015-04-10</t>
        </is>
      </c>
      <c r="F481" s="22" t="inlineStr">
        <is>
          <t>RCF MT 5708 / Amplifier and speaker management for DTX5000 system</t>
        </is>
      </c>
      <c r="G481" s="22" t="inlineStr">
        <is>
          <t>Adet</t>
        </is>
      </c>
      <c r="H481" s="63" t="n">
        <v>4308.6</v>
      </c>
      <c r="I481" s="22" t="inlineStr">
        <is>
          <t>EUR</t>
        </is>
      </c>
      <c r="J481" s="22" t="inlineStr"/>
      <c r="K481" s="63" t="n">
        <v>5730.66666511998</v>
      </c>
      <c r="L481" s="22" t="inlineStr">
        <is>
          <t>4008.A</t>
        </is>
      </c>
      <c r="M481" s="22" t="n">
        <v>1</v>
      </c>
      <c r="N481" s="22" t="inlineStr">
        <is>
          <t>KMM metro anons (RCF DXT5000); Türkiye teslim, KDV hariç; montaj/kablo hariç; genel toplamda %20 özel indirim var (birim fiyatlar indirimsiz);  [sayfa: Mecidiyeköy]</t>
        </is>
      </c>
    </row>
    <row r="482">
      <c r="A482" s="22" t="inlineStr">
        <is>
          <t>R02498</t>
        </is>
      </c>
      <c r="B482" s="22" t="inlineStr">
        <is>
          <t>Kabatas_Mecidiyekoy_Mahmutbey_Metro</t>
        </is>
      </c>
      <c r="C482" s="22" t="inlineStr">
        <is>
          <t>metro</t>
        </is>
      </c>
      <c r="D482" s="22" t="inlineStr">
        <is>
          <t>Asimetrik (RCF)</t>
        </is>
      </c>
      <c r="E482" s="22" t="inlineStr">
        <is>
          <t>2015-04-10</t>
        </is>
      </c>
      <c r="F482" s="22" t="inlineStr">
        <is>
          <t>RCF UP1121 / 120W  power amplier</t>
        </is>
      </c>
      <c r="G482" s="22" t="inlineStr">
        <is>
          <t>Adet</t>
        </is>
      </c>
      <c r="H482" s="63" t="n">
        <v>342.6</v>
      </c>
      <c r="I482" s="22" t="inlineStr">
        <is>
          <t>EUR</t>
        </is>
      </c>
      <c r="J482" s="22" t="inlineStr"/>
      <c r="K482" s="63" t="n">
        <v>455.676182395699</v>
      </c>
      <c r="L482" s="22" t="inlineStr">
        <is>
          <t>4008</t>
        </is>
      </c>
      <c r="M482" s="22" t="n">
        <v>6</v>
      </c>
      <c r="N482" s="22" t="inlineStr">
        <is>
          <t>KMM metro anons (RCF DXT5000); Türkiye teslim, KDV hariç; montaj/kablo hariç; genel toplamda %20 özel indirim var (birim fiyatlar indirimsiz);  [sayfa: Mecidiyeköy]</t>
        </is>
      </c>
    </row>
    <row r="483">
      <c r="A483" s="22" t="inlineStr">
        <is>
          <t>R02500</t>
        </is>
      </c>
      <c r="B483" s="22" t="inlineStr">
        <is>
          <t>Kabatas_Mecidiyekoy_Mahmutbey_Metro</t>
        </is>
      </c>
      <c r="C483" s="22" t="inlineStr">
        <is>
          <t>metro</t>
        </is>
      </c>
      <c r="D483" s="22" t="inlineStr">
        <is>
          <t>Asimetrik (RCF)</t>
        </is>
      </c>
      <c r="E483" s="22" t="inlineStr">
        <is>
          <t>2015-04-10</t>
        </is>
      </c>
      <c r="F483" s="22" t="inlineStr">
        <is>
          <t>RCF UP8502 / 2 x 250 W Power Amplier</t>
        </is>
      </c>
      <c r="G483" s="22" t="inlineStr">
        <is>
          <t>Adet</t>
        </is>
      </c>
      <c r="H483" s="63" t="n">
        <v>1328.4</v>
      </c>
      <c r="I483" s="22" t="inlineStr">
        <is>
          <t>EUR</t>
        </is>
      </c>
      <c r="J483" s="22" t="inlineStr"/>
      <c r="K483" s="63" t="n">
        <v>1766.84250056756</v>
      </c>
      <c r="L483" s="22" t="inlineStr">
        <is>
          <t>4008</t>
        </is>
      </c>
      <c r="M483" s="22" t="n">
        <v>1</v>
      </c>
      <c r="N483" s="22" t="inlineStr">
        <is>
          <t>KMM metro anons (RCF DXT5000); Türkiye teslim, KDV hariç; montaj/kablo hariç; genel toplamda %20 özel indirim var (birim fiyatlar indirimsiz);  [sayfa: Mecidiyeköy]</t>
        </is>
      </c>
    </row>
    <row r="484">
      <c r="A484" s="22" t="inlineStr">
        <is>
          <t>R02501</t>
        </is>
      </c>
      <c r="B484" s="22" t="inlineStr">
        <is>
          <t>Kabatas_Mecidiyekoy_Mahmutbey_Metro</t>
        </is>
      </c>
      <c r="C484" s="22" t="inlineStr">
        <is>
          <t>metro</t>
        </is>
      </c>
      <c r="D484" s="22" t="inlineStr">
        <is>
          <t>Asimetrik (RCF)</t>
        </is>
      </c>
      <c r="E484" s="22" t="inlineStr">
        <is>
          <t>2015-04-10</t>
        </is>
      </c>
      <c r="F484" s="22" t="inlineStr">
        <is>
          <t>RCF UP2321 / 320W-100V Power Amplifier</t>
        </is>
      </c>
      <c r="G484" s="22" t="inlineStr">
        <is>
          <t>Adet</t>
        </is>
      </c>
      <c r="H484" s="63" t="n">
        <v>831</v>
      </c>
      <c r="I484" s="22" t="inlineStr">
        <is>
          <t>EUR</t>
        </is>
      </c>
      <c r="J484" s="22" t="inlineStr"/>
      <c r="K484" s="63" t="n">
        <v>1105.27410265857</v>
      </c>
      <c r="L484" s="22" t="inlineStr">
        <is>
          <t>4008.A</t>
        </is>
      </c>
      <c r="M484" s="22" t="n">
        <v>6</v>
      </c>
      <c r="N484" s="22" t="inlineStr">
        <is>
          <t>KMM metro anons (RCF DXT5000); Türkiye teslim, KDV hariç; montaj/kablo hariç; genel toplamda %20 özel indirim var (birim fiyatlar indirimsiz);  [sayfa: Mecidiyeköy]</t>
        </is>
      </c>
    </row>
    <row r="485">
      <c r="A485" s="22" t="inlineStr">
        <is>
          <t>R02506</t>
        </is>
      </c>
      <c r="B485" s="22" t="inlineStr">
        <is>
          <t>Kabatas_Mecidiyekoy_Mahmutbey_Metro</t>
        </is>
      </c>
      <c r="C485" s="22" t="inlineStr">
        <is>
          <t>metro</t>
        </is>
      </c>
      <c r="D485" s="22" t="inlineStr">
        <is>
          <t>Asimetrik (RCF)</t>
        </is>
      </c>
      <c r="E485" s="22" t="inlineStr">
        <is>
          <t>2015-04-10</t>
        </is>
      </c>
      <c r="F485" s="22" t="inlineStr">
        <is>
          <t>RCF SA 2095 / Rack Monitoring and Power Supply Unit</t>
        </is>
      </c>
      <c r="G485" s="22" t="inlineStr">
        <is>
          <t>Adet</t>
        </is>
      </c>
      <c r="H485" s="63" t="n">
        <v>480</v>
      </c>
      <c r="I485" s="22" t="inlineStr">
        <is>
          <t>EUR</t>
        </is>
      </c>
      <c r="J485" s="22" t="inlineStr"/>
      <c r="K485" s="63" t="n">
        <v>638.425474459823</v>
      </c>
      <c r="L485" s="22" t="inlineStr">
        <is>
          <t>4008</t>
        </is>
      </c>
      <c r="M485" s="22" t="n">
        <v>1</v>
      </c>
      <c r="N485" s="22" t="inlineStr">
        <is>
          <t>KMM metro anons (RCF DXT5000); Türkiye teslim, KDV hariç; montaj/kablo hariç; genel toplamda %20 özel indirim var (birim fiyatlar indirimsiz);  [sayfa: Mecidiyeköy]</t>
        </is>
      </c>
    </row>
    <row r="486">
      <c r="A486" s="22" t="inlineStr">
        <is>
          <t>R02507</t>
        </is>
      </c>
      <c r="B486" s="22" t="inlineStr">
        <is>
          <t>Kabatas_Mecidiyekoy_Mahmutbey_Metro</t>
        </is>
      </c>
      <c r="C486" s="22" t="inlineStr">
        <is>
          <t>metro</t>
        </is>
      </c>
      <c r="D486" s="22" t="inlineStr">
        <is>
          <t>Asimetrik (RCF)</t>
        </is>
      </c>
      <c r="E486" s="22" t="inlineStr">
        <is>
          <t>2015-04-10</t>
        </is>
      </c>
      <c r="F486" s="22" t="inlineStr">
        <is>
          <t>ASRACK ORS42U68 / Rack Cabinet and Accessories</t>
        </is>
      </c>
      <c r="G486" s="22" t="inlineStr">
        <is>
          <t>Adet</t>
        </is>
      </c>
      <c r="H486" s="63" t="n">
        <v>727.9682</v>
      </c>
      <c r="I486" s="22" t="inlineStr">
        <is>
          <t>EUR</t>
        </is>
      </c>
      <c r="J486" s="22" t="inlineStr"/>
      <c r="K486" s="63" t="n">
        <v>968.236340576382</v>
      </c>
      <c r="L486" s="22" t="inlineStr">
        <is>
          <t>4008</t>
        </is>
      </c>
      <c r="M486" s="22" t="n">
        <v>7</v>
      </c>
      <c r="N486" s="22" t="inlineStr">
        <is>
          <t>KMM metro anons (RCF DXT5000); Türkiye teslim, KDV hariç; montaj/kablo hariç; genel toplamda %20 özel indirim var (birim fiyatlar indirimsiz);  [sayfa: Mecidiyeköy]</t>
        </is>
      </c>
    </row>
    <row r="487">
      <c r="A487" s="22" t="inlineStr">
        <is>
          <t>R02510</t>
        </is>
      </c>
      <c r="B487" s="22" t="inlineStr">
        <is>
          <t>Kabatas_Mecidiyekoy_Mahmutbey_Metro</t>
        </is>
      </c>
      <c r="C487" s="22" t="inlineStr">
        <is>
          <t>metro</t>
        </is>
      </c>
      <c r="D487" s="22" t="inlineStr">
        <is>
          <t>Asimetrik (RCF)</t>
        </is>
      </c>
      <c r="E487" s="22" t="inlineStr">
        <is>
          <t>2015-04-10</t>
        </is>
      </c>
      <c r="F487" s="22" t="inlineStr">
        <is>
          <t>RCF DP 1420EN / 20W, 100V IP 66, Aluminium sound projector</t>
        </is>
      </c>
      <c r="G487" s="22" t="inlineStr">
        <is>
          <t>Adet</t>
        </is>
      </c>
      <c r="H487" s="63" t="n">
        <v>157.38</v>
      </c>
      <c r="I487" s="22" t="inlineStr">
        <is>
          <t>EUR</t>
        </is>
      </c>
      <c r="J487" s="22" t="inlineStr"/>
      <c r="K487" s="63" t="n">
        <v>209.323752438514</v>
      </c>
      <c r="L487" s="22" t="inlineStr">
        <is>
          <t>4008</t>
        </is>
      </c>
      <c r="M487" s="22" t="n">
        <v>7</v>
      </c>
      <c r="N487" s="22" t="inlineStr">
        <is>
          <t>KMM metro anons (RCF DXT5000); Türkiye teslim, KDV hariç; montaj/kablo hariç; genel toplamda %20 özel indirim var (birim fiyatlar indirimsiz);  [sayfa: Mecidiyeköy]</t>
        </is>
      </c>
    </row>
    <row r="488">
      <c r="A488" s="22" t="inlineStr">
        <is>
          <t>R02515</t>
        </is>
      </c>
      <c r="B488" s="22" t="inlineStr">
        <is>
          <t>Kabatas_Mecidiyekoy_Mahmutbey_Metro</t>
        </is>
      </c>
      <c r="C488" s="22" t="inlineStr">
        <is>
          <t>metro</t>
        </is>
      </c>
      <c r="D488" s="22" t="inlineStr">
        <is>
          <t>Asimetrik (RCF)</t>
        </is>
      </c>
      <c r="E488" s="22" t="inlineStr">
        <is>
          <t>2015-04-10</t>
        </is>
      </c>
      <c r="F488" s="22" t="inlineStr">
        <is>
          <t>RCF MT 3100 / Noise Sensor Microphone</t>
        </is>
      </c>
      <c r="G488" s="22" t="inlineStr">
        <is>
          <t>Adet</t>
        </is>
      </c>
      <c r="H488" s="63" t="n">
        <v>114</v>
      </c>
      <c r="I488" s="22" t="inlineStr">
        <is>
          <t>EUR</t>
        </is>
      </c>
      <c r="J488" s="22" t="inlineStr"/>
      <c r="K488" s="63" t="n">
        <v>151.626050184208</v>
      </c>
      <c r="L488" s="22" t="inlineStr">
        <is>
          <t>4008.H</t>
        </is>
      </c>
      <c r="M488" s="22" t="n">
        <v>6</v>
      </c>
      <c r="N488" s="22" t="inlineStr">
        <is>
          <t>KMM metro anons (RCF DXT5000); Türkiye teslim, KDV hariç; montaj/kablo hariç; genel toplamda %20 özel indirim var (birim fiyatlar indirimsiz);  [sayfa: Mecidiyeköy]</t>
        </is>
      </c>
    </row>
    <row r="489">
      <c r="A489" s="22" t="inlineStr">
        <is>
          <t>R02606</t>
        </is>
      </c>
      <c r="B489" s="22" t="inlineStr">
        <is>
          <t>Kabatas_Mecidiyekoy_Mahmutbey_Metro</t>
        </is>
      </c>
      <c r="C489" s="22" t="inlineStr">
        <is>
          <t>metro</t>
        </is>
      </c>
      <c r="D489" s="22" t="inlineStr">
        <is>
          <t>Uskom</t>
        </is>
      </c>
      <c r="E489" s="22" t="inlineStr">
        <is>
          <t>2015-04-11</t>
        </is>
      </c>
      <c r="F489" s="22" t="inlineStr">
        <is>
          <t>144 core ODF</t>
        </is>
      </c>
      <c r="G489" s="22" t="inlineStr">
        <is>
          <t>adet</t>
        </is>
      </c>
      <c r="H489" s="63" t="n">
        <v>1635.33</v>
      </c>
      <c r="I489" s="22" t="inlineStr">
        <is>
          <t>EUR</t>
        </is>
      </c>
      <c r="J489" s="22" t="inlineStr">
        <is>
          <t>M+İ</t>
        </is>
      </c>
      <c r="K489" s="63" t="n">
        <v>2175.07568989246</v>
      </c>
      <c r="L489" s="22" t="inlineStr">
        <is>
          <t>4003</t>
        </is>
      </c>
      <c r="M489" s="22" t="n">
        <v>1</v>
      </c>
      <c r="N489" s="22" t="inlineStr">
        <is>
          <t>Kabataş-Mecidiyeköy-Mahmutbey metro (18 yeraltı istasyon + depo); KDV hariç; detay sayfası "Transmission" kalem 5.3; para birimi özet tablodan</t>
        </is>
      </c>
    </row>
    <row r="490">
      <c r="A490" s="22" t="inlineStr">
        <is>
          <t>R02633</t>
        </is>
      </c>
      <c r="B490" s="22" t="inlineStr">
        <is>
          <t>Kabatas_Mecidiyekoy_Mahmutbey_Metro</t>
        </is>
      </c>
      <c r="C490" s="22" t="inlineStr">
        <is>
          <t>metro</t>
        </is>
      </c>
      <c r="D490" s="22" t="inlineStr">
        <is>
          <t>Uskom</t>
        </is>
      </c>
      <c r="E490" s="22" t="inlineStr">
        <is>
          <t>2015-04-11</t>
        </is>
      </c>
      <c r="F490" s="22" t="inlineStr">
        <is>
          <t>Alcatel 29416 or Alcatel Temporis Mini or equivalent analog telephone</t>
        </is>
      </c>
      <c r="G490" s="22" t="inlineStr">
        <is>
          <t>adet</t>
        </is>
      </c>
      <c r="H490" s="63" t="n">
        <v>33</v>
      </c>
      <c r="I490" s="22" t="inlineStr">
        <is>
          <t>EUR</t>
        </is>
      </c>
      <c r="J490" s="22" t="inlineStr">
        <is>
          <t>M+İ</t>
        </is>
      </c>
      <c r="K490" s="63" t="n">
        <v>43.8917513691128</v>
      </c>
      <c r="L490" s="22" t="inlineStr">
        <is>
          <t>4005.G</t>
        </is>
      </c>
      <c r="M490" s="22" t="n">
        <v>1</v>
      </c>
      <c r="N490" s="22" t="inlineStr">
        <is>
          <t>Kabataş-Mecidiyeköy-Mahmutbey metro (18 yeraltı istasyon + depo); KDV hariç; detay sayfası "404-405-406 - Telephone" kalem 2.21; para birimi özet tablodan</t>
        </is>
      </c>
    </row>
    <row r="491">
      <c r="A491" s="22" t="inlineStr">
        <is>
          <t>R02634</t>
        </is>
      </c>
      <c r="B491" s="22" t="inlineStr">
        <is>
          <t>Kabatas_Mecidiyekoy_Mahmutbey_Metro</t>
        </is>
      </c>
      <c r="C491" s="22" t="inlineStr">
        <is>
          <t>metro</t>
        </is>
      </c>
      <c r="D491" s="22" t="inlineStr">
        <is>
          <t>Uskom</t>
        </is>
      </c>
      <c r="E491" s="22" t="inlineStr">
        <is>
          <t>2015-04-11</t>
        </is>
      </c>
      <c r="F491" s="22" t="inlineStr">
        <is>
          <t>SAEfon CL28D digital telephone</t>
        </is>
      </c>
      <c r="G491" s="22" t="inlineStr">
        <is>
          <t>adet</t>
        </is>
      </c>
      <c r="H491" s="63" t="n">
        <v>118</v>
      </c>
      <c r="I491" s="22" t="inlineStr">
        <is>
          <t>EUR</t>
        </is>
      </c>
      <c r="J491" s="22" t="inlineStr">
        <is>
          <t>M+İ</t>
        </is>
      </c>
      <c r="K491" s="63" t="n">
        <v>156.946262471373</v>
      </c>
      <c r="L491" s="22" t="inlineStr">
        <is>
          <t>4005</t>
        </is>
      </c>
      <c r="M491" s="22" t="n">
        <v>2</v>
      </c>
      <c r="N491" s="22" t="inlineStr">
        <is>
          <t>Kabataş-Mecidiyeköy-Mahmutbey metro (18 yeraltı istasyon + depo); KDV hariç; detay sayfası "404-405-406 - Telephone" kalem 2.22; para birimi özet tablodan</t>
        </is>
      </c>
    </row>
    <row r="492">
      <c r="A492" s="22" t="inlineStr">
        <is>
          <t>R02641</t>
        </is>
      </c>
      <c r="B492" s="22" t="inlineStr">
        <is>
          <t>Kabatas_Mecidiyekoy_Mahmutbey_Metro</t>
        </is>
      </c>
      <c r="C492" s="22" t="inlineStr">
        <is>
          <t>metro</t>
        </is>
      </c>
      <c r="D492" s="22" t="inlineStr">
        <is>
          <t>Uskom</t>
        </is>
      </c>
      <c r="E492" s="22" t="inlineStr">
        <is>
          <t>2015-04-11</t>
        </is>
      </c>
      <c r="F492" s="22" t="inlineStr">
        <is>
          <t>Telephone sockets (Viko or equivalent) for station telephones and station humid room telephones(All emergecy telephones in station and tunnel will be directly connected without socket)</t>
        </is>
      </c>
      <c r="G492" s="22" t="inlineStr">
        <is>
          <t>adet</t>
        </is>
      </c>
      <c r="H492" s="63" t="n">
        <v>9.31</v>
      </c>
      <c r="I492" s="22" t="inlineStr">
        <is>
          <t>EUR</t>
        </is>
      </c>
      <c r="J492" s="22" t="inlineStr">
        <is>
          <t>M+İ</t>
        </is>
      </c>
      <c r="K492" s="63" t="n">
        <v>12.382794098377</v>
      </c>
      <c r="L492" s="22" t="inlineStr">
        <is>
          <t>4005.G</t>
        </is>
      </c>
      <c r="M492" s="22" t="n">
        <v>9</v>
      </c>
      <c r="N492" s="22" t="inlineStr">
        <is>
          <t>Kabataş-Mecidiyeköy-Mahmutbey metro (18 yeraltı istasyon + depo); KDV hariç; detay sayfası "404-405-406 - Telephone" kalem 2.29; para birimi özet tablodan</t>
        </is>
      </c>
    </row>
    <row r="493">
      <c r="A493" s="22" t="inlineStr">
        <is>
          <t>R02643</t>
        </is>
      </c>
      <c r="B493" s="22" t="inlineStr">
        <is>
          <t>Kabatas_Mecidiyekoy_Mahmutbey_Metro</t>
        </is>
      </c>
      <c r="C493" s="22" t="inlineStr">
        <is>
          <t>metro</t>
        </is>
      </c>
      <c r="D493" s="22" t="inlineStr">
        <is>
          <t>Uskom</t>
        </is>
      </c>
      <c r="E493" s="22" t="inlineStr">
        <is>
          <t>2015-04-11</t>
        </is>
      </c>
      <c r="F493" s="22" t="inlineStr">
        <is>
          <t>Advanced PC Server with Windows Server License (Voice Recording Server) it's complete of redundant Hard Disk in RAID configuration</t>
        </is>
      </c>
      <c r="G493" s="22" t="inlineStr">
        <is>
          <t>adet</t>
        </is>
      </c>
      <c r="H493" s="63" t="n">
        <v>5194</v>
      </c>
      <c r="I493" s="22" t="inlineStr">
        <is>
          <t>EUR</t>
        </is>
      </c>
      <c r="J493" s="22" t="inlineStr">
        <is>
          <t>Malzeme</t>
        </is>
      </c>
      <c r="K493" s="63" t="n">
        <v>6908.295654884</v>
      </c>
      <c r="L493" s="22" t="inlineStr">
        <is>
          <t>4005</t>
        </is>
      </c>
      <c r="M493" s="22" t="n">
        <v>1</v>
      </c>
      <c r="N493" s="22" t="inlineStr">
        <is>
          <t>Kabataş-Mecidiyeköy-Mahmutbey metro (18 yeraltı istasyon + depo); KDV hariç; detay sayfası "404-405-406 - Telephone" kalem 3.2; para birimi özet tablodan</t>
        </is>
      </c>
    </row>
    <row r="494">
      <c r="A494" s="22" t="inlineStr">
        <is>
          <t>R02656</t>
        </is>
      </c>
      <c r="B494" s="22" t="inlineStr">
        <is>
          <t>Kabatas_Mecidiyekoy_Mahmutbey_Metro</t>
        </is>
      </c>
      <c r="C494" s="22" t="inlineStr">
        <is>
          <t>metro</t>
        </is>
      </c>
      <c r="D494" s="22" t="inlineStr">
        <is>
          <t>Uskom</t>
        </is>
      </c>
      <c r="E494" s="22" t="inlineStr">
        <is>
          <t>2015-04-11</t>
        </is>
      </c>
      <c r="F494" s="22" t="inlineStr">
        <is>
          <t>N2XH 2x2,5 Power cable - Flame Retardant (For Turk Telekom telephone boots)</t>
        </is>
      </c>
      <c r="G494" s="22" t="inlineStr">
        <is>
          <t>adet</t>
        </is>
      </c>
      <c r="H494" s="63" t="n">
        <v>1.22</v>
      </c>
      <c r="I494" s="22" t="inlineStr">
        <is>
          <t>EUR</t>
        </is>
      </c>
      <c r="J494" s="22" t="inlineStr">
        <is>
          <t>M+İ</t>
        </is>
      </c>
      <c r="K494" s="63" t="n">
        <v>1.62266474758538</v>
      </c>
      <c r="L494" s="22" t="inlineStr">
        <is>
          <t>4005</t>
        </is>
      </c>
      <c r="M494" s="22" t="n">
        <v>1</v>
      </c>
      <c r="N494" s="22" t="inlineStr">
        <is>
          <t>Kabataş-Mecidiyeköy-Mahmutbey metro (18 yeraltı istasyon + depo); KDV hariç; detay sayfası "404-405-406 - Telephone" kalem 4.4; para birimi özet tablodan</t>
        </is>
      </c>
    </row>
    <row r="495">
      <c r="A495" s="22" t="inlineStr">
        <is>
          <t>R02657</t>
        </is>
      </c>
      <c r="B495" s="22" t="inlineStr">
        <is>
          <t>Kabatas_Mecidiyekoy_Mahmutbey_Metro</t>
        </is>
      </c>
      <c r="C495" s="22" t="inlineStr">
        <is>
          <t>metro</t>
        </is>
      </c>
      <c r="D495" s="22" t="inlineStr">
        <is>
          <t>Uskom</t>
        </is>
      </c>
      <c r="E495" s="22" t="inlineStr">
        <is>
          <t>2015-04-11</t>
        </is>
      </c>
      <c r="F495" s="22" t="inlineStr">
        <is>
          <t>2x2x0,6 FE180 PH120 armoured (Station Emergency Phones)</t>
        </is>
      </c>
      <c r="G495" s="22" t="inlineStr">
        <is>
          <t>adet</t>
        </is>
      </c>
      <c r="H495" s="63" t="n">
        <v>1.24</v>
      </c>
      <c r="I495" s="22" t="inlineStr">
        <is>
          <t>EUR</t>
        </is>
      </c>
      <c r="J495" s="22" t="inlineStr">
        <is>
          <t>M+İ</t>
        </is>
      </c>
      <c r="K495" s="63" t="n">
        <v>1.64926580902121</v>
      </c>
      <c r="L495" s="22" t="inlineStr">
        <is>
          <t>4005.A</t>
        </is>
      </c>
      <c r="M495" s="22" t="n">
        <v>6</v>
      </c>
      <c r="N495" s="22" t="inlineStr">
        <is>
          <t>[AYKIRI DEĞER – otomatik dışlandı] Kabataş-Mecidiyeköy-Mahmutbey metro (18 yeraltı istasyon + depo); KDV hariç; detay sayfası "404-405-406 - Telephone" kalem 4.5; para birimi özet tablodan</t>
        </is>
      </c>
    </row>
    <row r="496">
      <c r="A496" s="22" t="inlineStr">
        <is>
          <t>R02661</t>
        </is>
      </c>
      <c r="B496" s="22" t="inlineStr">
        <is>
          <t>Kabatas_Mecidiyekoy_Mahmutbey_Metro</t>
        </is>
      </c>
      <c r="C496" s="22" t="inlineStr">
        <is>
          <t>metro</t>
        </is>
      </c>
      <c r="D496" s="22" t="inlineStr">
        <is>
          <t>Uskom</t>
        </is>
      </c>
      <c r="E496" s="22" t="inlineStr">
        <is>
          <t>2015-04-11</t>
        </is>
      </c>
      <c r="F496" s="22" t="inlineStr">
        <is>
          <t>3/4" spiral pipe</t>
        </is>
      </c>
      <c r="G496" s="22" t="inlineStr">
        <is>
          <t>adet</t>
        </is>
      </c>
      <c r="H496" s="63" t="n">
        <v>1.13</v>
      </c>
      <c r="I496" s="22" t="inlineStr">
        <is>
          <t>EUR</t>
        </is>
      </c>
      <c r="J496" s="22" t="inlineStr">
        <is>
          <t>M+İ</t>
        </is>
      </c>
      <c r="K496" s="63" t="n">
        <v>1.50295997112417</v>
      </c>
      <c r="L496" s="22" t="inlineStr">
        <is>
          <t>4005</t>
        </is>
      </c>
      <c r="M496" s="22" t="n">
        <v>9</v>
      </c>
      <c r="N496" s="22" t="inlineStr">
        <is>
          <t>Kabataş-Mecidiyeköy-Mahmutbey metro (18 yeraltı istasyon + depo); KDV hariç; detay sayfası "404-405-406 - Telephone" kalem 4.9; para birimi özet tablodan</t>
        </is>
      </c>
    </row>
    <row r="497">
      <c r="A497" s="22" t="inlineStr">
        <is>
          <t>R02683</t>
        </is>
      </c>
      <c r="B497" s="22" t="inlineStr">
        <is>
          <t>Kabatas_Mecidiyekoy_Mahmutbey_Metro</t>
        </is>
      </c>
      <c r="C497" s="22" t="inlineStr">
        <is>
          <t>metro</t>
        </is>
      </c>
      <c r="D497" s="22" t="inlineStr">
        <is>
          <t>Uskom</t>
        </is>
      </c>
      <c r="E497" s="22" t="inlineStr">
        <is>
          <t>2015-04-11</t>
        </is>
      </c>
      <c r="F497" s="22" t="inlineStr">
        <is>
          <t>TetraNode IP Gateway license</t>
        </is>
      </c>
      <c r="G497" s="22" t="inlineStr">
        <is>
          <t>adet</t>
        </is>
      </c>
      <c r="H497" s="63" t="n">
        <v>10530</v>
      </c>
      <c r="I497" s="22" t="inlineStr">
        <is>
          <t>EUR</t>
        </is>
      </c>
      <c r="J497" s="22" t="inlineStr">
        <is>
          <t>Malzeme</t>
        </is>
      </c>
      <c r="K497" s="63" t="n">
        <v>14005.4588459624</v>
      </c>
      <c r="L497" s="22" t="inlineStr">
        <is>
          <t>4006</t>
        </is>
      </c>
      <c r="M497" s="22" t="n">
        <v>1</v>
      </c>
      <c r="N497" s="22" t="inlineStr">
        <is>
          <t>Kabataş-Mecidiyeköy-Mahmutbey metro (18 yeraltı istasyon + depo); KDV hariç; detay sayfası "Radio" kalem 1.1.2; para birimi özet tablodan</t>
        </is>
      </c>
    </row>
    <row r="498">
      <c r="A498" s="22" t="inlineStr">
        <is>
          <t>R02686</t>
        </is>
      </c>
      <c r="B498" s="22" t="inlineStr">
        <is>
          <t>Kabatas_Mecidiyekoy_Mahmutbey_Metro</t>
        </is>
      </c>
      <c r="C498" s="22" t="inlineStr">
        <is>
          <t>metro</t>
        </is>
      </c>
      <c r="D498" s="22" t="inlineStr">
        <is>
          <t>Uskom</t>
        </is>
      </c>
      <c r="E498" s="22" t="inlineStr">
        <is>
          <t>2015-04-11</t>
        </is>
      </c>
      <c r="F498" s="22" t="inlineStr">
        <is>
          <t>Uskom Dispatcher Consoles</t>
        </is>
      </c>
      <c r="G498" s="22" t="inlineStr">
        <is>
          <t>adet</t>
        </is>
      </c>
      <c r="H498" s="63" t="n">
        <v>4500</v>
      </c>
      <c r="I498" s="22" t="inlineStr">
        <is>
          <t>EUR</t>
        </is>
      </c>
      <c r="J498" s="22" t="inlineStr">
        <is>
          <t>M+İ</t>
        </is>
      </c>
      <c r="K498" s="63" t="n">
        <v>5985.23882306084</v>
      </c>
      <c r="L498" s="22" t="inlineStr">
        <is>
          <t>4006.B</t>
        </is>
      </c>
      <c r="M498" s="22" t="n">
        <v>1</v>
      </c>
      <c r="N498" s="22" t="inlineStr">
        <is>
          <t>Kabataş-Mecidiyeköy-Mahmutbey metro (18 yeraltı istasyon + depo); KDV hariç; detay sayfası "Radio" kalem 1.1.8; para birimi özet tablodan</t>
        </is>
      </c>
    </row>
    <row r="499">
      <c r="A499" s="22" t="inlineStr">
        <is>
          <t>R02687</t>
        </is>
      </c>
      <c r="B499" s="22" t="inlineStr">
        <is>
          <t>Kabatas_Mecidiyekoy_Mahmutbey_Metro</t>
        </is>
      </c>
      <c r="C499" s="22" t="inlineStr">
        <is>
          <t>metro</t>
        </is>
      </c>
      <c r="D499" s="22" t="inlineStr">
        <is>
          <t>Uskom</t>
        </is>
      </c>
      <c r="E499" s="22" t="inlineStr">
        <is>
          <t>2015-04-11</t>
        </is>
      </c>
      <c r="F499" s="22" t="inlineStr">
        <is>
          <t>Fixed radio set for dispatcher</t>
        </is>
      </c>
      <c r="G499" s="22" t="inlineStr">
        <is>
          <t>adet</t>
        </is>
      </c>
      <c r="H499" s="63" t="n">
        <v>1150</v>
      </c>
      <c r="I499" s="22" t="inlineStr">
        <is>
          <t>EUR</t>
        </is>
      </c>
      <c r="J499" s="22" t="inlineStr">
        <is>
          <t>M+İ</t>
        </is>
      </c>
      <c r="K499" s="63" t="n">
        <v>1529.56103255999</v>
      </c>
      <c r="L499" s="22" t="inlineStr">
        <is>
          <t>4006.B</t>
        </is>
      </c>
      <c r="M499" s="22" t="n">
        <v>1</v>
      </c>
      <c r="N499" s="22" t="inlineStr">
        <is>
          <t>Kabataş-Mecidiyeköy-Mahmutbey metro (18 yeraltı istasyon + depo); KDV hariç; detay sayfası "Radio" kalem 1.1.9; para birimi özet tablodan</t>
        </is>
      </c>
    </row>
    <row r="500">
      <c r="A500" s="22" t="inlineStr">
        <is>
          <t>R02688</t>
        </is>
      </c>
      <c r="B500" s="22" t="inlineStr">
        <is>
          <t>Kabatas_Mecidiyekoy_Mahmutbey_Metro</t>
        </is>
      </c>
      <c r="C500" s="22" t="inlineStr">
        <is>
          <t>metro</t>
        </is>
      </c>
      <c r="D500" s="22" t="inlineStr">
        <is>
          <t>Uskom</t>
        </is>
      </c>
      <c r="E500" s="22" t="inlineStr">
        <is>
          <t>2015-04-11</t>
        </is>
      </c>
      <c r="F500" s="22" t="inlineStr">
        <is>
          <t>2-TETRA carrier BSS, clear mode, fallback, 2-RX diversity</t>
        </is>
      </c>
      <c r="G500" s="22" t="inlineStr">
        <is>
          <t>adet</t>
        </is>
      </c>
      <c r="H500" s="63" t="n">
        <v>56300</v>
      </c>
      <c r="I500" s="22" t="inlineStr">
        <is>
          <t>EUR</t>
        </is>
      </c>
      <c r="J500" s="22" t="inlineStr">
        <is>
          <t>M+İ</t>
        </is>
      </c>
      <c r="K500" s="63" t="n">
        <v>74881.98794185001</v>
      </c>
      <c r="L500" s="22" t="inlineStr">
        <is>
          <t>4006</t>
        </is>
      </c>
      <c r="M500" s="22" t="n">
        <v>1</v>
      </c>
      <c r="N500" s="22" t="inlineStr">
        <is>
          <t>Kabataş-Mecidiyeköy-Mahmutbey metro (18 yeraltı istasyon + depo); KDV hariç; detay sayfası "Radio" kalem 1.2.1; para birimi özet tablodan</t>
        </is>
      </c>
    </row>
    <row r="501">
      <c r="A501" s="22" t="inlineStr">
        <is>
          <t>R02690</t>
        </is>
      </c>
      <c r="B501" s="22" t="inlineStr">
        <is>
          <t>Kabatas_Mecidiyekoy_Mahmutbey_Metro</t>
        </is>
      </c>
      <c r="C501" s="22" t="inlineStr">
        <is>
          <t>metro</t>
        </is>
      </c>
      <c r="D501" s="22" t="inlineStr">
        <is>
          <t>Uskom</t>
        </is>
      </c>
      <c r="E501" s="22" t="inlineStr">
        <is>
          <t>2015-04-11</t>
        </is>
      </c>
      <c r="F501" s="22" t="inlineStr">
        <is>
          <t>25mt monopole with aircraft warning lights, antenna supports and Tetra antennas, 200 mt of 7/8" RF cables  (Foundation and erection of pole by Contractor)</t>
        </is>
      </c>
      <c r="G501" s="22" t="inlineStr">
        <is>
          <t>adet</t>
        </is>
      </c>
      <c r="H501" s="63" t="n">
        <v>17143.91</v>
      </c>
      <c r="I501" s="22" t="inlineStr">
        <is>
          <t>EUR</t>
        </is>
      </c>
      <c r="J501" s="22" t="inlineStr">
        <is>
          <t>M+İ</t>
        </is>
      </c>
      <c r="K501" s="63" t="n">
        <v>22802.3101580135</v>
      </c>
      <c r="L501" s="22" t="inlineStr">
        <is>
          <t>4006.A</t>
        </is>
      </c>
      <c r="M501" s="22" t="n">
        <v>1</v>
      </c>
      <c r="N501" s="22" t="inlineStr">
        <is>
          <t>Kabataş-Mecidiyeköy-Mahmutbey metro (18 yeraltı istasyon + depo); KDV hariç; detay sayfası "Radio" kalem 1.2.3; para birimi özet tablodan</t>
        </is>
      </c>
    </row>
    <row r="502">
      <c r="A502" s="22" t="inlineStr">
        <is>
          <t>R02702</t>
        </is>
      </c>
      <c r="B502" s="22" t="inlineStr">
        <is>
          <t>Kabatas_Mecidiyekoy_Mahmutbey_Metro</t>
        </is>
      </c>
      <c r="C502" s="22" t="inlineStr">
        <is>
          <t>metro</t>
        </is>
      </c>
      <c r="D502" s="22" t="inlineStr">
        <is>
          <t>Uskom</t>
        </is>
      </c>
      <c r="E502" s="22" t="inlineStr">
        <is>
          <t>2015-04-11</t>
        </is>
      </c>
      <c r="F502" s="22" t="inlineStr">
        <is>
          <t>Uskom On board Tetra radio equipment including antenna but excluding all cables between the equipment and any train interface</t>
        </is>
      </c>
      <c r="G502" s="22" t="inlineStr">
        <is>
          <t>adet</t>
        </is>
      </c>
      <c r="H502" s="63" t="n">
        <v>3940</v>
      </c>
      <c r="I502" s="22" t="inlineStr">
        <is>
          <t>EUR</t>
        </is>
      </c>
      <c r="J502" s="22" t="inlineStr">
        <is>
          <t>Malzeme</t>
        </is>
      </c>
      <c r="K502" s="63" t="n">
        <v>5240.40910285771</v>
      </c>
      <c r="L502" s="22" t="inlineStr">
        <is>
          <t>4006.A</t>
        </is>
      </c>
      <c r="M502" s="22" t="n">
        <v>1</v>
      </c>
      <c r="N502" s="22" t="inlineStr">
        <is>
          <t>Kabataş-Mecidiyeköy-Mahmutbey metro (18 yeraltı istasyon + depo); KDV hariç; detay sayfası "Radio" kalem 1.6.1; para birimi özet tablodan</t>
        </is>
      </c>
    </row>
    <row r="503">
      <c r="A503" s="22" t="inlineStr">
        <is>
          <t>R02717</t>
        </is>
      </c>
      <c r="B503" s="22" t="inlineStr">
        <is>
          <t>Kabatas_Mecidiyekoy_Mahmutbey_Metro</t>
        </is>
      </c>
      <c r="C503" s="22" t="inlineStr">
        <is>
          <t>metro</t>
        </is>
      </c>
      <c r="D503" s="22" t="inlineStr">
        <is>
          <t>Uskom</t>
        </is>
      </c>
      <c r="E503" s="22" t="inlineStr">
        <is>
          <t>2015-04-11</t>
        </is>
      </c>
      <c r="F503" s="22" t="inlineStr">
        <is>
          <t>V1772N-T IP66 3 Mpx, 20x PTZ IP dome camera for indoor</t>
        </is>
      </c>
      <c r="G503" s="22" t="inlineStr">
        <is>
          <t>adet</t>
        </is>
      </c>
      <c r="H503" s="63" t="n">
        <v>2009.45</v>
      </c>
      <c r="I503" s="22" t="inlineStr">
        <is>
          <t>USD</t>
        </is>
      </c>
      <c r="J503" s="22" t="inlineStr">
        <is>
          <t>M+İ</t>
        </is>
      </c>
      <c r="K503" s="63" t="n">
        <v>2528.54791401232</v>
      </c>
      <c r="L503" s="22" t="inlineStr">
        <is>
          <t>4010.I</t>
        </is>
      </c>
      <c r="M503" s="22" t="n">
        <v>1</v>
      </c>
      <c r="N503" s="22" t="inlineStr">
        <is>
          <t>Kabataş-Mecidiyeköy-Mahmutbey metro (18 yeraltı istasyon + depo); KDV hariç; detay sayfası "CCTV" kalem 1.4; para birimi özet tablodan</t>
        </is>
      </c>
    </row>
    <row r="504">
      <c r="A504" s="22" t="inlineStr">
        <is>
          <t>R02720</t>
        </is>
      </c>
      <c r="B504" s="22" t="inlineStr">
        <is>
          <t>Kabatas_Mecidiyekoy_Mahmutbey_Metro</t>
        </is>
      </c>
      <c r="C504" s="22" t="inlineStr">
        <is>
          <t>metro</t>
        </is>
      </c>
      <c r="D504" s="22" t="inlineStr">
        <is>
          <t>Uskom</t>
        </is>
      </c>
      <c r="E504" s="22" t="inlineStr">
        <is>
          <t>2015-04-11</t>
        </is>
      </c>
      <c r="F504" s="22" t="inlineStr">
        <is>
          <t>Camera mount support (Excludes poles or steel structures)</t>
        </is>
      </c>
      <c r="G504" s="22" t="inlineStr">
        <is>
          <t>adet</t>
        </is>
      </c>
      <c r="H504" s="63" t="n">
        <v>107</v>
      </c>
      <c r="I504" s="22" t="inlineStr">
        <is>
          <t>USD</t>
        </is>
      </c>
      <c r="J504" s="22" t="inlineStr">
        <is>
          <t>M+İ</t>
        </is>
      </c>
      <c r="K504" s="63" t="n">
        <v>134.641134041314</v>
      </c>
      <c r="L504" s="22" t="inlineStr">
        <is>
          <t>4010.A</t>
        </is>
      </c>
      <c r="M504" s="22" t="n">
        <v>8</v>
      </c>
      <c r="N504" s="22" t="inlineStr">
        <is>
          <t>Kabataş-Mecidiyeköy-Mahmutbey metro (18 yeraltı istasyon + depo); KDV hariç; detay sayfası "CCTV" kalem 1.7; para birimi özet tablodan</t>
        </is>
      </c>
    </row>
    <row r="505">
      <c r="A505" s="22" t="inlineStr">
        <is>
          <t>R02721</t>
        </is>
      </c>
      <c r="B505" s="22" t="inlineStr">
        <is>
          <t>Kabatas_Mecidiyekoy_Mahmutbey_Metro</t>
        </is>
      </c>
      <c r="C505" s="22" t="inlineStr">
        <is>
          <t>metro</t>
        </is>
      </c>
      <c r="D505" s="22" t="inlineStr">
        <is>
          <t>Uskom</t>
        </is>
      </c>
      <c r="E505" s="22" t="inlineStr">
        <is>
          <t>2015-04-11</t>
        </is>
      </c>
      <c r="F505" s="22" t="inlineStr">
        <is>
          <t>V2217 per camera recording license</t>
        </is>
      </c>
      <c r="G505" s="22" t="inlineStr">
        <is>
          <t>adet</t>
        </is>
      </c>
      <c r="H505" s="63" t="n">
        <v>94</v>
      </c>
      <c r="I505" s="22" t="inlineStr">
        <is>
          <t>USD</t>
        </is>
      </c>
      <c r="J505" s="22" t="inlineStr">
        <is>
          <t>Malzeme</t>
        </is>
      </c>
      <c r="K505" s="63" t="n">
        <v>118.282865419472</v>
      </c>
      <c r="L505" s="22" t="inlineStr">
        <is>
          <t>4010.J</t>
        </is>
      </c>
      <c r="M505" s="22" t="n">
        <v>1</v>
      </c>
      <c r="N505" s="22" t="inlineStr">
        <is>
          <t>Kabataş-Mecidiyeköy-Mahmutbey metro (18 yeraltı istasyon + depo); KDV hariç; detay sayfası "CCTV" kalem 1.8; para birimi özet tablodan</t>
        </is>
      </c>
    </row>
    <row r="506">
      <c r="A506" s="22" t="inlineStr">
        <is>
          <t>R02723</t>
        </is>
      </c>
      <c r="B506" s="22" t="inlineStr">
        <is>
          <t>Kabatas_Mecidiyekoy_Mahmutbey_Metro</t>
        </is>
      </c>
      <c r="C506" s="22" t="inlineStr">
        <is>
          <t>metro</t>
        </is>
      </c>
      <c r="D506" s="22" t="inlineStr">
        <is>
          <t>Uskom</t>
        </is>
      </c>
      <c r="E506" s="22" t="inlineStr">
        <is>
          <t>2015-04-11</t>
        </is>
      </c>
      <c r="F506" s="22" t="inlineStr">
        <is>
          <t>NVR Server DELL or HP with Win Svr OS for VMS</t>
        </is>
      </c>
      <c r="G506" s="22" t="inlineStr">
        <is>
          <t>adet</t>
        </is>
      </c>
      <c r="H506" s="63" t="n">
        <v>5770</v>
      </c>
      <c r="I506" s="22" t="inlineStr">
        <is>
          <t>USD</t>
        </is>
      </c>
      <c r="J506" s="22" t="inlineStr">
        <is>
          <t>M+İ</t>
        </is>
      </c>
      <c r="K506" s="63" t="n">
        <v>7260.55461138674</v>
      </c>
      <c r="L506" s="22" t="inlineStr">
        <is>
          <t>4010.J</t>
        </is>
      </c>
      <c r="M506" s="22" t="n">
        <v>2</v>
      </c>
      <c r="N506" s="22" t="inlineStr">
        <is>
          <t>Kabataş-Mecidiyeköy-Mahmutbey metro (18 yeraltı istasyon + depo); KDV hariç; detay sayfası "CCTV" kalem 2.1; para birimi özet tablodan</t>
        </is>
      </c>
    </row>
    <row r="507">
      <c r="A507" s="22" t="inlineStr">
        <is>
          <t>R02735</t>
        </is>
      </c>
      <c r="B507" s="22" t="inlineStr">
        <is>
          <t>Kabatas_Mecidiyekoy_Mahmutbey_Metro</t>
        </is>
      </c>
      <c r="C507" s="22" t="inlineStr">
        <is>
          <t>metro</t>
        </is>
      </c>
      <c r="D507" s="22" t="inlineStr">
        <is>
          <t>Uskom</t>
        </is>
      </c>
      <c r="E507" s="22" t="inlineStr">
        <is>
          <t>2015-04-11</t>
        </is>
      </c>
      <c r="F507" s="22" t="inlineStr">
        <is>
          <t>Switch 5 Port/PoE (EKI-2525P-BE Unmanaged 5port switch)</t>
        </is>
      </c>
      <c r="G507" s="22" t="inlineStr">
        <is>
          <t>adet</t>
        </is>
      </c>
      <c r="H507" s="63" t="n">
        <v>355</v>
      </c>
      <c r="I507" s="22" t="inlineStr">
        <is>
          <t>USD</t>
        </is>
      </c>
      <c r="J507" s="22" t="inlineStr">
        <is>
          <t>M+İ</t>
        </is>
      </c>
      <c r="K507" s="63" t="n">
        <v>446.706566211836</v>
      </c>
      <c r="L507" s="22" t="inlineStr">
        <is>
          <t>4010</t>
        </is>
      </c>
      <c r="M507" s="22" t="n">
        <v>1</v>
      </c>
      <c r="N507" s="22" t="inlineStr">
        <is>
          <t>Kabataş-Mecidiyeköy-Mahmutbey metro (18 yeraltı istasyon + depo); KDV hariç; detay sayfası "CCTV" kalem 9.1; para birimi özet tablodan</t>
        </is>
      </c>
    </row>
    <row r="508">
      <c r="A508" s="22" t="inlineStr">
        <is>
          <t>R02736</t>
        </is>
      </c>
      <c r="B508" s="22" t="inlineStr">
        <is>
          <t>Kabatas_Mecidiyekoy_Mahmutbey_Metro</t>
        </is>
      </c>
      <c r="C508" s="22" t="inlineStr">
        <is>
          <t>metro</t>
        </is>
      </c>
      <c r="D508" s="22" t="inlineStr">
        <is>
          <t>Uskom</t>
        </is>
      </c>
      <c r="E508" s="22" t="inlineStr">
        <is>
          <t>2015-04-11</t>
        </is>
      </c>
      <c r="F508" s="22" t="inlineStr">
        <is>
          <t>Switch 24 Port/PoE (alcatel 6450-24)</t>
        </is>
      </c>
      <c r="G508" s="22" t="inlineStr">
        <is>
          <t>adet</t>
        </is>
      </c>
      <c r="H508" s="63" t="n">
        <v>1646.25</v>
      </c>
      <c r="I508" s="22" t="inlineStr">
        <is>
          <t>USD</t>
        </is>
      </c>
      <c r="J508" s="22" t="inlineStr">
        <is>
          <t>M+İ</t>
        </is>
      </c>
      <c r="K508" s="63" t="n">
        <v>2071.52305528517</v>
      </c>
      <c r="L508" s="22" t="inlineStr">
        <is>
          <t>4010</t>
        </is>
      </c>
      <c r="M508" s="22" t="n">
        <v>2</v>
      </c>
      <c r="N508" s="22" t="inlineStr">
        <is>
          <t>Kabataş-Mecidiyeköy-Mahmutbey metro (18 yeraltı istasyon + depo); KDV hariç; detay sayfası "CCTV" kalem 9.3; para birimi özet tablodan</t>
        </is>
      </c>
    </row>
    <row r="509">
      <c r="A509" s="22" t="inlineStr">
        <is>
          <t>R02740</t>
        </is>
      </c>
      <c r="B509" s="22" t="inlineStr">
        <is>
          <t>Kabatas_Mecidiyekoy_Mahmutbey_Metro</t>
        </is>
      </c>
      <c r="C509" s="22" t="inlineStr">
        <is>
          <t>metro</t>
        </is>
      </c>
      <c r="D509" s="22" t="inlineStr">
        <is>
          <t>Uskom</t>
        </is>
      </c>
      <c r="E509" s="22" t="inlineStr">
        <is>
          <t>2015-04-11</t>
        </is>
      </c>
      <c r="F509" s="22" t="inlineStr">
        <is>
          <t>Remote minibox including 4 fiber ODF</t>
        </is>
      </c>
      <c r="G509" s="22" t="inlineStr">
        <is>
          <t>adet</t>
        </is>
      </c>
      <c r="H509" s="63" t="n">
        <v>414</v>
      </c>
      <c r="I509" s="22" t="inlineStr">
        <is>
          <t>USD</t>
        </is>
      </c>
      <c r="J509" s="22" t="inlineStr">
        <is>
          <t>M+İ</t>
        </is>
      </c>
      <c r="K509" s="63" t="n">
        <v>520.947939187888</v>
      </c>
      <c r="L509" s="22" t="inlineStr">
        <is>
          <t>4010</t>
        </is>
      </c>
      <c r="M509" s="22" t="n">
        <v>1</v>
      </c>
      <c r="N509" s="22" t="inlineStr">
        <is>
          <t>Kabataş-Mecidiyeköy-Mahmutbey metro (18 yeraltı istasyon + depo); KDV hariç; detay sayfası "CCTV" kalem 12.3; para birimi özet tablodan</t>
        </is>
      </c>
    </row>
    <row r="510">
      <c r="A510" s="22" t="inlineStr">
        <is>
          <t>R02742</t>
        </is>
      </c>
      <c r="B510" s="22" t="inlineStr">
        <is>
          <t>Kabatas_Mecidiyekoy_Mahmutbey_Metro</t>
        </is>
      </c>
      <c r="C510" s="22" t="inlineStr">
        <is>
          <t>metro</t>
        </is>
      </c>
      <c r="D510" s="22" t="inlineStr">
        <is>
          <t>Uskom</t>
        </is>
      </c>
      <c r="E510" s="22" t="inlineStr">
        <is>
          <t>2015-04-11</t>
        </is>
      </c>
      <c r="F510" s="22" t="inlineStr">
        <is>
          <t>Optic Cable, 4 SM G652-D fibers, Fire Retardant LSZH</t>
        </is>
      </c>
      <c r="G510" s="22" t="inlineStr">
        <is>
          <t>adet</t>
        </is>
      </c>
      <c r="H510" s="63" t="n">
        <v>2.49</v>
      </c>
      <c r="I510" s="22" t="inlineStr">
        <is>
          <t>USD</t>
        </is>
      </c>
      <c r="J510" s="22" t="inlineStr">
        <is>
          <t>M+İ</t>
        </is>
      </c>
      <c r="K510" s="63" t="n">
        <v>3.13323760526048</v>
      </c>
      <c r="L510" s="22" t="inlineStr">
        <is>
          <t>4010</t>
        </is>
      </c>
      <c r="M510" s="22" t="n">
        <v>1</v>
      </c>
      <c r="N510" s="22" t="inlineStr">
        <is>
          <t>Kabataş-Mecidiyeköy-Mahmutbey metro (18 yeraltı istasyon + depo); KDV hariç; detay sayfası "CCTV" kalem 13.2; para birimi özet tablodan</t>
        </is>
      </c>
    </row>
    <row r="511">
      <c r="A511" s="22" t="inlineStr">
        <is>
          <t>R02744</t>
        </is>
      </c>
      <c r="B511" s="22" t="inlineStr">
        <is>
          <t>Kabatas_Mecidiyekoy_Mahmutbey_Metro</t>
        </is>
      </c>
      <c r="C511" s="22" t="inlineStr">
        <is>
          <t>metro</t>
        </is>
      </c>
      <c r="D511" s="22" t="inlineStr">
        <is>
          <t>Uskom</t>
        </is>
      </c>
      <c r="E511" s="22" t="inlineStr">
        <is>
          <t>2015-04-11</t>
        </is>
      </c>
      <c r="F511" s="22" t="inlineStr">
        <is>
          <t>N2XH 3x4 Power cable - Flame Retardant between UPS to CCTV main and remote central cabinets</t>
        </is>
      </c>
      <c r="G511" s="22" t="inlineStr">
        <is>
          <t>adet</t>
        </is>
      </c>
      <c r="H511" s="63" t="n">
        <v>2.86</v>
      </c>
      <c r="I511" s="22" t="inlineStr">
        <is>
          <t>USD</t>
        </is>
      </c>
      <c r="J511" s="22" t="inlineStr">
        <is>
          <t>M+İ</t>
        </is>
      </c>
      <c r="K511" s="63" t="n">
        <v>3.59881909680521</v>
      </c>
      <c r="L511" s="22" t="inlineStr">
        <is>
          <t>4010</t>
        </is>
      </c>
      <c r="M511" s="22" t="n">
        <v>7</v>
      </c>
      <c r="N511" s="22" t="inlineStr">
        <is>
          <t>Kabataş-Mecidiyeköy-Mahmutbey metro (18 yeraltı istasyon + depo); KDV hariç; detay sayfası "CCTV" kalem 13.5; para birimi özet tablodan</t>
        </is>
      </c>
    </row>
    <row r="512">
      <c r="A512" s="22" t="inlineStr">
        <is>
          <t>R02746</t>
        </is>
      </c>
      <c r="B512" s="22" t="inlineStr">
        <is>
          <t>Kabatas_Mecidiyekoy_Mahmutbey_Metro</t>
        </is>
      </c>
      <c r="C512" s="22" t="inlineStr">
        <is>
          <t>metro</t>
        </is>
      </c>
      <c r="D512" s="22" t="inlineStr">
        <is>
          <t>Uskom</t>
        </is>
      </c>
      <c r="E512" s="22" t="inlineStr">
        <is>
          <t>2015-04-11</t>
        </is>
      </c>
      <c r="F512" s="22" t="inlineStr">
        <is>
          <t>3/4" spiral pipe</t>
        </is>
      </c>
      <c r="G512" s="22" t="inlineStr">
        <is>
          <t>adet</t>
        </is>
      </c>
      <c r="H512" s="63" t="n">
        <v>1.53</v>
      </c>
      <c r="I512" s="22" t="inlineStr">
        <is>
          <t>USD</t>
        </is>
      </c>
      <c r="J512" s="22" t="inlineStr">
        <is>
          <t>M+İ</t>
        </is>
      </c>
      <c r="K512" s="63" t="n">
        <v>1.92524238395524</v>
      </c>
      <c r="L512" s="22" t="inlineStr">
        <is>
          <t>4010</t>
        </is>
      </c>
      <c r="M512" s="22" t="n">
        <v>9</v>
      </c>
      <c r="N512" s="22" t="inlineStr">
        <is>
          <t>Kabataş-Mecidiyeköy-Mahmutbey metro (18 yeraltı istasyon + depo); KDV hariç; detay sayfası "CCTV" kalem 13.7; para birimi özet tablodan</t>
        </is>
      </c>
    </row>
    <row r="513">
      <c r="A513" s="22" t="inlineStr">
        <is>
          <t>R02759</t>
        </is>
      </c>
      <c r="B513" s="22" t="inlineStr">
        <is>
          <t>Kabatas_Mecidiyekoy_Mahmutbey_Metro</t>
        </is>
      </c>
      <c r="C513" s="22" t="inlineStr">
        <is>
          <t>metro</t>
        </is>
      </c>
      <c r="D513" s="22" t="inlineStr">
        <is>
          <t>Uskom</t>
        </is>
      </c>
      <c r="E513" s="22" t="inlineStr">
        <is>
          <t>2015-04-11</t>
        </is>
      </c>
      <c r="F513" s="22" t="inlineStr">
        <is>
          <t>BODET Sigma MOD Central Master Clock (Will be installed in Telecom cabinets)</t>
        </is>
      </c>
      <c r="G513" s="22" t="inlineStr">
        <is>
          <t>adet</t>
        </is>
      </c>
      <c r="H513" s="63" t="n">
        <v>2050</v>
      </c>
      <c r="I513" s="22" t="inlineStr">
        <is>
          <t>EUR</t>
        </is>
      </c>
      <c r="J513" s="22" t="inlineStr">
        <is>
          <t>M+İ</t>
        </is>
      </c>
      <c r="K513" s="63" t="n">
        <v>2726.60879717216</v>
      </c>
      <c r="L513" s="22" t="inlineStr">
        <is>
          <t>4012.H</t>
        </is>
      </c>
      <c r="M513" s="22" t="n">
        <v>1</v>
      </c>
      <c r="N513" s="22" t="inlineStr">
        <is>
          <t>Kabataş-Mecidiyeköy-Mahmutbey metro (18 yeraltı istasyon + depo); KDV hariç; detay sayfası "MCS" kalem 2.1; para birimi özet tablodan</t>
        </is>
      </c>
    </row>
    <row r="514">
      <c r="A514" s="22" t="inlineStr">
        <is>
          <t>R02760</t>
        </is>
      </c>
      <c r="B514" s="22" t="inlineStr">
        <is>
          <t>Kabatas_Mecidiyekoy_Mahmutbey_Metro</t>
        </is>
      </c>
      <c r="C514" s="22" t="inlineStr">
        <is>
          <t>metro</t>
        </is>
      </c>
      <c r="D514" s="22" t="inlineStr">
        <is>
          <t>Uskom</t>
        </is>
      </c>
      <c r="E514" s="22" t="inlineStr">
        <is>
          <t>2015-04-11</t>
        </is>
      </c>
      <c r="F514" s="22" t="inlineStr">
        <is>
          <t>GPS antenna and cable</t>
        </is>
      </c>
      <c r="G514" s="22" t="inlineStr">
        <is>
          <t>adet</t>
        </is>
      </c>
      <c r="H514" s="63" t="n">
        <v>380</v>
      </c>
      <c r="I514" s="22" t="inlineStr">
        <is>
          <t>EUR</t>
        </is>
      </c>
      <c r="J514" s="22" t="inlineStr">
        <is>
          <t>M+İ</t>
        </is>
      </c>
      <c r="K514" s="63" t="n">
        <v>505.420167280693</v>
      </c>
      <c r="L514" s="22" t="inlineStr">
        <is>
          <t>4012.H</t>
        </is>
      </c>
      <c r="M514" s="22" t="n">
        <v>1</v>
      </c>
      <c r="N514" s="22" t="inlineStr">
        <is>
          <t>Kabataş-Mecidiyeköy-Mahmutbey metro (18 yeraltı istasyon + depo); KDV hariç; detay sayfası "MCS" kalem 2.2; para birimi özet tablodan</t>
        </is>
      </c>
    </row>
    <row r="515">
      <c r="A515" s="22" t="inlineStr">
        <is>
          <t>R02778</t>
        </is>
      </c>
      <c r="B515" s="22" t="inlineStr">
        <is>
          <t>Kabatas_Mecidiyekoy_Mahmutbey_Metro</t>
        </is>
      </c>
      <c r="C515" s="22" t="inlineStr">
        <is>
          <t>metro</t>
        </is>
      </c>
      <c r="D515" s="22" t="inlineStr">
        <is>
          <t>Uskom</t>
        </is>
      </c>
      <c r="E515" s="22" t="inlineStr">
        <is>
          <t>2015-04-11</t>
        </is>
      </c>
      <c r="F515" s="22" t="inlineStr">
        <is>
          <t>Operator PIS PC with a 21" LCD monitor</t>
        </is>
      </c>
      <c r="G515" s="22" t="inlineStr">
        <is>
          <t>adet</t>
        </is>
      </c>
      <c r="H515" s="63" t="n">
        <v>4120</v>
      </c>
      <c r="I515" s="22" t="inlineStr">
        <is>
          <t>EUR</t>
        </is>
      </c>
      <c r="J515" s="22" t="inlineStr">
        <is>
          <t>M+İ</t>
        </is>
      </c>
      <c r="K515" s="63" t="n">
        <v>5479.81865578015</v>
      </c>
      <c r="L515" s="22" t="inlineStr">
        <is>
          <t>4018.A</t>
        </is>
      </c>
      <c r="M515" s="22" t="n">
        <v>1</v>
      </c>
      <c r="N515" s="22" t="inlineStr">
        <is>
          <t>Kabataş-Mecidiyeköy-Mahmutbey metro (18 yeraltı istasyon + depo); KDV hariç; detay sayfası "PIS" kalem 2.2; para birimi özet tablodan</t>
        </is>
      </c>
    </row>
    <row r="516">
      <c r="A516" s="22" t="inlineStr">
        <is>
          <t>R02781</t>
        </is>
      </c>
      <c r="B516" s="22" t="inlineStr">
        <is>
          <t>Kabatas_Mecidiyekoy_Mahmutbey_Metro</t>
        </is>
      </c>
      <c r="C516" s="22" t="inlineStr">
        <is>
          <t>metro</t>
        </is>
      </c>
      <c r="D516" s="22" t="inlineStr">
        <is>
          <t>Uskom</t>
        </is>
      </c>
      <c r="E516" s="22" t="inlineStr">
        <is>
          <t>2015-04-11</t>
        </is>
      </c>
      <c r="F516" s="22" t="inlineStr">
        <is>
          <t>24 port CAT6 FTP patch panel (without RJ45 jacks) to install in CCTV cabinet(s)</t>
        </is>
      </c>
      <c r="G516" s="22" t="inlineStr">
        <is>
          <t>adet</t>
        </is>
      </c>
      <c r="H516" s="63" t="n">
        <v>71.25</v>
      </c>
      <c r="I516" s="22" t="inlineStr">
        <is>
          <t>EUR</t>
        </is>
      </c>
      <c r="J516" s="22" t="inlineStr">
        <is>
          <t>M+İ</t>
        </is>
      </c>
      <c r="K516" s="63" t="n">
        <v>94.7662813651299</v>
      </c>
      <c r="L516" s="22" t="inlineStr">
        <is>
          <t>4018</t>
        </is>
      </c>
      <c r="M516" s="22" t="n">
        <v>6</v>
      </c>
      <c r="N516" s="22" t="inlineStr">
        <is>
          <t>Kabataş-Mecidiyeköy-Mahmutbey metro (18 yeraltı istasyon + depo); KDV hariç; detay sayfası "PIS" kalem 2.6; para birimi özet tablodan</t>
        </is>
      </c>
    </row>
    <row r="517">
      <c r="A517" s="22" t="inlineStr">
        <is>
          <t>R02783</t>
        </is>
      </c>
      <c r="B517" s="22" t="inlineStr">
        <is>
          <t>Kabatas_Mecidiyekoy_Mahmutbey_Metro</t>
        </is>
      </c>
      <c r="C517" s="22" t="inlineStr">
        <is>
          <t>metro</t>
        </is>
      </c>
      <c r="D517" s="22" t="inlineStr">
        <is>
          <t>Uskom</t>
        </is>
      </c>
      <c r="E517" s="22" t="inlineStr">
        <is>
          <t>2015-04-11</t>
        </is>
      </c>
      <c r="F517" s="22" t="inlineStr">
        <is>
          <t>Cat6 FTP Patch Cord (2 mt)</t>
        </is>
      </c>
      <c r="G517" s="22" t="inlineStr">
        <is>
          <t>adet</t>
        </is>
      </c>
      <c r="H517" s="63" t="n">
        <v>3.12</v>
      </c>
      <c r="I517" s="22" t="inlineStr">
        <is>
          <t>EUR</t>
        </is>
      </c>
      <c r="J517" s="22" t="inlineStr">
        <is>
          <t>M+İ</t>
        </is>
      </c>
      <c r="K517" s="63" t="n">
        <v>4.14976558398885</v>
      </c>
      <c r="L517" s="22" t="inlineStr">
        <is>
          <t>4018</t>
        </is>
      </c>
      <c r="M517" s="22" t="n">
        <v>6</v>
      </c>
      <c r="N517" s="22" t="inlineStr">
        <is>
          <t>Kabataş-Mecidiyeköy-Mahmutbey metro (18 yeraltı istasyon + depo); KDV hariç; detay sayfası "PIS" kalem 2.8; para birimi özet tablodan</t>
        </is>
      </c>
    </row>
    <row r="518">
      <c r="A518" s="22" t="inlineStr">
        <is>
          <t>R02785</t>
        </is>
      </c>
      <c r="B518" s="22" t="inlineStr">
        <is>
          <t>Kabatas_Mecidiyekoy_Mahmutbey_Metro</t>
        </is>
      </c>
      <c r="C518" s="22" t="inlineStr">
        <is>
          <t>metro</t>
        </is>
      </c>
      <c r="D518" s="22" t="inlineStr">
        <is>
          <t>Uskom</t>
        </is>
      </c>
      <c r="E518" s="22" t="inlineStr">
        <is>
          <t>2015-04-11</t>
        </is>
      </c>
      <c r="F518" s="22" t="inlineStr">
        <is>
          <t>Display steel support for ceiling mount</t>
        </is>
      </c>
      <c r="G518" s="22" t="inlineStr">
        <is>
          <t>adet</t>
        </is>
      </c>
      <c r="H518" s="63" t="n">
        <v>78</v>
      </c>
      <c r="I518" s="22" t="inlineStr">
        <is>
          <t>EUR</t>
        </is>
      </c>
      <c r="J518" s="22" t="inlineStr">
        <is>
          <t>Malzeme</t>
        </is>
      </c>
      <c r="K518" s="63" t="n">
        <v>103.744139599721</v>
      </c>
      <c r="L518" s="22" t="inlineStr">
        <is>
          <t>4018.A</t>
        </is>
      </c>
      <c r="M518" s="22" t="n">
        <v>6</v>
      </c>
      <c r="N518" s="22" t="inlineStr">
        <is>
          <t>Kabataş-Mecidiyeköy-Mahmutbey metro (18 yeraltı istasyon + depo); KDV hariç; detay sayfası "PIS" kalem 2.10; para birimi özet tablodan</t>
        </is>
      </c>
    </row>
    <row r="519">
      <c r="A519" s="22" t="inlineStr">
        <is>
          <t>R02786</t>
        </is>
      </c>
      <c r="B519" s="22" t="inlineStr">
        <is>
          <t>Kabatas_Mecidiyekoy_Mahmutbey_Metro</t>
        </is>
      </c>
      <c r="C519" s="22" t="inlineStr">
        <is>
          <t>metro</t>
        </is>
      </c>
      <c r="D519" s="22" t="inlineStr">
        <is>
          <t>Uskom</t>
        </is>
      </c>
      <c r="E519" s="22" t="inlineStr">
        <is>
          <t>2015-04-11</t>
        </is>
      </c>
      <c r="F519" s="22" t="inlineStr">
        <is>
          <t>CAT6 HS/UTP 23AWG cable between CCTV switch cabinet to display</t>
        </is>
      </c>
      <c r="G519" s="22" t="inlineStr">
        <is>
          <t>adet</t>
        </is>
      </c>
      <c r="H519" s="63" t="n">
        <v>1.08</v>
      </c>
      <c r="I519" s="22" t="inlineStr">
        <is>
          <t>EUR</t>
        </is>
      </c>
      <c r="J519" s="22" t="inlineStr">
        <is>
          <t>M+İ</t>
        </is>
      </c>
      <c r="K519" s="63" t="n">
        <v>1.4364573175346</v>
      </c>
      <c r="L519" s="22" t="inlineStr">
        <is>
          <t>4018.A</t>
        </is>
      </c>
      <c r="M519" s="22" t="n">
        <v>15</v>
      </c>
      <c r="N519" s="22" t="inlineStr">
        <is>
          <t>Kabataş-Mecidiyeköy-Mahmutbey metro (18 yeraltı istasyon + depo); KDV hariç; detay sayfası "PIS" kalem 3.1; para birimi özet tablodan</t>
        </is>
      </c>
    </row>
    <row r="520">
      <c r="A520" s="22" t="inlineStr">
        <is>
          <t>R02787</t>
        </is>
      </c>
      <c r="B520" s="22" t="inlineStr">
        <is>
          <t>Kabatas_Mecidiyekoy_Mahmutbey_Metro</t>
        </is>
      </c>
      <c r="C520" s="22" t="inlineStr">
        <is>
          <t>metro</t>
        </is>
      </c>
      <c r="D520" s="22" t="inlineStr">
        <is>
          <t>Uskom</t>
        </is>
      </c>
      <c r="E520" s="22" t="inlineStr">
        <is>
          <t>2015-04-11</t>
        </is>
      </c>
      <c r="F520" s="22" t="inlineStr">
        <is>
          <t>N2XH 2x2,5 Power cable - Flame Retardant between CCTV switch cabinet to display</t>
        </is>
      </c>
      <c r="G520" s="22" t="inlineStr">
        <is>
          <t>adet</t>
        </is>
      </c>
      <c r="H520" s="63" t="n">
        <v>1.36</v>
      </c>
      <c r="I520" s="22" t="inlineStr">
        <is>
          <t>EUR</t>
        </is>
      </c>
      <c r="J520" s="22" t="inlineStr">
        <is>
          <t>M+İ</t>
        </is>
      </c>
      <c r="K520" s="63" t="n">
        <v>1.80887217763616</v>
      </c>
      <c r="L520" s="22" t="inlineStr">
        <is>
          <t>4018.A</t>
        </is>
      </c>
      <c r="M520" s="22" t="n">
        <v>1</v>
      </c>
      <c r="N520" s="22" t="inlineStr">
        <is>
          <t>Kabataş-Mecidiyeköy-Mahmutbey metro (18 yeraltı istasyon + depo); KDV hariç; detay sayfası "PIS" kalem 3.2; para birimi özet tablodan</t>
        </is>
      </c>
    </row>
    <row r="521">
      <c r="A521" s="22" t="inlineStr">
        <is>
          <t>R02793</t>
        </is>
      </c>
      <c r="B521" s="22" t="inlineStr">
        <is>
          <t>Kabatas_Mecidiyekoy_Mahmutbey_Metro</t>
        </is>
      </c>
      <c r="C521" s="22" t="inlineStr">
        <is>
          <t>metro</t>
        </is>
      </c>
      <c r="D521" s="22" t="inlineStr">
        <is>
          <t>Entek (Bodet)</t>
        </is>
      </c>
      <c r="E521" s="22" t="inlineStr">
        <is>
          <t>2015-04-13</t>
        </is>
      </c>
      <c r="F521" s="22" t="inlineStr">
        <is>
          <t>BODET Profil 960 çift taraflı harici ortam LED aydınlatmalı analog saat 60 cm</t>
        </is>
      </c>
      <c r="G521" s="22" t="inlineStr">
        <is>
          <t>adet</t>
        </is>
      </c>
      <c r="H521" s="63" t="n">
        <v>1431.66</v>
      </c>
      <c r="I521" s="22" t="inlineStr">
        <is>
          <t>EUR</t>
        </is>
      </c>
      <c r="J521" s="22" t="inlineStr"/>
      <c r="K521" s="63" t="n">
        <v>1904.18378076073</v>
      </c>
      <c r="L521" s="22" t="inlineStr">
        <is>
          <t>4012.A</t>
        </is>
      </c>
      <c r="M521" s="22" t="n">
        <v>7</v>
      </c>
      <c r="N521" s="22" t="inlineStr">
        <is>
          <t xml:space="preserve">KMM metro (18 yeraltı istasyon); KDV hariç; </t>
        </is>
      </c>
    </row>
    <row r="522">
      <c r="A522" s="22" t="inlineStr">
        <is>
          <t>R02795</t>
        </is>
      </c>
      <c r="B522" s="22" t="inlineStr">
        <is>
          <t>Kabatas_Mecidiyekoy_Mahmutbey_Metro</t>
        </is>
      </c>
      <c r="C522" s="22" t="inlineStr">
        <is>
          <t>metro</t>
        </is>
      </c>
      <c r="D522" s="22" t="inlineStr">
        <is>
          <t>Entek (Bodet)</t>
        </is>
      </c>
      <c r="E522" s="22" t="inlineStr">
        <is>
          <t>2015-04-13</t>
        </is>
      </c>
      <c r="F522" s="22" t="inlineStr">
        <is>
          <t>3MP dome kamera HIDC-P-3100V (saat teklifinde)</t>
        </is>
      </c>
      <c r="G522" s="22" t="inlineStr">
        <is>
          <t>adet</t>
        </is>
      </c>
      <c r="H522" s="63" t="n">
        <v>224.7</v>
      </c>
      <c r="I522" s="22" t="inlineStr">
        <is>
          <t>EUR</t>
        </is>
      </c>
      <c r="J522" s="22" t="inlineStr"/>
      <c r="K522" s="63" t="n">
        <v>298.862925231505</v>
      </c>
      <c r="L522" s="22" t="inlineStr">
        <is>
          <t>4010.A</t>
        </is>
      </c>
      <c r="M522" s="22" t="n">
        <v>9</v>
      </c>
      <c r="N522" s="22" t="inlineStr">
        <is>
          <t xml:space="preserve">KMM metro (18 yeraltı istasyon); KDV hariç; </t>
        </is>
      </c>
    </row>
    <row r="523">
      <c r="A523" s="22" t="inlineStr">
        <is>
          <t>R02802</t>
        </is>
      </c>
      <c r="B523" s="22" t="inlineStr">
        <is>
          <t>Kent Meydani-Terminal Tram</t>
        </is>
      </c>
      <c r="C523" s="22" t="inlineStr">
        <is>
          <t>tramvay</t>
        </is>
      </c>
      <c r="D523" s="22" t="inlineStr">
        <is>
          <t>Türk Prysmian Kablo (liste fiyatı)</t>
        </is>
      </c>
      <c r="E523" s="22" t="inlineStr">
        <is>
          <t>2014-06-13</t>
        </is>
      </c>
      <c r="F523" s="22" t="inlineStr">
        <is>
          <t>SM G652 tek tüplü 12 fiber zırhlı (FTL1/GF5E 1x12)</t>
        </is>
      </c>
      <c r="G523" s="22" t="inlineStr">
        <is>
          <t>km</t>
        </is>
      </c>
      <c r="H523" s="63" t="n">
        <v>2900</v>
      </c>
      <c r="I523" s="22" t="inlineStr">
        <is>
          <t>TRY</t>
        </is>
      </c>
      <c r="J523" s="22" t="inlineStr"/>
      <c r="K523" s="63" t="n">
        <v>1344.33644632338</v>
      </c>
      <c r="L523" s="22" t="inlineStr">
        <is>
          <t>4003</t>
        </is>
      </c>
      <c r="M523" s="22" t="n">
        <v>4</v>
      </c>
      <c r="N523" s="22" t="inlineStr">
        <is>
          <t>Prysmian FO kablo LİSTE fiyatı (TL/km, iskontosuz, KDV hariç), korugasyonlu çelik bant zırhlı PE kılıflı, kanal/toprak altı; 2.90 TL/m</t>
        </is>
      </c>
    </row>
    <row r="524">
      <c r="A524" s="22" t="inlineStr">
        <is>
          <t>R02808</t>
        </is>
      </c>
      <c r="B524" s="22" t="inlineStr">
        <is>
          <t>Kent Meydani-Terminal Tram</t>
        </is>
      </c>
      <c r="C524" s="22" t="inlineStr">
        <is>
          <t>tramvay</t>
        </is>
      </c>
      <c r="D524" s="22" t="inlineStr">
        <is>
          <t>Türk Prysmian Kablo (liste fiyatı)</t>
        </is>
      </c>
      <c r="E524" s="22" t="inlineStr">
        <is>
          <t>2014-06-13</t>
        </is>
      </c>
      <c r="F524" s="22" t="inlineStr">
        <is>
          <t>MM OM1 62,5/125 çok tüplü 24 fiber zırhlı (2x12)</t>
        </is>
      </c>
      <c r="G524" s="22" t="inlineStr">
        <is>
          <t>km</t>
        </is>
      </c>
      <c r="H524" s="63" t="n">
        <v>11576</v>
      </c>
      <c r="I524" s="22" t="inlineStr">
        <is>
          <t>TRY</t>
        </is>
      </c>
      <c r="J524" s="22" t="inlineStr"/>
      <c r="K524" s="63" t="n">
        <v>5366.22024228944</v>
      </c>
      <c r="L524" s="22" t="inlineStr">
        <is>
          <t>4003</t>
        </is>
      </c>
      <c r="M524" s="22" t="n">
        <v>1</v>
      </c>
      <c r="N524" s="22" t="inlineStr">
        <is>
          <t>Prysmian FO kablo LİSTE fiyatı (TL/km, iskontosuz, KDV hariç), korugasyonlu çelik bant zırhlı PE kılıflı, kanal/toprak altı; 11.58 TL/m</t>
        </is>
      </c>
    </row>
    <row r="525">
      <c r="A525" s="22" t="inlineStr">
        <is>
          <t>R02809</t>
        </is>
      </c>
      <c r="B525" s="22" t="inlineStr">
        <is>
          <t>Kent Meydani-Terminal Tram</t>
        </is>
      </c>
      <c r="C525" s="22" t="inlineStr">
        <is>
          <t>tramvay</t>
        </is>
      </c>
      <c r="D525" s="22" t="inlineStr">
        <is>
          <t>Türk Prysmian Kablo (liste fiyatı)</t>
        </is>
      </c>
      <c r="E525" s="22" t="inlineStr">
        <is>
          <t>2014-06-13</t>
        </is>
      </c>
      <c r="F525" s="22" t="inlineStr">
        <is>
          <t>MM OM2 50/125 çok tüplü 24 fiber zırhlı (2x12)</t>
        </is>
      </c>
      <c r="G525" s="22" t="inlineStr">
        <is>
          <t>km</t>
        </is>
      </c>
      <c r="H525" s="63" t="n">
        <v>9246</v>
      </c>
      <c r="I525" s="22" t="inlineStr">
        <is>
          <t>TRY</t>
        </is>
      </c>
      <c r="J525" s="22" t="inlineStr"/>
      <c r="K525" s="63" t="n">
        <v>4286.11544231239</v>
      </c>
      <c r="L525" s="22" t="inlineStr">
        <is>
          <t>4003</t>
        </is>
      </c>
      <c r="M525" s="22" t="n">
        <v>1</v>
      </c>
      <c r="N525" s="22" t="inlineStr">
        <is>
          <t>Prysmian FO kablo LİSTE fiyatı (TL/km, iskontosuz, KDV hariç), korugasyonlu çelik bant zırhlı PE kılıflı, kanal/toprak altı; 9.25 TL/m</t>
        </is>
      </c>
    </row>
    <row r="526">
      <c r="A526" s="22" t="inlineStr">
        <is>
          <t>R02810</t>
        </is>
      </c>
      <c r="B526" s="22" t="inlineStr">
        <is>
          <t>Kent Meydani-Terminal Tram</t>
        </is>
      </c>
      <c r="C526" s="22" t="inlineStr">
        <is>
          <t>tramvay</t>
        </is>
      </c>
      <c r="D526" s="22" t="inlineStr">
        <is>
          <t>Aktüel Geçiş Kontrol (Aktüel Turnike)</t>
        </is>
      </c>
      <c r="E526" s="22" t="inlineStr">
        <is>
          <t>2015-04-07</t>
        </is>
      </c>
      <c r="F526" s="22" t="inlineStr">
        <is>
          <t>AKT-T280 elektromekanik metro turnike (304 paslanmaz)</t>
        </is>
      </c>
      <c r="G526" s="22" t="inlineStr">
        <is>
          <t>adet</t>
        </is>
      </c>
      <c r="H526" s="63" t="n">
        <v>1300</v>
      </c>
      <c r="I526" s="22" t="inlineStr">
        <is>
          <t>EUR</t>
        </is>
      </c>
      <c r="J526" s="22" t="inlineStr"/>
      <c r="K526" s="63" t="n">
        <v>1729.06899332869</v>
      </c>
      <c r="L526" s="22" t="inlineStr">
        <is>
          <t>4019.A</t>
        </is>
      </c>
      <c r="M526" s="22" t="n">
        <v>1</v>
      </c>
      <c r="N526" s="22" t="inlineStr">
        <is>
          <t>KDV hariç; montaj &amp; nakliye alıcıya ait; validatör hariç (talep halinde entegre edilebilir)</t>
        </is>
      </c>
    </row>
    <row r="527">
      <c r="A527" s="22" t="inlineStr">
        <is>
          <t>R02811</t>
        </is>
      </c>
      <c r="B527" s="22" t="inlineStr">
        <is>
          <t>Kent Meydani-Terminal Tram</t>
        </is>
      </c>
      <c r="C527" s="22" t="inlineStr">
        <is>
          <t>tramvay</t>
        </is>
      </c>
      <c r="D527" s="22" t="inlineStr">
        <is>
          <t>Aktüel Geçiş Kontrol (Aktüel Turnike)</t>
        </is>
      </c>
      <c r="E527" s="22" t="inlineStr">
        <is>
          <t>2015-04-07</t>
        </is>
      </c>
      <c r="F527" s="22" t="inlineStr">
        <is>
          <t>AKT-SWG-28 çift yön motorlu VIP turnike (swing gate)</t>
        </is>
      </c>
      <c r="G527" s="22" t="inlineStr">
        <is>
          <t>adet</t>
        </is>
      </c>
      <c r="H527" s="63" t="n">
        <v>800</v>
      </c>
      <c r="I527" s="22" t="inlineStr">
        <is>
          <t>EUR</t>
        </is>
      </c>
      <c r="J527" s="22" t="inlineStr"/>
      <c r="K527" s="63" t="n">
        <v>1064.04245743304</v>
      </c>
      <c r="L527" s="22" t="inlineStr">
        <is>
          <t>4019.B</t>
        </is>
      </c>
      <c r="M527" s="22" t="n">
        <v>1</v>
      </c>
      <c r="N527" s="22" t="inlineStr">
        <is>
          <t>KDV hariç; montaj &amp; nakliye alıcıya ait; validatör hariç (talep halinde entegre edilebilir)</t>
        </is>
      </c>
    </row>
    <row r="528">
      <c r="A528" s="22" t="inlineStr">
        <is>
          <t>R02812</t>
        </is>
      </c>
      <c r="B528" s="22" t="inlineStr">
        <is>
          <t>Kent Meydani-Terminal Tram</t>
        </is>
      </c>
      <c r="C528" s="22" t="inlineStr">
        <is>
          <t>tramvay</t>
        </is>
      </c>
      <c r="D528" s="22" t="inlineStr">
        <is>
          <t>Sekaray BFTC (dosya adı; teklif veren belirtilmemiş)</t>
        </is>
      </c>
      <c r="E528" s="22" t="inlineStr">
        <is>
          <t>2015-04-08</t>
        </is>
      </c>
      <c r="F528" s="22" t="inlineStr">
        <is>
          <t>TRV-E ÖZEL-CCTV-1 Full HD 1080p harici PTZ kamera</t>
        </is>
      </c>
      <c r="G528" s="22" t="inlineStr">
        <is>
          <t>adet</t>
        </is>
      </c>
      <c r="H528" s="63" t="n">
        <v>6930</v>
      </c>
      <c r="I528" s="22" t="inlineStr">
        <is>
          <t>TRY</t>
        </is>
      </c>
      <c r="J528" s="22" t="inlineStr"/>
      <c r="K528" s="63" t="n">
        <v>3275.50383351588</v>
      </c>
      <c r="L528" s="22" t="inlineStr">
        <is>
          <t>4010.I</t>
        </is>
      </c>
      <c r="M528" s="22" t="n">
        <v>1</v>
      </c>
      <c r="N528" s="22" t="inlineStr">
        <is>
          <t xml:space="preserve">İçerik Kocaeli (Sekapark) tramvay hattı elektrik BFTC (TRV-E pozları), Yapıray teklif klasöründe; KDV hariç; </t>
        </is>
      </c>
    </row>
    <row r="529">
      <c r="A529" s="22" t="inlineStr">
        <is>
          <t>R02815</t>
        </is>
      </c>
      <c r="B529" s="22" t="inlineStr">
        <is>
          <t>Kent Meydani-Terminal Tram</t>
        </is>
      </c>
      <c r="C529" s="22" t="inlineStr">
        <is>
          <t>tramvay</t>
        </is>
      </c>
      <c r="D529" s="22" t="inlineStr">
        <is>
          <t>Sekaray BFTC (dosya adı; teklif veren belirtilmemiş)</t>
        </is>
      </c>
      <c r="E529" s="22" t="inlineStr">
        <is>
          <t>2015-04-08</t>
        </is>
      </c>
      <c r="F529" s="22" t="inlineStr">
        <is>
          <t>TRV-E 880.103 Telefon fiş prizi</t>
        </is>
      </c>
      <c r="G529" s="22" t="inlineStr">
        <is>
          <t>adet</t>
        </is>
      </c>
      <c r="H529" s="63" t="n">
        <v>8</v>
      </c>
      <c r="I529" s="22" t="inlineStr">
        <is>
          <t>TRY</t>
        </is>
      </c>
      <c r="J529" s="22" t="inlineStr"/>
      <c r="K529" s="63" t="n">
        <v>3.78124540665614</v>
      </c>
      <c r="L529" s="22" t="inlineStr">
        <is>
          <t>4005.G</t>
        </is>
      </c>
      <c r="M529" s="22" t="n">
        <v>9</v>
      </c>
      <c r="N529" s="22" t="inlineStr">
        <is>
          <t xml:space="preserve">İçerik Kocaeli (Sekapark) tramvay hattı elektrik BFTC (TRV-E pozları), Yapıray teklif klasöründe; KDV hariç; </t>
        </is>
      </c>
    </row>
    <row r="530">
      <c r="A530" s="22" t="inlineStr">
        <is>
          <t>R02817</t>
        </is>
      </c>
      <c r="B530" s="22" t="inlineStr">
        <is>
          <t>Kent Meydani-Terminal Tram</t>
        </is>
      </c>
      <c r="C530" s="22" t="inlineStr">
        <is>
          <t>tramvay</t>
        </is>
      </c>
      <c r="D530" s="22" t="inlineStr">
        <is>
          <t>Sekaray BFTC (dosya adı; teklif veren belirtilmemiş)</t>
        </is>
      </c>
      <c r="E530" s="22" t="inlineStr">
        <is>
          <t>2015-04-08</t>
        </is>
      </c>
      <c r="F530" s="22" t="inlineStr">
        <is>
          <t>TRV-E 890.802 Tip 1 sayısal telefon seti</t>
        </is>
      </c>
      <c r="G530" s="22" t="inlineStr">
        <is>
          <t>adet</t>
        </is>
      </c>
      <c r="H530" s="63" t="n">
        <v>280.5</v>
      </c>
      <c r="I530" s="22" t="inlineStr">
        <is>
          <t>TRY</t>
        </is>
      </c>
      <c r="J530" s="22" t="inlineStr"/>
      <c r="K530" s="63" t="n">
        <v>132.579917070881</v>
      </c>
      <c r="L530" s="22" t="inlineStr">
        <is>
          <t>4005.G</t>
        </is>
      </c>
      <c r="M530" s="22" t="n">
        <v>1</v>
      </c>
      <c r="N530" s="22" t="inlineStr">
        <is>
          <t xml:space="preserve">İçerik Kocaeli (Sekapark) tramvay hattı elektrik BFTC (TRV-E pozları), Yapıray teklif klasöründe; KDV hariç; </t>
        </is>
      </c>
    </row>
    <row r="531">
      <c r="A531" s="22" t="inlineStr">
        <is>
          <t>R02818</t>
        </is>
      </c>
      <c r="B531" s="22" t="inlineStr">
        <is>
          <t>Kent Meydani-Terminal Tram</t>
        </is>
      </c>
      <c r="C531" s="22" t="inlineStr">
        <is>
          <t>tramvay</t>
        </is>
      </c>
      <c r="D531" s="22" t="inlineStr">
        <is>
          <t>Sekaray BFTC (dosya adı; teklif veren belirtilmemiş)</t>
        </is>
      </c>
      <c r="E531" s="22" t="inlineStr">
        <is>
          <t>2015-04-08</t>
        </is>
      </c>
      <c r="F531" s="22" t="inlineStr">
        <is>
          <t>TRV-E 890.808 Tip 2 sayısal telefon seti (operatör)</t>
        </is>
      </c>
      <c r="G531" s="22" t="inlineStr">
        <is>
          <t>adet</t>
        </is>
      </c>
      <c r="H531" s="63" t="n">
        <v>814</v>
      </c>
      <c r="I531" s="22" t="inlineStr">
        <is>
          <t>TRY</t>
        </is>
      </c>
      <c r="J531" s="22" t="inlineStr"/>
      <c r="K531" s="63" t="n">
        <v>384.741720127262</v>
      </c>
      <c r="L531" s="22" t="inlineStr">
        <is>
          <t>4005.I</t>
        </is>
      </c>
      <c r="M531" s="22" t="n">
        <v>1</v>
      </c>
      <c r="N531" s="22" t="inlineStr">
        <is>
          <t xml:space="preserve">İçerik Kocaeli (Sekapark) tramvay hattı elektrik BFTC (TRV-E pozları), Yapıray teklif klasöründe; KDV hariç; </t>
        </is>
      </c>
    </row>
    <row r="532">
      <c r="A532" s="22" t="inlineStr">
        <is>
          <t>R02875</t>
        </is>
      </c>
      <c r="B532" s="22" t="inlineStr">
        <is>
          <t>Pendik_Kaynarca_FCakmak_Metro</t>
        </is>
      </c>
      <c r="C532" s="22" t="inlineStr">
        <is>
          <t>metro</t>
        </is>
      </c>
      <c r="D532" s="22" t="inlineStr">
        <is>
          <t>Yapı Merkezi İDİS maliyet çalışması (tedarikçi fiyatları)</t>
        </is>
      </c>
      <c r="E532" s="22" t="inlineStr">
        <is>
          <t>2022-09-13</t>
        </is>
      </c>
      <c r="F532" s="22" t="inlineStr">
        <is>
          <t>406 Telsiz Sistemi Tasarımı</t>
        </is>
      </c>
      <c r="G532" s="22" t="inlineStr">
        <is>
          <t>tak</t>
        </is>
      </c>
      <c r="H532" s="63" t="n">
        <v>12500</v>
      </c>
      <c r="I532" s="22" t="inlineStr">
        <is>
          <t>EUR</t>
        </is>
      </c>
      <c r="J532" s="22" t="inlineStr">
        <is>
          <t>Malzeme</t>
        </is>
      </c>
      <c r="K532" s="63" t="n">
        <v>14000.6320224719</v>
      </c>
      <c r="L532" s="22" t="inlineStr">
        <is>
          <t>4006</t>
        </is>
      </c>
      <c r="M532" s="22" t="n">
        <v>1</v>
      </c>
      <c r="N532" s="22" t="inlineStr">
        <is>
          <t>Pendik-Kaynarca-F.Çakmak / Tavşantepe-İçmeler metro (5,2 km, 2 yeraltı istasyon kapsamı: Pendik Merkez, Kaynarca Merkez); birim fiyat = malzeme+montaj MALİYETİ (GGK hariç); tedarikçi: PROTA; GGK dahil teklif birim fiyatı: 17785.19 EUR</t>
        </is>
      </c>
    </row>
    <row r="533">
      <c r="A533" s="22" t="inlineStr">
        <is>
          <t>R02897</t>
        </is>
      </c>
      <c r="B533" s="22" t="inlineStr">
        <is>
          <t>Pendik_Kaynarca_FCakmak_Metro</t>
        </is>
      </c>
      <c r="C533" s="22" t="inlineStr">
        <is>
          <t>metro</t>
        </is>
      </c>
      <c r="D533" s="22" t="inlineStr">
        <is>
          <t>Yapı Merkezi İDİS maliyet çalışması (tedarikçi fiyatları)</t>
        </is>
      </c>
      <c r="E533" s="22" t="inlineStr">
        <is>
          <t>2022-09-13</t>
        </is>
      </c>
      <c r="F533" s="22" t="inlineStr">
        <is>
          <t>421 Yolcu Geçiş Kontrol (Ücret Toplama) Sistemi Giriş/Çıkış Turnikesi</t>
        </is>
      </c>
      <c r="G533" s="22" t="inlineStr">
        <is>
          <t>adet</t>
        </is>
      </c>
      <c r="H533" s="63" t="n">
        <v>2433.85</v>
      </c>
      <c r="I533" s="22" t="inlineStr">
        <is>
          <t>EUR</t>
        </is>
      </c>
      <c r="J533" s="22" t="inlineStr">
        <is>
          <t>M+İ</t>
        </is>
      </c>
      <c r="K533" s="63" t="n">
        <v>2726.03505983146</v>
      </c>
      <c r="L533" s="22" t="inlineStr">
        <is>
          <t>4019.A</t>
        </is>
      </c>
      <c r="M533" s="22" t="n">
        <v>1</v>
      </c>
      <c r="N533" s="22" t="inlineStr">
        <is>
          <t>Pendik-Kaynarca-F.Çakmak / Tavşantepe-İçmeler metro (5,2 km, 2 yeraltı istasyon kapsamı: Pendik Merkez, Kaynarca Merkez); birim fiyat = malzeme+montaj MALİYETİ (GGK hariç); tedarikçi: YM IDIS; GGK dahil teklif birim fiyatı: 3462.93 EUR</t>
        </is>
      </c>
    </row>
    <row r="534">
      <c r="A534" s="22" t="inlineStr">
        <is>
          <t>R02898</t>
        </is>
      </c>
      <c r="B534" s="22" t="inlineStr">
        <is>
          <t>Pendik_Kaynarca_FCakmak_Metro</t>
        </is>
      </c>
      <c r="C534" s="22" t="inlineStr">
        <is>
          <t>metro</t>
        </is>
      </c>
      <c r="D534" s="22" t="inlineStr">
        <is>
          <t>Yapı Merkezi İDİS maliyet çalışması (tedarikçi fiyatları)</t>
        </is>
      </c>
      <c r="E534" s="22" t="inlineStr">
        <is>
          <t>2022-09-13</t>
        </is>
      </c>
      <c r="F534" s="22" t="inlineStr">
        <is>
          <t>422 Yolcu Geçiş Kontrol (Ücret Toplama) Sistemi Engelli Geçiş Turnikesi</t>
        </is>
      </c>
      <c r="G534" s="22" t="inlineStr">
        <is>
          <t>adet</t>
        </is>
      </c>
      <c r="H534" s="63" t="n">
        <v>2207.04</v>
      </c>
      <c r="I534" s="22" t="inlineStr">
        <is>
          <t>EUR</t>
        </is>
      </c>
      <c r="J534" s="22" t="inlineStr">
        <is>
          <t>M+İ</t>
        </is>
      </c>
      <c r="K534" s="63" t="n">
        <v>2471.99639191011</v>
      </c>
      <c r="L534" s="22" t="inlineStr">
        <is>
          <t>4019.B</t>
        </is>
      </c>
      <c r="M534" s="22" t="n">
        <v>1</v>
      </c>
      <c r="N534" s="22" t="inlineStr">
        <is>
          <t>Pendik-Kaynarca-F.Çakmak / Tavşantepe-İçmeler metro (5,2 km, 2 yeraltı istasyon kapsamı: Pendik Merkez, Kaynarca Merkez); birim fiyat = malzeme+montaj MALİYETİ (GGK hariç); tedarikçi: YM IDIS; GGK dahil teklif birim fiyatı: 3140.22 EUR</t>
        </is>
      </c>
    </row>
    <row r="535">
      <c r="A535" s="22" t="inlineStr">
        <is>
          <t>R02921</t>
        </is>
      </c>
      <c r="B535" s="22" t="inlineStr">
        <is>
          <t>Pendik_Kaynarca_FCakmak_Metro</t>
        </is>
      </c>
      <c r="C535" s="22" t="inlineStr">
        <is>
          <t>metro</t>
        </is>
      </c>
      <c r="D535" s="22" t="inlineStr">
        <is>
          <t>Yapı Merkezi İDİS maliyet çalışması (tedarikçi detayları)</t>
        </is>
      </c>
      <c r="E535" s="22" t="inlineStr">
        <is>
          <t>2022-09-13</t>
        </is>
      </c>
      <c r="F535" s="22" t="inlineStr">
        <is>
          <t>SFP - GIGE LX - LC ROHS 6/6 DDM -40/85C</t>
        </is>
      </c>
      <c r="G535" s="22" t="inlineStr">
        <is>
          <t>adet</t>
        </is>
      </c>
      <c r="H535" s="63" t="n">
        <v>142.6</v>
      </c>
      <c r="I535" s="22" t="inlineStr">
        <is>
          <t>EUR</t>
        </is>
      </c>
      <c r="J535" s="22" t="inlineStr"/>
      <c r="K535" s="63" t="n">
        <v>159.71921011236</v>
      </c>
      <c r="L535" s="22" t="inlineStr">
        <is>
          <t>4002.A</t>
        </is>
      </c>
      <c r="M535" s="22" t="n">
        <v>8</v>
      </c>
      <c r="N535" s="22" t="inlineStr">
        <is>
          <t>KPT metro 2 istasyon; alt sistem detay sayfası, tedarikçi malzeme birim fiyatı (EUR, GGK hariç);  [sayfa: 402-403-TRNS]</t>
        </is>
      </c>
    </row>
    <row r="536">
      <c r="A536" s="22" t="inlineStr">
        <is>
          <t>R02927</t>
        </is>
      </c>
      <c r="B536" s="22" t="inlineStr">
        <is>
          <t>Pendik_Kaynarca_FCakmak_Metro</t>
        </is>
      </c>
      <c r="C536" s="22" t="inlineStr">
        <is>
          <t>metro</t>
        </is>
      </c>
      <c r="D536" s="22" t="inlineStr">
        <is>
          <t>Yapı Merkezi İDİS maliyet çalışması (tedarikçi detayları)</t>
        </is>
      </c>
      <c r="E536" s="22" t="inlineStr">
        <is>
          <t>2022-09-13</t>
        </is>
      </c>
      <c r="F536" s="22" t="inlineStr">
        <is>
          <t>42U Rack Kabin 800x800 (Fan, Güç Prizi, Kablo Kanalı Dahil), IP54</t>
        </is>
      </c>
      <c r="G536" s="22" t="inlineStr">
        <is>
          <t>adet</t>
        </is>
      </c>
      <c r="H536" s="63" t="n">
        <v>954.5</v>
      </c>
      <c r="I536" s="22" t="inlineStr">
        <is>
          <t>EUR</t>
        </is>
      </c>
      <c r="J536" s="22" t="inlineStr"/>
      <c r="K536" s="63" t="n">
        <v>1069.08826123596</v>
      </c>
      <c r="L536" s="22" t="inlineStr">
        <is>
          <t>4003</t>
        </is>
      </c>
      <c r="M536" s="22" t="n">
        <v>6</v>
      </c>
      <c r="N536" s="22" t="inlineStr">
        <is>
          <t>KPT metro 2 istasyon; alt sistem detay sayfası, tedarikçi malzeme birim fiyatı (EUR, GGK hariç);  [sayfa: 402-403-TRNS]</t>
        </is>
      </c>
    </row>
    <row r="537">
      <c r="A537" s="22" t="inlineStr">
        <is>
          <t>R02929</t>
        </is>
      </c>
      <c r="B537" s="22" t="inlineStr">
        <is>
          <t>Pendik_Kaynarca_FCakmak_Metro</t>
        </is>
      </c>
      <c r="C537" s="22" t="inlineStr">
        <is>
          <t>metro</t>
        </is>
      </c>
      <c r="D537" s="22" t="inlineStr">
        <is>
          <t>Yapı Merkezi İDİS maliyet çalışması (tedarikçi detayları)</t>
        </is>
      </c>
      <c r="E537" s="22" t="inlineStr">
        <is>
          <t>2022-09-13</t>
        </is>
      </c>
      <c r="F537" s="22" t="inlineStr">
        <is>
          <t>CAT6 RJ45 Patch Panel (Jack dahil)</t>
        </is>
      </c>
      <c r="G537" s="22" t="inlineStr">
        <is>
          <t>adet</t>
        </is>
      </c>
      <c r="H537" s="63" t="n">
        <v>69</v>
      </c>
      <c r="I537" s="22" t="inlineStr">
        <is>
          <t>EUR</t>
        </is>
      </c>
      <c r="J537" s="22" t="inlineStr"/>
      <c r="K537" s="63" t="n">
        <v>77.283488764045</v>
      </c>
      <c r="L537" s="22" t="inlineStr">
        <is>
          <t>4002.A</t>
        </is>
      </c>
      <c r="M537" s="22" t="n">
        <v>6</v>
      </c>
      <c r="N537" s="22" t="inlineStr">
        <is>
          <t>KPT metro 2 istasyon; alt sistem detay sayfası, tedarikçi malzeme birim fiyatı (EUR, GGK hariç);  [sayfa: 402-403-TRNS]</t>
        </is>
      </c>
    </row>
    <row r="538">
      <c r="A538" s="22" t="inlineStr">
        <is>
          <t>R02930</t>
        </is>
      </c>
      <c r="B538" s="22" t="inlineStr">
        <is>
          <t>Pendik_Kaynarca_FCakmak_Metro</t>
        </is>
      </c>
      <c r="C538" s="22" t="inlineStr">
        <is>
          <t>metro</t>
        </is>
      </c>
      <c r="D538" s="22" t="inlineStr">
        <is>
          <t>Yapı Merkezi İDİS maliyet çalışması (tedarikçi detayları)</t>
        </is>
      </c>
      <c r="E538" s="22" t="inlineStr">
        <is>
          <t>2022-09-13</t>
        </is>
      </c>
      <c r="F538" s="22" t="inlineStr">
        <is>
          <t>CAT 6 U-UTP Patchcord,LSZH AWG 26/7, 2 m</t>
        </is>
      </c>
      <c r="G538" s="22" t="inlineStr">
        <is>
          <t>adet</t>
        </is>
      </c>
      <c r="H538" s="63" t="n">
        <v>3.45</v>
      </c>
      <c r="I538" s="22" t="inlineStr">
        <is>
          <t>EUR</t>
        </is>
      </c>
      <c r="J538" s="22" t="inlineStr"/>
      <c r="K538" s="63" t="n">
        <v>3.86417443820225</v>
      </c>
      <c r="L538" s="22" t="inlineStr">
        <is>
          <t>4002.A</t>
        </is>
      </c>
      <c r="M538" s="22" t="n">
        <v>6</v>
      </c>
      <c r="N538" s="22" t="inlineStr">
        <is>
          <t>KPT metro 2 istasyon; alt sistem detay sayfası, tedarikçi malzeme birim fiyatı (EUR, GGK hariç);  [sayfa: 402-403-TRNS]</t>
        </is>
      </c>
    </row>
    <row r="539">
      <c r="A539" s="22" t="inlineStr">
        <is>
          <t>R02936</t>
        </is>
      </c>
      <c r="B539" s="22" t="inlineStr">
        <is>
          <t>Pendik_Kaynarca_FCakmak_Metro</t>
        </is>
      </c>
      <c r="C539" s="22" t="inlineStr">
        <is>
          <t>metro</t>
        </is>
      </c>
      <c r="D539" s="22" t="inlineStr">
        <is>
          <t>Yapı Merkezi İDİS maliyet çalışması (tedarikçi detayları)</t>
        </is>
      </c>
      <c r="E539" s="22" t="inlineStr">
        <is>
          <t>2022-09-13</t>
        </is>
      </c>
      <c r="F539" s="22" t="inlineStr">
        <is>
          <t>Dijital Telefon</t>
        </is>
      </c>
      <c r="G539" s="22" t="inlineStr">
        <is>
          <t>adet</t>
        </is>
      </c>
      <c r="H539" s="63" t="n">
        <v>187.795</v>
      </c>
      <c r="I539" s="22" t="inlineStr">
        <is>
          <t>EUR</t>
        </is>
      </c>
      <c r="J539" s="22" t="inlineStr"/>
      <c r="K539" s="63" t="n">
        <v>210.339895252809</v>
      </c>
      <c r="L539" s="22" t="inlineStr">
        <is>
          <t>4005</t>
        </is>
      </c>
      <c r="M539" s="22" t="n">
        <v>2</v>
      </c>
      <c r="N539" s="22" t="inlineStr">
        <is>
          <t>KPT metro 2 istasyon; alt sistem detay sayfası, tedarikçi malzeme birim fiyatı (EUR, GGK hariç);  [sayfa: 405-TEL]</t>
        </is>
      </c>
    </row>
    <row r="540">
      <c r="A540" s="22" t="inlineStr">
        <is>
          <t>R02938</t>
        </is>
      </c>
      <c r="B540" s="22" t="inlineStr">
        <is>
          <t>Pendik_Kaynarca_FCakmak_Metro</t>
        </is>
      </c>
      <c r="C540" s="22" t="inlineStr">
        <is>
          <t>metro</t>
        </is>
      </c>
      <c r="D540" s="22" t="inlineStr">
        <is>
          <t>Yapı Merkezi İDİS maliyet çalışması (tedarikçi detayları)</t>
        </is>
      </c>
      <c r="E540" s="22" t="inlineStr">
        <is>
          <t>2022-09-13</t>
        </is>
      </c>
      <c r="F540" s="22" t="inlineStr">
        <is>
          <t>Lokal Telefon Santrali</t>
        </is>
      </c>
      <c r="G540" s="22" t="inlineStr">
        <is>
          <t>adet</t>
        </is>
      </c>
      <c r="H540" s="63" t="n">
        <v>6348</v>
      </c>
      <c r="I540" s="22" t="inlineStr">
        <is>
          <t>EUR</t>
        </is>
      </c>
      <c r="J540" s="22" t="inlineStr"/>
      <c r="K540" s="63" t="n">
        <v>7110.08096629214</v>
      </c>
      <c r="L540" s="22" t="inlineStr">
        <is>
          <t>4005.I</t>
        </is>
      </c>
      <c r="M540" s="22" t="n">
        <v>1</v>
      </c>
      <c r="N540" s="22" t="inlineStr">
        <is>
          <t>KPT metro 2 istasyon; alt sistem detay sayfası, tedarikçi malzeme birim fiyatı (EUR, GGK hariç);  [sayfa: 405-TEL]</t>
        </is>
      </c>
    </row>
    <row r="541">
      <c r="A541" s="22" t="inlineStr">
        <is>
          <t>R02940</t>
        </is>
      </c>
      <c r="B541" s="22" t="inlineStr">
        <is>
          <t>Pendik_Kaynarca_FCakmak_Metro</t>
        </is>
      </c>
      <c r="C541" s="22" t="inlineStr">
        <is>
          <t>metro</t>
        </is>
      </c>
      <c r="D541" s="22" t="inlineStr">
        <is>
          <t>Yapı Merkezi İDİS maliyet çalışması (tedarikçi detayları)</t>
        </is>
      </c>
      <c r="E541" s="22" t="inlineStr">
        <is>
          <t>2022-09-13</t>
        </is>
      </c>
      <c r="F541" s="22" t="inlineStr">
        <is>
          <t>İntercom Tipi Acil Durum Telefonu</t>
        </is>
      </c>
      <c r="G541" s="22" t="inlineStr">
        <is>
          <t>adet</t>
        </is>
      </c>
      <c r="H541" s="63" t="n">
        <v>670.5075000000001</v>
      </c>
      <c r="I541" s="22" t="inlineStr">
        <is>
          <t>EUR</t>
        </is>
      </c>
      <c r="J541" s="22" t="inlineStr"/>
      <c r="K541" s="63" t="n">
        <v>751.002302064607</v>
      </c>
      <c r="L541" s="22" t="inlineStr">
        <is>
          <t>4005.A</t>
        </is>
      </c>
      <c r="M541" s="22" t="n">
        <v>6</v>
      </c>
      <c r="N541" s="22" t="inlineStr">
        <is>
          <t>KPT metro 2 istasyon; alt sistem detay sayfası, tedarikçi malzeme birim fiyatı (EUR, GGK hariç);  [sayfa: 405-TEL]</t>
        </is>
      </c>
    </row>
    <row r="542">
      <c r="A542" s="22" t="inlineStr">
        <is>
          <t>R02947</t>
        </is>
      </c>
      <c r="B542" s="22" t="inlineStr">
        <is>
          <t>Pendik_Kaynarca_FCakmak_Metro</t>
        </is>
      </c>
      <c r="C542" s="22" t="inlineStr">
        <is>
          <t>metro</t>
        </is>
      </c>
      <c r="D542" s="22" t="inlineStr">
        <is>
          <t>Yapı Merkezi İDİS maliyet çalışması (tedarikçi detayları)</t>
        </is>
      </c>
      <c r="E542" s="22" t="inlineStr">
        <is>
          <t>2022-09-13</t>
        </is>
      </c>
      <c r="F542" s="22" t="inlineStr">
        <is>
          <t>1x2x0.6+0.6 HBAPH FE180 PH90</t>
        </is>
      </c>
      <c r="G542" s="22" t="inlineStr">
        <is>
          <t>adet</t>
        </is>
      </c>
      <c r="H542" s="63" t="n">
        <v>1.61</v>
      </c>
      <c r="I542" s="22" t="inlineStr">
        <is>
          <t>EUR</t>
        </is>
      </c>
      <c r="J542" s="22" t="inlineStr"/>
      <c r="K542" s="63" t="n">
        <v>1.80328140449438</v>
      </c>
      <c r="L542" s="22" t="inlineStr">
        <is>
          <t>4005</t>
        </is>
      </c>
      <c r="M542" s="22" t="n">
        <v>8</v>
      </c>
      <c r="N542" s="22" t="inlineStr">
        <is>
          <t>KPT metro 2 istasyon; alt sistem detay sayfası, tedarikçi malzeme birim fiyatı (EUR, GGK hariç);  [sayfa: 405-TEL]</t>
        </is>
      </c>
    </row>
    <row r="543">
      <c r="A543" s="22" t="inlineStr">
        <is>
          <t>R02948</t>
        </is>
      </c>
      <c r="B543" s="22" t="inlineStr">
        <is>
          <t>Pendik_Kaynarca_FCakmak_Metro</t>
        </is>
      </c>
      <c r="C543" s="22" t="inlineStr">
        <is>
          <t>metro</t>
        </is>
      </c>
      <c r="D543" s="22" t="inlineStr">
        <is>
          <t>Yapı Merkezi İDİS maliyet çalışması (tedarikçi detayları)</t>
        </is>
      </c>
      <c r="E543" s="22" t="inlineStr">
        <is>
          <t>2022-09-13</t>
        </is>
      </c>
      <c r="F543" s="22" t="inlineStr">
        <is>
          <t>2x2x0.6+0.6 HBAPH FE180 PH90</t>
        </is>
      </c>
      <c r="G543" s="22" t="inlineStr">
        <is>
          <t>adet</t>
        </is>
      </c>
      <c r="H543" s="63" t="n">
        <v>1.725</v>
      </c>
      <c r="I543" s="22" t="inlineStr">
        <is>
          <t>EUR</t>
        </is>
      </c>
      <c r="J543" s="22" t="inlineStr"/>
      <c r="K543" s="63" t="n">
        <v>1.93208721910112</v>
      </c>
      <c r="L543" s="22" t="inlineStr">
        <is>
          <t>4005</t>
        </is>
      </c>
      <c r="M543" s="22" t="n">
        <v>6</v>
      </c>
      <c r="N543" s="22" t="inlineStr">
        <is>
          <t>KPT metro 2 istasyon; alt sistem detay sayfası, tedarikçi malzeme birim fiyatı (EUR, GGK hariç);  [sayfa: 405-TEL]</t>
        </is>
      </c>
    </row>
    <row r="544">
      <c r="A544" s="22" t="inlineStr">
        <is>
          <t>R02952</t>
        </is>
      </c>
      <c r="B544" s="22" t="inlineStr">
        <is>
          <t>Pendik_Kaynarca_FCakmak_Metro</t>
        </is>
      </c>
      <c r="C544" s="22" t="inlineStr">
        <is>
          <t>metro</t>
        </is>
      </c>
      <c r="D544" s="22" t="inlineStr">
        <is>
          <t>Yapı Merkezi İDİS maliyet çalışması (tedarikçi detayları)</t>
        </is>
      </c>
      <c r="E544" s="22" t="inlineStr">
        <is>
          <t>2022-09-13</t>
        </is>
      </c>
      <c r="F544" s="22" t="inlineStr">
        <is>
          <t>Asma Tavan Tipi Hoparlör</t>
        </is>
      </c>
      <c r="G544" s="22" t="inlineStr">
        <is>
          <t>Ad</t>
        </is>
      </c>
      <c r="H544" s="63" t="n">
        <v>20</v>
      </c>
      <c r="I544" s="22" t="inlineStr">
        <is>
          <t>EUR</t>
        </is>
      </c>
      <c r="J544" s="22" t="inlineStr"/>
      <c r="K544" s="63" t="n">
        <v>22.4010112359551</v>
      </c>
      <c r="L544" s="22" t="inlineStr">
        <is>
          <t>4008.A</t>
        </is>
      </c>
      <c r="M544" s="22" t="n">
        <v>1</v>
      </c>
      <c r="N544" s="22" t="inlineStr">
        <is>
          <t>KPT metro 2 istasyon; alt sistem detay sayfası, tedarikçi malzeme birim fiyatı (EUR, GGK hariç);  [sayfa: 409-PAS]</t>
        </is>
      </c>
    </row>
    <row r="545">
      <c r="A545" s="22" t="inlineStr">
        <is>
          <t>R02953</t>
        </is>
      </c>
      <c r="B545" s="22" t="inlineStr">
        <is>
          <t>Pendik_Kaynarca_FCakmak_Metro</t>
        </is>
      </c>
      <c r="C545" s="22" t="inlineStr">
        <is>
          <t>metro</t>
        </is>
      </c>
      <c r="D545" s="22" t="inlineStr">
        <is>
          <t>Yapı Merkezi İDİS maliyet çalışması (tedarikçi detayları)</t>
        </is>
      </c>
      <c r="E545" s="22" t="inlineStr">
        <is>
          <t>2022-09-13</t>
        </is>
      </c>
      <c r="F545" s="22" t="inlineStr">
        <is>
          <t>Projeksiyon Tipi Hoparlör</t>
        </is>
      </c>
      <c r="G545" s="22" t="inlineStr">
        <is>
          <t>Ad</t>
        </is>
      </c>
      <c r="H545" s="63" t="n">
        <v>98</v>
      </c>
      <c r="I545" s="22" t="inlineStr">
        <is>
          <t>EUR</t>
        </is>
      </c>
      <c r="J545" s="22" t="inlineStr"/>
      <c r="K545" s="63" t="n">
        <v>109.76495505618</v>
      </c>
      <c r="L545" s="22" t="inlineStr">
        <is>
          <t>4008.A</t>
        </is>
      </c>
      <c r="M545" s="22" t="n">
        <v>6</v>
      </c>
      <c r="N545" s="22" t="inlineStr">
        <is>
          <t>KPT metro 2 istasyon; alt sistem detay sayfası, tedarikçi malzeme birim fiyatı (EUR, GGK hariç);  [sayfa: 409-PAS]</t>
        </is>
      </c>
    </row>
    <row r="546">
      <c r="A546" s="22" t="inlineStr">
        <is>
          <t>R02954</t>
        </is>
      </c>
      <c r="B546" s="22" t="inlineStr">
        <is>
          <t>Pendik_Kaynarca_FCakmak_Metro</t>
        </is>
      </c>
      <c r="C546" s="22" t="inlineStr">
        <is>
          <t>metro</t>
        </is>
      </c>
      <c r="D546" s="22" t="inlineStr">
        <is>
          <t>Yapı Merkezi İDİS maliyet çalışması (tedarikçi detayları)</t>
        </is>
      </c>
      <c r="E546" s="22" t="inlineStr">
        <is>
          <t>2022-09-13</t>
        </is>
      </c>
      <c r="F546" s="22" t="inlineStr">
        <is>
          <t>Hat Sonu Direnci</t>
        </is>
      </c>
      <c r="G546" s="22" t="inlineStr">
        <is>
          <t>Ad</t>
        </is>
      </c>
      <c r="H546" s="63" t="n">
        <v>23.59</v>
      </c>
      <c r="I546" s="22" t="inlineStr">
        <is>
          <t>EUR</t>
        </is>
      </c>
      <c r="J546" s="22" t="inlineStr"/>
      <c r="K546" s="63" t="n">
        <v>26.421992752809</v>
      </c>
      <c r="L546" s="22" t="inlineStr">
        <is>
          <t>4008</t>
        </is>
      </c>
      <c r="M546" s="22" t="n">
        <v>7</v>
      </c>
      <c r="N546" s="22" t="inlineStr">
        <is>
          <t>KPT metro 2 istasyon; alt sistem detay sayfası, tedarikçi malzeme birim fiyatı (EUR, GGK hariç);  [sayfa: 409-PAS]</t>
        </is>
      </c>
    </row>
    <row r="547">
      <c r="A547" s="22" t="inlineStr">
        <is>
          <t>R02955</t>
        </is>
      </c>
      <c r="B547" s="22" t="inlineStr">
        <is>
          <t>Pendik_Kaynarca_FCakmak_Metro</t>
        </is>
      </c>
      <c r="C547" s="22" t="inlineStr">
        <is>
          <t>metro</t>
        </is>
      </c>
      <c r="D547" s="22" t="inlineStr">
        <is>
          <t>Yapı Merkezi İDİS maliyet çalışması (tedarikçi detayları)</t>
        </is>
      </c>
      <c r="E547" s="22" t="inlineStr">
        <is>
          <t>2022-09-13</t>
        </is>
      </c>
      <c r="F547" s="22" t="inlineStr">
        <is>
          <t>Gürültü Mikrofonu</t>
        </is>
      </c>
      <c r="G547" s="22" t="inlineStr">
        <is>
          <t>Ad</t>
        </is>
      </c>
      <c r="H547" s="63" t="n">
        <v>441.39</v>
      </c>
      <c r="I547" s="22" t="inlineStr">
        <is>
          <t>EUR</t>
        </is>
      </c>
      <c r="J547" s="22" t="inlineStr"/>
      <c r="K547" s="63" t="n">
        <v>494.37911747191</v>
      </c>
      <c r="L547" s="22" t="inlineStr">
        <is>
          <t>4008.H</t>
        </is>
      </c>
      <c r="M547" s="22" t="n">
        <v>6</v>
      </c>
      <c r="N547" s="22" t="inlineStr">
        <is>
          <t>KPT metro 2 istasyon; alt sistem detay sayfası, tedarikçi malzeme birim fiyatı (EUR, GGK hariç);  [sayfa: 409-PAS]</t>
        </is>
      </c>
    </row>
    <row r="548">
      <c r="A548" s="22" t="inlineStr">
        <is>
          <t>R02957</t>
        </is>
      </c>
      <c r="B548" s="22" t="inlineStr">
        <is>
          <t>Pendik_Kaynarca_FCakmak_Metro</t>
        </is>
      </c>
      <c r="C548" s="22" t="inlineStr">
        <is>
          <t>metro</t>
        </is>
      </c>
      <c r="D548" s="22" t="inlineStr">
        <is>
          <t>Yapı Merkezi İDİS maliyet çalışması (tedarikçi detayları)</t>
        </is>
      </c>
      <c r="E548" s="22" t="inlineStr">
        <is>
          <t>2022-09-13</t>
        </is>
      </c>
      <c r="F548" s="22" t="inlineStr">
        <is>
          <t>Anons Klavyesi</t>
        </is>
      </c>
      <c r="G548" s="22" t="inlineStr">
        <is>
          <t>Ad</t>
        </is>
      </c>
      <c r="H548" s="63" t="n">
        <v>1572.25</v>
      </c>
      <c r="I548" s="22" t="inlineStr">
        <is>
          <t>EUR</t>
        </is>
      </c>
      <c r="J548" s="22" t="inlineStr"/>
      <c r="K548" s="63" t="n">
        <v>1760.99949578652</v>
      </c>
      <c r="L548" s="22" t="inlineStr">
        <is>
          <t>4008</t>
        </is>
      </c>
      <c r="M548" s="22" t="n">
        <v>2</v>
      </c>
      <c r="N548" s="22" t="inlineStr">
        <is>
          <t>KPT metro 2 istasyon; alt sistem detay sayfası, tedarikçi malzeme birim fiyatı (EUR, GGK hariç);  [sayfa: 409-PAS]</t>
        </is>
      </c>
    </row>
    <row r="549">
      <c r="A549" s="22" t="inlineStr">
        <is>
          <t>R02958</t>
        </is>
      </c>
      <c r="B549" s="22" t="inlineStr">
        <is>
          <t>Pendik_Kaynarca_FCakmak_Metro</t>
        </is>
      </c>
      <c r="C549" s="22" t="inlineStr">
        <is>
          <t>metro</t>
        </is>
      </c>
      <c r="D549" s="22" t="inlineStr">
        <is>
          <t>Yapı Merkezi İDİS maliyet çalışması (tedarikçi detayları)</t>
        </is>
      </c>
      <c r="E549" s="22" t="inlineStr">
        <is>
          <t>2022-09-13</t>
        </is>
      </c>
      <c r="F549" s="22" t="inlineStr">
        <is>
          <t>Anons Sistemi Kabineti (Network Kontrolör ve Amplifikatörler)</t>
        </is>
      </c>
      <c r="G549" s="22" t="inlineStr">
        <is>
          <t>Set</t>
        </is>
      </c>
      <c r="H549" s="63" t="n">
        <v>7828</v>
      </c>
      <c r="I549" s="22" t="inlineStr">
        <is>
          <t>EUR</t>
        </is>
      </c>
      <c r="J549" s="22" t="inlineStr"/>
      <c r="K549" s="63" t="n">
        <v>8767.75579775281</v>
      </c>
      <c r="L549" s="22" t="inlineStr">
        <is>
          <t>4008.A</t>
        </is>
      </c>
      <c r="M549" s="22" t="n">
        <v>1</v>
      </c>
      <c r="N549" s="22" t="inlineStr">
        <is>
          <t>[AYKIRI DEĞER – otomatik dışlandı] KPT metro 2 istasyon; alt sistem detay sayfası, tedarikçi malzeme birim fiyatı (EUR, GGK hariç);  [sayfa: 409-PAS]</t>
        </is>
      </c>
    </row>
    <row r="550">
      <c r="A550" s="22" t="inlineStr">
        <is>
          <t>R02959</t>
        </is>
      </c>
      <c r="B550" s="22" t="inlineStr">
        <is>
          <t>Pendik_Kaynarca_FCakmak_Metro</t>
        </is>
      </c>
      <c r="C550" s="22" t="inlineStr">
        <is>
          <t>metro</t>
        </is>
      </c>
      <c r="D550" s="22" t="inlineStr">
        <is>
          <t>Yapı Merkezi İDİS maliyet çalışması (tedarikçi detayları)</t>
        </is>
      </c>
      <c r="E550" s="22" t="inlineStr">
        <is>
          <t>2022-09-13</t>
        </is>
      </c>
      <c r="F550" s="22" t="inlineStr">
        <is>
          <t>Hoparlör Kablosu (2x1,5 mm² LIHCHRH FE180 PH90)</t>
        </is>
      </c>
      <c r="G550" s="22" t="inlineStr">
        <is>
          <t>Mt</t>
        </is>
      </c>
      <c r="H550" s="63" t="n">
        <v>1.27</v>
      </c>
      <c r="I550" s="22" t="inlineStr">
        <is>
          <t>EUR</t>
        </is>
      </c>
      <c r="J550" s="22" t="inlineStr"/>
      <c r="K550" s="63" t="n">
        <v>1.42246421348315</v>
      </c>
      <c r="L550" s="22" t="inlineStr">
        <is>
          <t>4008.A</t>
        </is>
      </c>
      <c r="M550" s="22" t="n">
        <v>20</v>
      </c>
      <c r="N550" s="22" t="inlineStr">
        <is>
          <t>KPT metro 2 istasyon; alt sistem detay sayfası, tedarikçi malzeme birim fiyatı (EUR, GGK hariç);  [sayfa: 409-PAS]</t>
        </is>
      </c>
    </row>
    <row r="551">
      <c r="A551" s="22" t="inlineStr">
        <is>
          <t>R02960</t>
        </is>
      </c>
      <c r="B551" s="22" t="inlineStr">
        <is>
          <t>Pendik_Kaynarca_FCakmak_Metro</t>
        </is>
      </c>
      <c r="C551" s="22" t="inlineStr">
        <is>
          <t>metro</t>
        </is>
      </c>
      <c r="D551" s="22" t="inlineStr">
        <is>
          <t>Yapı Merkezi İDİS maliyet çalışması (tedarikçi detayları)</t>
        </is>
      </c>
      <c r="E551" s="22" t="inlineStr">
        <is>
          <t>2022-09-13</t>
        </is>
      </c>
      <c r="F551" s="22" t="inlineStr">
        <is>
          <t>4x0,5 mm2 LIHH FE-180 PH90</t>
        </is>
      </c>
      <c r="G551" s="22" t="inlineStr">
        <is>
          <t>Mt</t>
        </is>
      </c>
      <c r="H551" s="63" t="n">
        <v>1.03</v>
      </c>
      <c r="I551" s="22" t="inlineStr">
        <is>
          <t>EUR</t>
        </is>
      </c>
      <c r="J551" s="22" t="inlineStr"/>
      <c r="K551" s="63" t="n">
        <v>1.15365207865169</v>
      </c>
      <c r="L551" s="22" t="inlineStr">
        <is>
          <t>4008.A</t>
        </is>
      </c>
      <c r="M551" s="22" t="n">
        <v>7</v>
      </c>
      <c r="N551" s="22" t="inlineStr">
        <is>
          <t>KPT metro 2 istasyon; alt sistem detay sayfası, tedarikçi malzeme birim fiyatı (EUR, GGK hariç);  [sayfa: 409-PAS]</t>
        </is>
      </c>
    </row>
    <row r="552">
      <c r="A552" s="22" t="inlineStr">
        <is>
          <t>R02963</t>
        </is>
      </c>
      <c r="B552" s="22" t="inlineStr">
        <is>
          <t>Pendik_Kaynarca_FCakmak_Metro</t>
        </is>
      </c>
      <c r="C552" s="22" t="inlineStr">
        <is>
          <t>metro</t>
        </is>
      </c>
      <c r="D552" s="22" t="inlineStr">
        <is>
          <t>Yapı Merkezi İDİS maliyet çalışması (tedarikçi detayları)</t>
        </is>
      </c>
      <c r="E552" s="22" t="inlineStr">
        <is>
          <t>2022-09-13</t>
        </is>
      </c>
      <c r="F552" s="22" t="inlineStr">
        <is>
          <t>Endüktif Döngü Kablosu 2x2,5mm² LIHCH</t>
        </is>
      </c>
      <c r="G552" s="22" t="inlineStr">
        <is>
          <t>Mt</t>
        </is>
      </c>
      <c r="H552" s="63" t="n">
        <v>1.55</v>
      </c>
      <c r="I552" s="22" t="inlineStr">
        <is>
          <t>EUR</t>
        </is>
      </c>
      <c r="J552" s="22" t="inlineStr"/>
      <c r="K552" s="63" t="n">
        <v>1.73607837078652</v>
      </c>
      <c r="L552" s="22" t="inlineStr">
        <is>
          <t>4008.A</t>
        </is>
      </c>
      <c r="M552" s="22" t="n">
        <v>1</v>
      </c>
      <c r="N552" s="22" t="inlineStr">
        <is>
          <t>KPT metro 2 istasyon; alt sistem detay sayfası, tedarikçi malzeme birim fiyatı (EUR, GGK hariç);  [sayfa: 409-PAS]</t>
        </is>
      </c>
    </row>
    <row r="553">
      <c r="A553" s="22" t="inlineStr">
        <is>
          <t>R02966</t>
        </is>
      </c>
      <c r="B553" s="22" t="inlineStr">
        <is>
          <t>Pendik_Kaynarca_FCakmak_Metro</t>
        </is>
      </c>
      <c r="C553" s="22" t="inlineStr">
        <is>
          <t>metro</t>
        </is>
      </c>
      <c r="D553" s="22" t="inlineStr">
        <is>
          <t>Yapı Merkezi İDİS maliyet çalışması (tedarikçi detayları)</t>
        </is>
      </c>
      <c r="E553" s="22" t="inlineStr">
        <is>
          <t>2022-09-13</t>
        </is>
      </c>
      <c r="F553" s="22" t="inlineStr">
        <is>
          <t>Kart Okuyucu</t>
        </is>
      </c>
      <c r="G553" s="22" t="inlineStr">
        <is>
          <t>Ad</t>
        </is>
      </c>
      <c r="H553" s="63" t="n">
        <v>103.42</v>
      </c>
      <c r="I553" s="22" t="inlineStr">
        <is>
          <t>EUR</t>
        </is>
      </c>
      <c r="J553" s="22" t="inlineStr"/>
      <c r="K553" s="63" t="n">
        <v>115.835629101124</v>
      </c>
      <c r="L553" s="22" t="inlineStr">
        <is>
          <t>4014.A</t>
        </is>
      </c>
      <c r="M553" s="22" t="n">
        <v>7</v>
      </c>
      <c r="N553" s="22" t="inlineStr">
        <is>
          <t>KPT metro 2 istasyon; alt sistem detay sayfası, tedarikçi malzeme birim fiyatı (EUR, GGK hariç);  [sayfa: 415-ACS]</t>
        </is>
      </c>
    </row>
    <row r="554">
      <c r="A554" s="22" t="inlineStr">
        <is>
          <t>R02967</t>
        </is>
      </c>
      <c r="B554" s="22" t="inlineStr">
        <is>
          <t>Pendik_Kaynarca_FCakmak_Metro</t>
        </is>
      </c>
      <c r="C554" s="22" t="inlineStr">
        <is>
          <t>metro</t>
        </is>
      </c>
      <c r="D554" s="22" t="inlineStr">
        <is>
          <t>Yapı Merkezi İDİS maliyet çalışması (tedarikçi detayları)</t>
        </is>
      </c>
      <c r="E554" s="22" t="inlineStr">
        <is>
          <t>2022-09-13</t>
        </is>
      </c>
      <c r="F554" s="22" t="inlineStr">
        <is>
          <t>Manyetik Kilit</t>
        </is>
      </c>
      <c r="G554" s="22" t="inlineStr">
        <is>
          <t>Ad</t>
        </is>
      </c>
      <c r="H554" s="63" t="n">
        <v>65</v>
      </c>
      <c r="I554" s="22" t="inlineStr">
        <is>
          <t>EUR</t>
        </is>
      </c>
      <c r="J554" s="22" t="inlineStr"/>
      <c r="K554" s="63" t="n">
        <v>72.8032865168539</v>
      </c>
      <c r="L554" s="22" t="inlineStr">
        <is>
          <t>4014.A</t>
        </is>
      </c>
      <c r="M554" s="22" t="n">
        <v>7</v>
      </c>
      <c r="N554" s="22" t="inlineStr">
        <is>
          <t>KPT metro 2 istasyon; alt sistem detay sayfası, tedarikçi malzeme birim fiyatı (EUR, GGK hariç);  [sayfa: 415-ACS]</t>
        </is>
      </c>
    </row>
    <row r="555">
      <c r="A555" s="22" t="inlineStr">
        <is>
          <t>R02970</t>
        </is>
      </c>
      <c r="B555" s="22" t="inlineStr">
        <is>
          <t>Pendik_Kaynarca_FCakmak_Metro</t>
        </is>
      </c>
      <c r="C555" s="22" t="inlineStr">
        <is>
          <t>metro</t>
        </is>
      </c>
      <c r="D555" s="22" t="inlineStr">
        <is>
          <t>Yapı Merkezi İDİS maliyet çalışması (tedarikçi detayları)</t>
        </is>
      </c>
      <c r="E555" s="22" t="inlineStr">
        <is>
          <t>2022-09-13</t>
        </is>
      </c>
      <c r="F555" s="22" t="inlineStr">
        <is>
          <t>Kapı Kontrol Ünitesi (GCU)</t>
        </is>
      </c>
      <c r="G555" s="22" t="inlineStr">
        <is>
          <t>Ad</t>
        </is>
      </c>
      <c r="H555" s="63" t="n">
        <v>525</v>
      </c>
      <c r="I555" s="22" t="inlineStr">
        <is>
          <t>EUR</t>
        </is>
      </c>
      <c r="J555" s="22" t="inlineStr"/>
      <c r="K555" s="63" t="n">
        <v>588.02654494382</v>
      </c>
      <c r="L555" s="22" t="inlineStr">
        <is>
          <t>4014</t>
        </is>
      </c>
      <c r="M555" s="22" t="n">
        <v>6</v>
      </c>
      <c r="N555" s="22" t="inlineStr">
        <is>
          <t>KPT metro 2 istasyon; alt sistem detay sayfası, tedarikçi malzeme birim fiyatı (EUR, GGK hariç);  [sayfa: 415-ACS]</t>
        </is>
      </c>
    </row>
    <row r="556">
      <c r="A556" s="22" t="inlineStr">
        <is>
          <t>R02971</t>
        </is>
      </c>
      <c r="B556" s="22" t="inlineStr">
        <is>
          <t>Pendik_Kaynarca_FCakmak_Metro</t>
        </is>
      </c>
      <c r="C556" s="22" t="inlineStr">
        <is>
          <t>metro</t>
        </is>
      </c>
      <c r="D556" s="22" t="inlineStr">
        <is>
          <t>Yapı Merkezi İDİS maliyet çalışması (tedarikçi detayları)</t>
        </is>
      </c>
      <c r="E556" s="22" t="inlineStr">
        <is>
          <t>2022-09-13</t>
        </is>
      </c>
      <c r="F556" s="22" t="inlineStr">
        <is>
          <t>Erişim Kontrol Sunucusu (ACS) ve Kabineti</t>
        </is>
      </c>
      <c r="G556" s="22" t="inlineStr">
        <is>
          <t>Ad</t>
        </is>
      </c>
      <c r="H556" s="63" t="n">
        <v>4500</v>
      </c>
      <c r="I556" s="22" t="inlineStr">
        <is>
          <t>EUR</t>
        </is>
      </c>
      <c r="J556" s="22" t="inlineStr"/>
      <c r="K556" s="63" t="n">
        <v>5040.22752808989</v>
      </c>
      <c r="L556" s="22" t="inlineStr">
        <is>
          <t>4014.I</t>
        </is>
      </c>
      <c r="M556" s="22" t="n">
        <v>1</v>
      </c>
      <c r="N556" s="22" t="inlineStr">
        <is>
          <t>KPT metro 2 istasyon; alt sistem detay sayfası, tedarikçi malzeme birim fiyatı (EUR, GGK hariç);  [sayfa: 415-ACS]</t>
        </is>
      </c>
    </row>
    <row r="557">
      <c r="A557" s="22" t="inlineStr">
        <is>
          <t>R02972</t>
        </is>
      </c>
      <c r="B557" s="22" t="inlineStr">
        <is>
          <t>Pendik_Kaynarca_FCakmak_Metro</t>
        </is>
      </c>
      <c r="C557" s="22" t="inlineStr">
        <is>
          <t>metro</t>
        </is>
      </c>
      <c r="D557" s="22" t="inlineStr">
        <is>
          <t>Yapı Merkezi İDİS maliyet çalışması (tedarikçi detayları)</t>
        </is>
      </c>
      <c r="E557" s="22" t="inlineStr">
        <is>
          <t>2022-09-13</t>
        </is>
      </c>
      <c r="F557" s="22" t="inlineStr">
        <is>
          <t>8x0,75 LIHCH</t>
        </is>
      </c>
      <c r="G557" s="22" t="inlineStr">
        <is>
          <t>Mt</t>
        </is>
      </c>
      <c r="H557" s="63" t="n">
        <v>2.25</v>
      </c>
      <c r="I557" s="22" t="inlineStr">
        <is>
          <t>EUR</t>
        </is>
      </c>
      <c r="J557" s="22" t="inlineStr"/>
      <c r="K557" s="63" t="n">
        <v>2.52011376404494</v>
      </c>
      <c r="L557" s="22" t="inlineStr">
        <is>
          <t>4014</t>
        </is>
      </c>
      <c r="M557" s="22" t="n">
        <v>7</v>
      </c>
      <c r="N557" s="22" t="inlineStr">
        <is>
          <t>KPT metro 2 istasyon; alt sistem detay sayfası, tedarikçi malzeme birim fiyatı (EUR, GGK hariç);  [sayfa: 415-ACS]</t>
        </is>
      </c>
    </row>
    <row r="558">
      <c r="A558" s="22" t="inlineStr">
        <is>
          <t>R02973</t>
        </is>
      </c>
      <c r="B558" s="22" t="inlineStr">
        <is>
          <t>Pendik_Kaynarca_FCakmak_Metro</t>
        </is>
      </c>
      <c r="C558" s="22" t="inlineStr">
        <is>
          <t>metro</t>
        </is>
      </c>
      <c r="D558" s="22" t="inlineStr">
        <is>
          <t>Yapı Merkezi İDİS maliyet çalışması (tedarikçi detayları)</t>
        </is>
      </c>
      <c r="E558" s="22" t="inlineStr">
        <is>
          <t>2022-09-13</t>
        </is>
      </c>
      <c r="F558" s="22" t="inlineStr">
        <is>
          <t>2x0,75 LIHCH</t>
        </is>
      </c>
      <c r="G558" s="22" t="inlineStr">
        <is>
          <t>Mt</t>
        </is>
      </c>
      <c r="H558" s="63" t="n">
        <v>0.18</v>
      </c>
      <c r="I558" s="22" t="inlineStr">
        <is>
          <t>EUR</t>
        </is>
      </c>
      <c r="J558" s="22" t="inlineStr"/>
      <c r="K558" s="63" t="n">
        <v>0.201609101123595</v>
      </c>
      <c r="L558" s="22" t="inlineStr">
        <is>
          <t>4014</t>
        </is>
      </c>
      <c r="M558" s="22" t="n">
        <v>7</v>
      </c>
      <c r="N558" s="22" t="inlineStr">
        <is>
          <t>KPT metro 2 istasyon; alt sistem detay sayfası, tedarikçi malzeme birim fiyatı (EUR, GGK hariç);  [sayfa: 415-ACS]</t>
        </is>
      </c>
    </row>
    <row r="559">
      <c r="A559" s="22" t="inlineStr">
        <is>
          <t>R02974</t>
        </is>
      </c>
      <c r="B559" s="22" t="inlineStr">
        <is>
          <t>Pendik_Kaynarca_FCakmak_Metro</t>
        </is>
      </c>
      <c r="C559" s="22" t="inlineStr">
        <is>
          <t>metro</t>
        </is>
      </c>
      <c r="D559" s="22" t="inlineStr">
        <is>
          <t>Yapı Merkezi İDİS maliyet çalışması (tedarikçi detayları)</t>
        </is>
      </c>
      <c r="E559" s="22" t="inlineStr">
        <is>
          <t>2022-09-13</t>
        </is>
      </c>
      <c r="F559" s="22" t="inlineStr">
        <is>
          <t>2x1,5 mm2 NHXMH</t>
        </is>
      </c>
      <c r="G559" s="22" t="inlineStr">
        <is>
          <t>Mt</t>
        </is>
      </c>
      <c r="H559" s="63" t="n">
        <v>1.16</v>
      </c>
      <c r="I559" s="22" t="inlineStr">
        <is>
          <t>EUR</t>
        </is>
      </c>
      <c r="J559" s="22" t="inlineStr"/>
      <c r="K559" s="63" t="n">
        <v>1.29925865168539</v>
      </c>
      <c r="L559" s="22" t="inlineStr">
        <is>
          <t>4014</t>
        </is>
      </c>
      <c r="M559" s="22" t="n">
        <v>1</v>
      </c>
      <c r="N559" s="22" t="inlineStr">
        <is>
          <t>KPT metro 2 istasyon; alt sistem detay sayfası, tedarikçi malzeme birim fiyatı (EUR, GGK hariç);  [sayfa: 415-ACS]</t>
        </is>
      </c>
    </row>
    <row r="560">
      <c r="A560" s="22" t="inlineStr">
        <is>
          <t>R02977</t>
        </is>
      </c>
      <c r="B560" s="22" t="inlineStr">
        <is>
          <t>Pendik_Kaynarca_FCakmak_Metro</t>
        </is>
      </c>
      <c r="C560" s="22" t="inlineStr">
        <is>
          <t>metro</t>
        </is>
      </c>
      <c r="D560" s="22" t="inlineStr">
        <is>
          <t>Yapı Merkezi İDİS maliyet çalışması (tedarikçi detayları)</t>
        </is>
      </c>
      <c r="E560" s="22" t="inlineStr">
        <is>
          <t>2022-09-13</t>
        </is>
      </c>
      <c r="F560" s="22" t="inlineStr">
        <is>
          <t>Yolcu Geçiş Kontrol (Ücret Toplama) Sistemi Engelli Geçiş Turnikesi</t>
        </is>
      </c>
      <c r="G560" s="22" t="inlineStr">
        <is>
          <t>adet</t>
        </is>
      </c>
      <c r="H560" s="63" t="n">
        <v>2041.2507</v>
      </c>
      <c r="I560" s="22" t="inlineStr">
        <is>
          <t>EUR</t>
        </is>
      </c>
      <c r="J560" s="22" t="inlineStr"/>
      <c r="K560" s="63" t="n">
        <v>2286.30399330506</v>
      </c>
      <c r="L560" s="22" t="inlineStr">
        <is>
          <t>4019.B</t>
        </is>
      </c>
      <c r="M560" s="22" t="n">
        <v>1</v>
      </c>
      <c r="N560" s="22" t="inlineStr">
        <is>
          <t>KPT metro 2 istasyon; alt sistem detay sayfası, tedarikçi malzeme birim fiyatı (EUR, GGK hariç);  [sayfa: 419.20.22.23-PIS]</t>
        </is>
      </c>
    </row>
    <row r="561">
      <c r="A561" s="22" t="inlineStr">
        <is>
          <t>R02979</t>
        </is>
      </c>
      <c r="B561" s="22" t="inlineStr">
        <is>
          <t>Pendik_Kaynarca_FCakmak_Metro</t>
        </is>
      </c>
      <c r="C561" s="22" t="inlineStr">
        <is>
          <t>metro</t>
        </is>
      </c>
      <c r="D561" s="22" t="inlineStr">
        <is>
          <t>Yapı Merkezi İDİS maliyet çalışması (tedarikçi detayları)</t>
        </is>
      </c>
      <c r="E561" s="22" t="inlineStr">
        <is>
          <t>2022-09-13</t>
        </is>
      </c>
      <c r="F561" s="22" t="inlineStr">
        <is>
          <t>Çift yüzlü yolcu bilgilendirme ekranı</t>
        </is>
      </c>
      <c r="G561" s="22" t="inlineStr">
        <is>
          <t>adet</t>
        </is>
      </c>
      <c r="H561" s="63" t="n">
        <v>3565</v>
      </c>
      <c r="I561" s="22" t="inlineStr">
        <is>
          <t>EUR</t>
        </is>
      </c>
      <c r="J561" s="22" t="inlineStr"/>
      <c r="K561" s="63" t="n">
        <v>3992.98025280899</v>
      </c>
      <c r="L561" s="22" t="inlineStr">
        <is>
          <t>4018.A</t>
        </is>
      </c>
      <c r="M561" s="22" t="n">
        <v>6</v>
      </c>
      <c r="N561" s="22" t="inlineStr">
        <is>
          <t>KPT metro 2 istasyon; alt sistem detay sayfası, tedarikçi malzeme birim fiyatı (EUR, GGK hariç);  [sayfa: 419.20.22.23-PIS]</t>
        </is>
      </c>
    </row>
    <row r="562">
      <c r="A562" s="22" t="inlineStr">
        <is>
          <t>R02982</t>
        </is>
      </c>
      <c r="B562" s="22" t="inlineStr">
        <is>
          <t>Pendik_Kaynarca_FCakmak_Metro</t>
        </is>
      </c>
      <c r="C562" s="22" t="inlineStr">
        <is>
          <t>metro</t>
        </is>
      </c>
      <c r="D562" s="22" t="inlineStr">
        <is>
          <t>Yapı Merkezi İDİS maliyet çalışması (tedarikçi detayları)</t>
        </is>
      </c>
      <c r="E562" s="22" t="inlineStr">
        <is>
          <t>2022-09-13</t>
        </is>
      </c>
      <c r="F562" s="22" t="inlineStr">
        <is>
          <t>Mevcut YBS' ye Entegrasyon</t>
        </is>
      </c>
      <c r="G562" s="22" t="inlineStr">
        <is>
          <t>adet</t>
        </is>
      </c>
      <c r="H562" s="63" t="n">
        <v>16905</v>
      </c>
      <c r="I562" s="22" t="inlineStr">
        <is>
          <t>EUR</t>
        </is>
      </c>
      <c r="J562" s="22" t="inlineStr"/>
      <c r="K562" s="63" t="n">
        <v>18934.454747191</v>
      </c>
      <c r="L562" s="22" t="inlineStr">
        <is>
          <t>4018.G</t>
        </is>
      </c>
      <c r="M562" s="22" t="n">
        <v>3</v>
      </c>
      <c r="N562" s="22" t="inlineStr">
        <is>
          <t>KPT metro 2 istasyon; alt sistem detay sayfası, tedarikçi malzeme birim fiyatı (EUR, GGK hariç);  [sayfa: 419.20.22.23-PIS]</t>
        </is>
      </c>
    </row>
    <row r="563">
      <c r="A563" s="22" t="inlineStr">
        <is>
          <t>R02987</t>
        </is>
      </c>
      <c r="B563" s="22" t="inlineStr">
        <is>
          <t>Pendik_Kaynarca_FCakmak_Metro</t>
        </is>
      </c>
      <c r="C563" s="22" t="inlineStr">
        <is>
          <t>metro</t>
        </is>
      </c>
      <c r="D563" s="22" t="inlineStr">
        <is>
          <t>Yapı Merkezi İDİS maliyet çalışması (tedarikçi detayları)</t>
        </is>
      </c>
      <c r="E563" s="22" t="inlineStr">
        <is>
          <t>2022-09-13</t>
        </is>
      </c>
      <c r="F563" s="22" t="inlineStr">
        <is>
          <t>VERİ KABLOSU U/FTP CAT6 LS0H FE 180</t>
        </is>
      </c>
      <c r="G563" s="22" t="inlineStr">
        <is>
          <t>m</t>
        </is>
      </c>
      <c r="H563" s="63" t="n">
        <v>2.185</v>
      </c>
      <c r="I563" s="22" t="inlineStr">
        <is>
          <t>EUR</t>
        </is>
      </c>
      <c r="J563" s="22" t="inlineStr"/>
      <c r="K563" s="63" t="n">
        <v>2.44731047752809</v>
      </c>
      <c r="L563" s="22" t="inlineStr">
        <is>
          <t>4018</t>
        </is>
      </c>
      <c r="M563" s="22" t="n">
        <v>27</v>
      </c>
      <c r="N563" s="22" t="inlineStr">
        <is>
          <t>KPT metro 2 istasyon; alt sistem detay sayfası, tedarikçi malzeme birim fiyatı (EUR, GGK hariç);  [sayfa: 419.20.22.23-PIS]</t>
        </is>
      </c>
    </row>
    <row r="564">
      <c r="A564" s="22" t="inlineStr">
        <is>
          <t>R02988</t>
        </is>
      </c>
      <c r="B564" s="22" t="inlineStr">
        <is>
          <t>Pendik_Kaynarca_FCakmak_Metro</t>
        </is>
      </c>
      <c r="C564" s="22" t="inlineStr">
        <is>
          <t>metro</t>
        </is>
      </c>
      <c r="D564" s="22" t="inlineStr">
        <is>
          <t>Yapı Merkezi İDİS maliyet çalışması (tedarikçi detayları)</t>
        </is>
      </c>
      <c r="E564" s="22" t="inlineStr">
        <is>
          <t>2022-09-13</t>
        </is>
      </c>
      <c r="F564" s="22" t="inlineStr">
        <is>
          <t>ENERJİ KABLOSU  3x2.5 mm² NHXMH FE180</t>
        </is>
      </c>
      <c r="G564" s="22" t="inlineStr">
        <is>
          <t>m</t>
        </is>
      </c>
      <c r="H564" s="63" t="n">
        <v>2.99</v>
      </c>
      <c r="I564" s="22" t="inlineStr">
        <is>
          <t>EUR</t>
        </is>
      </c>
      <c r="J564" s="22" t="inlineStr"/>
      <c r="K564" s="63" t="n">
        <v>3.34895117977528</v>
      </c>
      <c r="L564" s="22" t="inlineStr">
        <is>
          <t>4018</t>
        </is>
      </c>
      <c r="M564" s="22" t="n">
        <v>4</v>
      </c>
      <c r="N564" s="22" t="inlineStr">
        <is>
          <t>KPT metro 2 istasyon; alt sistem detay sayfası, tedarikçi malzeme birim fiyatı (EUR, GGK hariç);  [sayfa: 419.20.22.23-PIS]</t>
        </is>
      </c>
    </row>
    <row r="565">
      <c r="A565" s="22" t="inlineStr">
        <is>
          <t>R02991</t>
        </is>
      </c>
      <c r="B565" s="22" t="inlineStr">
        <is>
          <t>SAGE-YHRT</t>
        </is>
      </c>
      <c r="C565" s="22" t="inlineStr">
        <is>
          <t>bina</t>
        </is>
      </c>
      <c r="D565" s="22" t="inlineStr">
        <is>
          <t>Yapı Merkezi İDİS bütçe (marka sütunu)</t>
        </is>
      </c>
      <c r="E565" s="22" t="inlineStr">
        <is>
          <t>2018-08-14</t>
        </is>
      </c>
      <c r="F565" s="22" t="inlineStr">
        <is>
          <t>2.1.7.1003 Ofis/Servis Telefonu</t>
        </is>
      </c>
      <c r="G565" s="22" t="inlineStr">
        <is>
          <t>ea</t>
        </is>
      </c>
      <c r="H565" s="63" t="n">
        <v>102.75</v>
      </c>
      <c r="I565" s="22" t="inlineStr">
        <is>
          <t>USD</t>
        </is>
      </c>
      <c r="J565" s="22" t="inlineStr">
        <is>
          <t>M+İ</t>
        </is>
      </c>
      <c r="K565" s="63" t="n">
        <v>115.692658317815</v>
      </c>
      <c r="L565" s="22" t="inlineStr">
        <is>
          <t>4005</t>
        </is>
      </c>
      <c r="M565" s="22" t="n">
        <v>1</v>
      </c>
      <c r="N565" s="22" t="inlineStr">
        <is>
          <t>SAGE YHRT tesis binası zayıf akım bütçesi; tüm fiyatlar USD (EUR kalemler 1,15 kur ile çevrilmiş); birim_fiyat=malzeme+işçilik; marka: MITEL/Yealink/Gigaset; orijinal para: EUR</t>
        </is>
      </c>
    </row>
    <row r="566">
      <c r="A566" s="22" t="inlineStr">
        <is>
          <t>R02992</t>
        </is>
      </c>
      <c r="B566" s="22" t="inlineStr">
        <is>
          <t>SAGE-YHRT</t>
        </is>
      </c>
      <c r="C566" s="22" t="inlineStr">
        <is>
          <t>bina</t>
        </is>
      </c>
      <c r="D566" s="22" t="inlineStr">
        <is>
          <t>Yapı Merkezi İDİS bütçe (marka sütunu)</t>
        </is>
      </c>
      <c r="E566" s="22" t="inlineStr">
        <is>
          <t>2018-08-14</t>
        </is>
      </c>
      <c r="F566" s="22" t="inlineStr">
        <is>
          <t>2.1.7.1004 Ses Kayıt Sistemi - PC Dahil</t>
        </is>
      </c>
      <c r="G566" s="22" t="inlineStr">
        <is>
          <t>ea</t>
        </is>
      </c>
      <c r="H566" s="63" t="n">
        <v>4125</v>
      </c>
      <c r="I566" s="22" t="inlineStr">
        <is>
          <t>USD</t>
        </is>
      </c>
      <c r="J566" s="22" t="inlineStr">
        <is>
          <t>M+İ</t>
        </is>
      </c>
      <c r="K566" s="63" t="n">
        <v>4644.5957718831</v>
      </c>
      <c r="L566" s="22" t="inlineStr">
        <is>
          <t>4005</t>
        </is>
      </c>
      <c r="M566" s="22" t="n">
        <v>1</v>
      </c>
      <c r="N566" s="22" t="inlineStr">
        <is>
          <t>SAGE YHRT tesis binası zayıf akım bütçesi; tüm fiyatlar USD (EUR kalemler 1,15 kur ile çevrilmiş); birim_fiyat=malzeme+işçilik; marka: MITEL/Yealink/Gigaset; orijinal para: EUR</t>
        </is>
      </c>
    </row>
    <row r="567">
      <c r="A567" s="22" t="inlineStr">
        <is>
          <t>R02994</t>
        </is>
      </c>
      <c r="B567" s="22" t="inlineStr">
        <is>
          <t>SAGE-YHRT</t>
        </is>
      </c>
      <c r="C567" s="22" t="inlineStr">
        <is>
          <t>bina</t>
        </is>
      </c>
      <c r="D567" s="22" t="inlineStr">
        <is>
          <t>Yapı Merkezi İDİS bütçe (marka sütunu)</t>
        </is>
      </c>
      <c r="E567" s="22" t="inlineStr">
        <is>
          <t>2018-08-14</t>
        </is>
      </c>
      <c r="F567" s="22" t="inlineStr">
        <is>
          <t>2.1.7.2001 Cat 7 UTP Kablo</t>
        </is>
      </c>
      <c r="G567" s="22" t="inlineStr">
        <is>
          <t>mt</t>
        </is>
      </c>
      <c r="H567" s="63" t="n">
        <v>2.2</v>
      </c>
      <c r="I567" s="22" t="inlineStr">
        <is>
          <t>USD</t>
        </is>
      </c>
      <c r="J567" s="22" t="inlineStr">
        <is>
          <t>M+İ</t>
        </is>
      </c>
      <c r="K567" s="63" t="n">
        <v>2.47711774500432</v>
      </c>
      <c r="L567" s="22" t="inlineStr">
        <is>
          <t>4005</t>
        </is>
      </c>
      <c r="M567" s="22" t="n">
        <v>42</v>
      </c>
      <c r="N567" s="22" t="inlineStr">
        <is>
          <t>SAGE YHRT tesis binası zayıf akım bütçesi; tüm fiyatlar USD (EUR kalemler 1,15 kur ile çevrilmiş); birim_fiyat=malzeme+işçilik; marka: HCS / Draka; orijinal para: USD</t>
        </is>
      </c>
    </row>
    <row r="568">
      <c r="A568" s="22" t="inlineStr">
        <is>
          <t>R02998</t>
        </is>
      </c>
      <c r="B568" s="22" t="inlineStr">
        <is>
          <t>SAGE-YHRT</t>
        </is>
      </c>
      <c r="C568" s="22" t="inlineStr">
        <is>
          <t>bina</t>
        </is>
      </c>
      <c r="D568" s="22" t="inlineStr">
        <is>
          <t>Yapı Merkezi İDİS bütçe (marka sütunu)</t>
        </is>
      </c>
      <c r="E568" s="22" t="inlineStr">
        <is>
          <t>2018-08-14</t>
        </is>
      </c>
      <c r="F568" s="22" t="inlineStr">
        <is>
          <t>2.1.8.1001 Kart Okuyucu - Iclass</t>
        </is>
      </c>
      <c r="G568" s="22" t="inlineStr">
        <is>
          <t>ea</t>
        </is>
      </c>
      <c r="H568" s="63" t="n">
        <v>157.5</v>
      </c>
      <c r="I568" s="22" t="inlineStr">
        <is>
          <t>USD</t>
        </is>
      </c>
      <c r="J568" s="22" t="inlineStr">
        <is>
          <t>M+İ</t>
        </is>
      </c>
      <c r="K568" s="63" t="n">
        <v>177.339111290082</v>
      </c>
      <c r="L568" s="22" t="inlineStr">
        <is>
          <t>4014.A</t>
        </is>
      </c>
      <c r="M568" s="22" t="n">
        <v>7</v>
      </c>
      <c r="N568" s="22" t="inlineStr">
        <is>
          <t>SAGE YHRT tesis binası zayıf akım bütçesi; tüm fiyatlar USD (EUR kalemler 1,15 kur ile çevrilmiş); birim_fiyat=malzeme+işçilik; marka: BOSCH / HID; orijinal para: USD</t>
        </is>
      </c>
    </row>
    <row r="569">
      <c r="A569" s="22" t="inlineStr">
        <is>
          <t>R03000</t>
        </is>
      </c>
      <c r="B569" s="22" t="inlineStr">
        <is>
          <t>SAGE-YHRT</t>
        </is>
      </c>
      <c r="C569" s="22" t="inlineStr">
        <is>
          <t>bina</t>
        </is>
      </c>
      <c r="D569" s="22" t="inlineStr">
        <is>
          <t>Yapı Merkezi İDİS bütçe (marka sütunu)</t>
        </is>
      </c>
      <c r="E569" s="22" t="inlineStr">
        <is>
          <t>2018-08-14</t>
        </is>
      </c>
      <c r="F569" s="22" t="inlineStr">
        <is>
          <t>2.1.8.1003 Acil Çıkış Butonu ( İzlenebilir ve resetlenebilir tip )</t>
        </is>
      </c>
      <c r="G569" s="22" t="inlineStr">
        <is>
          <t>ea</t>
        </is>
      </c>
      <c r="H569" s="63" t="n">
        <v>42.5</v>
      </c>
      <c r="I569" s="22" t="inlineStr">
        <is>
          <t>USD</t>
        </is>
      </c>
      <c r="J569" s="22" t="inlineStr">
        <is>
          <t>M+İ</t>
        </is>
      </c>
      <c r="K569" s="63" t="n">
        <v>47.853410983038</v>
      </c>
      <c r="L569" s="22" t="inlineStr">
        <is>
          <t>4014</t>
        </is>
      </c>
      <c r="M569" s="22" t="n">
        <v>7</v>
      </c>
      <c r="N569" s="22" t="inlineStr">
        <is>
          <t>SAGE YHRT tesis binası zayıf akım bütçesi; tüm fiyatlar USD (EUR kalemler 1,15 kur ile çevrilmiş); birim_fiyat=malzeme+işçilik; marka: BOSCH / HID; orijinal para: USD</t>
        </is>
      </c>
    </row>
    <row r="570">
      <c r="A570" s="22" t="inlineStr">
        <is>
          <t>R03001</t>
        </is>
      </c>
      <c r="B570" s="22" t="inlineStr">
        <is>
          <t>SAGE-YHRT</t>
        </is>
      </c>
      <c r="C570" s="22" t="inlineStr">
        <is>
          <t>bina</t>
        </is>
      </c>
      <c r="D570" s="22" t="inlineStr">
        <is>
          <t>Yapı Merkezi İDİS bütçe (marka sütunu)</t>
        </is>
      </c>
      <c r="E570" s="22" t="inlineStr">
        <is>
          <t>2018-08-14</t>
        </is>
      </c>
      <c r="F570" s="22" t="inlineStr">
        <is>
          <t>2.1.8.1004 Paslanmaz Çıkış Butonu ( Recessed Type ), double contact</t>
        </is>
      </c>
      <c r="G570" s="22" t="inlineStr">
        <is>
          <t>ea</t>
        </is>
      </c>
      <c r="H570" s="63" t="n">
        <v>32.5</v>
      </c>
      <c r="I570" s="22" t="inlineStr">
        <is>
          <t>USD</t>
        </is>
      </c>
      <c r="J570" s="22" t="inlineStr">
        <is>
          <t>M+İ</t>
        </is>
      </c>
      <c r="K570" s="63" t="n">
        <v>36.593784869382</v>
      </c>
      <c r="L570" s="22" t="inlineStr">
        <is>
          <t>4014.A</t>
        </is>
      </c>
      <c r="M570" s="22" t="n">
        <v>7</v>
      </c>
      <c r="N570" s="22" t="inlineStr">
        <is>
          <t>SAGE YHRT tesis binası zayıf akım bütçesi; tüm fiyatlar USD (EUR kalemler 1,15 kur ile çevrilmiş); birim_fiyat=malzeme+işçilik; marka: BOSCH / HID; orijinal para: USD</t>
        </is>
      </c>
    </row>
    <row r="571">
      <c r="A571" s="22" t="inlineStr">
        <is>
          <t>R03002</t>
        </is>
      </c>
      <c r="B571" s="22" t="inlineStr">
        <is>
          <t>SAGE-YHRT</t>
        </is>
      </c>
      <c r="C571" s="22" t="inlineStr">
        <is>
          <t>bina</t>
        </is>
      </c>
      <c r="D571" s="22" t="inlineStr">
        <is>
          <t>Yapı Merkezi İDİS bütçe (marka sütunu)</t>
        </is>
      </c>
      <c r="E571" s="22" t="inlineStr">
        <is>
          <t>2018-08-14</t>
        </is>
      </c>
      <c r="F571" s="22" t="inlineStr">
        <is>
          <t>2.1.8.1005 Manyetik Kontak 48mm genişlik</t>
        </is>
      </c>
      <c r="G571" s="22" t="inlineStr">
        <is>
          <t>ea</t>
        </is>
      </c>
      <c r="H571" s="63" t="n">
        <v>22.5</v>
      </c>
      <c r="I571" s="22" t="inlineStr">
        <is>
          <t>USD</t>
        </is>
      </c>
      <c r="J571" s="22" t="inlineStr">
        <is>
          <t>M+İ</t>
        </is>
      </c>
      <c r="K571" s="63" t="n">
        <v>25.334158755726</v>
      </c>
      <c r="L571" s="22" t="inlineStr">
        <is>
          <t>4014.A</t>
        </is>
      </c>
      <c r="M571" s="22" t="n">
        <v>7</v>
      </c>
      <c r="N571" s="22" t="inlineStr">
        <is>
          <t>SAGE YHRT tesis binası zayıf akım bütçesi; tüm fiyatlar USD (EUR kalemler 1,15 kur ile çevrilmiş); birim_fiyat=malzeme+işçilik; marka: BOSCH / HID; orijinal para: USD</t>
        </is>
      </c>
    </row>
    <row r="572">
      <c r="A572" s="22" t="inlineStr">
        <is>
          <t>R03015</t>
        </is>
      </c>
      <c r="B572" s="22" t="inlineStr">
        <is>
          <t>SAGE-YHRT</t>
        </is>
      </c>
      <c r="C572" s="22" t="inlineStr">
        <is>
          <t>bina</t>
        </is>
      </c>
      <c r="D572" s="22" t="inlineStr">
        <is>
          <t>Yapı Merkezi İDİS bütçe (marka sütunu)</t>
        </is>
      </c>
      <c r="E572" s="22" t="inlineStr">
        <is>
          <t>2018-08-14</t>
        </is>
      </c>
      <c r="F572" s="22" t="inlineStr">
        <is>
          <t>2.1.8.3006 ID Kart Yazıcı - Ribbon dahil</t>
        </is>
      </c>
      <c r="G572" s="22" t="inlineStr">
        <is>
          <t>ea</t>
        </is>
      </c>
      <c r="H572" s="63" t="n">
        <v>2020</v>
      </c>
      <c r="I572" s="22" t="inlineStr">
        <is>
          <t>USD</t>
        </is>
      </c>
      <c r="J572" s="22" t="inlineStr">
        <is>
          <t>M+İ</t>
        </is>
      </c>
      <c r="K572" s="63" t="n">
        <v>2274.44447495851</v>
      </c>
      <c r="L572" s="22" t="inlineStr">
        <is>
          <t>4014.G</t>
        </is>
      </c>
      <c r="M572" s="22" t="n">
        <v>1</v>
      </c>
      <c r="N572" s="22" t="inlineStr">
        <is>
          <t>SAGE YHRT tesis binası zayıf akım bütçesi; tüm fiyatlar USD (EUR kalemler 1,15 kur ile çevrilmiş); birim_fiyat=malzeme+işçilik; marka: Zebra / Epson; orijinal para: USD</t>
        </is>
      </c>
    </row>
    <row r="573">
      <c r="A573" s="22" t="inlineStr">
        <is>
          <t>R03016</t>
        </is>
      </c>
      <c r="B573" s="22" t="inlineStr">
        <is>
          <t>SAGE-YHRT</t>
        </is>
      </c>
      <c r="C573" s="22" t="inlineStr">
        <is>
          <t>bina</t>
        </is>
      </c>
      <c r="D573" s="22" t="inlineStr">
        <is>
          <t>Yapı Merkezi İDİS bütçe (marka sütunu)</t>
        </is>
      </c>
      <c r="E573" s="22" t="inlineStr">
        <is>
          <t>2018-08-14</t>
        </is>
      </c>
      <c r="F573" s="22" t="inlineStr">
        <is>
          <t>2.1.8.3007 Proximity Kart</t>
        </is>
      </c>
      <c r="G573" s="22" t="inlineStr">
        <is>
          <t>ea</t>
        </is>
      </c>
      <c r="H573" s="63" t="n">
        <v>7.5</v>
      </c>
      <c r="I573" s="22" t="inlineStr">
        <is>
          <t>USD</t>
        </is>
      </c>
      <c r="J573" s="22" t="inlineStr">
        <is>
          <t>Malzeme</t>
        </is>
      </c>
      <c r="K573" s="63" t="n">
        <v>8.444719585242</v>
      </c>
      <c r="L573" s="22" t="inlineStr">
        <is>
          <t>4014.G</t>
        </is>
      </c>
      <c r="M573" s="22" t="n">
        <v>1</v>
      </c>
      <c r="N573" s="22" t="inlineStr">
        <is>
          <t>SAGE YHRT tesis binası zayıf akım bütçesi; tüm fiyatlar USD (EUR kalemler 1,15 kur ile çevrilmiş); birim_fiyat=malzeme+işçilik; marka: OEM; orijinal para: USD</t>
        </is>
      </c>
    </row>
    <row r="574">
      <c r="A574" s="22" t="inlineStr">
        <is>
          <t>R03018</t>
        </is>
      </c>
      <c r="B574" s="22" t="inlineStr">
        <is>
          <t>SAGE-YHRT</t>
        </is>
      </c>
      <c r="C574" s="22" t="inlineStr">
        <is>
          <t>bina</t>
        </is>
      </c>
      <c r="D574" s="22" t="inlineStr">
        <is>
          <t>Yapı Merkezi İDİS bütçe (marka sütunu)</t>
        </is>
      </c>
      <c r="E574" s="22" t="inlineStr">
        <is>
          <t>2018-08-14</t>
        </is>
      </c>
      <c r="F574" s="22" t="inlineStr">
        <is>
          <t>2.1.8.4002 2x0,75 LIH(st)CH Manyetik Kontak Kablosu</t>
        </is>
      </c>
      <c r="G574" s="22" t="inlineStr">
        <is>
          <t>mt</t>
        </is>
      </c>
      <c r="H574" s="63" t="n">
        <v>2.2</v>
      </c>
      <c r="I574" s="22" t="inlineStr">
        <is>
          <t>USD</t>
        </is>
      </c>
      <c r="J574" s="22" t="inlineStr">
        <is>
          <t>M+İ</t>
        </is>
      </c>
      <c r="K574" s="63" t="n">
        <v>2.47711774500432</v>
      </c>
      <c r="L574" s="22" t="inlineStr">
        <is>
          <t>4014.A</t>
        </is>
      </c>
      <c r="M574" s="22" t="n">
        <v>7</v>
      </c>
      <c r="N574" s="22" t="inlineStr">
        <is>
          <t>SAGE YHRT tesis binası zayıf akım bütçesi; tüm fiyatlar USD (EUR kalemler 1,15 kur ile çevrilmiş); birim_fiyat=malzeme+işçilik; marka: Erse / 3M; orijinal para: USD</t>
        </is>
      </c>
    </row>
    <row r="575">
      <c r="A575" s="22" t="inlineStr">
        <is>
          <t>R03019</t>
        </is>
      </c>
      <c r="B575" s="22" t="inlineStr">
        <is>
          <t>SAGE-YHRT</t>
        </is>
      </c>
      <c r="C575" s="22" t="inlineStr">
        <is>
          <t>bina</t>
        </is>
      </c>
      <c r="D575" s="22" t="inlineStr">
        <is>
          <t>Yapı Merkezi İDİS bütçe (marka sütunu)</t>
        </is>
      </c>
      <c r="E575" s="22" t="inlineStr">
        <is>
          <t>2018-08-14</t>
        </is>
      </c>
      <c r="F575" s="22" t="inlineStr">
        <is>
          <t>2.1.8.4003 4x0,75 LIH(st)CH Acil Çıkış Butonu Kablosu</t>
        </is>
      </c>
      <c r="G575" s="22" t="inlineStr">
        <is>
          <t>mt</t>
        </is>
      </c>
      <c r="H575" s="63" t="n">
        <v>2.4</v>
      </c>
      <c r="I575" s="22" t="inlineStr">
        <is>
          <t>USD</t>
        </is>
      </c>
      <c r="J575" s="22" t="inlineStr">
        <is>
          <t>M+İ</t>
        </is>
      </c>
      <c r="K575" s="63" t="n">
        <v>2.70231026727744</v>
      </c>
      <c r="L575" s="22" t="inlineStr">
        <is>
          <t>4014</t>
        </is>
      </c>
      <c r="M575" s="22" t="n">
        <v>7</v>
      </c>
      <c r="N575" s="22" t="inlineStr">
        <is>
          <t>SAGE YHRT tesis binası zayıf akım bütçesi; tüm fiyatlar USD (EUR kalemler 1,15 kur ile çevrilmiş); birim_fiyat=malzeme+işçilik; marka: Erse / 3M; orijinal para: USD</t>
        </is>
      </c>
    </row>
    <row r="576">
      <c r="A576" s="22" t="inlineStr">
        <is>
          <t>R03021</t>
        </is>
      </c>
      <c r="B576" s="22" t="inlineStr">
        <is>
          <t>SAGE-YHRT</t>
        </is>
      </c>
      <c r="C576" s="22" t="inlineStr">
        <is>
          <t>bina</t>
        </is>
      </c>
      <c r="D576" s="22" t="inlineStr">
        <is>
          <t>Yapı Merkezi İDİS bütçe (marka sütunu)</t>
        </is>
      </c>
      <c r="E576" s="22" t="inlineStr">
        <is>
          <t>2018-08-14</t>
        </is>
      </c>
      <c r="F576" s="22" t="inlineStr">
        <is>
          <t>2.1.8.4005 4x0,75 LIH(st)CH Elektrikli Kilit Kablosu</t>
        </is>
      </c>
      <c r="G576" s="22" t="inlineStr">
        <is>
          <t>mt</t>
        </is>
      </c>
      <c r="H576" s="63" t="n">
        <v>2.4</v>
      </c>
      <c r="I576" s="22" t="inlineStr">
        <is>
          <t>USD</t>
        </is>
      </c>
      <c r="J576" s="22" t="inlineStr">
        <is>
          <t>M+İ</t>
        </is>
      </c>
      <c r="K576" s="63" t="n">
        <v>2.70231026727744</v>
      </c>
      <c r="L576" s="22" t="inlineStr">
        <is>
          <t>4014.A</t>
        </is>
      </c>
      <c r="M576" s="22" t="n">
        <v>7</v>
      </c>
      <c r="N576" s="22" t="inlineStr">
        <is>
          <t>SAGE YHRT tesis binası zayıf akım bütçesi; tüm fiyatlar USD (EUR kalemler 1,15 kur ile çevrilmiş); birim_fiyat=malzeme+işçilik; marka: Erse / 3M; orijinal para: USD</t>
        </is>
      </c>
    </row>
    <row r="577">
      <c r="A577" s="22" t="inlineStr">
        <is>
          <t>R03028</t>
        </is>
      </c>
      <c r="B577" s="22" t="inlineStr">
        <is>
          <t>SAGE-YHRT</t>
        </is>
      </c>
      <c r="C577" s="22" t="inlineStr">
        <is>
          <t>bina</t>
        </is>
      </c>
      <c r="D577" s="22" t="inlineStr">
        <is>
          <t>Yapı Merkezi İDİS bütçe (marka sütunu)</t>
        </is>
      </c>
      <c r="E577" s="22" t="inlineStr">
        <is>
          <t>2018-08-14</t>
        </is>
      </c>
      <c r="F577" s="22" t="inlineStr">
        <is>
          <t>2.1.8.5005 Anten</t>
        </is>
      </c>
      <c r="G577" s="22" t="inlineStr">
        <is>
          <t>ea</t>
        </is>
      </c>
      <c r="H577" s="63" t="n">
        <v>1520</v>
      </c>
      <c r="I577" s="22" t="inlineStr">
        <is>
          <t>USD</t>
        </is>
      </c>
      <c r="J577" s="22" t="inlineStr">
        <is>
          <t>M+İ</t>
        </is>
      </c>
      <c r="K577" s="63" t="n">
        <v>1711.46316927571</v>
      </c>
      <c r="L577" s="22" t="inlineStr">
        <is>
          <t>4014</t>
        </is>
      </c>
      <c r="M577" s="22" t="n">
        <v>1</v>
      </c>
      <c r="N577" s="22" t="inlineStr">
        <is>
          <t>SAGE YHRT tesis binası zayıf akım bütçesi; tüm fiyatlar USD (EUR kalemler 1,15 kur ile çevrilmiş); birim_fiyat=malzeme+işçilik; marka: Tansa / Meyer / Oscar; orijinal para: USD</t>
        </is>
      </c>
    </row>
    <row r="578">
      <c r="A578" s="22" t="inlineStr">
        <is>
          <t>R03042</t>
        </is>
      </c>
      <c r="B578" s="22" t="inlineStr">
        <is>
          <t>SAGE-YHRT</t>
        </is>
      </c>
      <c r="C578" s="22" t="inlineStr">
        <is>
          <t>bina</t>
        </is>
      </c>
      <c r="D578" s="22" t="inlineStr">
        <is>
          <t>Yapı Merkezi İDİS bütçe (marka sütunu)</t>
        </is>
      </c>
      <c r="E578" s="22" t="inlineStr">
        <is>
          <t>2018-08-14</t>
        </is>
      </c>
      <c r="F578" s="22" t="inlineStr">
        <is>
          <t>2.1.9.1008 Montaj Aparatı ve Kutusu</t>
        </is>
      </c>
      <c r="G578" s="22" t="inlineStr">
        <is>
          <t>ea</t>
        </is>
      </c>
      <c r="H578" s="63" t="n">
        <v>90</v>
      </c>
      <c r="I578" s="22" t="inlineStr">
        <is>
          <t>USD</t>
        </is>
      </c>
      <c r="J578" s="22" t="inlineStr">
        <is>
          <t>Malzeme</t>
        </is>
      </c>
      <c r="K578" s="63" t="n">
        <v>101.336635022904</v>
      </c>
      <c r="L578" s="22" t="inlineStr">
        <is>
          <t>4010</t>
        </is>
      </c>
      <c r="M578" s="22" t="n">
        <v>8</v>
      </c>
      <c r="N578" s="22" t="inlineStr">
        <is>
          <t>SAGE YHRT tesis binası zayıf akım bütçesi; tüm fiyatlar USD (EUR kalemler 1,15 kur ile çevrilmiş); birim_fiyat=malzeme+işçilik; marka: Bosch / Axis / Pelco; orijinal para: USD</t>
        </is>
      </c>
    </row>
    <row r="579">
      <c r="A579" s="22" t="inlineStr">
        <is>
          <t>R03043</t>
        </is>
      </c>
      <c r="B579" s="22" t="inlineStr">
        <is>
          <t>SAGE-YHRT</t>
        </is>
      </c>
      <c r="C579" s="22" t="inlineStr">
        <is>
          <t>bina</t>
        </is>
      </c>
      <c r="D579" s="22" t="inlineStr">
        <is>
          <t>Yapı Merkezi İDİS bütçe (marka sütunu)</t>
        </is>
      </c>
      <c r="E579" s="22" t="inlineStr">
        <is>
          <t>2018-08-14</t>
        </is>
      </c>
      <c r="F579" s="22" t="inlineStr">
        <is>
          <t>2.1.9.1009 Hareketli PTZ Camera 30X 1080P</t>
        </is>
      </c>
      <c r="G579" s="22" t="inlineStr">
        <is>
          <t>ea</t>
        </is>
      </c>
      <c r="H579" s="63" t="n">
        <v>2320</v>
      </c>
      <c r="I579" s="22" t="inlineStr">
        <is>
          <t>USD</t>
        </is>
      </c>
      <c r="J579" s="22" t="inlineStr">
        <is>
          <t>M+İ</t>
        </is>
      </c>
      <c r="K579" s="63" t="n">
        <v>2612.23325836819</v>
      </c>
      <c r="L579" s="22" t="inlineStr">
        <is>
          <t>4010.I</t>
        </is>
      </c>
      <c r="M579" s="22" t="n">
        <v>1</v>
      </c>
      <c r="N579" s="22" t="inlineStr">
        <is>
          <t>SAGE YHRT tesis binası zayıf akım bütçesi; tüm fiyatlar USD (EUR kalemler 1,15 kur ile çevrilmiş); birim_fiyat=malzeme+işçilik; marka: Bosch / Axis / Pelco; orijinal para: USD</t>
        </is>
      </c>
    </row>
    <row r="580">
      <c r="A580" s="22" t="inlineStr">
        <is>
          <t>R03060</t>
        </is>
      </c>
      <c r="B580" s="22" t="inlineStr">
        <is>
          <t>SAGE-YHRT</t>
        </is>
      </c>
      <c r="C580" s="22" t="inlineStr">
        <is>
          <t>bina</t>
        </is>
      </c>
      <c r="D580" s="22" t="inlineStr">
        <is>
          <t>Yapı Merkezi İDİS bütçe (marka sütunu)</t>
        </is>
      </c>
      <c r="E580" s="22" t="inlineStr">
        <is>
          <t>2018-08-14</t>
        </is>
      </c>
      <c r="F580" s="22" t="inlineStr">
        <is>
          <t>2.1.9.3003 Kamera Direği</t>
        </is>
      </c>
      <c r="G580" s="22" t="inlineStr">
        <is>
          <t>Set</t>
        </is>
      </c>
      <c r="H580" s="63" t="n">
        <v>210</v>
      </c>
      <c r="I580" s="22" t="inlineStr">
        <is>
          <t>USD</t>
        </is>
      </c>
      <c r="J580" s="22" t="inlineStr">
        <is>
          <t>M+İ</t>
        </is>
      </c>
      <c r="K580" s="63" t="n">
        <v>236.452148386776</v>
      </c>
      <c r="L580" s="22" t="inlineStr">
        <is>
          <t>4010.A</t>
        </is>
      </c>
      <c r="M580" s="22" t="n">
        <v>2</v>
      </c>
      <c r="N580" s="22" t="inlineStr">
        <is>
          <t>SAGE YHRT tesis binası zayıf akım bütçesi; tüm fiyatlar USD (EUR kalemler 1,15 kur ile çevrilmiş); birim_fiyat=malzeme+işçilik; marka: Mitaş / Çepaş; orijinal para: USD</t>
        </is>
      </c>
    </row>
    <row r="581">
      <c r="A581" s="22" t="inlineStr">
        <is>
          <t>R03068</t>
        </is>
      </c>
      <c r="B581" s="22" t="inlineStr">
        <is>
          <t>SAGE-YHRT</t>
        </is>
      </c>
      <c r="C581" s="22" t="inlineStr">
        <is>
          <t>bina</t>
        </is>
      </c>
      <c r="D581" s="22" t="inlineStr">
        <is>
          <t>Yapı Merkezi İDİS bütçe (marka sütunu)</t>
        </is>
      </c>
      <c r="E581" s="22" t="inlineStr">
        <is>
          <t>2018-08-14</t>
        </is>
      </c>
      <c r="F581" s="22" t="inlineStr">
        <is>
          <t>2.1.10.2003 Endüstriyel Tip Kabinet - 42U 19"</t>
        </is>
      </c>
      <c r="G581" s="22" t="inlineStr">
        <is>
          <t>ea</t>
        </is>
      </c>
      <c r="H581" s="63" t="n">
        <v>1110</v>
      </c>
      <c r="I581" s="22" t="inlineStr">
        <is>
          <t>USD</t>
        </is>
      </c>
      <c r="J581" s="22" t="inlineStr">
        <is>
          <t>M+İ</t>
        </is>
      </c>
      <c r="K581" s="63" t="n">
        <v>1249.81849861582</v>
      </c>
      <c r="L581" s="22" t="inlineStr">
        <is>
          <t>4002.A</t>
        </is>
      </c>
      <c r="M581" s="22" t="n">
        <v>6</v>
      </c>
      <c r="N581" s="22" t="inlineStr">
        <is>
          <t>SAGE YHRT tesis binası zayıf akım bütçesi; tüm fiyatlar USD (EUR kalemler 1,15 kur ile çevrilmiş); birim_fiyat=malzeme+işçilik; marka: ESTAP / LANDE; orijinal para: USD</t>
        </is>
      </c>
    </row>
    <row r="582">
      <c r="A582" s="22" t="inlineStr">
        <is>
          <t>R03069</t>
        </is>
      </c>
      <c r="B582" s="22" t="inlineStr">
        <is>
          <t>SAGE-YHRT</t>
        </is>
      </c>
      <c r="C582" s="22" t="inlineStr">
        <is>
          <t>bina</t>
        </is>
      </c>
      <c r="D582" s="22" t="inlineStr">
        <is>
          <t>Yapı Merkezi İDİS bütçe (marka sütunu)</t>
        </is>
      </c>
      <c r="E582" s="22" t="inlineStr">
        <is>
          <t>2018-08-14</t>
        </is>
      </c>
      <c r="F582" s="22" t="inlineStr">
        <is>
          <t>2.1.10.2004 Duvar Tipi Kabinet - 12U 19"</t>
        </is>
      </c>
      <c r="G582" s="22" t="inlineStr">
        <is>
          <t>ea</t>
        </is>
      </c>
      <c r="H582" s="63" t="n">
        <v>270</v>
      </c>
      <c r="I582" s="22" t="inlineStr">
        <is>
          <t>USD</t>
        </is>
      </c>
      <c r="J582" s="22" t="inlineStr">
        <is>
          <t>M+İ</t>
        </is>
      </c>
      <c r="K582" s="63" t="n">
        <v>304.009905068712</v>
      </c>
      <c r="L582" s="22" t="inlineStr">
        <is>
          <t>4002.A</t>
        </is>
      </c>
      <c r="M582" s="22" t="n">
        <v>1</v>
      </c>
      <c r="N582" s="22" t="inlineStr">
        <is>
          <t>SAGE YHRT tesis binası zayıf akım bütçesi; tüm fiyatlar USD (EUR kalemler 1,15 kur ile çevrilmiş); birim_fiyat=malzeme+işçilik; marka: ESTAP / LANDE; orijinal para: USD</t>
        </is>
      </c>
    </row>
    <row r="583">
      <c r="A583" s="22" t="inlineStr">
        <is>
          <t>R03070</t>
        </is>
      </c>
      <c r="B583" s="22" t="inlineStr">
        <is>
          <t>SAGE-YHRT</t>
        </is>
      </c>
      <c r="C583" s="22" t="inlineStr">
        <is>
          <t>bina</t>
        </is>
      </c>
      <c r="D583" s="22" t="inlineStr">
        <is>
          <t>Yapı Merkezi İDİS bütçe (marka sütunu)</t>
        </is>
      </c>
      <c r="E583" s="22" t="inlineStr">
        <is>
          <t>2018-08-14</t>
        </is>
      </c>
      <c r="F583" s="22" t="inlineStr">
        <is>
          <t>2.1.10.2005 Saha Kabineti - Çevre Kameraları İçin</t>
        </is>
      </c>
      <c r="G583" s="22" t="inlineStr">
        <is>
          <t>Set</t>
        </is>
      </c>
      <c r="H583" s="63" t="n">
        <v>330</v>
      </c>
      <c r="I583" s="22" t="inlineStr">
        <is>
          <t>USD</t>
        </is>
      </c>
      <c r="J583" s="22" t="inlineStr">
        <is>
          <t>M+İ</t>
        </is>
      </c>
      <c r="K583" s="63" t="n">
        <v>371.567661750648</v>
      </c>
      <c r="L583" s="22" t="inlineStr">
        <is>
          <t>4002.A</t>
        </is>
      </c>
      <c r="M583" s="22" t="n">
        <v>3</v>
      </c>
      <c r="N583" s="22" t="inlineStr">
        <is>
          <t>SAGE YHRT tesis binası zayıf akım bütçesi; tüm fiyatlar USD (EUR kalemler 1,15 kur ile çevrilmiş); birim_fiyat=malzeme+işçilik; marka: ESTAP / LANDE; orijinal para: USD</t>
        </is>
      </c>
    </row>
    <row r="584">
      <c r="A584" s="22" t="inlineStr">
        <is>
          <t>R03071</t>
        </is>
      </c>
      <c r="B584" s="22" t="inlineStr">
        <is>
          <t>SAGE-YHRT</t>
        </is>
      </c>
      <c r="C584" s="22" t="inlineStr">
        <is>
          <t>bina</t>
        </is>
      </c>
      <c r="D584" s="22" t="inlineStr">
        <is>
          <t>Yapı Merkezi İDİS bütçe (marka sütunu)</t>
        </is>
      </c>
      <c r="E584" s="22" t="inlineStr">
        <is>
          <t>2018-08-14</t>
        </is>
      </c>
      <c r="F584" s="22" t="inlineStr">
        <is>
          <t>2.1.10.3001 Network İzleme İş İstasyonu</t>
        </is>
      </c>
      <c r="G584" s="22" t="inlineStr">
        <is>
          <t>ea</t>
        </is>
      </c>
      <c r="H584" s="63" t="n">
        <v>4125</v>
      </c>
      <c r="I584" s="22" t="inlineStr">
        <is>
          <t>USD</t>
        </is>
      </c>
      <c r="J584" s="22" t="inlineStr">
        <is>
          <t>M+İ</t>
        </is>
      </c>
      <c r="K584" s="63" t="n">
        <v>4644.5957718831</v>
      </c>
      <c r="L584" s="22" t="inlineStr">
        <is>
          <t>4002.A</t>
        </is>
      </c>
      <c r="M584" s="22" t="n">
        <v>1</v>
      </c>
      <c r="N584" s="22" t="inlineStr">
        <is>
          <t>SAGE YHRT tesis binası zayıf akım bütçesi; tüm fiyatlar USD (EUR kalemler 1,15 kur ile çevrilmiş); birim_fiyat=malzeme+işçilik; marka: DELL / HP; orijinal para: EUR</t>
        </is>
      </c>
    </row>
    <row r="585">
      <c r="A585" s="22" t="inlineStr">
        <is>
          <t>R03077</t>
        </is>
      </c>
      <c r="B585" s="22" t="inlineStr">
        <is>
          <t>SAGE-YHRT</t>
        </is>
      </c>
      <c r="C585" s="22" t="inlineStr">
        <is>
          <t>bina</t>
        </is>
      </c>
      <c r="D585" s="22" t="inlineStr">
        <is>
          <t>Yapı Merkezi İDİS bütçe (marka sütunu)</t>
        </is>
      </c>
      <c r="E585" s="22" t="inlineStr">
        <is>
          <t>2018-08-14</t>
        </is>
      </c>
      <c r="F585" s="22" t="inlineStr">
        <is>
          <t>2.1.10.3007 İnternet Gateway - Firewall Dahil</t>
        </is>
      </c>
      <c r="G585" s="22" t="inlineStr">
        <is>
          <t>Set</t>
        </is>
      </c>
      <c r="H585" s="63" t="n">
        <v>9250</v>
      </c>
      <c r="I585" s="22" t="inlineStr">
        <is>
          <t>USD</t>
        </is>
      </c>
      <c r="J585" s="22" t="inlineStr">
        <is>
          <t>M+İ</t>
        </is>
      </c>
      <c r="K585" s="63" t="n">
        <v>10415.1541551318</v>
      </c>
      <c r="L585" s="22" t="inlineStr">
        <is>
          <t>4002</t>
        </is>
      </c>
      <c r="M585" s="22" t="n">
        <v>1</v>
      </c>
      <c r="N585" s="22" t="inlineStr">
        <is>
          <t>SAGE YHRT tesis binası zayıf akım bütçesi; tüm fiyatlar USD (EUR kalemler 1,15 kur ile çevrilmiş); birim_fiyat=malzeme+işçilik; marka: CISCO / Hirschmann; orijinal para: EUR</t>
        </is>
      </c>
    </row>
    <row r="586">
      <c r="A586" s="22" t="inlineStr">
        <is>
          <t>R03079</t>
        </is>
      </c>
      <c r="B586" s="22" t="inlineStr">
        <is>
          <t>SAGE-YHRT</t>
        </is>
      </c>
      <c r="C586" s="22" t="inlineStr">
        <is>
          <t>bina</t>
        </is>
      </c>
      <c r="D586" s="22" t="inlineStr">
        <is>
          <t>Yapı Merkezi İDİS bütçe (marka sütunu)</t>
        </is>
      </c>
      <c r="E586" s="22" t="inlineStr">
        <is>
          <t>2018-08-14</t>
        </is>
      </c>
      <c r="F586" s="22" t="inlineStr">
        <is>
          <t>2.1.10.4002 Fiber Optik Kablo SM 8 Core</t>
        </is>
      </c>
      <c r="G586" s="22" t="inlineStr">
        <is>
          <t>mt</t>
        </is>
      </c>
      <c r="H586" s="63" t="n">
        <v>6</v>
      </c>
      <c r="I586" s="22" t="inlineStr">
        <is>
          <t>USD</t>
        </is>
      </c>
      <c r="J586" s="22" t="inlineStr">
        <is>
          <t>M+İ</t>
        </is>
      </c>
      <c r="K586" s="63" t="n">
        <v>6.7557756681936</v>
      </c>
      <c r="L586" s="22" t="inlineStr">
        <is>
          <t>4003</t>
        </is>
      </c>
      <c r="M586" s="22" t="n">
        <v>3</v>
      </c>
      <c r="N586" s="22" t="inlineStr">
        <is>
          <t>SAGE YHRT tesis binası zayıf akım bütçesi; tüm fiyatlar USD (EUR kalemler 1,15 kur ile çevrilmiş); birim_fiyat=malzeme+işçilik; marka: HCS / Draka; orijinal para: USD</t>
        </is>
      </c>
    </row>
    <row r="587">
      <c r="A587" s="22" t="inlineStr">
        <is>
          <t>R03080</t>
        </is>
      </c>
      <c r="B587" s="22" t="inlineStr">
        <is>
          <t>SAGE-YHRT</t>
        </is>
      </c>
      <c r="C587" s="22" t="inlineStr">
        <is>
          <t>bina</t>
        </is>
      </c>
      <c r="D587" s="22" t="inlineStr">
        <is>
          <t>Yapı Merkezi İDİS bütçe (marka sütunu)</t>
        </is>
      </c>
      <c r="E587" s="22" t="inlineStr">
        <is>
          <t>2018-08-14</t>
        </is>
      </c>
      <c r="F587" s="22" t="inlineStr">
        <is>
          <t>2.1.10.4003 Patch Kablo Cat6</t>
        </is>
      </c>
      <c r="G587" s="22" t="inlineStr">
        <is>
          <t>ea</t>
        </is>
      </c>
      <c r="H587" s="63" t="n">
        <v>2.2</v>
      </c>
      <c r="I587" s="22" t="inlineStr">
        <is>
          <t>USD</t>
        </is>
      </c>
      <c r="J587" s="22" t="inlineStr">
        <is>
          <t>M+İ</t>
        </is>
      </c>
      <c r="K587" s="63" t="n">
        <v>2.47711774500432</v>
      </c>
      <c r="L587" s="22" t="inlineStr">
        <is>
          <t>4002.A</t>
        </is>
      </c>
      <c r="M587" s="22" t="n">
        <v>6</v>
      </c>
      <c r="N587" s="22" t="inlineStr">
        <is>
          <t>SAGE YHRT tesis binası zayıf akım bütçesi; tüm fiyatlar USD (EUR kalemler 1,15 kur ile çevrilmiş); birim_fiyat=malzeme+işçilik; marka: HCS / Draka; orijinal para: USD</t>
        </is>
      </c>
    </row>
    <row r="588">
      <c r="A588" s="22" t="inlineStr">
        <is>
          <t>R03081</t>
        </is>
      </c>
      <c r="B588" s="22" t="inlineStr">
        <is>
          <t>SAGE-YHRT</t>
        </is>
      </c>
      <c r="C588" s="22" t="inlineStr">
        <is>
          <t>bina</t>
        </is>
      </c>
      <c r="D588" s="22" t="inlineStr">
        <is>
          <t>Yapı Merkezi İDİS bütçe (marka sütunu)</t>
        </is>
      </c>
      <c r="E588" s="22" t="inlineStr">
        <is>
          <t>2018-08-14</t>
        </is>
      </c>
      <c r="F588" s="22" t="inlineStr">
        <is>
          <t>2.1.10.4004 Patch Kablo LC/LC SM Fiber</t>
        </is>
      </c>
      <c r="G588" s="22" t="inlineStr">
        <is>
          <t>ea</t>
        </is>
      </c>
      <c r="H588" s="63" t="n">
        <v>5</v>
      </c>
      <c r="I588" s="22" t="inlineStr">
        <is>
          <t>USD</t>
        </is>
      </c>
      <c r="J588" s="22" t="inlineStr">
        <is>
          <t>M+İ</t>
        </is>
      </c>
      <c r="K588" s="63" t="n">
        <v>5.629813056828</v>
      </c>
      <c r="L588" s="22" t="inlineStr">
        <is>
          <t>4003</t>
        </is>
      </c>
      <c r="M588" s="22" t="n">
        <v>6</v>
      </c>
      <c r="N588" s="22" t="inlineStr">
        <is>
          <t>SAGE YHRT tesis binası zayıf akım bütçesi; tüm fiyatlar USD (EUR kalemler 1,15 kur ile çevrilmiş); birim_fiyat=malzeme+işçilik; marka: HCS / Draka; orijinal para: USD</t>
        </is>
      </c>
    </row>
    <row r="589">
      <c r="A589" s="22" t="inlineStr">
        <is>
          <t>R03083</t>
        </is>
      </c>
      <c r="B589" s="22" t="inlineStr">
        <is>
          <t>SAGE-YHRT</t>
        </is>
      </c>
      <c r="C589" s="22" t="inlineStr">
        <is>
          <t>bina</t>
        </is>
      </c>
      <c r="D589" s="22" t="inlineStr">
        <is>
          <t>Yapı Merkezi İDİS bütçe (marka sütunu)</t>
        </is>
      </c>
      <c r="E589" s="22" t="inlineStr">
        <is>
          <t>2018-08-14</t>
        </is>
      </c>
      <c r="F589" s="22" t="inlineStr">
        <is>
          <t>2.1.10.4006 Fiber Sonlandırma</t>
        </is>
      </c>
      <c r="G589" s="22" t="inlineStr">
        <is>
          <t>ea</t>
        </is>
      </c>
      <c r="H589" s="63" t="n">
        <v>7.5</v>
      </c>
      <c r="I589" s="22" t="inlineStr">
        <is>
          <t>USD</t>
        </is>
      </c>
      <c r="J589" s="22" t="inlineStr">
        <is>
          <t>M+İ</t>
        </is>
      </c>
      <c r="K589" s="63" t="n">
        <v>8.444719585242</v>
      </c>
      <c r="L589" s="22" t="inlineStr">
        <is>
          <t>4003</t>
        </is>
      </c>
      <c r="M589" s="22" t="n">
        <v>7</v>
      </c>
      <c r="N589" s="22" t="inlineStr">
        <is>
          <t>SAGE YHRT tesis binası zayıf akım bütçesi; tüm fiyatlar USD (EUR kalemler 1,15 kur ile çevrilmiş); birim_fiyat=malzeme+işçilik; marka: OEM; orijinal para: USD</t>
        </is>
      </c>
    </row>
    <row r="590">
      <c r="A590" s="22" t="inlineStr">
        <is>
          <t>R03085</t>
        </is>
      </c>
      <c r="B590" s="22" t="inlineStr">
        <is>
          <t>SAGE-YHRT</t>
        </is>
      </c>
      <c r="C590" s="22" t="inlineStr">
        <is>
          <t>bina</t>
        </is>
      </c>
      <c r="D590" s="22" t="inlineStr">
        <is>
          <t>Yapı Merkezi İDİS bütçe (marka sütunu)</t>
        </is>
      </c>
      <c r="E590" s="22" t="inlineStr">
        <is>
          <t>2018-08-14</t>
        </is>
      </c>
      <c r="F590" s="22" t="inlineStr">
        <is>
          <t>2.1.11.1001 Asma Tavan Tipi Hoparlör</t>
        </is>
      </c>
      <c r="G590" s="22" t="inlineStr">
        <is>
          <t>ea</t>
        </is>
      </c>
      <c r="H590" s="63" t="n">
        <v>46.4</v>
      </c>
      <c r="I590" s="22" t="inlineStr">
        <is>
          <t>USD</t>
        </is>
      </c>
      <c r="J590" s="22" t="inlineStr">
        <is>
          <t>M+İ</t>
        </is>
      </c>
      <c r="K590" s="63" t="n">
        <v>52.2446651673638</v>
      </c>
      <c r="L590" s="22" t="inlineStr">
        <is>
          <t>4008.A</t>
        </is>
      </c>
      <c r="M590" s="22" t="n">
        <v>1</v>
      </c>
      <c r="N590" s="22" t="inlineStr">
        <is>
          <t>SAGE YHRT tesis binası zayıf akım bütçesi; tüm fiyatlar USD (EUR kalemler 1,15 kur ile çevrilmiş); birim_fiyat=malzeme+işçilik; marka: Bosch / TOA; orijinal para: EUR</t>
        </is>
      </c>
    </row>
    <row r="591">
      <c r="A591" s="22" t="inlineStr">
        <is>
          <t>R03094</t>
        </is>
      </c>
      <c r="B591" s="22" t="inlineStr">
        <is>
          <t>SAGE-YHRT</t>
        </is>
      </c>
      <c r="C591" s="22" t="inlineStr">
        <is>
          <t>bina</t>
        </is>
      </c>
      <c r="D591" s="22" t="inlineStr">
        <is>
          <t>Yapı Merkezi İDİS bütçe (marka sütunu)</t>
        </is>
      </c>
      <c r="E591" s="22" t="inlineStr">
        <is>
          <t>2018-08-14</t>
        </is>
      </c>
      <c r="F591" s="22" t="inlineStr">
        <is>
          <t>2.1.11.2006 Bilgisayarlı Çağrı Sunucusu - Lisanslar Dahil</t>
        </is>
      </c>
      <c r="G591" s="22" t="inlineStr">
        <is>
          <t>Set</t>
        </is>
      </c>
      <c r="H591" s="63" t="n">
        <v>4930</v>
      </c>
      <c r="I591" s="22" t="inlineStr">
        <is>
          <t>USD</t>
        </is>
      </c>
      <c r="J591" s="22" t="inlineStr">
        <is>
          <t>M+İ</t>
        </is>
      </c>
      <c r="K591" s="63" t="n">
        <v>5550.99567403241</v>
      </c>
      <c r="L591" s="22" t="inlineStr">
        <is>
          <t>4008.H</t>
        </is>
      </c>
      <c r="M591" s="22" t="n">
        <v>1</v>
      </c>
      <c r="N591" s="22" t="inlineStr">
        <is>
          <t>SAGE YHRT tesis binası zayıf akım bütçesi; tüm fiyatlar USD (EUR kalemler 1,15 kur ile çevrilmiş); birim_fiyat=malzeme+işçilik; marka: Bosch / TOA; orijinal para: EUR</t>
        </is>
      </c>
    </row>
    <row r="592">
      <c r="A592" s="22" t="inlineStr">
        <is>
          <t>R03096</t>
        </is>
      </c>
      <c r="B592" s="22" t="inlineStr">
        <is>
          <t>SAGE-YHRT</t>
        </is>
      </c>
      <c r="C592" s="22" t="inlineStr">
        <is>
          <t>bina</t>
        </is>
      </c>
      <c r="D592" s="22" t="inlineStr">
        <is>
          <t>Yapı Merkezi İDİS bütçe (marka sütunu)</t>
        </is>
      </c>
      <c r="E592" s="22" t="inlineStr">
        <is>
          <t>2018-08-14</t>
        </is>
      </c>
      <c r="F592" s="22" t="inlineStr">
        <is>
          <t>2.1.11.3001 1x2x1,5mm2+0,8mm JE-H(st)H Bd FE180 PH120</t>
        </is>
      </c>
      <c r="G592" s="22" t="inlineStr">
        <is>
          <t>mt</t>
        </is>
      </c>
      <c r="H592" s="63" t="n">
        <v>2.3</v>
      </c>
      <c r="I592" s="22" t="inlineStr">
        <is>
          <t>USD</t>
        </is>
      </c>
      <c r="J592" s="22" t="inlineStr">
        <is>
          <t>M+İ</t>
        </is>
      </c>
      <c r="K592" s="63" t="n">
        <v>2.58971400614088</v>
      </c>
      <c r="L592" s="22" t="inlineStr">
        <is>
          <t>4008.A</t>
        </is>
      </c>
      <c r="M592" s="22" t="n">
        <v>21</v>
      </c>
      <c r="N592" s="22" t="inlineStr">
        <is>
          <t>SAGE YHRT tesis binası zayıf akım bütçesi; tüm fiyatlar USD (EUR kalemler 1,15 kur ile çevrilmiş); birim_fiyat=malzeme+işçilik; marka: Erse / 3M; orijinal para: USD</t>
        </is>
      </c>
    </row>
    <row r="593">
      <c r="A593" s="22" t="inlineStr">
        <is>
          <t>R03097</t>
        </is>
      </c>
      <c r="B593" s="22" t="inlineStr">
        <is>
          <t>SAGE-YHRT</t>
        </is>
      </c>
      <c r="C593" s="22" t="inlineStr">
        <is>
          <t>bina</t>
        </is>
      </c>
      <c r="D593" s="22" t="inlineStr">
        <is>
          <t>Yapı Merkezi İDİS bütçe (marka sütunu)</t>
        </is>
      </c>
      <c r="E593" s="22" t="inlineStr">
        <is>
          <t>2018-08-14</t>
        </is>
      </c>
      <c r="F593" s="22" t="inlineStr">
        <is>
          <t>2.1.11.3002 Q16 Rijit Boru ( Tüm aksesuarları dahil )</t>
        </is>
      </c>
      <c r="G593" s="22" t="inlineStr">
        <is>
          <t>mt</t>
        </is>
      </c>
      <c r="H593" s="63" t="n">
        <v>1.5</v>
      </c>
      <c r="I593" s="22" t="inlineStr">
        <is>
          <t>USD</t>
        </is>
      </c>
      <c r="J593" s="22" t="inlineStr">
        <is>
          <t>M+İ</t>
        </is>
      </c>
      <c r="K593" s="63" t="n">
        <v>1.6889439170484</v>
      </c>
      <c r="L593" s="22" t="inlineStr">
        <is>
          <t>4008</t>
        </is>
      </c>
      <c r="M593" s="22" t="n">
        <v>1</v>
      </c>
      <c r="N593" s="22" t="inlineStr">
        <is>
          <t>SAGE YHRT tesis binası zayıf akım bütçesi; tüm fiyatlar USD (EUR kalemler 1,15 kur ile çevrilmiş); birim_fiyat=malzeme+işçilik; marka: Mutlusan / ENSMET; orijinal para: USD</t>
        </is>
      </c>
    </row>
    <row r="594">
      <c r="A594" s="22" t="inlineStr">
        <is>
          <t>R03102</t>
        </is>
      </c>
      <c r="B594" s="22" t="inlineStr">
        <is>
          <t>SamsunLRT</t>
        </is>
      </c>
      <c r="C594" s="22" t="inlineStr">
        <is>
          <t>LRT</t>
        </is>
      </c>
      <c r="D594" s="22" t="inlineStr">
        <is>
          <t>USKOM (klasör adı)</t>
        </is>
      </c>
      <c r="E594" s="22" t="inlineStr">
        <is>
          <t>2008-03-17</t>
        </is>
      </c>
      <c r="F594" s="22" t="inlineStr">
        <is>
          <t>Computer for station and SW license</t>
        </is>
      </c>
      <c r="G594" s="22" t="inlineStr">
        <is>
          <t>adet</t>
        </is>
      </c>
      <c r="H594" s="63" t="n">
        <v>5444</v>
      </c>
      <c r="I594" s="22" t="inlineStr">
        <is>
          <t>EUR</t>
        </is>
      </c>
      <c r="J594" s="22" t="inlineStr"/>
      <c r="K594" s="63" t="n">
        <v>7999.93883520352</v>
      </c>
      <c r="L594" s="22" t="inlineStr">
        <is>
          <t>4019.C</t>
        </is>
      </c>
      <c r="M594" s="22" t="n">
        <v>1</v>
      </c>
      <c r="N594" s="22" t="inlineStr">
        <is>
          <t>Samsun HRS 20 istasyon; manyetik bilet sistemi; tarih dosya adından</t>
        </is>
      </c>
    </row>
    <row r="595">
      <c r="A595" s="22" t="inlineStr">
        <is>
          <t>R03105</t>
        </is>
      </c>
      <c r="B595" s="22" t="inlineStr">
        <is>
          <t>SamsunLRT</t>
        </is>
      </c>
      <c r="C595" s="22" t="inlineStr">
        <is>
          <t>LRT</t>
        </is>
      </c>
      <c r="D595" s="22" t="inlineStr">
        <is>
          <t>USKOM (klasör adı)</t>
        </is>
      </c>
      <c r="E595" s="22" t="inlineStr">
        <is>
          <t>2008-03-17</t>
        </is>
      </c>
      <c r="F595" s="22" t="inlineStr">
        <is>
          <t>Portable computer for data collection</t>
        </is>
      </c>
      <c r="G595" s="22" t="inlineStr">
        <is>
          <t>adet</t>
        </is>
      </c>
      <c r="H595" s="63" t="n">
        <v>3217</v>
      </c>
      <c r="I595" s="22" t="inlineStr">
        <is>
          <t>EUR</t>
        </is>
      </c>
      <c r="J595" s="22" t="inlineStr"/>
      <c r="K595" s="63" t="n">
        <v>4727.3701750275</v>
      </c>
      <c r="L595" s="22" t="inlineStr">
        <is>
          <t>4019.C</t>
        </is>
      </c>
      <c r="M595" s="22" t="n">
        <v>2</v>
      </c>
      <c r="N595" s="22" t="inlineStr"/>
    </row>
    <row r="596">
      <c r="A596" s="22" t="inlineStr">
        <is>
          <t>R03129</t>
        </is>
      </c>
      <c r="B596" s="22" t="inlineStr">
        <is>
          <t>SamsunLRT</t>
        </is>
      </c>
      <c r="C596" s="22" t="inlineStr">
        <is>
          <t>LRT</t>
        </is>
      </c>
      <c r="D596" s="22" t="inlineStr">
        <is>
          <t>Uskom</t>
        </is>
      </c>
      <c r="E596" s="22" t="inlineStr">
        <is>
          <t>2008-03-17</t>
        </is>
      </c>
      <c r="F596" s="22" t="inlineStr">
        <is>
          <t>IONOS NMS P5.xx lisansı, 1 sunucu ve 50 ye kadar şebeke elemanı (NE) için</t>
        </is>
      </c>
      <c r="G596" s="22" t="inlineStr">
        <is>
          <t>adet</t>
        </is>
      </c>
      <c r="H596" s="63" t="n">
        <v>15086</v>
      </c>
      <c r="I596" s="22" t="inlineStr">
        <is>
          <t>EUR</t>
        </is>
      </c>
      <c r="J596" s="22" t="inlineStr"/>
      <c r="K596" s="63" t="n">
        <v>22168.8238919692</v>
      </c>
      <c r="L596" s="22" t="inlineStr">
        <is>
          <t>4002.J</t>
        </is>
      </c>
      <c r="M596" s="22" t="n">
        <v>1</v>
      </c>
      <c r="N596" s="22" t="inlineStr">
        <is>
          <t>Samsun LRT (yüzeyde, 20 durak, 13 trafo merkezi, TCC/depo); 2008 fiyatı;  [sayfa: SDH ve Optik Kablo Sistemi]</t>
        </is>
      </c>
    </row>
    <row r="597">
      <c r="A597" s="22" t="inlineStr">
        <is>
          <t>R03134</t>
        </is>
      </c>
      <c r="B597" s="22" t="inlineStr">
        <is>
          <t>SamsunLRT</t>
        </is>
      </c>
      <c r="C597" s="22" t="inlineStr">
        <is>
          <t>LRT</t>
        </is>
      </c>
      <c r="D597" s="22" t="inlineStr">
        <is>
          <t>Uskom</t>
        </is>
      </c>
      <c r="E597" s="22" t="inlineStr">
        <is>
          <t>2008-03-17</t>
        </is>
      </c>
      <c r="F597" s="22" t="inlineStr">
        <is>
          <t>Optik dağıtım kutusu (ODF) 2 adet 12 fiberli kablo monte terminasyonu için</t>
        </is>
      </c>
      <c r="G597" s="22" t="inlineStr">
        <is>
          <t>adet</t>
        </is>
      </c>
      <c r="H597" s="63" t="n">
        <v>325</v>
      </c>
      <c r="I597" s="22" t="inlineStr">
        <is>
          <t>EUR</t>
        </is>
      </c>
      <c r="J597" s="22" t="inlineStr"/>
      <c r="K597" s="63" t="n">
        <v>477.586355885589</v>
      </c>
      <c r="L597" s="22" t="inlineStr">
        <is>
          <t>4003</t>
        </is>
      </c>
      <c r="M597" s="22" t="n">
        <v>7</v>
      </c>
      <c r="N597" s="22" t="inlineStr">
        <is>
          <t>Samsun LRT (yüzeyde, 20 durak, 13 trafo merkezi, TCC/depo); 2008 fiyatı;  [sayfa: SDH ve Optik Kablo Sistemi]</t>
        </is>
      </c>
    </row>
    <row r="598">
      <c r="A598" s="22" t="inlineStr">
        <is>
          <t>R03154</t>
        </is>
      </c>
      <c r="B598" s="22" t="inlineStr">
        <is>
          <t>SamsunLRT</t>
        </is>
      </c>
      <c r="C598" s="22" t="inlineStr">
        <is>
          <t>LRT</t>
        </is>
      </c>
      <c r="D598" s="22" t="inlineStr">
        <is>
          <t>Uskom</t>
        </is>
      </c>
      <c r="E598" s="22" t="inlineStr">
        <is>
          <t>2008-03-17</t>
        </is>
      </c>
      <c r="F598" s="22" t="inlineStr">
        <is>
          <t>Tetra 2. Baz İstasyonu</t>
        </is>
      </c>
      <c r="G598" s="22" t="inlineStr">
        <is>
          <t>adet</t>
        </is>
      </c>
      <c r="H598" s="63" t="n">
        <v>87218</v>
      </c>
      <c r="I598" s="22" t="inlineStr">
        <is>
          <t>EUR</t>
        </is>
      </c>
      <c r="J598" s="22" t="inlineStr"/>
      <c r="K598" s="63" t="n">
        <v>128166.543961936</v>
      </c>
      <c r="L598" s="22" t="inlineStr">
        <is>
          <t>4006.A</t>
        </is>
      </c>
      <c r="M598" s="22" t="n">
        <v>1</v>
      </c>
      <c r="N598" s="22" t="inlineStr">
        <is>
          <t>Samsun LRT (yüzeyde, 20 durak, 13 trafo merkezi, TCC/depo); 2008 fiyatı;  [sayfa: Telsiz Sistemi]</t>
        </is>
      </c>
    </row>
    <row r="599">
      <c r="A599" s="22" t="inlineStr">
        <is>
          <t>R03155</t>
        </is>
      </c>
      <c r="B599" s="22" t="inlineStr">
        <is>
          <t>SamsunLRT</t>
        </is>
      </c>
      <c r="C599" s="22" t="inlineStr">
        <is>
          <t>LRT</t>
        </is>
      </c>
      <c r="D599" s="22" t="inlineStr">
        <is>
          <t>Uskom</t>
        </is>
      </c>
      <c r="E599" s="22" t="inlineStr">
        <is>
          <t>2008-03-17</t>
        </is>
      </c>
      <c r="F599" s="22" t="inlineStr">
        <is>
          <t>Uskom Trenüstü telsiz ekipmanı : 1 adet GPS li Tetra telsiz ekipmanı, 1adet düşük profilli Tetra+GPS anteni, kontrol ünitesi,2 adet display ünitesi, PA amfisi için audio çıkış</t>
        </is>
      </c>
      <c r="G599" s="22" t="inlineStr">
        <is>
          <t>adet</t>
        </is>
      </c>
      <c r="H599" s="63" t="n">
        <v>2412</v>
      </c>
      <c r="I599" s="22" t="inlineStr">
        <is>
          <t>EUR</t>
        </is>
      </c>
      <c r="J599" s="22" t="inlineStr"/>
      <c r="K599" s="63" t="n">
        <v>3544.42550891089</v>
      </c>
      <c r="L599" s="22" t="inlineStr">
        <is>
          <t>4006.A</t>
        </is>
      </c>
      <c r="M599" s="22" t="n">
        <v>1</v>
      </c>
      <c r="N599" s="22" t="inlineStr">
        <is>
          <t>Samsun LRT (yüzeyde, 20 durak, 13 trafo merkezi, TCC/depo); 2008 fiyatı;  [sayfa: Telsiz Sistemi]</t>
        </is>
      </c>
    </row>
    <row r="600">
      <c r="A600" s="22" t="inlineStr">
        <is>
          <t>R03156</t>
        </is>
      </c>
      <c r="B600" s="22" t="inlineStr">
        <is>
          <t>SamsunLRT</t>
        </is>
      </c>
      <c r="C600" s="22" t="inlineStr">
        <is>
          <t>LRT</t>
        </is>
      </c>
      <c r="D600" s="22" t="inlineStr">
        <is>
          <t>Uskom</t>
        </is>
      </c>
      <c r="E600" s="22" t="inlineStr">
        <is>
          <t>2008-03-17</t>
        </is>
      </c>
      <c r="F600" s="22" t="inlineStr">
        <is>
          <t>El telsizi (1 Watt) şarj cihazı ile birlikte (GPS opsiyonu yoktur)</t>
        </is>
      </c>
      <c r="G600" s="22" t="inlineStr">
        <is>
          <t>adet</t>
        </is>
      </c>
      <c r="H600" s="63" t="n">
        <v>588</v>
      </c>
      <c r="I600" s="22" t="inlineStr">
        <is>
          <t>EUR</t>
        </is>
      </c>
      <c r="J600" s="22" t="inlineStr"/>
      <c r="K600" s="63" t="n">
        <v>864.063930033003</v>
      </c>
      <c r="L600" s="22" t="inlineStr">
        <is>
          <t>4006.A</t>
        </is>
      </c>
      <c r="M600" s="22" t="n">
        <v>1</v>
      </c>
      <c r="N600" s="22" t="inlineStr">
        <is>
          <t>Samsun LRT (yüzeyde, 20 durak, 13 trafo merkezi, TCC/depo); 2008 fiyatı;  [sayfa: Telsiz Sistemi]</t>
        </is>
      </c>
    </row>
    <row r="601">
      <c r="A601" s="22" t="inlineStr">
        <is>
          <t>R03160</t>
        </is>
      </c>
      <c r="B601" s="22" t="inlineStr">
        <is>
          <t>SamsunLRT</t>
        </is>
      </c>
      <c r="C601" s="22" t="inlineStr">
        <is>
          <t>LRT</t>
        </is>
      </c>
      <c r="D601" s="22" t="inlineStr">
        <is>
          <t>Uskom</t>
        </is>
      </c>
      <c r="E601" s="22" t="inlineStr">
        <is>
          <t>2008-03-17</t>
        </is>
      </c>
      <c r="F601" s="22" t="inlineStr">
        <is>
          <t>TNX-EL TetraNode eXchange Entry Level endüstriyel sunucu</t>
        </is>
      </c>
      <c r="G601" s="22" t="inlineStr">
        <is>
          <t>adet</t>
        </is>
      </c>
      <c r="H601" s="63" t="n">
        <v>1873</v>
      </c>
      <c r="I601" s="22" t="inlineStr">
        <is>
          <t>EUR</t>
        </is>
      </c>
      <c r="J601" s="22" t="inlineStr"/>
      <c r="K601" s="63" t="n">
        <v>2752.36690638064</v>
      </c>
      <c r="L601" s="22" t="inlineStr">
        <is>
          <t>4006</t>
        </is>
      </c>
      <c r="M601" s="22" t="n">
        <v>1</v>
      </c>
      <c r="N601" s="22" t="inlineStr">
        <is>
          <t>Samsun LRT (yüzeyde, 20 durak, 13 trafo merkezi, TCC/depo); 2008 fiyatı;  [sayfa: Telsiz Sistemi]</t>
        </is>
      </c>
    </row>
    <row r="602">
      <c r="A602" s="22" t="inlineStr">
        <is>
          <t>R03164</t>
        </is>
      </c>
      <c r="B602" s="22" t="inlineStr">
        <is>
          <t>SamsunLRT</t>
        </is>
      </c>
      <c r="C602" s="22" t="inlineStr">
        <is>
          <t>LRT</t>
        </is>
      </c>
      <c r="D602" s="22" t="inlineStr">
        <is>
          <t>Uskom</t>
        </is>
      </c>
      <c r="E602" s="22" t="inlineStr">
        <is>
          <t>2008-03-17</t>
        </is>
      </c>
      <c r="F602" s="22" t="inlineStr">
        <is>
          <t>RIO TEP-RIO 244</t>
        </is>
      </c>
      <c r="G602" s="22" t="inlineStr">
        <is>
          <t>adet</t>
        </is>
      </c>
      <c r="H602" s="63" t="n">
        <v>256</v>
      </c>
      <c r="I602" s="22" t="inlineStr">
        <is>
          <t>EUR</t>
        </is>
      </c>
      <c r="J602" s="22" t="inlineStr"/>
      <c r="K602" s="63" t="n">
        <v>376.191098789879</v>
      </c>
      <c r="L602" s="22" t="inlineStr">
        <is>
          <t>4006</t>
        </is>
      </c>
      <c r="M602" s="22" t="n">
        <v>2</v>
      </c>
      <c r="N602" s="22" t="inlineStr">
        <is>
          <t>Samsun LRT (yüzeyde, 20 durak, 13 trafo merkezi, TCC/depo); 2008 fiyatı;  [sayfa: Telsiz Sistemi]</t>
        </is>
      </c>
    </row>
    <row r="603">
      <c r="A603" s="22" t="inlineStr">
        <is>
          <t>R03172</t>
        </is>
      </c>
      <c r="B603" s="22" t="inlineStr">
        <is>
          <t>SamsunLRT</t>
        </is>
      </c>
      <c r="C603" s="22" t="inlineStr">
        <is>
          <t>LRT</t>
        </is>
      </c>
      <c r="D603" s="22" t="inlineStr">
        <is>
          <t>Uskom</t>
        </is>
      </c>
      <c r="E603" s="22" t="inlineStr">
        <is>
          <t>2008-03-17</t>
        </is>
      </c>
      <c r="F603" s="22" t="inlineStr">
        <is>
          <t>Renkli lazer yazıcı</t>
        </is>
      </c>
      <c r="G603" s="22" t="inlineStr">
        <is>
          <t>adet</t>
        </is>
      </c>
      <c r="H603" s="63" t="n">
        <v>1875</v>
      </c>
      <c r="I603" s="22" t="inlineStr">
        <is>
          <t>EUR</t>
        </is>
      </c>
      <c r="J603" s="22" t="inlineStr"/>
      <c r="K603" s="63" t="n">
        <v>2755.30589933993</v>
      </c>
      <c r="L603" s="22" t="inlineStr">
        <is>
          <t>4016</t>
        </is>
      </c>
      <c r="M603" s="22" t="n">
        <v>1</v>
      </c>
      <c r="N603" s="22" t="inlineStr">
        <is>
          <t>Samsun LRT (yüzeyde, 20 durak, 13 trafo merkezi, TCC/depo); 2008 fiyatı;  [sayfa: SCADA Sistemi]</t>
        </is>
      </c>
    </row>
    <row r="604">
      <c r="A604" s="22" t="inlineStr">
        <is>
          <t>R03203</t>
        </is>
      </c>
      <c r="B604" s="22" t="inlineStr">
        <is>
          <t>SamsunLRT</t>
        </is>
      </c>
      <c r="C604" s="22" t="inlineStr">
        <is>
          <t>LRT</t>
        </is>
      </c>
      <c r="D604" s="22" t="inlineStr">
        <is>
          <t>Uskom</t>
        </is>
      </c>
      <c r="E604" s="22" t="inlineStr">
        <is>
          <t>2008-03-17</t>
        </is>
      </c>
      <c r="F604" s="22" t="inlineStr">
        <is>
          <t>Sistem kontrol ünitesi,  3-D  joystick, PTZ için RS485/Manchester port, RS232/Ethernet bağlantı portları</t>
        </is>
      </c>
      <c r="G604" s="22" t="inlineStr">
        <is>
          <t>adet</t>
        </is>
      </c>
      <c r="H604" s="63" t="n">
        <v>808</v>
      </c>
      <c r="I604" s="22" t="inlineStr">
        <is>
          <t>EUR</t>
        </is>
      </c>
      <c r="J604" s="22" t="inlineStr"/>
      <c r="K604" s="63" t="n">
        <v>1187.35315555556</v>
      </c>
      <c r="L604" s="22" t="inlineStr">
        <is>
          <t>4010.J</t>
        </is>
      </c>
      <c r="M604" s="22" t="n">
        <v>1</v>
      </c>
      <c r="N604" s="22" t="inlineStr">
        <is>
          <t>Samsun LRT (yüzeyde, 20 durak, 13 trafo merkezi, TCC/depo); 2008 fiyatı;  [sayfa: CCTV Sistemi]</t>
        </is>
      </c>
    </row>
    <row r="605">
      <c r="A605" s="22" t="inlineStr">
        <is>
          <t>R03224</t>
        </is>
      </c>
      <c r="B605" s="22" t="inlineStr">
        <is>
          <t>SamsunLRT</t>
        </is>
      </c>
      <c r="C605" s="22" t="inlineStr">
        <is>
          <t>LRT</t>
        </is>
      </c>
      <c r="D605" s="22" t="inlineStr">
        <is>
          <t>Uskom</t>
        </is>
      </c>
      <c r="E605" s="22" t="inlineStr">
        <is>
          <t>2008-03-17</t>
        </is>
      </c>
      <c r="F605" s="22" t="inlineStr">
        <is>
          <t>Harici Dome kamera, PAL/EIA, &gt;480 TVL, 23X optik, 12X sayısal, gündüz(renkli, 0.1 lux)/gece(siyah/beyaz, 0.01 lux), 24VAC</t>
        </is>
      </c>
      <c r="G605" s="22" t="inlineStr">
        <is>
          <t>adet</t>
        </is>
      </c>
      <c r="H605" s="63" t="n">
        <v>1351</v>
      </c>
      <c r="I605" s="22" t="inlineStr">
        <is>
          <t>EUR</t>
        </is>
      </c>
      <c r="J605" s="22" t="inlineStr"/>
      <c r="K605" s="63" t="n">
        <v>1985.2897440044</v>
      </c>
      <c r="L605" s="22" t="inlineStr">
        <is>
          <t>4010.A</t>
        </is>
      </c>
      <c r="M605" s="22" t="n">
        <v>1</v>
      </c>
      <c r="N605" s="22" t="inlineStr">
        <is>
          <t>Samsun LRT (yüzeyde, 20 durak, 13 trafo merkezi, TCC/depo); 2008 fiyatı;  [sayfa: CCTV Sistemi]</t>
        </is>
      </c>
    </row>
    <row r="606">
      <c r="A606" s="22" t="inlineStr">
        <is>
          <t>R03268</t>
        </is>
      </c>
      <c r="B606" s="22" t="inlineStr">
        <is>
          <t>SamsunLRT</t>
        </is>
      </c>
      <c r="C606" s="22" t="inlineStr">
        <is>
          <t>LRT</t>
        </is>
      </c>
      <c r="D606" s="22" t="inlineStr">
        <is>
          <t>Uskom</t>
        </is>
      </c>
      <c r="E606" s="22" t="inlineStr">
        <is>
          <t>2008-03-17</t>
        </is>
      </c>
      <c r="F606" s="22" t="inlineStr">
        <is>
          <t>OP2 tipi telefon operatör konsolu</t>
        </is>
      </c>
      <c r="G606" s="22" t="inlineStr">
        <is>
          <t>adet</t>
        </is>
      </c>
      <c r="H606" s="63" t="n">
        <v>780</v>
      </c>
      <c r="I606" s="22" t="inlineStr">
        <is>
          <t>EUR</t>
        </is>
      </c>
      <c r="J606" s="22" t="inlineStr"/>
      <c r="K606" s="63" t="n">
        <v>1146.20725412541</v>
      </c>
      <c r="L606" s="22" t="inlineStr">
        <is>
          <t>4005</t>
        </is>
      </c>
      <c r="M606" s="22" t="n">
        <v>1</v>
      </c>
      <c r="N606" s="22" t="inlineStr">
        <is>
          <t>Samsun LRT (yüzeyde, 20 durak, 13 trafo merkezi, TCC/depo); 2008 fiyatı;  [sayfa: Telefon Sistemi]</t>
        </is>
      </c>
    </row>
    <row r="607">
      <c r="A607" s="22" t="inlineStr">
        <is>
          <t>R03277</t>
        </is>
      </c>
      <c r="B607" s="22" t="inlineStr">
        <is>
          <t>Tepekoy_Selcuk_II_Hat_Yapim</t>
        </is>
      </c>
      <c r="C607" s="22" t="inlineStr">
        <is>
          <t>anahat</t>
        </is>
      </c>
      <c r="D607" s="22" t="inlineStr">
        <is>
          <t>Huawei</t>
        </is>
      </c>
      <c r="E607" s="22" t="inlineStr">
        <is>
          <t>2013-07-19</t>
        </is>
      </c>
      <c r="F607" s="22" t="inlineStr">
        <is>
          <t>SİNYAL 08.01.01 Fiber Optik Kablo Üfleme ve Döşeme</t>
        </is>
      </c>
      <c r="G607" s="22" t="inlineStr">
        <is>
          <t>Metre</t>
        </is>
      </c>
      <c r="H607" s="63" t="n">
        <v>1.18</v>
      </c>
      <c r="I607" s="22" t="inlineStr">
        <is>
          <t>USD</t>
        </is>
      </c>
      <c r="J607" s="22" t="inlineStr"/>
      <c r="K607" s="63" t="n">
        <v>1.21079226972835</v>
      </c>
      <c r="L607" s="22" t="inlineStr">
        <is>
          <t>4003</t>
        </is>
      </c>
      <c r="M607" s="22" t="n">
        <v>4</v>
      </c>
      <c r="N607" s="22" t="inlineStr">
        <is>
          <t>Tepeköy-Selçuk 2. hat (anahat, ~26 km; HDPE 25,5 km); ihale 2013/54548; KDV hariç; detay sayfası POZ NO 08</t>
        </is>
      </c>
    </row>
    <row r="608">
      <c r="A608" s="22" t="inlineStr">
        <is>
          <t>R03405</t>
        </is>
      </c>
      <c r="B608" s="22" t="inlineStr">
        <is>
          <t>Usk_Umr_Cekmekoy_Metro_Ins_ve_EM</t>
        </is>
      </c>
      <c r="C608" s="22" t="inlineStr">
        <is>
          <t>metro</t>
        </is>
      </c>
      <c r="D608" s="22" t="inlineStr">
        <is>
          <t>Siemens Mobility</t>
        </is>
      </c>
      <c r="E608" s="22" t="inlineStr">
        <is>
          <t>2011-08-12</t>
        </is>
      </c>
      <c r="F608" s="22" t="inlineStr">
        <is>
          <t>İstasyon PCS-RTU (enerji) (her istasyon için 1, 17 lokasyon)</t>
        </is>
      </c>
      <c r="G608" s="22" t="inlineStr">
        <is>
          <t>adet</t>
        </is>
      </c>
      <c r="H608" s="63" t="n">
        <v>23576.23</v>
      </c>
      <c r="I608" s="22" t="inlineStr">
        <is>
          <t>EUR</t>
        </is>
      </c>
      <c r="J608" s="22" t="inlineStr"/>
      <c r="K608" s="63" t="n">
        <v>32972.9609176306</v>
      </c>
      <c r="L608" s="22" t="inlineStr">
        <is>
          <t>4016.A</t>
        </is>
      </c>
      <c r="M608" s="22" t="n">
        <v>1</v>
      </c>
      <c r="N608" s="22" t="inlineStr">
        <is>
          <t xml:space="preserve">Üsküdar-Çekmeköy metro SCADA (16 yeraltı ist. + depo); KDV hariç; </t>
        </is>
      </c>
    </row>
    <row r="609">
      <c r="A609" s="22" t="inlineStr">
        <is>
          <t>R03589</t>
        </is>
      </c>
      <c r="B609" s="22" t="inlineStr">
        <is>
          <t>Baskentray</t>
        </is>
      </c>
      <c r="C609" s="22" t="inlineStr">
        <is>
          <t>banliyo</t>
        </is>
      </c>
      <c r="D609" s="22" t="inlineStr">
        <is>
          <t>Usluel Enerji</t>
        </is>
      </c>
      <c r="E609" s="22" t="inlineStr">
        <is>
          <t>2012-04-20</t>
        </is>
      </c>
      <c r="F609" s="22" t="inlineStr">
        <is>
          <t>21.2 ANKRAJ DİREĞİ İÇİN ÇİFTLİ LENTE</t>
        </is>
      </c>
      <c r="G609" s="22" t="inlineStr">
        <is>
          <t>ADET</t>
        </is>
      </c>
      <c r="H609" s="63" t="n">
        <v>843</v>
      </c>
      <c r="I609" s="22" t="inlineStr">
        <is>
          <t>TRY</t>
        </is>
      </c>
      <c r="J609" s="22" t="inlineStr">
        <is>
          <t>M+İ</t>
        </is>
      </c>
      <c r="K609" s="63" t="n">
        <v>484.687248909207</v>
      </c>
      <c r="L609" s="22" t="inlineStr">
        <is>
          <t>2012.A</t>
        </is>
      </c>
      <c r="M609" s="22" t="n">
        <v>2</v>
      </c>
      <c r="N609" s="22" t="inlineStr">
        <is>
          <t>Başkentray Sincan-Ankara-Kayaş banliyö (25 kV AC) katener yenileme; TCDD KT birim fiyat tarifleri; KDV hariç; direk ve ankraj temelleri opsiyonel; malzeme kur/endeks bağlı | Kısım I</t>
        </is>
      </c>
    </row>
    <row r="610">
      <c r="A610" s="22" t="inlineStr">
        <is>
          <t>R03638</t>
        </is>
      </c>
      <c r="B610" s="22" t="inlineStr">
        <is>
          <t>Baskentray</t>
        </is>
      </c>
      <c r="C610" s="22" t="inlineStr">
        <is>
          <t>banliyo</t>
        </is>
      </c>
      <c r="D610" s="22" t="inlineStr">
        <is>
          <t>Usluel Enerji</t>
        </is>
      </c>
      <c r="E610" s="22" t="inlineStr">
        <is>
          <t>2012-04-20</t>
        </is>
      </c>
      <c r="F610" s="22" t="inlineStr">
        <is>
          <t>37.0 UZAK UÇ BİRİMLERİ (RTU)</t>
        </is>
      </c>
      <c r="G610" s="22" t="inlineStr">
        <is>
          <t>ADET</t>
        </is>
      </c>
      <c r="H610" s="63" t="n">
        <v>73700</v>
      </c>
      <c r="I610" s="22" t="inlineStr">
        <is>
          <t>TRY</t>
        </is>
      </c>
      <c r="J610" s="22" t="inlineStr">
        <is>
          <t>M+İ</t>
        </is>
      </c>
      <c r="K610" s="63" t="n">
        <v>42374.1995784206</v>
      </c>
      <c r="L610" s="22" t="inlineStr"/>
      <c r="M610" s="22" t="n">
        <v>1</v>
      </c>
      <c r="N610" s="22" t="inlineStr">
        <is>
          <t>Başkentray Sincan-Ankara-Kayaş banliyö (25 kV AC) katener yenileme; TCDD KT birim fiyat tarifleri; KDV hariç; direk ve ankraj temelleri opsiyonel; malzeme kur/endeks bağlı | Kısım I</t>
        </is>
      </c>
    </row>
    <row r="611">
      <c r="A611" s="22" t="inlineStr">
        <is>
          <t>R03832</t>
        </is>
      </c>
      <c r="B611" s="22" t="inlineStr">
        <is>
          <t>Baskentray</t>
        </is>
      </c>
      <c r="C611" s="22" t="inlineStr">
        <is>
          <t>banliyo</t>
        </is>
      </c>
      <c r="D611" s="22" t="inlineStr">
        <is>
          <t>CDE (Ramazan Oruç aracılığıyla)</t>
        </is>
      </c>
      <c r="E611" s="22" t="inlineStr">
        <is>
          <t>2012-04-23</t>
        </is>
      </c>
      <c r="F611" s="22" t="inlineStr">
        <is>
          <t>37.0 UZAK UÇ BİRİMLERİ (RTU)</t>
        </is>
      </c>
      <c r="G611" s="22" t="inlineStr">
        <is>
          <t>ADET</t>
        </is>
      </c>
      <c r="H611" s="63" t="n">
        <v>52038.17</v>
      </c>
      <c r="I611" s="22" t="inlineStr">
        <is>
          <t>TRY</t>
        </is>
      </c>
      <c r="J611" s="22" t="inlineStr"/>
      <c r="K611" s="63" t="n">
        <v>29983.087086725</v>
      </c>
      <c r="L611" s="22" t="inlineStr"/>
      <c r="M611" s="22" t="n">
        <v>1</v>
      </c>
      <c r="N611" s="22" t="inlineStr">
        <is>
          <t>Başkentray Sincan-Ankara-Kayaş banliyö (25 kV AC) katener yenileme; TCDD KT birim fiyat tarifleri; birim fiyat teklif cetveli (malzeme+işçilik tek fiyat) | kisim 1</t>
        </is>
      </c>
    </row>
    <row r="612">
      <c r="A612" s="22" t="inlineStr">
        <is>
          <t>R03994</t>
        </is>
      </c>
      <c r="B612" s="22" t="inlineStr">
        <is>
          <t>Bursa_Osmaneli_Hizli_Tren_IPTAL_EDILEN</t>
        </is>
      </c>
      <c r="C612" s="22" t="inlineStr">
        <is>
          <t>YHT</t>
        </is>
      </c>
      <c r="D612" s="22" t="inlineStr">
        <is>
          <t>Ankara Ulaşım Sistemleri (YM fiyat çalışmasında)</t>
        </is>
      </c>
      <c r="E612" s="22" t="inlineStr">
        <is>
          <t>2018-03-23</t>
        </is>
      </c>
      <c r="F612" s="22" t="inlineStr">
        <is>
          <t>ELF-11.2 GEÇİŞ BARASI (KRUVAZMAN ÇUBUĞU)</t>
        </is>
      </c>
      <c r="G612" s="22" t="inlineStr">
        <is>
          <t>ADET</t>
        </is>
      </c>
      <c r="H612" s="63" t="n">
        <v>895.73</v>
      </c>
      <c r="I612" s="22" t="inlineStr">
        <is>
          <t>TRY</t>
        </is>
      </c>
      <c r="J612" s="22" t="inlineStr">
        <is>
          <t>M+İ</t>
        </is>
      </c>
      <c r="K612" s="63" t="n">
        <v>237.859651227631</v>
      </c>
      <c r="L612" s="22" t="inlineStr"/>
      <c r="M612" s="22" t="n">
        <v>1</v>
      </c>
      <c r="N612" s="22" t="inlineStr">
        <is>
          <t>Bursa-Osmaneli hızlı tren 211 km tek hat; elektrifikasyon fiyat çalışması (malzeme+işçilik), KDV hariç; kur 4,8382 TL/EUR</t>
        </is>
      </c>
    </row>
    <row r="613">
      <c r="A613" s="22" t="inlineStr">
        <is>
          <t>R04004</t>
        </is>
      </c>
      <c r="B613" s="22" t="inlineStr">
        <is>
          <t>Bursa_Osmaneli_Hizli_Tren_IPTAL_EDILEN</t>
        </is>
      </c>
      <c r="C613" s="22" t="inlineStr">
        <is>
          <t>YHT</t>
        </is>
      </c>
      <c r="D613" s="22" t="inlineStr">
        <is>
          <t>Ankara Ulaşım Sistemleri (YM fiyat çalışmasında)</t>
        </is>
      </c>
      <c r="E613" s="22" t="inlineStr">
        <is>
          <t>2018-03-23</t>
        </is>
      </c>
      <c r="F613" s="22" t="inlineStr">
        <is>
          <t>ELF-15.2 TÜNEL TOPRAKLAMA SİSTEMİ İÇİN HARİCİ KABİN</t>
        </is>
      </c>
      <c r="G613" s="22" t="inlineStr">
        <is>
          <t>SET</t>
        </is>
      </c>
      <c r="H613" s="63" t="n">
        <v>29723.65</v>
      </c>
      <c r="I613" s="22" t="inlineStr">
        <is>
          <t>TRY</t>
        </is>
      </c>
      <c r="J613" s="22" t="inlineStr">
        <is>
          <t>M+İ</t>
        </is>
      </c>
      <c r="K613" s="63" t="n">
        <v>7893.06713207348</v>
      </c>
      <c r="L613" s="22" t="inlineStr"/>
      <c r="M613" s="22" t="n">
        <v>1</v>
      </c>
      <c r="N613" s="22" t="inlineStr">
        <is>
          <t>Bursa-Osmaneli hızlı tren 211 km tek hat; elektrifikasyon fiyat çalışması (malzeme+işçilik), KDV hariç; kur 4,8382 TL/EUR</t>
        </is>
      </c>
    </row>
    <row r="614">
      <c r="A614" s="22" t="inlineStr">
        <is>
          <t>R04006</t>
        </is>
      </c>
      <c r="B614" s="22" t="inlineStr">
        <is>
          <t>Bursa_Osmaneli_Hizli_Tren_IPTAL_EDILEN</t>
        </is>
      </c>
      <c r="C614" s="22" t="inlineStr">
        <is>
          <t>YHT</t>
        </is>
      </c>
      <c r="D614" s="22" t="inlineStr">
        <is>
          <t>Ankara Ulaşım Sistemleri (YM fiyat çalışmasında)</t>
        </is>
      </c>
      <c r="E614" s="22" t="inlineStr">
        <is>
          <t>2018-03-23</t>
        </is>
      </c>
      <c r="F614" s="22" t="inlineStr">
        <is>
          <t>ELF-16.2 KABİNLER İÇİN KLİMA</t>
        </is>
      </c>
      <c r="G614" s="22" t="inlineStr">
        <is>
          <t>ADET</t>
        </is>
      </c>
      <c r="H614" s="63" t="n">
        <v>4800</v>
      </c>
      <c r="I614" s="22" t="inlineStr">
        <is>
          <t>TRY</t>
        </is>
      </c>
      <c r="J614" s="22" t="inlineStr">
        <is>
          <t>M+İ</t>
        </is>
      </c>
      <c r="K614" s="63" t="n">
        <v>1274.63222834183</v>
      </c>
      <c r="L614" s="22" t="inlineStr"/>
      <c r="M614" s="22" t="n">
        <v>1</v>
      </c>
      <c r="N614" s="22" t="inlineStr">
        <is>
          <t>Bursa-Osmaneli hızlı tren 211 km tek hat; elektrifikasyon fiyat çalışması (malzeme+işçilik), KDV hariç; kur 4,8382 TL/EUR</t>
        </is>
      </c>
    </row>
    <row r="615">
      <c r="A615" s="22" t="inlineStr">
        <is>
          <t>R04012</t>
        </is>
      </c>
      <c r="B615" s="22" t="inlineStr">
        <is>
          <t>Bursa_Osmaneli_Hizli_Tren_IPTAL_EDILEN</t>
        </is>
      </c>
      <c r="C615" s="22" t="inlineStr">
        <is>
          <t>YHT</t>
        </is>
      </c>
      <c r="D615" s="22" t="inlineStr">
        <is>
          <t>Ankara Ulaşım Sistemleri (YM fiyat çalışmasında)</t>
        </is>
      </c>
      <c r="E615" s="22" t="inlineStr">
        <is>
          <t>2018-03-23</t>
        </is>
      </c>
      <c r="F615" s="22" t="inlineStr">
        <is>
          <t>ELF-20.1 230 VAC HARİCİ DAĞITIM PANOSU</t>
        </is>
      </c>
      <c r="G615" s="22" t="inlineStr">
        <is>
          <t>ADET</t>
        </is>
      </c>
      <c r="H615" s="63" t="n">
        <v>5949.136</v>
      </c>
      <c r="I615" s="22" t="inlineStr">
        <is>
          <t>TRY</t>
        </is>
      </c>
      <c r="J615" s="22" t="inlineStr">
        <is>
          <t>M+İ</t>
        </is>
      </c>
      <c r="K615" s="63" t="n">
        <v>1579.78343258096</v>
      </c>
      <c r="L615" s="22" t="inlineStr"/>
      <c r="M615" s="22" t="n">
        <v>3</v>
      </c>
      <c r="N615" s="22" t="inlineStr">
        <is>
          <t>Bursa-Osmaneli hızlı tren 211 km tek hat; elektrifikasyon fiyat çalışması (malzeme+işçilik), KDV hariç; kur 4,8382 TL/EUR</t>
        </is>
      </c>
    </row>
    <row r="616">
      <c r="A616" s="22" t="inlineStr">
        <is>
          <t>R04032</t>
        </is>
      </c>
      <c r="B616" s="22" t="inlineStr">
        <is>
          <t>Bursa_Osmaneli_Hizli_Tren_IPTAL_EDILEN</t>
        </is>
      </c>
      <c r="C616" s="22" t="inlineStr">
        <is>
          <t>YHT</t>
        </is>
      </c>
      <c r="D616" s="22" t="inlineStr">
        <is>
          <t>Ankara Ulaşım Sistemleri (YM fiyat çalışmasında)</t>
        </is>
      </c>
      <c r="E616" s="22" t="inlineStr">
        <is>
          <t>2018-03-23</t>
        </is>
      </c>
      <c r="F616" s="22" t="inlineStr">
        <is>
          <t>ELF-26.6 NUMARA LEVHASI</t>
        </is>
      </c>
      <c r="G616" s="22" t="inlineStr">
        <is>
          <t>ADET</t>
        </is>
      </c>
      <c r="H616" s="63" t="n">
        <v>12.2</v>
      </c>
      <c r="I616" s="22" t="inlineStr">
        <is>
          <t>TRY</t>
        </is>
      </c>
      <c r="J616" s="22" t="inlineStr">
        <is>
          <t>M+İ</t>
        </is>
      </c>
      <c r="K616" s="63" t="n">
        <v>3.23969024703549</v>
      </c>
      <c r="L616" s="22" t="inlineStr">
        <is>
          <t>2012.A</t>
        </is>
      </c>
      <c r="M616" s="22" t="n">
        <v>2</v>
      </c>
      <c r="N616" s="22" t="inlineStr">
        <is>
          <t>[AYKIRI DEĞER – otomatik dışlandı] Bursa-Osmaneli hızlı tren 211 km tek hat; elektrifikasyon fiyat çalışması (malzeme+işçilik), KDV hariç; kur 4,8382 TL/EUR</t>
        </is>
      </c>
    </row>
    <row r="617">
      <c r="A617" s="22" t="inlineStr">
        <is>
          <t>R04035</t>
        </is>
      </c>
      <c r="B617" s="22" t="inlineStr">
        <is>
          <t>Bursa_Osmaneli_Hizli_Tren_IPTAL_EDILEN</t>
        </is>
      </c>
      <c r="C617" s="22" t="inlineStr">
        <is>
          <t>YHT</t>
        </is>
      </c>
      <c r="D617" s="22" t="inlineStr">
        <is>
          <t>Ankara Ulaşım Sistemleri (YM fiyat çalışmasında)</t>
        </is>
      </c>
      <c r="E617" s="22" t="inlineStr">
        <is>
          <t>2018-03-23</t>
        </is>
      </c>
      <c r="F617" s="22" t="inlineStr">
        <is>
          <t>ELF-29.0 HDPE KABLO MUHAFAZA BORUSU</t>
        </is>
      </c>
      <c r="G617" s="22" t="inlineStr">
        <is>
          <t>METRE</t>
        </is>
      </c>
      <c r="H617" s="63" t="n">
        <v>13.3</v>
      </c>
      <c r="I617" s="22" t="inlineStr">
        <is>
          <t>TRY</t>
        </is>
      </c>
      <c r="J617" s="22" t="inlineStr">
        <is>
          <t>M+İ</t>
        </is>
      </c>
      <c r="K617" s="63" t="n">
        <v>3.53179346603049</v>
      </c>
      <c r="L617" s="22" t="inlineStr"/>
      <c r="M617" s="22" t="n">
        <v>3</v>
      </c>
      <c r="N617" s="22" t="inlineStr">
        <is>
          <t>Bursa-Osmaneli hızlı tren 211 km tek hat; elektrifikasyon fiyat çalışması (malzeme+işçilik), KDV hariç; kur 4,8382 TL/EUR</t>
        </is>
      </c>
    </row>
    <row r="618">
      <c r="A618" s="22" t="inlineStr">
        <is>
          <t>R04081</t>
        </is>
      </c>
      <c r="B618" s="22" t="inlineStr">
        <is>
          <t>Cerkezkoy_Kapikule_Railway</t>
        </is>
      </c>
      <c r="C618" s="22" t="inlineStr">
        <is>
          <t>anahat</t>
        </is>
      </c>
      <c r="D618" s="22" t="inlineStr">
        <is>
          <t>Yapı Merkezi iç maliyet çalışması (malzeme birim fiyatları)</t>
        </is>
      </c>
      <c r="E618" s="22" t="inlineStr">
        <is>
          <t>2018-10-19</t>
        </is>
      </c>
      <c r="F618" s="22" t="inlineStr">
        <is>
          <t>GEÇİŞ BARASI (KRUVAZMAN ÇUBUĞU)</t>
        </is>
      </c>
      <c r="G618" s="22" t="inlineStr">
        <is>
          <t>ADET</t>
        </is>
      </c>
      <c r="H618" s="63" t="n">
        <v>150</v>
      </c>
      <c r="I618" s="22" t="inlineStr">
        <is>
          <t>EUR</t>
        </is>
      </c>
      <c r="J618" s="22" t="inlineStr">
        <is>
          <t>Malzeme</t>
        </is>
      </c>
      <c r="K618" s="63" t="n">
        <v>191.407952808559</v>
      </c>
      <c r="L618" s="22" t="inlineStr"/>
      <c r="M618" s="22" t="n">
        <v>1</v>
      </c>
      <c r="N618" s="22" t="inlineStr">
        <is>
          <t>Çerkezköy-Kapıkule (Halkalı-Kapıkule) anahat 25 kV AC; tek hat-km 326,8 (açık hat 305,8 + yan yollar 21) ≈ 153 km çift hat; YM direkt maliyet çalışması v2 (tedarikçi teklifi değil); malzeme birim fiyatları, işçilik ayrı hesaplanmış</t>
        </is>
      </c>
    </row>
    <row r="619">
      <c r="A619" s="22" t="inlineStr">
        <is>
          <t>R04101</t>
        </is>
      </c>
      <c r="B619" s="22" t="inlineStr">
        <is>
          <t>Izmir_Konak_Karsiyaka_Tramvay</t>
        </is>
      </c>
      <c r="C619" s="22" t="inlineStr">
        <is>
          <t>tramvay</t>
        </is>
      </c>
      <c r="D619" s="22" t="inlineStr">
        <is>
          <t>Usluel Enerji</t>
        </is>
      </c>
      <c r="E619" s="22" t="inlineStr">
        <is>
          <t>2014-02-24</t>
        </is>
      </c>
      <c r="F619" s="22" t="inlineStr">
        <is>
          <t>Katener Sistemi Projelendirilmesi</t>
        </is>
      </c>
      <c r="G619" s="22" t="inlineStr">
        <is>
          <t>adet</t>
        </is>
      </c>
      <c r="H619" s="63" t="n">
        <v>35000</v>
      </c>
      <c r="I619" s="22" t="inlineStr">
        <is>
          <t>EUR</t>
        </is>
      </c>
      <c r="J619" s="22" t="inlineStr">
        <is>
          <t>M+İ</t>
        </is>
      </c>
      <c r="K619" s="63" t="n">
        <v>47157.5857373411</v>
      </c>
      <c r="L619" s="22" t="inlineStr">
        <is>
          <t>2012.A</t>
        </is>
      </c>
      <c r="M619" s="22" t="n">
        <v>1</v>
      </c>
      <c r="N619" s="22" t="inlineStr">
        <is>
          <t>750V DC tramvay; teklif notu: tüm fiyatlar Euro, KDV hariç, katener direk temelleri ve inşaat işleri ana yüklenicide; malzeme+montaj | hat: Karşıyaka (9.87 km çift hat + depo)</t>
        </is>
      </c>
    </row>
    <row r="620">
      <c r="A620" s="22" t="inlineStr">
        <is>
          <t>R04102</t>
        </is>
      </c>
      <c r="B620" s="22" t="inlineStr">
        <is>
          <t>Izmir_Konak_Karsiyaka_Tramvay</t>
        </is>
      </c>
      <c r="C620" s="22" t="inlineStr">
        <is>
          <t>tramvay</t>
        </is>
      </c>
      <c r="D620" s="22" t="inlineStr">
        <is>
          <t>Usluel Enerji</t>
        </is>
      </c>
      <c r="E620" s="22" t="inlineStr">
        <is>
          <t>2014-02-24</t>
        </is>
      </c>
      <c r="F620" s="22" t="inlineStr">
        <is>
          <t>Tip A1 (Ankraj Tijleri dahil, Direk temeli hariç)</t>
        </is>
      </c>
      <c r="G620" s="22" t="inlineStr">
        <is>
          <t>adet</t>
        </is>
      </c>
      <c r="H620" s="63" t="n">
        <v>947.92</v>
      </c>
      <c r="I620" s="22" t="inlineStr">
        <is>
          <t>EUR</t>
        </is>
      </c>
      <c r="J620" s="22" t="inlineStr">
        <is>
          <t>M+İ</t>
        </is>
      </c>
      <c r="K620" s="63" t="n">
        <v>1277.1891049183</v>
      </c>
      <c r="L620" s="22" t="inlineStr">
        <is>
          <t>2012.C</t>
        </is>
      </c>
      <c r="M620" s="22" t="n">
        <v>1</v>
      </c>
      <c r="N620" s="22" t="inlineStr">
        <is>
          <t>750V DC tramvay; teklif notu: tüm fiyatlar Euro, KDV hariç, katener direk temelleri ve inşaat işleri ana yüklenicide; malzeme+montaj | hat: Karşıyaka (9.87 km çift hat + depo); katener direği tip tanımı dokümanda yok; ankraj tijleri dahil, direk temeli hariç</t>
        </is>
      </c>
    </row>
    <row r="621">
      <c r="A621" s="22" t="inlineStr">
        <is>
          <t>R04103</t>
        </is>
      </c>
      <c r="B621" s="22" t="inlineStr">
        <is>
          <t>Izmir_Konak_Karsiyaka_Tramvay</t>
        </is>
      </c>
      <c r="C621" s="22" t="inlineStr">
        <is>
          <t>tramvay</t>
        </is>
      </c>
      <c r="D621" s="22" t="inlineStr">
        <is>
          <t>Usluel Enerji</t>
        </is>
      </c>
      <c r="E621" s="22" t="inlineStr">
        <is>
          <t>2014-02-24</t>
        </is>
      </c>
      <c r="F621" s="22" t="inlineStr">
        <is>
          <t>Tip A (Ankraj Tijleri dahil, Direk temeli hariç)</t>
        </is>
      </c>
      <c r="G621" s="22" t="inlineStr">
        <is>
          <t>adet</t>
        </is>
      </c>
      <c r="H621" s="63" t="n">
        <v>817.72</v>
      </c>
      <c r="I621" s="22" t="inlineStr">
        <is>
          <t>EUR</t>
        </is>
      </c>
      <c r="J621" s="22" t="inlineStr">
        <is>
          <t>M+İ</t>
        </is>
      </c>
      <c r="K621" s="63" t="n">
        <v>1101.76288597539</v>
      </c>
      <c r="L621" s="22" t="inlineStr">
        <is>
          <t>2012.C</t>
        </is>
      </c>
      <c r="M621" s="22" t="n">
        <v>1</v>
      </c>
      <c r="N621" s="22" t="inlineStr">
        <is>
          <t>750V DC tramvay; teklif notu: tüm fiyatlar Euro, KDV hariç, katener direk temelleri ve inşaat işleri ana yüklenicide; malzeme+montaj | hat: Karşıyaka (9.87 km çift hat + depo); katener direği tip tanımı dokümanda yok; ankraj tijleri dahil, direk temeli hariç</t>
        </is>
      </c>
    </row>
    <row r="622">
      <c r="A622" s="22" t="inlineStr">
        <is>
          <t>R04113</t>
        </is>
      </c>
      <c r="B622" s="22" t="inlineStr">
        <is>
          <t>Izmir_Konak_Karsiyaka_Tramvay</t>
        </is>
      </c>
      <c r="C622" s="22" t="inlineStr">
        <is>
          <t>tramvay</t>
        </is>
      </c>
      <c r="D622" s="22" t="inlineStr">
        <is>
          <t>Usluel Enerji</t>
        </is>
      </c>
      <c r="E622" s="22" t="inlineStr">
        <is>
          <t>2014-02-24</t>
        </is>
      </c>
      <c r="F622" s="22" t="inlineStr">
        <is>
          <t>Kontak teli 120 mm2 CuEtp</t>
        </is>
      </c>
      <c r="G622" s="22" t="inlineStr">
        <is>
          <t>m</t>
        </is>
      </c>
      <c r="H622" s="63" t="n">
        <v>11.94</v>
      </c>
      <c r="I622" s="22" t="inlineStr">
        <is>
          <t>EUR</t>
        </is>
      </c>
      <c r="J622" s="22" t="inlineStr">
        <is>
          <t>M+İ</t>
        </is>
      </c>
      <c r="K622" s="63" t="n">
        <v>16.0874735343958</v>
      </c>
      <c r="L622" s="22" t="inlineStr">
        <is>
          <t>2012.A</t>
        </is>
      </c>
      <c r="M622" s="22" t="n">
        <v>2</v>
      </c>
      <c r="N622" s="22" t="inlineStr">
        <is>
          <t>750V DC tramvay; teklif notu: tüm fiyatlar Euro, KDV hariç, katener direk temelleri ve inşaat işleri ana yüklenicide; malzeme+montaj | hat: Karşıyaka (9.87 km çift hat + depo); dosyada birim "km" yazılmış ama miktar metre (fiyat EUR/m)</t>
        </is>
      </c>
    </row>
    <row r="623">
      <c r="A623" s="22" t="inlineStr">
        <is>
          <t>R04114</t>
        </is>
      </c>
      <c r="B623" s="22" t="inlineStr">
        <is>
          <t>Izmir_Konak_Karsiyaka_Tramvay</t>
        </is>
      </c>
      <c r="C623" s="22" t="inlineStr">
        <is>
          <t>tramvay</t>
        </is>
      </c>
      <c r="D623" s="22" t="inlineStr">
        <is>
          <t>Usluel Enerji</t>
        </is>
      </c>
      <c r="E623" s="22" t="inlineStr">
        <is>
          <t>2014-02-24</t>
        </is>
      </c>
      <c r="F623" s="22" t="inlineStr">
        <is>
          <t>Takviye Besleme kablosu 150 mm2 Cu</t>
        </is>
      </c>
      <c r="G623" s="22" t="inlineStr">
        <is>
          <t>m</t>
        </is>
      </c>
      <c r="H623" s="63" t="n">
        <v>24.6</v>
      </c>
      <c r="I623" s="22" t="inlineStr">
        <is>
          <t>EUR</t>
        </is>
      </c>
      <c r="J623" s="22" t="inlineStr">
        <is>
          <t>M+İ</t>
        </is>
      </c>
      <c r="K623" s="63" t="n">
        <v>33.1450459753883</v>
      </c>
      <c r="L623" s="22" t="inlineStr">
        <is>
          <t>2012.A</t>
        </is>
      </c>
      <c r="M623" s="22" t="n">
        <v>2</v>
      </c>
      <c r="N623" s="22" t="inlineStr">
        <is>
          <t>750V DC tramvay; teklif notu: tüm fiyatlar Euro, KDV hariç, katener direk temelleri ve inşaat işleri ana yüklenicide; malzeme+montaj | hat: Karşıyaka (9.87 km çift hat + depo); dosyada birim "km" yazılmış ama miktar metre (fiyat EUR/m)</t>
        </is>
      </c>
    </row>
    <row r="624">
      <c r="A624" s="22" t="inlineStr">
        <is>
          <t>R04115</t>
        </is>
      </c>
      <c r="B624" s="22" t="inlineStr">
        <is>
          <t>Izmir_Konak_Karsiyaka_Tramvay</t>
        </is>
      </c>
      <c r="C624" s="22" t="inlineStr">
        <is>
          <t>tramvay</t>
        </is>
      </c>
      <c r="D624" s="22" t="inlineStr">
        <is>
          <t>Usluel Enerji</t>
        </is>
      </c>
      <c r="E624" s="22" t="inlineStr">
        <is>
          <t>2014-02-24</t>
        </is>
      </c>
      <c r="F624" s="22" t="inlineStr">
        <is>
          <t>Katener Sistemleri arası esnek bağlantı (95mm2)</t>
        </is>
      </c>
      <c r="G624" s="22" t="inlineStr">
        <is>
          <t>adet</t>
        </is>
      </c>
      <c r="H624" s="63" t="n">
        <v>222</v>
      </c>
      <c r="I624" s="22" t="inlineStr">
        <is>
          <t>EUR</t>
        </is>
      </c>
      <c r="J624" s="22" t="inlineStr">
        <is>
          <t>M+İ</t>
        </is>
      </c>
      <c r="K624" s="63" t="n">
        <v>299.113829533992</v>
      </c>
      <c r="L624" s="22" t="inlineStr">
        <is>
          <t>2012.A</t>
        </is>
      </c>
      <c r="M624" s="22" t="n">
        <v>1</v>
      </c>
      <c r="N624" s="22" t="inlineStr">
        <is>
          <t>750V DC tramvay; teklif notu: tüm fiyatlar Euro, KDV hariç, katener direk temelleri ve inşaat işleri ana yüklenicide; malzeme+montaj | hat: Karşıyaka (9.87 km çift hat + depo)</t>
        </is>
      </c>
    </row>
    <row r="625">
      <c r="A625" s="22" t="inlineStr">
        <is>
          <t>R04116</t>
        </is>
      </c>
      <c r="B625" s="22" t="inlineStr">
        <is>
          <t>Izmir_Konak_Karsiyaka_Tramvay</t>
        </is>
      </c>
      <c r="C625" s="22" t="inlineStr">
        <is>
          <t>tramvay</t>
        </is>
      </c>
      <c r="D625" s="22" t="inlineStr">
        <is>
          <t>Usluel Enerji</t>
        </is>
      </c>
      <c r="E625" s="22" t="inlineStr">
        <is>
          <t>2014-02-24</t>
        </is>
      </c>
      <c r="F625" s="22" t="inlineStr">
        <is>
          <t>Takviye Kablosu ve katener arası elektriksel bağlantı</t>
        </is>
      </c>
      <c r="G625" s="22" t="inlineStr">
        <is>
          <t>adet</t>
        </is>
      </c>
      <c r="H625" s="63" t="n">
        <v>342</v>
      </c>
      <c r="I625" s="22" t="inlineStr">
        <is>
          <t>EUR</t>
        </is>
      </c>
      <c r="J625" s="22" t="inlineStr">
        <is>
          <t>M+İ</t>
        </is>
      </c>
      <c r="K625" s="63" t="n">
        <v>460.796980633448</v>
      </c>
      <c r="L625" s="22" t="inlineStr">
        <is>
          <t>2012.A</t>
        </is>
      </c>
      <c r="M625" s="22" t="n">
        <v>3</v>
      </c>
      <c r="N625" s="22" t="inlineStr">
        <is>
          <t>750V DC tramvay; teklif notu: tüm fiyatlar Euro, KDV hariç, katener direk temelleri ve inşaat işleri ana yüklenicide; malzeme+montaj | hat: Karşıyaka (9.87 km çift hat + depo)</t>
        </is>
      </c>
    </row>
    <row r="626">
      <c r="A626" s="22" t="inlineStr">
        <is>
          <t>R04117</t>
        </is>
      </c>
      <c r="B626" s="22" t="inlineStr">
        <is>
          <t>Izmir_Konak_Karsiyaka_Tramvay</t>
        </is>
      </c>
      <c r="C626" s="22" t="inlineStr">
        <is>
          <t>tramvay</t>
        </is>
      </c>
      <c r="D626" s="22" t="inlineStr">
        <is>
          <t>Usluel Enerji</t>
        </is>
      </c>
      <c r="E626" s="22" t="inlineStr">
        <is>
          <t>2014-02-24</t>
        </is>
      </c>
      <c r="F626" s="22" t="inlineStr">
        <is>
          <t>Parafudr, Aşırı gerilim koruması bağlantıları</t>
        </is>
      </c>
      <c r="G626" s="22" t="inlineStr">
        <is>
          <t>adet</t>
        </is>
      </c>
      <c r="H626" s="63" t="n">
        <v>162</v>
      </c>
      <c r="I626" s="22" t="inlineStr">
        <is>
          <t>EUR</t>
        </is>
      </c>
      <c r="J626" s="22" t="inlineStr">
        <is>
          <t>M+İ</t>
        </is>
      </c>
      <c r="K626" s="63" t="n">
        <v>218.272253984265</v>
      </c>
      <c r="L626" s="22" t="inlineStr">
        <is>
          <t>2012.A</t>
        </is>
      </c>
      <c r="M626" s="22" t="n">
        <v>1</v>
      </c>
      <c r="N626" s="22" t="inlineStr">
        <is>
          <t>750V DC tramvay; teklif notu: tüm fiyatlar Euro, KDV hariç, katener direk temelleri ve inşaat işleri ana yüklenicide; malzeme+montaj | hat: Karşıyaka (9.87 km çift hat + depo)</t>
        </is>
      </c>
    </row>
    <row r="627">
      <c r="A627" s="22" t="inlineStr">
        <is>
          <t>R04118</t>
        </is>
      </c>
      <c r="B627" s="22" t="inlineStr">
        <is>
          <t>Izmir_Konak_Karsiyaka_Tramvay</t>
        </is>
      </c>
      <c r="C627" s="22" t="inlineStr">
        <is>
          <t>tramvay</t>
        </is>
      </c>
      <c r="D627" s="22" t="inlineStr">
        <is>
          <t>Usluel Enerji</t>
        </is>
      </c>
      <c r="E627" s="22" t="inlineStr">
        <is>
          <t>2014-02-24</t>
        </is>
      </c>
      <c r="F627" s="22" t="inlineStr">
        <is>
          <t>Çeki/bası tekli konsol-hoban sistemi</t>
        </is>
      </c>
      <c r="G627" s="22" t="inlineStr">
        <is>
          <t>adet</t>
        </is>
      </c>
      <c r="H627" s="63" t="n">
        <v>828</v>
      </c>
      <c r="I627" s="22" t="inlineStr">
        <is>
          <t>EUR</t>
        </is>
      </c>
      <c r="J627" s="22" t="inlineStr">
        <is>
          <t>M+İ</t>
        </is>
      </c>
      <c r="K627" s="63" t="n">
        <v>1115.61374258624</v>
      </c>
      <c r="L627" s="22" t="inlineStr">
        <is>
          <t>2012.A</t>
        </is>
      </c>
      <c r="M627" s="22" t="n">
        <v>3</v>
      </c>
      <c r="N627" s="22" t="inlineStr">
        <is>
          <t>750V DC tramvay; teklif notu: tüm fiyatlar Euro, KDV hariç, katener direk temelleri ve inşaat işleri ana yüklenicide; malzeme+montaj | hat: Karşıyaka (9.87 km çift hat + depo)</t>
        </is>
      </c>
    </row>
    <row r="628">
      <c r="A628" s="22" t="inlineStr">
        <is>
          <t>R04121</t>
        </is>
      </c>
      <c r="B628" s="22" t="inlineStr">
        <is>
          <t>Izmir_Konak_Karsiyaka_Tramvay</t>
        </is>
      </c>
      <c r="C628" s="22" t="inlineStr">
        <is>
          <t>tramvay</t>
        </is>
      </c>
      <c r="D628" s="22" t="inlineStr">
        <is>
          <t>Usluel Enerji</t>
        </is>
      </c>
      <c r="E628" s="22" t="inlineStr">
        <is>
          <t>2014-02-24</t>
        </is>
      </c>
      <c r="F628" s="22" t="inlineStr">
        <is>
          <t>Portik-Headspan Sistemi</t>
        </is>
      </c>
      <c r="G628" s="22" t="inlineStr">
        <is>
          <t>adet</t>
        </is>
      </c>
      <c r="H628" s="63" t="n">
        <v>1320</v>
      </c>
      <c r="I628" s="22" t="inlineStr">
        <is>
          <t>EUR</t>
        </is>
      </c>
      <c r="J628" s="22" t="inlineStr">
        <is>
          <t>M+İ</t>
        </is>
      </c>
      <c r="K628" s="63" t="n">
        <v>1778.51466209401</v>
      </c>
      <c r="L628" s="22" t="inlineStr">
        <is>
          <t>2012.B</t>
        </is>
      </c>
      <c r="M628" s="22" t="n">
        <v>1</v>
      </c>
      <c r="N628" s="22" t="inlineStr">
        <is>
          <t>750V DC tramvay; teklif notu: tüm fiyatlar Euro, KDV hariç, katener direk temelleri ve inşaat işleri ana yüklenicide; malzeme+montaj | hat: Karşıyaka (9.87 km çift hat + depo)</t>
        </is>
      </c>
    </row>
    <row r="629">
      <c r="A629" s="22" t="inlineStr">
        <is>
          <t>R04122</t>
        </is>
      </c>
      <c r="B629" s="22" t="inlineStr">
        <is>
          <t>Izmir_Konak_Karsiyaka_Tramvay</t>
        </is>
      </c>
      <c r="C629" s="22" t="inlineStr">
        <is>
          <t>tramvay</t>
        </is>
      </c>
      <c r="D629" s="22" t="inlineStr">
        <is>
          <t>Usluel Enerji</t>
        </is>
      </c>
      <c r="E629" s="22" t="inlineStr">
        <is>
          <t>2014-02-24</t>
        </is>
      </c>
      <c r="F629" s="22" t="inlineStr">
        <is>
          <t>Kontak teli için (10 kN) otomatik gergi sistemi</t>
        </is>
      </c>
      <c r="G629" s="22" t="inlineStr">
        <is>
          <t>adet</t>
        </is>
      </c>
      <c r="H629" s="63" t="n">
        <v>1860</v>
      </c>
      <c r="I629" s="22" t="inlineStr">
        <is>
          <t>EUR</t>
        </is>
      </c>
      <c r="J629" s="22" t="inlineStr">
        <is>
          <t>M+İ</t>
        </is>
      </c>
      <c r="K629" s="63" t="n">
        <v>2506.08884204156</v>
      </c>
      <c r="L629" s="22" t="inlineStr">
        <is>
          <t>2012.A</t>
        </is>
      </c>
      <c r="M629" s="22" t="n">
        <v>1</v>
      </c>
      <c r="N629" s="22" t="inlineStr">
        <is>
          <t>750V DC tramvay; teklif notu: tüm fiyatlar Euro, KDV hariç, katener direk temelleri ve inşaat işleri ana yüklenicide; malzeme+montaj | hat: Karşıyaka (9.87 km çift hat + depo)</t>
        </is>
      </c>
    </row>
    <row r="630">
      <c r="A630" s="22" t="inlineStr">
        <is>
          <t>R04123</t>
        </is>
      </c>
      <c r="B630" s="22" t="inlineStr">
        <is>
          <t>Izmir_Konak_Karsiyaka_Tramvay</t>
        </is>
      </c>
      <c r="C630" s="22" t="inlineStr">
        <is>
          <t>tramvay</t>
        </is>
      </c>
      <c r="D630" s="22" t="inlineStr">
        <is>
          <t>Usluel Enerji</t>
        </is>
      </c>
      <c r="E630" s="22" t="inlineStr">
        <is>
          <t>2014-02-24</t>
        </is>
      </c>
      <c r="F630" s="22" t="inlineStr">
        <is>
          <t>Kontak teli için 10 kN fiks gergi sistemi</t>
        </is>
      </c>
      <c r="G630" s="22" t="inlineStr">
        <is>
          <t>adet</t>
        </is>
      </c>
      <c r="H630" s="63" t="n">
        <v>384</v>
      </c>
      <c r="I630" s="22" t="inlineStr">
        <is>
          <t>EUR</t>
        </is>
      </c>
      <c r="J630" s="22" t="inlineStr">
        <is>
          <t>M+İ</t>
        </is>
      </c>
      <c r="K630" s="63" t="n">
        <v>517.386083518257</v>
      </c>
      <c r="L630" s="22" t="inlineStr">
        <is>
          <t>2012.B</t>
        </is>
      </c>
      <c r="M630" s="22" t="n">
        <v>2</v>
      </c>
      <c r="N630" s="22" t="inlineStr">
        <is>
          <t>750V DC tramvay; teklif notu: tüm fiyatlar Euro, KDV hariç, katener direk temelleri ve inşaat işleri ana yüklenicide; malzeme+montaj | hat: Karşıyaka (9.87 km çift hat + depo)</t>
        </is>
      </c>
    </row>
    <row r="631">
      <c r="A631" s="22" t="inlineStr">
        <is>
          <t>R04124</t>
        </is>
      </c>
      <c r="B631" s="22" t="inlineStr">
        <is>
          <t>Izmir_Konak_Karsiyaka_Tramvay</t>
        </is>
      </c>
      <c r="C631" s="22" t="inlineStr">
        <is>
          <t>tramvay</t>
        </is>
      </c>
      <c r="D631" s="22" t="inlineStr">
        <is>
          <t>Usluel Enerji</t>
        </is>
      </c>
      <c r="E631" s="22" t="inlineStr">
        <is>
          <t>2014-02-24</t>
        </is>
      </c>
      <c r="F631" s="22" t="inlineStr">
        <is>
          <t>Kontak teli için yaylı gergi sistemi</t>
        </is>
      </c>
      <c r="G631" s="22" t="inlineStr">
        <is>
          <t>adet</t>
        </is>
      </c>
      <c r="H631" s="63" t="n">
        <v>852</v>
      </c>
      <c r="I631" s="22" t="inlineStr">
        <is>
          <t>EUR</t>
        </is>
      </c>
      <c r="J631" s="22" t="inlineStr">
        <is>
          <t>M+İ</t>
        </is>
      </c>
      <c r="K631" s="63" t="n">
        <v>1147.95037280613</v>
      </c>
      <c r="L631" s="22" t="inlineStr">
        <is>
          <t>2012.A</t>
        </is>
      </c>
      <c r="M631" s="22" t="n">
        <v>2</v>
      </c>
      <c r="N631" s="22" t="inlineStr">
        <is>
          <t>750V DC tramvay; teklif notu: tüm fiyatlar Euro, KDV hariç, katener direk temelleri ve inşaat işleri ana yüklenicide; malzeme+montaj | hat: Karşıyaka (9.87 km çift hat + depo)</t>
        </is>
      </c>
    </row>
    <row r="632">
      <c r="A632" s="22" t="inlineStr">
        <is>
          <t>R04125</t>
        </is>
      </c>
      <c r="B632" s="22" t="inlineStr">
        <is>
          <t>Izmir_Konak_Karsiyaka_Tramvay</t>
        </is>
      </c>
      <c r="C632" s="22" t="inlineStr">
        <is>
          <t>tramvay</t>
        </is>
      </c>
      <c r="D632" s="22" t="inlineStr">
        <is>
          <t>Usluel Enerji</t>
        </is>
      </c>
      <c r="E632" s="22" t="inlineStr">
        <is>
          <t>2014-02-24</t>
        </is>
      </c>
      <c r="F632" s="22" t="inlineStr">
        <is>
          <t>Antişöminman(midpoint anchor)</t>
        </is>
      </c>
      <c r="G632" s="22" t="inlineStr">
        <is>
          <t>adet</t>
        </is>
      </c>
      <c r="H632" s="63" t="n">
        <v>864</v>
      </c>
      <c r="I632" s="22" t="inlineStr">
        <is>
          <t>EUR</t>
        </is>
      </c>
      <c r="J632" s="22" t="inlineStr">
        <is>
          <t>M+İ</t>
        </is>
      </c>
      <c r="K632" s="63" t="n">
        <v>1164.11868791608</v>
      </c>
      <c r="L632" s="22" t="inlineStr">
        <is>
          <t>2012.A</t>
        </is>
      </c>
      <c r="M632" s="22" t="n">
        <v>1</v>
      </c>
      <c r="N632" s="22" t="inlineStr">
        <is>
          <t>750V DC tramvay; teklif notu: tüm fiyatlar Euro, KDV hariç, katener direk temelleri ve inşaat işleri ana yüklenicide; malzeme+montaj | hat: Karşıyaka (9.87 km çift hat + depo)</t>
        </is>
      </c>
    </row>
    <row r="633">
      <c r="A633" s="22" t="inlineStr">
        <is>
          <t>R04126</t>
        </is>
      </c>
      <c r="B633" s="22" t="inlineStr">
        <is>
          <t>Izmir_Konak_Karsiyaka_Tramvay</t>
        </is>
      </c>
      <c r="C633" s="22" t="inlineStr">
        <is>
          <t>tramvay</t>
        </is>
      </c>
      <c r="D633" s="22" t="inlineStr">
        <is>
          <t>Usluel Enerji</t>
        </is>
      </c>
      <c r="E633" s="22" t="inlineStr">
        <is>
          <t>2014-02-24</t>
        </is>
      </c>
      <c r="F633" s="22" t="inlineStr">
        <is>
          <t>Seksiyon izolatörü(section insulator)</t>
        </is>
      </c>
      <c r="G633" s="22" t="inlineStr">
        <is>
          <t>adet</t>
        </is>
      </c>
      <c r="H633" s="63" t="n">
        <v>1536</v>
      </c>
      <c r="I633" s="22" t="inlineStr">
        <is>
          <t>EUR</t>
        </is>
      </c>
      <c r="J633" s="22" t="inlineStr">
        <is>
          <t>M+İ</t>
        </is>
      </c>
      <c r="K633" s="63" t="n">
        <v>2069.54433407303</v>
      </c>
      <c r="L633" s="22" t="inlineStr">
        <is>
          <t>2012.A</t>
        </is>
      </c>
      <c r="M633" s="22" t="n">
        <v>2</v>
      </c>
      <c r="N633" s="22" t="inlineStr">
        <is>
          <t>750V DC tramvay; teklif notu: tüm fiyatlar Euro, KDV hariç, katener direk temelleri ve inşaat işleri ana yüklenicide; malzeme+montaj | hat: Karşıyaka (9.87 km çift hat + depo)</t>
        </is>
      </c>
    </row>
    <row r="634">
      <c r="A634" s="22" t="inlineStr">
        <is>
          <t>R04127</t>
        </is>
      </c>
      <c r="B634" s="22" t="inlineStr">
        <is>
          <t>Izmir_Konak_Karsiyaka_Tramvay</t>
        </is>
      </c>
      <c r="C634" s="22" t="inlineStr">
        <is>
          <t>tramvay</t>
        </is>
      </c>
      <c r="D634" s="22" t="inlineStr">
        <is>
          <t>Usluel Enerji</t>
        </is>
      </c>
      <c r="E634" s="22" t="inlineStr">
        <is>
          <t>2014-02-24</t>
        </is>
      </c>
      <c r="F634" s="22" t="inlineStr">
        <is>
          <t>Parafudur</t>
        </is>
      </c>
      <c r="G634" s="22" t="inlineStr">
        <is>
          <t>adet</t>
        </is>
      </c>
      <c r="H634" s="63" t="n">
        <v>552</v>
      </c>
      <c r="I634" s="22" t="inlineStr">
        <is>
          <t>EUR</t>
        </is>
      </c>
      <c r="J634" s="22" t="inlineStr">
        <is>
          <t>M+İ</t>
        </is>
      </c>
      <c r="K634" s="63" t="n">
        <v>743.742495057495</v>
      </c>
      <c r="L634" s="22" t="inlineStr">
        <is>
          <t>2012.A</t>
        </is>
      </c>
      <c r="M634" s="22" t="n">
        <v>1</v>
      </c>
      <c r="N634" s="22" t="inlineStr">
        <is>
          <t>750V DC tramvay; teklif notu: tüm fiyatlar Euro, KDV hariç, katener direk temelleri ve inşaat işleri ana yüklenicide; malzeme+montaj | hat: Karşıyaka (9.87 km çift hat + depo)</t>
        </is>
      </c>
    </row>
    <row r="635">
      <c r="A635" s="22" t="inlineStr">
        <is>
          <t>R04128</t>
        </is>
      </c>
      <c r="B635" s="22" t="inlineStr">
        <is>
          <t>Izmir_Konak_Karsiyaka_Tramvay</t>
        </is>
      </c>
      <c r="C635" s="22" t="inlineStr">
        <is>
          <t>tramvay</t>
        </is>
      </c>
      <c r="D635" s="22" t="inlineStr">
        <is>
          <t>Usluel Enerji</t>
        </is>
      </c>
      <c r="E635" s="22" t="inlineStr">
        <is>
          <t>2014-02-24</t>
        </is>
      </c>
      <c r="F635" s="22" t="inlineStr">
        <is>
          <t>Topraklama elektrodu ve tertibatı</t>
        </is>
      </c>
      <c r="G635" s="22" t="inlineStr">
        <is>
          <t>adet</t>
        </is>
      </c>
      <c r="H635" s="63" t="n">
        <v>432</v>
      </c>
      <c r="I635" s="22" t="inlineStr">
        <is>
          <t>EUR</t>
        </is>
      </c>
      <c r="J635" s="22" t="inlineStr">
        <is>
          <t>M+İ</t>
        </is>
      </c>
      <c r="K635" s="63" t="n">
        <v>582.059343958039</v>
      </c>
      <c r="L635" s="22" t="inlineStr"/>
      <c r="M635" s="22" t="n">
        <v>2</v>
      </c>
      <c r="N635" s="22" t="inlineStr">
        <is>
          <t>750V DC tramvay; teklif notu: tüm fiyatlar Euro, KDV hariç, katener direk temelleri ve inşaat işleri ana yüklenicide; malzeme+montaj | hat: Karşıyaka (9.87 km çift hat + depo)</t>
        </is>
      </c>
    </row>
    <row r="636">
      <c r="A636" s="22" t="inlineStr">
        <is>
          <t>R04130</t>
        </is>
      </c>
      <c r="B636" s="22" t="inlineStr">
        <is>
          <t>Izmir_Konak_Karsiyaka_Tramvay</t>
        </is>
      </c>
      <c r="C636" s="22" t="inlineStr">
        <is>
          <t>tramvay</t>
        </is>
      </c>
      <c r="D636" s="22" t="inlineStr">
        <is>
          <t>Usluel Enerji</t>
        </is>
      </c>
      <c r="E636" s="22" t="inlineStr">
        <is>
          <t>2014-02-24</t>
        </is>
      </c>
      <c r="F636" s="22" t="inlineStr">
        <is>
          <t>Direk tipi elle kumandalı ayırıcı(4000A)</t>
        </is>
      </c>
      <c r="G636" s="22" t="inlineStr">
        <is>
          <t>adet</t>
        </is>
      </c>
      <c r="H636" s="63" t="n">
        <v>3360</v>
      </c>
      <c r="I636" s="22" t="inlineStr">
        <is>
          <t>EUR</t>
        </is>
      </c>
      <c r="J636" s="22" t="inlineStr">
        <is>
          <t>M+İ</t>
        </is>
      </c>
      <c r="K636" s="63" t="n">
        <v>4527.12823078475</v>
      </c>
      <c r="L636" s="22" t="inlineStr">
        <is>
          <t>2012.B</t>
        </is>
      </c>
      <c r="M636" s="22" t="n">
        <v>1</v>
      </c>
      <c r="N636" s="22" t="inlineStr">
        <is>
          <t>750V DC tramvay; teklif notu: tüm fiyatlar Euro, KDV hariç, katener direk temelleri ve inşaat işleri ana yüklenicide; malzeme+montaj | hat: Karşıyaka (9.87 km çift hat + depo)</t>
        </is>
      </c>
    </row>
    <row r="637">
      <c r="A637" s="22" t="inlineStr">
        <is>
          <t>R04132</t>
        </is>
      </c>
      <c r="B637" s="22" t="inlineStr">
        <is>
          <t>Izmir_Konak_Karsiyaka_Tramvay</t>
        </is>
      </c>
      <c r="C637" s="22" t="inlineStr">
        <is>
          <t>tramvay</t>
        </is>
      </c>
      <c r="D637" s="22" t="inlineStr">
        <is>
          <t>Usluel Enerji</t>
        </is>
      </c>
      <c r="E637" s="22" t="inlineStr">
        <is>
          <t>2014-02-24</t>
        </is>
      </c>
      <c r="F637" s="22" t="inlineStr">
        <is>
          <t>0.6/(1.2) kV 1x300 mm2 Besleme Kablosu</t>
        </is>
      </c>
      <c r="G637" s="22" t="inlineStr">
        <is>
          <t>metre</t>
        </is>
      </c>
      <c r="H637" s="63" t="n">
        <v>36</v>
      </c>
      <c r="I637" s="22" t="inlineStr">
        <is>
          <t>EUR</t>
        </is>
      </c>
      <c r="J637" s="22" t="inlineStr">
        <is>
          <t>M+İ</t>
        </is>
      </c>
      <c r="K637" s="63" t="n">
        <v>48.5049453298366</v>
      </c>
      <c r="L637" s="22" t="inlineStr">
        <is>
          <t>2012.A</t>
        </is>
      </c>
      <c r="M637" s="22" t="n">
        <v>8</v>
      </c>
      <c r="N637" s="22" t="inlineStr">
        <is>
          <t>750V DC tramvay; teklif notu: tüm fiyatlar Euro, KDV hariç, katener direk temelleri ve inşaat işleri ana yüklenicide; malzeme+montaj | hat: Karşıyaka (9.87 km çift hat + depo)</t>
        </is>
      </c>
    </row>
    <row r="638">
      <c r="A638" s="22" t="inlineStr">
        <is>
          <t>R04136</t>
        </is>
      </c>
      <c r="B638" s="22" t="inlineStr">
        <is>
          <t>Izmir_Konak_Karsiyaka_Tramvay</t>
        </is>
      </c>
      <c r="C638" s="22" t="inlineStr">
        <is>
          <t>tramvay</t>
        </is>
      </c>
      <c r="D638" s="22" t="inlineStr">
        <is>
          <t>Usluel Enerji</t>
        </is>
      </c>
      <c r="E638" s="22" t="inlineStr">
        <is>
          <t>2014-02-24</t>
        </is>
      </c>
      <c r="F638" s="22" t="inlineStr">
        <is>
          <t>profile 12 m long</t>
        </is>
      </c>
      <c r="G638" s="22" t="inlineStr">
        <is>
          <t>adet</t>
        </is>
      </c>
      <c r="H638" s="63" t="n">
        <v>612</v>
      </c>
      <c r="I638" s="22" t="inlineStr">
        <is>
          <t>EUR</t>
        </is>
      </c>
      <c r="J638" s="22" t="inlineStr">
        <is>
          <t>M+İ</t>
        </is>
      </c>
      <c r="K638" s="63" t="n">
        <v>824.584070607222</v>
      </c>
      <c r="L638" s="22" t="inlineStr">
        <is>
          <t>2012.B</t>
        </is>
      </c>
      <c r="M638" s="22" t="n">
        <v>1</v>
      </c>
      <c r="N638" s="22" t="inlineStr">
        <is>
          <t>750V DC tramvay; teklif notu: tüm fiyatlar Euro, KDV hariç, katener direk temelleri ve inşaat işleri ana yüklenicide; malzeme+montaj | hat: Karşıyaka (9.87 km çift hat + depo); depo içi rijit katener (BBR malzeme+Usluel montaj)</t>
        </is>
      </c>
    </row>
    <row r="639">
      <c r="A639" s="22" t="inlineStr">
        <is>
          <t>R04137</t>
        </is>
      </c>
      <c r="B639" s="22" t="inlineStr">
        <is>
          <t>Izmir_Konak_Karsiyaka_Tramvay</t>
        </is>
      </c>
      <c r="C639" s="22" t="inlineStr">
        <is>
          <t>tramvay</t>
        </is>
      </c>
      <c r="D639" s="22" t="inlineStr">
        <is>
          <t>Usluel Enerji</t>
        </is>
      </c>
      <c r="E639" s="22" t="inlineStr">
        <is>
          <t>2014-02-24</t>
        </is>
      </c>
      <c r="F639" s="22" t="inlineStr">
        <is>
          <t>profile 4 m long, one end bent</t>
        </is>
      </c>
      <c r="G639" s="22" t="inlineStr">
        <is>
          <t>adet</t>
        </is>
      </c>
      <c r="H639" s="63" t="n">
        <v>552</v>
      </c>
      <c r="I639" s="22" t="inlineStr">
        <is>
          <t>EUR</t>
        </is>
      </c>
      <c r="J639" s="22" t="inlineStr">
        <is>
          <t>M+İ</t>
        </is>
      </c>
      <c r="K639" s="63" t="n">
        <v>743.742495057495</v>
      </c>
      <c r="L639" s="22" t="inlineStr">
        <is>
          <t>2012.B</t>
        </is>
      </c>
      <c r="M639" s="22" t="n">
        <v>1</v>
      </c>
      <c r="N639" s="22" t="inlineStr">
        <is>
          <t>750V DC tramvay; teklif notu: tüm fiyatlar Euro, KDV hariç, katener direk temelleri ve inşaat işleri ana yüklenicide; malzeme+montaj | hat: Karşıyaka (9.87 km çift hat + depo); depo içi rijit katener (BBR malzeme+Usluel montaj)</t>
        </is>
      </c>
    </row>
    <row r="640">
      <c r="A640" s="22" t="inlineStr">
        <is>
          <t>R04141</t>
        </is>
      </c>
      <c r="B640" s="22" t="inlineStr">
        <is>
          <t>Izmir_Konak_Karsiyaka_Tramvay</t>
        </is>
      </c>
      <c r="C640" s="22" t="inlineStr">
        <is>
          <t>tramvay</t>
        </is>
      </c>
      <c r="D640" s="22" t="inlineStr">
        <is>
          <t>Usluel Enerji</t>
        </is>
      </c>
      <c r="E640" s="22" t="inlineStr">
        <is>
          <t>2014-02-24</t>
        </is>
      </c>
      <c r="F640" s="22" t="inlineStr">
        <is>
          <t>turntable support</t>
        </is>
      </c>
      <c r="G640" s="22" t="inlineStr">
        <is>
          <t>adet</t>
        </is>
      </c>
      <c r="H640" s="63" t="n">
        <v>15240</v>
      </c>
      <c r="I640" s="22" t="inlineStr">
        <is>
          <t>EUR</t>
        </is>
      </c>
      <c r="J640" s="22" t="inlineStr">
        <is>
          <t>M+İ</t>
        </is>
      </c>
      <c r="K640" s="63" t="n">
        <v>20533.7601896308</v>
      </c>
      <c r="L640" s="22" t="inlineStr">
        <is>
          <t>2012.B</t>
        </is>
      </c>
      <c r="M640" s="22" t="n">
        <v>1</v>
      </c>
      <c r="N640" s="22" t="inlineStr">
        <is>
          <t>750V DC tramvay; teklif notu: tüm fiyatlar Euro, KDV hariç, katener direk temelleri ve inşaat işleri ana yüklenicide; malzeme+montaj | hat: Karşıyaka (9.87 km çift hat + depo); depo/atölye katlanır (döner) rijit katener</t>
        </is>
      </c>
    </row>
    <row r="641">
      <c r="A641" s="22" t="inlineStr">
        <is>
          <t>R04142</t>
        </is>
      </c>
      <c r="B641" s="22" t="inlineStr">
        <is>
          <t>Izmir_Konak_Karsiyaka_Tramvay</t>
        </is>
      </c>
      <c r="C641" s="22" t="inlineStr">
        <is>
          <t>tramvay</t>
        </is>
      </c>
      <c r="D641" s="22" t="inlineStr">
        <is>
          <t>Usluel Enerji</t>
        </is>
      </c>
      <c r="E641" s="22" t="inlineStr">
        <is>
          <t>2014-02-24</t>
        </is>
      </c>
      <c r="F641" s="22" t="inlineStr">
        <is>
          <t>turntable support with motor drive</t>
        </is>
      </c>
      <c r="G641" s="22" t="inlineStr">
        <is>
          <t>adet</t>
        </is>
      </c>
      <c r="H641" s="63" t="n">
        <v>18840</v>
      </c>
      <c r="I641" s="22" t="inlineStr">
        <is>
          <t>EUR</t>
        </is>
      </c>
      <c r="J641" s="22" t="inlineStr">
        <is>
          <t>M+İ</t>
        </is>
      </c>
      <c r="K641" s="63" t="n">
        <v>25384.2547226145</v>
      </c>
      <c r="L641" s="22" t="inlineStr">
        <is>
          <t>2012.B</t>
        </is>
      </c>
      <c r="M641" s="22" t="n">
        <v>1</v>
      </c>
      <c r="N641" s="22" t="inlineStr">
        <is>
          <t>750V DC tramvay; teklif notu: tüm fiyatlar Euro, KDV hariç, katener direk temelleri ve inşaat işleri ana yüklenicide; malzeme+montaj | hat: Karşıyaka (9.87 km çift hat + depo); depo/atölye katlanır (döner) rijit katener</t>
        </is>
      </c>
    </row>
    <row r="642">
      <c r="A642" s="22" t="inlineStr">
        <is>
          <t>R04143</t>
        </is>
      </c>
      <c r="B642" s="22" t="inlineStr">
        <is>
          <t>Izmir_Konak_Karsiyaka_Tramvay</t>
        </is>
      </c>
      <c r="C642" s="22" t="inlineStr">
        <is>
          <t>tramvay</t>
        </is>
      </c>
      <c r="D642" s="22" t="inlineStr">
        <is>
          <t>Usluel Enerji</t>
        </is>
      </c>
      <c r="E642" s="22" t="inlineStr">
        <is>
          <t>2014-02-24</t>
        </is>
      </c>
      <c r="F642" s="22" t="inlineStr">
        <is>
          <t>infeed point for rigid catenary</t>
        </is>
      </c>
      <c r="G642" s="22" t="inlineStr">
        <is>
          <t>adet</t>
        </is>
      </c>
      <c r="H642" s="63" t="n">
        <v>900</v>
      </c>
      <c r="I642" s="22" t="inlineStr">
        <is>
          <t>EUR</t>
        </is>
      </c>
      <c r="J642" s="22" t="inlineStr">
        <is>
          <t>M+İ</t>
        </is>
      </c>
      <c r="K642" s="63" t="n">
        <v>1212.62363324591</v>
      </c>
      <c r="L642" s="22" t="inlineStr">
        <is>
          <t>2012.B</t>
        </is>
      </c>
      <c r="M642" s="22" t="n">
        <v>3</v>
      </c>
      <c r="N642" s="22" t="inlineStr">
        <is>
          <t>750V DC tramvay; teklif notu: tüm fiyatlar Euro, KDV hariç, katener direk temelleri ve inşaat işleri ana yüklenicide; malzeme+montaj | hat: Karşıyaka (9.87 km çift hat + depo); depo içi rijit katener (BBR malzeme+Usluel montaj)</t>
        </is>
      </c>
    </row>
    <row r="643">
      <c r="A643" s="22" t="inlineStr">
        <is>
          <t>R04144</t>
        </is>
      </c>
      <c r="B643" s="22" t="inlineStr">
        <is>
          <t>Izmir_Konak_Karsiyaka_Tramvay</t>
        </is>
      </c>
      <c r="C643" s="22" t="inlineStr">
        <is>
          <t>tramvay</t>
        </is>
      </c>
      <c r="D643" s="22" t="inlineStr">
        <is>
          <t>Usluel Enerji</t>
        </is>
      </c>
      <c r="E643" s="22" t="inlineStr">
        <is>
          <t>2014-02-24</t>
        </is>
      </c>
      <c r="F643" s="22" t="inlineStr">
        <is>
          <t>control panel for turntable support motor drives</t>
        </is>
      </c>
      <c r="G643" s="22" t="inlineStr">
        <is>
          <t>adet</t>
        </is>
      </c>
      <c r="H643" s="63" t="n">
        <v>28680</v>
      </c>
      <c r="I643" s="22" t="inlineStr">
        <is>
          <t>EUR</t>
        </is>
      </c>
      <c r="J643" s="22" t="inlineStr">
        <is>
          <t>M+İ</t>
        </is>
      </c>
      <c r="K643" s="63" t="n">
        <v>38642.2731127698</v>
      </c>
      <c r="L643" s="22" t="inlineStr">
        <is>
          <t>2012.B</t>
        </is>
      </c>
      <c r="M643" s="22" t="n">
        <v>1</v>
      </c>
      <c r="N643" s="22" t="inlineStr">
        <is>
          <t>750V DC tramvay; teklif notu: tüm fiyatlar Euro, KDV hariç, katener direk temelleri ve inşaat işleri ana yüklenicide; malzeme+montaj | hat: Karşıyaka (9.87 km çift hat + depo); depo/atölye katlanır (döner) rijit katener</t>
        </is>
      </c>
    </row>
    <row r="644">
      <c r="A644" s="22" t="inlineStr">
        <is>
          <t>R04175</t>
        </is>
      </c>
      <c r="B644" s="22" t="inlineStr">
        <is>
          <t>Izmir_Konak_Karsiyaka_Tramvay</t>
        </is>
      </c>
      <c r="C644" s="22" t="inlineStr">
        <is>
          <t>tramvay</t>
        </is>
      </c>
      <c r="D644" s="22" t="inlineStr">
        <is>
          <t>Usluel Enerji</t>
        </is>
      </c>
      <c r="E644" s="22" t="inlineStr">
        <is>
          <t>2014-02-24</t>
        </is>
      </c>
      <c r="F644" s="22" t="inlineStr">
        <is>
          <t>Aşırı gerilim koruma cihazı</t>
        </is>
      </c>
      <c r="G644" s="22" t="inlineStr">
        <is>
          <t>adet</t>
        </is>
      </c>
      <c r="H644" s="63" t="n">
        <v>780</v>
      </c>
      <c r="I644" s="22" t="inlineStr">
        <is>
          <t>EUR</t>
        </is>
      </c>
      <c r="J644" s="22" t="inlineStr">
        <is>
          <t>M+İ</t>
        </is>
      </c>
      <c r="K644" s="63" t="n">
        <v>1050.94048214646</v>
      </c>
      <c r="L644" s="22" t="inlineStr">
        <is>
          <t>2012.A</t>
        </is>
      </c>
      <c r="M644" s="22" t="n">
        <v>2</v>
      </c>
      <c r="N644" s="22" t="inlineStr">
        <is>
          <t>750V DC tramvay; teklif notu: tüm fiyatlar Euro, KDV hariç, katener direk temelleri ve inşaat işleri ana yüklenicide; malzeme+montaj | hat: Konak (12.30 km çift hat + depo)</t>
        </is>
      </c>
    </row>
    <row r="645">
      <c r="A645" s="22" t="inlineStr">
        <is>
          <t>R04201</t>
        </is>
      </c>
      <c r="B645" s="22" t="inlineStr">
        <is>
          <t>Izmir_Konak_Karsiyaka_Tramvay</t>
        </is>
      </c>
      <c r="C645" s="22" t="inlineStr">
        <is>
          <t>tramvay</t>
        </is>
      </c>
      <c r="D645" s="22" t="inlineStr">
        <is>
          <t>Balfour Beatty Rail GmbH</t>
        </is>
      </c>
      <c r="E645" s="22" t="inlineStr">
        <is>
          <t>2014-02-24</t>
        </is>
      </c>
      <c r="F645" s="22" t="inlineStr">
        <is>
          <t>BBSE201116-DBE Single Cantilever A with Bridle Suspension</t>
        </is>
      </c>
      <c r="G645" s="22" t="inlineStr">
        <is>
          <t>set</t>
        </is>
      </c>
      <c r="H645" s="63" t="n">
        <v>345.44</v>
      </c>
      <c r="I645" s="22" t="inlineStr">
        <is>
          <t>EUR</t>
        </is>
      </c>
      <c r="J645" s="22" t="inlineStr">
        <is>
          <t>Malzeme</t>
        </is>
      </c>
      <c r="K645" s="63" t="n">
        <v>465.431897631632</v>
      </c>
      <c r="L645" s="22" t="inlineStr">
        <is>
          <t>2012.A</t>
        </is>
      </c>
      <c r="M645" s="22" t="n">
        <v>3</v>
      </c>
      <c r="N645" s="22" t="inlineStr">
        <is>
          <t>BBR-Offer 741532 OCS malzeme set fiyatı; SADECE MALZEME (montaj yok); bazı setlerde GRP çubuk ve belirtilen parçalar hariç | not: Excluding part n° BBSE201116-DGH &amp; DGN &amp; 3EGF005586 &amp; 3EGF005587 &amp; GRP rods (Part 1 - 2) ; teklif miktarı Konak 355 / Karşıyaka 267</t>
        </is>
      </c>
    </row>
    <row r="646">
      <c r="A646" s="22" t="inlineStr">
        <is>
          <t>R04207</t>
        </is>
      </c>
      <c r="B646" s="22" t="inlineStr">
        <is>
          <t>Izmir_Konak_Karsiyaka_Tramvay</t>
        </is>
      </c>
      <c r="C646" s="22" t="inlineStr">
        <is>
          <t>tramvay</t>
        </is>
      </c>
      <c r="D646" s="22" t="inlineStr">
        <is>
          <t>Balfour Beatty Rail GmbH</t>
        </is>
      </c>
      <c r="E646" s="22" t="inlineStr">
        <is>
          <t>2014-02-24</t>
        </is>
      </c>
      <c r="F646" s="22" t="inlineStr">
        <is>
          <t>BBSE201116-DBL Automatic Tensioning Device 10kN</t>
        </is>
      </c>
      <c r="G646" s="22" t="inlineStr">
        <is>
          <t>set</t>
        </is>
      </c>
      <c r="H646" s="63" t="n">
        <v>1361.76</v>
      </c>
      <c r="I646" s="22" t="inlineStr">
        <is>
          <t>EUR</t>
        </is>
      </c>
      <c r="J646" s="22" t="inlineStr">
        <is>
          <t>Malzeme</t>
        </is>
      </c>
      <c r="K646" s="63" t="n">
        <v>1834.78039867662</v>
      </c>
      <c r="L646" s="22" t="inlineStr">
        <is>
          <t>2012.A</t>
        </is>
      </c>
      <c r="M646" s="22" t="n">
        <v>1</v>
      </c>
      <c r="N646" s="22" t="inlineStr">
        <is>
          <t>BBR-Offer 741532 OCS malzeme set fiyatı; SADECE MALZEME (montaj yok); bazı setlerde GRP çubuk ve belirtilen parçalar hariç | teklif miktarı Konak 56 / Karşıyaka 32</t>
        </is>
      </c>
    </row>
    <row r="647">
      <c r="A647" s="22" t="inlineStr">
        <is>
          <t>R04215</t>
        </is>
      </c>
      <c r="B647" s="22" t="inlineStr">
        <is>
          <t>Izmir_Konak_Karsiyaka_Tramvay</t>
        </is>
      </c>
      <c r="C647" s="22" t="inlineStr">
        <is>
          <t>tramvay</t>
        </is>
      </c>
      <c r="D647" s="22" t="inlineStr">
        <is>
          <t>Balfour Beatty Rail GmbH</t>
        </is>
      </c>
      <c r="E647" s="22" t="inlineStr">
        <is>
          <t>2014-02-24</t>
        </is>
      </c>
      <c r="F647" s="22" t="inlineStr">
        <is>
          <t>BBSE201116-DBZ Fixed Tensioning Device 10kN</t>
        </is>
      </c>
      <c r="G647" s="22" t="inlineStr">
        <is>
          <t>set</t>
        </is>
      </c>
      <c r="H647" s="63" t="n">
        <v>261.17</v>
      </c>
      <c r="I647" s="22" t="inlineStr">
        <is>
          <t>EUR</t>
        </is>
      </c>
      <c r="J647" s="22" t="inlineStr">
        <is>
          <t>Malzeme</t>
        </is>
      </c>
      <c r="K647" s="63" t="n">
        <v>351.88990477204</v>
      </c>
      <c r="L647" s="22" t="inlineStr">
        <is>
          <t>2012.B</t>
        </is>
      </c>
      <c r="M647" s="22" t="n">
        <v>1</v>
      </c>
      <c r="N647" s="22" t="inlineStr">
        <is>
          <t>BBR-Offer 741532 OCS malzeme set fiyatı; SADECE MALZEME (montaj yok); bazı setlerde GRP çubuk ve belirtilen parçalar hariç | teklif miktarı Konak 19 / Karşıyaka 22</t>
        </is>
      </c>
    </row>
    <row r="648">
      <c r="A648" s="22" t="inlineStr">
        <is>
          <t>R04216</t>
        </is>
      </c>
      <c r="B648" s="22" t="inlineStr">
        <is>
          <t>Izmir_Konak_Karsiyaka_Tramvay</t>
        </is>
      </c>
      <c r="C648" s="22" t="inlineStr">
        <is>
          <t>tramvay</t>
        </is>
      </c>
      <c r="D648" s="22" t="inlineStr">
        <is>
          <t>Balfour Beatty Rail GmbH</t>
        </is>
      </c>
      <c r="E648" s="22" t="inlineStr">
        <is>
          <t>2014-02-24</t>
        </is>
      </c>
      <c r="F648" s="22" t="inlineStr">
        <is>
          <t>BBSE201116-DCA Mid-Point Anchor for Contact and Messenger Wire</t>
        </is>
      </c>
      <c r="G648" s="22" t="inlineStr">
        <is>
          <t>set</t>
        </is>
      </c>
      <c r="H648" s="63" t="n">
        <v>539.13</v>
      </c>
      <c r="I648" s="22" t="inlineStr">
        <is>
          <t>EUR</t>
        </is>
      </c>
      <c r="J648" s="22" t="inlineStr">
        <is>
          <t>Malzeme</t>
        </is>
      </c>
      <c r="K648" s="63" t="n">
        <v>726.401977102078</v>
      </c>
      <c r="L648" s="22" t="inlineStr">
        <is>
          <t>2012.A</t>
        </is>
      </c>
      <c r="M648" s="22" t="n">
        <v>1</v>
      </c>
      <c r="N648" s="22" t="inlineStr">
        <is>
          <t>BBR-Offer 741532 OCS malzeme set fiyatı; SADECE MALZEME (montaj yok); bazı setlerde GRP çubuk ve belirtilen parçalar hariç | teklif miktarı Konak 20 / Karşıyaka 16</t>
        </is>
      </c>
    </row>
    <row r="649">
      <c r="A649" s="22" t="inlineStr">
        <is>
          <t>R04217</t>
        </is>
      </c>
      <c r="B649" s="22" t="inlineStr">
        <is>
          <t>Izmir_Konak_Karsiyaka_Tramvay</t>
        </is>
      </c>
      <c r="C649" s="22" t="inlineStr">
        <is>
          <t>tramvay</t>
        </is>
      </c>
      <c r="D649" s="22" t="inlineStr">
        <is>
          <t>Balfour Beatty Rail GmbH</t>
        </is>
      </c>
      <c r="E649" s="22" t="inlineStr">
        <is>
          <t>2014-02-24</t>
        </is>
      </c>
      <c r="F649" s="22" t="inlineStr">
        <is>
          <t>BBSE201116-DCB Spring Tensioning Device 6-10kN</t>
        </is>
      </c>
      <c r="G649" s="22" t="inlineStr">
        <is>
          <t>set</t>
        </is>
      </c>
      <c r="H649" s="63" t="n">
        <v>646.73</v>
      </c>
      <c r="I649" s="22" t="inlineStr">
        <is>
          <t>EUR</t>
        </is>
      </c>
      <c r="J649" s="22" t="inlineStr">
        <is>
          <t>Malzeme</t>
        </is>
      </c>
      <c r="K649" s="63" t="n">
        <v>871.377869254589</v>
      </c>
      <c r="L649" s="22" t="inlineStr">
        <is>
          <t>2012.B</t>
        </is>
      </c>
      <c r="M649" s="22" t="n">
        <v>2</v>
      </c>
      <c r="N649" s="22" t="inlineStr">
        <is>
          <t>BBR-Offer 741532 OCS malzeme set fiyatı; SADECE MALZEME (montaj yok); bazı setlerde GRP çubuk ve belirtilen parçalar hariç | teklif miktarı Konak 8 / Karşıyaka 9</t>
        </is>
      </c>
    </row>
    <row r="650">
      <c r="A650" s="22" t="inlineStr">
        <is>
          <t>R04227</t>
        </is>
      </c>
      <c r="B650" s="22" t="inlineStr">
        <is>
          <t>Izmir_Konak_Karsiyaka_Tramvay</t>
        </is>
      </c>
      <c r="C650" s="22" t="inlineStr">
        <is>
          <t>tramvay</t>
        </is>
      </c>
      <c r="D650" s="22" t="inlineStr">
        <is>
          <t>Balfour Beatty Rail GmbH</t>
        </is>
      </c>
      <c r="E650" s="22" t="inlineStr">
        <is>
          <t>2014-02-24</t>
        </is>
      </c>
      <c r="F650" s="22" t="inlineStr">
        <is>
          <t>BBSE201116-DDK Mast Disconnector with Motor Drive</t>
        </is>
      </c>
      <c r="G650" s="22" t="inlineStr">
        <is>
          <t>set</t>
        </is>
      </c>
      <c r="H650" s="63" t="n">
        <v>5910.15</v>
      </c>
      <c r="I650" s="22" t="inlineStr">
        <is>
          <t>EUR</t>
        </is>
      </c>
      <c r="J650" s="22" t="inlineStr">
        <is>
          <t>Malzeme</t>
        </is>
      </c>
      <c r="K650" s="63" t="n">
        <v>7963.09729558705</v>
      </c>
      <c r="L650" s="22" t="inlineStr">
        <is>
          <t>2012.A</t>
        </is>
      </c>
      <c r="M650" s="22" t="n">
        <v>2</v>
      </c>
      <c r="N650" s="22" t="inlineStr">
        <is>
          <t>BBR-Offer 741532 OCS malzeme set fiyatı; SADECE MALZEME (montaj yok); bazı setlerde GRP çubuk ve belirtilen parçalar hariç | not: Excluding part n° 16 &amp; 17</t>
        </is>
      </c>
    </row>
    <row r="651">
      <c r="A651" s="22" t="inlineStr">
        <is>
          <t>R04228</t>
        </is>
      </c>
      <c r="B651" s="22" t="inlineStr">
        <is>
          <t>Izmir_Konak_Karsiyaka_Tramvay</t>
        </is>
      </c>
      <c r="C651" s="22" t="inlineStr">
        <is>
          <t>tramvay</t>
        </is>
      </c>
      <c r="D651" s="22" t="inlineStr">
        <is>
          <t>Balfour Beatty Rail GmbH</t>
        </is>
      </c>
      <c r="E651" s="22" t="inlineStr">
        <is>
          <t>2014-02-24</t>
        </is>
      </c>
      <c r="F651" s="22" t="inlineStr">
        <is>
          <t>BBSE201116-DDL Mast Disconnector with Hand Drive</t>
        </is>
      </c>
      <c r="G651" s="22" t="inlineStr">
        <is>
          <t>set</t>
        </is>
      </c>
      <c r="H651" s="63" t="n">
        <v>3842.04</v>
      </c>
      <c r="I651" s="22" t="inlineStr">
        <is>
          <t>EUR</t>
        </is>
      </c>
      <c r="J651" s="22" t="inlineStr">
        <is>
          <t>Malzeme</t>
        </is>
      </c>
      <c r="K651" s="63" t="n">
        <v>5176.60944875126</v>
      </c>
      <c r="L651" s="22" t="inlineStr">
        <is>
          <t>2012.B</t>
        </is>
      </c>
      <c r="M651" s="22" t="n">
        <v>1</v>
      </c>
      <c r="N651" s="22" t="inlineStr">
        <is>
          <t>BBR-Offer 741532 OCS malzeme set fiyatı; SADECE MALZEME (montaj yok); bazı setlerde GRP çubuk ve belirtilen parçalar hariç | not: Excluding part n° 15 &amp; 16</t>
        </is>
      </c>
    </row>
    <row r="652">
      <c r="A652" s="22" t="inlineStr">
        <is>
          <t>R04242</t>
        </is>
      </c>
      <c r="B652" s="22" t="inlineStr">
        <is>
          <t>Izmir_Konak_Karsiyaka_Tramvay</t>
        </is>
      </c>
      <c r="C652" s="22" t="inlineStr">
        <is>
          <t>tramvay</t>
        </is>
      </c>
      <c r="D652" s="22" t="inlineStr">
        <is>
          <t>Balfour Beatty Rail GmbH</t>
        </is>
      </c>
      <c r="E652" s="22" t="inlineStr">
        <is>
          <t>2014-02-24</t>
        </is>
      </c>
      <c r="F652" s="22" t="inlineStr">
        <is>
          <t>BBSE201116-DFP Electrical Connection</t>
        </is>
      </c>
      <c r="G652" s="22" t="inlineStr">
        <is>
          <t>set</t>
        </is>
      </c>
      <c r="H652" s="63" t="n">
        <v>147.87</v>
      </c>
      <c r="I652" s="22" t="inlineStr">
        <is>
          <t>EUR</t>
        </is>
      </c>
      <c r="J652" s="22" t="inlineStr">
        <is>
          <t>Malzeme</t>
        </is>
      </c>
      <c r="K652" s="63" t="n">
        <v>199.234062942304</v>
      </c>
      <c r="L652" s="22" t="inlineStr">
        <is>
          <t>2012.A</t>
        </is>
      </c>
      <c r="M652" s="22" t="n">
        <v>2</v>
      </c>
      <c r="N652" s="22" t="inlineStr">
        <is>
          <t>BBR-Offer 741532 OCS malzeme set fiyatı; SADECE MALZEME (montaj yok); bazı setlerde GRP çubuk ve belirtilen parçalar hariç | not: Excluding part n° 5</t>
        </is>
      </c>
    </row>
    <row r="653">
      <c r="A653" s="22" t="inlineStr">
        <is>
          <t>R04250</t>
        </is>
      </c>
      <c r="B653" s="22" t="inlineStr">
        <is>
          <t>Izmir_Konak_Karsiyaka_Tramvay</t>
        </is>
      </c>
      <c r="C653" s="22" t="inlineStr">
        <is>
          <t>tramvay</t>
        </is>
      </c>
      <c r="D653" s="22" t="inlineStr">
        <is>
          <t>Balfour Beatty Rail GmbH</t>
        </is>
      </c>
      <c r="E653" s="22" t="inlineStr">
        <is>
          <t>2014-02-24</t>
        </is>
      </c>
      <c r="F653" s="22" t="inlineStr">
        <is>
          <t>BBSE201116-DGM Contact Wire Crossing</t>
        </is>
      </c>
      <c r="G653" s="22" t="inlineStr">
        <is>
          <t>set</t>
        </is>
      </c>
      <c r="H653" s="63" t="n">
        <v>29.55</v>
      </c>
      <c r="I653" s="22" t="inlineStr">
        <is>
          <t>EUR</t>
        </is>
      </c>
      <c r="J653" s="22" t="inlineStr">
        <is>
          <t>Malzeme</t>
        </is>
      </c>
      <c r="K653" s="63" t="n">
        <v>39.8144759582409</v>
      </c>
      <c r="L653" s="22" t="inlineStr">
        <is>
          <t>2012.A</t>
        </is>
      </c>
      <c r="M653" s="22" t="n">
        <v>1</v>
      </c>
      <c r="N653" s="22" t="inlineStr">
        <is>
          <t>BBR-Offer 741532 OCS malzeme set fiyatı; SADECE MALZEME (montaj yok); bazı setlerde GRP çubuk ve belirtilen parçalar hariç</t>
        </is>
      </c>
    </row>
    <row r="654">
      <c r="A654" s="22" t="inlineStr">
        <is>
          <t>R04282</t>
        </is>
      </c>
      <c r="B654" s="22" t="inlineStr">
        <is>
          <t>KOCAELI_BELEDIYESI_TRAMWAY_HATTI</t>
        </is>
      </c>
      <c r="C654" s="22" t="inlineStr">
        <is>
          <t>tramvay</t>
        </is>
      </c>
      <c r="D654" s="22" t="inlineStr">
        <is>
          <t>Özgür Makina (proje müşaviri keşif özeti)</t>
        </is>
      </c>
      <c r="E654" s="22" t="inlineStr">
        <is>
          <t>2014-12-24</t>
        </is>
      </c>
      <c r="F654" s="22" t="inlineStr">
        <is>
          <t>KT-2 HER TÜRLÜ CİDARA ASKI VEYA ANKRAJ NOKTASI</t>
        </is>
      </c>
      <c r="G654" s="22" t="inlineStr">
        <is>
          <t>ADET</t>
        </is>
      </c>
      <c r="H654" s="63" t="n">
        <v>1620</v>
      </c>
      <c r="I654" s="22" t="inlineStr">
        <is>
          <t>TRY</t>
        </is>
      </c>
      <c r="J654" s="22" t="inlineStr"/>
      <c r="K654" s="63" t="n">
        <v>763.365827206337</v>
      </c>
      <c r="L654" s="22" t="inlineStr"/>
      <c r="M654" s="22" t="n">
        <v>1</v>
      </c>
      <c r="N654" s="22" t="inlineStr">
        <is>
          <t>Sekapark-Otogar tramvay AVAN/uygulama projesi KEŞİF ÖZETİ (yaklaşık maliyet, tedarikçi teklifi DEĞİL); malzeme temini ve montaj</t>
        </is>
      </c>
    </row>
    <row r="655">
      <c r="A655" s="22" t="inlineStr">
        <is>
          <t>R04287</t>
        </is>
      </c>
      <c r="B655" s="22" t="inlineStr">
        <is>
          <t>KOCAELI_BELEDIYESI_TRAMWAY_HATTI</t>
        </is>
      </c>
      <c r="C655" s="22" t="inlineStr">
        <is>
          <t>tramvay</t>
        </is>
      </c>
      <c r="D655" s="22" t="inlineStr">
        <is>
          <t>Özgür Makina (proje müşaviri keşif özeti)</t>
        </is>
      </c>
      <c r="E655" s="22" t="inlineStr">
        <is>
          <t>2014-12-24</t>
        </is>
      </c>
      <c r="F655" s="22" t="inlineStr">
        <is>
          <t>KT-7 KONTAK TELİ</t>
        </is>
      </c>
      <c r="G655" s="22" t="inlineStr">
        <is>
          <t>m</t>
        </is>
      </c>
      <c r="H655" s="63" t="n">
        <v>28.5</v>
      </c>
      <c r="I655" s="22" t="inlineStr">
        <is>
          <t>TRY</t>
        </is>
      </c>
      <c r="J655" s="22" t="inlineStr"/>
      <c r="K655" s="63" t="n">
        <v>13.4295839971485</v>
      </c>
      <c r="L655" s="22" t="inlineStr">
        <is>
          <t>2012.A</t>
        </is>
      </c>
      <c r="M655" s="22" t="n">
        <v>2</v>
      </c>
      <c r="N655" s="22" t="inlineStr">
        <is>
          <t>Sekapark-Otogar tramvay AVAN/uygulama projesi KEŞİF ÖZETİ (yaklaşık maliyet, tedarikçi teklifi DEĞİL); malzeme temini ve montaj</t>
        </is>
      </c>
    </row>
    <row r="656">
      <c r="A656" s="22" t="inlineStr">
        <is>
          <t>R04288</t>
        </is>
      </c>
      <c r="B656" s="22" t="inlineStr">
        <is>
          <t>KOCAELI_BELEDIYESI_TRAMWAY_HATTI</t>
        </is>
      </c>
      <c r="C656" s="22" t="inlineStr">
        <is>
          <t>tramvay</t>
        </is>
      </c>
      <c r="D656" s="22" t="inlineStr">
        <is>
          <t>Özgür Makina (proje müşaviri keşif özeti)</t>
        </is>
      </c>
      <c r="E656" s="22" t="inlineStr">
        <is>
          <t>2014-12-24</t>
        </is>
      </c>
      <c r="F656" s="22" t="inlineStr">
        <is>
          <t>KT-8 TAŞIYICI TEL</t>
        </is>
      </c>
      <c r="G656" s="22" t="inlineStr">
        <is>
          <t>m</t>
        </is>
      </c>
      <c r="H656" s="63" t="n">
        <v>31</v>
      </c>
      <c r="I656" s="22" t="inlineStr">
        <is>
          <t>TRY</t>
        </is>
      </c>
      <c r="J656" s="22" t="inlineStr"/>
      <c r="K656" s="63" t="n">
        <v>14.6076176811089</v>
      </c>
      <c r="L656" s="22" t="inlineStr">
        <is>
          <t>2012.A</t>
        </is>
      </c>
      <c r="M656" s="22" t="n">
        <v>1</v>
      </c>
      <c r="N656" s="22" t="inlineStr">
        <is>
          <t>Sekapark-Otogar tramvay AVAN/uygulama projesi KEŞİF ÖZETİ (yaklaşık maliyet, tedarikçi teklifi DEĞİL); malzeme temini ve montaj</t>
        </is>
      </c>
    </row>
    <row r="657">
      <c r="A657" s="22" t="inlineStr">
        <is>
          <t>R04289</t>
        </is>
      </c>
      <c r="B657" s="22" t="inlineStr">
        <is>
          <t>KOCAELI_BELEDIYESI_TRAMWAY_HATTI</t>
        </is>
      </c>
      <c r="C657" s="22" t="inlineStr">
        <is>
          <t>tramvay</t>
        </is>
      </c>
      <c r="D657" s="22" t="inlineStr">
        <is>
          <t>Özgür Makina (proje müşaviri keşif özeti)</t>
        </is>
      </c>
      <c r="E657" s="22" t="inlineStr">
        <is>
          <t>2014-12-24</t>
        </is>
      </c>
      <c r="F657" s="22" t="inlineStr">
        <is>
          <t>KT-9 STANDART KONSOL-HOBAN DONANIMI</t>
        </is>
      </c>
      <c r="G657" s="22" t="inlineStr">
        <is>
          <t>ADET</t>
        </is>
      </c>
      <c r="H657" s="63" t="n">
        <v>1750</v>
      </c>
      <c r="I657" s="22" t="inlineStr">
        <is>
          <t>TRY</t>
        </is>
      </c>
      <c r="J657" s="22" t="inlineStr"/>
      <c r="K657" s="63" t="n">
        <v>824.6235787722781</v>
      </c>
      <c r="L657" s="22" t="inlineStr">
        <is>
          <t>2012.A</t>
        </is>
      </c>
      <c r="M657" s="22" t="n">
        <v>3</v>
      </c>
      <c r="N657" s="22" t="inlineStr">
        <is>
          <t>Sekapark-Otogar tramvay AVAN/uygulama projesi KEŞİF ÖZETİ (yaklaşık maliyet, tedarikçi teklifi DEĞİL); malzeme temini ve montaj</t>
        </is>
      </c>
    </row>
    <row r="658">
      <c r="A658" s="22" t="inlineStr">
        <is>
          <t>R04291</t>
        </is>
      </c>
      <c r="B658" s="22" t="inlineStr">
        <is>
          <t>KOCAELI_BELEDIYESI_TRAMWAY_HATTI</t>
        </is>
      </c>
      <c r="C658" s="22" t="inlineStr">
        <is>
          <t>tramvay</t>
        </is>
      </c>
      <c r="D658" s="22" t="inlineStr">
        <is>
          <t>Özgür Makina (proje müşaviri keşif özeti)</t>
        </is>
      </c>
      <c r="E658" s="22" t="inlineStr">
        <is>
          <t>2014-12-24</t>
        </is>
      </c>
      <c r="F658" s="22" t="inlineStr">
        <is>
          <t>KT-10.2 2 YOL İÇİN HEAD SPAN SİSTEMİ</t>
        </is>
      </c>
      <c r="G658" s="22" t="inlineStr">
        <is>
          <t>ADET</t>
        </is>
      </c>
      <c r="H658" s="63" t="n">
        <v>2200</v>
      </c>
      <c r="I658" s="22" t="inlineStr">
        <is>
          <t>TRY</t>
        </is>
      </c>
      <c r="J658" s="22" t="inlineStr"/>
      <c r="K658" s="63" t="n">
        <v>1036.66964188515</v>
      </c>
      <c r="L658" s="22" t="inlineStr">
        <is>
          <t>2012.B</t>
        </is>
      </c>
      <c r="M658" s="22" t="n">
        <v>1</v>
      </c>
      <c r="N658" s="22" t="inlineStr">
        <is>
          <t>Sekapark-Otogar tramvay AVAN/uygulama projesi KEŞİF ÖZETİ (yaklaşık maliyet, tedarikçi teklifi DEĞİL); malzeme temini ve montaj</t>
        </is>
      </c>
    </row>
    <row r="659">
      <c r="A659" s="22" t="inlineStr">
        <is>
          <t>R04292</t>
        </is>
      </c>
      <c r="B659" s="22" t="inlineStr">
        <is>
          <t>KOCAELI_BELEDIYESI_TRAMWAY_HATTI</t>
        </is>
      </c>
      <c r="C659" s="22" t="inlineStr">
        <is>
          <t>tramvay</t>
        </is>
      </c>
      <c r="D659" s="22" t="inlineStr">
        <is>
          <t>Özgür Makina (proje müşaviri keşif özeti)</t>
        </is>
      </c>
      <c r="E659" s="22" t="inlineStr">
        <is>
          <t>2014-12-24</t>
        </is>
      </c>
      <c r="F659" s="22" t="inlineStr">
        <is>
          <t>KT-11 ANTİŞÖMİNMAN SİSTEMİ</t>
        </is>
      </c>
      <c r="G659" s="22" t="inlineStr">
        <is>
          <t>ADET</t>
        </is>
      </c>
      <c r="H659" s="63" t="n">
        <v>3100</v>
      </c>
      <c r="I659" s="22" t="inlineStr">
        <is>
          <t>TRY</t>
        </is>
      </c>
      <c r="J659" s="22" t="inlineStr"/>
      <c r="K659" s="63" t="n">
        <v>1460.76176811089</v>
      </c>
      <c r="L659" s="22" t="inlineStr">
        <is>
          <t>2012.A</t>
        </is>
      </c>
      <c r="M659" s="22" t="n">
        <v>1</v>
      </c>
      <c r="N659" s="22" t="inlineStr">
        <is>
          <t>Sekapark-Otogar tramvay AVAN/uygulama projesi KEŞİF ÖZETİ (yaklaşık maliyet, tedarikçi teklifi DEĞİL); malzeme temini ve montaj</t>
        </is>
      </c>
    </row>
    <row r="660">
      <c r="A660" s="22" t="inlineStr">
        <is>
          <t>R04294</t>
        </is>
      </c>
      <c r="B660" s="22" t="inlineStr">
        <is>
          <t>KOCAELI_BELEDIYESI_TRAMWAY_HATTI</t>
        </is>
      </c>
      <c r="C660" s="22" t="inlineStr">
        <is>
          <t>tramvay</t>
        </is>
      </c>
      <c r="D660" s="22" t="inlineStr">
        <is>
          <t>Özgür Makina (proje müşaviri keşif özeti)</t>
        </is>
      </c>
      <c r="E660" s="22" t="inlineStr">
        <is>
          <t>2014-12-24</t>
        </is>
      </c>
      <c r="F660" s="22" t="inlineStr">
        <is>
          <t>KT-13 BESLEME BAĞLANTILARI</t>
        </is>
      </c>
      <c r="G660" s="22" t="inlineStr">
        <is>
          <t>ADET</t>
        </is>
      </c>
      <c r="H660" s="63" t="n">
        <v>225</v>
      </c>
      <c r="I660" s="22" t="inlineStr">
        <is>
          <t>TRY</t>
        </is>
      </c>
      <c r="J660" s="22" t="inlineStr"/>
      <c r="K660" s="63" t="n">
        <v>106.023031556436</v>
      </c>
      <c r="L660" s="22" t="inlineStr"/>
      <c r="M660" s="22" t="n">
        <v>2</v>
      </c>
      <c r="N660" s="22" t="inlineStr">
        <is>
          <t>Sekapark-Otogar tramvay AVAN/uygulama projesi KEŞİF ÖZETİ (yaklaşık maliyet, tedarikçi teklifi DEĞİL); malzeme temini ve montaj</t>
        </is>
      </c>
    </row>
    <row r="661">
      <c r="A661" s="22" t="inlineStr">
        <is>
          <t>R04295</t>
        </is>
      </c>
      <c r="B661" s="22" t="inlineStr">
        <is>
          <t>KOCAELI_BELEDIYESI_TRAMWAY_HATTI</t>
        </is>
      </c>
      <c r="C661" s="22" t="inlineStr">
        <is>
          <t>tramvay</t>
        </is>
      </c>
      <c r="D661" s="22" t="inlineStr">
        <is>
          <t>Özgür Makina (proje müşaviri keşif özeti)</t>
        </is>
      </c>
      <c r="E661" s="22" t="inlineStr">
        <is>
          <t>2014-12-24</t>
        </is>
      </c>
      <c r="F661" s="22" t="inlineStr">
        <is>
          <t>KT-14 STANDART KATENER İÇİN SABİT GERDİRME İLE HAT SONU MONTAJLARI</t>
        </is>
      </c>
      <c r="G661" s="22" t="inlineStr">
        <is>
          <t>ADET</t>
        </is>
      </c>
      <c r="H661" s="63" t="n">
        <v>850</v>
      </c>
      <c r="I661" s="22" t="inlineStr">
        <is>
          <t>TRY</t>
        </is>
      </c>
      <c r="J661" s="22" t="inlineStr"/>
      <c r="K661" s="63" t="n">
        <v>400.531452546535</v>
      </c>
      <c r="L661" s="22" t="inlineStr">
        <is>
          <t>2012.B</t>
        </is>
      </c>
      <c r="M661" s="22" t="n">
        <v>2</v>
      </c>
      <c r="N661" s="22" t="inlineStr">
        <is>
          <t>Sekapark-Otogar tramvay AVAN/uygulama projesi KEŞİF ÖZETİ (yaklaşık maliyet, tedarikçi teklifi DEĞİL); malzeme temini ve montaj</t>
        </is>
      </c>
    </row>
    <row r="662">
      <c r="A662" s="22" t="inlineStr">
        <is>
          <t>R04296</t>
        </is>
      </c>
      <c r="B662" s="22" t="inlineStr">
        <is>
          <t>KOCAELI_BELEDIYESI_TRAMWAY_HATTI</t>
        </is>
      </c>
      <c r="C662" s="22" t="inlineStr">
        <is>
          <t>tramvay</t>
        </is>
      </c>
      <c r="D662" s="22" t="inlineStr">
        <is>
          <t>Özgür Makina (proje müşaviri keşif özeti)</t>
        </is>
      </c>
      <c r="E662" s="22" t="inlineStr">
        <is>
          <t>2014-12-24</t>
        </is>
      </c>
      <c r="F662" s="22" t="inlineStr">
        <is>
          <t>KT-15 STANDART KATENER İÇİN YAYLI GERDİRME CİHAZI İLE HAT SONU MONTAJLARI</t>
        </is>
      </c>
      <c r="G662" s="22" t="inlineStr">
        <is>
          <t>ADET</t>
        </is>
      </c>
      <c r="H662" s="63" t="n">
        <v>3850</v>
      </c>
      <c r="I662" s="22" t="inlineStr">
        <is>
          <t>TRY</t>
        </is>
      </c>
      <c r="J662" s="22" t="inlineStr"/>
      <c r="K662" s="63" t="n">
        <v>1814.17187329901</v>
      </c>
      <c r="L662" s="22" t="inlineStr">
        <is>
          <t>2012.A</t>
        </is>
      </c>
      <c r="M662" s="22" t="n">
        <v>1</v>
      </c>
      <c r="N662" s="22" t="inlineStr">
        <is>
          <t>Sekapark-Otogar tramvay AVAN/uygulama projesi KEŞİF ÖZETİ (yaklaşık maliyet, tedarikçi teklifi DEĞİL); malzeme temini ve montaj</t>
        </is>
      </c>
    </row>
    <row r="663">
      <c r="A663" s="22" t="inlineStr">
        <is>
          <t>R04297</t>
        </is>
      </c>
      <c r="B663" s="22" t="inlineStr">
        <is>
          <t>KOCAELI_BELEDIYESI_TRAMWAY_HATTI</t>
        </is>
      </c>
      <c r="C663" s="22" t="inlineStr">
        <is>
          <t>tramvay</t>
        </is>
      </c>
      <c r="D663" s="22" t="inlineStr">
        <is>
          <t>Özgür Makina (proje müşaviri keşif özeti)</t>
        </is>
      </c>
      <c r="E663" s="22" t="inlineStr">
        <is>
          <t>2014-12-24</t>
        </is>
      </c>
      <c r="F663" s="22" t="inlineStr">
        <is>
          <t>KT-16 STANDART KATENER İÇİN KARŞI AĞIRLIKLI GERDİRME CİHAZI İLE HAT SONU MONTAJLARI</t>
        </is>
      </c>
      <c r="G663" s="22" t="inlineStr">
        <is>
          <t>ADET</t>
        </is>
      </c>
      <c r="H663" s="63" t="n">
        <v>7750</v>
      </c>
      <c r="I663" s="22" t="inlineStr">
        <is>
          <t>TRY</t>
        </is>
      </c>
      <c r="J663" s="22" t="inlineStr"/>
      <c r="K663" s="63" t="n">
        <v>3651.90442027723</v>
      </c>
      <c r="L663" s="22" t="inlineStr">
        <is>
          <t>2012.A</t>
        </is>
      </c>
      <c r="M663" s="22" t="n">
        <v>1</v>
      </c>
      <c r="N663" s="22" t="inlineStr">
        <is>
          <t>Sekapark-Otogar tramvay AVAN/uygulama projesi KEŞİF ÖZETİ (yaklaşık maliyet, tedarikçi teklifi DEĞİL); malzeme temini ve montaj</t>
        </is>
      </c>
    </row>
    <row r="664">
      <c r="A664" s="22" t="inlineStr">
        <is>
          <t>R04298</t>
        </is>
      </c>
      <c r="B664" s="22" t="inlineStr">
        <is>
          <t>KOCAELI_BELEDIYESI_TRAMWAY_HATTI</t>
        </is>
      </c>
      <c r="C664" s="22" t="inlineStr">
        <is>
          <t>tramvay</t>
        </is>
      </c>
      <c r="D664" s="22" t="inlineStr">
        <is>
          <t>Özgür Makina (proje müşaviri keşif özeti)</t>
        </is>
      </c>
      <c r="E664" s="22" t="inlineStr">
        <is>
          <t>2014-12-24</t>
        </is>
      </c>
      <c r="F664" s="22" t="inlineStr">
        <is>
          <t>KT-17 SEKSİYON İZOLATÖRÜ</t>
        </is>
      </c>
      <c r="G664" s="22" t="inlineStr">
        <is>
          <t>ADET</t>
        </is>
      </c>
      <c r="H664" s="63" t="n">
        <v>2850</v>
      </c>
      <c r="I664" s="22" t="inlineStr">
        <is>
          <t>TRY</t>
        </is>
      </c>
      <c r="J664" s="22" t="inlineStr"/>
      <c r="K664" s="63" t="n">
        <v>1342.95839971485</v>
      </c>
      <c r="L664" s="22" t="inlineStr">
        <is>
          <t>2012.A</t>
        </is>
      </c>
      <c r="M664" s="22" t="n">
        <v>2</v>
      </c>
      <c r="N664" s="22" t="inlineStr">
        <is>
          <t>Sekapark-Otogar tramvay AVAN/uygulama projesi KEŞİF ÖZETİ (yaklaşık maliyet, tedarikçi teklifi DEĞİL); malzeme temini ve montaj</t>
        </is>
      </c>
    </row>
    <row r="665">
      <c r="A665" s="22" t="inlineStr">
        <is>
          <t>R04299</t>
        </is>
      </c>
      <c r="B665" s="22" t="inlineStr">
        <is>
          <t>KOCAELI_BELEDIYESI_TRAMWAY_HATTI</t>
        </is>
      </c>
      <c r="C665" s="22" t="inlineStr">
        <is>
          <t>tramvay</t>
        </is>
      </c>
      <c r="D665" s="22" t="inlineStr">
        <is>
          <t>Özgür Makina (proje müşaviri keşif özeti)</t>
        </is>
      </c>
      <c r="E665" s="22" t="inlineStr">
        <is>
          <t>2014-12-24</t>
        </is>
      </c>
      <c r="F665" s="22" t="inlineStr">
        <is>
          <t>KT-18 PARAFUDR SİSTEMİ</t>
        </is>
      </c>
      <c r="G665" s="22" t="inlineStr">
        <is>
          <t>ADET</t>
        </is>
      </c>
      <c r="H665" s="63" t="n">
        <v>1100</v>
      </c>
      <c r="I665" s="22" t="inlineStr">
        <is>
          <t>TRY</t>
        </is>
      </c>
      <c r="J665" s="22" t="inlineStr"/>
      <c r="K665" s="63" t="n">
        <v>518.334820942575</v>
      </c>
      <c r="L665" s="22" t="inlineStr">
        <is>
          <t>2012.A</t>
        </is>
      </c>
      <c r="M665" s="22" t="n">
        <v>2</v>
      </c>
      <c r="N665" s="22" t="inlineStr">
        <is>
          <t>Sekapark-Otogar tramvay AVAN/uygulama projesi KEŞİF ÖZETİ (yaklaşık maliyet, tedarikçi teklifi DEĞİL); malzeme temini ve montaj</t>
        </is>
      </c>
    </row>
    <row r="666">
      <c r="A666" s="22" t="inlineStr">
        <is>
          <t>R04302</t>
        </is>
      </c>
      <c r="B666" s="22" t="inlineStr">
        <is>
          <t>KOCAELI_BELEDIYESI_TRAMWAY_HATTI</t>
        </is>
      </c>
      <c r="C666" s="22" t="inlineStr">
        <is>
          <t>tramvay</t>
        </is>
      </c>
      <c r="D666" s="22" t="inlineStr">
        <is>
          <t>Özgür Makina (proje müşaviri keşif özeti)</t>
        </is>
      </c>
      <c r="E666" s="22" t="inlineStr">
        <is>
          <t>2014-12-24</t>
        </is>
      </c>
      <c r="F666" s="22" t="inlineStr">
        <is>
          <t>KT-21 ELLE KUMANDALI AYIRICI</t>
        </is>
      </c>
      <c r="G666" s="22" t="inlineStr">
        <is>
          <t>ADET</t>
        </is>
      </c>
      <c r="H666" s="63" t="n">
        <v>3150</v>
      </c>
      <c r="I666" s="22" t="inlineStr">
        <is>
          <t>TRY</t>
        </is>
      </c>
      <c r="J666" s="22" t="inlineStr"/>
      <c r="K666" s="63" t="n">
        <v>1484.3224417901</v>
      </c>
      <c r="L666" s="22" t="inlineStr">
        <is>
          <t>2012.B</t>
        </is>
      </c>
      <c r="M666" s="22" t="n">
        <v>1</v>
      </c>
      <c r="N666" s="22" t="inlineStr">
        <is>
          <t>Sekapark-Otogar tramvay AVAN/uygulama projesi KEŞİF ÖZETİ (yaklaşık maliyet, tedarikçi teklifi DEĞİL); malzeme temini ve montaj</t>
        </is>
      </c>
    </row>
    <row r="667">
      <c r="A667" s="22" t="inlineStr">
        <is>
          <t>R04303</t>
        </is>
      </c>
      <c r="B667" s="22" t="inlineStr">
        <is>
          <t>KOCAELI_BELEDIYESI_TRAMWAY_HATTI</t>
        </is>
      </c>
      <c r="C667" s="22" t="inlineStr">
        <is>
          <t>tramvay</t>
        </is>
      </c>
      <c r="D667" s="22" t="inlineStr">
        <is>
          <t>Özgür Makina (proje müşaviri keşif özeti)</t>
        </is>
      </c>
      <c r="E667" s="22" t="inlineStr">
        <is>
          <t>2014-12-24</t>
        </is>
      </c>
      <c r="F667" s="22" t="inlineStr">
        <is>
          <t>KT-22 MOTOR KUMANDALI AYIRICI</t>
        </is>
      </c>
      <c r="G667" s="22" t="inlineStr">
        <is>
          <t>ADET</t>
        </is>
      </c>
      <c r="H667" s="63" t="n">
        <v>8100</v>
      </c>
      <c r="I667" s="22" t="inlineStr">
        <is>
          <t>TRY</t>
        </is>
      </c>
      <c r="J667" s="22" t="inlineStr"/>
      <c r="K667" s="63" t="n">
        <v>3816.82913603169</v>
      </c>
      <c r="L667" s="22" t="inlineStr">
        <is>
          <t>2012.A</t>
        </is>
      </c>
      <c r="M667" s="22" t="n">
        <v>2</v>
      </c>
      <c r="N667" s="22" t="inlineStr">
        <is>
          <t>Sekapark-Otogar tramvay AVAN/uygulama projesi KEŞİF ÖZETİ (yaklaşık maliyet, tedarikçi teklifi DEĞİL); malzeme temini ve montaj</t>
        </is>
      </c>
    </row>
    <row r="668">
      <c r="A668" s="22" t="inlineStr">
        <is>
          <t>R04610</t>
        </is>
      </c>
      <c r="B668" s="22" t="inlineStr">
        <is>
          <t>Kent Meydani-Terminal Tram</t>
        </is>
      </c>
      <c r="C668" s="22" t="inlineStr">
        <is>
          <t>tramvay</t>
        </is>
      </c>
      <c r="D668" s="22" t="inlineStr">
        <is>
          <t>İMKON İmalat Montaj İnşaat San. Tic. Ltd. Şti.</t>
        </is>
      </c>
      <c r="E668" s="22" t="inlineStr">
        <is>
          <t>2014-02-04</t>
        </is>
      </c>
      <c r="F668" s="22" t="inlineStr">
        <is>
          <t>Tip direk imalatı ST37 kalite</t>
        </is>
      </c>
      <c r="G668" s="22" t="inlineStr">
        <is>
          <t>kg</t>
        </is>
      </c>
      <c r="H668" s="63" t="n">
        <v>4</v>
      </c>
      <c r="I668" s="22" t="inlineStr">
        <is>
          <t>TRY</t>
        </is>
      </c>
      <c r="J668" s="22" t="inlineStr">
        <is>
          <t>Malzeme</t>
        </is>
      </c>
      <c r="K668" s="63" t="n">
        <v>1.77220031238099</v>
      </c>
      <c r="L668" s="22" t="inlineStr">
        <is>
          <t>2012.C</t>
        </is>
      </c>
      <c r="M668" s="22" t="n">
        <v>7</v>
      </c>
      <c r="N668" s="22" t="inlineStr">
        <is>
          <t>KDV hariç; tip direk imalatı (montaj/galvaniz/nakliye belirtilmemiş)</t>
        </is>
      </c>
    </row>
    <row r="669">
      <c r="A669" s="22" t="inlineStr">
        <is>
          <t>R04611</t>
        </is>
      </c>
      <c r="B669" s="22" t="inlineStr">
        <is>
          <t>Kent Meydani-Terminal Tram</t>
        </is>
      </c>
      <c r="C669" s="22" t="inlineStr">
        <is>
          <t>tramvay</t>
        </is>
      </c>
      <c r="D669" s="22" t="inlineStr">
        <is>
          <t>İMKON İmalat Montaj İnşaat San. Tic. Ltd. Şti.</t>
        </is>
      </c>
      <c r="E669" s="22" t="inlineStr">
        <is>
          <t>2014-02-04</t>
        </is>
      </c>
      <c r="F669" s="22" t="inlineStr">
        <is>
          <t>Tip direk imalatı ST44 kalite</t>
        </is>
      </c>
      <c r="G669" s="22" t="inlineStr">
        <is>
          <t>kg</t>
        </is>
      </c>
      <c r="H669" s="63" t="n">
        <v>4.15</v>
      </c>
      <c r="I669" s="22" t="inlineStr">
        <is>
          <t>TRY</t>
        </is>
      </c>
      <c r="J669" s="22" t="inlineStr">
        <is>
          <t>Malzeme</t>
        </is>
      </c>
      <c r="K669" s="63" t="n">
        <v>1.83865782409528</v>
      </c>
      <c r="L669" s="22" t="inlineStr">
        <is>
          <t>2012.C</t>
        </is>
      </c>
      <c r="M669" s="22" t="n">
        <v>7</v>
      </c>
      <c r="N669" s="22" t="inlineStr">
        <is>
          <t>KDV hariç; tip direk imalatı (montaj/galvaniz/nakliye belirtilmemiş)</t>
        </is>
      </c>
    </row>
    <row r="670">
      <c r="A670" s="22" t="inlineStr">
        <is>
          <t>R04612</t>
        </is>
      </c>
      <c r="B670" s="22" t="inlineStr">
        <is>
          <t>Kent Meydani-Terminal Tram</t>
        </is>
      </c>
      <c r="C670" s="22" t="inlineStr">
        <is>
          <t>tramvay</t>
        </is>
      </c>
      <c r="D670" s="22" t="inlineStr">
        <is>
          <t>bilinmiyor (teklif ref 2015-255, imza Serkan Akbaba)</t>
        </is>
      </c>
      <c r="E670" s="22" t="inlineStr">
        <is>
          <t>2015-06-04</t>
        </is>
      </c>
      <c r="F670" s="22" t="inlineStr">
        <is>
          <t>Galvanizli sac veya profilden katener (havai hat) direği yapılması, boyanması</t>
        </is>
      </c>
      <c r="G670" s="22" t="inlineStr">
        <is>
          <t>kg</t>
        </is>
      </c>
      <c r="H670" s="63" t="n">
        <v>4.2</v>
      </c>
      <c r="I670" s="22" t="inlineStr">
        <is>
          <t>TRY</t>
        </is>
      </c>
      <c r="J670" s="22" t="inlineStr">
        <is>
          <t>Malzeme</t>
        </is>
      </c>
      <c r="K670" s="63" t="n">
        <v>1.83366977043033</v>
      </c>
      <c r="L670" s="22" t="inlineStr">
        <is>
          <t>2012.C</t>
        </is>
      </c>
      <c r="M670" s="22" t="n">
        <v>4</v>
      </c>
      <c r="N670" s="22" t="inlineStr">
        <is>
          <t>KDV %18 hariç; malzeme temini + şantiyeye nakil dahil, MONTAJSIZ; ödeme fatura+45 gün</t>
        </is>
      </c>
    </row>
    <row r="671">
      <c r="A671" s="22" t="inlineStr">
        <is>
          <t>R04613</t>
        </is>
      </c>
      <c r="B671" s="22" t="inlineStr">
        <is>
          <t>Kent Meydani-Terminal Tram</t>
        </is>
      </c>
      <c r="C671" s="22" t="inlineStr">
        <is>
          <t>tramvay</t>
        </is>
      </c>
      <c r="D671" s="22" t="inlineStr">
        <is>
          <t>Karçel / Kuzey Konstrüksiyon / İmkon (mukayese)</t>
        </is>
      </c>
      <c r="E671" s="22" t="inlineStr">
        <is>
          <t>2015-06-04</t>
        </is>
      </c>
      <c r="F671" s="22" t="inlineStr">
        <is>
          <t>Katener direği (HEA/HEB profil) - Kuzey Konstrüksiyon rev. birim fiyat</t>
        </is>
      </c>
      <c r="G671" s="22" t="inlineStr">
        <is>
          <t>kg</t>
        </is>
      </c>
      <c r="H671" s="63" t="n">
        <v>3.5</v>
      </c>
      <c r="I671" s="22" t="inlineStr">
        <is>
          <t>TRY</t>
        </is>
      </c>
      <c r="J671" s="22" t="inlineStr">
        <is>
          <t>Malzeme</t>
        </is>
      </c>
      <c r="K671" s="63" t="n">
        <v>1.52805814202528</v>
      </c>
      <c r="L671" s="22" t="inlineStr">
        <is>
          <t>2012.C</t>
        </is>
      </c>
      <c r="M671" s="22" t="n">
        <v>4</v>
      </c>
      <c r="N671" s="22" t="inlineStr">
        <is>
          <t>YM direk fiyat mukayesesi; maliyetlere %10 nakliye eklenmiş (EUR sütunlarında) | firma: Kuzey Konstrüksiyon</t>
        </is>
      </c>
    </row>
    <row r="672">
      <c r="A672" s="22" t="inlineStr">
        <is>
          <t>R04614</t>
        </is>
      </c>
      <c r="B672" s="22" t="inlineStr">
        <is>
          <t>Kent Meydani-Terminal Tram</t>
        </is>
      </c>
      <c r="C672" s="22" t="inlineStr">
        <is>
          <t>tramvay</t>
        </is>
      </c>
      <c r="D672" s="22" t="inlineStr">
        <is>
          <t>Karçel / Kuzey Konstrüksiyon / İmkon (mukayese)</t>
        </is>
      </c>
      <c r="E672" s="22" t="inlineStr">
        <is>
          <t>2015-06-04</t>
        </is>
      </c>
      <c r="F672" s="22" t="inlineStr">
        <is>
          <t>Katener direği (HEA/HEB profil) - İmkon birim fiyat</t>
        </is>
      </c>
      <c r="G672" s="22" t="inlineStr">
        <is>
          <t>kg</t>
        </is>
      </c>
      <c r="H672" s="63" t="n">
        <v>3.15</v>
      </c>
      <c r="I672" s="22" t="inlineStr">
        <is>
          <t>TRY</t>
        </is>
      </c>
      <c r="J672" s="22" t="inlineStr">
        <is>
          <t>Malzeme</t>
        </is>
      </c>
      <c r="K672" s="63" t="n">
        <v>1.37525232782275</v>
      </c>
      <c r="L672" s="22" t="inlineStr">
        <is>
          <t>2012.C</t>
        </is>
      </c>
      <c r="M672" s="22" t="n">
        <v>4</v>
      </c>
      <c r="N672" s="22" t="inlineStr">
        <is>
          <t>YM direk fiyat mukayesesi; maliyetlere %10 nakliye eklenmiş (EUR sütunlarında) | firma: İmkon</t>
        </is>
      </c>
    </row>
    <row r="673">
      <c r="A673" s="22" t="inlineStr">
        <is>
          <t>R04615</t>
        </is>
      </c>
      <c r="B673" s="22" t="inlineStr">
        <is>
          <t>Kent Meydani-Terminal Tram</t>
        </is>
      </c>
      <c r="C673" s="22" t="inlineStr">
        <is>
          <t>tramvay</t>
        </is>
      </c>
      <c r="D673" s="22" t="inlineStr">
        <is>
          <t>Karçel / Kuzey Konstrüksiyon / İmkon (mukayese)</t>
        </is>
      </c>
      <c r="E673" s="22" t="inlineStr">
        <is>
          <t>2015-06-04</t>
        </is>
      </c>
      <c r="F673" s="22" t="inlineStr">
        <is>
          <t>Katener direği (HEA/HEB profil) - Karçel birim fiyat</t>
        </is>
      </c>
      <c r="G673" s="22" t="inlineStr">
        <is>
          <t>kg</t>
        </is>
      </c>
      <c r="H673" s="63" t="n">
        <v>2.34</v>
      </c>
      <c r="I673" s="22" t="inlineStr">
        <is>
          <t>USD</t>
        </is>
      </c>
      <c r="J673" s="22" t="inlineStr">
        <is>
          <t>Malzeme</t>
        </is>
      </c>
      <c r="K673" s="63" t="n">
        <v>2.74221345641592</v>
      </c>
      <c r="L673" s="22" t="inlineStr">
        <is>
          <t>2012.C</t>
        </is>
      </c>
      <c r="M673" s="22" t="n">
        <v>4</v>
      </c>
      <c r="N673" s="22" t="inlineStr">
        <is>
          <t>YM direk fiyat mukayesesi; maliyetlere %10 nakliye eklenmiş (EUR sütunlarında) | firma: Karçel; USD/kg</t>
        </is>
      </c>
    </row>
    <row r="674">
      <c r="A674" s="22" t="inlineStr">
        <is>
          <t>R04697</t>
        </is>
      </c>
      <c r="B674" s="22" t="inlineStr">
        <is>
          <t>SamsunLRT</t>
        </is>
      </c>
      <c r="C674" s="22" t="inlineStr">
        <is>
          <t>LRT</t>
        </is>
      </c>
      <c r="D674" s="22" t="inlineStr">
        <is>
          <t>Usluel Enerji</t>
        </is>
      </c>
      <c r="E674" s="22" t="inlineStr">
        <is>
          <t>2008-03-14</t>
        </is>
      </c>
      <c r="F674" s="22" t="inlineStr">
        <is>
          <t>Kontak Teli (120 mm2)</t>
        </is>
      </c>
      <c r="G674" s="22" t="inlineStr">
        <is>
          <t>m</t>
        </is>
      </c>
      <c r="H674" s="63" t="n">
        <v>12.44</v>
      </c>
      <c r="I674" s="22" t="inlineStr">
        <is>
          <t>EUR</t>
        </is>
      </c>
      <c r="J674" s="22" t="inlineStr">
        <is>
          <t>M+İ</t>
        </is>
      </c>
      <c r="K674" s="63" t="n">
        <v>18.2805362068207</v>
      </c>
      <c r="L674" s="22" t="inlineStr">
        <is>
          <t>2012.A</t>
        </is>
      </c>
      <c r="M674" s="22" t="n">
        <v>2</v>
      </c>
      <c r="N674" s="22" t="inlineStr">
        <is>
          <t>e-posta 14.03.2008 ekli teklif; hücre formatı € ; malzeme+montaj; direk temelleri belirtilmemiş | bölüm: ana hat + depo</t>
        </is>
      </c>
    </row>
    <row r="675">
      <c r="A675" s="22" t="inlineStr">
        <is>
          <t>R04714</t>
        </is>
      </c>
      <c r="B675" s="22" t="inlineStr">
        <is>
          <t>SamsunLRT</t>
        </is>
      </c>
      <c r="C675" s="22" t="inlineStr">
        <is>
          <t>LRT</t>
        </is>
      </c>
      <c r="D675" s="22" t="inlineStr">
        <is>
          <t>Usluel Enerji</t>
        </is>
      </c>
      <c r="E675" s="22" t="inlineStr">
        <is>
          <t>2008-03-14</t>
        </is>
      </c>
      <c r="F675" s="22" t="inlineStr">
        <is>
          <t>Motorlu Ayırıcı</t>
        </is>
      </c>
      <c r="G675" s="22" t="inlineStr">
        <is>
          <t>Adet</t>
        </is>
      </c>
      <c r="H675" s="63" t="n">
        <v>3925</v>
      </c>
      <c r="I675" s="22" t="inlineStr">
        <is>
          <t>EUR</t>
        </is>
      </c>
      <c r="J675" s="22" t="inlineStr">
        <is>
          <t>M+İ</t>
        </is>
      </c>
      <c r="K675" s="63" t="n">
        <v>5767.77368261826</v>
      </c>
      <c r="L675" s="22" t="inlineStr">
        <is>
          <t>2012.A</t>
        </is>
      </c>
      <c r="M675" s="22" t="n">
        <v>2</v>
      </c>
      <c r="N675" s="22" t="inlineStr">
        <is>
          <t>e-posta 14.03.2008 ekli teklif; hücre formatı € ; malzeme+montaj; direk temelleri belirtilmemiş | bölüm: ana hat + depo</t>
        </is>
      </c>
    </row>
    <row r="676">
      <c r="A676" s="22" t="inlineStr">
        <is>
          <t>R04719</t>
        </is>
      </c>
      <c r="B676" s="22" t="inlineStr">
        <is>
          <t>SamsunLRT</t>
        </is>
      </c>
      <c r="C676" s="22" t="inlineStr">
        <is>
          <t>LRT</t>
        </is>
      </c>
      <c r="D676" s="22" t="inlineStr">
        <is>
          <t>Usluel Enerji</t>
        </is>
      </c>
      <c r="E676" s="22" t="inlineStr">
        <is>
          <t>2008-03-14</t>
        </is>
      </c>
      <c r="F676" s="22" t="inlineStr">
        <is>
          <t>Aşırı Gerilim Koruma Cihazı</t>
        </is>
      </c>
      <c r="G676" s="22" t="inlineStr">
        <is>
          <t>Adet</t>
        </is>
      </c>
      <c r="H676" s="63" t="n">
        <v>404</v>
      </c>
      <c r="I676" s="22" t="inlineStr">
        <is>
          <t>EUR</t>
        </is>
      </c>
      <c r="J676" s="22" t="inlineStr">
        <is>
          <t>M+İ</t>
        </is>
      </c>
      <c r="K676" s="63" t="n">
        <v>593.676577777778</v>
      </c>
      <c r="L676" s="22" t="inlineStr">
        <is>
          <t>2012.A</t>
        </is>
      </c>
      <c r="M676" s="22" t="n">
        <v>2</v>
      </c>
      <c r="N676" s="22" t="inlineStr">
        <is>
          <t>e-posta 14.03.2008 ekli teklif; hücre formatı € ; malzeme+montaj; direk temelleri belirtilmemiş | bölüm: ana hat + depo</t>
        </is>
      </c>
    </row>
    <row r="677">
      <c r="A677" s="22" t="inlineStr">
        <is>
          <t>R05042</t>
        </is>
      </c>
      <c r="B677" s="22" t="inlineStr">
        <is>
          <t>Yerkoy-Sivas_YHT_Ustyapi_E&amp;M</t>
        </is>
      </c>
      <c r="C677" s="22" t="inlineStr">
        <is>
          <t>YHT</t>
        </is>
      </c>
      <c r="D677" s="22" t="inlineStr">
        <is>
          <t>Yapıray</t>
        </is>
      </c>
      <c r="E677" s="22" t="inlineStr">
        <is>
          <t>2016-10-14</t>
        </is>
      </c>
      <c r="F677" s="22" t="inlineStr">
        <is>
          <t>ELF-10.3 GEÇİŞ BARASI (KRUVAZMAN ÇUBUĞU)</t>
        </is>
      </c>
      <c r="G677" s="22" t="inlineStr">
        <is>
          <t>adet</t>
        </is>
      </c>
      <c r="H677" s="63" t="n">
        <v>475</v>
      </c>
      <c r="I677" s="22" t="inlineStr">
        <is>
          <t>EUR</t>
        </is>
      </c>
      <c r="J677" s="22" t="inlineStr"/>
      <c r="K677" s="63" t="n">
        <v>628.458639560222</v>
      </c>
      <c r="L677" s="22" t="inlineStr"/>
      <c r="M677" s="22" t="n">
        <v>1</v>
      </c>
      <c r="N677" s="22" t="inlineStr">
        <is>
          <t>YHT 25 kV AC, Yerköy-Sivas ~251 km çift hat; katener+elektrifikasyon birim fiyat teklifi, KDV hariç; satır açıklamaları PDF düzeninden birleştirildi</t>
        </is>
      </c>
    </row>
    <row r="678">
      <c r="A678" s="22" t="inlineStr">
        <is>
          <t>R05056</t>
        </is>
      </c>
      <c r="B678" s="22" t="inlineStr">
        <is>
          <t>Yerkoy-Sivas_YHT_Ustyapi_E&amp;M</t>
        </is>
      </c>
      <c r="C678" s="22" t="inlineStr">
        <is>
          <t>YHT</t>
        </is>
      </c>
      <c r="D678" s="22" t="inlineStr">
        <is>
          <t>Yapıray</t>
        </is>
      </c>
      <c r="E678" s="22" t="inlineStr">
        <is>
          <t>2016-10-14</t>
        </is>
      </c>
      <c r="F678" s="22" t="inlineStr">
        <is>
          <t>ELF-26.5 NUMARA LEVHASI</t>
        </is>
      </c>
      <c r="G678" s="22" t="inlineStr">
        <is>
          <t>adet</t>
        </is>
      </c>
      <c r="H678" s="63" t="n">
        <v>2.5</v>
      </c>
      <c r="I678" s="22" t="inlineStr">
        <is>
          <t>EUR</t>
        </is>
      </c>
      <c r="J678" s="22" t="inlineStr"/>
      <c r="K678" s="63" t="n">
        <v>3.30767705031696</v>
      </c>
      <c r="L678" s="22" t="inlineStr">
        <is>
          <t>2012.A</t>
        </is>
      </c>
      <c r="M678" s="22" t="n">
        <v>2</v>
      </c>
      <c r="N678" s="22" t="inlineStr">
        <is>
          <t>[AYKIRI DEĞER – otomatik dışlandı] YHT 25 kV AC, Yerköy-Sivas ~251 km çift hat; katener+elektrifikasyon birim fiyat teklifi, KDV hariç; satır açıklamaları PDF düzeninden birleştirildi</t>
        </is>
      </c>
    </row>
    <row r="679">
      <c r="A679" s="22" t="inlineStr">
        <is>
          <t>R05137</t>
        </is>
      </c>
      <c r="B679" s="22" t="inlineStr">
        <is>
          <t>Yerkoy-Sivas_YHT_Ustyapi_E&amp;M</t>
        </is>
      </c>
      <c r="C679" s="22" t="inlineStr">
        <is>
          <t>YHT</t>
        </is>
      </c>
      <c r="D679" s="22" t="inlineStr">
        <is>
          <t>Rayba Yapı Proje ve Danışmanlık</t>
        </is>
      </c>
      <c r="E679" s="22" t="inlineStr">
        <is>
          <t>2016-10-21</t>
        </is>
      </c>
      <c r="F679" s="22" t="inlineStr">
        <is>
          <t>ELF-10.3 GEÇİŞ BARASI (KRUVAZMAN ÇUBUĞU)</t>
        </is>
      </c>
      <c r="G679" s="22" t="inlineStr">
        <is>
          <t>adet</t>
        </is>
      </c>
      <c r="H679" s="63" t="n">
        <v>417</v>
      </c>
      <c r="I679" s="22" t="inlineStr">
        <is>
          <t>EUR</t>
        </is>
      </c>
      <c r="J679" s="22" t="inlineStr"/>
      <c r="K679" s="63" t="n">
        <v>551.720531992869</v>
      </c>
      <c r="L679" s="22" t="inlineStr"/>
      <c r="M679" s="22" t="n">
        <v>1</v>
      </c>
      <c r="N679" s="22" t="inlineStr">
        <is>
          <t>YHT 25 kV AC, Yerköy-Sivas ~251 km çift hat; katener+elektrifikasyon birim fiyat teklifi, KDV hariç; satır açıklamaları PDF düzeninden birleştirildi</t>
        </is>
      </c>
    </row>
    <row r="680">
      <c r="A680" s="22" t="inlineStr">
        <is>
          <t>R05156</t>
        </is>
      </c>
      <c r="B680" s="22" t="inlineStr">
        <is>
          <t>Yerkoy-Sivas_YHT_Ustyapi_E&amp;M</t>
        </is>
      </c>
      <c r="C680" s="22" t="inlineStr">
        <is>
          <t>YHT</t>
        </is>
      </c>
      <c r="D680" s="22" t="inlineStr">
        <is>
          <t>Rayba Yapı Proje ve Danışmanlık</t>
        </is>
      </c>
      <c r="E680" s="22" t="inlineStr">
        <is>
          <t>2016-10-21</t>
        </is>
      </c>
      <c r="F680" s="22" t="inlineStr">
        <is>
          <t>ELF-20.1 230 VAC HARİCİ DAĞITIM PANOSU</t>
        </is>
      </c>
      <c r="G680" s="22" t="inlineStr">
        <is>
          <t>adet</t>
        </is>
      </c>
      <c r="H680" s="63" t="n">
        <v>2328.89</v>
      </c>
      <c r="I680" s="22" t="inlineStr">
        <is>
          <t>EUR</t>
        </is>
      </c>
      <c r="J680" s="22" t="inlineStr"/>
      <c r="K680" s="63" t="n">
        <v>3081.28640228506</v>
      </c>
      <c r="L680" s="22" t="inlineStr"/>
      <c r="M680" s="22" t="n">
        <v>2</v>
      </c>
      <c r="N680" s="22" t="inlineStr">
        <is>
          <t>YHT 25 kV AC, Yerköy-Sivas ~251 km çift hat; katener+elektrifikasyon birim fiyat teklifi, KDV hariç; satır açıklamaları PDF düzeninden birleştirildi</t>
        </is>
      </c>
    </row>
    <row r="681">
      <c r="A681" s="22" t="inlineStr">
        <is>
          <t>R05176</t>
        </is>
      </c>
      <c r="B681" s="22" t="inlineStr">
        <is>
          <t>Yerkoy-Sivas_YHT_Ustyapi_E&amp;M</t>
        </is>
      </c>
      <c r="C681" s="22" t="inlineStr">
        <is>
          <t>YHT</t>
        </is>
      </c>
      <c r="D681" s="22" t="inlineStr">
        <is>
          <t>Rayba Yapı Proje ve Danışmanlık</t>
        </is>
      </c>
      <c r="E681" s="22" t="inlineStr">
        <is>
          <t>2016-10-21</t>
        </is>
      </c>
      <c r="F681" s="22" t="inlineStr">
        <is>
          <t>ELF-26.5 NUMARA LEVHASI</t>
        </is>
      </c>
      <c r="G681" s="22" t="inlineStr">
        <is>
          <t>adet</t>
        </is>
      </c>
      <c r="H681" s="63" t="n">
        <v>27.75</v>
      </c>
      <c r="I681" s="22" t="inlineStr">
        <is>
          <t>EUR</t>
        </is>
      </c>
      <c r="J681" s="22" t="inlineStr"/>
      <c r="K681" s="63" t="n">
        <v>36.7152152585182</v>
      </c>
      <c r="L681" s="22" t="inlineStr">
        <is>
          <t>2012.A</t>
        </is>
      </c>
      <c r="M681" s="22" t="n">
        <v>2</v>
      </c>
      <c r="N681" s="22" t="inlineStr">
        <is>
          <t>YHT 25 kV AC, Yerköy-Sivas ~251 km çift hat; katener+elektrifikasyon birim fiyat teklifi, KDV hariç; satır açıklamaları PDF düzeninden birleştirildi</t>
        </is>
      </c>
    </row>
    <row r="682">
      <c r="A682" s="22" t="inlineStr">
        <is>
          <t>R05193</t>
        </is>
      </c>
      <c r="B682" s="22" t="inlineStr">
        <is>
          <t>Bakirkoy_Kirazli_Metro</t>
        </is>
      </c>
      <c r="C682" s="22" t="inlineStr">
        <is>
          <t>metro</t>
        </is>
      </c>
      <c r="D682" s="22" t="inlineStr">
        <is>
          <t>bilinmiyor (ref 300780/İES-R1; Kartal 300327 teklifi ile aynı firma)</t>
        </is>
      </c>
      <c r="E682" s="22" t="inlineStr">
        <is>
          <t>2014-11-05</t>
        </is>
      </c>
      <c r="F682" s="22" t="inlineStr">
        <is>
          <t>Giacomini A95 itfaiye bağlantı ağzı 4"x2½"x2½" (+ storz, zincir, plaka)</t>
        </is>
      </c>
      <c r="G682" s="22" t="inlineStr">
        <is>
          <t>adet</t>
        </is>
      </c>
      <c r="H682" s="63" t="n">
        <v>119.58</v>
      </c>
      <c r="I682" s="22" t="inlineStr">
        <is>
          <t>USD</t>
        </is>
      </c>
      <c r="J682" s="22" t="inlineStr"/>
      <c r="K682" s="63" t="n">
        <v>128.143878129717</v>
      </c>
      <c r="L682" s="22" t="inlineStr">
        <is>
          <t>5005.H</t>
        </is>
      </c>
      <c r="M682" s="22" t="n">
        <v>1</v>
      </c>
      <c r="N682" s="22" t="inlineStr">
        <is>
          <t>Bakırköy-Kirazlı metro yangın söndürme ekipman teklifi (Özgürlük Meydanı istasyonu satırları); indirimli; ATS hariç; montaj/KDV hariç.</t>
        </is>
      </c>
    </row>
    <row r="683">
      <c r="A683" s="22" t="inlineStr">
        <is>
          <t>R05284</t>
        </is>
      </c>
      <c r="B683" s="22" t="inlineStr">
        <is>
          <t>Izmir_Ucyol_Buca_Metro</t>
        </is>
      </c>
      <c r="C683" s="22" t="inlineStr">
        <is>
          <t>metro</t>
        </is>
      </c>
      <c r="D683" s="22" t="inlineStr">
        <is>
          <t>Alp Erdem Elektrik İnşaat Tic. A.Ş.</t>
        </is>
      </c>
      <c r="E683" s="22" t="inlineStr">
        <is>
          <t>2021-06-15</t>
        </is>
      </c>
      <c r="F683" s="22" t="inlineStr">
        <is>
          <t>Arçelik split klima duvar tipi 2,2/2,5 kW</t>
        </is>
      </c>
      <c r="G683" s="22" t="inlineStr">
        <is>
          <t>AD</t>
        </is>
      </c>
      <c r="H683" s="63" t="n">
        <v>471.5</v>
      </c>
      <c r="I683" s="22" t="inlineStr">
        <is>
          <t>EUR</t>
        </is>
      </c>
      <c r="J683" s="22" t="inlineStr">
        <is>
          <t>M+İ</t>
        </is>
      </c>
      <c r="K683" s="63" t="n">
        <v>584.787966063138</v>
      </c>
      <c r="L683" s="22" t="inlineStr">
        <is>
          <t>6001.A</t>
        </is>
      </c>
      <c r="M683" s="22" t="n">
        <v>6</v>
      </c>
      <c r="N683" s="22" t="inlineStr">
        <is>
          <t>İzmir Buca-Üçyol metro mekanik tesisat anahtar teslim teklifi (Yapı Merkezi'ne, AE_MT_MMMP_01); malzeme EUR, işçilik+GG/kâr TL verilmiş; birim_fiyat = malzeme € + (işçilik+GGK TL)/10,3 (kur, teklifteki GGK oranından türetildi ≈10,3 TL/€); KDV hariç. [orijinal: malzeme 275.58 €, işçilik 1357.97 TL, GGK 659.91 TL]</t>
        </is>
      </c>
    </row>
    <row r="684">
      <c r="A684" s="22" t="inlineStr">
        <is>
          <t>R05285</t>
        </is>
      </c>
      <c r="B684" s="22" t="inlineStr">
        <is>
          <t>Izmir_Ucyol_Buca_Metro</t>
        </is>
      </c>
      <c r="C684" s="22" t="inlineStr">
        <is>
          <t>metro</t>
        </is>
      </c>
      <c r="D684" s="22" t="inlineStr">
        <is>
          <t>Alp Erdem Elektrik İnşaat Tic. A.Ş.</t>
        </is>
      </c>
      <c r="E684" s="22" t="inlineStr">
        <is>
          <t>2021-06-15</t>
        </is>
      </c>
      <c r="F684" s="22" t="inlineStr">
        <is>
          <t>Arçelik split klima duvar tipi 4,5 kW</t>
        </is>
      </c>
      <c r="G684" s="22" t="inlineStr">
        <is>
          <t>AD</t>
        </is>
      </c>
      <c r="H684" s="63" t="n">
        <v>624.61</v>
      </c>
      <c r="I684" s="22" t="inlineStr">
        <is>
          <t>EUR</t>
        </is>
      </c>
      <c r="J684" s="22" t="inlineStr">
        <is>
          <t>M+İ</t>
        </is>
      </c>
      <c r="K684" s="63" t="n">
        <v>774.685920429898</v>
      </c>
      <c r="L684" s="22" t="inlineStr">
        <is>
          <t>6001.A</t>
        </is>
      </c>
      <c r="M684" s="22" t="n">
        <v>5</v>
      </c>
      <c r="N684" s="22" t="inlineStr">
        <is>
          <t>İzmir Buca-Üçyol metro mekanik tesisat anahtar teslim teklifi (Yapı Merkezi'ne, AE_MT_MMMP_01); malzeme EUR, işçilik+GG/kâr TL verilmiş; birim_fiyat = malzeme € + (işçilik+GGK TL)/10,3 (kur, teklifteki GGK oranından türetildi ≈10,3 TL/€); KDV hariç. [orijinal: malzeme 407.75 €, işçilik 1357.97 TL, GGK 875.64 TL]</t>
        </is>
      </c>
    </row>
    <row r="685">
      <c r="A685" s="22" t="inlineStr">
        <is>
          <t>R05286</t>
        </is>
      </c>
      <c r="B685" s="22" t="inlineStr">
        <is>
          <t>Izmir_Ucyol_Buca_Metro</t>
        </is>
      </c>
      <c r="C685" s="22" t="inlineStr">
        <is>
          <t>metro</t>
        </is>
      </c>
      <c r="D685" s="22" t="inlineStr">
        <is>
          <t>Alp Erdem Elektrik İnşaat Tic. A.Ş.</t>
        </is>
      </c>
      <c r="E685" s="22" t="inlineStr">
        <is>
          <t>2021-06-15</t>
        </is>
      </c>
      <c r="F685" s="22" t="inlineStr">
        <is>
          <t>Arçelik split klima duvar tipi 3,6 kW</t>
        </is>
      </c>
      <c r="G685" s="22" t="inlineStr">
        <is>
          <t>AD</t>
        </is>
      </c>
      <c r="H685" s="63" t="n">
        <v>511.38</v>
      </c>
      <c r="I685" s="22" t="inlineStr">
        <is>
          <t>EUR</t>
        </is>
      </c>
      <c r="J685" s="22" t="inlineStr">
        <is>
          <t>M+İ</t>
        </is>
      </c>
      <c r="K685" s="63" t="n">
        <v>634.249989576602</v>
      </c>
      <c r="L685" s="22" t="inlineStr">
        <is>
          <t>6001.H</t>
        </is>
      </c>
      <c r="M685" s="22" t="n">
        <v>3</v>
      </c>
      <c r="N685" s="22" t="inlineStr">
        <is>
          <t>İzmir Buca-Üçyol metro mekanik tesisat anahtar teslim teklifi (Yapı Merkezi'ne, AE_MT_MMMP_01); malzeme EUR, işçilik+GG/kâr TL verilmiş; birim_fiyat = malzeme € + (işçilik+GGK TL)/10,3 (kur, teklifteki GGK oranından türetildi ≈10,3 TL/€); KDV hariç. [orijinal: malzeme 310.01 €, işçilik 1357.97 TL, GGK 716.10 TL]</t>
        </is>
      </c>
    </row>
    <row r="686">
      <c r="A686" s="22" t="inlineStr">
        <is>
          <t>R05289</t>
        </is>
      </c>
      <c r="B686" s="22" t="inlineStr">
        <is>
          <t>Izmir_Ucyol_Buca_Metro</t>
        </is>
      </c>
      <c r="C686" s="22" t="inlineStr">
        <is>
          <t>metro</t>
        </is>
      </c>
      <c r="D686" s="22" t="inlineStr">
        <is>
          <t>Alp Erdem Elektrik İnşaat Tic. A.Ş.</t>
        </is>
      </c>
      <c r="E686" s="22" t="inlineStr">
        <is>
          <t>2021-06-15</t>
        </is>
      </c>
      <c r="F686" s="22" t="inlineStr">
        <is>
          <t>Arçelik VRF heat recovery dış ünite 73/81,5 kW</t>
        </is>
      </c>
      <c r="G686" s="22" t="inlineStr">
        <is>
          <t>AD</t>
        </is>
      </c>
      <c r="H686" s="63" t="n">
        <v>8041.38</v>
      </c>
      <c r="I686" s="22" t="inlineStr">
        <is>
          <t>EUR</t>
        </is>
      </c>
      <c r="J686" s="22" t="inlineStr">
        <is>
          <t>M+İ</t>
        </is>
      </c>
      <c r="K686" s="63" t="n">
        <v>9973.493646958221</v>
      </c>
      <c r="L686" s="22" t="inlineStr">
        <is>
          <t>6001.G</t>
        </is>
      </c>
      <c r="M686" s="22" t="n">
        <v>3</v>
      </c>
      <c r="N686" s="22" t="inlineStr">
        <is>
          <t>İzmir Buca-Üçyol metro mekanik tesisat anahtar teslim teklifi (Yapı Merkezi'ne, AE_MT_MMMP_01); malzeme EUR, işçilik+GG/kâr TL verilmiş; birim_fiyat = malzeme € + (işçilik+GGK TL)/10,3 (kur, teklifteki GGK oranından türetildi ≈10,3 TL/€); KDV hariç. [orijinal: malzeme 6780.30 €, işçilik 1664.61 TL, GGK 11324.52 TL]</t>
        </is>
      </c>
    </row>
    <row r="687">
      <c r="A687" s="22" t="inlineStr">
        <is>
          <t>R05298</t>
        </is>
      </c>
      <c r="B687" s="22" t="inlineStr">
        <is>
          <t>Izmir_Ucyol_Buca_Metro</t>
        </is>
      </c>
      <c r="C687" s="22" t="inlineStr">
        <is>
          <t>metro</t>
        </is>
      </c>
      <c r="D687" s="22" t="inlineStr">
        <is>
          <t>Alp Erdem Elektrik İnşaat Tic. A.Ş.</t>
        </is>
      </c>
      <c r="E687" s="22" t="inlineStr">
        <is>
          <t>2021-06-15</t>
        </is>
      </c>
      <c r="F687" s="22" t="inlineStr">
        <is>
          <t>Arçelik VRF kumanda cihazı</t>
        </is>
      </c>
      <c r="G687" s="22" t="inlineStr">
        <is>
          <t>AD</t>
        </is>
      </c>
      <c r="H687" s="63" t="n">
        <v>43.94</v>
      </c>
      <c r="I687" s="22" t="inlineStr">
        <is>
          <t>EUR</t>
        </is>
      </c>
      <c r="J687" s="22" t="inlineStr">
        <is>
          <t>M+İ</t>
        </is>
      </c>
      <c r="K687" s="63" t="n">
        <v>54.4975254057567</v>
      </c>
      <c r="L687" s="22" t="inlineStr">
        <is>
          <t>6001.H</t>
        </is>
      </c>
      <c r="M687" s="22" t="n">
        <v>2</v>
      </c>
      <c r="N687" s="22" t="inlineStr">
        <is>
          <t>İzmir Buca-Üçyol metro mekanik tesisat anahtar teslim teklifi (Yapı Merkezi'ne, AE_MT_MMMP_01); malzeme EUR, işçilik+GG/kâr TL verilmiş; birim_fiyat = malzeme € + (işçilik+GGK TL)/10,3 (kur, teklifteki GGK oranından türetildi ≈10,3 TL/€); KDV hariç. [orijinal: malzeme 29.45 €, işçilik 87.61 TL, GGK 61.62 TL]</t>
        </is>
      </c>
    </row>
    <row r="688">
      <c r="A688" s="22" t="inlineStr">
        <is>
          <t>R05302</t>
        </is>
      </c>
      <c r="B688" s="22" t="inlineStr">
        <is>
          <t>Izmir_Ucyol_Buca_Metro</t>
        </is>
      </c>
      <c r="C688" s="22" t="inlineStr">
        <is>
          <t>metro</t>
        </is>
      </c>
      <c r="D688" s="22" t="inlineStr">
        <is>
          <t>Alp Erdem Elektrik İnşaat Tic. A.Ş.</t>
        </is>
      </c>
      <c r="E688" s="22" t="inlineStr">
        <is>
          <t>2021-06-15</t>
        </is>
      </c>
      <c r="F688" s="22" t="inlineStr">
        <is>
          <t>Emak kanal tipi üfleme fanı 500 m³/h 100 Pa</t>
        </is>
      </c>
      <c r="G688" s="22" t="inlineStr">
        <is>
          <t>AD</t>
        </is>
      </c>
      <c r="H688" s="63" t="n">
        <v>89.70999999999999</v>
      </c>
      <c r="I688" s="22" t="inlineStr">
        <is>
          <t>EUR</t>
        </is>
      </c>
      <c r="J688" s="22" t="inlineStr">
        <is>
          <t>M+İ</t>
        </is>
      </c>
      <c r="K688" s="63" t="n">
        <v>111.264747477252</v>
      </c>
      <c r="L688" s="22" t="inlineStr">
        <is>
          <t>6002.B</t>
        </is>
      </c>
      <c r="M688" s="22" t="n">
        <v>2</v>
      </c>
      <c r="N688" s="22" t="inlineStr">
        <is>
          <t>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is>
      </c>
    </row>
    <row r="689">
      <c r="A689" s="22" t="inlineStr">
        <is>
          <t>R05305</t>
        </is>
      </c>
      <c r="B689" s="22" t="inlineStr">
        <is>
          <t>Izmir_Ucyol_Buca_Metro</t>
        </is>
      </c>
      <c r="C689" s="22" t="inlineStr">
        <is>
          <t>metro</t>
        </is>
      </c>
      <c r="D689" s="22" t="inlineStr">
        <is>
          <t>Alp Erdem Elektrik İnşaat Tic. A.Ş.</t>
        </is>
      </c>
      <c r="E689" s="22" t="inlineStr">
        <is>
          <t>2021-06-15</t>
        </is>
      </c>
      <c r="F689" s="22" t="inlineStr">
        <is>
          <t>Emak kanal tipi egzoz aspiratörü 200 m³/h 100 Pa</t>
        </is>
      </c>
      <c r="G689" s="22" t="inlineStr">
        <is>
          <t>AD</t>
        </is>
      </c>
      <c r="H689" s="63" t="n">
        <v>78.12</v>
      </c>
      <c r="I689" s="22" t="inlineStr">
        <is>
          <t>EUR</t>
        </is>
      </c>
      <c r="J689" s="22" t="inlineStr">
        <is>
          <t>M+İ</t>
        </is>
      </c>
      <c r="K689" s="63" t="n">
        <v>96.89000192757661</v>
      </c>
      <c r="L689" s="22" t="inlineStr">
        <is>
          <t>6002.B</t>
        </is>
      </c>
      <c r="M689" s="22" t="n">
        <v>1</v>
      </c>
      <c r="N689" s="22" t="inlineStr">
        <is>
          <t>İzmir Buca-Üçyol metro mekanik tesisat anahtar teslim teklifi (Yapı Merkezi'ne, AE_MT_MMMP_01); malzeme EUR, işçilik+GG/kâr TL verilmiş; birim_fiyat = malzeme € + (işçilik+GGK TL)/10,3 (kur, teklifteki GGK oranından türetildi ≈10,3 TL/€); KDV hariç. [orijinal: malzeme 42.00 €, işçilik 262.83 TL, GGK 109.22 TL]</t>
        </is>
      </c>
    </row>
    <row r="690">
      <c r="A690" s="22" t="inlineStr">
        <is>
          <t>R05306</t>
        </is>
      </c>
      <c r="B690" s="22" t="inlineStr">
        <is>
          <t>Izmir_Ucyol_Buca_Metro</t>
        </is>
      </c>
      <c r="C690" s="22" t="inlineStr">
        <is>
          <t>metro</t>
        </is>
      </c>
      <c r="D690" s="22" t="inlineStr">
        <is>
          <t>Alp Erdem Elektrik İnşaat Tic. A.Ş.</t>
        </is>
      </c>
      <c r="E690" s="22" t="inlineStr">
        <is>
          <t>2021-06-15</t>
        </is>
      </c>
      <c r="F690" s="22" t="inlineStr">
        <is>
          <t>Emak kanal tipi egzoz aspiratörü 300 m³/h 100 Pa</t>
        </is>
      </c>
      <c r="G690" s="22" t="inlineStr">
        <is>
          <t>AD</t>
        </is>
      </c>
      <c r="H690" s="63" t="n">
        <v>89.70999999999999</v>
      </c>
      <c r="I690" s="22" t="inlineStr">
        <is>
          <t>EUR</t>
        </is>
      </c>
      <c r="J690" s="22" t="inlineStr">
        <is>
          <t>M+İ</t>
        </is>
      </c>
      <c r="K690" s="63" t="n">
        <v>111.264747477252</v>
      </c>
      <c r="L690" s="22" t="inlineStr">
        <is>
          <t>6002.B</t>
        </is>
      </c>
      <c r="M690" s="22" t="n">
        <v>1</v>
      </c>
      <c r="N690" s="22" t="inlineStr">
        <is>
          <t>İzmir Buca-Üçyol metro mekanik tesisat anahtar teslim teklifi (Yapı Merkezi'ne, AE_MT_MMMP_01); malzeme EUR, işçilik+GG/kâr TL verilmiş; birim_fiyat = malzeme € + (işçilik+GGK TL)/10,3 (kur, teklifteki GGK oranından türetildi ≈10,3 TL/€); KDV hariç. exproof değil [orijinal: malzeme 52.00 €, işçilik 262.83 TL, GGK 125.54 TL]</t>
        </is>
      </c>
    </row>
    <row r="691">
      <c r="A691" s="22" t="inlineStr">
        <is>
          <t>R05307</t>
        </is>
      </c>
      <c r="B691" s="22" t="inlineStr">
        <is>
          <t>Izmir_Ucyol_Buca_Metro</t>
        </is>
      </c>
      <c r="C691" s="22" t="inlineStr">
        <is>
          <t>metro</t>
        </is>
      </c>
      <c r="D691" s="22" t="inlineStr">
        <is>
          <t>Alp Erdem Elektrik İnşaat Tic. A.Ş.</t>
        </is>
      </c>
      <c r="E691" s="22" t="inlineStr">
        <is>
          <t>2021-06-15</t>
        </is>
      </c>
      <c r="F691" s="22" t="inlineStr">
        <is>
          <t>Emak kanal tipi egzoz aspiratörü 400 m³/h 100 Pa</t>
        </is>
      </c>
      <c r="G691" s="22" t="inlineStr">
        <is>
          <t>AD</t>
        </is>
      </c>
      <c r="H691" s="63" t="n">
        <v>89.70999999999999</v>
      </c>
      <c r="I691" s="22" t="inlineStr">
        <is>
          <t>EUR</t>
        </is>
      </c>
      <c r="J691" s="22" t="inlineStr">
        <is>
          <t>M+İ</t>
        </is>
      </c>
      <c r="K691" s="63" t="n">
        <v>111.264747477252</v>
      </c>
      <c r="L691" s="22" t="inlineStr">
        <is>
          <t>6002.B</t>
        </is>
      </c>
      <c r="M691" s="22" t="n">
        <v>2</v>
      </c>
      <c r="N691" s="22" t="inlineStr">
        <is>
          <t>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is>
      </c>
    </row>
    <row r="692">
      <c r="A692" s="22" t="inlineStr">
        <is>
          <t>R05308</t>
        </is>
      </c>
      <c r="B692" s="22" t="inlineStr">
        <is>
          <t>Izmir_Ucyol_Buca_Metro</t>
        </is>
      </c>
      <c r="C692" s="22" t="inlineStr">
        <is>
          <t>metro</t>
        </is>
      </c>
      <c r="D692" s="22" t="inlineStr">
        <is>
          <t>Alp Erdem Elektrik İnşaat Tic. A.Ş.</t>
        </is>
      </c>
      <c r="E692" s="22" t="inlineStr">
        <is>
          <t>2021-06-15</t>
        </is>
      </c>
      <c r="F692" s="22" t="inlineStr">
        <is>
          <t>Emak kanal tipi egzoz aspiratörü 750 m³/h 100 Pa</t>
        </is>
      </c>
      <c r="G692" s="22" t="inlineStr">
        <is>
          <t>AD</t>
        </is>
      </c>
      <c r="H692" s="63" t="n">
        <v>89.70999999999999</v>
      </c>
      <c r="I692" s="22" t="inlineStr">
        <is>
          <t>EUR</t>
        </is>
      </c>
      <c r="J692" s="22" t="inlineStr">
        <is>
          <t>M+İ</t>
        </is>
      </c>
      <c r="K692" s="63" t="n">
        <v>111.264747477252</v>
      </c>
      <c r="L692" s="22" t="inlineStr">
        <is>
          <t>6002.B</t>
        </is>
      </c>
      <c r="M692" s="22" t="n">
        <v>1</v>
      </c>
      <c r="N692" s="22" t="inlineStr">
        <is>
          <t>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is>
      </c>
    </row>
    <row r="693">
      <c r="A693" s="22" t="inlineStr">
        <is>
          <t>R05309</t>
        </is>
      </c>
      <c r="B693" s="22" t="inlineStr">
        <is>
          <t>Izmir_Ucyol_Buca_Metro</t>
        </is>
      </c>
      <c r="C693" s="22" t="inlineStr">
        <is>
          <t>metro</t>
        </is>
      </c>
      <c r="D693" s="22" t="inlineStr">
        <is>
          <t>Alp Erdem Elektrik İnşaat Tic. A.Ş.</t>
        </is>
      </c>
      <c r="E693" s="22" t="inlineStr">
        <is>
          <t>2021-06-15</t>
        </is>
      </c>
      <c r="F693" s="22" t="inlineStr">
        <is>
          <t>Emak kanal tipi egzoz aspiratörü 1.000 m³/h 150 Pa</t>
        </is>
      </c>
      <c r="G693" s="22" t="inlineStr">
        <is>
          <t>AD</t>
        </is>
      </c>
      <c r="H693" s="63" t="n">
        <v>116.91</v>
      </c>
      <c r="I693" s="22" t="inlineStr">
        <is>
          <t>EUR</t>
        </is>
      </c>
      <c r="J693" s="22" t="inlineStr">
        <is>
          <t>M+İ</t>
        </is>
      </c>
      <c r="K693" s="63" t="n">
        <v>145.000129612813</v>
      </c>
      <c r="L693" s="22" t="inlineStr">
        <is>
          <t>6002.B</t>
        </is>
      </c>
      <c r="M693" s="22" t="n">
        <v>1</v>
      </c>
      <c r="N693" s="22" t="inlineStr">
        <is>
          <t>İzmir Buca-Üçyol metro mekanik tesisat anahtar teslim teklifi (Yapı Merkezi'ne, AE_MT_MMMP_01); malzeme EUR, işçilik+GG/kâr TL verilmiş; birim_fiyat = malzeme € + (işçilik+GGK TL)/10,3 (kur, teklifteki GGK oranından türetildi ≈10,3 TL/€); KDV hariç. [orijinal: malzeme 67.00 €, işçilik 350.44 TL, GGK 163.58 TL]</t>
        </is>
      </c>
    </row>
    <row r="694">
      <c r="A694" s="22" t="inlineStr">
        <is>
          <t>R05313</t>
        </is>
      </c>
      <c r="B694" s="22" t="inlineStr">
        <is>
          <t>Izmir_Ucyol_Buca_Metro</t>
        </is>
      </c>
      <c r="C694" s="22" t="inlineStr">
        <is>
          <t>metro</t>
        </is>
      </c>
      <c r="D694" s="22" t="inlineStr">
        <is>
          <t>Alp Erdem Elektrik İnşaat Tic. A.Ş.</t>
        </is>
      </c>
      <c r="E694" s="22" t="inlineStr">
        <is>
          <t>2021-06-15</t>
        </is>
      </c>
      <c r="F694" s="22" t="inlineStr">
        <is>
          <t>Galvaniz hava kanalı 0,60 mm (≤600 mm)</t>
        </is>
      </c>
      <c r="G694" s="22" t="inlineStr">
        <is>
          <t>M2</t>
        </is>
      </c>
      <c r="H694" s="63" t="n">
        <v>21.58</v>
      </c>
      <c r="I694" s="22" t="inlineStr">
        <is>
          <t>EUR</t>
        </is>
      </c>
      <c r="J694" s="22" t="inlineStr">
        <is>
          <t>M+İ</t>
        </is>
      </c>
      <c r="K694" s="63" t="n">
        <v>26.7650568560817</v>
      </c>
      <c r="L694" s="22" t="inlineStr">
        <is>
          <t>6002.B</t>
        </is>
      </c>
      <c r="M694" s="22" t="n">
        <v>5</v>
      </c>
      <c r="N694" s="22" t="inlineStr">
        <is>
          <t>İzmir Buca-Üçyol metro mekanik tesisat anahtar teslim teklifi (Yapı Merkezi'ne, AE_MT_MMMP_01); malzeme EUR, işçilik+GG/kâr TL verilmiş; birim_fiyat = malzeme € + (işçilik+GGK TL)/10,3 (kur, teklifteki GGK oranından türetildi ≈10,3 TL/€); KDV hariç. izolasyon ayrı [orijinal: malzeme 13.96 €, işçilik 48.19 TL, GGK 30.24 TL]</t>
        </is>
      </c>
    </row>
    <row r="695">
      <c r="A695" s="22" t="inlineStr">
        <is>
          <t>R05314</t>
        </is>
      </c>
      <c r="B695" s="22" t="inlineStr">
        <is>
          <t>Izmir_Ucyol_Buca_Metro</t>
        </is>
      </c>
      <c r="C695" s="22" t="inlineStr">
        <is>
          <t>metro</t>
        </is>
      </c>
      <c r="D695" s="22" t="inlineStr">
        <is>
          <t>Alp Erdem Elektrik İnşaat Tic. A.Ş.</t>
        </is>
      </c>
      <c r="E695" s="22" t="inlineStr">
        <is>
          <t>2021-06-15</t>
        </is>
      </c>
      <c r="F695" s="22" t="inlineStr">
        <is>
          <t>Galvaniz hava kanalı 0,80 mm (≤1249 mm)</t>
        </is>
      </c>
      <c r="G695" s="22" t="inlineStr">
        <is>
          <t>M2</t>
        </is>
      </c>
      <c r="H695" s="63" t="n">
        <v>24.95</v>
      </c>
      <c r="I695" s="22" t="inlineStr">
        <is>
          <t>EUR</t>
        </is>
      </c>
      <c r="J695" s="22" t="inlineStr">
        <is>
          <t>M+İ</t>
        </is>
      </c>
      <c r="K695" s="63" t="n">
        <v>30.9447714809656</v>
      </c>
      <c r="L695" s="22" t="inlineStr">
        <is>
          <t>6002.B</t>
        </is>
      </c>
      <c r="M695" s="22" t="n">
        <v>5</v>
      </c>
      <c r="N695" s="22" t="inlineStr">
        <is>
          <t>İzmir Buca-Üçyol metro mekanik tesisat anahtar teslim teklifi (Yapı Merkezi'ne, AE_MT_MMMP_01); malzeme EUR, işçilik+GG/kâr TL verilmiş; birim_fiyat = malzeme € + (işçilik+GGK TL)/10,3 (kur, teklifteki GGK oranından türetildi ≈10,3 TL/€); KDV hariç. [orijinal: malzeme 16.87 €, işçilik 48.19 TL, GGK 35.00 TL]</t>
        </is>
      </c>
    </row>
    <row r="696">
      <c r="A696" s="22" t="inlineStr">
        <is>
          <t>R05323</t>
        </is>
      </c>
      <c r="B696" s="22" t="inlineStr">
        <is>
          <t>Izmir_Ucyol_Buca_Metro</t>
        </is>
      </c>
      <c r="C696" s="22" t="inlineStr">
        <is>
          <t>metro</t>
        </is>
      </c>
      <c r="D696" s="22" t="inlineStr">
        <is>
          <t>Alp Erdem Elektrik İnşaat Tic. A.Ş.</t>
        </is>
      </c>
      <c r="E696" s="22" t="inlineStr">
        <is>
          <t>2021-06-15</t>
        </is>
      </c>
      <c r="F696" s="22" t="inlineStr">
        <is>
          <t>Normteknik taşınabilir CO2 söndürücü 5 kg</t>
        </is>
      </c>
      <c r="G696" s="22" t="inlineStr">
        <is>
          <t>AD</t>
        </is>
      </c>
      <c r="H696" s="63" t="n">
        <v>52.46</v>
      </c>
      <c r="I696" s="22" t="inlineStr">
        <is>
          <t>EUR</t>
        </is>
      </c>
      <c r="J696" s="22" t="inlineStr">
        <is>
          <t>M+İ</t>
        </is>
      </c>
      <c r="K696" s="63" t="n">
        <v>65.0646377511606</v>
      </c>
      <c r="L696" s="22" t="inlineStr">
        <is>
          <t>5005.A</t>
        </is>
      </c>
      <c r="M696" s="22" t="n">
        <v>11</v>
      </c>
      <c r="N696" s="22" t="inlineStr">
        <is>
          <t>İzmir Buca-Üçyol metro mekanik tesisat anahtar teslim teklifi (Yapı Merkezi'ne, AE_MT_MMMP_01); malzeme EUR, işçilik+GG/kâr TL verilmiş; birim_fiyat = malzeme € + (işçilik+GGK TL)/10,3 (kur, teklifteki GGK oranından türetildi ≈10,3 TL/€); KDV hariç. [orijinal: malzeme 41.04 €, işçilik 43.81 TL, GGK 73.77 TL]</t>
        </is>
      </c>
    </row>
    <row r="697">
      <c r="A697" s="22" t="inlineStr">
        <is>
          <t>R05324</t>
        </is>
      </c>
      <c r="B697" s="22" t="inlineStr">
        <is>
          <t>Izmir_Ucyol_Buca_Metro</t>
        </is>
      </c>
      <c r="C697" s="22" t="inlineStr">
        <is>
          <t>metro</t>
        </is>
      </c>
      <c r="D697" s="22" t="inlineStr">
        <is>
          <t>Alp Erdem Elektrik İnşaat Tic. A.Ş.</t>
        </is>
      </c>
      <c r="E697" s="22" t="inlineStr">
        <is>
          <t>2021-06-15</t>
        </is>
      </c>
      <c r="F697" s="22" t="inlineStr">
        <is>
          <t>Normteknik taşınabilir ABC söndürücü 6 kg</t>
        </is>
      </c>
      <c r="G697" s="22" t="inlineStr">
        <is>
          <t>AD</t>
        </is>
      </c>
      <c r="H697" s="63" t="n">
        <v>27.73</v>
      </c>
      <c r="I697" s="22" t="inlineStr">
        <is>
          <t>EUR</t>
        </is>
      </c>
      <c r="J697" s="22" t="inlineStr">
        <is>
          <t>M+İ</t>
        </is>
      </c>
      <c r="K697" s="63" t="n">
        <v>34.3927259786444</v>
      </c>
      <c r="L697" s="22" t="inlineStr">
        <is>
          <t>5005.A</t>
        </is>
      </c>
      <c r="M697" s="22" t="n">
        <v>9</v>
      </c>
      <c r="N697" s="22" t="inlineStr">
        <is>
          <t>İzmir Buca-Üçyol metro mekanik tesisat anahtar teslim teklifi (Yapı Merkezi'ne, AE_MT_MMMP_01); malzeme EUR, işçilik+GG/kâr TL verilmiş; birim_fiyat = malzeme € + (işçilik+GGK TL)/10,3 (kur, teklifteki GGK oranından türetildi ≈10,3 TL/€); KDV hariç. [orijinal: malzeme 19.70 €, işçilik 43.81 TL, GGK 38.93 TL]</t>
        </is>
      </c>
    </row>
    <row r="698">
      <c r="A698" s="22" t="inlineStr">
        <is>
          <t>R05325</t>
        </is>
      </c>
      <c r="B698" s="22" t="inlineStr">
        <is>
          <t>Izmir_Ucyol_Buca_Metro</t>
        </is>
      </c>
      <c r="C698" s="22" t="inlineStr">
        <is>
          <t>metro</t>
        </is>
      </c>
      <c r="D698" s="22" t="inlineStr">
        <is>
          <t>Alp Erdem Elektrik İnşaat Tic. A.Ş.</t>
        </is>
      </c>
      <c r="E698" s="22" t="inlineStr">
        <is>
          <t>2021-06-15</t>
        </is>
      </c>
      <c r="F698" s="22" t="inlineStr">
        <is>
          <t>Normteknik taşınabilir ABC söndürücü 12 kg</t>
        </is>
      </c>
      <c r="G698" s="22" t="inlineStr">
        <is>
          <t>AD</t>
        </is>
      </c>
      <c r="H698" s="63" t="n">
        <v>45.96</v>
      </c>
      <c r="I698" s="22" t="inlineStr">
        <is>
          <t>EUR</t>
        </is>
      </c>
      <c r="J698" s="22" t="inlineStr">
        <is>
          <t>M+İ</t>
        </is>
      </c>
      <c r="K698" s="63" t="n">
        <v>57.002873637883</v>
      </c>
      <c r="L698" s="22" t="inlineStr">
        <is>
          <t>5005.H</t>
        </is>
      </c>
      <c r="M698" s="22" t="n">
        <v>1</v>
      </c>
      <c r="N698" s="22" t="inlineStr">
        <is>
          <t>İzmir Buca-Üçyol metro mekanik tesisat anahtar teslim teklifi (Yapı Merkezi'ne, AE_MT_MMMP_01); malzeme EUR, işçilik+GG/kâr TL verilmiş; birim_fiyat = malzeme € + (işçilik+GGK TL)/10,3 (kur, teklifteki GGK oranından türetildi ≈10,3 TL/€); KDV hariç. [orijinal: malzeme 31.19 €, işçilik 87.61 TL, GGK 64.47 TL]</t>
        </is>
      </c>
    </row>
    <row r="699">
      <c r="A699" s="22" t="inlineStr">
        <is>
          <t>R05326</t>
        </is>
      </c>
      <c r="B699" s="22" t="inlineStr">
        <is>
          <t>Izmir_Ucyol_Buca_Metro</t>
        </is>
      </c>
      <c r="C699" s="22" t="inlineStr">
        <is>
          <t>metro</t>
        </is>
      </c>
      <c r="D699" s="22" t="inlineStr">
        <is>
          <t>Alp Erdem Elektrik İnşaat Tic. A.Ş.</t>
        </is>
      </c>
      <c r="E699" s="22" t="inlineStr">
        <is>
          <t>2021-06-15</t>
        </is>
      </c>
      <c r="F699" s="22" t="inlineStr">
        <is>
          <t>Normteknik yangın dolabı 1" 30 m kauçuk hortumlu (2" köşe vanalı)</t>
        </is>
      </c>
      <c r="G699" s="22" t="inlineStr">
        <is>
          <t>AD</t>
        </is>
      </c>
      <c r="H699" s="63" t="n">
        <v>276.48</v>
      </c>
      <c r="I699" s="22" t="inlineStr">
        <is>
          <t>EUR</t>
        </is>
      </c>
      <c r="J699" s="22" t="inlineStr">
        <is>
          <t>M+İ</t>
        </is>
      </c>
      <c r="K699" s="63" t="n">
        <v>342.910237236769</v>
      </c>
      <c r="L699" s="22" t="inlineStr">
        <is>
          <t>5005.H</t>
        </is>
      </c>
      <c r="M699" s="22" t="n">
        <v>1</v>
      </c>
      <c r="N699" s="22" t="inlineStr">
        <is>
          <t>İzmir Buca-Üçyol metro mekanik tesisat anahtar teslim teklifi (Yapı Merkezi'ne, AE_MT_MMMP_01); malzeme EUR, işçilik+GG/kâr TL verilmiş; birim_fiyat = malzeme € + (işçilik+GGK TL)/10,3 (kur, teklifteki GGK oranından türetildi ≈10,3 TL/€); KDV hariç. [orijinal: malzeme 200.51 €, işçilik 394.25 TL, GGK 388.27 TL]</t>
        </is>
      </c>
    </row>
    <row r="700">
      <c r="A700" s="22" t="inlineStr">
        <is>
          <t>R05327</t>
        </is>
      </c>
      <c r="B700" s="22" t="inlineStr">
        <is>
          <t>Izmir_Ucyol_Buca_Metro</t>
        </is>
      </c>
      <c r="C700" s="22" t="inlineStr">
        <is>
          <t>metro</t>
        </is>
      </c>
      <c r="D700" s="22" t="inlineStr">
        <is>
          <t>Alp Erdem Elektrik İnşaat Tic. A.Ş.</t>
        </is>
      </c>
      <c r="E700" s="22" t="inlineStr">
        <is>
          <t>2021-06-15</t>
        </is>
      </c>
      <c r="F700" s="22" t="inlineStr">
        <is>
          <t>Ayvaz itfaiye bağlantı ağzı 4"x2½"x2½"</t>
        </is>
      </c>
      <c r="G700" s="22" t="inlineStr">
        <is>
          <t>AD</t>
        </is>
      </c>
      <c r="H700" s="63" t="n">
        <v>199.07</v>
      </c>
      <c r="I700" s="22" t="inlineStr">
        <is>
          <t>EUR</t>
        </is>
      </c>
      <c r="J700" s="22" t="inlineStr">
        <is>
          <t>M+İ</t>
        </is>
      </c>
      <c r="K700" s="63" t="n">
        <v>246.900828004642</v>
      </c>
      <c r="L700" s="22" t="inlineStr">
        <is>
          <t>5005.H</t>
        </is>
      </c>
      <c r="M700" s="22" t="n">
        <v>1</v>
      </c>
      <c r="N700" s="22" t="inlineStr">
        <is>
          <t>İzmir Buca-Üçyol metro mekanik tesisat anahtar teslim teklifi (Yapı Merkezi'ne, AE_MT_MMMP_01); malzeme EUR, işçilik+GG/kâr TL verilmiş; birim_fiyat = malzeme € + (işçilik+GGK TL)/10,3 (kur, teklifteki GGK oranından türetildi ≈10,3 TL/€); KDV hariç. [orijinal: malzeme 129.45 €, işçilik 438.06 TL, GGK 279.06 TL]</t>
        </is>
      </c>
    </row>
    <row r="701">
      <c r="A701" s="22" t="inlineStr">
        <is>
          <t>R05328</t>
        </is>
      </c>
      <c r="B701" s="22" t="inlineStr">
        <is>
          <t>Izmir_Ucyol_Buca_Metro</t>
        </is>
      </c>
      <c r="C701" s="22" t="inlineStr">
        <is>
          <t>metro</t>
        </is>
      </c>
      <c r="D701" s="22" t="inlineStr">
        <is>
          <t>Alp Erdem Elektrik İnşaat Tic. A.Ş.</t>
        </is>
      </c>
      <c r="E701" s="22" t="inlineStr">
        <is>
          <t>2021-06-15</t>
        </is>
      </c>
      <c r="F701" s="22" t="inlineStr">
        <is>
          <t>Normteknik itfaiye su alma ağzı</t>
        </is>
      </c>
      <c r="G701" s="22" t="inlineStr">
        <is>
          <t>AD</t>
        </is>
      </c>
      <c r="H701" s="63" t="n">
        <v>106.98</v>
      </c>
      <c r="I701" s="22" t="inlineStr">
        <is>
          <t>EUR</t>
        </is>
      </c>
      <c r="J701" s="22" t="inlineStr">
        <is>
          <t>M+İ</t>
        </is>
      </c>
      <c r="K701" s="63" t="n">
        <v>132.684234590529</v>
      </c>
      <c r="L701" s="22" t="inlineStr">
        <is>
          <t>5005.H</t>
        </is>
      </c>
      <c r="M701" s="22" t="n">
        <v>1</v>
      </c>
      <c r="N701" s="22" t="inlineStr">
        <is>
          <t>İzmir Buca-Üçyol metro mekanik tesisat anahtar teslim teklifi (Yapı Merkezi'ne, AE_MT_MMMP_01); malzeme EUR, işçilik+GG/kâr TL verilmiş; birim_fiyat = malzeme € + (işçilik+GGK TL)/10,3 (kur, teklifteki GGK oranından türetildi ≈10,3 TL/€); KDV hariç. [orijinal: malzeme 77.51 €, işçilik 153.32 TL, GGK 150.24 TL]</t>
        </is>
      </c>
    </row>
    <row r="702">
      <c r="A702" s="22" t="inlineStr">
        <is>
          <t>R05329</t>
        </is>
      </c>
      <c r="B702" s="22" t="inlineStr">
        <is>
          <t>Izmir_Ucyol_Buca_Metro</t>
        </is>
      </c>
      <c r="C702" s="22" t="inlineStr">
        <is>
          <t>metro</t>
        </is>
      </c>
      <c r="D702" s="22" t="inlineStr">
        <is>
          <t>Alp Erdem Elektrik İnşaat Tic. A.Ş.</t>
        </is>
      </c>
      <c r="E702" s="22" t="inlineStr">
        <is>
          <t>2021-06-15</t>
        </is>
      </c>
      <c r="F702" s="22" t="inlineStr">
        <is>
          <t>Ayvaz izleme anahtarlı kelebek vana DN100</t>
        </is>
      </c>
      <c r="G702" s="22" t="inlineStr">
        <is>
          <t>AD</t>
        </is>
      </c>
      <c r="H702" s="63" t="n">
        <v>194.97</v>
      </c>
      <c r="I702" s="22" t="inlineStr">
        <is>
          <t>EUR</t>
        </is>
      </c>
      <c r="J702" s="22" t="inlineStr">
        <is>
          <t>M+İ</t>
        </is>
      </c>
      <c r="K702" s="63" t="n">
        <v>241.815715256267</v>
      </c>
      <c r="L702" s="22" t="inlineStr">
        <is>
          <t>5005.H</t>
        </is>
      </c>
      <c r="M702" s="22" t="n">
        <v>2</v>
      </c>
      <c r="N702" s="22" t="inlineStr">
        <is>
          <t>İzmir Buca-Üçyol metro mekanik tesisat anahtar teslim teklifi (Yapı Merkezi'ne, AE_MT_MMMP_01); malzeme EUR, işçilik+GG/kâr TL verilmiş; birim_fiyat = malzeme € + (işçilik+GGK TL)/10,3 (kur, teklifteki GGK oranından türetildi ≈10,3 TL/€); KDV hariç. [orijinal: malzeme 141.59 €, işçilik 275.98 TL, GGK 273.81 TL]</t>
        </is>
      </c>
    </row>
    <row r="703">
      <c r="A703" s="22" t="inlineStr">
        <is>
          <t>R05330</t>
        </is>
      </c>
      <c r="B703" s="22" t="inlineStr">
        <is>
          <t>Izmir_Ucyol_Buca_Metro</t>
        </is>
      </c>
      <c r="C703" s="22" t="inlineStr">
        <is>
          <t>metro</t>
        </is>
      </c>
      <c r="D703" s="22" t="inlineStr">
        <is>
          <t>Alp Erdem Elektrik İnşaat Tic. A.Ş.</t>
        </is>
      </c>
      <c r="E703" s="22" t="inlineStr">
        <is>
          <t>2021-06-15</t>
        </is>
      </c>
      <c r="F703" s="22" t="inlineStr">
        <is>
          <t>Ayvaz akış anahtarı</t>
        </is>
      </c>
      <c r="G703" s="22" t="inlineStr">
        <is>
          <t>AD</t>
        </is>
      </c>
      <c r="H703" s="63" t="n">
        <v>75.95</v>
      </c>
      <c r="I703" s="22" t="inlineStr">
        <is>
          <t>EUR</t>
        </is>
      </c>
      <c r="J703" s="22" t="inlineStr">
        <is>
          <t>M+İ</t>
        </is>
      </c>
      <c r="K703" s="63" t="n">
        <v>94.1986129851439</v>
      </c>
      <c r="L703" s="22" t="inlineStr">
        <is>
          <t>5005.H</t>
        </is>
      </c>
      <c r="M703" s="22" t="n">
        <v>1</v>
      </c>
      <c r="N703" s="22" t="inlineStr">
        <is>
          <t>İzmir Buca-Üçyol metro mekanik tesisat anahtar teslim teklifi (Yapı Merkezi'ne, AE_MT_MMMP_01); malzeme EUR, işçilik+GG/kâr TL verilmiş; birim_fiyat = malzeme € + (işçilik+GGK TL)/10,3 (kur, teklifteki GGK oranından türetildi ≈10,3 TL/€); KDV hariç. [orijinal: malzeme 56.02 €, işçilik 98.56 TL, GGK 106.69 TL]</t>
        </is>
      </c>
    </row>
    <row r="704">
      <c r="A704" s="22" t="inlineStr">
        <is>
          <t>R05331</t>
        </is>
      </c>
      <c r="B704" s="22" t="inlineStr">
        <is>
          <t>Izmir_Ucyol_Buca_Metro</t>
        </is>
      </c>
      <c r="C704" s="22" t="inlineStr">
        <is>
          <t>metro</t>
        </is>
      </c>
      <c r="D704" s="22" t="inlineStr">
        <is>
          <t>Alp Erdem Elektrik İnşaat Tic. A.Ş.</t>
        </is>
      </c>
      <c r="E704" s="22" t="inlineStr">
        <is>
          <t>2021-06-15</t>
        </is>
      </c>
      <c r="F704" s="22" t="inlineStr">
        <is>
          <t>Ayvaz test ve drenaj vanası DN50</t>
        </is>
      </c>
      <c r="G704" s="22" t="inlineStr">
        <is>
          <t>AD</t>
        </is>
      </c>
      <c r="H704" s="63" t="n">
        <v>162.89</v>
      </c>
      <c r="I704" s="22" t="inlineStr">
        <is>
          <t>EUR</t>
        </is>
      </c>
      <c r="J704" s="22" t="inlineStr">
        <is>
          <t>M+İ</t>
        </is>
      </c>
      <c r="K704" s="63" t="n">
        <v>202.027808678737</v>
      </c>
      <c r="L704" s="22" t="inlineStr">
        <is>
          <t>5005.H</t>
        </is>
      </c>
      <c r="M704" s="22" t="n">
        <v>1</v>
      </c>
      <c r="N704" s="22" t="inlineStr">
        <is>
          <t>İzmir Buca-Üçyol metro mekanik tesisat anahtar teslim teklifi (Yapı Merkezi'ne, AE_MT_MMMP_01); malzeme EUR, işçilik+GG/kâr TL verilmiş; birim_fiyat = malzeme € + (işçilik+GGK TL)/10,3 (kur, teklifteki GGK oranından türetildi ≈10,3 TL/€); KDV hariç. [orijinal: malzeme 127.89 €, işçilik 131.42 TL, GGK 229.08 TL]</t>
        </is>
      </c>
    </row>
    <row r="705">
      <c r="A705" s="22" t="inlineStr">
        <is>
          <t>R05332</t>
        </is>
      </c>
      <c r="B705" s="22" t="inlineStr">
        <is>
          <t>Izmir_Ucyol_Buca_Metro</t>
        </is>
      </c>
      <c r="C705" s="22" t="inlineStr">
        <is>
          <t>metro</t>
        </is>
      </c>
      <c r="D705" s="22" t="inlineStr">
        <is>
          <t>Alp Erdem Elektrik İnşaat Tic. A.Ş.</t>
        </is>
      </c>
      <c r="E705" s="22" t="inlineStr">
        <is>
          <t>2021-06-15</t>
        </is>
      </c>
      <c r="F705" s="22" t="inlineStr">
        <is>
          <t>Ayvaz ıslak alarm vanası DN150</t>
        </is>
      </c>
      <c r="G705" s="22" t="inlineStr">
        <is>
          <t>AD</t>
        </is>
      </c>
      <c r="H705" s="63" t="n">
        <v>1220.14</v>
      </c>
      <c r="I705" s="22" t="inlineStr">
        <is>
          <t>EUR</t>
        </is>
      </c>
      <c r="J705" s="22" t="inlineStr">
        <is>
          <t>M+İ</t>
        </is>
      </c>
      <c r="K705" s="63" t="n">
        <v>1513.30474848839</v>
      </c>
      <c r="L705" s="22" t="inlineStr">
        <is>
          <t>5005.H</t>
        </is>
      </c>
      <c r="M705" s="22" t="n">
        <v>1</v>
      </c>
      <c r="N705" s="22" t="inlineStr">
        <is>
          <t>İzmir Buca-Üçyol metro mekanik tesisat anahtar teslim teklifi (Yapı Merkezi'ne, AE_MT_MMMP_01); malzeme EUR, işçilik+GG/kâr TL verilmiş; birim_fiyat = malzeme € + (işçilik+GGK TL)/10,3 (kur, teklifteki GGK oranından türetildi ≈10,3 TL/€); KDV hariç. [orijinal: malzeme 976.93 €, işçilik 788.50 TL, GGK 1716.56 TL]</t>
        </is>
      </c>
    </row>
    <row r="706">
      <c r="A706" s="22" t="inlineStr">
        <is>
          <t>R05334</t>
        </is>
      </c>
      <c r="B706" s="22" t="inlineStr">
        <is>
          <t>Izmir_Ucyol_Buca_Metro</t>
        </is>
      </c>
      <c r="C706" s="22" t="inlineStr">
        <is>
          <t>metro</t>
        </is>
      </c>
      <c r="D706" s="22" t="inlineStr">
        <is>
          <t>Alp Erdem Elektrik İnşaat Tic. A.Ş.</t>
        </is>
      </c>
      <c r="E706" s="22" t="inlineStr">
        <is>
          <t>2021-06-15</t>
        </is>
      </c>
      <c r="F706" s="22" t="inlineStr">
        <is>
          <t>Tyco sprinkler sarkık ½" 68°C K80 + flex + rozet</t>
        </is>
      </c>
      <c r="G706" s="22" t="inlineStr">
        <is>
          <t>AD</t>
        </is>
      </c>
      <c r="H706" s="63" t="n">
        <v>26.44</v>
      </c>
      <c r="I706" s="22" t="inlineStr">
        <is>
          <t>EUR</t>
        </is>
      </c>
      <c r="J706" s="22" t="inlineStr">
        <is>
          <t>M+İ</t>
        </is>
      </c>
      <c r="K706" s="63" t="n">
        <v>32.7927758700093</v>
      </c>
      <c r="L706" s="22" t="inlineStr">
        <is>
          <t>5005.H</t>
        </is>
      </c>
      <c r="M706" s="22" t="n">
        <v>1</v>
      </c>
      <c r="N706" s="22" t="inlineStr">
        <is>
          <t>İzmir Buca-Üçyol metro mekanik tesisat anahtar teslim teklifi (Yapı Merkezi'ne, AE_MT_MMMP_01); malzeme EUR, işçilik+GG/kâr TL verilmiş; birim_fiyat = malzeme € + (işçilik+GGK TL)/10,3 (kur, teklifteki GGK oranından türetildi ≈10,3 TL/€); KDV hariç. [orijinal: malzeme 18.16 €, işçilik 48.19 TL, GGK 37.09 TL]</t>
        </is>
      </c>
    </row>
    <row r="707">
      <c r="A707" s="22" t="inlineStr">
        <is>
          <t>R05335</t>
        </is>
      </c>
      <c r="B707" s="22" t="inlineStr">
        <is>
          <t>Izmir_Ucyol_Buca_Metro</t>
        </is>
      </c>
      <c r="C707" s="22" t="inlineStr">
        <is>
          <t>metro</t>
        </is>
      </c>
      <c r="D707" s="22" t="inlineStr">
        <is>
          <t>Alp Erdem Elektrik İnşaat Tic. A.Ş.</t>
        </is>
      </c>
      <c r="E707" s="22" t="inlineStr">
        <is>
          <t>2021-06-15</t>
        </is>
      </c>
      <c r="F707" s="22" t="inlineStr">
        <is>
          <t>Tyco sprinkler dik ½" 68°C K80</t>
        </is>
      </c>
      <c r="G707" s="22" t="inlineStr">
        <is>
          <t>AD</t>
        </is>
      </c>
      <c r="H707" s="63" t="n">
        <v>5.88</v>
      </c>
      <c r="I707" s="22" t="inlineStr">
        <is>
          <t>EUR</t>
        </is>
      </c>
      <c r="J707" s="22" t="inlineStr">
        <is>
          <t>M+İ</t>
        </is>
      </c>
      <c r="K707" s="63" t="n">
        <v>7.29279584401114</v>
      </c>
      <c r="L707" s="22" t="inlineStr">
        <is>
          <t>5005.H</t>
        </is>
      </c>
      <c r="M707" s="22" t="n">
        <v>1</v>
      </c>
      <c r="N707" s="22" t="inlineStr">
        <is>
          <t>İzmir Buca-Üçyol metro mekanik tesisat anahtar teslim teklifi (Yapı Merkezi'ne, AE_MT_MMMP_01); malzeme EUR, işçilik+GG/kâr TL verilmiş; birim_fiyat = malzeme € + (işçilik+GGK TL)/10,3 (kur, teklifteki GGK oranından türetildi ≈10,3 TL/€); KDV hariç. [orijinal: malzeme 3.38 €, işçilik 17.52 TL, GGK 8.23 TL]</t>
        </is>
      </c>
    </row>
    <row r="708">
      <c r="A708" s="22" t="inlineStr">
        <is>
          <t>R05337</t>
        </is>
      </c>
      <c r="B708" s="22" t="inlineStr">
        <is>
          <t>Izmir_Ucyol_Buca_Metro</t>
        </is>
      </c>
      <c r="C708" s="22" t="inlineStr">
        <is>
          <t>metro</t>
        </is>
      </c>
      <c r="D708" s="22" t="inlineStr">
        <is>
          <t>Alp Erdem Elektrik İnşaat Tic. A.Ş.</t>
        </is>
      </c>
      <c r="E708" s="22" t="inlineStr">
        <is>
          <t>2021-06-15</t>
        </is>
      </c>
      <c r="F708" s="22" t="inlineStr">
        <is>
          <t>HDPE yangın hidrant hattı DN180 (montaj malz. %50 dahil)</t>
        </is>
      </c>
      <c r="G708" s="22" t="inlineStr">
        <is>
          <t>MT</t>
        </is>
      </c>
      <c r="H708" s="63" t="n">
        <v>43.47</v>
      </c>
      <c r="I708" s="22" t="inlineStr">
        <is>
          <t>EUR</t>
        </is>
      </c>
      <c r="J708" s="22" t="inlineStr">
        <is>
          <t>M+İ</t>
        </is>
      </c>
      <c r="K708" s="63" t="n">
        <v>53.9145978467966</v>
      </c>
      <c r="L708" s="22" t="inlineStr">
        <is>
          <t>5005.H</t>
        </is>
      </c>
      <c r="M708" s="22" t="n">
        <v>1</v>
      </c>
      <c r="N708" s="22" t="inlineStr">
        <is>
          <t>İzmir Buca-Üçyol metro mekanik tesisat anahtar teslim teklifi (Yapı Merkezi'ne, AE_MT_MMMP_01); malzeme EUR, işçilik+GG/kâr TL verilmiş; birim_fiyat = malzeme € + (işçilik+GGK TL)/10,3 (kur, teklifteki GGK oranından türetildi ≈10,3 TL/€); KDV hariç. [orijinal: malzeme 24.80 €, işçilik 131.42 TL, GGK 60.82 TL]</t>
        </is>
      </c>
    </row>
    <row r="709">
      <c r="A709" s="22" t="inlineStr">
        <is>
          <t>R05338</t>
        </is>
      </c>
      <c r="B709" s="22" t="inlineStr">
        <is>
          <t>Izmir_Ucyol_Buca_Metro</t>
        </is>
      </c>
      <c r="C709" s="22" t="inlineStr">
        <is>
          <t>metro</t>
        </is>
      </c>
      <c r="D709" s="22" t="inlineStr">
        <is>
          <t>Alp Erdem Elektrik İnşaat Tic. A.Ş.</t>
        </is>
      </c>
      <c r="E709" s="22" t="inlineStr">
        <is>
          <t>2021-06-15</t>
        </is>
      </c>
      <c r="F709" s="22" t="inlineStr">
        <is>
          <t>Dikişli galvaniz boru 1" yangın (montaj malz. %40 dahil)</t>
        </is>
      </c>
      <c r="G709" s="22" t="inlineStr">
        <is>
          <t>MT</t>
        </is>
      </c>
      <c r="H709" s="63" t="n">
        <v>10.14</v>
      </c>
      <c r="I709" s="22" t="inlineStr">
        <is>
          <t>EUR</t>
        </is>
      </c>
      <c r="J709" s="22" t="inlineStr">
        <is>
          <t>M+İ</t>
        </is>
      </c>
      <c r="K709" s="63" t="n">
        <v>12.5763520167131</v>
      </c>
      <c r="L709" s="22" t="inlineStr">
        <is>
          <t>5005.H</t>
        </is>
      </c>
      <c r="M709" s="22" t="n">
        <v>1</v>
      </c>
      <c r="N709" s="22" t="inlineStr">
        <is>
          <t>İzmir Buca-Üçyol metro mekanik tesisat anahtar teslim teklifi (Yapı Merkezi'ne, AE_MT_MMMP_01); malzeme EUR, işçilik+GG/kâr TL verilmiş; birim_fiyat = malzeme € + (işçilik+GGK TL)/10,3 (kur, teklifteki GGK oranından türetildi ≈10,3 TL/€); KDV hariç. [orijinal: malzeme 5.57 €, işçilik 32.85 TL, GGK 14.18 TL]</t>
        </is>
      </c>
    </row>
    <row r="710">
      <c r="A710" s="22" t="inlineStr">
        <is>
          <t>R05339</t>
        </is>
      </c>
      <c r="B710" s="22" t="inlineStr">
        <is>
          <t>Izmir_Ucyol_Buca_Metro</t>
        </is>
      </c>
      <c r="C710" s="22" t="inlineStr">
        <is>
          <t>metro</t>
        </is>
      </c>
      <c r="D710" s="22" t="inlineStr">
        <is>
          <t>Alp Erdem Elektrik İnşaat Tic. A.Ş.</t>
        </is>
      </c>
      <c r="E710" s="22" t="inlineStr">
        <is>
          <t>2021-06-15</t>
        </is>
      </c>
      <c r="F710" s="22" t="inlineStr">
        <is>
          <t>Dikişli galvaniz boru 1¼" yangın (montaj malz. %40 dahil)</t>
        </is>
      </c>
      <c r="G710" s="22" t="inlineStr">
        <is>
          <t>MT</t>
        </is>
      </c>
      <c r="H710" s="63" t="n">
        <v>12.69</v>
      </c>
      <c r="I710" s="22" t="inlineStr">
        <is>
          <t>EUR</t>
        </is>
      </c>
      <c r="J710" s="22" t="inlineStr">
        <is>
          <t>M+İ</t>
        </is>
      </c>
      <c r="K710" s="63" t="n">
        <v>15.739044091922</v>
      </c>
      <c r="L710" s="22" t="inlineStr">
        <is>
          <t>5005.H</t>
        </is>
      </c>
      <c r="M710" s="22" t="n">
        <v>1</v>
      </c>
      <c r="N710" s="22" t="inlineStr">
        <is>
          <t>İzmir Buca-Üçyol metro mekanik tesisat anahtar teslim teklifi (Yapı Merkezi'ne, AE_MT_MMMP_01); malzeme EUR, işçilik+GG/kâr TL verilmiş; birim_fiyat = malzeme € + (işçilik+GGK TL)/10,3 (kur, teklifteki GGK oranından türetildi ≈10,3 TL/€); KDV hariç. [orijinal: malzeme 7.14 €, işçilik 39.43 TL, GGK 17.76 TL]</t>
        </is>
      </c>
    </row>
    <row r="711">
      <c r="A711" s="22" t="inlineStr">
        <is>
          <t>R05340</t>
        </is>
      </c>
      <c r="B711" s="22" t="inlineStr">
        <is>
          <t>Izmir_Ucyol_Buca_Metro</t>
        </is>
      </c>
      <c r="C711" s="22" t="inlineStr">
        <is>
          <t>metro</t>
        </is>
      </c>
      <c r="D711" s="22" t="inlineStr">
        <is>
          <t>Alp Erdem Elektrik İnşaat Tic. A.Ş.</t>
        </is>
      </c>
      <c r="E711" s="22" t="inlineStr">
        <is>
          <t>2021-06-15</t>
        </is>
      </c>
      <c r="F711" s="22" t="inlineStr">
        <is>
          <t>Dikişli galvaniz boru 1½" yangın (montaj malz. %40 dahil)</t>
        </is>
      </c>
      <c r="G711" s="22" t="inlineStr">
        <is>
          <t>MT</t>
        </is>
      </c>
      <c r="H711" s="63" t="n">
        <v>14.58</v>
      </c>
      <c r="I711" s="22" t="inlineStr">
        <is>
          <t>EUR</t>
        </is>
      </c>
      <c r="J711" s="22" t="inlineStr">
        <is>
          <t>M+İ</t>
        </is>
      </c>
      <c r="K711" s="63" t="n">
        <v>18.0831570417827</v>
      </c>
      <c r="L711" s="22" t="inlineStr">
        <is>
          <t>5005.H</t>
        </is>
      </c>
      <c r="M711" s="22" t="n">
        <v>1</v>
      </c>
      <c r="N711" s="22" t="inlineStr">
        <is>
          <t>İzmir Buca-Üçyol metro mekanik tesisat anahtar teslim teklifi (Yapı Merkezi'ne, AE_MT_MMMP_01); malzeme EUR, işçilik+GG/kâr TL verilmiş; birim_fiyat = malzeme € + (işçilik+GGK TL)/10,3 (kur, teklifteki GGK oranından türetildi ≈10,3 TL/€); KDV hariç. [orijinal: malzeme 8.35 €, işçilik 43.81 TL, GGK 20.40 TL]</t>
        </is>
      </c>
    </row>
    <row r="712">
      <c r="A712" s="22" t="inlineStr">
        <is>
          <t>R05341</t>
        </is>
      </c>
      <c r="B712" s="22" t="inlineStr">
        <is>
          <t>Izmir_Ucyol_Buca_Metro</t>
        </is>
      </c>
      <c r="C712" s="22" t="inlineStr">
        <is>
          <t>metro</t>
        </is>
      </c>
      <c r="D712" s="22" t="inlineStr">
        <is>
          <t>Alp Erdem Elektrik İnşaat Tic. A.Ş.</t>
        </is>
      </c>
      <c r="E712" s="22" t="inlineStr">
        <is>
          <t>2021-06-15</t>
        </is>
      </c>
      <c r="F712" s="22" t="inlineStr">
        <is>
          <t>Dikişli galvaniz boru 2" yangın (montaj malz. %40 dahil)</t>
        </is>
      </c>
      <c r="G712" s="22" t="inlineStr">
        <is>
          <t>MT</t>
        </is>
      </c>
      <c r="H712" s="63" t="n">
        <v>18.79</v>
      </c>
      <c r="I712" s="22" t="inlineStr">
        <is>
          <t>EUR</t>
        </is>
      </c>
      <c r="J712" s="22" t="inlineStr">
        <is>
          <t>M+İ</t>
        </is>
      </c>
      <c r="K712" s="63" t="n">
        <v>23.3046996443825</v>
      </c>
      <c r="L712" s="22" t="inlineStr">
        <is>
          <t>5005.H</t>
        </is>
      </c>
      <c r="M712" s="22" t="n">
        <v>3</v>
      </c>
      <c r="N712" s="22" t="inlineStr">
        <is>
          <t>İzmir Buca-Üçyol metro mekanik tesisat anahtar teslim teklifi (Yapı Merkezi'ne, AE_MT_MMMP_01); malzeme EUR, işçilik+GG/kâr TL verilmiş; birim_fiyat = malzeme € + (işçilik+GGK TL)/10,3 (kur, teklifteki GGK oranından türetildi ≈10,3 TL/€); KDV hariç. [orijinal: malzeme 10.71 €, işçilik 56.95 TL, GGK 26.29 TL]</t>
        </is>
      </c>
    </row>
    <row r="713">
      <c r="A713" s="22" t="inlineStr">
        <is>
          <t>R05342</t>
        </is>
      </c>
      <c r="B713" s="22" t="inlineStr">
        <is>
          <t>Izmir_Ucyol_Buca_Metro</t>
        </is>
      </c>
      <c r="C713" s="22" t="inlineStr">
        <is>
          <t>metro</t>
        </is>
      </c>
      <c r="D713" s="22" t="inlineStr">
        <is>
          <t>Alp Erdem Elektrik İnşaat Tic. A.Ş.</t>
        </is>
      </c>
      <c r="E713" s="22" t="inlineStr">
        <is>
          <t>2021-06-15</t>
        </is>
      </c>
      <c r="F713" s="22" t="inlineStr">
        <is>
          <t>Dikişli galvaniz boru 2½" yivli yangın (montaj malz. %40 dahil)</t>
        </is>
      </c>
      <c r="G713" s="22" t="inlineStr">
        <is>
          <t>MT</t>
        </is>
      </c>
      <c r="H713" s="63" t="n">
        <v>24.99</v>
      </c>
      <c r="I713" s="22" t="inlineStr">
        <is>
          <t>EUR</t>
        </is>
      </c>
      <c r="J713" s="22" t="inlineStr">
        <is>
          <t>M+İ</t>
        </is>
      </c>
      <c r="K713" s="63" t="n">
        <v>30.9943823370473</v>
      </c>
      <c r="L713" s="22" t="inlineStr">
        <is>
          <t>5005.H</t>
        </is>
      </c>
      <c r="M713" s="22" t="n">
        <v>3</v>
      </c>
      <c r="N713" s="22" t="inlineStr">
        <is>
          <t>İzmir Buca-Üçyol metro mekanik tesisat anahtar teslim teklifi (Yapı Merkezi'ne, AE_MT_MMMP_01); malzeme EUR, işçilik+GG/kâr TL verilmiş; birim_fiyat = malzeme € + (işçilik+GGK TL)/10,3 (kur, teklifteki GGK oranından türetildi ≈10,3 TL/€); KDV hariç. [orijinal: malzeme 15.21 €, işçilik 65.71 TL, GGK 34.99 TL]</t>
        </is>
      </c>
    </row>
    <row r="714">
      <c r="A714" s="22" t="inlineStr">
        <is>
          <t>R05343</t>
        </is>
      </c>
      <c r="B714" s="22" t="inlineStr">
        <is>
          <t>Izmir_Ucyol_Buca_Metro</t>
        </is>
      </c>
      <c r="C714" s="22" t="inlineStr">
        <is>
          <t>metro</t>
        </is>
      </c>
      <c r="D714" s="22" t="inlineStr">
        <is>
          <t>Alp Erdem Elektrik İnşaat Tic. A.Ş.</t>
        </is>
      </c>
      <c r="E714" s="22" t="inlineStr">
        <is>
          <t>2021-06-15</t>
        </is>
      </c>
      <c r="F714" s="22" t="inlineStr">
        <is>
          <t>Dikişli galvaniz boru 3" yivli yangın (montaj malz. %40 dahil)</t>
        </is>
      </c>
      <c r="G714" s="22" t="inlineStr">
        <is>
          <t>MT</t>
        </is>
      </c>
      <c r="H714" s="63" t="n">
        <v>30.34</v>
      </c>
      <c r="I714" s="22" t="inlineStr">
        <is>
          <t>EUR</t>
        </is>
      </c>
      <c r="J714" s="22" t="inlineStr">
        <is>
          <t>M+İ</t>
        </is>
      </c>
      <c r="K714" s="63" t="n">
        <v>37.6298343379759</v>
      </c>
      <c r="L714" s="22" t="inlineStr">
        <is>
          <t>5005.H</t>
        </is>
      </c>
      <c r="M714" s="22" t="n">
        <v>1</v>
      </c>
      <c r="N714" s="22" t="inlineStr">
        <is>
          <t>İzmir Buca-Üçyol metro mekanik tesisat anahtar teslim teklifi (Yapı Merkezi'ne, AE_MT_MMMP_01); malzeme EUR, işçilik+GG/kâr TL verilmiş; birim_fiyat = malzeme € + (işçilik+GGK TL)/10,3 (kur, teklifteki GGK oranından türetildi ≈10,3 TL/€); KDV hariç. [orijinal: malzeme 18.56 €, işçilik 78.85 TL, GGK 42.49 TL]</t>
        </is>
      </c>
    </row>
    <row r="715">
      <c r="A715" s="22" t="inlineStr">
        <is>
          <t>R05344</t>
        </is>
      </c>
      <c r="B715" s="22" t="inlineStr">
        <is>
          <t>Izmir_Ucyol_Buca_Metro</t>
        </is>
      </c>
      <c r="C715" s="22" t="inlineStr">
        <is>
          <t>metro</t>
        </is>
      </c>
      <c r="D715" s="22" t="inlineStr">
        <is>
          <t>Alp Erdem Elektrik İnşaat Tic. A.Ş.</t>
        </is>
      </c>
      <c r="E715" s="22" t="inlineStr">
        <is>
          <t>2021-06-15</t>
        </is>
      </c>
      <c r="F715" s="22" t="inlineStr">
        <is>
          <t>Dikişli galvaniz boru 4" yivli yangın (montaj malz. %40 dahil)</t>
        </is>
      </c>
      <c r="G715" s="22" t="inlineStr">
        <is>
          <t>MT</t>
        </is>
      </c>
      <c r="H715" s="63" t="n">
        <v>42.15</v>
      </c>
      <c r="I715" s="22" t="inlineStr">
        <is>
          <t>EUR</t>
        </is>
      </c>
      <c r="J715" s="22" t="inlineStr">
        <is>
          <t>M+İ</t>
        </is>
      </c>
      <c r="K715" s="63" t="n">
        <v>52.2774395961003</v>
      </c>
      <c r="L715" s="22" t="inlineStr">
        <is>
          <t>5005.H</t>
        </is>
      </c>
      <c r="M715" s="22" t="n">
        <v>3</v>
      </c>
      <c r="N715" s="22" t="inlineStr">
        <is>
          <t>İzmir Buca-Üçyol metro mekanik tesisat anahtar teslim teklifi (Yapı Merkezi'ne, AE_MT_MMMP_01); malzeme EUR, işçilik+GG/kâr TL verilmiş; birim_fiyat = malzeme € + (işçilik+GGK TL)/10,3 (kur, teklifteki GGK oranından türetildi ≈10,3 TL/€); KDV hariç. [orijinal: malzeme 27.05 €, işçilik 96.37 TL, GGK 59.07 TL]</t>
        </is>
      </c>
    </row>
    <row r="716">
      <c r="A716" s="22" t="inlineStr">
        <is>
          <t>R05345</t>
        </is>
      </c>
      <c r="B716" s="22" t="inlineStr">
        <is>
          <t>Izmir_Ucyol_Buca_Metro</t>
        </is>
      </c>
      <c r="C716" s="22" t="inlineStr">
        <is>
          <t>metro</t>
        </is>
      </c>
      <c r="D716" s="22" t="inlineStr">
        <is>
          <t>Alp Erdem Elektrik İnşaat Tic. A.Ş.</t>
        </is>
      </c>
      <c r="E716" s="22" t="inlineStr">
        <is>
          <t>2021-06-15</t>
        </is>
      </c>
      <c r="F716" s="22" t="inlineStr">
        <is>
          <t>Dikişli galvaniz boru 6" yivli yangın (montaj malz. %40 dahil)</t>
        </is>
      </c>
      <c r="G716" s="22" t="inlineStr">
        <is>
          <t>MT</t>
        </is>
      </c>
      <c r="H716" s="63" t="n">
        <v>66</v>
      </c>
      <c r="I716" s="22" t="inlineStr">
        <is>
          <t>EUR</t>
        </is>
      </c>
      <c r="J716" s="22" t="inlineStr">
        <is>
          <t>M+İ</t>
        </is>
      </c>
      <c r="K716" s="63" t="n">
        <v>81.85791253481889</v>
      </c>
      <c r="L716" s="22" t="inlineStr">
        <is>
          <t>5005.H</t>
        </is>
      </c>
      <c r="M716" s="22" t="n">
        <v>2</v>
      </c>
      <c r="N716" s="22" t="inlineStr">
        <is>
          <t>İzmir Buca-Üçyol metro mekanik tesisat anahtar teslim teklifi (Yapı Merkezi'ne, AE_MT_MMMP_01); malzeme EUR, işçilik+GG/kâr TL verilmiş; birim_fiyat = malzeme € + (işçilik+GGK TL)/10,3 (kur, teklifteki GGK oranından türetildi ≈10,3 TL/€); KDV hariç. [orijinal: malzeme 43.41 €, işçilik 140.18 TL, GGK 92.54 TL]</t>
        </is>
      </c>
    </row>
    <row r="717">
      <c r="A717" s="22" t="inlineStr">
        <is>
          <t>R05346</t>
        </is>
      </c>
      <c r="B717" s="22" t="inlineStr">
        <is>
          <t>Izmir_Ucyol_Buca_Metro</t>
        </is>
      </c>
      <c r="C717" s="22" t="inlineStr">
        <is>
          <t>metro</t>
        </is>
      </c>
      <c r="D717" s="22" t="inlineStr">
        <is>
          <t>Alp Erdem Elektrik İnşaat Tic. A.Ş.</t>
        </is>
      </c>
      <c r="E717" s="22" t="inlineStr">
        <is>
          <t>2021-06-15</t>
        </is>
      </c>
      <c r="F717" s="22" t="inlineStr">
        <is>
          <t>Sudes prizmatik modüler paslanmaz su deposu 8 m³</t>
        </is>
      </c>
      <c r="G717" s="22" t="inlineStr">
        <is>
          <t>AD</t>
        </is>
      </c>
      <c r="H717" s="63" t="n">
        <v>2446.3</v>
      </c>
      <c r="I717" s="22" t="inlineStr">
        <is>
          <t>EUR</t>
        </is>
      </c>
      <c r="J717" s="22" t="inlineStr">
        <is>
          <t>M+İ</t>
        </is>
      </c>
      <c r="K717" s="63" t="n">
        <v>3034.07593081708</v>
      </c>
      <c r="L717" s="22" t="inlineStr">
        <is>
          <t>5007.A</t>
        </is>
      </c>
      <c r="M717" s="22" t="n">
        <v>1</v>
      </c>
      <c r="N717" s="22" t="inlineStr">
        <is>
          <t>İzmir Buca-Üçyol metro mekanik tesisat anahtar teslim teklifi (Yapı Merkezi'ne, AE_MT_MMMP_01); malzeme EUR, işçilik+GG/kâr TL verilmiş; birim_fiyat = malzeme € + (işçilik+GGK TL)/10,3 (kur, teklifteki GGK oranından türetildi ≈10,3 TL/€); KDV hariç. [orijinal: malzeme 2009.93 €, işçilik 1051.33 TL, GGK 3443.31 TL]</t>
        </is>
      </c>
    </row>
    <row r="718">
      <c r="A718" s="22" t="inlineStr">
        <is>
          <t>R05348</t>
        </is>
      </c>
      <c r="B718" s="22" t="inlineStr">
        <is>
          <t>Izmir_Ucyol_Buca_Metro</t>
        </is>
      </c>
      <c r="C718" s="22" t="inlineStr">
        <is>
          <t>metro</t>
        </is>
      </c>
      <c r="D718" s="22" t="inlineStr">
        <is>
          <t>Alp Erdem Elektrik İnşaat Tic. A.Ş.</t>
        </is>
      </c>
      <c r="E718" s="22" t="inlineStr">
        <is>
          <t>2021-06-15</t>
        </is>
      </c>
      <c r="F718" s="22" t="inlineStr">
        <is>
          <t>Lowara kullanma suyu hidroforu 2x10 m³/h 75 mSS (iki pompalı)</t>
        </is>
      </c>
      <c r="G718" s="22" t="inlineStr">
        <is>
          <t>TK</t>
        </is>
      </c>
      <c r="H718" s="63" t="n">
        <v>3921</v>
      </c>
      <c r="I718" s="22" t="inlineStr">
        <is>
          <t>EUR</t>
        </is>
      </c>
      <c r="J718" s="22" t="inlineStr">
        <is>
          <t>M+İ</t>
        </is>
      </c>
      <c r="K718" s="63" t="n">
        <v>4863.10416740947</v>
      </c>
      <c r="L718" s="22" t="inlineStr">
        <is>
          <t>5007.A</t>
        </is>
      </c>
      <c r="M718" s="22" t="n">
        <v>2</v>
      </c>
      <c r="N718" s="22" t="inlineStr">
        <is>
          <t>İzmir Buca-Üçyol metro mekanik tesisat anahtar teslim teklifi (Yapı Merkezi'ne, AE_MT_MMMP_01); malzeme EUR, işçilik+GG/kâr TL verilmiş; birim_fiyat = malzeme € + (işçilik+GGK TL)/10,3 (kur, teklifteki GGK oranından türetildi ≈10,3 TL/€); KDV hariç. [orijinal: malzeme 3257.47 €, işçilik 1314.17 TL, GGK 5520.24 TL]</t>
        </is>
      </c>
    </row>
    <row r="719">
      <c r="A719" s="22" t="inlineStr">
        <is>
          <t>R05349</t>
        </is>
      </c>
      <c r="B719" s="22" t="inlineStr">
        <is>
          <t>Izmir_Ucyol_Buca_Metro</t>
        </is>
      </c>
      <c r="C719" s="22" t="inlineStr">
        <is>
          <t>metro</t>
        </is>
      </c>
      <c r="D719" s="22" t="inlineStr">
        <is>
          <t>Alp Erdem Elektrik İnşaat Tic. A.Ş.</t>
        </is>
      </c>
      <c r="E719" s="22" t="inlineStr">
        <is>
          <t>2021-06-15</t>
        </is>
      </c>
      <c r="F719" s="22" t="inlineStr">
        <is>
          <t>Wenta tam otomatik tandem su yumuşatma cihazı 10 m³/h</t>
        </is>
      </c>
      <c r="G719" s="22" t="inlineStr">
        <is>
          <t>AD</t>
        </is>
      </c>
      <c r="H719" s="63" t="n">
        <v>7322.08</v>
      </c>
      <c r="I719" s="22" t="inlineStr">
        <is>
          <t>EUR</t>
        </is>
      </c>
      <c r="J719" s="22" t="inlineStr">
        <is>
          <t>M+İ</t>
        </is>
      </c>
      <c r="K719" s="63" t="n">
        <v>9081.366427468891</v>
      </c>
      <c r="L719" s="22" t="inlineStr">
        <is>
          <t>5007.A</t>
        </is>
      </c>
      <c r="M719" s="22" t="n">
        <v>1</v>
      </c>
      <c r="N719" s="22" t="inlineStr">
        <is>
          <t>İzmir Buca-Üçyol metro mekanik tesisat anahtar teslim teklifi (Yapı Merkezi'ne, AE_MT_MMMP_01); malzeme EUR, işçilik+GG/kâr TL verilmiş; birim_fiyat = malzeme € + (işçilik+GGK TL)/10,3 (kur, teklifteki GGK oranından türetildi ≈10,3 TL/€); KDV hariç. 1/3 kapasite [orijinal: malzeme 6214.50 €, işçilik 1095.14 TL, GGK 10312.90 TL]</t>
        </is>
      </c>
    </row>
    <row r="720">
      <c r="A720" s="22" t="inlineStr">
        <is>
          <t>R05350</t>
        </is>
      </c>
      <c r="B720" s="22" t="inlineStr">
        <is>
          <t>Izmir_Ucyol_Buca_Metro</t>
        </is>
      </c>
      <c r="C720" s="22" t="inlineStr">
        <is>
          <t>metro</t>
        </is>
      </c>
      <c r="D720" s="22" t="inlineStr">
        <is>
          <t>Alp Erdem Elektrik İnşaat Tic. A.Ş.</t>
        </is>
      </c>
      <c r="E720" s="22" t="inlineStr">
        <is>
          <t>2021-06-15</t>
        </is>
      </c>
      <c r="F720" s="22" t="inlineStr">
        <is>
          <t>Ariston elektrikli depolu su ısıtıcı 50 L</t>
        </is>
      </c>
      <c r="G720" s="22" t="inlineStr">
        <is>
          <t>AD</t>
        </is>
      </c>
      <c r="H720" s="63" t="n">
        <v>153.08</v>
      </c>
      <c r="I720" s="22" t="inlineStr">
        <is>
          <t>EUR</t>
        </is>
      </c>
      <c r="J720" s="22" t="inlineStr">
        <is>
          <t>M+İ</t>
        </is>
      </c>
      <c r="K720" s="63" t="n">
        <v>189.860746224698</v>
      </c>
      <c r="L720" s="22" t="inlineStr">
        <is>
          <t>5007.A</t>
        </is>
      </c>
      <c r="M720" s="22" t="n">
        <v>1</v>
      </c>
      <c r="N720" s="22" t="inlineStr">
        <is>
          <t>İzmir Buca-Üçyol metro mekanik tesisat anahtar teslim teklifi (Yapı Merkezi'ne, AE_MT_MMMP_01); malzeme EUR, işçilik+GG/kâr TL verilmiş; birim_fiyat = malzeme € + (işçilik+GGK TL)/10,3 (kur, teklifteki GGK oranından türetildi ≈10,3 TL/€); KDV hariç. [orijinal: malzeme 106.71 €, işçilik 262.83 TL, GGK 214.83 TL]</t>
        </is>
      </c>
    </row>
    <row r="721">
      <c r="A721" s="22" t="inlineStr">
        <is>
          <t>R05351</t>
        </is>
      </c>
      <c r="B721" s="22" t="inlineStr">
        <is>
          <t>Izmir_Ucyol_Buca_Metro</t>
        </is>
      </c>
      <c r="C721" s="22" t="inlineStr">
        <is>
          <t>metro</t>
        </is>
      </c>
      <c r="D721" s="22" t="inlineStr">
        <is>
          <t>Alp Erdem Elektrik İnşaat Tic. A.Ş.</t>
        </is>
      </c>
      <c r="E721" s="22" t="inlineStr">
        <is>
          <t>2021-06-15</t>
        </is>
      </c>
      <c r="F721" s="22" t="inlineStr">
        <is>
          <t>Ariston elektrikli ani su ısıtıcı 8 kW</t>
        </is>
      </c>
      <c r="G721" s="22" t="inlineStr">
        <is>
          <t>AD</t>
        </is>
      </c>
      <c r="H721" s="63" t="n">
        <v>123.96</v>
      </c>
      <c r="I721" s="22" t="inlineStr">
        <is>
          <t>EUR</t>
        </is>
      </c>
      <c r="J721" s="22" t="inlineStr">
        <is>
          <t>M+İ</t>
        </is>
      </c>
      <c r="K721" s="63" t="n">
        <v>153.744042997214</v>
      </c>
      <c r="L721" s="22" t="inlineStr">
        <is>
          <t>5007.A</t>
        </is>
      </c>
      <c r="M721" s="22" t="n">
        <v>1</v>
      </c>
      <c r="N721" s="22" t="inlineStr">
        <is>
          <t>İzmir Buca-Üçyol metro mekanik tesisat anahtar teslim teklifi (Yapı Merkezi'ne, AE_MT_MMMP_01); malzeme EUR, işçilik+GG/kâr TL verilmiş; birim_fiyat = malzeme € + (işçilik+GGK TL)/10,3 (kur, teklifteki GGK oranından türetildi ≈10,3 TL/€); KDV hariç. [orijinal: malzeme 90.05 €, işçilik 175.22 TL, GGK 174.09 TL]</t>
        </is>
      </c>
    </row>
    <row r="722">
      <c r="A722" s="22" t="inlineStr">
        <is>
          <t>R05352</t>
        </is>
      </c>
      <c r="B722" s="22" t="inlineStr">
        <is>
          <t>Izmir_Ucyol_Buca_Metro</t>
        </is>
      </c>
      <c r="C722" s="22" t="inlineStr">
        <is>
          <t>metro</t>
        </is>
      </c>
      <c r="D722" s="22" t="inlineStr">
        <is>
          <t>Alp Erdem Elektrik İnşaat Tic. A.Ş.</t>
        </is>
      </c>
      <c r="E722" s="22" t="inlineStr">
        <is>
          <t>2021-06-15</t>
        </is>
      </c>
      <c r="F722" s="22" t="inlineStr">
        <is>
          <t>Nakoflex acil göz yıkama ünitesi</t>
        </is>
      </c>
      <c r="G722" s="22" t="inlineStr">
        <is>
          <t>AD</t>
        </is>
      </c>
      <c r="H722" s="63" t="n">
        <v>386.34</v>
      </c>
      <c r="I722" s="22" t="inlineStr">
        <is>
          <t>EUR</t>
        </is>
      </c>
      <c r="J722" s="22" t="inlineStr">
        <is>
          <t>M+İ</t>
        </is>
      </c>
      <c r="K722" s="63" t="n">
        <v>479.166453465181</v>
      </c>
      <c r="L722" s="22" t="inlineStr">
        <is>
          <t>5007.A</t>
        </is>
      </c>
      <c r="M722" s="22" t="n">
        <v>1</v>
      </c>
      <c r="N722" s="22" t="inlineStr">
        <is>
          <t>İzmir Buca-Üçyol metro mekanik tesisat anahtar teslim teklifi (Yapı Merkezi'ne, AE_MT_MMMP_01); malzeme EUR, işçilik+GG/kâr TL verilmiş; birim_fiyat = malzeme € + (işçilik+GGK TL)/10,3 (kur, teklifteki GGK oranından türetildi ≈10,3 TL/€); KDV hariç. [orijinal: malzeme 308.06 €, işçilik 262.83 TL, GGK 543.48 TL]</t>
        </is>
      </c>
    </row>
    <row r="723">
      <c r="A723" s="22" t="inlineStr">
        <is>
          <t>R05354</t>
        </is>
      </c>
      <c r="B723" s="22" t="inlineStr">
        <is>
          <t>Izmir_Ucyol_Buca_Metro</t>
        </is>
      </c>
      <c r="C723" s="22" t="inlineStr">
        <is>
          <t>metro</t>
        </is>
      </c>
      <c r="D723" s="22" t="inlineStr">
        <is>
          <t>Alp Erdem Elektrik İnşaat Tic. A.Ş.</t>
        </is>
      </c>
      <c r="E723" s="22" t="inlineStr">
        <is>
          <t>2021-06-15</t>
        </is>
      </c>
      <c r="F723" s="22" t="inlineStr">
        <is>
          <t>Creavit gömme rezervuarlı asma klozet tesisatı</t>
        </is>
      </c>
      <c r="G723" s="22" t="inlineStr">
        <is>
          <t>TK</t>
        </is>
      </c>
      <c r="H723" s="63" t="n">
        <v>155.47</v>
      </c>
      <c r="I723" s="22" t="inlineStr">
        <is>
          <t>EUR</t>
        </is>
      </c>
      <c r="J723" s="22" t="inlineStr">
        <is>
          <t>M+İ</t>
        </is>
      </c>
      <c r="K723" s="63" t="n">
        <v>192.82499487558</v>
      </c>
      <c r="L723" s="22" t="inlineStr">
        <is>
          <t>5007.A</t>
        </is>
      </c>
      <c r="M723" s="22" t="n">
        <v>3</v>
      </c>
      <c r="N723" s="22" t="inlineStr">
        <is>
          <t>İzmir Buca-Üçyol metro mekanik tesisat anahtar teslim teklifi (Yapı Merkezi'ne, AE_MT_MMMP_01); malzeme EUR, işçilik+GG/kâr TL verilmiş; birim_fiyat = malzeme € + (işçilik+GGK TL)/10,3 (kur, teklifteki GGK oranından türetildi ≈10,3 TL/€); KDV hariç. [orijinal: malzeme 79.09 €, işçilik 569.47 TL, GGK 217.20 TL]</t>
        </is>
      </c>
    </row>
    <row r="724">
      <c r="A724" s="22" t="inlineStr">
        <is>
          <t>R05355</t>
        </is>
      </c>
      <c r="B724" s="22" t="inlineStr">
        <is>
          <t>Izmir_Ucyol_Buca_Metro</t>
        </is>
      </c>
      <c r="C724" s="22" t="inlineStr">
        <is>
          <t>metro</t>
        </is>
      </c>
      <c r="D724" s="22" t="inlineStr">
        <is>
          <t>Alp Erdem Elektrik İnşaat Tic. A.Ş.</t>
        </is>
      </c>
      <c r="E724" s="22" t="inlineStr">
        <is>
          <t>2021-06-15</t>
        </is>
      </c>
      <c r="F724" s="22" t="inlineStr">
        <is>
          <t>Eviye bir gözlü damlalıklı + batarya + sifon</t>
        </is>
      </c>
      <c r="G724" s="22" t="inlineStr">
        <is>
          <t>AD</t>
        </is>
      </c>
      <c r="H724" s="63" t="n">
        <v>92.53</v>
      </c>
      <c r="I724" s="22" t="inlineStr">
        <is>
          <t>EUR</t>
        </is>
      </c>
      <c r="J724" s="22" t="inlineStr">
        <is>
          <t>M+İ</t>
        </is>
      </c>
      <c r="K724" s="63" t="n">
        <v>114.762312831012</v>
      </c>
      <c r="L724" s="22" t="inlineStr">
        <is>
          <t>5007.A</t>
        </is>
      </c>
      <c r="M724" s="22" t="n">
        <v>3</v>
      </c>
      <c r="N724" s="22" t="inlineStr">
        <is>
          <t>İzmir Buca-Üçyol metro mekanik tesisat anahtar teslim teklifi (Yapı Merkezi'ne, AE_MT_MMMP_01); malzeme EUR, işçilik+GG/kâr TL verilmiş; birim_fiyat = malzeme € + (işçilik+GGK TL)/10,3 (kur, teklifteki GGK oranından türetildi ≈10,3 TL/€); KDV hariç. [orijinal: malzeme 50.20 €, işçilik 306.64 TL, GGK 129.38 TL]</t>
        </is>
      </c>
    </row>
    <row r="725">
      <c r="A725" s="22" t="inlineStr">
        <is>
          <t>R05357</t>
        </is>
      </c>
      <c r="B725" s="22" t="inlineStr">
        <is>
          <t>Izmir_Ucyol_Buca_Metro</t>
        </is>
      </c>
      <c r="C725" s="22" t="inlineStr">
        <is>
          <t>metro</t>
        </is>
      </c>
      <c r="D725" s="22" t="inlineStr">
        <is>
          <t>Alp Erdem Elektrik İnşaat Tic. A.Ş.</t>
        </is>
      </c>
      <c r="E725" s="22" t="inlineStr">
        <is>
          <t>2021-06-15</t>
        </is>
      </c>
      <c r="F725" s="22" t="inlineStr">
        <is>
          <t>Creavit engelli klozet</t>
        </is>
      </c>
      <c r="G725" s="22" t="inlineStr">
        <is>
          <t>AD</t>
        </is>
      </c>
      <c r="H725" s="63" t="n">
        <v>275.08</v>
      </c>
      <c r="I725" s="22" t="inlineStr">
        <is>
          <t>EUR</t>
        </is>
      </c>
      <c r="J725" s="22" t="inlineStr">
        <is>
          <t>M+İ</t>
        </is>
      </c>
      <c r="K725" s="63" t="n">
        <v>341.173857273909</v>
      </c>
      <c r="L725" s="22" t="inlineStr">
        <is>
          <t>5007.A</t>
        </is>
      </c>
      <c r="M725" s="22" t="n">
        <v>1</v>
      </c>
      <c r="N725" s="22" t="inlineStr">
        <is>
          <t>İzmir Buca-Üçyol metro mekanik tesisat anahtar teslim teklifi (Yapı Merkezi'ne, AE_MT_MMMP_01); malzeme EUR, işçilik+GG/kâr TL verilmiş; birim_fiyat = malzeme € + (işçilik+GGK TL)/10,3 (kur, teklifteki GGK oranından türetildi ≈10,3 TL/€); KDV hariç. [orijinal: malzeme 171.74 €, işçilik 678.99 TL, GGK 385.37 TL]</t>
        </is>
      </c>
    </row>
    <row r="726">
      <c r="A726" s="22" t="inlineStr">
        <is>
          <t>R05358</t>
        </is>
      </c>
      <c r="B726" s="22" t="inlineStr">
        <is>
          <t>Izmir_Ucyol_Buca_Metro</t>
        </is>
      </c>
      <c r="C726" s="22" t="inlineStr">
        <is>
          <t>metro</t>
        </is>
      </c>
      <c r="D726" s="22" t="inlineStr">
        <is>
          <t>Alp Erdem Elektrik İnşaat Tic. A.Ş.</t>
        </is>
      </c>
      <c r="E726" s="22" t="inlineStr">
        <is>
          <t>2021-06-15</t>
        </is>
      </c>
      <c r="F726" s="22" t="inlineStr">
        <is>
          <t>Creavit pisuvar ve tesisatı</t>
        </is>
      </c>
      <c r="G726" s="22" t="inlineStr">
        <is>
          <t>AD</t>
        </is>
      </c>
      <c r="H726" s="63" t="n">
        <v>136.06</v>
      </c>
      <c r="I726" s="22" t="inlineStr">
        <is>
          <t>EUR</t>
        </is>
      </c>
      <c r="J726" s="22" t="inlineStr">
        <is>
          <t>M+İ</t>
        </is>
      </c>
      <c r="K726" s="63" t="n">
        <v>168.751326961931</v>
      </c>
      <c r="L726" s="22" t="inlineStr">
        <is>
          <t>5007.A</t>
        </is>
      </c>
      <c r="M726" s="22" t="n">
        <v>1</v>
      </c>
      <c r="N726" s="22" t="inlineStr">
        <is>
          <t>İzmir Buca-Üçyol metro mekanik tesisat anahtar teslim teklifi (Yapı Merkezi'ne, AE_MT_MMMP_01); malzeme EUR, işçilik+GG/kâr TL verilmiş; birim_fiyat = malzeme € + (işçilik+GGK TL)/10,3 (kur, teklifteki GGK oranından türetildi ≈10,3 TL/€); KDV hariç. [orijinal: malzeme 73.78 €, işçilik 451.20 TL, GGK 190.24 TL]</t>
        </is>
      </c>
    </row>
    <row r="727">
      <c r="A727" s="22" t="inlineStr">
        <is>
          <t>R05359</t>
        </is>
      </c>
      <c r="B727" s="22" t="inlineStr">
        <is>
          <t>Izmir_Ucyol_Buca_Metro</t>
        </is>
      </c>
      <c r="C727" s="22" t="inlineStr">
        <is>
          <t>metro</t>
        </is>
      </c>
      <c r="D727" s="22" t="inlineStr">
        <is>
          <t>Alp Erdem Elektrik İnşaat Tic. A.Ş.</t>
        </is>
      </c>
      <c r="E727" s="22" t="inlineStr">
        <is>
          <t>2021-06-15</t>
        </is>
      </c>
      <c r="F727" s="22" t="inlineStr">
        <is>
          <t>PPR-C boru DN20 (montaj malz. %40 dahil)</t>
        </is>
      </c>
      <c r="G727" s="22" t="inlineStr">
        <is>
          <t>MT</t>
        </is>
      </c>
      <c r="H727" s="63" t="n">
        <v>3.47</v>
      </c>
      <c r="I727" s="22" t="inlineStr">
        <is>
          <t>EUR</t>
        </is>
      </c>
      <c r="J727" s="22" t="inlineStr">
        <is>
          <t>M+İ</t>
        </is>
      </c>
      <c r="K727" s="63" t="n">
        <v>4.30374176508821</v>
      </c>
      <c r="L727" s="22" t="inlineStr">
        <is>
          <t>5007.A</t>
        </is>
      </c>
      <c r="M727" s="22" t="n">
        <v>12</v>
      </c>
      <c r="N727" s="22" t="inlineStr">
        <is>
          <t>İzmir Buca-Üçyol metro mekanik tesisat anahtar teslim teklifi (Yapı Merkezi'ne, AE_MT_MMMP_01); malzeme EUR, işçilik+GG/kâr TL verilmiş; birim_fiyat = malzeme € + (işçilik+GGK TL)/10,3 (kur, teklifteki GGK oranından türetildi ≈10,3 TL/€); KDV hariç. izolasyon ayrı [orijinal: malzeme 0.87 €, işçilik 21.90 TL, GGK 4.82 TL]</t>
        </is>
      </c>
    </row>
    <row r="728">
      <c r="A728" s="22" t="inlineStr">
        <is>
          <t>R05360</t>
        </is>
      </c>
      <c r="B728" s="22" t="inlineStr">
        <is>
          <t>Izmir_Ucyol_Buca_Metro</t>
        </is>
      </c>
      <c r="C728" s="22" t="inlineStr">
        <is>
          <t>metro</t>
        </is>
      </c>
      <c r="D728" s="22" t="inlineStr">
        <is>
          <t>Alp Erdem Elektrik İnşaat Tic. A.Ş.</t>
        </is>
      </c>
      <c r="E728" s="22" t="inlineStr">
        <is>
          <t>2021-06-15</t>
        </is>
      </c>
      <c r="F728" s="22" t="inlineStr">
        <is>
          <t>PPR-C boru DN25 (montaj malz. %40 dahil)</t>
        </is>
      </c>
      <c r="G728" s="22" t="inlineStr">
        <is>
          <t>MT</t>
        </is>
      </c>
      <c r="H728" s="63" t="n">
        <v>4.82</v>
      </c>
      <c r="I728" s="22" t="inlineStr">
        <is>
          <t>EUR</t>
        </is>
      </c>
      <c r="J728" s="22" t="inlineStr">
        <is>
          <t>M+İ</t>
        </is>
      </c>
      <c r="K728" s="63" t="n">
        <v>5.97810815784587</v>
      </c>
      <c r="L728" s="22" t="inlineStr">
        <is>
          <t>5007.A</t>
        </is>
      </c>
      <c r="M728" s="22" t="n">
        <v>15</v>
      </c>
      <c r="N728" s="22" t="inlineStr">
        <is>
          <t>İzmir Buca-Üçyol metro mekanik tesisat anahtar teslim teklifi (Yapı Merkezi'ne, AE_MT_MMMP_01); malzeme EUR, işçilik+GG/kâr TL verilmiş; birim_fiyat = malzeme € + (işçilik+GGK TL)/10,3 (kur, teklifteki GGK oranından türetildi ≈10,3 TL/€); KDV hariç. [orijinal: malzeme 1.41 €, işçilik 28.47 TL, GGK 6.71 TL]</t>
        </is>
      </c>
    </row>
    <row r="729">
      <c r="A729" s="22" t="inlineStr">
        <is>
          <t>R05361</t>
        </is>
      </c>
      <c r="B729" s="22" t="inlineStr">
        <is>
          <t>Izmir_Ucyol_Buca_Metro</t>
        </is>
      </c>
      <c r="C729" s="22" t="inlineStr">
        <is>
          <t>metro</t>
        </is>
      </c>
      <c r="D729" s="22" t="inlineStr">
        <is>
          <t>Alp Erdem Elektrik İnşaat Tic. A.Ş.</t>
        </is>
      </c>
      <c r="E729" s="22" t="inlineStr">
        <is>
          <t>2021-06-15</t>
        </is>
      </c>
      <c r="F729" s="22" t="inlineStr">
        <is>
          <t>Atlas Copco basınçlı hava kompresörü 6,2 m³/dk 13 bar hava soğutmalı (kurutucu 10 m³/dk ve 2000 L tank dahil)</t>
        </is>
      </c>
      <c r="G729" s="22" t="inlineStr">
        <is>
          <t>AD</t>
        </is>
      </c>
      <c r="H729" s="63" t="n">
        <v>18424.06</v>
      </c>
      <c r="I729" s="22" t="inlineStr">
        <is>
          <t>EUR</t>
        </is>
      </c>
      <c r="J729" s="22" t="inlineStr">
        <is>
          <t>M+İ</t>
        </is>
      </c>
      <c r="K729" s="63" t="n">
        <v>22850.834727519</v>
      </c>
      <c r="L729" s="22" t="inlineStr">
        <is>
          <t>5009.A</t>
        </is>
      </c>
      <c r="M729" s="22" t="n">
        <v>1</v>
      </c>
      <c r="N729" s="22" t="inlineStr">
        <is>
          <t>İzmir Buca-Üçyol metro mekanik tesisat anahtar teslim teklifi (Yapı Merkezi'ne, AE_MT_MMMP_01); malzeme EUR, işçilik+GG/kâr TL verilmiş; birim_fiyat = malzeme € + (işçilik+GGK TL)/10,3 (kur, teklifteki GGK oranından türetildi ≈10,3 TL/€); KDV hariç. 6,2 m³/dk (~370 m³/h); kurutucu+tank "dahil" [orijinal: malzeme 15437.50 €, işçilik 4818.61 TL, GGK 25943.00 TL]</t>
        </is>
      </c>
    </row>
    <row r="730">
      <c r="A730" s="22" t="inlineStr">
        <is>
          <t>R05362</t>
        </is>
      </c>
      <c r="B730" s="22" t="inlineStr">
        <is>
          <t>Izmir_Ucyol_Buca_Metro</t>
        </is>
      </c>
      <c r="C730" s="22" t="inlineStr">
        <is>
          <t>metro</t>
        </is>
      </c>
      <c r="D730" s="22" t="inlineStr">
        <is>
          <t>Alp Erdem Elektrik İnşaat Tic. A.Ş.</t>
        </is>
      </c>
      <c r="E730" s="22" t="inlineStr">
        <is>
          <t>2021-06-15</t>
        </is>
      </c>
      <c r="F730" s="22" t="inlineStr">
        <is>
          <t>Troy 8 bar filtreli hızlı bağlantı ağızlı kullanım noktası Q15</t>
        </is>
      </c>
      <c r="G730" s="22" t="inlineStr">
        <is>
          <t>AD</t>
        </is>
      </c>
      <c r="H730" s="63" t="n">
        <v>63.08</v>
      </c>
      <c r="I730" s="22" t="inlineStr">
        <is>
          <t>EUR</t>
        </is>
      </c>
      <c r="J730" s="22" t="inlineStr">
        <is>
          <t>M+İ</t>
        </is>
      </c>
      <c r="K730" s="63" t="n">
        <v>78.2363200408542</v>
      </c>
      <c r="L730" s="22" t="inlineStr">
        <is>
          <t>5009.A</t>
        </is>
      </c>
      <c r="M730" s="22" t="n">
        <v>1</v>
      </c>
      <c r="N730" s="22" t="inlineStr">
        <is>
          <t>İzmir Buca-Üçyol metro mekanik tesisat anahtar teslim teklifi (Yapı Merkezi'ne, AE_MT_MMMP_01); malzeme EUR, işçilik+GG/kâr TL verilmiş; birim_fiyat = malzeme € + (işçilik+GGK TL)/10,3 (kur, teklifteki GGK oranından türetildi ≈10,3 TL/€); KDV hariç. [orijinal: malzeme 45.97 €, işçilik 87.61 TL, GGK 88.59 TL]</t>
        </is>
      </c>
    </row>
    <row r="731">
      <c r="A731" s="22" t="inlineStr">
        <is>
          <t>R05363</t>
        </is>
      </c>
      <c r="B731" s="22" t="inlineStr">
        <is>
          <t>Izmir_Ucyol_Buca_Metro</t>
        </is>
      </c>
      <c r="C731" s="22" t="inlineStr">
        <is>
          <t>metro</t>
        </is>
      </c>
      <c r="D731" s="22" t="inlineStr">
        <is>
          <t>Alp Erdem Elektrik İnşaat Tic. A.Ş.</t>
        </is>
      </c>
      <c r="E731" s="22" t="inlineStr">
        <is>
          <t>2021-06-15</t>
        </is>
      </c>
      <c r="F731" s="22" t="inlineStr">
        <is>
          <t>Basınçlı hava borusu galvaniz DN20</t>
        </is>
      </c>
      <c r="G731" s="22" t="inlineStr">
        <is>
          <t>MT</t>
        </is>
      </c>
      <c r="H731" s="63" t="n">
        <v>8.66</v>
      </c>
      <c r="I731" s="22" t="inlineStr">
        <is>
          <t>EUR</t>
        </is>
      </c>
      <c r="J731" s="22" t="inlineStr">
        <is>
          <t>M+İ</t>
        </is>
      </c>
      <c r="K731" s="63" t="n">
        <v>10.7407503416899</v>
      </c>
      <c r="L731" s="22" t="inlineStr">
        <is>
          <t>5009.A</t>
        </is>
      </c>
      <c r="M731" s="22" t="n">
        <v>1</v>
      </c>
      <c r="N731" s="22" t="inlineStr">
        <is>
          <t>İzmir Buca-Üçyol metro mekanik tesisat anahtar teslim teklifi (Yapı Merkezi'ne, AE_MT_MMMP_01); malzeme EUR, işçilik+GG/kâr TL verilmiş; birim_fiyat = malzeme € + (işçilik+GGK TL)/10,3 (kur, teklifteki GGK oranından türetildi ≈10,3 TL/€); KDV hariç. [orijinal: malzeme 4.72 €, işçilik 28.47 TL, GGK 12.10 TL]</t>
        </is>
      </c>
    </row>
    <row r="732">
      <c r="A732" s="22" t="inlineStr">
        <is>
          <t>R05364</t>
        </is>
      </c>
      <c r="B732" s="22" t="inlineStr">
        <is>
          <t>Izmir_Ucyol_Buca_Metro</t>
        </is>
      </c>
      <c r="C732" s="22" t="inlineStr">
        <is>
          <t>metro</t>
        </is>
      </c>
      <c r="D732" s="22" t="inlineStr">
        <is>
          <t>Alp Erdem Elektrik İnşaat Tic. A.Ş.</t>
        </is>
      </c>
      <c r="E732" s="22" t="inlineStr">
        <is>
          <t>2021-06-15</t>
        </is>
      </c>
      <c r="F732" s="22" t="inlineStr">
        <is>
          <t>Basınçlı hava borusu galvaniz DN50</t>
        </is>
      </c>
      <c r="G732" s="22" t="inlineStr">
        <is>
          <t>MT</t>
        </is>
      </c>
      <c r="H732" s="63" t="n">
        <v>21.91</v>
      </c>
      <c r="I732" s="22" t="inlineStr">
        <is>
          <t>EUR</t>
        </is>
      </c>
      <c r="J732" s="22" t="inlineStr">
        <is>
          <t>M+İ</t>
        </is>
      </c>
      <c r="K732" s="63" t="n">
        <v>27.1743464187558</v>
      </c>
      <c r="L732" s="22" t="inlineStr">
        <is>
          <t>5009.A</t>
        </is>
      </c>
      <c r="M732" s="22" t="n">
        <v>1</v>
      </c>
      <c r="N732" s="22" t="inlineStr">
        <is>
          <t>İzmir Buca-Üçyol metro mekanik tesisat anahtar teslim teklifi (Yapı Merkezi'ne, AE_MT_MMMP_01); malzeme EUR, işçilik+GG/kâr TL verilmiş; birim_fiyat = malzeme € + (işçilik+GGK TL)/10,3 (kur, teklifteki GGK oranından türetildi ≈10,3 TL/€); KDV hariç. [orijinal: malzeme 13.40 €, işçilik 56.95 TL, GGK 30.69 TL]</t>
        </is>
      </c>
    </row>
    <row r="733">
      <c r="A733" s="22" t="inlineStr">
        <is>
          <t>R05365</t>
        </is>
      </c>
      <c r="B733" s="22" t="inlineStr">
        <is>
          <t>Izmir_Ucyol_Buca_Metro</t>
        </is>
      </c>
      <c r="C733" s="22" t="inlineStr">
        <is>
          <t>metro</t>
        </is>
      </c>
      <c r="D733" s="22" t="inlineStr">
        <is>
          <t>Alp Erdem Elektrik İnşaat Tic. A.Ş.</t>
        </is>
      </c>
      <c r="E733" s="22" t="inlineStr">
        <is>
          <t>2021-06-15</t>
        </is>
      </c>
      <c r="F733" s="22" t="inlineStr">
        <is>
          <t>Basınçlı hava borusu galvaniz DN80</t>
        </is>
      </c>
      <c r="G733" s="22" t="inlineStr">
        <is>
          <t>MT</t>
        </is>
      </c>
      <c r="H733" s="63" t="n">
        <v>29.39</v>
      </c>
      <c r="I733" s="22" t="inlineStr">
        <is>
          <t>EUR</t>
        </is>
      </c>
      <c r="J733" s="22" t="inlineStr">
        <is>
          <t>M+İ</t>
        </is>
      </c>
      <c r="K733" s="63" t="n">
        <v>36.4515765060353</v>
      </c>
      <c r="L733" s="22" t="inlineStr">
        <is>
          <t>5009.A</t>
        </is>
      </c>
      <c r="M733" s="22" t="n">
        <v>1</v>
      </c>
      <c r="N733" s="22" t="inlineStr">
        <is>
          <t>İzmir Buca-Üçyol metro mekanik tesisat anahtar teslim teklifi (Yapı Merkezi'ne, AE_MT_MMMP_01); malzeme EUR, işçilik+GG/kâr TL verilmiş; birim_fiyat = malzeme € + (işçilik+GGK TL)/10,3 (kur, teklifteki GGK oranından türetildi ≈10,3 TL/€); KDV hariç. [orijinal: malzeme 19.01 €, işçilik 65.71 TL, GGK 41.19 TL]</t>
        </is>
      </c>
    </row>
    <row r="734">
      <c r="A734" s="22" t="inlineStr">
        <is>
          <t>R05366</t>
        </is>
      </c>
      <c r="B734" s="22" t="inlineStr">
        <is>
          <t>Izmir_Ucyol_Buca_Metro</t>
        </is>
      </c>
      <c r="C734" s="22" t="inlineStr">
        <is>
          <t>metro</t>
        </is>
      </c>
      <c r="D734" s="22" t="inlineStr">
        <is>
          <t>Alp Erdem Elektrik İnşaat Tic. A.Ş.</t>
        </is>
      </c>
      <c r="E734" s="22" t="inlineStr">
        <is>
          <t>2021-06-15</t>
        </is>
      </c>
      <c r="F734" s="22" t="inlineStr">
        <is>
          <t>Duyar küresel vana DN80 (basınçlı hava)</t>
        </is>
      </c>
      <c r="G734" s="22" t="inlineStr">
        <is>
          <t>AD</t>
        </is>
      </c>
      <c r="H734" s="63" t="n">
        <v>85.56999999999999</v>
      </c>
      <c r="I734" s="22" t="inlineStr">
        <is>
          <t>EUR</t>
        </is>
      </c>
      <c r="J734" s="22" t="inlineStr">
        <is>
          <t>M+İ</t>
        </is>
      </c>
      <c r="K734" s="63" t="n">
        <v>106.130023872795</v>
      </c>
      <c r="L734" s="22" t="inlineStr">
        <is>
          <t>5009.A</t>
        </is>
      </c>
      <c r="M734" s="22" t="n">
        <v>1</v>
      </c>
      <c r="N734" s="22" t="inlineStr">
        <is>
          <t>İzmir Buca-Üçyol metro mekanik tesisat anahtar teslim teklifi (Yapı Merkezi'ne, AE_MT_MMMP_01); malzeme EUR, işçilik+GG/kâr TL verilmiş; birim_fiyat = malzeme € + (işçilik+GGK TL)/10,3 (kur, teklifteki GGK oranından türetildi ≈10,3 TL/€); KDV hariç. [orijinal: malzeme 61.15 €, işçilik 131.42 TL, GGK 120.14 TL]</t>
        </is>
      </c>
    </row>
    <row r="735">
      <c r="A735" s="22" t="inlineStr">
        <is>
          <t>R05368</t>
        </is>
      </c>
      <c r="B735" s="22" t="inlineStr">
        <is>
          <t>Izmir_Ucyol_Buca_Metro</t>
        </is>
      </c>
      <c r="C735" s="22" t="inlineStr">
        <is>
          <t>metro</t>
        </is>
      </c>
      <c r="D735" s="22" t="inlineStr">
        <is>
          <t>Alp Erdem Elektrik İnşaat Tic. A.Ş.</t>
        </is>
      </c>
      <c r="E735" s="22" t="inlineStr">
        <is>
          <t>2021-06-15</t>
        </is>
      </c>
      <c r="F735" s="22" t="inlineStr">
        <is>
          <t>Hakan PVC pis su borusu DN70 kalın etli sessiz</t>
        </is>
      </c>
      <c r="G735" s="22" t="inlineStr">
        <is>
          <t>MT</t>
        </is>
      </c>
      <c r="H735" s="63" t="n">
        <v>14.84</v>
      </c>
      <c r="I735" s="22" t="inlineStr">
        <is>
          <t>EUR</t>
        </is>
      </c>
      <c r="J735" s="22" t="inlineStr">
        <is>
          <t>M+İ</t>
        </is>
      </c>
      <c r="K735" s="63" t="n">
        <v>18.4056276063138</v>
      </c>
      <c r="L735" s="22" t="inlineStr">
        <is>
          <t>5008.A</t>
        </is>
      </c>
      <c r="M735" s="22" t="n">
        <v>4</v>
      </c>
      <c r="N735" s="22" t="inlineStr">
        <is>
          <t>İzmir Buca-Üçyol metro mekanik tesisat anahtar teslim teklifi (Yapı Merkezi'ne, AE_MT_MMMP_01); malzeme EUR, işçilik+GG/kâr TL verilmiş; birim_fiyat = malzeme € + (işçilik+GGK TL)/10,3 (kur, teklifteki GGK oranından türetildi ≈10,3 TL/€); KDV hariç. [orijinal: malzeme 8.57 €, işçilik 43.81 TL, GGK 20.76 TL]</t>
        </is>
      </c>
    </row>
    <row r="736">
      <c r="A736" s="22" t="inlineStr">
        <is>
          <t>R05369</t>
        </is>
      </c>
      <c r="B736" s="22" t="inlineStr">
        <is>
          <t>Izmir_Ucyol_Buca_Metro</t>
        </is>
      </c>
      <c r="C736" s="22" t="inlineStr">
        <is>
          <t>metro</t>
        </is>
      </c>
      <c r="D736" s="22" t="inlineStr">
        <is>
          <t>Alp Erdem Elektrik İnşaat Tic. A.Ş.</t>
        </is>
      </c>
      <c r="E736" s="22" t="inlineStr">
        <is>
          <t>2021-06-15</t>
        </is>
      </c>
      <c r="F736" s="22" t="inlineStr">
        <is>
          <t>Hakan PVC pis su borusu DN100 kalın etli sessiz</t>
        </is>
      </c>
      <c r="G736" s="22" t="inlineStr">
        <is>
          <t>MT</t>
        </is>
      </c>
      <c r="H736" s="63" t="n">
        <v>22.17</v>
      </c>
      <c r="I736" s="22" t="inlineStr">
        <is>
          <t>EUR</t>
        </is>
      </c>
      <c r="J736" s="22" t="inlineStr">
        <is>
          <t>M+İ</t>
        </is>
      </c>
      <c r="K736" s="63" t="n">
        <v>27.4968169832869</v>
      </c>
      <c r="L736" s="22" t="inlineStr">
        <is>
          <t>5008.A</t>
        </is>
      </c>
      <c r="M736" s="22" t="n">
        <v>21</v>
      </c>
      <c r="N736" s="22" t="inlineStr">
        <is>
          <t>İzmir Buca-Üçyol metro mekanik tesisat anahtar teslim teklifi (Yapı Merkezi'ne, AE_MT_MMMP_01); malzeme EUR, işçilik+GG/kâr TL verilmiş; birim_fiyat = malzeme € + (işçilik+GGK TL)/10,3 (kur, teklifteki GGK oranından türetildi ≈10,3 TL/€); KDV hariç. [orijinal: malzeme 13.20 €, işçilik 61.33 TL, GGK 31.04 TL]</t>
        </is>
      </c>
    </row>
    <row r="737">
      <c r="A737" s="22" t="inlineStr">
        <is>
          <t>R05370</t>
        </is>
      </c>
      <c r="B737" s="22" t="inlineStr">
        <is>
          <t>Izmir_Ucyol_Buca_Metro</t>
        </is>
      </c>
      <c r="C737" s="22" t="inlineStr">
        <is>
          <t>metro</t>
        </is>
      </c>
      <c r="D737" s="22" t="inlineStr">
        <is>
          <t>Alp Erdem Elektrik İnşaat Tic. A.Ş.</t>
        </is>
      </c>
      <c r="E737" s="22" t="inlineStr">
        <is>
          <t>2021-06-15</t>
        </is>
      </c>
      <c r="F737" s="22" t="inlineStr">
        <is>
          <t>Hakan PVC pis su borusu DN125 kalın etli sessiz</t>
        </is>
      </c>
      <c r="G737" s="22" t="inlineStr">
        <is>
          <t>MT</t>
        </is>
      </c>
      <c r="H737" s="63" t="n">
        <v>26.04</v>
      </c>
      <c r="I737" s="22" t="inlineStr">
        <is>
          <t>EUR</t>
        </is>
      </c>
      <c r="J737" s="22" t="inlineStr">
        <is>
          <t>M+İ</t>
        </is>
      </c>
      <c r="K737" s="63" t="n">
        <v>32.2966673091922</v>
      </c>
      <c r="L737" s="22" t="inlineStr">
        <is>
          <t>5008.A</t>
        </is>
      </c>
      <c r="M737" s="22" t="n">
        <v>4</v>
      </c>
      <c r="N737" s="22" t="inlineStr">
        <is>
          <t>İzmir Buca-Üçyol metro mekanik tesisat anahtar teslim teklifi (Yapı Merkezi'ne, AE_MT_MMMP_01); malzeme EUR, işçilik+GG/kâr TL verilmiş; birim_fiyat = malzeme € + (işçilik+GGK TL)/10,3 (kur, teklifteki GGK oranından türetildi ≈10,3 TL/€); KDV hariç. [orijinal: malzeme 16.55 €, işçilik 61.33 TL, GGK 36.50 TL]</t>
        </is>
      </c>
    </row>
    <row r="738">
      <c r="A738" s="22" t="inlineStr">
        <is>
          <t>R05371</t>
        </is>
      </c>
      <c r="B738" s="22" t="inlineStr">
        <is>
          <t>Izmir_Ucyol_Buca_Metro</t>
        </is>
      </c>
      <c r="C738" s="22" t="inlineStr">
        <is>
          <t>metro</t>
        </is>
      </c>
      <c r="D738" s="22" t="inlineStr">
        <is>
          <t>Alp Erdem Elektrik İnşaat Tic. A.Ş.</t>
        </is>
      </c>
      <c r="E738" s="22" t="inlineStr">
        <is>
          <t>2021-06-15</t>
        </is>
      </c>
      <c r="F738" s="22" t="inlineStr">
        <is>
          <t>Düker temizleme kapağı DN100</t>
        </is>
      </c>
      <c r="G738" s="22" t="inlineStr">
        <is>
          <t>AD</t>
        </is>
      </c>
      <c r="H738" s="63" t="n">
        <v>35.03</v>
      </c>
      <c r="I738" s="22" t="inlineStr">
        <is>
          <t>EUR</t>
        </is>
      </c>
      <c r="J738" s="22" t="inlineStr">
        <is>
          <t>M+İ</t>
        </is>
      </c>
      <c r="K738" s="63" t="n">
        <v>43.4467072135562</v>
      </c>
      <c r="L738" s="22" t="inlineStr">
        <is>
          <t>5008.A</t>
        </is>
      </c>
      <c r="M738" s="22" t="n">
        <v>3</v>
      </c>
      <c r="N738" s="22" t="inlineStr">
        <is>
          <t>İzmir Buca-Üçyol metro mekanik tesisat anahtar teslim teklifi (Yapı Merkezi'ne, AE_MT_MMMP_01); malzeme EUR, işçilik+GG/kâr TL verilmiş; birim_fiyat = malzeme € + (işçilik+GGK TL)/10,3 (kur, teklifteki GGK oranından türetildi ≈10,3 TL/€); KDV hariç. [orijinal: malzeme 21.34 €, işçilik 91.99 TL, GGK 49.06 TL]</t>
        </is>
      </c>
    </row>
    <row r="739">
      <c r="A739" s="22" t="inlineStr">
        <is>
          <t>R05372</t>
        </is>
      </c>
      <c r="B739" s="22" t="inlineStr">
        <is>
          <t>Izmir_Ucyol_Buca_Metro</t>
        </is>
      </c>
      <c r="C739" s="22" t="inlineStr">
        <is>
          <t>metro</t>
        </is>
      </c>
      <c r="D739" s="22" t="inlineStr">
        <is>
          <t>Alp Erdem Elektrik İnşaat Tic. A.Ş.</t>
        </is>
      </c>
      <c r="E739" s="22" t="inlineStr">
        <is>
          <t>2021-06-15</t>
        </is>
      </c>
      <c r="F739" s="22" t="inlineStr">
        <is>
          <t>Master pik döküm süzgeç 30x30 DN100 çıkışlı</t>
        </is>
      </c>
      <c r="G739" s="22" t="inlineStr">
        <is>
          <t>AD</t>
        </is>
      </c>
      <c r="H739" s="63" t="n">
        <v>30.4</v>
      </c>
      <c r="I739" s="22" t="inlineStr">
        <is>
          <t>EUR</t>
        </is>
      </c>
      <c r="J739" s="22" t="inlineStr">
        <is>
          <t>M+İ</t>
        </is>
      </c>
      <c r="K739" s="63" t="n">
        <v>37.7042506220984</v>
      </c>
      <c r="L739" s="22" t="inlineStr">
        <is>
          <t>5006.H</t>
        </is>
      </c>
      <c r="M739" s="22" t="n">
        <v>7</v>
      </c>
      <c r="N739" s="22" t="inlineStr">
        <is>
          <t>İzmir Buca-Üçyol metro mekanik tesisat anahtar teslim teklifi (Yapı Merkezi'ne, AE_MT_MMMP_01); malzeme EUR, işçilik+GG/kâr TL verilmiş; birim_fiyat = malzeme € + (işçilik+GGK TL)/10,3 (kur, teklifteki GGK oranından türetildi ≈10,3 TL/€); KDV hariç. [orijinal: malzeme 15.64 €, işçilik 109.51 TL, GGK 42.47 TL]</t>
        </is>
      </c>
    </row>
    <row r="740">
      <c r="A740" s="22" t="inlineStr">
        <is>
          <t>R05373</t>
        </is>
      </c>
      <c r="B740" s="22" t="inlineStr">
        <is>
          <t>Izmir_Ucyol_Buca_Metro</t>
        </is>
      </c>
      <c r="C740" s="22" t="inlineStr">
        <is>
          <t>metro</t>
        </is>
      </c>
      <c r="D740" s="22" t="inlineStr">
        <is>
          <t>Alp Erdem Elektrik İnşaat Tic. A.Ş.</t>
        </is>
      </c>
      <c r="E740" s="22" t="inlineStr">
        <is>
          <t>2021-06-15</t>
        </is>
      </c>
      <c r="F740" s="22" t="inlineStr">
        <is>
          <t>Master süzgeç 15x15 DN70 çıkışlı</t>
        </is>
      </c>
      <c r="G740" s="22" t="inlineStr">
        <is>
          <t>AD</t>
        </is>
      </c>
      <c r="H740" s="63" t="n">
        <v>23.26</v>
      </c>
      <c r="I740" s="22" t="inlineStr">
        <is>
          <t>EUR</t>
        </is>
      </c>
      <c r="J740" s="22" t="inlineStr">
        <is>
          <t>M+İ</t>
        </is>
      </c>
      <c r="K740" s="63" t="n">
        <v>28.8487128115135</v>
      </c>
      <c r="L740" s="22" t="inlineStr">
        <is>
          <t>5008.A</t>
        </is>
      </c>
      <c r="M740" s="22" t="n">
        <v>4</v>
      </c>
      <c r="N740" s="22" t="inlineStr">
        <is>
          <t>İzmir Buca-Üçyol metro mekanik tesisat anahtar teslim teklifi (Yapı Merkezi'ne, AE_MT_MMMP_01); malzeme EUR, işçilik+GG/kâr TL verilmiş; birim_fiyat = malzeme € + (işçilik+GGK TL)/10,3 (kur, teklifteki GGK oranından türetildi ≈10,3 TL/€); KDV hariç. [orijinal: malzeme 9.48 €, işçilik 109.51 TL, GGK 32.41 TL]</t>
        </is>
      </c>
    </row>
    <row r="741">
      <c r="A741" s="22" t="inlineStr">
        <is>
          <t>R05375</t>
        </is>
      </c>
      <c r="B741" s="22" t="inlineStr">
        <is>
          <t>Izmir_Ucyol_Buca_Metro</t>
        </is>
      </c>
      <c r="C741" s="22" t="inlineStr">
        <is>
          <t>metro</t>
        </is>
      </c>
      <c r="D741" s="22" t="inlineStr">
        <is>
          <t>Alp Erdem Elektrik İnşaat Tic. A.Ş.</t>
        </is>
      </c>
      <c r="E741" s="22" t="inlineStr">
        <is>
          <t>2021-06-15</t>
        </is>
      </c>
      <c r="F741" s="22" t="inlineStr">
        <is>
          <t>Lowara dalgıç drenaj pompası 10 m³/h 20 mSS (1+1, kızaklı, şamandıralı, panolu)</t>
        </is>
      </c>
      <c r="G741" s="22" t="inlineStr">
        <is>
          <t>TK</t>
        </is>
      </c>
      <c r="H741" s="63" t="n">
        <v>3260.81</v>
      </c>
      <c r="I741" s="22" t="inlineStr">
        <is>
          <t>EUR</t>
        </is>
      </c>
      <c r="J741" s="22" t="inlineStr">
        <is>
          <t>M+İ</t>
        </is>
      </c>
      <c r="K741" s="63" t="n">
        <v>4044.28939049489</v>
      </c>
      <c r="L741" s="22" t="inlineStr">
        <is>
          <t>5006.H</t>
        </is>
      </c>
      <c r="M741" s="22" t="n">
        <v>1</v>
      </c>
      <c r="N741" s="22" t="inlineStr">
        <is>
          <t>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613.28 TL, GGK 4592.34 TL]</t>
        </is>
      </c>
    </row>
    <row r="742">
      <c r="A742" s="22" t="inlineStr">
        <is>
          <t>R05376</t>
        </is>
      </c>
      <c r="B742" s="22" t="inlineStr">
        <is>
          <t>Izmir_Ucyol_Buca_Metro</t>
        </is>
      </c>
      <c r="C742" s="22" t="inlineStr">
        <is>
          <t>metro</t>
        </is>
      </c>
      <c r="D742" s="22" t="inlineStr">
        <is>
          <t>Alp Erdem Elektrik İnşaat Tic. A.Ş.</t>
        </is>
      </c>
      <c r="E742" s="22" t="inlineStr">
        <is>
          <t>2021-06-15</t>
        </is>
      </c>
      <c r="F742" s="22" t="inlineStr">
        <is>
          <t>Lowara dalgıç drenaj pompası 12 m³/h 20 mSS (1+1, panolu)</t>
        </is>
      </c>
      <c r="G742" s="22" t="inlineStr">
        <is>
          <t>TK</t>
        </is>
      </c>
      <c r="H742" s="63" t="n">
        <v>3290.28</v>
      </c>
      <c r="I742" s="22" t="inlineStr">
        <is>
          <t>EUR</t>
        </is>
      </c>
      <c r="J742" s="22" t="inlineStr">
        <is>
          <t>M+İ</t>
        </is>
      </c>
      <c r="K742" s="63" t="n">
        <v>4080.84018871309</v>
      </c>
      <c r="L742" s="22" t="inlineStr">
        <is>
          <t>5006.H</t>
        </is>
      </c>
      <c r="M742" s="22" t="n">
        <v>1</v>
      </c>
      <c r="N742" s="22" t="inlineStr">
        <is>
          <t>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876.11 TL, GGK 4633.00 TL]</t>
        </is>
      </c>
    </row>
    <row r="743">
      <c r="A743" s="22" t="inlineStr">
        <is>
          <t>R05378</t>
        </is>
      </c>
      <c r="B743" s="22" t="inlineStr">
        <is>
          <t>Izmir_Ucyol_Buca_Metro</t>
        </is>
      </c>
      <c r="C743" s="22" t="inlineStr">
        <is>
          <t>metro</t>
        </is>
      </c>
      <c r="D743" s="22" t="inlineStr">
        <is>
          <t>Alp Erdem Elektrik İnşaat Tic. A.Ş.</t>
        </is>
      </c>
      <c r="E743" s="22" t="inlineStr">
        <is>
          <t>2021-06-15</t>
        </is>
      </c>
      <c r="F743" s="22" t="inlineStr">
        <is>
          <t>Petrol ayırıcı 1781x1092x616 su kapasitesi 113 L</t>
        </is>
      </c>
      <c r="G743" s="22" t="inlineStr">
        <is>
          <t>TK</t>
        </is>
      </c>
      <c r="H743" s="63" t="n">
        <v>1048.69</v>
      </c>
      <c r="I743" s="22" t="inlineStr">
        <is>
          <t>EUR</t>
        </is>
      </c>
      <c r="J743" s="22" t="inlineStr">
        <is>
          <t>M+İ</t>
        </is>
      </c>
      <c r="K743" s="63" t="n">
        <v>1300.66021660817</v>
      </c>
      <c r="L743" s="22" t="inlineStr">
        <is>
          <t>5006.H</t>
        </is>
      </c>
      <c r="M743" s="22" t="n">
        <v>1</v>
      </c>
      <c r="N743" s="22" t="inlineStr">
        <is>
          <t>İzmir Buca-Üçyol metro mekanik tesisat anahtar teslim teklifi (Yapı Merkezi'ne, AE_MT_MMMP_01); malzeme EUR, işçilik+GG/kâr TL verilmiş; birim_fiyat = malzeme € + (işçilik+GGK TL)/10,3 (kur, teklifteki GGK oranından türetildi ≈10,3 TL/€); KDV hariç. küçük kapasite [orijinal: malzeme 833.18 €, işçilik 744.69 TL, GGK 1475.15 TL]</t>
        </is>
      </c>
    </row>
    <row r="744">
      <c r="A744" s="22" t="inlineStr">
        <is>
          <t>R05404</t>
        </is>
      </c>
      <c r="B744" s="22" t="inlineStr">
        <is>
          <t>KOCAELI_BELEDIYESI_TRAMWAY_HATTI</t>
        </is>
      </c>
      <c r="C744" s="22" t="inlineStr">
        <is>
          <t>tramvay</t>
        </is>
      </c>
      <c r="D744" s="22" t="inlineStr">
        <is>
          <t>Özgür Mak. (proje müellifi keşif özeti – idare yaklaşık maliyeti, teklif değil)</t>
        </is>
      </c>
      <c r="E744" s="22" t="inlineStr">
        <is>
          <t>2014-12-24</t>
        </is>
      </c>
      <c r="F744" s="22" t="inlineStr">
        <is>
          <t>Galvaniz sac dikdörtgen hava kanalı 0,60 mm</t>
        </is>
      </c>
      <c r="G744" s="22" t="inlineStr">
        <is>
          <t>m2</t>
        </is>
      </c>
      <c r="H744" s="63" t="n">
        <v>76</v>
      </c>
      <c r="I744" s="22" t="inlineStr">
        <is>
          <t>TRY</t>
        </is>
      </c>
      <c r="J744" s="22" t="inlineStr"/>
      <c r="K744" s="63" t="n">
        <v>35.8122239923961</v>
      </c>
      <c r="L744" s="22" t="inlineStr">
        <is>
          <t>6002.B</t>
        </is>
      </c>
      <c r="M744" s="22" t="n">
        <v>4</v>
      </c>
      <c r="N744" s="22" t="inlineStr">
        <is>
          <t>Kocaeli Sekapark-Otogar tramvay B1 cer gücü trafo merkezleri (5 TM) keşif özeti; Çevre-Şehircilik/özel poz birim fiyatları; tarih=dosya tarihi.</t>
        </is>
      </c>
    </row>
    <row r="745">
      <c r="A745" s="22" t="inlineStr">
        <is>
          <t>R05408</t>
        </is>
      </c>
      <c r="B745" s="22" t="inlineStr">
        <is>
          <t>KOCAELI_BELEDIYESI_TRAMWAY_HATTI</t>
        </is>
      </c>
      <c r="C745" s="22" t="inlineStr">
        <is>
          <t>tramvay</t>
        </is>
      </c>
      <c r="D745" s="22" t="inlineStr">
        <is>
          <t>Özgür Mak. (proje müellifi keşif özeti – idare yaklaşık maliyeti, teklif değil)</t>
        </is>
      </c>
      <c r="E745" s="22" t="inlineStr">
        <is>
          <t>2014-12-24</t>
        </is>
      </c>
      <c r="F745" s="22" t="inlineStr">
        <is>
          <t>Kanal tipi exproof aspiratör 450 m³/h (akü odası)</t>
        </is>
      </c>
      <c r="G745" s="22" t="inlineStr">
        <is>
          <t>Adet</t>
        </is>
      </c>
      <c r="H745" s="63" t="n">
        <v>700</v>
      </c>
      <c r="I745" s="22" t="inlineStr">
        <is>
          <t>TRY</t>
        </is>
      </c>
      <c r="J745" s="22" t="inlineStr"/>
      <c r="K745" s="63" t="n">
        <v>329.849431508911</v>
      </c>
      <c r="L745" s="22" t="inlineStr">
        <is>
          <t>6002.A</t>
        </is>
      </c>
      <c r="M745" s="22" t="n">
        <v>4</v>
      </c>
      <c r="N745" s="22" t="inlineStr">
        <is>
          <t>Kocaeli Sekapark-Otogar tramvay B1 cer gücü trafo merkezleri (5 TM) keşif özeti; Çevre-Şehircilik/özel poz birim fiyatları; tarih=dosya tarihi.</t>
        </is>
      </c>
    </row>
    <row r="746">
      <c r="A746" s="22" t="inlineStr">
        <is>
          <t>R05416</t>
        </is>
      </c>
      <c r="B746" s="22" t="inlineStr">
        <is>
          <t>KOCAELI_BELEDIYESI_TRAMWAY_HATTI (Kent Meydani klasöründe)</t>
        </is>
      </c>
      <c r="C746" s="22" t="inlineStr">
        <is>
          <t>tramvay</t>
        </is>
      </c>
      <c r="D746" s="22" t="inlineStr">
        <is>
          <t>Uluhanlar İnşaat</t>
        </is>
      </c>
      <c r="E746" s="22" t="inlineStr">
        <is>
          <t>2015-04-07</t>
        </is>
      </c>
      <c r="F746" s="22" t="inlineStr">
        <is>
          <t>Konsollu lavabo 45x60 ekstra</t>
        </is>
      </c>
      <c r="G746" s="22" t="inlineStr">
        <is>
          <t>AD</t>
        </is>
      </c>
      <c r="H746" s="63" t="n">
        <v>280</v>
      </c>
      <c r="I746" s="22" t="inlineStr">
        <is>
          <t>TRY</t>
        </is>
      </c>
      <c r="J746" s="22" t="inlineStr">
        <is>
          <t>M+İ</t>
        </is>
      </c>
      <c r="K746" s="63" t="n">
        <v>132.631098009745</v>
      </c>
      <c r="L746" s="22" t="inlineStr">
        <is>
          <t>5007.A</t>
        </is>
      </c>
      <c r="M746" s="22" t="n">
        <v>3</v>
      </c>
      <c r="N746" s="22" t="inlineStr">
        <is>
          <t>Kocaeli Sekapark-Otogar tramvay (İhale 2015/17325) mekanik birim fiyat teklifi (örnek teklif, Kent Meydanı klasöründe); TL, KDV hariç; tarih=dosya tarihi.</t>
        </is>
      </c>
    </row>
    <row r="747">
      <c r="A747" s="22" t="inlineStr">
        <is>
          <t>R05422</t>
        </is>
      </c>
      <c r="B747" s="22" t="inlineStr">
        <is>
          <t>KOCAELI_BELEDIYESI_TRAMWAY_HATTI (Kent Meydani klasöründe)</t>
        </is>
      </c>
      <c r="C747" s="22" t="inlineStr">
        <is>
          <t>tramvay</t>
        </is>
      </c>
      <c r="D747" s="22" t="inlineStr">
        <is>
          <t>Uluhanlar İnşaat</t>
        </is>
      </c>
      <c r="E747" s="22" t="inlineStr">
        <is>
          <t>2015-04-07</t>
        </is>
      </c>
      <c r="F747" s="22" t="inlineStr">
        <is>
          <t>Duş tesisatı (duş borusu, süzgeç, batarya)</t>
        </is>
      </c>
      <c r="G747" s="22" t="inlineStr">
        <is>
          <t>TK</t>
        </is>
      </c>
      <c r="H747" s="63" t="n">
        <v>230</v>
      </c>
      <c r="I747" s="22" t="inlineStr">
        <is>
          <t>TRY</t>
        </is>
      </c>
      <c r="J747" s="22" t="inlineStr">
        <is>
          <t>M+İ</t>
        </is>
      </c>
      <c r="K747" s="63" t="n">
        <v>108.946973365148</v>
      </c>
      <c r="L747" s="22" t="inlineStr">
        <is>
          <t>5007.A</t>
        </is>
      </c>
      <c r="M747" s="22" t="n">
        <v>1</v>
      </c>
      <c r="N747" s="22" t="inlineStr">
        <is>
          <t>Kocaeli Sekapark-Otogar tramvay (İhale 2015/17325) mekanik birim fiyat teklifi (örnek teklif, Kent Meydanı klasöründe); TL, KDV hariç; tarih=dosya tarihi.</t>
        </is>
      </c>
    </row>
    <row r="748">
      <c r="A748" s="22" t="inlineStr">
        <is>
          <t>R05423</t>
        </is>
      </c>
      <c r="B748" s="22" t="inlineStr">
        <is>
          <t>KOCAELI_BELEDIYESI_TRAMWAY_HATTI (Kent Meydani klasöründe)</t>
        </is>
      </c>
      <c r="C748" s="22" t="inlineStr">
        <is>
          <t>tramvay</t>
        </is>
      </c>
      <c r="D748" s="22" t="inlineStr">
        <is>
          <t>Uluhanlar İnşaat</t>
        </is>
      </c>
      <c r="E748" s="22" t="inlineStr">
        <is>
          <t>2015-04-07</t>
        </is>
      </c>
      <c r="F748" s="22" t="inlineStr">
        <is>
          <t>Akrilik duş teknesi 80x80</t>
        </is>
      </c>
      <c r="G748" s="22" t="inlineStr">
        <is>
          <t>AD</t>
        </is>
      </c>
      <c r="H748" s="63" t="n">
        <v>120</v>
      </c>
      <c r="I748" s="22" t="inlineStr">
        <is>
          <t>TRY</t>
        </is>
      </c>
      <c r="J748" s="22" t="inlineStr">
        <is>
          <t>M+İ</t>
        </is>
      </c>
      <c r="K748" s="63" t="n">
        <v>56.8418991470336</v>
      </c>
      <c r="L748" s="22" t="inlineStr">
        <is>
          <t>5007.A</t>
        </is>
      </c>
      <c r="M748" s="22" t="n">
        <v>1</v>
      </c>
      <c r="N748" s="22" t="inlineStr">
        <is>
          <t>Kocaeli Sekapark-Otogar tramvay (İhale 2015/17325) mekanik birim fiyat teklifi (örnek teklif, Kent Meydanı klasöründe); TL, KDV hariç; tarih=dosya tarihi.</t>
        </is>
      </c>
    </row>
    <row r="749">
      <c r="A749" s="22" t="inlineStr">
        <is>
          <t>R05424</t>
        </is>
      </c>
      <c r="B749" s="22" t="inlineStr">
        <is>
          <t>KOCAELI_BELEDIYESI_TRAMWAY_HATTI (Kent Meydani klasöründe)</t>
        </is>
      </c>
      <c r="C749" s="22" t="inlineStr">
        <is>
          <t>tramvay</t>
        </is>
      </c>
      <c r="D749" s="22" t="inlineStr">
        <is>
          <t>Uluhanlar İnşaat</t>
        </is>
      </c>
      <c r="E749" s="22" t="inlineStr">
        <is>
          <t>2015-04-07</t>
        </is>
      </c>
      <c r="F749" s="22" t="inlineStr">
        <is>
          <t>Pik bodrum süzgeci 24x34</t>
        </is>
      </c>
      <c r="G749" s="22" t="inlineStr">
        <is>
          <t>AD</t>
        </is>
      </c>
      <c r="H749" s="63" t="n">
        <v>349</v>
      </c>
      <c r="I749" s="22" t="inlineStr">
        <is>
          <t>TRY</t>
        </is>
      </c>
      <c r="J749" s="22" t="inlineStr">
        <is>
          <t>M+İ</t>
        </is>
      </c>
      <c r="K749" s="63" t="n">
        <v>165.315190019289</v>
      </c>
      <c r="L749" s="22" t="inlineStr">
        <is>
          <t>5006.H</t>
        </is>
      </c>
      <c r="M749" s="22" t="n">
        <v>1</v>
      </c>
      <c r="N749" s="22" t="inlineStr">
        <is>
          <t>Kocaeli Sekapark-Otogar tramvay (İhale 2015/17325) mekanik birim fiyat teklifi (örnek teklif, Kent Meydanı klasöründe); TL, KDV hariç; tarih=dosya tarihi.</t>
        </is>
      </c>
    </row>
    <row r="750">
      <c r="A750" s="22" t="inlineStr">
        <is>
          <t>R05425</t>
        </is>
      </c>
      <c r="B750" s="22" t="inlineStr">
        <is>
          <t>KOCAELI_BELEDIYESI_TRAMWAY_HATTI (Kent Meydani klasöründe)</t>
        </is>
      </c>
      <c r="C750" s="22" t="inlineStr">
        <is>
          <t>tramvay</t>
        </is>
      </c>
      <c r="D750" s="22" t="inlineStr">
        <is>
          <t>Uluhanlar İnşaat</t>
        </is>
      </c>
      <c r="E750" s="22" t="inlineStr">
        <is>
          <t>2015-04-07</t>
        </is>
      </c>
      <c r="F750" s="22" t="inlineStr">
        <is>
          <t>Yer süzgeci sert plastik 15x15</t>
        </is>
      </c>
      <c r="G750" s="22" t="inlineStr">
        <is>
          <t>AD</t>
        </is>
      </c>
      <c r="H750" s="63" t="n">
        <v>24</v>
      </c>
      <c r="I750" s="22" t="inlineStr">
        <is>
          <t>TRY</t>
        </is>
      </c>
      <c r="J750" s="22" t="inlineStr">
        <is>
          <t>M+İ</t>
        </is>
      </c>
      <c r="K750" s="63" t="n">
        <v>11.3683798294067</v>
      </c>
      <c r="L750" s="22" t="inlineStr">
        <is>
          <t>5008.A</t>
        </is>
      </c>
      <c r="M750" s="22" t="n">
        <v>4</v>
      </c>
      <c r="N750" s="22" t="inlineStr">
        <is>
          <t>Kocaeli Sekapark-Otogar tramvay (İhale 2015/17325) mekanik birim fiyat teklifi (örnek teklif, Kent Meydanı klasöründe); TL, KDV hariç; tarih=dosya tarihi.</t>
        </is>
      </c>
    </row>
    <row r="751">
      <c r="A751" s="22" t="inlineStr">
        <is>
          <t>R05426</t>
        </is>
      </c>
      <c r="B751" s="22" t="inlineStr">
        <is>
          <t>KOCAELI_BELEDIYESI_TRAMWAY_HATTI (Kent Meydani klasöründe)</t>
        </is>
      </c>
      <c r="C751" s="22" t="inlineStr">
        <is>
          <t>tramvay</t>
        </is>
      </c>
      <c r="D751" s="22" t="inlineStr">
        <is>
          <t>Uluhanlar İnşaat</t>
        </is>
      </c>
      <c r="E751" s="22" t="inlineStr">
        <is>
          <t>2015-04-07</t>
        </is>
      </c>
      <c r="F751" s="22" t="inlineStr">
        <is>
          <t>Oluk (çatı) süzgeci demir döküm</t>
        </is>
      </c>
      <c r="G751" s="22" t="inlineStr">
        <is>
          <t>AD</t>
        </is>
      </c>
      <c r="H751" s="63" t="n">
        <v>310</v>
      </c>
      <c r="I751" s="22" t="inlineStr">
        <is>
          <t>TRY</t>
        </is>
      </c>
      <c r="J751" s="22" t="inlineStr">
        <is>
          <t>M+İ</t>
        </is>
      </c>
      <c r="K751" s="63" t="n">
        <v>146.841572796504</v>
      </c>
      <c r="L751" s="22" t="inlineStr">
        <is>
          <t>5006.H</t>
        </is>
      </c>
      <c r="M751" s="22" t="n">
        <v>3</v>
      </c>
      <c r="N751" s="22" t="inlineStr">
        <is>
          <t>Kocaeli Sekapark-Otogar tramvay (İhale 2015/17325) mekanik birim fiyat teklifi (örnek teklif, Kent Meydanı klasöründe); TL, KDV hariç; tarih=dosya tarihi.</t>
        </is>
      </c>
    </row>
    <row r="752">
      <c r="A752" s="22" t="inlineStr">
        <is>
          <t>R05428</t>
        </is>
      </c>
      <c r="B752" s="22" t="inlineStr">
        <is>
          <t>KOCAELI_BELEDIYESI_TRAMWAY_HATTI (Kent Meydani klasöründe)</t>
        </is>
      </c>
      <c r="C752" s="22" t="inlineStr">
        <is>
          <t>tramvay</t>
        </is>
      </c>
      <c r="D752" s="22" t="inlineStr">
        <is>
          <t>Uluhanlar İnşaat</t>
        </is>
      </c>
      <c r="E752" s="22" t="inlineStr">
        <is>
          <t>2015-04-07</t>
        </is>
      </c>
      <c r="F752" s="22" t="inlineStr">
        <is>
          <t>DN25 30 m TS EN 671-1 tüplü yangın dolabı</t>
        </is>
      </c>
      <c r="G752" s="22" t="inlineStr">
        <is>
          <t>AD</t>
        </is>
      </c>
      <c r="H752" s="63" t="n">
        <v>665</v>
      </c>
      <c r="I752" s="22" t="inlineStr">
        <is>
          <t>TRY</t>
        </is>
      </c>
      <c r="J752" s="22" t="inlineStr">
        <is>
          <t>M+İ</t>
        </is>
      </c>
      <c r="K752" s="63" t="n">
        <v>314.998857773145</v>
      </c>
      <c r="L752" s="22" t="inlineStr">
        <is>
          <t>5005.H</t>
        </is>
      </c>
      <c r="M752" s="22" t="n">
        <v>1</v>
      </c>
      <c r="N752" s="22" t="inlineStr">
        <is>
          <t>Kocaeli Sekapark-Otogar tramvay (İhale 2015/17325) mekanik birim fiyat teklifi (örnek teklif, Kent Meydanı klasöründe); TL, KDV hariç; tarih=dosya tarihi.</t>
        </is>
      </c>
    </row>
    <row r="753">
      <c r="A753" s="22" t="inlineStr">
        <is>
          <t>R05429</t>
        </is>
      </c>
      <c r="B753" s="22" t="inlineStr">
        <is>
          <t>KOCAELI_BELEDIYESI_TRAMWAY_HATTI (Kent Meydani klasöründe)</t>
        </is>
      </c>
      <c r="C753" s="22" t="inlineStr">
        <is>
          <t>tramvay</t>
        </is>
      </c>
      <c r="D753" s="22" t="inlineStr">
        <is>
          <t>Uluhanlar İnşaat</t>
        </is>
      </c>
      <c r="E753" s="22" t="inlineStr">
        <is>
          <t>2015-04-07</t>
        </is>
      </c>
      <c r="F753" s="22" t="inlineStr">
        <is>
          <t>DN15 otomatik sprinkler (dik/upright)</t>
        </is>
      </c>
      <c r="G753" s="22" t="inlineStr">
        <is>
          <t>AD</t>
        </is>
      </c>
      <c r="H753" s="63" t="n">
        <v>20</v>
      </c>
      <c r="I753" s="22" t="inlineStr">
        <is>
          <t>TRY</t>
        </is>
      </c>
      <c r="J753" s="22" t="inlineStr">
        <is>
          <t>M+İ</t>
        </is>
      </c>
      <c r="K753" s="63" t="n">
        <v>9.473649857838931</v>
      </c>
      <c r="L753" s="22" t="inlineStr">
        <is>
          <t>5005.H</t>
        </is>
      </c>
      <c r="M753" s="22" t="n">
        <v>1</v>
      </c>
      <c r="N753" s="22" t="inlineStr">
        <is>
          <t>Kocaeli Sekapark-Otogar tramvay (İhale 2015/17325) mekanik birim fiyat teklifi (örnek teklif, Kent Meydanı klasöründe); TL, KDV hariç; tarih=dosya tarihi.</t>
        </is>
      </c>
    </row>
    <row r="754">
      <c r="A754" s="22" t="inlineStr">
        <is>
          <t>R05430</t>
        </is>
      </c>
      <c r="B754" s="22" t="inlineStr">
        <is>
          <t>KOCAELI_BELEDIYESI_TRAMWAY_HATTI (Kent Meydani klasöründe)</t>
        </is>
      </c>
      <c r="C754" s="22" t="inlineStr">
        <is>
          <t>tramvay</t>
        </is>
      </c>
      <c r="D754" s="22" t="inlineStr">
        <is>
          <t>Uluhanlar İnşaat</t>
        </is>
      </c>
      <c r="E754" s="22" t="inlineStr">
        <is>
          <t>2015-04-07</t>
        </is>
      </c>
      <c r="F754" s="22" t="inlineStr">
        <is>
          <t>DN15 otomatik sprinkler (sarkık/pendent)</t>
        </is>
      </c>
      <c r="G754" s="22" t="inlineStr">
        <is>
          <t>AD</t>
        </is>
      </c>
      <c r="H754" s="63" t="n">
        <v>23</v>
      </c>
      <c r="I754" s="22" t="inlineStr">
        <is>
          <t>TRY</t>
        </is>
      </c>
      <c r="J754" s="22" t="inlineStr">
        <is>
          <t>M+İ</t>
        </is>
      </c>
      <c r="K754" s="63" t="n">
        <v>10.8946973365148</v>
      </c>
      <c r="L754" s="22" t="inlineStr">
        <is>
          <t>5005.H</t>
        </is>
      </c>
      <c r="M754" s="22" t="n">
        <v>1</v>
      </c>
      <c r="N754" s="22" t="inlineStr">
        <is>
          <t>Kocaeli Sekapark-Otogar tramvay (İhale 2015/17325) mekanik birim fiyat teklifi (örnek teklif, Kent Meydanı klasöründe); TL, KDV hariç; tarih=dosya tarihi. rozet ayrı 4 TL</t>
        </is>
      </c>
    </row>
    <row r="755">
      <c r="A755" s="22" t="inlineStr">
        <is>
          <t>R05431</t>
        </is>
      </c>
      <c r="B755" s="22" t="inlineStr">
        <is>
          <t>KOCAELI_BELEDIYESI_TRAMWAY_HATTI (Kent Meydani klasöründe)</t>
        </is>
      </c>
      <c r="C755" s="22" t="inlineStr">
        <is>
          <t>tramvay</t>
        </is>
      </c>
      <c r="D755" s="22" t="inlineStr">
        <is>
          <t>Uluhanlar İnşaat</t>
        </is>
      </c>
      <c r="E755" s="22" t="inlineStr">
        <is>
          <t>2015-04-07</t>
        </is>
      </c>
      <c r="F755" s="22" t="inlineStr">
        <is>
          <t>DN100 ıslak alarm vana istasyonu</t>
        </is>
      </c>
      <c r="G755" s="22" t="inlineStr">
        <is>
          <t>AD</t>
        </is>
      </c>
      <c r="H755" s="63" t="n">
        <v>4225</v>
      </c>
      <c r="I755" s="22" t="inlineStr">
        <is>
          <t>TRY</t>
        </is>
      </c>
      <c r="J755" s="22" t="inlineStr">
        <is>
          <t>M+İ</t>
        </is>
      </c>
      <c r="K755" s="63" t="n">
        <v>2001.30853246847</v>
      </c>
      <c r="L755" s="22" t="inlineStr">
        <is>
          <t>5005.H</t>
        </is>
      </c>
      <c r="M755" s="22" t="n">
        <v>1</v>
      </c>
      <c r="N755" s="22" t="inlineStr">
        <is>
          <t>Kocaeli Sekapark-Otogar tramvay (İhale 2015/17325) mekanik birim fiyat teklifi (örnek teklif, Kent Meydanı klasöründe); TL, KDV hariç; tarih=dosya tarihi. motor gong farkı +665 TL</t>
        </is>
      </c>
    </row>
    <row r="756">
      <c r="A756" s="22" t="inlineStr">
        <is>
          <t>R05432</t>
        </is>
      </c>
      <c r="B756" s="22" t="inlineStr">
        <is>
          <t>KOCAELI_BELEDIYESI_TRAMWAY_HATTI (Kent Meydani klasöründe)</t>
        </is>
      </c>
      <c r="C756" s="22" t="inlineStr">
        <is>
          <t>tramvay</t>
        </is>
      </c>
      <c r="D756" s="22" t="inlineStr">
        <is>
          <t>Uluhanlar İnşaat</t>
        </is>
      </c>
      <c r="E756" s="22" t="inlineStr">
        <is>
          <t>2015-04-07</t>
        </is>
      </c>
      <c r="F756" s="22" t="inlineStr">
        <is>
          <t>DN100 su akış anahtarı</t>
        </is>
      </c>
      <c r="G756" s="22" t="inlineStr">
        <is>
          <t>AD</t>
        </is>
      </c>
      <c r="H756" s="63" t="n">
        <v>465</v>
      </c>
      <c r="I756" s="22" t="inlineStr">
        <is>
          <t>TRY</t>
        </is>
      </c>
      <c r="J756" s="22" t="inlineStr">
        <is>
          <t>M+İ</t>
        </is>
      </c>
      <c r="K756" s="63" t="n">
        <v>220.262359194755</v>
      </c>
      <c r="L756" s="22" t="inlineStr">
        <is>
          <t>5005.H</t>
        </is>
      </c>
      <c r="M756" s="22" t="n">
        <v>1</v>
      </c>
      <c r="N756" s="22" t="inlineStr">
        <is>
          <t>Kocaeli Sekapark-Otogar tramvay (İhale 2015/17325) mekanik birim fiyat teklifi (örnek teklif, Kent Meydanı klasöründe); TL, KDV hariç; tarih=dosya tarihi.</t>
        </is>
      </c>
    </row>
    <row r="757">
      <c r="A757" s="22" t="inlineStr">
        <is>
          <t>R05433</t>
        </is>
      </c>
      <c r="B757" s="22" t="inlineStr">
        <is>
          <t>KOCAELI_BELEDIYESI_TRAMWAY_HATTI (Kent Meydani klasöründe)</t>
        </is>
      </c>
      <c r="C757" s="22" t="inlineStr">
        <is>
          <t>tramvay</t>
        </is>
      </c>
      <c r="D757" s="22" t="inlineStr">
        <is>
          <t>Uluhanlar İnşaat</t>
        </is>
      </c>
      <c r="E757" s="22" t="inlineStr">
        <is>
          <t>2015-04-07</t>
        </is>
      </c>
      <c r="F757" s="22" t="inlineStr">
        <is>
          <t>DN100 izlenebilir kelebek vana</t>
        </is>
      </c>
      <c r="G757" s="22" t="inlineStr">
        <is>
          <t>AD</t>
        </is>
      </c>
      <c r="H757" s="63" t="n">
        <v>705</v>
      </c>
      <c r="I757" s="22" t="inlineStr">
        <is>
          <t>TRY</t>
        </is>
      </c>
      <c r="J757" s="22" t="inlineStr">
        <is>
          <t>M+İ</t>
        </is>
      </c>
      <c r="K757" s="63" t="n">
        <v>333.946157488822</v>
      </c>
      <c r="L757" s="22" t="inlineStr">
        <is>
          <t>5005.H</t>
        </is>
      </c>
      <c r="M757" s="22" t="n">
        <v>2</v>
      </c>
      <c r="N757" s="22" t="inlineStr">
        <is>
          <t>Kocaeli Sekapark-Otogar tramvay (İhale 2015/17325) mekanik birim fiyat teklifi (örnek teklif, Kent Meydanı klasöründe); TL, KDV hariç; tarih=dosya tarihi.</t>
        </is>
      </c>
    </row>
    <row r="758">
      <c r="A758" s="22" t="inlineStr">
        <is>
          <t>R05435</t>
        </is>
      </c>
      <c r="B758" s="22" t="inlineStr">
        <is>
          <t>KOCAELI_BELEDIYESI_TRAMWAY_HATTI (Kent Meydani klasöründe)</t>
        </is>
      </c>
      <c r="C758" s="22" t="inlineStr">
        <is>
          <t>tramvay</t>
        </is>
      </c>
      <c r="D758" s="22" t="inlineStr">
        <is>
          <t>Uluhanlar İnşaat</t>
        </is>
      </c>
      <c r="E758" s="22" t="inlineStr">
        <is>
          <t>2015-04-07</t>
        </is>
      </c>
      <c r="F758" s="22" t="inlineStr">
        <is>
          <t>Yangın pompası yatay ayrılabilir gövdeli 170-180 m³/h 100 mSS</t>
        </is>
      </c>
      <c r="G758" s="22" t="inlineStr">
        <is>
          <t>AD</t>
        </is>
      </c>
      <c r="H758" s="63" t="n">
        <v>71500</v>
      </c>
      <c r="I758" s="22" t="inlineStr">
        <is>
          <t>TRY</t>
        </is>
      </c>
      <c r="J758" s="22" t="inlineStr">
        <is>
          <t>M+İ</t>
        </is>
      </c>
      <c r="K758" s="63" t="n">
        <v>33868.2982417742</v>
      </c>
      <c r="L758" s="22" t="inlineStr">
        <is>
          <t>5005.H</t>
        </is>
      </c>
      <c r="M758" s="22" t="n">
        <v>2</v>
      </c>
      <c r="N758" s="22" t="inlineStr">
        <is>
          <t>Kocaeli Sekapark-Otogar tramvay (İhale 2015/17325) mekanik birim fiyat teklifi (örnek teklif, Kent Meydanı klasöründe); TL, KDV hariç; tarih=dosya tarihi. firma notu: bilgi yetersiz, NFPA istenirse fiyat değişir; pano/motor dahil olup olmadığı belirsiz</t>
        </is>
      </c>
    </row>
    <row r="759">
      <c r="A759" s="22" t="inlineStr">
        <is>
          <t>R05436</t>
        </is>
      </c>
      <c r="B759" s="22" t="inlineStr">
        <is>
          <t>KOCAELI_BELEDIYESI_TRAMWAY_HATTI (Kent Meydani klasöründe)</t>
        </is>
      </c>
      <c r="C759" s="22" t="inlineStr">
        <is>
          <t>tramvay</t>
        </is>
      </c>
      <c r="D759" s="22" t="inlineStr">
        <is>
          <t>Uluhanlar İnşaat</t>
        </is>
      </c>
      <c r="E759" s="22" t="inlineStr">
        <is>
          <t>2015-04-07</t>
        </is>
      </c>
      <c r="F759" s="22" t="inlineStr">
        <is>
          <t>Kaçak giderme (jokey) pompa grubu 6 m³/h 100 mSS</t>
        </is>
      </c>
      <c r="G759" s="22" t="inlineStr">
        <is>
          <t>AD</t>
        </is>
      </c>
      <c r="H759" s="63" t="n">
        <v>9000</v>
      </c>
      <c r="I759" s="22" t="inlineStr">
        <is>
          <t>TRY</t>
        </is>
      </c>
      <c r="J759" s="22" t="inlineStr">
        <is>
          <t>M+İ</t>
        </is>
      </c>
      <c r="K759" s="63" t="n">
        <v>4263.14243602752</v>
      </c>
      <c r="L759" s="22" t="inlineStr">
        <is>
          <t>5005.H</t>
        </is>
      </c>
      <c r="M759" s="22" t="n">
        <v>1</v>
      </c>
      <c r="N759" s="22" t="inlineStr">
        <is>
          <t>Kocaeli Sekapark-Otogar tramvay (İhale 2015/17325) mekanik birim fiyat teklifi (örnek teklif, Kent Meydanı klasöründe); TL, KDV hariç; tarih=dosya tarihi.</t>
        </is>
      </c>
    </row>
    <row r="760">
      <c r="A760" s="22" t="inlineStr">
        <is>
          <t>R05438</t>
        </is>
      </c>
      <c r="B760" s="22" t="inlineStr">
        <is>
          <t>KOCAELI_BELEDIYESI_TRAMWAY_HATTI (Kent Meydani klasöründe)</t>
        </is>
      </c>
      <c r="C760" s="22" t="inlineStr">
        <is>
          <t>tramvay</t>
        </is>
      </c>
      <c r="D760" s="22" t="inlineStr">
        <is>
          <t>Uluhanlar İnşaat</t>
        </is>
      </c>
      <c r="E760" s="22" t="inlineStr">
        <is>
          <t>2015-04-07</t>
        </is>
      </c>
      <c r="F760" s="22" t="inlineStr">
        <is>
          <t>Yangın pompası yatay arkadan emişli 165 m³/h 100 mSS (depo)</t>
        </is>
      </c>
      <c r="G760" s="22" t="inlineStr">
        <is>
          <t>AD</t>
        </is>
      </c>
      <c r="H760" s="63" t="n">
        <v>69500</v>
      </c>
      <c r="I760" s="22" t="inlineStr">
        <is>
          <t>TRY</t>
        </is>
      </c>
      <c r="J760" s="22" t="inlineStr">
        <is>
          <t>M+İ</t>
        </is>
      </c>
      <c r="K760" s="63" t="n">
        <v>32920.9332559903</v>
      </c>
      <c r="L760" s="22" t="inlineStr">
        <is>
          <t>5005.H</t>
        </is>
      </c>
      <c r="M760" s="22" t="n">
        <v>2</v>
      </c>
      <c r="N760" s="22" t="inlineStr">
        <is>
          <t>Kocaeli Sekapark-Otogar tramvay (İhale 2015/17325) mekanik birim fiyat teklifi (örnek teklif, Kent Meydanı klasöründe); TL, KDV hariç; tarih=dosya tarihi. firma notu: bilgi yetersiz</t>
        </is>
      </c>
    </row>
    <row r="761">
      <c r="A761" s="22" t="inlineStr">
        <is>
          <t>R05439</t>
        </is>
      </c>
      <c r="B761" s="22" t="inlineStr">
        <is>
          <t>KOCAELI_BELEDIYESI_TRAMWAY_HATTI (Kent Meydani klasöründe)</t>
        </is>
      </c>
      <c r="C761" s="22" t="inlineStr">
        <is>
          <t>tramvay</t>
        </is>
      </c>
      <c r="D761" s="22" t="inlineStr">
        <is>
          <t>Uluhanlar İnşaat</t>
        </is>
      </c>
      <c r="E761" s="22" t="inlineStr">
        <is>
          <t>2015-04-07</t>
        </is>
      </c>
      <c r="F761" s="22" t="inlineStr">
        <is>
          <t>ABC KKT taşınabilir söndürücü 6 kg</t>
        </is>
      </c>
      <c r="G761" s="22" t="inlineStr">
        <is>
          <t>AD</t>
        </is>
      </c>
      <c r="H761" s="63" t="n">
        <v>90</v>
      </c>
      <c r="I761" s="22" t="inlineStr">
        <is>
          <t>TRY</t>
        </is>
      </c>
      <c r="J761" s="22" t="inlineStr">
        <is>
          <t>M+İ</t>
        </is>
      </c>
      <c r="K761" s="63" t="n">
        <v>42.6314243602752</v>
      </c>
      <c r="L761" s="22" t="inlineStr">
        <is>
          <t>5005.A</t>
        </is>
      </c>
      <c r="M761" s="22" t="n">
        <v>9</v>
      </c>
      <c r="N761" s="22" t="inlineStr">
        <is>
          <t>Kocaeli Sekapark-Otogar tramvay (İhale 2015/17325) mekanik birim fiyat teklifi (örnek teklif, Kent Meydanı klasöründe); TL, KDV hariç; tarih=dosya tarihi.</t>
        </is>
      </c>
    </row>
    <row r="762">
      <c r="A762" s="22" t="inlineStr">
        <is>
          <t>R05440</t>
        </is>
      </c>
      <c r="B762" s="22" t="inlineStr">
        <is>
          <t>KOCAELI_BELEDIYESI_TRAMWAY_HATTI (Kent Meydani klasöründe)</t>
        </is>
      </c>
      <c r="C762" s="22" t="inlineStr">
        <is>
          <t>tramvay</t>
        </is>
      </c>
      <c r="D762" s="22" t="inlineStr">
        <is>
          <t>Uluhanlar İnşaat</t>
        </is>
      </c>
      <c r="E762" s="22" t="inlineStr">
        <is>
          <t>2015-04-07</t>
        </is>
      </c>
      <c r="F762" s="22" t="inlineStr">
        <is>
          <t>3 pompalı düşey milli frekans konvertörlü hidrofor 0-20 m³/h 60-90 mSS</t>
        </is>
      </c>
      <c r="G762" s="22" t="inlineStr">
        <is>
          <t>AD</t>
        </is>
      </c>
      <c r="H762" s="63" t="n">
        <v>23900</v>
      </c>
      <c r="I762" s="22" t="inlineStr">
        <is>
          <t>TRY</t>
        </is>
      </c>
      <c r="J762" s="22" t="inlineStr">
        <is>
          <t>M+İ</t>
        </is>
      </c>
      <c r="K762" s="63" t="n">
        <v>11321.0115801175</v>
      </c>
      <c r="L762" s="22" t="inlineStr">
        <is>
          <t>5007.A</t>
        </is>
      </c>
      <c r="M762" s="22" t="n">
        <v>1</v>
      </c>
      <c r="N762" s="22" t="inlineStr">
        <is>
          <t>Kocaeli Sekapark-Otogar tramvay (İhale 2015/17325) mekanik birim fiyat teklifi (örnek teklif, Kent Meydanı klasöründe); TL, KDV hariç; tarih=dosya tarihi.</t>
        </is>
      </c>
    </row>
    <row r="763">
      <c r="A763" s="22" t="inlineStr">
        <is>
          <t>R05447</t>
        </is>
      </c>
      <c r="B763" s="22" t="inlineStr">
        <is>
          <t>KOCAELI_BELEDIYESI_TRAMWAY_HATTI (Kent Meydani klasöründe)</t>
        </is>
      </c>
      <c r="C763" s="22" t="inlineStr">
        <is>
          <t>tramvay</t>
        </is>
      </c>
      <c r="D763" s="22" t="inlineStr">
        <is>
          <t>Uluhanlar İnşaat</t>
        </is>
      </c>
      <c r="E763" s="22" t="inlineStr">
        <is>
          <t>2015-04-07</t>
        </is>
      </c>
      <c r="F763" s="22" t="inlineStr">
        <is>
          <t>Dikişli vidalı siyah çelik boru 1" (bina içi)</t>
        </is>
      </c>
      <c r="G763" s="22" t="inlineStr">
        <is>
          <t>MT</t>
        </is>
      </c>
      <c r="H763" s="63" t="n">
        <v>13.39</v>
      </c>
      <c r="I763" s="22" t="inlineStr">
        <is>
          <t>TRY</t>
        </is>
      </c>
      <c r="J763" s="22" t="inlineStr">
        <is>
          <t>M+İ</t>
        </is>
      </c>
      <c r="K763" s="63" t="n">
        <v>6.34260857982317</v>
      </c>
      <c r="L763" s="22" t="inlineStr">
        <is>
          <t>5005.H</t>
        </is>
      </c>
      <c r="M763" s="22" t="n">
        <v>1</v>
      </c>
      <c r="N763" s="22" t="inlineStr">
        <is>
          <t>Kocaeli Sekapark-Otogar tramvay (İhale 2015/17325) mekanik birim fiyat teklifi (örnek teklif, Kent Meydanı klasöründe); TL, KDV hariç; tarih=dosya tarihi. montaj malzemesi dahil değil olabilir</t>
        </is>
      </c>
    </row>
    <row r="764">
      <c r="A764" s="22" t="inlineStr">
        <is>
          <t>R05449</t>
        </is>
      </c>
      <c r="B764" s="22" t="inlineStr">
        <is>
          <t>KOCAELI_BELEDIYESI_TRAMWAY_HATTI (Kent Meydani klasöründe)</t>
        </is>
      </c>
      <c r="C764" s="22" t="inlineStr">
        <is>
          <t>tramvay</t>
        </is>
      </c>
      <c r="D764" s="22" t="inlineStr">
        <is>
          <t>Uluhanlar İnşaat</t>
        </is>
      </c>
      <c r="E764" s="22" t="inlineStr">
        <is>
          <t>2015-04-07</t>
        </is>
      </c>
      <c r="F764" s="22" t="inlineStr">
        <is>
          <t>Dikişli vidalı siyah çelik boru 1½" (bina içi)</t>
        </is>
      </c>
      <c r="G764" s="22" t="inlineStr">
        <is>
          <t>MT</t>
        </is>
      </c>
      <c r="H764" s="63" t="n">
        <v>19.97</v>
      </c>
      <c r="I764" s="22" t="inlineStr">
        <is>
          <t>TRY</t>
        </is>
      </c>
      <c r="J764" s="22" t="inlineStr">
        <is>
          <t>M+İ</t>
        </is>
      </c>
      <c r="K764" s="63" t="n">
        <v>9.45943938305218</v>
      </c>
      <c r="L764" s="22" t="inlineStr">
        <is>
          <t>5005.H</t>
        </is>
      </c>
      <c r="M764" s="22" t="n">
        <v>1</v>
      </c>
      <c r="N764" s="22" t="inlineStr">
        <is>
          <t>Kocaeli Sekapark-Otogar tramvay (İhale 2015/17325) mekanik birim fiyat teklifi (örnek teklif, Kent Meydanı klasöründe); TL, KDV hariç; tarih=dosya tarihi. montaj malzemesi dahil değil olabilir</t>
        </is>
      </c>
    </row>
    <row r="765">
      <c r="A765" s="22" t="inlineStr">
        <is>
          <t>R05455</t>
        </is>
      </c>
      <c r="B765" s="22" t="inlineStr">
        <is>
          <t>KOCAELI_BELEDIYESI_TRAMWAY_HATTI (Kent Meydani klasöründe)</t>
        </is>
      </c>
      <c r="C765" s="22" t="inlineStr">
        <is>
          <t>tramvay</t>
        </is>
      </c>
      <c r="D765" s="22" t="inlineStr">
        <is>
          <t>Uluhanlar İnşaat</t>
        </is>
      </c>
      <c r="E765" s="22" t="inlineStr">
        <is>
          <t>2015-04-07</t>
        </is>
      </c>
      <c r="F765" s="22" t="inlineStr">
        <is>
          <t>Dikişli galvanizli çelik boru ½" (bina içi vidalı)</t>
        </is>
      </c>
      <c r="G765" s="22" t="inlineStr">
        <is>
          <t>MT</t>
        </is>
      </c>
      <c r="H765" s="63" t="n">
        <v>11.32</v>
      </c>
      <c r="I765" s="22" t="inlineStr">
        <is>
          <t>TRY</t>
        </is>
      </c>
      <c r="J765" s="22" t="inlineStr">
        <is>
          <t>M+İ</t>
        </is>
      </c>
      <c r="K765" s="63" t="n">
        <v>5.36208581953684</v>
      </c>
      <c r="L765" s="22" t="inlineStr">
        <is>
          <t>5009.A</t>
        </is>
      </c>
      <c r="M765" s="22" t="n">
        <v>1</v>
      </c>
      <c r="N765" s="22" t="inlineStr">
        <is>
          <t>Kocaeli Sekapark-Otogar tramvay (İhale 2015/17325) mekanik birim fiyat teklifi (örnek teklif, Kent Meydanı klasöründe); TL, KDV hariç; tarih=dosya tarihi.</t>
        </is>
      </c>
    </row>
    <row r="766">
      <c r="A766" s="22" t="inlineStr">
        <is>
          <t>R05456</t>
        </is>
      </c>
      <c r="B766" s="22" t="inlineStr">
        <is>
          <t>KOCAELI_BELEDIYESI_TRAMWAY_HATTI (Kent Meydani klasöründe)</t>
        </is>
      </c>
      <c r="C766" s="22" t="inlineStr">
        <is>
          <t>tramvay</t>
        </is>
      </c>
      <c r="D766" s="22" t="inlineStr">
        <is>
          <t>Uluhanlar İnşaat</t>
        </is>
      </c>
      <c r="E766" s="22" t="inlineStr">
        <is>
          <t>2015-04-07</t>
        </is>
      </c>
      <c r="F766" s="22" t="inlineStr">
        <is>
          <t>Dikişli galvanizli çelik boru 1" (bina içi vidalı)</t>
        </is>
      </c>
      <c r="G766" s="22" t="inlineStr">
        <is>
          <t>MT</t>
        </is>
      </c>
      <c r="H766" s="63" t="n">
        <v>17.84</v>
      </c>
      <c r="I766" s="22" t="inlineStr">
        <is>
          <t>TRY</t>
        </is>
      </c>
      <c r="J766" s="22" t="inlineStr">
        <is>
          <t>M+İ</t>
        </is>
      </c>
      <c r="K766" s="63" t="n">
        <v>8.45049567319233</v>
      </c>
      <c r="L766" s="22" t="inlineStr">
        <is>
          <t>5009.A</t>
        </is>
      </c>
      <c r="M766" s="22" t="n">
        <v>1</v>
      </c>
      <c r="N766" s="22" t="inlineStr">
        <is>
          <t>Kocaeli Sekapark-Otogar tramvay (İhale 2015/17325) mekanik birim fiyat teklifi (örnek teklif, Kent Meydanı klasöründe); TL, KDV hariç; tarih=dosya tarihi.</t>
        </is>
      </c>
    </row>
    <row r="767">
      <c r="A767" s="22" t="inlineStr">
        <is>
          <t>R05457</t>
        </is>
      </c>
      <c r="B767" s="22" t="inlineStr">
        <is>
          <t>KOCAELI_BELEDIYESI_TRAMWAY_HATTI (Kent Meydani klasöründe)</t>
        </is>
      </c>
      <c r="C767" s="22" t="inlineStr">
        <is>
          <t>tramvay</t>
        </is>
      </c>
      <c r="D767" s="22" t="inlineStr">
        <is>
          <t>Uluhanlar İnşaat</t>
        </is>
      </c>
      <c r="E767" s="22" t="inlineStr">
        <is>
          <t>2015-04-07</t>
        </is>
      </c>
      <c r="F767" s="22" t="inlineStr">
        <is>
          <t>Dikişli galvanizli çelik boru 1¼" (bina içi vidalı)</t>
        </is>
      </c>
      <c r="G767" s="22" t="inlineStr">
        <is>
          <t>MT</t>
        </is>
      </c>
      <c r="H767" s="63" t="n">
        <v>22.64</v>
      </c>
      <c r="I767" s="22" t="inlineStr">
        <is>
          <t>TRY</t>
        </is>
      </c>
      <c r="J767" s="22" t="inlineStr">
        <is>
          <t>M+İ</t>
        </is>
      </c>
      <c r="K767" s="63" t="n">
        <v>10.7241716390737</v>
      </c>
      <c r="L767" s="22" t="inlineStr">
        <is>
          <t>5009.A</t>
        </is>
      </c>
      <c r="M767" s="22" t="n">
        <v>1</v>
      </c>
      <c r="N767" s="22" t="inlineStr">
        <is>
          <t>Kocaeli Sekapark-Otogar tramvay (İhale 2015/17325) mekanik birim fiyat teklifi (örnek teklif, Kent Meydanı klasöründe); TL, KDV hariç; tarih=dosya tarihi.</t>
        </is>
      </c>
    </row>
    <row r="768">
      <c r="A768" s="22" t="inlineStr">
        <is>
          <t>R05458</t>
        </is>
      </c>
      <c r="B768" s="22" t="inlineStr">
        <is>
          <t>KOCAELI_BELEDIYESI_TRAMWAY_HATTI (Kent Meydani klasöründe)</t>
        </is>
      </c>
      <c r="C768" s="22" t="inlineStr">
        <is>
          <t>tramvay</t>
        </is>
      </c>
      <c r="D768" s="22" t="inlineStr">
        <is>
          <t>Uluhanlar İnşaat</t>
        </is>
      </c>
      <c r="E768" s="22" t="inlineStr">
        <is>
          <t>2015-04-07</t>
        </is>
      </c>
      <c r="F768" s="22" t="inlineStr">
        <is>
          <t>Dikişli galvanizli çelik boru 2" (bina içi vidalı)</t>
        </is>
      </c>
      <c r="G768" s="22" t="inlineStr">
        <is>
          <t>MT</t>
        </is>
      </c>
      <c r="H768" s="63" t="n">
        <v>34.48</v>
      </c>
      <c r="I768" s="22" t="inlineStr">
        <is>
          <t>TRY</t>
        </is>
      </c>
      <c r="J768" s="22" t="inlineStr">
        <is>
          <t>M+İ</t>
        </is>
      </c>
      <c r="K768" s="63" t="n">
        <v>16.3325723549143</v>
      </c>
      <c r="L768" s="22" t="inlineStr">
        <is>
          <t>5005.H</t>
        </is>
      </c>
      <c r="M768" s="22" t="n">
        <v>3</v>
      </c>
      <c r="N768" s="22" t="inlineStr">
        <is>
          <t>Kocaeli Sekapark-Otogar tramvay (İhale 2015/17325) mekanik birim fiyat teklifi (örnek teklif, Kent Meydanı klasöründe); TL, KDV hariç; tarih=dosya tarihi.</t>
        </is>
      </c>
    </row>
    <row r="769">
      <c r="A769" s="22" t="inlineStr">
        <is>
          <t>R05459</t>
        </is>
      </c>
      <c r="B769" s="22" t="inlineStr">
        <is>
          <t>KOCAELI_BELEDIYESI_TRAMWAY_HATTI (Kent Meydani klasöründe)</t>
        </is>
      </c>
      <c r="C769" s="22" t="inlineStr">
        <is>
          <t>tramvay</t>
        </is>
      </c>
      <c r="D769" s="22" t="inlineStr">
        <is>
          <t>Uluhanlar İnşaat</t>
        </is>
      </c>
      <c r="E769" s="22" t="inlineStr">
        <is>
          <t>2015-04-07</t>
        </is>
      </c>
      <c r="F769" s="22" t="inlineStr">
        <is>
          <t>Dikişli galvanizli çelik boru 2½" (bina içi vidalı)</t>
        </is>
      </c>
      <c r="G769" s="22" t="inlineStr">
        <is>
          <t>MT</t>
        </is>
      </c>
      <c r="H769" s="63" t="n">
        <v>41.12</v>
      </c>
      <c r="I769" s="22" t="inlineStr">
        <is>
          <t>TRY</t>
        </is>
      </c>
      <c r="J769" s="22" t="inlineStr">
        <is>
          <t>M+İ</t>
        </is>
      </c>
      <c r="K769" s="63" t="n">
        <v>19.4778241077169</v>
      </c>
      <c r="L769" s="22" t="inlineStr">
        <is>
          <t>5005.H</t>
        </is>
      </c>
      <c r="M769" s="22" t="n">
        <v>3</v>
      </c>
      <c r="N769" s="22" t="inlineStr">
        <is>
          <t>Kocaeli Sekapark-Otogar tramvay (İhale 2015/17325) mekanik birim fiyat teklifi (örnek teklif, Kent Meydanı klasöründe); TL, KDV hariç; tarih=dosya tarihi.</t>
        </is>
      </c>
    </row>
    <row r="770">
      <c r="A770" s="22" t="inlineStr">
        <is>
          <t>R05460</t>
        </is>
      </c>
      <c r="B770" s="22" t="inlineStr">
        <is>
          <t>KOCAELI_BELEDIYESI_TRAMWAY_HATTI (Kent Meydani klasöründe)</t>
        </is>
      </c>
      <c r="C770" s="22" t="inlineStr">
        <is>
          <t>tramvay</t>
        </is>
      </c>
      <c r="D770" s="22" t="inlineStr">
        <is>
          <t>Uluhanlar İnşaat</t>
        </is>
      </c>
      <c r="E770" s="22" t="inlineStr">
        <is>
          <t>2015-04-07</t>
        </is>
      </c>
      <c r="F770" s="22" t="inlineStr">
        <is>
          <t>PN20 PPRC temiz su borusu ½"</t>
        </is>
      </c>
      <c r="G770" s="22" t="inlineStr">
        <is>
          <t>MT</t>
        </is>
      </c>
      <c r="H770" s="63" t="n">
        <v>8.25</v>
      </c>
      <c r="I770" s="22" t="inlineStr">
        <is>
          <t>TRY</t>
        </is>
      </c>
      <c r="J770" s="22" t="inlineStr">
        <is>
          <t>M+İ</t>
        </is>
      </c>
      <c r="K770" s="63" t="n">
        <v>3.90788056635856</v>
      </c>
      <c r="L770" s="22" t="inlineStr">
        <is>
          <t>5007.A</t>
        </is>
      </c>
      <c r="M770" s="22" t="n">
        <v>12</v>
      </c>
      <c r="N770" s="22" t="inlineStr">
        <is>
          <t>Kocaeli Sekapark-Otogar tramvay (İhale 2015/17325) mekanik birim fiyat teklifi (örnek teklif, Kent Meydanı klasöründe); TL, KDV hariç; tarih=dosya tarihi.</t>
        </is>
      </c>
    </row>
    <row r="771">
      <c r="A771" s="22" t="inlineStr">
        <is>
          <t>R05461</t>
        </is>
      </c>
      <c r="B771" s="22" t="inlineStr">
        <is>
          <t>KOCAELI_BELEDIYESI_TRAMWAY_HATTI (Kent Meydani klasöründe)</t>
        </is>
      </c>
      <c r="C771" s="22" t="inlineStr">
        <is>
          <t>tramvay</t>
        </is>
      </c>
      <c r="D771" s="22" t="inlineStr">
        <is>
          <t>Uluhanlar İnşaat</t>
        </is>
      </c>
      <c r="E771" s="22" t="inlineStr">
        <is>
          <t>2015-04-07</t>
        </is>
      </c>
      <c r="F771" s="22" t="inlineStr">
        <is>
          <t>PN20 PPRC temiz su borusu ¾"</t>
        </is>
      </c>
      <c r="G771" s="22" t="inlineStr">
        <is>
          <t>MT</t>
        </is>
      </c>
      <c r="H771" s="63" t="n">
        <v>10.7</v>
      </c>
      <c r="I771" s="22" t="inlineStr">
        <is>
          <t>TRY</t>
        </is>
      </c>
      <c r="J771" s="22" t="inlineStr">
        <is>
          <t>M+İ</t>
        </is>
      </c>
      <c r="K771" s="63" t="n">
        <v>5.06840267394383</v>
      </c>
      <c r="L771" s="22" t="inlineStr">
        <is>
          <t>5007.A</t>
        </is>
      </c>
      <c r="M771" s="22" t="n">
        <v>15</v>
      </c>
      <c r="N771" s="22" t="inlineStr">
        <is>
          <t>Kocaeli Sekapark-Otogar tramvay (İhale 2015/17325) mekanik birim fiyat teklifi (örnek teklif, Kent Meydanı klasöründe); TL, KDV hariç; tarih=dosya tarihi.</t>
        </is>
      </c>
    </row>
    <row r="772">
      <c r="A772" s="22" t="inlineStr">
        <is>
          <t>R05462</t>
        </is>
      </c>
      <c r="B772" s="22" t="inlineStr">
        <is>
          <t>KOCAELI_BELEDIYESI_TRAMWAY_HATTI (Kent Meydani klasöründe)</t>
        </is>
      </c>
      <c r="C772" s="22" t="inlineStr">
        <is>
          <t>tramvay</t>
        </is>
      </c>
      <c r="D772" s="22" t="inlineStr">
        <is>
          <t>Uluhanlar İnşaat</t>
        </is>
      </c>
      <c r="E772" s="22" t="inlineStr">
        <is>
          <t>2015-04-07</t>
        </is>
      </c>
      <c r="F772" s="22" t="inlineStr">
        <is>
          <t>PN20 PPRC temiz su borusu 1"</t>
        </is>
      </c>
      <c r="G772" s="22" t="inlineStr">
        <is>
          <t>MT</t>
        </is>
      </c>
      <c r="H772" s="63" t="n">
        <v>16.15</v>
      </c>
      <c r="I772" s="22" t="inlineStr">
        <is>
          <t>TRY</t>
        </is>
      </c>
      <c r="J772" s="22" t="inlineStr">
        <is>
          <t>M+İ</t>
        </is>
      </c>
      <c r="K772" s="63" t="n">
        <v>7.64997226020494</v>
      </c>
      <c r="L772" s="22" t="inlineStr">
        <is>
          <t>5007.A</t>
        </is>
      </c>
      <c r="M772" s="22" t="n">
        <v>5</v>
      </c>
      <c r="N772" s="22" t="inlineStr">
        <is>
          <t>Kocaeli Sekapark-Otogar tramvay (İhale 2015/17325) mekanik birim fiyat teklifi (örnek teklif, Kent Meydanı klasöründe); TL, KDV hariç; tarih=dosya tarihi.</t>
        </is>
      </c>
    </row>
    <row r="773">
      <c r="A773" s="22" t="inlineStr">
        <is>
          <t>R05463</t>
        </is>
      </c>
      <c r="B773" s="22" t="inlineStr">
        <is>
          <t>KOCAELI_BELEDIYESI_TRAMWAY_HATTI (Kent Meydani klasöründe)</t>
        </is>
      </c>
      <c r="C773" s="22" t="inlineStr">
        <is>
          <t>tramvay</t>
        </is>
      </c>
      <c r="D773" s="22" t="inlineStr">
        <is>
          <t>Uluhanlar İnşaat</t>
        </is>
      </c>
      <c r="E773" s="22" t="inlineStr">
        <is>
          <t>2015-04-07</t>
        </is>
      </c>
      <c r="F773" s="22" t="inlineStr">
        <is>
          <t>PN20 PPRC temiz su borusu 1¼"</t>
        </is>
      </c>
      <c r="G773" s="22" t="inlineStr">
        <is>
          <t>MT</t>
        </is>
      </c>
      <c r="H773" s="63" t="n">
        <v>22.15</v>
      </c>
      <c r="I773" s="22" t="inlineStr">
        <is>
          <t>TRY</t>
        </is>
      </c>
      <c r="J773" s="22" t="inlineStr">
        <is>
          <t>M+İ</t>
        </is>
      </c>
      <c r="K773" s="63" t="n">
        <v>10.4920672175566</v>
      </c>
      <c r="L773" s="22" t="inlineStr">
        <is>
          <t>5007.A</t>
        </is>
      </c>
      <c r="M773" s="22" t="n">
        <v>1</v>
      </c>
      <c r="N773" s="22" t="inlineStr">
        <is>
          <t>Kocaeli Sekapark-Otogar tramvay (İhale 2015/17325) mekanik birim fiyat teklifi (örnek teklif, Kent Meydanı klasöründe); TL, KDV hariç; tarih=dosya tarihi.</t>
        </is>
      </c>
    </row>
    <row r="774">
      <c r="A774" s="22" t="inlineStr">
        <is>
          <t>R05464</t>
        </is>
      </c>
      <c r="B774" s="22" t="inlineStr">
        <is>
          <t>KOCAELI_BELEDIYESI_TRAMWAY_HATTI (Kent Meydani klasöründe)</t>
        </is>
      </c>
      <c r="C774" s="22" t="inlineStr">
        <is>
          <t>tramvay</t>
        </is>
      </c>
      <c r="D774" s="22" t="inlineStr">
        <is>
          <t>Uluhanlar İnşaat</t>
        </is>
      </c>
      <c r="E774" s="22" t="inlineStr">
        <is>
          <t>2015-04-07</t>
        </is>
      </c>
      <c r="F774" s="22" t="inlineStr">
        <is>
          <t>PN20 PPRC temiz su borusu 1½"</t>
        </is>
      </c>
      <c r="G774" s="22" t="inlineStr">
        <is>
          <t>MT</t>
        </is>
      </c>
      <c r="H774" s="63" t="n">
        <v>31.86</v>
      </c>
      <c r="I774" s="22" t="inlineStr">
        <is>
          <t>TRY</t>
        </is>
      </c>
      <c r="J774" s="22" t="inlineStr">
        <is>
          <t>M+İ</t>
        </is>
      </c>
      <c r="K774" s="63" t="n">
        <v>15.0915242235374</v>
      </c>
      <c r="L774" s="22" t="inlineStr">
        <is>
          <t>5007.A</t>
        </is>
      </c>
      <c r="M774" s="22" t="n">
        <v>1</v>
      </c>
      <c r="N774" s="22" t="inlineStr">
        <is>
          <t>Kocaeli Sekapark-Otogar tramvay (İhale 2015/17325) mekanik birim fiyat teklifi (örnek teklif, Kent Meydanı klasöründe); TL, KDV hariç; tarih=dosya tarihi.</t>
        </is>
      </c>
    </row>
    <row r="775">
      <c r="A775" s="22" t="inlineStr">
        <is>
          <t>R05465</t>
        </is>
      </c>
      <c r="B775" s="22" t="inlineStr">
        <is>
          <t>KOCAELI_BELEDIYESI_TRAMWAY_HATTI (Kent Meydani klasöründe)</t>
        </is>
      </c>
      <c r="C775" s="22" t="inlineStr">
        <is>
          <t>tramvay</t>
        </is>
      </c>
      <c r="D775" s="22" t="inlineStr">
        <is>
          <t>Uluhanlar İnşaat</t>
        </is>
      </c>
      <c r="E775" s="22" t="inlineStr">
        <is>
          <t>2015-04-07</t>
        </is>
      </c>
      <c r="F775" s="22" t="inlineStr">
        <is>
          <t>Sert PVC pis su borusu Ø50</t>
        </is>
      </c>
      <c r="G775" s="22" t="inlineStr">
        <is>
          <t>MT</t>
        </is>
      </c>
      <c r="H775" s="63" t="n">
        <v>13.61</v>
      </c>
      <c r="I775" s="22" t="inlineStr">
        <is>
          <t>TRY</t>
        </is>
      </c>
      <c r="J775" s="22" t="inlineStr">
        <is>
          <t>M+İ</t>
        </is>
      </c>
      <c r="K775" s="63" t="n">
        <v>6.44681872825939</v>
      </c>
      <c r="L775" s="22" t="inlineStr">
        <is>
          <t>5008.A</t>
        </is>
      </c>
      <c r="M775" s="22" t="n">
        <v>1</v>
      </c>
      <c r="N775" s="22" t="inlineStr">
        <is>
          <t>Kocaeli Sekapark-Otogar tramvay (İhale 2015/17325) mekanik birim fiyat teklifi (örnek teklif, Kent Meydanı klasöründe); TL, KDV hariç; tarih=dosya tarihi.</t>
        </is>
      </c>
    </row>
    <row r="776">
      <c r="A776" s="22" t="inlineStr">
        <is>
          <t>R05466</t>
        </is>
      </c>
      <c r="B776" s="22" t="inlineStr">
        <is>
          <t>KOCAELI_BELEDIYESI_TRAMWAY_HATTI (Kent Meydani klasöründe)</t>
        </is>
      </c>
      <c r="C776" s="22" t="inlineStr">
        <is>
          <t>tramvay</t>
        </is>
      </c>
      <c r="D776" s="22" t="inlineStr">
        <is>
          <t>Uluhanlar İnşaat</t>
        </is>
      </c>
      <c r="E776" s="22" t="inlineStr">
        <is>
          <t>2015-04-07</t>
        </is>
      </c>
      <c r="F776" s="22" t="inlineStr">
        <is>
          <t>Sert PVC pis su borusu Ø75</t>
        </is>
      </c>
      <c r="G776" s="22" t="inlineStr">
        <is>
          <t>MT</t>
        </is>
      </c>
      <c r="H776" s="63" t="n">
        <v>23.45</v>
      </c>
      <c r="I776" s="22" t="inlineStr">
        <is>
          <t>TRY</t>
        </is>
      </c>
      <c r="J776" s="22" t="inlineStr">
        <is>
          <t>M+İ</t>
        </is>
      </c>
      <c r="K776" s="63" t="n">
        <v>11.1078544583162</v>
      </c>
      <c r="L776" s="22" t="inlineStr">
        <is>
          <t>5008.A</t>
        </is>
      </c>
      <c r="M776" s="22" t="n">
        <v>4</v>
      </c>
      <c r="N776" s="22" t="inlineStr">
        <is>
          <t>Kocaeli Sekapark-Otogar tramvay (İhale 2015/17325) mekanik birim fiyat teklifi (örnek teklif, Kent Meydanı klasöründe); TL, KDV hariç; tarih=dosya tarihi.</t>
        </is>
      </c>
    </row>
    <row r="777">
      <c r="A777" s="22" t="inlineStr">
        <is>
          <t>R05467</t>
        </is>
      </c>
      <c r="B777" s="22" t="inlineStr">
        <is>
          <t>KOCAELI_BELEDIYESI_TRAMWAY_HATTI (Kent Meydani klasöründe)</t>
        </is>
      </c>
      <c r="C777" s="22" t="inlineStr">
        <is>
          <t>tramvay</t>
        </is>
      </c>
      <c r="D777" s="22" t="inlineStr">
        <is>
          <t>Uluhanlar İnşaat</t>
        </is>
      </c>
      <c r="E777" s="22" t="inlineStr">
        <is>
          <t>2015-04-07</t>
        </is>
      </c>
      <c r="F777" s="22" t="inlineStr">
        <is>
          <t>Sert PVC pis su borusu Ø100-110</t>
        </is>
      </c>
      <c r="G777" s="22" t="inlineStr">
        <is>
          <t>MT</t>
        </is>
      </c>
      <c r="H777" s="63" t="n">
        <v>25.72</v>
      </c>
      <c r="I777" s="22" t="inlineStr">
        <is>
          <t>TRY</t>
        </is>
      </c>
      <c r="J777" s="22" t="inlineStr">
        <is>
          <t>M+İ</t>
        </is>
      </c>
      <c r="K777" s="63" t="n">
        <v>12.1831137171809</v>
      </c>
      <c r="L777" s="22" t="inlineStr">
        <is>
          <t>5008.A</t>
        </is>
      </c>
      <c r="M777" s="22" t="n">
        <v>21</v>
      </c>
      <c r="N777" s="22" t="inlineStr">
        <is>
          <t>Kocaeli Sekapark-Otogar tramvay (İhale 2015/17325) mekanik birim fiyat teklifi (örnek teklif, Kent Meydanı klasöründe); TL, KDV hariç; tarih=dosya tarihi.</t>
        </is>
      </c>
    </row>
    <row r="778">
      <c r="A778" s="22" t="inlineStr">
        <is>
          <t>R05468</t>
        </is>
      </c>
      <c r="B778" s="22" t="inlineStr">
        <is>
          <t>KOCAELI_BELEDIYESI_TRAMWAY_HATTI (Kent Meydani klasöründe)</t>
        </is>
      </c>
      <c r="C778" s="22" t="inlineStr">
        <is>
          <t>tramvay</t>
        </is>
      </c>
      <c r="D778" s="22" t="inlineStr">
        <is>
          <t>Uluhanlar İnşaat</t>
        </is>
      </c>
      <c r="E778" s="22" t="inlineStr">
        <is>
          <t>2015-04-07</t>
        </is>
      </c>
      <c r="F778" s="22" t="inlineStr">
        <is>
          <t>Sert PVC pis su borusu Ø125</t>
        </is>
      </c>
      <c r="G778" s="22" t="inlineStr">
        <is>
          <t>MT</t>
        </is>
      </c>
      <c r="H778" s="63" t="n">
        <v>34.81</v>
      </c>
      <c r="I778" s="22" t="inlineStr">
        <is>
          <t>TRY</t>
        </is>
      </c>
      <c r="J778" s="22" t="inlineStr">
        <is>
          <t>M+İ</t>
        </is>
      </c>
      <c r="K778" s="63" t="n">
        <v>16.4888875775687</v>
      </c>
      <c r="L778" s="22" t="inlineStr">
        <is>
          <t>5008.A</t>
        </is>
      </c>
      <c r="M778" s="22" t="n">
        <v>4</v>
      </c>
      <c r="N778" s="22" t="inlineStr">
        <is>
          <t>Kocaeli Sekapark-Otogar tramvay (İhale 2015/17325) mekanik birim fiyat teklifi (örnek teklif, Kent Meydanı klasöründe); TL, KDV hariç; tarih=dosya tarihi.</t>
        </is>
      </c>
    </row>
    <row r="779">
      <c r="A779" s="22" t="inlineStr">
        <is>
          <t>R05469</t>
        </is>
      </c>
      <c r="B779" s="22" t="inlineStr">
        <is>
          <t>KOCAELI_BELEDIYESI_TRAMWAY_HATTI (Kent Meydani klasöründe)</t>
        </is>
      </c>
      <c r="C779" s="22" t="inlineStr">
        <is>
          <t>tramvay</t>
        </is>
      </c>
      <c r="D779" s="22" t="inlineStr">
        <is>
          <t>Uluhanlar İnşaat</t>
        </is>
      </c>
      <c r="E779" s="22" t="inlineStr">
        <is>
          <t>2015-04-07</t>
        </is>
      </c>
      <c r="F779" s="22" t="inlineStr">
        <is>
          <t>Sert PVC pis su borusu Ø200</t>
        </is>
      </c>
      <c r="G779" s="22" t="inlineStr">
        <is>
          <t>MT</t>
        </is>
      </c>
      <c r="H779" s="63" t="n">
        <v>68.48999999999999</v>
      </c>
      <c r="I779" s="22" t="inlineStr">
        <is>
          <t>TRY</t>
        </is>
      </c>
      <c r="J779" s="22" t="inlineStr">
        <is>
          <t>M+İ</t>
        </is>
      </c>
      <c r="K779" s="63" t="n">
        <v>32.4425139381694</v>
      </c>
      <c r="L779" s="22" t="inlineStr"/>
      <c r="M779" s="22" t="n">
        <v>1</v>
      </c>
      <c r="N779" s="22" t="inlineStr">
        <is>
          <t>Kocaeli Sekapark-Otogar tramvay (İhale 2015/17325) mekanik birim fiyat teklifi (örnek teklif, Kent Meydanı klasöründe); TL, KDV hariç; tarih=dosya tarihi.</t>
        </is>
      </c>
    </row>
    <row r="780">
      <c r="A780" s="22" t="inlineStr">
        <is>
          <t>R05475</t>
        </is>
      </c>
      <c r="B780" s="22" t="inlineStr">
        <is>
          <t>KOCAELI_BELEDIYESI_TRAMWAY_HATTI (Kent Meydani klasöründe)</t>
        </is>
      </c>
      <c r="C780" s="22" t="inlineStr">
        <is>
          <t>tramvay</t>
        </is>
      </c>
      <c r="D780" s="22" t="inlineStr">
        <is>
          <t>Uluhanlar İnşaat</t>
        </is>
      </c>
      <c r="E780" s="22" t="inlineStr">
        <is>
          <t>2015-04-07</t>
        </is>
      </c>
      <c r="F780" s="22" t="inlineStr">
        <is>
          <t>Dalgıç tip su pompası 5-10 m³/h 5-10 mSS</t>
        </is>
      </c>
      <c r="G780" s="22" t="inlineStr">
        <is>
          <t>AD</t>
        </is>
      </c>
      <c r="H780" s="63" t="n">
        <v>6320</v>
      </c>
      <c r="I780" s="22" t="inlineStr">
        <is>
          <t>TRY</t>
        </is>
      </c>
      <c r="J780" s="22" t="inlineStr">
        <is>
          <t>M+İ</t>
        </is>
      </c>
      <c r="K780" s="63" t="n">
        <v>2993.6733550771</v>
      </c>
      <c r="L780" s="22" t="inlineStr">
        <is>
          <t>5006.H</t>
        </is>
      </c>
      <c r="M780" s="22" t="n">
        <v>1</v>
      </c>
      <c r="N780" s="22" t="inlineStr">
        <is>
          <t>Kocaeli Sekapark-Otogar tramvay (İhale 2015/17325) mekanik birim fiyat teklifi (örnek teklif, Kent Meydanı klasöründe); TL, KDV hariç; tarih=dosya tarihi.</t>
        </is>
      </c>
    </row>
    <row r="781">
      <c r="A781" s="22" t="inlineStr">
        <is>
          <t>R05476</t>
        </is>
      </c>
      <c r="B781" s="22" t="inlineStr">
        <is>
          <t>KOCAELI_BELEDIYESI_TRAMWAY_HATTI (Kent Meydani klasöründe)</t>
        </is>
      </c>
      <c r="C781" s="22" t="inlineStr">
        <is>
          <t>tramvay</t>
        </is>
      </c>
      <c r="D781" s="22" t="inlineStr">
        <is>
          <t>Uluhanlar İnşaat</t>
        </is>
      </c>
      <c r="E781" s="22" t="inlineStr">
        <is>
          <t>2015-04-07</t>
        </is>
      </c>
      <c r="F781" s="22" t="inlineStr">
        <is>
          <t>Dalgıç tip su pompası 15-20 m³/h 5-10 mSS</t>
        </is>
      </c>
      <c r="G781" s="22" t="inlineStr">
        <is>
          <t>AD</t>
        </is>
      </c>
      <c r="H781" s="63" t="n">
        <v>7020</v>
      </c>
      <c r="I781" s="22" t="inlineStr">
        <is>
          <t>TRY</t>
        </is>
      </c>
      <c r="J781" s="22" t="inlineStr">
        <is>
          <t>M+İ</t>
        </is>
      </c>
      <c r="K781" s="63" t="n">
        <v>3325.25110010147</v>
      </c>
      <c r="L781" s="22" t="inlineStr">
        <is>
          <t>5006.H</t>
        </is>
      </c>
      <c r="M781" s="22" t="n">
        <v>1</v>
      </c>
      <c r="N781" s="22" t="inlineStr">
        <is>
          <t>Kocaeli Sekapark-Otogar tramvay (İhale 2015/17325) mekanik birim fiyat teklifi (örnek teklif, Kent Meydanı klasöründe); TL, KDV hariç; tarih=dosya tarihi.</t>
        </is>
      </c>
    </row>
    <row r="782">
      <c r="A782" s="22" t="inlineStr">
        <is>
          <t>R05478</t>
        </is>
      </c>
      <c r="B782" s="22" t="inlineStr">
        <is>
          <t>KOCAELI_BELEDIYESI_TRAMWAY_HATTI (Kent Meydani klasöründe)</t>
        </is>
      </c>
      <c r="C782" s="22" t="inlineStr">
        <is>
          <t>tramvay</t>
        </is>
      </c>
      <c r="D782" s="22" t="inlineStr">
        <is>
          <t>Uluhanlar İnşaat</t>
        </is>
      </c>
      <c r="E782" s="22" t="inlineStr">
        <is>
          <t>2015-04-07</t>
        </is>
      </c>
      <c r="F782" s="22" t="inlineStr">
        <is>
          <t>Çatı tipi radyal aspiratör 1000 m³/h 25 mmSS</t>
        </is>
      </c>
      <c r="G782" s="22" t="inlineStr">
        <is>
          <t>AD</t>
        </is>
      </c>
      <c r="H782" s="63" t="n">
        <v>530</v>
      </c>
      <c r="I782" s="22" t="inlineStr">
        <is>
          <t>TRY</t>
        </is>
      </c>
      <c r="J782" s="22" t="inlineStr">
        <is>
          <t>M+İ</t>
        </is>
      </c>
      <c r="K782" s="63" t="n">
        <v>251.051721232732</v>
      </c>
      <c r="L782" s="22" t="inlineStr">
        <is>
          <t>6002.B</t>
        </is>
      </c>
      <c r="M782" s="22" t="n">
        <v>1</v>
      </c>
      <c r="N782" s="22" t="inlineStr">
        <is>
          <t>Kocaeli Sekapark-Otogar tramvay (İhale 2015/17325) mekanik birim fiyat teklifi (örnek teklif, Kent Meydanı klasöründe); TL, KDV hariç; tarih=dosya tarihi.</t>
        </is>
      </c>
    </row>
    <row r="783">
      <c r="A783" s="22" t="inlineStr">
        <is>
          <t>R05479</t>
        </is>
      </c>
      <c r="B783" s="22" t="inlineStr">
        <is>
          <t>KOCAELI_BELEDIYESI_TRAMWAY_HATTI (Kent Meydani klasöründe)</t>
        </is>
      </c>
      <c r="C783" s="22" t="inlineStr">
        <is>
          <t>tramvay</t>
        </is>
      </c>
      <c r="D783" s="22" t="inlineStr">
        <is>
          <t>Uluhanlar İnşaat</t>
        </is>
      </c>
      <c r="E783" s="22" t="inlineStr">
        <is>
          <t>2015-04-07</t>
        </is>
      </c>
      <c r="F783" s="22" t="inlineStr">
        <is>
          <t>Çatı tipi radyal aspiratör 3550 m³/h 30 mmSS</t>
        </is>
      </c>
      <c r="G783" s="22" t="inlineStr">
        <is>
          <t>AD</t>
        </is>
      </c>
      <c r="H783" s="63" t="n">
        <v>1620</v>
      </c>
      <c r="I783" s="22" t="inlineStr">
        <is>
          <t>TRY</t>
        </is>
      </c>
      <c r="J783" s="22" t="inlineStr">
        <is>
          <t>M+İ</t>
        </is>
      </c>
      <c r="K783" s="63" t="n">
        <v>767.365638484954</v>
      </c>
      <c r="L783" s="22" t="inlineStr">
        <is>
          <t>6002.B</t>
        </is>
      </c>
      <c r="M783" s="22" t="n">
        <v>1</v>
      </c>
      <c r="N783" s="22" t="inlineStr">
        <is>
          <t>Kocaeli Sekapark-Otogar tramvay (İhale 2015/17325) mekanik birim fiyat teklifi (örnek teklif, Kent Meydanı klasöründe); TL, KDV hariç; tarih=dosya tarihi.</t>
        </is>
      </c>
    </row>
    <row r="784">
      <c r="A784" s="22" t="inlineStr">
        <is>
          <t>R05480</t>
        </is>
      </c>
      <c r="B784" s="22" t="inlineStr">
        <is>
          <t>KOCAELI_BELEDIYESI_TRAMWAY_HATTI (Kent Meydani klasöründe)</t>
        </is>
      </c>
      <c r="C784" s="22" t="inlineStr">
        <is>
          <t>tramvay</t>
        </is>
      </c>
      <c r="D784" s="22" t="inlineStr">
        <is>
          <t>Uluhanlar İnşaat</t>
        </is>
      </c>
      <c r="E784" s="22" t="inlineStr">
        <is>
          <t>2015-04-07</t>
        </is>
      </c>
      <c r="F784" s="22" t="inlineStr">
        <is>
          <t>Çatı tipi mutfak aspiratörü 3500 m³/h 35 mmSS</t>
        </is>
      </c>
      <c r="G784" s="22" t="inlineStr">
        <is>
          <t>AD</t>
        </is>
      </c>
      <c r="H784" s="63" t="n">
        <v>2410</v>
      </c>
      <c r="I784" s="22" t="inlineStr">
        <is>
          <t>TRY</t>
        </is>
      </c>
      <c r="J784" s="22" t="inlineStr">
        <is>
          <t>M+İ</t>
        </is>
      </c>
      <c r="K784" s="63" t="n">
        <v>1141.57480786959</v>
      </c>
      <c r="L784" s="22" t="inlineStr">
        <is>
          <t>6002.B</t>
        </is>
      </c>
      <c r="M784" s="22" t="n">
        <v>1</v>
      </c>
      <c r="N784" s="22" t="inlineStr">
        <is>
          <t>Kocaeli Sekapark-Otogar tramvay (İhale 2015/17325) mekanik birim fiyat teklifi (örnek teklif, Kent Meydanı klasöründe); TL, KDV hariç; tarih=dosya tarihi.</t>
        </is>
      </c>
    </row>
    <row r="785">
      <c r="A785" s="22" t="inlineStr">
        <is>
          <t>R05482</t>
        </is>
      </c>
      <c r="B785" s="22" t="inlineStr">
        <is>
          <t>KOCAELI_BELEDIYESI_TRAMWAY_HATTI (Kent Meydani klasöründe)</t>
        </is>
      </c>
      <c r="C785" s="22" t="inlineStr">
        <is>
          <t>tramvay</t>
        </is>
      </c>
      <c r="D785" s="22" t="inlineStr">
        <is>
          <t>Uluhanlar İnşaat</t>
        </is>
      </c>
      <c r="E785" s="22" t="inlineStr">
        <is>
          <t>2015-04-07</t>
        </is>
      </c>
      <c r="F785" s="22" t="inlineStr">
        <is>
          <t>Kanal tipi aspiratör 100 m³/h</t>
        </is>
      </c>
      <c r="G785" s="22" t="inlineStr">
        <is>
          <t>AD</t>
        </is>
      </c>
      <c r="H785" s="63" t="n">
        <v>85</v>
      </c>
      <c r="I785" s="22" t="inlineStr">
        <is>
          <t>TRY</t>
        </is>
      </c>
      <c r="J785" s="22" t="inlineStr">
        <is>
          <t>M+İ</t>
        </is>
      </c>
      <c r="K785" s="63" t="n">
        <v>40.2630118958155</v>
      </c>
      <c r="L785" s="22" t="inlineStr">
        <is>
          <t>6002.B</t>
        </is>
      </c>
      <c r="M785" s="22" t="n">
        <v>3</v>
      </c>
      <c r="N785" s="22" t="inlineStr">
        <is>
          <t>Kocaeli Sekapark-Otogar tramvay (İhale 2015/17325) mekanik birim fiyat teklifi (örnek teklif, Kent Meydanı klasöründe); TL, KDV hariç; tarih=dosya tarihi.</t>
        </is>
      </c>
    </row>
    <row r="786">
      <c r="A786" s="22" t="inlineStr">
        <is>
          <t>R05484</t>
        </is>
      </c>
      <c r="B786" s="22" t="inlineStr">
        <is>
          <t>KOCAELI_BELEDIYESI_TRAMWAY_HATTI (Kent Meydani klasöründe)</t>
        </is>
      </c>
      <c r="C786" s="22" t="inlineStr">
        <is>
          <t>tramvay</t>
        </is>
      </c>
      <c r="D786" s="22" t="inlineStr">
        <is>
          <t>Uluhanlar İnşaat</t>
        </is>
      </c>
      <c r="E786" s="22" t="inlineStr">
        <is>
          <t>2015-04-07</t>
        </is>
      </c>
      <c r="F786" s="22" t="inlineStr">
        <is>
          <t>Kanal tipi exproof aspiratör 450 m³/h</t>
        </is>
      </c>
      <c r="G786" s="22" t="inlineStr">
        <is>
          <t>AD</t>
        </is>
      </c>
      <c r="H786" s="63" t="n">
        <v>2690</v>
      </c>
      <c r="I786" s="22" t="inlineStr">
        <is>
          <t>TRY</t>
        </is>
      </c>
      <c r="J786" s="22" t="inlineStr">
        <is>
          <t>M+İ</t>
        </is>
      </c>
      <c r="K786" s="63" t="n">
        <v>1274.20590587934</v>
      </c>
      <c r="L786" s="22" t="inlineStr">
        <is>
          <t>6002.A</t>
        </is>
      </c>
      <c r="M786" s="22" t="n">
        <v>4</v>
      </c>
      <c r="N786" s="22" t="inlineStr">
        <is>
          <t>Kocaeli Sekapark-Otogar tramvay (İhale 2015/17325) mekanik birim fiyat teklifi (örnek teklif, Kent Meydanı klasöründe); TL, KDV hariç; tarih=dosya tarihi.</t>
        </is>
      </c>
    </row>
    <row r="787">
      <c r="A787" s="22" t="inlineStr">
        <is>
          <t>R05486</t>
        </is>
      </c>
      <c r="B787" s="22" t="inlineStr">
        <is>
          <t>KOCAELI_BELEDIYESI_TRAMWAY_HATTI (Kent Meydani klasöründe)</t>
        </is>
      </c>
      <c r="C787" s="22" t="inlineStr">
        <is>
          <t>tramvay</t>
        </is>
      </c>
      <c r="D787" s="22" t="inlineStr">
        <is>
          <t>Uluhanlar İnşaat</t>
        </is>
      </c>
      <c r="E787" s="22" t="inlineStr">
        <is>
          <t>2015-04-07</t>
        </is>
      </c>
      <c r="F787" s="22" t="inlineStr">
        <is>
          <t>Tavan tipi ısı geri kazanımlı havalandırma cihazı 3000 m³/h</t>
        </is>
      </c>
      <c r="G787" s="22" t="inlineStr">
        <is>
          <t>AD</t>
        </is>
      </c>
      <c r="H787" s="63" t="n">
        <v>5110</v>
      </c>
      <c r="I787" s="22" t="inlineStr">
        <is>
          <t>TRY</t>
        </is>
      </c>
      <c r="J787" s="22" t="inlineStr">
        <is>
          <t>M+İ</t>
        </is>
      </c>
      <c r="K787" s="63" t="n">
        <v>2420.51753867785</v>
      </c>
      <c r="L787" s="22" t="inlineStr">
        <is>
          <t>6002.B</t>
        </is>
      </c>
      <c r="M787" s="22" t="n">
        <v>3</v>
      </c>
      <c r="N787" s="22" t="inlineStr">
        <is>
          <t>[AYKIRI DEĞER – otomatik dışlandı] Kocaeli Sekapark-Otogar tramvay (İhale 2015/17325) mekanik birim fiyat teklifi (örnek teklif, Kent Meydanı klasöründe); TL, KDV hariç; tarih=dosya tarihi.</t>
        </is>
      </c>
    </row>
    <row r="788">
      <c r="A788" s="22" t="inlineStr">
        <is>
          <t>R05488</t>
        </is>
      </c>
      <c r="B788" s="22" t="inlineStr">
        <is>
          <t>KOCAELI_BELEDIYESI_TRAMWAY_HATTI (Kent Meydani klasöründe)</t>
        </is>
      </c>
      <c r="C788" s="22" t="inlineStr">
        <is>
          <t>tramvay</t>
        </is>
      </c>
      <c r="D788" s="22" t="inlineStr">
        <is>
          <t>Uluhanlar İnşaat</t>
        </is>
      </c>
      <c r="E788" s="22" t="inlineStr">
        <is>
          <t>2015-04-07</t>
        </is>
      </c>
      <c r="F788" s="22" t="inlineStr">
        <is>
          <t>Galvaniz sac dikdörtgen hava kanalı 0,60 mm</t>
        </is>
      </c>
      <c r="G788" s="22" t="inlineStr">
        <is>
          <t>M2</t>
        </is>
      </c>
      <c r="H788" s="63" t="n">
        <v>47</v>
      </c>
      <c r="I788" s="22" t="inlineStr">
        <is>
          <t>TRY</t>
        </is>
      </c>
      <c r="J788" s="22" t="inlineStr">
        <is>
          <t>M+İ</t>
        </is>
      </c>
      <c r="K788" s="63" t="n">
        <v>22.2630771659215</v>
      </c>
      <c r="L788" s="22" t="inlineStr">
        <is>
          <t>6002.B</t>
        </is>
      </c>
      <c r="M788" s="22" t="n">
        <v>5</v>
      </c>
      <c r="N788" s="22" t="inlineStr">
        <is>
          <t>Kocaeli Sekapark-Otogar tramvay (İhale 2015/17325) mekanik birim fiyat teklifi (örnek teklif, Kent Meydanı klasöründe); TL, KDV hariç; tarih=dosya tarihi. izolasyon ayrı 14,65 TL/m²</t>
        </is>
      </c>
    </row>
    <row r="789">
      <c r="A789" s="22" t="inlineStr">
        <is>
          <t>R05489</t>
        </is>
      </c>
      <c r="B789" s="22" t="inlineStr">
        <is>
          <t>KOCAELI_BELEDIYESI_TRAMWAY_HATTI (Kent Meydani klasöründe)</t>
        </is>
      </c>
      <c r="C789" s="22" t="inlineStr">
        <is>
          <t>tramvay</t>
        </is>
      </c>
      <c r="D789" s="22" t="inlineStr">
        <is>
          <t>Uluhanlar İnşaat</t>
        </is>
      </c>
      <c r="E789" s="22" t="inlineStr">
        <is>
          <t>2015-04-07</t>
        </is>
      </c>
      <c r="F789" s="22" t="inlineStr">
        <is>
          <t>Galvaniz sac dikdörtgen hava kanalı 0,80 mm</t>
        </is>
      </c>
      <c r="G789" s="22" t="inlineStr">
        <is>
          <t>M2</t>
        </is>
      </c>
      <c r="H789" s="63" t="n">
        <v>50</v>
      </c>
      <c r="I789" s="22" t="inlineStr">
        <is>
          <t>TRY</t>
        </is>
      </c>
      <c r="J789" s="22" t="inlineStr">
        <is>
          <t>M+İ</t>
        </is>
      </c>
      <c r="K789" s="63" t="n">
        <v>23.6841246445973</v>
      </c>
      <c r="L789" s="22" t="inlineStr">
        <is>
          <t>6002.B</t>
        </is>
      </c>
      <c r="M789" s="22" t="n">
        <v>5</v>
      </c>
      <c r="N789" s="22" t="inlineStr">
        <is>
          <t>Kocaeli Sekapark-Otogar tramvay (İhale 2015/17325) mekanik birim fiyat teklifi (örnek teklif, Kent Meydanı klasöründe); TL, KDV hariç; tarih=dosya tarihi.</t>
        </is>
      </c>
    </row>
    <row r="790">
      <c r="A790" s="22" t="inlineStr">
        <is>
          <t>R05493</t>
        </is>
      </c>
      <c r="B790" s="22" t="inlineStr">
        <is>
          <t>KOCAELI_BELEDIYESI_TRAMWAY_HATTI (Kent Meydani klasöründe)</t>
        </is>
      </c>
      <c r="C790" s="22" t="inlineStr">
        <is>
          <t>tramvay</t>
        </is>
      </c>
      <c r="D790" s="22" t="inlineStr">
        <is>
          <t>Uluhanlar İnşaat</t>
        </is>
      </c>
      <c r="E790" s="22" t="inlineStr">
        <is>
          <t>2015-04-07</t>
        </is>
      </c>
      <c r="F790" s="22" t="inlineStr">
        <is>
          <t>Toplayıcı menfez tek sıra 501-1000 cm²</t>
        </is>
      </c>
      <c r="G790" s="22" t="inlineStr">
        <is>
          <t>AD</t>
        </is>
      </c>
      <c r="H790" s="63" t="n">
        <v>120</v>
      </c>
      <c r="I790" s="22" t="inlineStr">
        <is>
          <t>TRY</t>
        </is>
      </c>
      <c r="J790" s="22" t="inlineStr">
        <is>
          <t>M+İ</t>
        </is>
      </c>
      <c r="K790" s="63" t="n">
        <v>56.8418991470336</v>
      </c>
      <c r="L790" s="22" t="inlineStr">
        <is>
          <t>6002.B</t>
        </is>
      </c>
      <c r="M790" s="22" t="n">
        <v>2</v>
      </c>
      <c r="N790" s="22" t="inlineStr">
        <is>
          <t>Kocaeli Sekapark-Otogar tramvay (İhale 2015/17325) mekanik birim fiyat teklifi (örnek teklif, Kent Meydanı klasöründe); TL, KDV hariç; tarih=dosya tarihi.</t>
        </is>
      </c>
    </row>
    <row r="791">
      <c r="A791" s="22" t="inlineStr">
        <is>
          <t>R05495</t>
        </is>
      </c>
      <c r="B791" s="22" t="inlineStr">
        <is>
          <t>KOCAELI_BELEDIYESI_TRAMWAY_HATTI (Kent Meydani klasöründe)</t>
        </is>
      </c>
      <c r="C791" s="22" t="inlineStr">
        <is>
          <t>tramvay</t>
        </is>
      </c>
      <c r="D791" s="22" t="inlineStr">
        <is>
          <t>Uluhanlar İnşaat</t>
        </is>
      </c>
      <c r="E791" s="22" t="inlineStr">
        <is>
          <t>2015-04-07</t>
        </is>
      </c>
      <c r="F791" s="22" t="inlineStr">
        <is>
          <t>Kapı transfer menfezi 2500 cm²</t>
        </is>
      </c>
      <c r="G791" s="22" t="inlineStr">
        <is>
          <t>AD</t>
        </is>
      </c>
      <c r="H791" s="63" t="n">
        <v>80</v>
      </c>
      <c r="I791" s="22" t="inlineStr">
        <is>
          <t>TRY</t>
        </is>
      </c>
      <c r="J791" s="22" t="inlineStr">
        <is>
          <t>M+İ</t>
        </is>
      </c>
      <c r="K791" s="63" t="n">
        <v>37.8945994313557</v>
      </c>
      <c r="L791" s="22" t="inlineStr">
        <is>
          <t>6002.B</t>
        </is>
      </c>
      <c r="M791" s="22" t="n">
        <v>3</v>
      </c>
      <c r="N791" s="22" t="inlineStr">
        <is>
          <t>Kocaeli Sekapark-Otogar tramvay (İhale 2015/17325) mekanik birim fiyat teklifi (örnek teklif, Kent Meydanı klasöründe); TL, KDV hariç; tarih=dosya tarihi.</t>
        </is>
      </c>
    </row>
    <row r="792">
      <c r="A792" s="22" t="inlineStr">
        <is>
          <t>R05496</t>
        </is>
      </c>
      <c r="B792" s="22" t="inlineStr">
        <is>
          <t>KOCAELI_BELEDIYESI_TRAMWAY_HATTI (Kent Meydani klasöründe)</t>
        </is>
      </c>
      <c r="C792" s="22" t="inlineStr">
        <is>
          <t>tramvay</t>
        </is>
      </c>
      <c r="D792" s="22" t="inlineStr">
        <is>
          <t>Uluhanlar İnşaat</t>
        </is>
      </c>
      <c r="E792" s="22" t="inlineStr">
        <is>
          <t>2015-04-07</t>
        </is>
      </c>
      <c r="F792" s="22" t="inlineStr">
        <is>
          <t>Alüminyum panjur (m²)</t>
        </is>
      </c>
      <c r="G792" s="22" t="inlineStr">
        <is>
          <t>M2</t>
        </is>
      </c>
      <c r="H792" s="63" t="n">
        <v>89</v>
      </c>
      <c r="I792" s="22" t="inlineStr">
        <is>
          <t>TRY</t>
        </is>
      </c>
      <c r="J792" s="22" t="inlineStr">
        <is>
          <t>M+İ</t>
        </is>
      </c>
      <c r="K792" s="63" t="n">
        <v>42.1577418673833</v>
      </c>
      <c r="L792" s="22" t="inlineStr">
        <is>
          <t>6002.B</t>
        </is>
      </c>
      <c r="M792" s="22" t="n">
        <v>1</v>
      </c>
      <c r="N792" s="22" t="inlineStr">
        <is>
          <t>Kocaeli Sekapark-Otogar tramvay (İhale 2015/17325) mekanik birim fiyat teklifi (örnek teklif, Kent Meydanı klasöründe); TL, KDV hariç; tarih=dosya tarihi. tel kafes ayrı 26 TL/m²</t>
        </is>
      </c>
    </row>
    <row r="793">
      <c r="A793" s="22" t="inlineStr">
        <is>
          <t>R05497</t>
        </is>
      </c>
      <c r="B793" s="22" t="inlineStr">
        <is>
          <t>KOCAELI_BELEDIYESI_TRAMWAY_HATTI (Kent Meydani klasöründe)</t>
        </is>
      </c>
      <c r="C793" s="22" t="inlineStr">
        <is>
          <t>tramvay</t>
        </is>
      </c>
      <c r="D793" s="22" t="inlineStr">
        <is>
          <t>Uluhanlar İnşaat</t>
        </is>
      </c>
      <c r="E793" s="22" t="inlineStr">
        <is>
          <t>2015-04-07</t>
        </is>
      </c>
      <c r="F793" s="22" t="inlineStr">
        <is>
          <t>VRF dış ünite 84/94 kW (Daikin)</t>
        </is>
      </c>
      <c r="G793" s="22" t="inlineStr">
        <is>
          <t>AD</t>
        </is>
      </c>
      <c r="H793" s="63" t="n">
        <v>44651.88</v>
      </c>
      <c r="I793" s="22" t="inlineStr">
        <is>
          <t>TRY</t>
        </is>
      </c>
      <c r="J793" s="22" t="inlineStr">
        <is>
          <t>M+İ</t>
        </is>
      </c>
      <c r="K793" s="63" t="n">
        <v>21150.8138307121</v>
      </c>
      <c r="L793" s="22" t="inlineStr">
        <is>
          <t>6001.G</t>
        </is>
      </c>
      <c r="M793" s="22" t="n">
        <v>3</v>
      </c>
      <c r="N793" s="22" t="inlineStr">
        <is>
          <t>Kocaeli Sekapark-Otogar tramvay (İhale 2015/17325) mekanik birim fiyat teklifi (örnek teklif, Kent Meydanı klasöründe); TL, KDV hariç; tarih=dosya tarihi. firma notu: Daikin düşünülmüştür</t>
        </is>
      </c>
    </row>
    <row r="794">
      <c r="A794" s="22" t="inlineStr">
        <is>
          <t>R05499</t>
        </is>
      </c>
      <c r="B794" s="22" t="inlineStr">
        <is>
          <t>KOCAELI_BELEDIYESI_TRAMWAY_HATTI (Kent Meydani klasöründe)</t>
        </is>
      </c>
      <c r="C794" s="22" t="inlineStr">
        <is>
          <t>tramvay</t>
        </is>
      </c>
      <c r="D794" s="22" t="inlineStr">
        <is>
          <t>Uluhanlar İnşaat</t>
        </is>
      </c>
      <c r="E794" s="22" t="inlineStr">
        <is>
          <t>2015-04-07</t>
        </is>
      </c>
      <c r="F794" s="22" t="inlineStr">
        <is>
          <t>VRF kaset iç ünite 2,5/3 kW</t>
        </is>
      </c>
      <c r="G794" s="22" t="inlineStr">
        <is>
          <t>AD</t>
        </is>
      </c>
      <c r="H794" s="63" t="n">
        <v>2004</v>
      </c>
      <c r="I794" s="22" t="inlineStr">
        <is>
          <t>TRY</t>
        </is>
      </c>
      <c r="J794" s="22" t="inlineStr">
        <is>
          <t>M+İ</t>
        </is>
      </c>
      <c r="K794" s="63" t="n">
        <v>949.259715755461</v>
      </c>
      <c r="L794" s="22" t="inlineStr">
        <is>
          <t>6001.H</t>
        </is>
      </c>
      <c r="M794" s="22" t="n">
        <v>1</v>
      </c>
      <c r="N794" s="22" t="inlineStr">
        <is>
          <t>Kocaeli Sekapark-Otogar tramvay (İhale 2015/17325) mekanik birim fiyat teklifi (örnek teklif, Kent Meydanı klasöründe); TL, KDV hariç; tarih=dosya tarihi.</t>
        </is>
      </c>
    </row>
    <row r="795">
      <c r="A795" s="22" t="inlineStr">
        <is>
          <t>R05500</t>
        </is>
      </c>
      <c r="B795" s="22" t="inlineStr">
        <is>
          <t>KOCAELI_BELEDIYESI_TRAMWAY_HATTI (Kent Meydani klasöründe)</t>
        </is>
      </c>
      <c r="C795" s="22" t="inlineStr">
        <is>
          <t>tramvay</t>
        </is>
      </c>
      <c r="D795" s="22" t="inlineStr">
        <is>
          <t>Uluhanlar İnşaat</t>
        </is>
      </c>
      <c r="E795" s="22" t="inlineStr">
        <is>
          <t>2015-04-07</t>
        </is>
      </c>
      <c r="F795" s="22" t="inlineStr">
        <is>
          <t>VRF kaset iç ünite 4/4,5 kW</t>
        </is>
      </c>
      <c r="G795" s="22" t="inlineStr">
        <is>
          <t>AD</t>
        </is>
      </c>
      <c r="H795" s="63" t="n">
        <v>2268</v>
      </c>
      <c r="I795" s="22" t="inlineStr">
        <is>
          <t>TRY</t>
        </is>
      </c>
      <c r="J795" s="22" t="inlineStr">
        <is>
          <t>M+İ</t>
        </is>
      </c>
      <c r="K795" s="63" t="n">
        <v>1074.31189387894</v>
      </c>
      <c r="L795" s="22" t="inlineStr">
        <is>
          <t>6001.H</t>
        </is>
      </c>
      <c r="M795" s="22" t="n">
        <v>1</v>
      </c>
      <c r="N795" s="22" t="inlineStr">
        <is>
          <t>Kocaeli Sekapark-Otogar tramvay (İhale 2015/17325) mekanik birim fiyat teklifi (örnek teklif, Kent Meydanı klasöründe); TL, KDV hariç; tarih=dosya tarihi.</t>
        </is>
      </c>
    </row>
    <row r="796">
      <c r="A796" s="22" t="inlineStr">
        <is>
          <t>R05501</t>
        </is>
      </c>
      <c r="B796" s="22" t="inlineStr">
        <is>
          <t>KOCAELI_BELEDIYESI_TRAMWAY_HATTI (Kent Meydani klasöründe)</t>
        </is>
      </c>
      <c r="C796" s="22" t="inlineStr">
        <is>
          <t>tramvay</t>
        </is>
      </c>
      <c r="D796" s="22" t="inlineStr">
        <is>
          <t>Uluhanlar İnşaat</t>
        </is>
      </c>
      <c r="E796" s="22" t="inlineStr">
        <is>
          <t>2015-04-07</t>
        </is>
      </c>
      <c r="F796" s="22" t="inlineStr">
        <is>
          <t>VRF kaset iç ünite 7/7,5 kW</t>
        </is>
      </c>
      <c r="G796" s="22" t="inlineStr">
        <is>
          <t>AD</t>
        </is>
      </c>
      <c r="H796" s="63" t="n">
        <v>2448</v>
      </c>
      <c r="I796" s="22" t="inlineStr">
        <is>
          <t>TRY</t>
        </is>
      </c>
      <c r="J796" s="22" t="inlineStr">
        <is>
          <t>M+İ</t>
        </is>
      </c>
      <c r="K796" s="63" t="n">
        <v>1159.57474259949</v>
      </c>
      <c r="L796" s="22" t="inlineStr">
        <is>
          <t>6001.H</t>
        </is>
      </c>
      <c r="M796" s="22" t="n">
        <v>1</v>
      </c>
      <c r="N796" s="22" t="inlineStr">
        <is>
          <t>Kocaeli Sekapark-Otogar tramvay (İhale 2015/17325) mekanik birim fiyat teklifi (örnek teklif, Kent Meydanı klasöründe); TL, KDV hariç; tarih=dosya tarihi.</t>
        </is>
      </c>
    </row>
    <row r="797">
      <c r="A797" s="22" t="inlineStr">
        <is>
          <t>R05502</t>
        </is>
      </c>
      <c r="B797" s="22" t="inlineStr">
        <is>
          <t>KOCAELI_BELEDIYESI_TRAMWAY_HATTI (Kent Meydani klasöründe)</t>
        </is>
      </c>
      <c r="C797" s="22" t="inlineStr">
        <is>
          <t>tramvay</t>
        </is>
      </c>
      <c r="D797" s="22" t="inlineStr">
        <is>
          <t>Uluhanlar İnşaat</t>
        </is>
      </c>
      <c r="E797" s="22" t="inlineStr">
        <is>
          <t>2015-04-07</t>
        </is>
      </c>
      <c r="F797" s="22" t="inlineStr">
        <is>
          <t>VRF kaset iç ünite 9/9,9 kW</t>
        </is>
      </c>
      <c r="G797" s="22" t="inlineStr">
        <is>
          <t>AD</t>
        </is>
      </c>
      <c r="H797" s="63" t="n">
        <v>2736</v>
      </c>
      <c r="I797" s="22" t="inlineStr">
        <is>
          <t>TRY</t>
        </is>
      </c>
      <c r="J797" s="22" t="inlineStr">
        <is>
          <t>M+İ</t>
        </is>
      </c>
      <c r="K797" s="63" t="n">
        <v>1295.99530055237</v>
      </c>
      <c r="L797" s="22" t="inlineStr">
        <is>
          <t>6001.H</t>
        </is>
      </c>
      <c r="M797" s="22" t="n">
        <v>2</v>
      </c>
      <c r="N797" s="22" t="inlineStr">
        <is>
          <t>Kocaeli Sekapark-Otogar tramvay (İhale 2015/17325) mekanik birim fiyat teklifi (örnek teklif, Kent Meydanı klasöründe); TL, KDV hariç; tarih=dosya tarihi. kaset</t>
        </is>
      </c>
    </row>
    <row r="798">
      <c r="A798" s="22" t="inlineStr">
        <is>
          <t>R05503</t>
        </is>
      </c>
      <c r="B798" s="22" t="inlineStr">
        <is>
          <t>KOCAELI_BELEDIYESI_TRAMWAY_HATTI (Kent Meydani klasöründe)</t>
        </is>
      </c>
      <c r="C798" s="22" t="inlineStr">
        <is>
          <t>tramvay</t>
        </is>
      </c>
      <c r="D798" s="22" t="inlineStr">
        <is>
          <t>Uluhanlar İnşaat</t>
        </is>
      </c>
      <c r="E798" s="22" t="inlineStr">
        <is>
          <t>2015-04-07</t>
        </is>
      </c>
      <c r="F798" s="22" t="inlineStr">
        <is>
          <t>VRF kaset iç ünite 14/16 kW</t>
        </is>
      </c>
      <c r="G798" s="22" t="inlineStr">
        <is>
          <t>AD</t>
        </is>
      </c>
      <c r="H798" s="63" t="n">
        <v>3756</v>
      </c>
      <c r="I798" s="22" t="inlineStr">
        <is>
          <t>TRY</t>
        </is>
      </c>
      <c r="J798" s="22" t="inlineStr">
        <is>
          <t>M+İ</t>
        </is>
      </c>
      <c r="K798" s="63" t="n">
        <v>1779.15144330215</v>
      </c>
      <c r="L798" s="22" t="inlineStr">
        <is>
          <t>6001.G</t>
        </is>
      </c>
      <c r="M798" s="22" t="n">
        <v>2</v>
      </c>
      <c r="N798" s="22" t="inlineStr">
        <is>
          <t>Kocaeli Sekapark-Otogar tramvay (İhale 2015/17325) mekanik birim fiyat teklifi (örnek teklif, Kent Meydanı klasöründe); TL, KDV hariç; tarih=dosya tarihi. kaset</t>
        </is>
      </c>
    </row>
    <row r="799">
      <c r="A799" s="22" t="inlineStr">
        <is>
          <t>R05504</t>
        </is>
      </c>
      <c r="B799" s="22" t="inlineStr">
        <is>
          <t>KOCAELI_BELEDIYESI_TRAMWAY_HATTI (Kent Meydani klasöründe)</t>
        </is>
      </c>
      <c r="C799" s="22" t="inlineStr">
        <is>
          <t>tramvay</t>
        </is>
      </c>
      <c r="D799" s="22" t="inlineStr">
        <is>
          <t>Uluhanlar İnşaat</t>
        </is>
      </c>
      <c r="E799" s="22" t="inlineStr">
        <is>
          <t>2015-04-07</t>
        </is>
      </c>
      <c r="F799" s="22" t="inlineStr">
        <is>
          <t>VRF kablolu uzaktan kumanda</t>
        </is>
      </c>
      <c r="G799" s="22" t="inlineStr">
        <is>
          <t>AD</t>
        </is>
      </c>
      <c r="H799" s="63" t="n">
        <v>234</v>
      </c>
      <c r="I799" s="22" t="inlineStr">
        <is>
          <t>TRY</t>
        </is>
      </c>
      <c r="J799" s="22" t="inlineStr">
        <is>
          <t>M+İ</t>
        </is>
      </c>
      <c r="K799" s="63" t="n">
        <v>110.841703336716</v>
      </c>
      <c r="L799" s="22" t="inlineStr">
        <is>
          <t>6001.H</t>
        </is>
      </c>
      <c r="M799" s="22" t="n">
        <v>3</v>
      </c>
      <c r="N799" s="22" t="inlineStr">
        <is>
          <t>Kocaeli Sekapark-Otogar tramvay (İhale 2015/17325) mekanik birim fiyat teklifi (örnek teklif, Kent Meydanı klasöründe); TL, KDV hariç; tarih=dosya tarihi.</t>
        </is>
      </c>
    </row>
    <row r="800">
      <c r="A800" s="22" t="inlineStr">
        <is>
          <t>R05505</t>
        </is>
      </c>
      <c r="B800" s="22" t="inlineStr">
        <is>
          <t>KOCAELI_BELEDIYESI_TRAMWAY_HATTI (Kent Meydani klasöründe)</t>
        </is>
      </c>
      <c r="C800" s="22" t="inlineStr">
        <is>
          <t>tramvay</t>
        </is>
      </c>
      <c r="D800" s="22" t="inlineStr">
        <is>
          <t>Uluhanlar İnşaat</t>
        </is>
      </c>
      <c r="E800" s="22" t="inlineStr">
        <is>
          <t>2015-04-07</t>
        </is>
      </c>
      <c r="F800" s="22" t="inlineStr">
        <is>
          <t>VRF merkezi kumanda (50 iç ünite)</t>
        </is>
      </c>
      <c r="G800" s="22" t="inlineStr">
        <is>
          <t>AD</t>
        </is>
      </c>
      <c r="H800" s="63" t="n">
        <v>3096</v>
      </c>
      <c r="I800" s="22" t="inlineStr">
        <is>
          <t>TRY</t>
        </is>
      </c>
      <c r="J800" s="22" t="inlineStr">
        <is>
          <t>M+İ</t>
        </is>
      </c>
      <c r="K800" s="63" t="n">
        <v>1466.52099799347</v>
      </c>
      <c r="L800" s="22" t="inlineStr">
        <is>
          <t>6001.H</t>
        </is>
      </c>
      <c r="M800" s="22" t="n">
        <v>2</v>
      </c>
      <c r="N800" s="22" t="inlineStr">
        <is>
          <t>Kocaeli Sekapark-Otogar tramvay (İhale 2015/17325) mekanik birim fiyat teklifi (örnek teklif, Kent Meydanı klasöründe); TL, KDV hariç; tarih=dosya tarihi.</t>
        </is>
      </c>
    </row>
    <row r="801">
      <c r="A801" s="22" t="inlineStr">
        <is>
          <t>R05506</t>
        </is>
      </c>
      <c r="B801" s="22" t="inlineStr">
        <is>
          <t>KOCAELI_BELEDIYESI_TRAMWAY_HATTI (Kent Meydani klasöründe)</t>
        </is>
      </c>
      <c r="C801" s="22" t="inlineStr">
        <is>
          <t>tramvay</t>
        </is>
      </c>
      <c r="D801" s="22" t="inlineStr">
        <is>
          <t>Uluhanlar İnşaat</t>
        </is>
      </c>
      <c r="E801" s="22" t="inlineStr">
        <is>
          <t>2015-04-07</t>
        </is>
      </c>
      <c r="F801" s="22" t="inlineStr">
        <is>
          <t>VRF izoleli bakır boru ¼"</t>
        </is>
      </c>
      <c r="G801" s="22" t="inlineStr">
        <is>
          <t>MT</t>
        </is>
      </c>
      <c r="H801" s="63" t="n">
        <v>19.8</v>
      </c>
      <c r="I801" s="22" t="inlineStr">
        <is>
          <t>TRY</t>
        </is>
      </c>
      <c r="J801" s="22" t="inlineStr">
        <is>
          <t>M+İ</t>
        </is>
      </c>
      <c r="K801" s="63" t="n">
        <v>9.378913359260549</v>
      </c>
      <c r="L801" s="22" t="inlineStr">
        <is>
          <t>6001.H</t>
        </is>
      </c>
      <c r="M801" s="22" t="n">
        <v>17</v>
      </c>
      <c r="N801" s="22" t="inlineStr">
        <is>
          <t>Kocaeli Sekapark-Otogar tramvay (İhale 2015/17325) mekanik birim fiyat teklifi (örnek teklif, Kent Meydanı klasöründe); TL, KDV hariç; tarih=dosya tarihi. tek boru</t>
        </is>
      </c>
    </row>
    <row r="802">
      <c r="A802" s="22" t="inlineStr">
        <is>
          <t>R05507</t>
        </is>
      </c>
      <c r="B802" s="22" t="inlineStr">
        <is>
          <t>KOCAELI_BELEDIYESI_TRAMWAY_HATTI (Kent Meydani klasöründe)</t>
        </is>
      </c>
      <c r="C802" s="22" t="inlineStr">
        <is>
          <t>tramvay</t>
        </is>
      </c>
      <c r="D802" s="22" t="inlineStr">
        <is>
          <t>Uluhanlar İnşaat</t>
        </is>
      </c>
      <c r="E802" s="22" t="inlineStr">
        <is>
          <t>2015-04-07</t>
        </is>
      </c>
      <c r="F802" s="22" t="inlineStr">
        <is>
          <t>VRF izoleli bakır boru ½"</t>
        </is>
      </c>
      <c r="G802" s="22" t="inlineStr">
        <is>
          <t>MT</t>
        </is>
      </c>
      <c r="H802" s="63" t="n">
        <v>29.4</v>
      </c>
      <c r="I802" s="22" t="inlineStr">
        <is>
          <t>TRY</t>
        </is>
      </c>
      <c r="J802" s="22" t="inlineStr">
        <is>
          <t>M+İ</t>
        </is>
      </c>
      <c r="K802" s="63" t="n">
        <v>13.9262652910232</v>
      </c>
      <c r="L802" s="22" t="inlineStr">
        <is>
          <t>6001.H</t>
        </is>
      </c>
      <c r="M802" s="22" t="n">
        <v>17</v>
      </c>
      <c r="N802" s="22" t="inlineStr">
        <is>
          <t>Kocaeli Sekapark-Otogar tramvay (İhale 2015/17325) mekanik birim fiyat teklifi (örnek teklif, Kent Meydanı klasöründe); TL, KDV hariç; tarih=dosya tarihi. tek boru</t>
        </is>
      </c>
    </row>
    <row r="803">
      <c r="A803" s="22" t="inlineStr">
        <is>
          <t>R05508</t>
        </is>
      </c>
      <c r="B803" s="22" t="inlineStr">
        <is>
          <t>KOCAELI_BELEDIYESI_TRAMWAY_HATTI (Kent Meydani klasöründe)</t>
        </is>
      </c>
      <c r="C803" s="22" t="inlineStr">
        <is>
          <t>tramvay</t>
        </is>
      </c>
      <c r="D803" s="22" t="inlineStr">
        <is>
          <t>Uluhanlar İnşaat</t>
        </is>
      </c>
      <c r="E803" s="22" t="inlineStr">
        <is>
          <t>2015-04-07</t>
        </is>
      </c>
      <c r="F803" s="22" t="inlineStr">
        <is>
          <t>VRF izoleli bakır boru ¾"</t>
        </is>
      </c>
      <c r="G803" s="22" t="inlineStr">
        <is>
          <t>MT</t>
        </is>
      </c>
      <c r="H803" s="63" t="n">
        <v>42.6</v>
      </c>
      <c r="I803" s="22" t="inlineStr">
        <is>
          <t>TRY</t>
        </is>
      </c>
      <c r="J803" s="22" t="inlineStr">
        <is>
          <t>M+İ</t>
        </is>
      </c>
      <c r="K803" s="63" t="n">
        <v>20.1788741971969</v>
      </c>
      <c r="L803" s="22" t="inlineStr">
        <is>
          <t>6001.H</t>
        </is>
      </c>
      <c r="M803" s="22" t="n">
        <v>18</v>
      </c>
      <c r="N803" s="22" t="inlineStr">
        <is>
          <t>Kocaeli Sekapark-Otogar tramvay (İhale 2015/17325) mekanik birim fiyat teklifi (örnek teklif, Kent Meydanı klasöründe); TL, KDV hariç; tarih=dosya tarihi. tek boru</t>
        </is>
      </c>
    </row>
    <row r="804">
      <c r="A804" s="22" t="inlineStr">
        <is>
          <t>R05509</t>
        </is>
      </c>
      <c r="B804" s="22" t="inlineStr">
        <is>
          <t>KOCAELI_BELEDIYESI_TRAMWAY_HATTI (Kent Meydani klasöründe)</t>
        </is>
      </c>
      <c r="C804" s="22" t="inlineStr">
        <is>
          <t>tramvay</t>
        </is>
      </c>
      <c r="D804" s="22" t="inlineStr">
        <is>
          <t>Uluhanlar İnşaat</t>
        </is>
      </c>
      <c r="E804" s="22" t="inlineStr">
        <is>
          <t>2015-04-07</t>
        </is>
      </c>
      <c r="F804" s="22" t="inlineStr">
        <is>
          <t>VRF izoleli bakır boru 1⅛"</t>
        </is>
      </c>
      <c r="G804" s="22" t="inlineStr">
        <is>
          <t>MT</t>
        </is>
      </c>
      <c r="H804" s="63" t="n">
        <v>77.40000000000001</v>
      </c>
      <c r="I804" s="22" t="inlineStr">
        <is>
          <t>TRY</t>
        </is>
      </c>
      <c r="J804" s="22" t="inlineStr">
        <is>
          <t>M+İ</t>
        </is>
      </c>
      <c r="K804" s="63" t="n">
        <v>36.6630249498367</v>
      </c>
      <c r="L804" s="22" t="inlineStr">
        <is>
          <t>6001.H</t>
        </is>
      </c>
      <c r="M804" s="22" t="n">
        <v>17</v>
      </c>
      <c r="N804" s="22" t="inlineStr">
        <is>
          <t>Kocaeli Sekapark-Otogar tramvay (İhale 2015/17325) mekanik birim fiyat teklifi (örnek teklif, Kent Meydanı klasöründe); TL, KDV hariç; tarih=dosya tarihi. tek boru</t>
        </is>
      </c>
    </row>
    <row r="805">
      <c r="A805" s="22" t="inlineStr">
        <is>
          <t>R05510</t>
        </is>
      </c>
      <c r="B805" s="22" t="inlineStr">
        <is>
          <t>KOCAELI_BELEDIYESI_TRAMWAY_HATTI (Kent Meydani klasöründe)</t>
        </is>
      </c>
      <c r="C805" s="22" t="inlineStr">
        <is>
          <t>tramvay</t>
        </is>
      </c>
      <c r="D805" s="22" t="inlineStr">
        <is>
          <t>Uluhanlar İnşaat</t>
        </is>
      </c>
      <c r="E805" s="22" t="inlineStr">
        <is>
          <t>2015-04-07</t>
        </is>
      </c>
      <c r="F805" s="22" t="inlineStr">
        <is>
          <t>VRF izoleli bakır boru 1⅝"</t>
        </is>
      </c>
      <c r="G805" s="22" t="inlineStr">
        <is>
          <t>MT</t>
        </is>
      </c>
      <c r="H805" s="63" t="n">
        <v>112.8</v>
      </c>
      <c r="I805" s="22" t="inlineStr">
        <is>
          <t>TRY</t>
        </is>
      </c>
      <c r="J805" s="22" t="inlineStr">
        <is>
          <t>M+İ</t>
        </is>
      </c>
      <c r="K805" s="63" t="n">
        <v>53.4313851982116</v>
      </c>
      <c r="L805" s="22" t="inlineStr">
        <is>
          <t>6001.H</t>
        </is>
      </c>
      <c r="M805" s="22" t="n">
        <v>17</v>
      </c>
      <c r="N805" s="22" t="inlineStr">
        <is>
          <t>Kocaeli Sekapark-Otogar tramvay (İhale 2015/17325) mekanik birim fiyat teklifi (örnek teklif, Kent Meydanı klasöründe); TL, KDV hariç; tarih=dosya tarihi. tek boru</t>
        </is>
      </c>
    </row>
    <row r="806">
      <c r="A806" s="22" t="inlineStr">
        <is>
          <t>R05511</t>
        </is>
      </c>
      <c r="B806" s="22" t="inlineStr">
        <is>
          <t>KOCAELI_BELEDIYESI_TRAMWAY_HATTI (Kent Meydani klasöründe)</t>
        </is>
      </c>
      <c r="C806" s="22" t="inlineStr">
        <is>
          <t>tramvay</t>
        </is>
      </c>
      <c r="D806" s="22" t="inlineStr">
        <is>
          <t>Uluhanlar İnşaat</t>
        </is>
      </c>
      <c r="E806" s="22" t="inlineStr">
        <is>
          <t>2015-04-07</t>
        </is>
      </c>
      <c r="F806" s="22" t="inlineStr">
        <is>
          <t>VRF joint elemanları ≤25 kW</t>
        </is>
      </c>
      <c r="G806" s="22" t="inlineStr">
        <is>
          <t>TK</t>
        </is>
      </c>
      <c r="H806" s="63" t="n">
        <v>139.86</v>
      </c>
      <c r="I806" s="22" t="inlineStr">
        <is>
          <t>TRY</t>
        </is>
      </c>
      <c r="J806" s="22" t="inlineStr">
        <is>
          <t>M+İ</t>
        </is>
      </c>
      <c r="K806" s="63" t="n">
        <v>66.2492334558677</v>
      </c>
      <c r="L806" s="22" t="inlineStr">
        <is>
          <t>6001.H</t>
        </is>
      </c>
      <c r="M806" s="22" t="n">
        <v>2</v>
      </c>
      <c r="N806" s="22" t="inlineStr">
        <is>
          <t>Kocaeli Sekapark-Otogar tramvay (İhale 2015/17325) mekanik birim fiyat teklifi (örnek teklif, Kent Meydanı klasöründe); TL, KDV hariç; tarih=dosya tarihi.</t>
        </is>
      </c>
    </row>
    <row r="807">
      <c r="A807" s="22" t="inlineStr">
        <is>
          <t>R05512</t>
        </is>
      </c>
      <c r="B807" s="22" t="inlineStr">
        <is>
          <t>KOCAELI_BELEDIYESI_TRAMWAY_HATTI (Kent Meydani klasöründe)</t>
        </is>
      </c>
      <c r="C807" s="22" t="inlineStr">
        <is>
          <t>tramvay</t>
        </is>
      </c>
      <c r="D807" s="22" t="inlineStr">
        <is>
          <t>Uluhanlar İnşaat</t>
        </is>
      </c>
      <c r="E807" s="22" t="inlineStr">
        <is>
          <t>2015-04-07</t>
        </is>
      </c>
      <c r="F807" s="22" t="inlineStr">
        <is>
          <t>VRF joint elemanları 50-100 kW</t>
        </is>
      </c>
      <c r="G807" s="22" t="inlineStr">
        <is>
          <t>TK</t>
        </is>
      </c>
      <c r="H807" s="63" t="n">
        <v>273.42</v>
      </c>
      <c r="I807" s="22" t="inlineStr">
        <is>
          <t>TRY</t>
        </is>
      </c>
      <c r="J807" s="22" t="inlineStr">
        <is>
          <t>M+İ</t>
        </is>
      </c>
      <c r="K807" s="63" t="n">
        <v>129.514267206516</v>
      </c>
      <c r="L807" s="22" t="inlineStr">
        <is>
          <t>6001.G</t>
        </is>
      </c>
      <c r="M807" s="22" t="n">
        <v>2</v>
      </c>
      <c r="N807" s="22" t="inlineStr">
        <is>
          <t>Kocaeli Sekapark-Otogar tramvay (İhale 2015/17325) mekanik birim fiyat teklifi (örnek teklif, Kent Meydanı klasöründe); TL, KDV hariç; tarih=dosya tarihi.</t>
        </is>
      </c>
    </row>
    <row r="808">
      <c r="A808" s="22" t="inlineStr">
        <is>
          <t>R05513</t>
        </is>
      </c>
      <c r="B808" s="22" t="inlineStr">
        <is>
          <t>KOCAELI_BELEDIYESI_TRAMWAY_HATTI (Kent Meydani klasöründe)</t>
        </is>
      </c>
      <c r="C808" s="22" t="inlineStr">
        <is>
          <t>tramvay</t>
        </is>
      </c>
      <c r="D808" s="22" t="inlineStr">
        <is>
          <t>Uluhanlar İnşaat</t>
        </is>
      </c>
      <c r="E808" s="22" t="inlineStr">
        <is>
          <t>2015-04-07</t>
        </is>
      </c>
      <c r="F808" s="22" t="inlineStr">
        <is>
          <t>Duvar tipi split klima 7.500 BTU/h</t>
        </is>
      </c>
      <c r="G808" s="22" t="inlineStr">
        <is>
          <t>AD</t>
        </is>
      </c>
      <c r="H808" s="63" t="n">
        <v>2234</v>
      </c>
      <c r="I808" s="22" t="inlineStr">
        <is>
          <t>TRY</t>
        </is>
      </c>
      <c r="J808" s="22" t="inlineStr">
        <is>
          <t>M+İ</t>
        </is>
      </c>
      <c r="K808" s="63" t="n">
        <v>1058.20668912061</v>
      </c>
      <c r="L808" s="22" t="inlineStr">
        <is>
          <t>6001.A</t>
        </is>
      </c>
      <c r="M808" s="22" t="n">
        <v>8</v>
      </c>
      <c r="N808" s="22" t="inlineStr">
        <is>
          <t>Kocaeli Sekapark-Otogar tramvay (İhale 2015/17325) mekanik birim fiyat teklifi (örnek teklif, Kent Meydanı klasöründe); TL, KDV hariç; tarih=dosya tarihi.</t>
        </is>
      </c>
    </row>
    <row r="809">
      <c r="A809" s="22" t="inlineStr">
        <is>
          <t>R05514</t>
        </is>
      </c>
      <c r="B809" s="22" t="inlineStr">
        <is>
          <t>KOCAELI_BELEDIYESI_TRAMWAY_HATTI (Kent Meydani klasöründe)</t>
        </is>
      </c>
      <c r="C809" s="22" t="inlineStr">
        <is>
          <t>tramvay</t>
        </is>
      </c>
      <c r="D809" s="22" t="inlineStr">
        <is>
          <t>Uluhanlar İnşaat</t>
        </is>
      </c>
      <c r="E809" s="22" t="inlineStr">
        <is>
          <t>2015-04-07</t>
        </is>
      </c>
      <c r="F809" s="22" t="inlineStr">
        <is>
          <t>Duvar tipi split klima 17.000 BTU/h</t>
        </is>
      </c>
      <c r="G809" s="22" t="inlineStr">
        <is>
          <t>AD</t>
        </is>
      </c>
      <c r="H809" s="63" t="n">
        <v>3829</v>
      </c>
      <c r="I809" s="22" t="inlineStr">
        <is>
          <t>TRY</t>
        </is>
      </c>
      <c r="J809" s="22" t="inlineStr">
        <is>
          <t>M+İ</t>
        </is>
      </c>
      <c r="K809" s="63" t="n">
        <v>1813.73026528326</v>
      </c>
      <c r="L809" s="22" t="inlineStr">
        <is>
          <t>6001.A</t>
        </is>
      </c>
      <c r="M809" s="22" t="n">
        <v>6</v>
      </c>
      <c r="N809" s="22" t="inlineStr">
        <is>
          <t>Kocaeli Sekapark-Otogar tramvay (İhale 2015/17325) mekanik birim fiyat teklifi (örnek teklif, Kent Meydanı klasöründe); TL, KDV hariç; tarih=dosya tarihi.</t>
        </is>
      </c>
    </row>
    <row r="810">
      <c r="A810" s="22" t="inlineStr">
        <is>
          <t>R05516</t>
        </is>
      </c>
      <c r="B810" s="22" t="inlineStr">
        <is>
          <t>KOCAELI_BELEDIYESI_TRAMWAY_HATTI (Kent Meydani klasöründe)</t>
        </is>
      </c>
      <c r="C810" s="22" t="inlineStr">
        <is>
          <t>tramvay</t>
        </is>
      </c>
      <c r="D810" s="22" t="inlineStr">
        <is>
          <t>Uluhanlar İnşaat</t>
        </is>
      </c>
      <c r="E810" s="22" t="inlineStr">
        <is>
          <t>2015-04-07</t>
        </is>
      </c>
      <c r="F810" s="22" t="inlineStr">
        <is>
          <t>Polietilen basınçlı boru 10 atm Ø150</t>
        </is>
      </c>
      <c r="G810" s="22" t="inlineStr">
        <is>
          <t>MT</t>
        </is>
      </c>
      <c r="H810" s="63" t="n">
        <v>62</v>
      </c>
      <c r="I810" s="22" t="inlineStr">
        <is>
          <t>TRY</t>
        </is>
      </c>
      <c r="J810" s="22" t="inlineStr">
        <is>
          <t>M+İ</t>
        </is>
      </c>
      <c r="K810" s="63" t="n">
        <v>29.3683145593007</v>
      </c>
      <c r="L810" s="22" t="inlineStr">
        <is>
          <t>5005.H</t>
        </is>
      </c>
      <c r="M810" s="22" t="n">
        <v>1</v>
      </c>
      <c r="N810" s="22" t="inlineStr">
        <is>
          <t>Kocaeli Sekapark-Otogar tramvay (İhale 2015/17325) mekanik birim fiyat teklifi (örnek teklif, Kent Meydanı klasöründe); TL, KDV hariç; tarih=dosya tarihi.</t>
        </is>
      </c>
    </row>
    <row r="811">
      <c r="A811" s="22" t="inlineStr">
        <is>
          <t>R05521</t>
        </is>
      </c>
      <c r="B811" s="22" t="inlineStr">
        <is>
          <t>KOCAELI_BELEDIYESI_TRAMWAY_HATTI (Kent Meydani klasöründe)</t>
        </is>
      </c>
      <c r="C811" s="22" t="inlineStr">
        <is>
          <t>tramvay</t>
        </is>
      </c>
      <c r="D811" s="22" t="inlineStr">
        <is>
          <t>bilinmiyor (Yapıray'a sunulan mekanik alt yüklenici teklifi)</t>
        </is>
      </c>
      <c r="E811" s="22" t="inlineStr">
        <is>
          <t>2015-04-10</t>
        </is>
      </c>
      <c r="F811" s="22" t="inlineStr">
        <is>
          <t>Ø110 PE100 10 atü boru temini ve döşenmesi</t>
        </is>
      </c>
      <c r="G811" s="22" t="inlineStr">
        <is>
          <t>M</t>
        </is>
      </c>
      <c r="H811" s="63" t="n">
        <v>11.41</v>
      </c>
      <c r="I811" s="22" t="inlineStr">
        <is>
          <t>USD</t>
        </is>
      </c>
      <c r="J811" s="22" t="inlineStr">
        <is>
          <t>M+İ</t>
        </is>
      </c>
      <c r="K811" s="63" t="n">
        <v>14.3575265365551</v>
      </c>
      <c r="L811" s="22" t="inlineStr">
        <is>
          <t>5007.A</t>
        </is>
      </c>
      <c r="M811" s="22" t="n">
        <v>3</v>
      </c>
      <c r="N811" s="22" t="inlineStr">
        <is>
          <t>Kocaeli Sekapark-Otogar tramvay hattı (İhale 2015/17325) mekanik birim fiyat teklif cetveli (istasyon+depo+bakım binası); KDV hariç.</t>
        </is>
      </c>
    </row>
    <row r="812">
      <c r="A812" s="22" t="inlineStr">
        <is>
          <t>R05522</t>
        </is>
      </c>
      <c r="B812" s="22" t="inlineStr">
        <is>
          <t>KOCAELI_BELEDIYESI_TRAMWAY_HATTI (Kent Meydani klasöründe)</t>
        </is>
      </c>
      <c r="C812" s="22" t="inlineStr">
        <is>
          <t>tramvay</t>
        </is>
      </c>
      <c r="D812" s="22" t="inlineStr">
        <is>
          <t>bilinmiyor (Yapıray'a sunulan mekanik alt yüklenici teklifi)</t>
        </is>
      </c>
      <c r="E812" s="22" t="inlineStr">
        <is>
          <t>2015-04-10</t>
        </is>
      </c>
      <c r="F812" s="22" t="inlineStr">
        <is>
          <t>Öz-Sarıgüller pik bodrum süzgeci 24x34</t>
        </is>
      </c>
      <c r="G812" s="22" t="inlineStr">
        <is>
          <t>AD</t>
        </is>
      </c>
      <c r="H812" s="63" t="n">
        <v>195</v>
      </c>
      <c r="I812" s="22" t="inlineStr">
        <is>
          <t>TRY</t>
        </is>
      </c>
      <c r="J812" s="22" t="inlineStr">
        <is>
          <t>M+İ</t>
        </is>
      </c>
      <c r="K812" s="63" t="n">
        <v>92.8907807740779</v>
      </c>
      <c r="L812" s="22" t="inlineStr">
        <is>
          <t>5006.H</t>
        </is>
      </c>
      <c r="M812" s="22" t="n">
        <v>1</v>
      </c>
      <c r="N812" s="22" t="inlineStr">
        <is>
          <t>Kocaeli Sekapark-Otogar tramvay hattı (İhale 2015/17325) mekanik birim fiyat teklif cetveli (istasyon+depo+bakım binası); KDV hariç.</t>
        </is>
      </c>
    </row>
    <row r="813">
      <c r="A813" s="22" t="inlineStr">
        <is>
          <t>R05523</t>
        </is>
      </c>
      <c r="B813" s="22" t="inlineStr">
        <is>
          <t>KOCAELI_BELEDIYESI_TRAMWAY_HATTI (Kent Meydani klasöründe)</t>
        </is>
      </c>
      <c r="C813" s="22" t="inlineStr">
        <is>
          <t>tramvay</t>
        </is>
      </c>
      <c r="D813" s="22" t="inlineStr">
        <is>
          <t>bilinmiyor (Yapıray'a sunulan mekanik alt yüklenici teklifi)</t>
        </is>
      </c>
      <c r="E813" s="22" t="inlineStr">
        <is>
          <t>2015-04-10</t>
        </is>
      </c>
      <c r="F813" s="22" t="inlineStr">
        <is>
          <t>Öz-Sarıgüller yer süzgeci sert plastik 15x15</t>
        </is>
      </c>
      <c r="G813" s="22" t="inlineStr">
        <is>
          <t>AD</t>
        </is>
      </c>
      <c r="H813" s="63" t="n">
        <v>200</v>
      </c>
      <c r="I813" s="22" t="inlineStr">
        <is>
          <t>TRY</t>
        </is>
      </c>
      <c r="J813" s="22" t="inlineStr">
        <is>
          <t>M+İ</t>
        </is>
      </c>
      <c r="K813" s="63" t="n">
        <v>95.2725956657209</v>
      </c>
      <c r="L813" s="22" t="inlineStr">
        <is>
          <t>5008.A</t>
        </is>
      </c>
      <c r="M813" s="22" t="n">
        <v>4</v>
      </c>
      <c r="N813" s="22" t="inlineStr">
        <is>
          <t>[AYKIRI DEĞER – otomatik dışlandı] Kocaeli Sekapark-Otogar tramvay hattı (İhale 2015/17325) mekanik birim fiyat teklif cetveli (istasyon+depo+bakım binası); KDV hariç.</t>
        </is>
      </c>
    </row>
    <row r="814">
      <c r="A814" s="22" t="inlineStr">
        <is>
          <t>R05524</t>
        </is>
      </c>
      <c r="B814" s="22" t="inlineStr">
        <is>
          <t>KOCAELI_BELEDIYESI_TRAMWAY_HATTI (Kent Meydani klasöründe)</t>
        </is>
      </c>
      <c r="C814" s="22" t="inlineStr">
        <is>
          <t>tramvay</t>
        </is>
      </c>
      <c r="D814" s="22" t="inlineStr">
        <is>
          <t>bilinmiyor (Yapıray'a sunulan mekanik alt yüklenici teklifi)</t>
        </is>
      </c>
      <c r="E814" s="22" t="inlineStr">
        <is>
          <t>2015-04-10</t>
        </is>
      </c>
      <c r="F814" s="22" t="inlineStr">
        <is>
          <t>Öz-Sarıgüller oluk (çatı) süzgeci demir döküm</t>
        </is>
      </c>
      <c r="G814" s="22" t="inlineStr">
        <is>
          <t>AD</t>
        </is>
      </c>
      <c r="H814" s="63" t="n">
        <v>100</v>
      </c>
      <c r="I814" s="22" t="inlineStr">
        <is>
          <t>TRY</t>
        </is>
      </c>
      <c r="J814" s="22" t="inlineStr">
        <is>
          <t>M+İ</t>
        </is>
      </c>
      <c r="K814" s="63" t="n">
        <v>47.6362978328605</v>
      </c>
      <c r="L814" s="22" t="inlineStr">
        <is>
          <t>5006.H</t>
        </is>
      </c>
      <c r="M814" s="22" t="n">
        <v>3</v>
      </c>
      <c r="N814" s="22" t="inlineStr">
        <is>
          <t>Kocaeli Sekapark-Otogar tramvay hattı (İhale 2015/17325) mekanik birim fiyat teklif cetveli (istasyon+depo+bakım binası); KDV hariç.</t>
        </is>
      </c>
    </row>
    <row r="815">
      <c r="A815" s="22" t="inlineStr">
        <is>
          <t>R05525</t>
        </is>
      </c>
      <c r="B815" s="22" t="inlineStr">
        <is>
          <t>KOCAELI_BELEDIYESI_TRAMWAY_HATTI (Kent Meydani klasöründe)</t>
        </is>
      </c>
      <c r="C815" s="22" t="inlineStr">
        <is>
          <t>tramvay</t>
        </is>
      </c>
      <c r="D815" s="22" t="inlineStr">
        <is>
          <t>bilinmiyor (Yapıray'a sunulan mekanik alt yüklenici teklifi)</t>
        </is>
      </c>
      <c r="E815" s="22" t="inlineStr">
        <is>
          <t>2015-04-10</t>
        </is>
      </c>
      <c r="F815" s="22" t="inlineStr">
        <is>
          <t>Normeks yangın dolabı sıva üstü 700x900x250, 1" 30 m hortum, tüp konabilir</t>
        </is>
      </c>
      <c r="G815" s="22" t="inlineStr">
        <is>
          <t>AD</t>
        </is>
      </c>
      <c r="H815" s="63" t="n">
        <v>357.33</v>
      </c>
      <c r="I815" s="22" t="inlineStr">
        <is>
          <t>USD</t>
        </is>
      </c>
      <c r="J815" s="22" t="inlineStr">
        <is>
          <t>M+İ</t>
        </is>
      </c>
      <c r="K815" s="63" t="n">
        <v>449.638471280212</v>
      </c>
      <c r="L815" s="22" t="inlineStr">
        <is>
          <t>5005.H</t>
        </is>
      </c>
      <c r="M815" s="22" t="n">
        <v>1</v>
      </c>
      <c r="N815" s="22" t="inlineStr">
        <is>
          <t>Kocaeli Sekapark-Otogar tramvay hattı (İhale 2015/17325) mekanik birim fiyat teklif cetveli (istasyon+depo+bakım binası); KDV hariç.</t>
        </is>
      </c>
    </row>
    <row r="816">
      <c r="A816" s="22" t="inlineStr">
        <is>
          <t>R05527</t>
        </is>
      </c>
      <c r="B816" s="22" t="inlineStr">
        <is>
          <t>KOCAELI_BELEDIYESI_TRAMWAY_HATTI (Kent Meydani klasöründe)</t>
        </is>
      </c>
      <c r="C816" s="22" t="inlineStr">
        <is>
          <t>tramvay</t>
        </is>
      </c>
      <c r="D816" s="22" t="inlineStr">
        <is>
          <t>bilinmiyor (Yapıray'a sunulan mekanik alt yüklenici teklifi)</t>
        </is>
      </c>
      <c r="E816" s="22" t="inlineStr">
        <is>
          <t>2015-04-10</t>
        </is>
      </c>
      <c r="F816" s="22" t="inlineStr">
        <is>
          <t>Globe sprinkler pendent ½" 68°C UL/FM</t>
        </is>
      </c>
      <c r="G816" s="22" t="inlineStr">
        <is>
          <t>AD</t>
        </is>
      </c>
      <c r="H816" s="63" t="n">
        <v>7.2</v>
      </c>
      <c r="I816" s="22" t="inlineStr">
        <is>
          <t>USD</t>
        </is>
      </c>
      <c r="J816" s="22" t="inlineStr">
        <is>
          <t>M+İ</t>
        </is>
      </c>
      <c r="K816" s="63" t="n">
        <v>9.059964159789351</v>
      </c>
      <c r="L816" s="22" t="inlineStr">
        <is>
          <t>5005.H</t>
        </is>
      </c>
      <c r="M816" s="22" t="n">
        <v>2</v>
      </c>
      <c r="N816" s="22" t="inlineStr">
        <is>
          <t>Kocaeli Sekapark-Otogar tramvay hattı (İhale 2015/17325) mekanik birim fiyat teklif cetveli (istasyon+depo+bakım binası); KDV hariç. rozet ayrı 1,75 $</t>
        </is>
      </c>
    </row>
    <row r="817">
      <c r="A817" s="22" t="inlineStr">
        <is>
          <t>R05529</t>
        </is>
      </c>
      <c r="B817" s="22" t="inlineStr">
        <is>
          <t>KOCAELI_BELEDIYESI_TRAMWAY_HATTI (Kent Meydani klasöründe)</t>
        </is>
      </c>
      <c r="C817" s="22" t="inlineStr">
        <is>
          <t>tramvay</t>
        </is>
      </c>
      <c r="D817" s="22" t="inlineStr">
        <is>
          <t>bilinmiyor (Yapıray'a sunulan mekanik alt yüklenici teklifi)</t>
        </is>
      </c>
      <c r="E817" s="22" t="inlineStr">
        <is>
          <t>2015-04-10</t>
        </is>
      </c>
      <c r="F817" s="22" t="inlineStr">
        <is>
          <t>Globe ıslak alarm vana istasyonu 4" komple (vana 562,59 + trim 244,01 + geciktirme 125,04 + motor gong 221,84 + presostat 111,83)</t>
        </is>
      </c>
      <c r="G817" s="22" t="inlineStr">
        <is>
          <t>AD</t>
        </is>
      </c>
      <c r="H817" s="63" t="n">
        <v>1265.31</v>
      </c>
      <c r="I817" s="22" t="inlineStr">
        <is>
          <t>USD</t>
        </is>
      </c>
      <c r="J817" s="22" t="inlineStr">
        <is>
          <t>M+İ</t>
        </is>
      </c>
      <c r="K817" s="63" t="n">
        <v>1592.17545153098</v>
      </c>
      <c r="L817" s="22" t="inlineStr">
        <is>
          <t>5005.H</t>
        </is>
      </c>
      <c r="M817" s="22" t="n">
        <v>1</v>
      </c>
      <c r="N817" s="22" t="inlineStr">
        <is>
          <t>Kocaeli Sekapark-Otogar tramvay hattı (İhale 2015/17325) mekanik birim fiyat teklif cetveli (istasyon+depo+bakım binası); KDV hariç. satır 669-674 toplamı</t>
        </is>
      </c>
    </row>
    <row r="818">
      <c r="A818" s="22" t="inlineStr">
        <is>
          <t>R05530</t>
        </is>
      </c>
      <c r="B818" s="22" t="inlineStr">
        <is>
          <t>KOCAELI_BELEDIYESI_TRAMWAY_HATTI (Kent Meydani klasöründe)</t>
        </is>
      </c>
      <c r="C818" s="22" t="inlineStr">
        <is>
          <t>tramvay</t>
        </is>
      </c>
      <c r="D818" s="22" t="inlineStr">
        <is>
          <t>bilinmiyor (Yapıray'a sunulan mekanik alt yüklenici teklifi)</t>
        </is>
      </c>
      <c r="E818" s="22" t="inlineStr">
        <is>
          <t>2015-04-10</t>
        </is>
      </c>
      <c r="F818" s="22" t="inlineStr">
        <is>
          <t>System Sensor su akış anahtarı 4"</t>
        </is>
      </c>
      <c r="G818" s="22" t="inlineStr">
        <is>
          <t>AD</t>
        </is>
      </c>
      <c r="H818" s="63" t="n">
        <v>199.44</v>
      </c>
      <c r="I818" s="22" t="inlineStr">
        <is>
          <t>USD</t>
        </is>
      </c>
      <c r="J818" s="22" t="inlineStr">
        <is>
          <t>M+İ</t>
        </is>
      </c>
      <c r="K818" s="63" t="n">
        <v>250.961007226165</v>
      </c>
      <c r="L818" s="22" t="inlineStr">
        <is>
          <t>5005.H</t>
        </is>
      </c>
      <c r="M818" s="22" t="n">
        <v>1</v>
      </c>
      <c r="N818" s="22" t="inlineStr">
        <is>
          <t>Kocaeli Sekapark-Otogar tramvay hattı (İhale 2015/17325) mekanik birim fiyat teklif cetveli (istasyon+depo+bakım binası); KDV hariç.</t>
        </is>
      </c>
    </row>
    <row r="819">
      <c r="A819" s="22" t="inlineStr">
        <is>
          <t>R05531</t>
        </is>
      </c>
      <c r="B819" s="22" t="inlineStr">
        <is>
          <t>KOCAELI_BELEDIYESI_TRAMWAY_HATTI (Kent Meydani klasöründe)</t>
        </is>
      </c>
      <c r="C819" s="22" t="inlineStr">
        <is>
          <t>tramvay</t>
        </is>
      </c>
      <c r="D819" s="22" t="inlineStr">
        <is>
          <t>bilinmiyor (Yapıray'a sunulan mekanik alt yüklenici teklifi)</t>
        </is>
      </c>
      <c r="E819" s="22" t="inlineStr">
        <is>
          <t>2015-04-10</t>
        </is>
      </c>
      <c r="F819" s="22" t="inlineStr">
        <is>
          <t>Globe kelebek vana 4" izleme anahtarlı UL/FM</t>
        </is>
      </c>
      <c r="G819" s="22" t="inlineStr">
        <is>
          <t>AD</t>
        </is>
      </c>
      <c r="H819" s="63" t="n">
        <v>275.68</v>
      </c>
      <c r="I819" s="22" t="inlineStr">
        <is>
          <t>USD</t>
        </is>
      </c>
      <c r="J819" s="22" t="inlineStr">
        <is>
          <t>M+İ</t>
        </is>
      </c>
      <c r="K819" s="63" t="n">
        <v>346.89596105149</v>
      </c>
      <c r="L819" s="22" t="inlineStr">
        <is>
          <t>5005.H</t>
        </is>
      </c>
      <c r="M819" s="22" t="n">
        <v>2</v>
      </c>
      <c r="N819" s="22" t="inlineStr">
        <is>
          <t>Kocaeli Sekapark-Otogar tramvay hattı (İhale 2015/17325) mekanik birim fiyat teklif cetveli (istasyon+depo+bakım binası); KDV hariç.</t>
        </is>
      </c>
    </row>
    <row r="820">
      <c r="A820" s="22" t="inlineStr">
        <is>
          <t>R05533</t>
        </is>
      </c>
      <c r="B820" s="22" t="inlineStr">
        <is>
          <t>KOCAELI_BELEDIYESI_TRAMWAY_HATTI (Kent Meydani klasöründe)</t>
        </is>
      </c>
      <c r="C820" s="22" t="inlineStr">
        <is>
          <t>tramvay</t>
        </is>
      </c>
      <c r="D820" s="22" t="inlineStr">
        <is>
          <t>bilinmiyor (Yapıray'a sunulan mekanik alt yüklenici teklifi)</t>
        </is>
      </c>
      <c r="E820" s="22" t="inlineStr">
        <is>
          <t>2015-04-10</t>
        </is>
      </c>
      <c r="F820" s="22" t="inlineStr">
        <is>
          <t>Giacomini itfaiye bağlantı ağzı 4"x2½"x2½"</t>
        </is>
      </c>
      <c r="G820" s="22" t="inlineStr">
        <is>
          <t>AD</t>
        </is>
      </c>
      <c r="H820" s="63" t="n">
        <v>221.31</v>
      </c>
      <c r="I820" s="22" t="inlineStr">
        <is>
          <t>USD</t>
        </is>
      </c>
      <c r="J820" s="22" t="inlineStr">
        <is>
          <t>M+İ</t>
        </is>
      </c>
      <c r="K820" s="63" t="n">
        <v>278.480648361525</v>
      </c>
      <c r="L820" s="22" t="inlineStr">
        <is>
          <t>5005.H</t>
        </is>
      </c>
      <c r="M820" s="22" t="n">
        <v>1</v>
      </c>
      <c r="N820" s="22" t="inlineStr">
        <is>
          <t>Kocaeli Sekapark-Otogar tramvay hattı (İhale 2015/17325) mekanik birim fiyat teklif cetveli (istasyon+depo+bakım binası); KDV hariç.</t>
        </is>
      </c>
    </row>
    <row r="821">
      <c r="A821" s="22" t="inlineStr">
        <is>
          <t>R05534</t>
        </is>
      </c>
      <c r="B821" s="22" t="inlineStr">
        <is>
          <t>KOCAELI_BELEDIYESI_TRAMWAY_HATTI (Kent Meydani klasöründe)</t>
        </is>
      </c>
      <c r="C821" s="22" t="inlineStr">
        <is>
          <t>tramvay</t>
        </is>
      </c>
      <c r="D821" s="22" t="inlineStr">
        <is>
          <t>bilinmiyor (Yapıray'a sunulan mekanik alt yüklenici teklifi)</t>
        </is>
      </c>
      <c r="E821" s="22" t="inlineStr">
        <is>
          <t>2015-04-10</t>
        </is>
      </c>
      <c r="F821" s="22" t="inlineStr">
        <is>
          <t>ITT AC Fire Pumps elektrikli yangın pompası 750 GPM (170 m³/h) 145 PSI (~100 mSS) 125 HP + WEG motor + Tornatech GPY panel (komple)</t>
        </is>
      </c>
      <c r="G821" s="22" t="inlineStr">
        <is>
          <t>AD</t>
        </is>
      </c>
      <c r="H821" s="63" t="n">
        <v>28502</v>
      </c>
      <c r="I821" s="22" t="inlineStr">
        <is>
          <t>USD</t>
        </is>
      </c>
      <c r="J821" s="22" t="inlineStr">
        <is>
          <t>M+İ</t>
        </is>
      </c>
      <c r="K821" s="63" t="n">
        <v>35864.8747892106</v>
      </c>
      <c r="L821" s="22" t="inlineStr">
        <is>
          <t>5005.H</t>
        </is>
      </c>
      <c r="M821" s="22" t="n">
        <v>3</v>
      </c>
      <c r="N821" s="22" t="inlineStr">
        <is>
          <t>Kocaeli Sekapark-Otogar tramvay hattı (İhale 2015/17325) mekanik birim fiyat teklif cetveli (istasyon+depo+bakım binası); KDV hariç. pompa 11.875 + motor 7.597 + panel 9.030 $ (satır 688-690)</t>
        </is>
      </c>
    </row>
    <row r="822">
      <c r="A822" s="22" t="inlineStr">
        <is>
          <t>R05535</t>
        </is>
      </c>
      <c r="B822" s="22" t="inlineStr">
        <is>
          <t>KOCAELI_BELEDIYESI_TRAMWAY_HATTI (Kent Meydani klasöründe)</t>
        </is>
      </c>
      <c r="C822" s="22" t="inlineStr">
        <is>
          <t>tramvay</t>
        </is>
      </c>
      <c r="D822" s="22" t="inlineStr">
        <is>
          <t>bilinmiyor (Yapıray'a sunulan mekanik alt yüklenici teklifi)</t>
        </is>
      </c>
      <c r="E822" s="22" t="inlineStr">
        <is>
          <t>2015-04-10</t>
        </is>
      </c>
      <c r="F822" s="22" t="inlineStr">
        <is>
          <t>ITT AC jokey pompa 5 HP 21 kademe + Tornatech JP3 panel</t>
        </is>
      </c>
      <c r="G822" s="22" t="inlineStr">
        <is>
          <t>AD</t>
        </is>
      </c>
      <c r="H822" s="63" t="n">
        <v>4563</v>
      </c>
      <c r="I822" s="22" t="inlineStr">
        <is>
          <t>USD</t>
        </is>
      </c>
      <c r="J822" s="22" t="inlineStr">
        <is>
          <t>M+İ</t>
        </is>
      </c>
      <c r="K822" s="63" t="n">
        <v>5741.7522862665</v>
      </c>
      <c r="L822" s="22" t="inlineStr">
        <is>
          <t>5005.H</t>
        </is>
      </c>
      <c r="M822" s="22" t="n">
        <v>1</v>
      </c>
      <c r="N822" s="22" t="inlineStr">
        <is>
          <t>Kocaeli Sekapark-Otogar tramvay hattı (İhale 2015/17325) mekanik birim fiyat teklif cetveli (istasyon+depo+bakım binası); KDV hariç. satır 691-692</t>
        </is>
      </c>
    </row>
    <row r="823">
      <c r="A823" s="22" t="inlineStr">
        <is>
          <t>R05537</t>
        </is>
      </c>
      <c r="B823" s="22" t="inlineStr">
        <is>
          <t>KOCAELI_BELEDIYESI_TRAMWAY_HATTI (Kent Meydani klasöründe)</t>
        </is>
      </c>
      <c r="C823" s="22" t="inlineStr">
        <is>
          <t>tramvay</t>
        </is>
      </c>
      <c r="D823" s="22" t="inlineStr">
        <is>
          <t>bilinmiyor (Yapıray'a sunulan mekanik alt yüklenici teklifi)</t>
        </is>
      </c>
      <c r="E823" s="22" t="inlineStr">
        <is>
          <t>2015-04-10</t>
        </is>
      </c>
      <c r="F823" s="22" t="inlineStr">
        <is>
          <t>Kurtarır ABC KKT taşınabilir söndürücü 6 kg</t>
        </is>
      </c>
      <c r="G823" s="22" t="inlineStr">
        <is>
          <t>AD</t>
        </is>
      </c>
      <c r="H823" s="63" t="n">
        <v>60.78</v>
      </c>
      <c r="I823" s="22" t="inlineStr">
        <is>
          <t>USD</t>
        </is>
      </c>
      <c r="J823" s="22" t="inlineStr">
        <is>
          <t>Malzeme</t>
        </is>
      </c>
      <c r="K823" s="63" t="n">
        <v>76.48119744888839</v>
      </c>
      <c r="L823" s="22" t="inlineStr">
        <is>
          <t>5005.A</t>
        </is>
      </c>
      <c r="M823" s="22" t="n">
        <v>9</v>
      </c>
      <c r="N823" s="22" t="inlineStr">
        <is>
          <t>Kocaeli Sekapark-Otogar tramvay hattı (İhale 2015/17325) mekanik birim fiyat teklif cetveli (istasyon+depo+bakım binası); KDV hariç.</t>
        </is>
      </c>
    </row>
    <row r="824">
      <c r="A824" s="22" t="inlineStr">
        <is>
          <t>R05539</t>
        </is>
      </c>
      <c r="B824" s="22" t="inlineStr">
        <is>
          <t>KOCAELI_BELEDIYESI_TRAMWAY_HATTI (Kent Meydani klasöründe)</t>
        </is>
      </c>
      <c r="C824" s="22" t="inlineStr">
        <is>
          <t>tramvay</t>
        </is>
      </c>
      <c r="D824" s="22" t="inlineStr">
        <is>
          <t>bilinmiyor (Yapıray'a sunulan mekanik alt yüklenici teklifi)</t>
        </is>
      </c>
      <c r="E824" s="22" t="inlineStr">
        <is>
          <t>2015-04-10</t>
        </is>
      </c>
      <c r="F824" s="22" t="inlineStr">
        <is>
          <t>Wilo 3 pompalı düşey milli frekans konvertörlü hidrofor 3x5,5 kW komple (mekanik set 7.695 + FC pano 4.681 + sensör/flatör/genleşme deposu)</t>
        </is>
      </c>
      <c r="G824" s="22" t="inlineStr">
        <is>
          <t>AD</t>
        </is>
      </c>
      <c r="H824" s="63" t="n">
        <v>12952.5</v>
      </c>
      <c r="I824" s="22" t="inlineStr">
        <is>
          <t>EUR</t>
        </is>
      </c>
      <c r="J824" s="22" t="inlineStr">
        <is>
          <t>M+İ</t>
        </is>
      </c>
      <c r="K824" s="63" t="n">
        <v>17227.5124123768</v>
      </c>
      <c r="L824" s="22" t="inlineStr">
        <is>
          <t>5007.A</t>
        </is>
      </c>
      <c r="M824" s="22" t="n">
        <v>1</v>
      </c>
      <c r="N824" s="22" t="inlineStr">
        <is>
          <t>Kocaeli Sekapark-Otogar tramvay hattı (İhale 2015/17325) mekanik birim fiyat teklif cetveli (istasyon+depo+bakım binası); KDV hariç. satır 698-703; debi belirtilmemiş, 3x5,5 kW</t>
        </is>
      </c>
    </row>
    <row r="825">
      <c r="A825" s="22" t="inlineStr">
        <is>
          <t>R05547</t>
        </is>
      </c>
      <c r="B825" s="22" t="inlineStr">
        <is>
          <t>KOCAELI_BELEDIYESI_TRAMWAY_HATTI (Kent Meydani klasöründe)</t>
        </is>
      </c>
      <c r="C825" s="22" t="inlineStr">
        <is>
          <t>tramvay</t>
        </is>
      </c>
      <c r="D825" s="22" t="inlineStr">
        <is>
          <t>bilinmiyor (Yapıray'a sunulan mekanik alt yüklenici teklifi)</t>
        </is>
      </c>
      <c r="E825" s="22" t="inlineStr">
        <is>
          <t>2015-04-10</t>
        </is>
      </c>
      <c r="F825" s="22" t="inlineStr">
        <is>
          <t>Dikişli vidalı siyah çelik boru 4" (bina içi)</t>
        </is>
      </c>
      <c r="G825" s="22" t="inlineStr">
        <is>
          <t>MT</t>
        </is>
      </c>
      <c r="H825" s="63" t="n">
        <v>73.84</v>
      </c>
      <c r="I825" s="22" t="inlineStr">
        <is>
          <t>TRY</t>
        </is>
      </c>
      <c r="J825" s="22" t="inlineStr">
        <is>
          <t>M+İ</t>
        </is>
      </c>
      <c r="K825" s="63" t="n">
        <v>35.1746423197842</v>
      </c>
      <c r="L825" s="22" t="inlineStr">
        <is>
          <t>5005.H</t>
        </is>
      </c>
      <c r="M825" s="22" t="n">
        <v>1</v>
      </c>
      <c r="N825" s="22" t="inlineStr">
        <is>
          <t>Kocaeli Sekapark-Otogar tramvay hattı (İhale 2015/17325) mekanik birim fiyat teklif cetveli (istasyon+depo+bakım binası); KDV hariç.</t>
        </is>
      </c>
    </row>
    <row r="826">
      <c r="A826" s="22" t="inlineStr">
        <is>
          <t>R05548</t>
        </is>
      </c>
      <c r="B826" s="22" t="inlineStr">
        <is>
          <t>KOCAELI_BELEDIYESI_TRAMWAY_HATTI (Kent Meydani klasöründe)</t>
        </is>
      </c>
      <c r="C826" s="22" t="inlineStr">
        <is>
          <t>tramvay</t>
        </is>
      </c>
      <c r="D826" s="22" t="inlineStr">
        <is>
          <t>bilinmiyor (Yapıray'a sunulan mekanik alt yüklenici teklifi)</t>
        </is>
      </c>
      <c r="E826" s="22" t="inlineStr">
        <is>
          <t>2015-04-10</t>
        </is>
      </c>
      <c r="F826" s="22" t="inlineStr">
        <is>
          <t>Dikişli vidalı siyah çelik boru 6" (bina içi)</t>
        </is>
      </c>
      <c r="G826" s="22" t="inlineStr">
        <is>
          <t>MT</t>
        </is>
      </c>
      <c r="H826" s="63" t="n">
        <v>110.22</v>
      </c>
      <c r="I826" s="22" t="inlineStr">
        <is>
          <t>TRY</t>
        </is>
      </c>
      <c r="J826" s="22" t="inlineStr">
        <is>
          <t>M+İ</t>
        </is>
      </c>
      <c r="K826" s="63" t="n">
        <v>52.5047274713788</v>
      </c>
      <c r="L826" s="22" t="inlineStr"/>
      <c r="M826" s="22" t="n">
        <v>2</v>
      </c>
      <c r="N826" s="22" t="inlineStr">
        <is>
          <t>Kocaeli Sekapark-Otogar tramvay hattı (İhale 2015/17325) mekanik birim fiyat teklif cetveli (istasyon+depo+bakım binası); KDV hariç.</t>
        </is>
      </c>
    </row>
    <row r="827">
      <c r="A827" s="22" t="inlineStr">
        <is>
          <t>R05549</t>
        </is>
      </c>
      <c r="B827" s="22" t="inlineStr">
        <is>
          <t>KOCAELI_BELEDIYESI_TRAMWAY_HATTI (Kent Meydani klasöründe)</t>
        </is>
      </c>
      <c r="C827" s="22" t="inlineStr">
        <is>
          <t>tramvay</t>
        </is>
      </c>
      <c r="D827" s="22" t="inlineStr">
        <is>
          <t>bilinmiyor (Yapıray'a sunulan mekanik alt yüklenici teklifi)</t>
        </is>
      </c>
      <c r="E827" s="22" t="inlineStr">
        <is>
          <t>2015-04-10</t>
        </is>
      </c>
      <c r="F827" s="22" t="inlineStr">
        <is>
          <t>Dikişli galvanizli çelik boru ½" (bina içi vidalı)</t>
        </is>
      </c>
      <c r="G827" s="22" t="inlineStr">
        <is>
          <t>MT</t>
        </is>
      </c>
      <c r="H827" s="63" t="n">
        <v>24.3</v>
      </c>
      <c r="I827" s="22" t="inlineStr">
        <is>
          <t>TRY</t>
        </is>
      </c>
      <c r="J827" s="22" t="inlineStr">
        <is>
          <t>M+İ</t>
        </is>
      </c>
      <c r="K827" s="63" t="n">
        <v>11.5756203733851</v>
      </c>
      <c r="L827" s="22" t="inlineStr">
        <is>
          <t>5009.A</t>
        </is>
      </c>
      <c r="M827" s="22" t="n">
        <v>1</v>
      </c>
      <c r="N827" s="22" t="inlineStr">
        <is>
          <t>Kocaeli Sekapark-Otogar tramvay hattı (İhale 2015/17325) mekanik birim fiyat teklif cetveli (istasyon+depo+bakım binası); KDV hariç. montaj malzemesi %30-35 dahil ibaresi var</t>
        </is>
      </c>
    </row>
    <row r="828">
      <c r="A828" s="22" t="inlineStr">
        <is>
          <t>R05550</t>
        </is>
      </c>
      <c r="B828" s="22" t="inlineStr">
        <is>
          <t>KOCAELI_BELEDIYESI_TRAMWAY_HATTI (Kent Meydani klasöründe)</t>
        </is>
      </c>
      <c r="C828" s="22" t="inlineStr">
        <is>
          <t>tramvay</t>
        </is>
      </c>
      <c r="D828" s="22" t="inlineStr">
        <is>
          <t>bilinmiyor (Yapıray'a sunulan mekanik alt yüklenici teklifi)</t>
        </is>
      </c>
      <c r="E828" s="22" t="inlineStr">
        <is>
          <t>2015-04-10</t>
        </is>
      </c>
      <c r="F828" s="22" t="inlineStr">
        <is>
          <t>Dikişli galvanizli çelik boru 1" (bina içi vidalı)</t>
        </is>
      </c>
      <c r="G828" s="22" t="inlineStr">
        <is>
          <t>MT</t>
        </is>
      </c>
      <c r="H828" s="63" t="n">
        <v>28.32</v>
      </c>
      <c r="I828" s="22" t="inlineStr">
        <is>
          <t>TRY</t>
        </is>
      </c>
      <c r="J828" s="22" t="inlineStr">
        <is>
          <t>M+İ</t>
        </is>
      </c>
      <c r="K828" s="63" t="n">
        <v>13.4905995462661</v>
      </c>
      <c r="L828" s="22" t="inlineStr">
        <is>
          <t>5009.A</t>
        </is>
      </c>
      <c r="M828" s="22" t="n">
        <v>1</v>
      </c>
      <c r="N828" s="22" t="inlineStr">
        <is>
          <t>Kocaeli Sekapark-Otogar tramvay hattı (İhale 2015/17325) mekanik birim fiyat teklif cetveli (istasyon+depo+bakım binası); KDV hariç. montaj malzemesi %30-35 dahil ibaresi var</t>
        </is>
      </c>
    </row>
    <row r="829">
      <c r="A829" s="22" t="inlineStr">
        <is>
          <t>R05551</t>
        </is>
      </c>
      <c r="B829" s="22" t="inlineStr">
        <is>
          <t>KOCAELI_BELEDIYESI_TRAMWAY_HATTI (Kent Meydani klasöründe)</t>
        </is>
      </c>
      <c r="C829" s="22" t="inlineStr">
        <is>
          <t>tramvay</t>
        </is>
      </c>
      <c r="D829" s="22" t="inlineStr">
        <is>
          <t>bilinmiyor (Yapıray'a sunulan mekanik alt yüklenici teklifi)</t>
        </is>
      </c>
      <c r="E829" s="22" t="inlineStr">
        <is>
          <t>2015-04-10</t>
        </is>
      </c>
      <c r="F829" s="22" t="inlineStr">
        <is>
          <t>Dikişli galvanizli çelik boru 1¼" (bina içi vidalı)</t>
        </is>
      </c>
      <c r="G829" s="22" t="inlineStr">
        <is>
          <t>MT</t>
        </is>
      </c>
      <c r="H829" s="63" t="n">
        <v>35.7</v>
      </c>
      <c r="I829" s="22" t="inlineStr">
        <is>
          <t>TRY</t>
        </is>
      </c>
      <c r="J829" s="22" t="inlineStr">
        <is>
          <t>M+İ</t>
        </is>
      </c>
      <c r="K829" s="63" t="n">
        <v>17.0061583263312</v>
      </c>
      <c r="L829" s="22" t="inlineStr">
        <is>
          <t>5009.A</t>
        </is>
      </c>
      <c r="M829" s="22" t="n">
        <v>1</v>
      </c>
      <c r="N829" s="22" t="inlineStr">
        <is>
          <t>Kocaeli Sekapark-Otogar tramvay hattı (İhale 2015/17325) mekanik birim fiyat teklif cetveli (istasyon+depo+bakım binası); KDV hariç. montaj malzemesi %30-35 dahil ibaresi var</t>
        </is>
      </c>
    </row>
    <row r="830">
      <c r="A830" s="22" t="inlineStr">
        <is>
          <t>R05552</t>
        </is>
      </c>
      <c r="B830" s="22" t="inlineStr">
        <is>
          <t>KOCAELI_BELEDIYESI_TRAMWAY_HATTI (Kent Meydani klasöründe)</t>
        </is>
      </c>
      <c r="C830" s="22" t="inlineStr">
        <is>
          <t>tramvay</t>
        </is>
      </c>
      <c r="D830" s="22" t="inlineStr">
        <is>
          <t>bilinmiyor (Yapıray'a sunulan mekanik alt yüklenici teklifi)</t>
        </is>
      </c>
      <c r="E830" s="22" t="inlineStr">
        <is>
          <t>2015-04-10</t>
        </is>
      </c>
      <c r="F830" s="22" t="inlineStr">
        <is>
          <t>Dikişli galvanizli çelik boru 2" (bina içi vidalı)</t>
        </is>
      </c>
      <c r="G830" s="22" t="inlineStr">
        <is>
          <t>MT</t>
        </is>
      </c>
      <c r="H830" s="63" t="n">
        <v>47.33</v>
      </c>
      <c r="I830" s="22" t="inlineStr">
        <is>
          <t>TRY</t>
        </is>
      </c>
      <c r="J830" s="22" t="inlineStr">
        <is>
          <t>M+İ</t>
        </is>
      </c>
      <c r="K830" s="63" t="n">
        <v>22.5462597642929</v>
      </c>
      <c r="L830" s="22" t="inlineStr">
        <is>
          <t>5009.A</t>
        </is>
      </c>
      <c r="M830" s="22" t="n">
        <v>3</v>
      </c>
      <c r="N830" s="22" t="inlineStr">
        <is>
          <t>Kocaeli Sekapark-Otogar tramvay hattı (İhale 2015/17325) mekanik birim fiyat teklif cetveli (istasyon+depo+bakım binası); KDV hariç. montaj malzemesi %30-35 dahil ibaresi var</t>
        </is>
      </c>
    </row>
    <row r="831">
      <c r="A831" s="22" t="inlineStr">
        <is>
          <t>R05553</t>
        </is>
      </c>
      <c r="B831" s="22" t="inlineStr">
        <is>
          <t>KOCAELI_BELEDIYESI_TRAMWAY_HATTI (Kent Meydani klasöründe)</t>
        </is>
      </c>
      <c r="C831" s="22" t="inlineStr">
        <is>
          <t>tramvay</t>
        </is>
      </c>
      <c r="D831" s="22" t="inlineStr">
        <is>
          <t>bilinmiyor (Yapıray'a sunulan mekanik alt yüklenici teklifi)</t>
        </is>
      </c>
      <c r="E831" s="22" t="inlineStr">
        <is>
          <t>2015-04-10</t>
        </is>
      </c>
      <c r="F831" s="22" t="inlineStr">
        <is>
          <t>Dikişli galvanizli çelik boru 2½" (bina içi vidalı)</t>
        </is>
      </c>
      <c r="G831" s="22" t="inlineStr">
        <is>
          <t>MT</t>
        </is>
      </c>
      <c r="H831" s="63" t="n">
        <v>52.09</v>
      </c>
      <c r="I831" s="22" t="inlineStr">
        <is>
          <t>TRY</t>
        </is>
      </c>
      <c r="J831" s="22" t="inlineStr">
        <is>
          <t>M+İ</t>
        </is>
      </c>
      <c r="K831" s="63" t="n">
        <v>24.813747541137</v>
      </c>
      <c r="L831" s="22" t="inlineStr">
        <is>
          <t>5005.H</t>
        </is>
      </c>
      <c r="M831" s="22" t="n">
        <v>3</v>
      </c>
      <c r="N831" s="22" t="inlineStr">
        <is>
          <t>Kocaeli Sekapark-Otogar tramvay hattı (İhale 2015/17325) mekanik birim fiyat teklif cetveli (istasyon+depo+bakım binası); KDV hariç. montaj malzemesi %30-35 dahil ibaresi var</t>
        </is>
      </c>
    </row>
    <row r="832">
      <c r="A832" s="22" t="inlineStr">
        <is>
          <t>R05554</t>
        </is>
      </c>
      <c r="B832" s="22" t="inlineStr">
        <is>
          <t>KOCAELI_BELEDIYESI_TRAMWAY_HATTI (Kent Meydani klasöründe)</t>
        </is>
      </c>
      <c r="C832" s="22" t="inlineStr">
        <is>
          <t>tramvay</t>
        </is>
      </c>
      <c r="D832" s="22" t="inlineStr">
        <is>
          <t>bilinmiyor (Yapıray'a sunulan mekanik alt yüklenici teklifi)</t>
        </is>
      </c>
      <c r="E832" s="22" t="inlineStr">
        <is>
          <t>2015-04-10</t>
        </is>
      </c>
      <c r="F832" s="22" t="inlineStr">
        <is>
          <t>PN20 PPRC temiz su borusu ½" (Ø20) bina içi</t>
        </is>
      </c>
      <c r="G832" s="22" t="inlineStr">
        <is>
          <t>MT</t>
        </is>
      </c>
      <c r="H832" s="63" t="n">
        <v>6.58</v>
      </c>
      <c r="I832" s="22" t="inlineStr">
        <is>
          <t>TRY</t>
        </is>
      </c>
      <c r="J832" s="22" t="inlineStr">
        <is>
          <t>M+İ</t>
        </is>
      </c>
      <c r="K832" s="63" t="n">
        <v>3.13446839740222</v>
      </c>
      <c r="L832" s="22" t="inlineStr">
        <is>
          <t>5007.A</t>
        </is>
      </c>
      <c r="M832" s="22" t="n">
        <v>12</v>
      </c>
      <c r="N832" s="22" t="inlineStr">
        <is>
          <t>Kocaeli Sekapark-Otogar tramvay hattı (İhale 2015/17325) mekanik birim fiyat teklif cetveli (istasyon+depo+bakım binası); KDV hariç. izolasyonsuz</t>
        </is>
      </c>
    </row>
    <row r="833">
      <c r="A833" s="22" t="inlineStr">
        <is>
          <t>R05555</t>
        </is>
      </c>
      <c r="B833" s="22" t="inlineStr">
        <is>
          <t>KOCAELI_BELEDIYESI_TRAMWAY_HATTI (Kent Meydani klasöründe)</t>
        </is>
      </c>
      <c r="C833" s="22" t="inlineStr">
        <is>
          <t>tramvay</t>
        </is>
      </c>
      <c r="D833" s="22" t="inlineStr">
        <is>
          <t>bilinmiyor (Yapıray'a sunulan mekanik alt yüklenici teklifi)</t>
        </is>
      </c>
      <c r="E833" s="22" t="inlineStr">
        <is>
          <t>2015-04-10</t>
        </is>
      </c>
      <c r="F833" s="22" t="inlineStr">
        <is>
          <t>PN20 PPRC temiz su borusu ¾" (Ø25) bina içi</t>
        </is>
      </c>
      <c r="G833" s="22" t="inlineStr">
        <is>
          <t>MT</t>
        </is>
      </c>
      <c r="H833" s="63" t="n">
        <v>8</v>
      </c>
      <c r="I833" s="22" t="inlineStr">
        <is>
          <t>TRY</t>
        </is>
      </c>
      <c r="J833" s="22" t="inlineStr">
        <is>
          <t>M+İ</t>
        </is>
      </c>
      <c r="K833" s="63" t="n">
        <v>3.81090382662884</v>
      </c>
      <c r="L833" s="22" t="inlineStr">
        <is>
          <t>5007.A</t>
        </is>
      </c>
      <c r="M833" s="22" t="n">
        <v>15</v>
      </c>
      <c r="N833" s="22" t="inlineStr">
        <is>
          <t>Kocaeli Sekapark-Otogar tramvay hattı (İhale 2015/17325) mekanik birim fiyat teklif cetveli (istasyon+depo+bakım binası); KDV hariç. izolasyonsuz</t>
        </is>
      </c>
    </row>
    <row r="834">
      <c r="A834" s="22" t="inlineStr">
        <is>
          <t>R05556</t>
        </is>
      </c>
      <c r="B834" s="22" t="inlineStr">
        <is>
          <t>KOCAELI_BELEDIYESI_TRAMWAY_HATTI (Kent Meydani klasöründe)</t>
        </is>
      </c>
      <c r="C834" s="22" t="inlineStr">
        <is>
          <t>tramvay</t>
        </is>
      </c>
      <c r="D834" s="22" t="inlineStr">
        <is>
          <t>bilinmiyor (Yapıray'a sunulan mekanik alt yüklenici teklifi)</t>
        </is>
      </c>
      <c r="E834" s="22" t="inlineStr">
        <is>
          <t>2015-04-10</t>
        </is>
      </c>
      <c r="F834" s="22" t="inlineStr">
        <is>
          <t>PN20 PPRC temiz su borusu 1" (Ø32) bina içi</t>
        </is>
      </c>
      <c r="G834" s="22" t="inlineStr">
        <is>
          <t>MT</t>
        </is>
      </c>
      <c r="H834" s="63" t="n">
        <v>10.3</v>
      </c>
      <c r="I834" s="22" t="inlineStr">
        <is>
          <t>TRY</t>
        </is>
      </c>
      <c r="J834" s="22" t="inlineStr">
        <is>
          <t>M+İ</t>
        </is>
      </c>
      <c r="K834" s="63" t="n">
        <v>4.90653867678463</v>
      </c>
      <c r="L834" s="22" t="inlineStr">
        <is>
          <t>5007.A</t>
        </is>
      </c>
      <c r="M834" s="22" t="n">
        <v>5</v>
      </c>
      <c r="N834" s="22" t="inlineStr">
        <is>
          <t>Kocaeli Sekapark-Otogar tramvay hattı (İhale 2015/17325) mekanik birim fiyat teklif cetveli (istasyon+depo+bakım binası); KDV hariç. izolasyonsuz</t>
        </is>
      </c>
    </row>
    <row r="835">
      <c r="A835" s="22" t="inlineStr">
        <is>
          <t>R05557</t>
        </is>
      </c>
      <c r="B835" s="22" t="inlineStr">
        <is>
          <t>KOCAELI_BELEDIYESI_TRAMWAY_HATTI (Kent Meydani klasöründe)</t>
        </is>
      </c>
      <c r="C835" s="22" t="inlineStr">
        <is>
          <t>tramvay</t>
        </is>
      </c>
      <c r="D835" s="22" t="inlineStr">
        <is>
          <t>bilinmiyor (Yapıray'a sunulan mekanik alt yüklenici teklifi)</t>
        </is>
      </c>
      <c r="E835" s="22" t="inlineStr">
        <is>
          <t>2015-04-10</t>
        </is>
      </c>
      <c r="F835" s="22" t="inlineStr">
        <is>
          <t>PN20 PPRC temiz su borusu 1¼" (Ø40) bina içi</t>
        </is>
      </c>
      <c r="G835" s="22" t="inlineStr">
        <is>
          <t>MT</t>
        </is>
      </c>
      <c r="H835" s="63" t="n">
        <v>13.49</v>
      </c>
      <c r="I835" s="22" t="inlineStr">
        <is>
          <t>TRY</t>
        </is>
      </c>
      <c r="J835" s="22" t="inlineStr">
        <is>
          <t>M+İ</t>
        </is>
      </c>
      <c r="K835" s="63" t="n">
        <v>6.42613657765288</v>
      </c>
      <c r="L835" s="22" t="inlineStr">
        <is>
          <t>5007.A</t>
        </is>
      </c>
      <c r="M835" s="22" t="n">
        <v>1</v>
      </c>
      <c r="N835" s="22" t="inlineStr">
        <is>
          <t>Kocaeli Sekapark-Otogar tramvay hattı (İhale 2015/17325) mekanik birim fiyat teklif cetveli (istasyon+depo+bakım binası); KDV hariç. izolasyonsuz</t>
        </is>
      </c>
    </row>
    <row r="836">
      <c r="A836" s="22" t="inlineStr">
        <is>
          <t>R05558</t>
        </is>
      </c>
      <c r="B836" s="22" t="inlineStr">
        <is>
          <t>KOCAELI_BELEDIYESI_TRAMWAY_HATTI (Kent Meydani klasöründe)</t>
        </is>
      </c>
      <c r="C836" s="22" t="inlineStr">
        <is>
          <t>tramvay</t>
        </is>
      </c>
      <c r="D836" s="22" t="inlineStr">
        <is>
          <t>bilinmiyor (Yapıray'a sunulan mekanik alt yüklenici teklifi)</t>
        </is>
      </c>
      <c r="E836" s="22" t="inlineStr">
        <is>
          <t>2015-04-10</t>
        </is>
      </c>
      <c r="F836" s="22" t="inlineStr">
        <is>
          <t>PN20 PPRC temiz su borusu 1½" (Ø50) bina içi</t>
        </is>
      </c>
      <c r="G836" s="22" t="inlineStr">
        <is>
          <t>MT</t>
        </is>
      </c>
      <c r="H836" s="63" t="n">
        <v>18.48</v>
      </c>
      <c r="I836" s="22" t="inlineStr">
        <is>
          <t>TRY</t>
        </is>
      </c>
      <c r="J836" s="22" t="inlineStr">
        <is>
          <t>M+İ</t>
        </is>
      </c>
      <c r="K836" s="63" t="n">
        <v>8.803187839512621</v>
      </c>
      <c r="L836" s="22" t="inlineStr">
        <is>
          <t>5007.A</t>
        </is>
      </c>
      <c r="M836" s="22" t="n">
        <v>1</v>
      </c>
      <c r="N836" s="22" t="inlineStr">
        <is>
          <t>Kocaeli Sekapark-Otogar tramvay hattı (İhale 2015/17325) mekanik birim fiyat teklif cetveli (istasyon+depo+bakım binası); KDV hariç. izolasyonsuz</t>
        </is>
      </c>
    </row>
    <row r="837">
      <c r="A837" s="22" t="inlineStr">
        <is>
          <t>R05559</t>
        </is>
      </c>
      <c r="B837" s="22" t="inlineStr">
        <is>
          <t>KOCAELI_BELEDIYESI_TRAMWAY_HATTI (Kent Meydani klasöründe)</t>
        </is>
      </c>
      <c r="C837" s="22" t="inlineStr">
        <is>
          <t>tramvay</t>
        </is>
      </c>
      <c r="D837" s="22" t="inlineStr">
        <is>
          <t>bilinmiyor (Yapıray'a sunulan mekanik alt yüklenici teklifi)</t>
        </is>
      </c>
      <c r="E837" s="22" t="inlineStr">
        <is>
          <t>2015-04-10</t>
        </is>
      </c>
      <c r="F837" s="22" t="inlineStr">
        <is>
          <t>Sert PVC pis su borusu Ø50</t>
        </is>
      </c>
      <c r="G837" s="22" t="inlineStr">
        <is>
          <t>MT</t>
        </is>
      </c>
      <c r="H837" s="63" t="n">
        <v>9.74</v>
      </c>
      <c r="I837" s="22" t="inlineStr">
        <is>
          <t>TRY</t>
        </is>
      </c>
      <c r="J837" s="22" t="inlineStr">
        <is>
          <t>M+İ</t>
        </is>
      </c>
      <c r="K837" s="63" t="n">
        <v>4.63977540892061</v>
      </c>
      <c r="L837" s="22" t="inlineStr">
        <is>
          <t>5008.A</t>
        </is>
      </c>
      <c r="M837" s="22" t="n">
        <v>1</v>
      </c>
      <c r="N837" s="22" t="inlineStr">
        <is>
          <t>Kocaeli Sekapark-Otogar tramvay hattı (İhale 2015/17325) mekanik birim fiyat teklif cetveli (istasyon+depo+bakım binası); KDV hariç.</t>
        </is>
      </c>
    </row>
    <row r="838">
      <c r="A838" s="22" t="inlineStr">
        <is>
          <t>R05560</t>
        </is>
      </c>
      <c r="B838" s="22" t="inlineStr">
        <is>
          <t>KOCAELI_BELEDIYESI_TRAMWAY_HATTI (Kent Meydani klasöründe)</t>
        </is>
      </c>
      <c r="C838" s="22" t="inlineStr">
        <is>
          <t>tramvay</t>
        </is>
      </c>
      <c r="D838" s="22" t="inlineStr">
        <is>
          <t>bilinmiyor (Yapıray'a sunulan mekanik alt yüklenici teklifi)</t>
        </is>
      </c>
      <c r="E838" s="22" t="inlineStr">
        <is>
          <t>2015-04-10</t>
        </is>
      </c>
      <c r="F838" s="22" t="inlineStr">
        <is>
          <t>Sert PVC pis su borusu Ø75</t>
        </is>
      </c>
      <c r="G838" s="22" t="inlineStr">
        <is>
          <t>MT</t>
        </is>
      </c>
      <c r="H838" s="63" t="n">
        <v>11.81</v>
      </c>
      <c r="I838" s="22" t="inlineStr">
        <is>
          <t>TRY</t>
        </is>
      </c>
      <c r="J838" s="22" t="inlineStr">
        <is>
          <t>M+İ</t>
        </is>
      </c>
      <c r="K838" s="63" t="n">
        <v>5.62584677406082</v>
      </c>
      <c r="L838" s="22" t="inlineStr">
        <is>
          <t>5008.A</t>
        </is>
      </c>
      <c r="M838" s="22" t="n">
        <v>4</v>
      </c>
      <c r="N838" s="22" t="inlineStr">
        <is>
          <t>Kocaeli Sekapark-Otogar tramvay hattı (İhale 2015/17325) mekanik birim fiyat teklif cetveli (istasyon+depo+bakım binası); KDV hariç.</t>
        </is>
      </c>
    </row>
    <row r="839">
      <c r="A839" s="22" t="inlineStr">
        <is>
          <t>R05561</t>
        </is>
      </c>
      <c r="B839" s="22" t="inlineStr">
        <is>
          <t>KOCAELI_BELEDIYESI_TRAMWAY_HATTI (Kent Meydani klasöründe)</t>
        </is>
      </c>
      <c r="C839" s="22" t="inlineStr">
        <is>
          <t>tramvay</t>
        </is>
      </c>
      <c r="D839" s="22" t="inlineStr">
        <is>
          <t>bilinmiyor (Yapıray'a sunulan mekanik alt yüklenici teklifi)</t>
        </is>
      </c>
      <c r="E839" s="22" t="inlineStr">
        <is>
          <t>2015-04-10</t>
        </is>
      </c>
      <c r="F839" s="22" t="inlineStr">
        <is>
          <t>Sert PVC pis su borusu Ø100-110</t>
        </is>
      </c>
      <c r="G839" s="22" t="inlineStr">
        <is>
          <t>MT</t>
        </is>
      </c>
      <c r="H839" s="63" t="n">
        <v>16.65</v>
      </c>
      <c r="I839" s="22" t="inlineStr">
        <is>
          <t>TRY</t>
        </is>
      </c>
      <c r="J839" s="22" t="inlineStr">
        <is>
          <t>M+İ</t>
        </is>
      </c>
      <c r="K839" s="63" t="n">
        <v>7.93144358917127</v>
      </c>
      <c r="L839" s="22" t="inlineStr">
        <is>
          <t>5008.A</t>
        </is>
      </c>
      <c r="M839" s="22" t="n">
        <v>21</v>
      </c>
      <c r="N839" s="22" t="inlineStr">
        <is>
          <t>Kocaeli Sekapark-Otogar tramvay hattı (İhale 2015/17325) mekanik birim fiyat teklif cetveli (istasyon+depo+bakım binası); KDV hariç.</t>
        </is>
      </c>
    </row>
    <row r="840">
      <c r="A840" s="22" t="inlineStr">
        <is>
          <t>R05562</t>
        </is>
      </c>
      <c r="B840" s="22" t="inlineStr">
        <is>
          <t>KOCAELI_BELEDIYESI_TRAMWAY_HATTI (Kent Meydani klasöründe)</t>
        </is>
      </c>
      <c r="C840" s="22" t="inlineStr">
        <is>
          <t>tramvay</t>
        </is>
      </c>
      <c r="D840" s="22" t="inlineStr">
        <is>
          <t>bilinmiyor (Yapıray'a sunulan mekanik alt yüklenici teklifi)</t>
        </is>
      </c>
      <c r="E840" s="22" t="inlineStr">
        <is>
          <t>2015-04-10</t>
        </is>
      </c>
      <c r="F840" s="22" t="inlineStr">
        <is>
          <t>Sert PVC pis su borusu Ø125</t>
        </is>
      </c>
      <c r="G840" s="22" t="inlineStr">
        <is>
          <t>MT</t>
        </is>
      </c>
      <c r="H840" s="63" t="n">
        <v>21.53</v>
      </c>
      <c r="I840" s="22" t="inlineStr">
        <is>
          <t>TRY</t>
        </is>
      </c>
      <c r="J840" s="22" t="inlineStr">
        <is>
          <t>M+İ</t>
        </is>
      </c>
      <c r="K840" s="63" t="n">
        <v>10.2560949234149</v>
      </c>
      <c r="L840" s="22" t="inlineStr">
        <is>
          <t>5008.A</t>
        </is>
      </c>
      <c r="M840" s="22" t="n">
        <v>4</v>
      </c>
      <c r="N840" s="22" t="inlineStr">
        <is>
          <t>Kocaeli Sekapark-Otogar tramvay hattı (İhale 2015/17325) mekanik birim fiyat teklif cetveli (istasyon+depo+bakım binası); KDV hariç.</t>
        </is>
      </c>
    </row>
    <row r="841">
      <c r="A841" s="22" t="inlineStr">
        <is>
          <t>R05563</t>
        </is>
      </c>
      <c r="B841" s="22" t="inlineStr">
        <is>
          <t>KOCAELI_BELEDIYESI_TRAMWAY_HATTI (Kent Meydani klasöründe)</t>
        </is>
      </c>
      <c r="C841" s="22" t="inlineStr">
        <is>
          <t>tramvay</t>
        </is>
      </c>
      <c r="D841" s="22" t="inlineStr">
        <is>
          <t>bilinmiyor (Yapıray'a sunulan mekanik alt yüklenici teklifi)</t>
        </is>
      </c>
      <c r="E841" s="22" t="inlineStr">
        <is>
          <t>2015-04-10</t>
        </is>
      </c>
      <c r="F841" s="22" t="inlineStr">
        <is>
          <t>Sert PVC pis su borusu Ø160</t>
        </is>
      </c>
      <c r="G841" s="22" t="inlineStr">
        <is>
          <t>MT</t>
        </is>
      </c>
      <c r="H841" s="63" t="n">
        <v>31.25</v>
      </c>
      <c r="I841" s="22" t="inlineStr">
        <is>
          <t>TRY</t>
        </is>
      </c>
      <c r="J841" s="22" t="inlineStr">
        <is>
          <t>M+İ</t>
        </is>
      </c>
      <c r="K841" s="63" t="n">
        <v>14.8863430727689</v>
      </c>
      <c r="L841" s="22" t="inlineStr"/>
      <c r="M841" s="22" t="n">
        <v>1</v>
      </c>
      <c r="N841" s="22" t="inlineStr">
        <is>
          <t>Kocaeli Sekapark-Otogar tramvay hattı (İhale 2015/17325) mekanik birim fiyat teklif cetveli (istasyon+depo+bakım binası); KDV hariç.</t>
        </is>
      </c>
    </row>
    <row r="842">
      <c r="A842" s="22" t="inlineStr">
        <is>
          <t>R05564</t>
        </is>
      </c>
      <c r="B842" s="22" t="inlineStr">
        <is>
          <t>KOCAELI_BELEDIYESI_TRAMWAY_HATTI (Kent Meydani klasöründe)</t>
        </is>
      </c>
      <c r="C842" s="22" t="inlineStr">
        <is>
          <t>tramvay</t>
        </is>
      </c>
      <c r="D842" s="22" t="inlineStr">
        <is>
          <t>bilinmiyor (Yapıray'a sunulan mekanik alt yüklenici teklifi)</t>
        </is>
      </c>
      <c r="E842" s="22" t="inlineStr">
        <is>
          <t>2015-04-10</t>
        </is>
      </c>
      <c r="F842" s="22" t="inlineStr">
        <is>
          <t>Sert PVC pis su borusu Ø200</t>
        </is>
      </c>
      <c r="G842" s="22" t="inlineStr">
        <is>
          <t>MT</t>
        </is>
      </c>
      <c r="H842" s="63" t="n">
        <v>46.1</v>
      </c>
      <c r="I842" s="22" t="inlineStr">
        <is>
          <t>TRY</t>
        </is>
      </c>
      <c r="J842" s="22" t="inlineStr">
        <is>
          <t>M+İ</t>
        </is>
      </c>
      <c r="K842" s="63" t="n">
        <v>21.9603333009487</v>
      </c>
      <c r="L842" s="22" t="inlineStr"/>
      <c r="M842" s="22" t="n">
        <v>1</v>
      </c>
      <c r="N842" s="22" t="inlineStr">
        <is>
          <t>Kocaeli Sekapark-Otogar tramvay hattı (İhale 2015/17325) mekanik birim fiyat teklif cetveli (istasyon+depo+bakım binası); KDV hariç.</t>
        </is>
      </c>
    </row>
    <row r="843">
      <c r="A843" s="22" t="inlineStr">
        <is>
          <t>R05566</t>
        </is>
      </c>
      <c r="B843" s="22" t="inlineStr">
        <is>
          <t>KOCAELI_BELEDIYESI_TRAMWAY_HATTI (Kent Meydani klasöründe)</t>
        </is>
      </c>
      <c r="C843" s="22" t="inlineStr">
        <is>
          <t>tramvay</t>
        </is>
      </c>
      <c r="D843" s="22" t="inlineStr">
        <is>
          <t>bilinmiyor (Yapıray'a sunulan mekanik alt yüklenici teklifi)</t>
        </is>
      </c>
      <c r="E843" s="22" t="inlineStr">
        <is>
          <t>2015-04-10</t>
        </is>
      </c>
      <c r="F843" s="22" t="inlineStr">
        <is>
          <t>Santrifüj pompa 1500 d/d 3-5 m³/h 3-5 mSS (sirkülasyon)</t>
        </is>
      </c>
      <c r="G843" s="22" t="inlineStr">
        <is>
          <t>AD</t>
        </is>
      </c>
      <c r="H843" s="63" t="n">
        <v>192</v>
      </c>
      <c r="I843" s="22" t="inlineStr">
        <is>
          <t>EUR</t>
        </is>
      </c>
      <c r="J843" s="22" t="inlineStr">
        <is>
          <t>M+İ</t>
        </is>
      </c>
      <c r="K843" s="63" t="n">
        <v>255.370189783929</v>
      </c>
      <c r="L843" s="22" t="inlineStr">
        <is>
          <t>5007.A</t>
        </is>
      </c>
      <c r="M843" s="22" t="n">
        <v>1</v>
      </c>
      <c r="N843" s="22" t="inlineStr">
        <is>
          <t>Kocaeli Sekapark-Otogar tramvay hattı (İhale 2015/17325) mekanik birim fiyat teklif cetveli (istasyon+depo+bakım binası); KDV hariç.</t>
        </is>
      </c>
    </row>
    <row r="844">
      <c r="A844" s="22" t="inlineStr">
        <is>
          <t>R05567</t>
        </is>
      </c>
      <c r="B844" s="22" t="inlineStr">
        <is>
          <t>KOCAELI_BELEDIYESI_TRAMWAY_HATTI (Kent Meydani klasöründe)</t>
        </is>
      </c>
      <c r="C844" s="22" t="inlineStr">
        <is>
          <t>tramvay</t>
        </is>
      </c>
      <c r="D844" s="22" t="inlineStr">
        <is>
          <t>bilinmiyor (Yapıray'a sunulan mekanik alt yüklenici teklifi)</t>
        </is>
      </c>
      <c r="E844" s="22" t="inlineStr">
        <is>
          <t>2015-04-10</t>
        </is>
      </c>
      <c r="F844" s="22" t="inlineStr">
        <is>
          <t>S&amp;P çatı tipi radyal aspiratör 1000 m³/h 25 mmSS</t>
        </is>
      </c>
      <c r="G844" s="22" t="inlineStr">
        <is>
          <t>AD</t>
        </is>
      </c>
      <c r="H844" s="63" t="n">
        <v>654.6</v>
      </c>
      <c r="I844" s="22" t="inlineStr">
        <is>
          <t>EUR</t>
        </is>
      </c>
      <c r="J844" s="22" t="inlineStr">
        <is>
          <t>M+İ</t>
        </is>
      </c>
      <c r="K844" s="63" t="n">
        <v>870.652740794583</v>
      </c>
      <c r="L844" s="22" t="inlineStr">
        <is>
          <t>6002.B</t>
        </is>
      </c>
      <c r="M844" s="22" t="n">
        <v>1</v>
      </c>
      <c r="N844" s="22" t="inlineStr">
        <is>
          <t>Kocaeli Sekapark-Otogar tramvay hattı (İhale 2015/17325) mekanik birim fiyat teklif cetveli (istasyon+depo+bakım binası); KDV hariç.</t>
        </is>
      </c>
    </row>
    <row r="845">
      <c r="A845" s="22" t="inlineStr">
        <is>
          <t>R05569</t>
        </is>
      </c>
      <c r="B845" s="22" t="inlineStr">
        <is>
          <t>KOCAELI_BELEDIYESI_TRAMWAY_HATTI (Kent Meydani klasöründe)</t>
        </is>
      </c>
      <c r="C845" s="22" t="inlineStr">
        <is>
          <t>tramvay</t>
        </is>
      </c>
      <c r="D845" s="22" t="inlineStr">
        <is>
          <t>bilinmiyor (Yapıray'a sunulan mekanik alt yüklenici teklifi)</t>
        </is>
      </c>
      <c r="E845" s="22" t="inlineStr">
        <is>
          <t>2015-04-10</t>
        </is>
      </c>
      <c r="F845" s="22" t="inlineStr">
        <is>
          <t>S&amp;P çatı tipi radyal aspiratör 3550 m³/h 30 mmSS</t>
        </is>
      </c>
      <c r="G845" s="22" t="inlineStr">
        <is>
          <t>AD</t>
        </is>
      </c>
      <c r="H845" s="63" t="n">
        <v>1095.14</v>
      </c>
      <c r="I845" s="22" t="inlineStr">
        <is>
          <t>EUR</t>
        </is>
      </c>
      <c r="J845" s="22" t="inlineStr">
        <is>
          <t>M+İ</t>
        </is>
      </c>
      <c r="K845" s="63" t="n">
        <v>1456.59432104152</v>
      </c>
      <c r="L845" s="22" t="inlineStr">
        <is>
          <t>6002.B</t>
        </is>
      </c>
      <c r="M845" s="22" t="n">
        <v>1</v>
      </c>
      <c r="N845" s="22" t="inlineStr">
        <is>
          <t>Kocaeli Sekapark-Otogar tramvay hattı (İhale 2015/17325) mekanik birim fiyat teklif cetveli (istasyon+depo+bakım binası); KDV hariç.</t>
        </is>
      </c>
    </row>
    <row r="846">
      <c r="A846" s="22" t="inlineStr">
        <is>
          <t>R05570</t>
        </is>
      </c>
      <c r="B846" s="22" t="inlineStr">
        <is>
          <t>KOCAELI_BELEDIYESI_TRAMWAY_HATTI (Kent Meydani klasöründe)</t>
        </is>
      </c>
      <c r="C846" s="22" t="inlineStr">
        <is>
          <t>tramvay</t>
        </is>
      </c>
      <c r="D846" s="22" t="inlineStr">
        <is>
          <t>bilinmiyor (Yapıray'a sunulan mekanik alt yüklenici teklifi)</t>
        </is>
      </c>
      <c r="E846" s="22" t="inlineStr">
        <is>
          <t>2015-04-10</t>
        </is>
      </c>
      <c r="F846" s="22" t="inlineStr">
        <is>
          <t>S&amp;P çatı tipi mutfak aspiratörü 3500 m³/h 35 mmSS</t>
        </is>
      </c>
      <c r="G846" s="22" t="inlineStr">
        <is>
          <t>AD</t>
        </is>
      </c>
      <c r="H846" s="63" t="n">
        <v>1095.14</v>
      </c>
      <c r="I846" s="22" t="inlineStr">
        <is>
          <t>EUR</t>
        </is>
      </c>
      <c r="J846" s="22" t="inlineStr">
        <is>
          <t>M+İ</t>
        </is>
      </c>
      <c r="K846" s="63" t="n">
        <v>1456.59432104152</v>
      </c>
      <c r="L846" s="22" t="inlineStr">
        <is>
          <t>6002.B</t>
        </is>
      </c>
      <c r="M846" s="22" t="n">
        <v>1</v>
      </c>
      <c r="N846" s="22" t="inlineStr">
        <is>
          <t>Kocaeli Sekapark-Otogar tramvay hattı (İhale 2015/17325) mekanik birim fiyat teklif cetveli (istasyon+depo+bakım binası); KDV hariç.</t>
        </is>
      </c>
    </row>
    <row r="847">
      <c r="A847" s="22" t="inlineStr">
        <is>
          <t>R05572</t>
        </is>
      </c>
      <c r="B847" s="22" t="inlineStr">
        <is>
          <t>KOCAELI_BELEDIYESI_TRAMWAY_HATTI (Kent Meydani klasöründe)</t>
        </is>
      </c>
      <c r="C847" s="22" t="inlineStr">
        <is>
          <t>tramvay</t>
        </is>
      </c>
      <c r="D847" s="22" t="inlineStr">
        <is>
          <t>bilinmiyor (Yapıray'a sunulan mekanik alt yüklenici teklifi)</t>
        </is>
      </c>
      <c r="E847" s="22" t="inlineStr">
        <is>
          <t>2015-04-10</t>
        </is>
      </c>
      <c r="F847" s="22" t="inlineStr">
        <is>
          <t>S&amp;P kanal tipi aspiratör 100 m³/h</t>
        </is>
      </c>
      <c r="G847" s="22" t="inlineStr">
        <is>
          <t>AD</t>
        </is>
      </c>
      <c r="H847" s="63" t="n">
        <v>30.7</v>
      </c>
      <c r="I847" s="22" t="inlineStr">
        <is>
          <t>EUR</t>
        </is>
      </c>
      <c r="J847" s="22" t="inlineStr">
        <is>
          <t>M+İ</t>
        </is>
      </c>
      <c r="K847" s="63" t="n">
        <v>40.8326293039928</v>
      </c>
      <c r="L847" s="22" t="inlineStr">
        <is>
          <t>6002.B</t>
        </is>
      </c>
      <c r="M847" s="22" t="n">
        <v>3</v>
      </c>
      <c r="N847" s="22" t="inlineStr">
        <is>
          <t>Kocaeli Sekapark-Otogar tramvay hattı (İhale 2015/17325) mekanik birim fiyat teklif cetveli (istasyon+depo+bakım binası); KDV hariç.</t>
        </is>
      </c>
    </row>
    <row r="848">
      <c r="A848" s="22" t="inlineStr">
        <is>
          <t>R05574</t>
        </is>
      </c>
      <c r="B848" s="22" t="inlineStr">
        <is>
          <t>KOCAELI_BELEDIYESI_TRAMWAY_HATTI (Kent Meydani klasöründe)</t>
        </is>
      </c>
      <c r="C848" s="22" t="inlineStr">
        <is>
          <t>tramvay</t>
        </is>
      </c>
      <c r="D848" s="22" t="inlineStr">
        <is>
          <t>bilinmiyor (Yapıray'a sunulan mekanik alt yüklenici teklifi)</t>
        </is>
      </c>
      <c r="E848" s="22" t="inlineStr">
        <is>
          <t>2015-04-10</t>
        </is>
      </c>
      <c r="F848" s="22" t="inlineStr">
        <is>
          <t>S&amp;P kanal tipi exproof aspiratör 450 m³/h</t>
        </is>
      </c>
      <c r="G848" s="22" t="inlineStr">
        <is>
          <t>AD</t>
        </is>
      </c>
      <c r="H848" s="63" t="n">
        <v>807.6</v>
      </c>
      <c r="I848" s="22" t="inlineStr">
        <is>
          <t>EUR</t>
        </is>
      </c>
      <c r="J848" s="22" t="inlineStr">
        <is>
          <t>M+İ</t>
        </is>
      </c>
      <c r="K848" s="63" t="n">
        <v>1074.15086077865</v>
      </c>
      <c r="L848" s="22" t="inlineStr">
        <is>
          <t>6002.A</t>
        </is>
      </c>
      <c r="M848" s="22" t="n">
        <v>4</v>
      </c>
      <c r="N848" s="22" t="inlineStr">
        <is>
          <t>Kocaeli Sekapark-Otogar tramvay hattı (İhale 2015/17325) mekanik birim fiyat teklif cetveli (istasyon+depo+bakım binası); KDV hariç.</t>
        </is>
      </c>
    </row>
    <row r="849">
      <c r="A849" s="22" t="inlineStr">
        <is>
          <t>R05577</t>
        </is>
      </c>
      <c r="B849" s="22" t="inlineStr">
        <is>
          <t>KOCAELI_BELEDIYESI_TRAMWAY_HATTI (Kent Meydani klasöründe)</t>
        </is>
      </c>
      <c r="C849" s="22" t="inlineStr">
        <is>
          <t>tramvay</t>
        </is>
      </c>
      <c r="D849" s="22" t="inlineStr">
        <is>
          <t>bilinmiyor (Yapıray'a sunulan mekanik alt yüklenici teklifi)</t>
        </is>
      </c>
      <c r="E849" s="22" t="inlineStr">
        <is>
          <t>2015-04-10</t>
        </is>
      </c>
      <c r="F849" s="22" t="inlineStr">
        <is>
          <t>Ventila 3000 m³/h tavan tipi ısı geri kazanımlı havalandırma cihazı</t>
        </is>
      </c>
      <c r="G849" s="22" t="inlineStr">
        <is>
          <t>AD</t>
        </is>
      </c>
      <c r="H849" s="63" t="n">
        <v>3168</v>
      </c>
      <c r="I849" s="22" t="inlineStr">
        <is>
          <t>EUR</t>
        </is>
      </c>
      <c r="J849" s="22" t="inlineStr">
        <is>
          <t>M+İ</t>
        </is>
      </c>
      <c r="K849" s="63" t="n">
        <v>4213.60813143483</v>
      </c>
      <c r="L849" s="22" t="inlineStr">
        <is>
          <t>6002.B</t>
        </is>
      </c>
      <c r="M849" s="22" t="n">
        <v>3</v>
      </c>
      <c r="N849" s="22" t="inlineStr">
        <is>
          <t>Kocaeli Sekapark-Otogar tramvay hattı (İhale 2015/17325) mekanik birim fiyat teklif cetveli (istasyon+depo+bakım binası); KDV hariç.</t>
        </is>
      </c>
    </row>
    <row r="850">
      <c r="A850" s="22" t="inlineStr">
        <is>
          <t>R05580</t>
        </is>
      </c>
      <c r="B850" s="22" t="inlineStr">
        <is>
          <t>KOCAELI_BELEDIYESI_TRAMWAY_HATTI (Kent Meydani klasöründe)</t>
        </is>
      </c>
      <c r="C850" s="22" t="inlineStr">
        <is>
          <t>tramvay</t>
        </is>
      </c>
      <c r="D850" s="22" t="inlineStr">
        <is>
          <t>bilinmiyor (Yapıray'a sunulan mekanik alt yüklenici teklifi)</t>
        </is>
      </c>
      <c r="E850" s="22" t="inlineStr">
        <is>
          <t>2015-04-10</t>
        </is>
      </c>
      <c r="F850" s="22" t="inlineStr">
        <is>
          <t>Galvaniz sac dikdörtgen hava kanalı 0,60 mm (≤600 mm)</t>
        </is>
      </c>
      <c r="G850" s="22" t="inlineStr">
        <is>
          <t>M2</t>
        </is>
      </c>
      <c r="H850" s="63" t="n">
        <v>92</v>
      </c>
      <c r="I850" s="22" t="inlineStr">
        <is>
          <t>TRY</t>
        </is>
      </c>
      <c r="J850" s="22" t="inlineStr">
        <is>
          <t>M+İ</t>
        </is>
      </c>
      <c r="K850" s="63" t="n">
        <v>43.8253940062316</v>
      </c>
      <c r="L850" s="22" t="inlineStr">
        <is>
          <t>6002.B</t>
        </is>
      </c>
      <c r="M850" s="22" t="n">
        <v>5</v>
      </c>
      <c r="N850" s="22" t="inlineStr">
        <is>
          <t>Kocaeli Sekapark-Otogar tramvay hattı (İhale 2015/17325) mekanik birim fiyat teklif cetveli (istasyon+depo+bakım binası); KDV hariç. izolasyon ayrı 30 TL/m²</t>
        </is>
      </c>
    </row>
    <row r="851">
      <c r="A851" s="22" t="inlineStr">
        <is>
          <t>R05581</t>
        </is>
      </c>
      <c r="B851" s="22" t="inlineStr">
        <is>
          <t>KOCAELI_BELEDIYESI_TRAMWAY_HATTI (Kent Meydani klasöründe)</t>
        </is>
      </c>
      <c r="C851" s="22" t="inlineStr">
        <is>
          <t>tramvay</t>
        </is>
      </c>
      <c r="D851" s="22" t="inlineStr">
        <is>
          <t>bilinmiyor (Yapıray'a sunulan mekanik alt yüklenici teklifi)</t>
        </is>
      </c>
      <c r="E851" s="22" t="inlineStr">
        <is>
          <t>2015-04-10</t>
        </is>
      </c>
      <c r="F851" s="22" t="inlineStr">
        <is>
          <t>Galvaniz sac dikdörtgen hava kanalı 0,80 mm (≤1249 mm)</t>
        </is>
      </c>
      <c r="G851" s="22" t="inlineStr">
        <is>
          <t>M2</t>
        </is>
      </c>
      <c r="H851" s="63" t="n">
        <v>98</v>
      </c>
      <c r="I851" s="22" t="inlineStr">
        <is>
          <t>TRY</t>
        </is>
      </c>
      <c r="J851" s="22" t="inlineStr">
        <is>
          <t>M+İ</t>
        </is>
      </c>
      <c r="K851" s="63" t="n">
        <v>46.6835718762033</v>
      </c>
      <c r="L851" s="22" t="inlineStr">
        <is>
          <t>6002.B</t>
        </is>
      </c>
      <c r="M851" s="22" t="n">
        <v>5</v>
      </c>
      <c r="N851" s="22" t="inlineStr">
        <is>
          <t>Kocaeli Sekapark-Otogar tramvay hattı (İhale 2015/17325) mekanik birim fiyat teklif cetveli (istasyon+depo+bakım binası); KDV hariç.</t>
        </is>
      </c>
    </row>
    <row r="852">
      <c r="A852" s="22" t="inlineStr">
        <is>
          <t>R05586</t>
        </is>
      </c>
      <c r="B852" s="22" t="inlineStr">
        <is>
          <t>KOCAELI_BELEDIYESI_TRAMWAY_HATTI (Kent Meydani klasöründe)</t>
        </is>
      </c>
      <c r="C852" s="22" t="inlineStr">
        <is>
          <t>tramvay</t>
        </is>
      </c>
      <c r="D852" s="22" t="inlineStr">
        <is>
          <t>bilinmiyor (Yapıray'a sunulan mekanik alt yüklenici teklifi)</t>
        </is>
      </c>
      <c r="E852" s="22" t="inlineStr">
        <is>
          <t>2015-04-10</t>
        </is>
      </c>
      <c r="F852" s="22" t="inlineStr">
        <is>
          <t>Elektroteknik toplayıcı menfez tek sıra 501-1000 cm²</t>
        </is>
      </c>
      <c r="G852" s="22" t="inlineStr">
        <is>
          <t>AD</t>
        </is>
      </c>
      <c r="H852" s="63" t="n">
        <v>67</v>
      </c>
      <c r="I852" s="22" t="inlineStr">
        <is>
          <t>TRY</t>
        </is>
      </c>
      <c r="J852" s="22" t="inlineStr">
        <is>
          <t>M+İ</t>
        </is>
      </c>
      <c r="K852" s="63" t="n">
        <v>31.9163195480165</v>
      </c>
      <c r="L852" s="22" t="inlineStr">
        <is>
          <t>6002.B</t>
        </is>
      </c>
      <c r="M852" s="22" t="n">
        <v>2</v>
      </c>
      <c r="N852" s="22" t="inlineStr">
        <is>
          <t>Kocaeli Sekapark-Otogar tramvay hattı (İhale 2015/17325) mekanik birim fiyat teklif cetveli (istasyon+depo+bakım binası); KDV hariç.</t>
        </is>
      </c>
    </row>
    <row r="853">
      <c r="A853" s="22" t="inlineStr">
        <is>
          <t>R05588</t>
        </is>
      </c>
      <c r="B853" s="22" t="inlineStr">
        <is>
          <t>KOCAELI_BELEDIYESI_TRAMWAY_HATTI (Kent Meydani klasöründe)</t>
        </is>
      </c>
      <c r="C853" s="22" t="inlineStr">
        <is>
          <t>tramvay</t>
        </is>
      </c>
      <c r="D853" s="22" t="inlineStr">
        <is>
          <t>bilinmiyor (Yapıray'a sunulan mekanik alt yüklenici teklifi)</t>
        </is>
      </c>
      <c r="E853" s="22" t="inlineStr">
        <is>
          <t>2015-04-10</t>
        </is>
      </c>
      <c r="F853" s="22" t="inlineStr">
        <is>
          <t>Elektroteknik kapı transfer menfezi 2500 cm²</t>
        </is>
      </c>
      <c r="G853" s="22" t="inlineStr">
        <is>
          <t>AD</t>
        </is>
      </c>
      <c r="H853" s="63" t="n">
        <v>170</v>
      </c>
      <c r="I853" s="22" t="inlineStr">
        <is>
          <t>TRY</t>
        </is>
      </c>
      <c r="J853" s="22" t="inlineStr">
        <is>
          <t>M+İ</t>
        </is>
      </c>
      <c r="K853" s="63" t="n">
        <v>80.98170631586279</v>
      </c>
      <c r="L853" s="22" t="inlineStr">
        <is>
          <t>6002.B</t>
        </is>
      </c>
      <c r="M853" s="22" t="n">
        <v>3</v>
      </c>
      <c r="N853" s="22" t="inlineStr">
        <is>
          <t>Kocaeli Sekapark-Otogar tramvay hattı (İhale 2015/17325) mekanik birim fiyat teklif cetveli (istasyon+depo+bakım binası); KDV hariç.</t>
        </is>
      </c>
    </row>
    <row r="854">
      <c r="A854" s="22" t="inlineStr">
        <is>
          <t>R05589</t>
        </is>
      </c>
      <c r="B854" s="22" t="inlineStr">
        <is>
          <t>KOCAELI_BELEDIYESI_TRAMWAY_HATTI (Kent Meydani klasöründe)</t>
        </is>
      </c>
      <c r="C854" s="22" t="inlineStr">
        <is>
          <t>tramvay</t>
        </is>
      </c>
      <c r="D854" s="22" t="inlineStr">
        <is>
          <t>bilinmiyor (Yapıray'a sunulan mekanik alt yüklenici teklifi)</t>
        </is>
      </c>
      <c r="E854" s="22" t="inlineStr">
        <is>
          <t>2015-04-10</t>
        </is>
      </c>
      <c r="F854" s="22" t="inlineStr">
        <is>
          <t>Elektroteknik alüminyum panjur (m²)</t>
        </is>
      </c>
      <c r="G854" s="22" t="inlineStr">
        <is>
          <t>M2</t>
        </is>
      </c>
      <c r="H854" s="63" t="n">
        <v>445</v>
      </c>
      <c r="I854" s="22" t="inlineStr">
        <is>
          <t>TRY</t>
        </is>
      </c>
      <c r="J854" s="22" t="inlineStr">
        <is>
          <t>M+İ</t>
        </is>
      </c>
      <c r="K854" s="63" t="n">
        <v>211.981525356229</v>
      </c>
      <c r="L854" s="22" t="inlineStr">
        <is>
          <t>6002.B</t>
        </is>
      </c>
      <c r="M854" s="22" t="n">
        <v>1</v>
      </c>
      <c r="N854" s="22" t="inlineStr">
        <is>
          <t>Kocaeli Sekapark-Otogar tramvay hattı (İhale 2015/17325) mekanik birim fiyat teklif cetveli (istasyon+depo+bakım binası); KDV hariç. tel kafes ayrı 75 TL/m²</t>
        </is>
      </c>
    </row>
    <row r="855">
      <c r="A855" s="22" t="inlineStr">
        <is>
          <t>R05590</t>
        </is>
      </c>
      <c r="B855" s="22" t="inlineStr">
        <is>
          <t>KOCAELI_BELEDIYESI_TRAMWAY_HATTI (Kent Meydani klasöründe)</t>
        </is>
      </c>
      <c r="C855" s="22" t="inlineStr">
        <is>
          <t>tramvay</t>
        </is>
      </c>
      <c r="D855" s="22" t="inlineStr">
        <is>
          <t>bilinmiyor (Yapıray'a sunulan mekanik alt yüklenici teklifi)</t>
        </is>
      </c>
      <c r="E855" s="22" t="inlineStr">
        <is>
          <t>2015-04-10</t>
        </is>
      </c>
      <c r="F855" s="22" t="inlineStr">
        <is>
          <t>Mitsubishi Heavy VRF dış ünite 84/94 kW</t>
        </is>
      </c>
      <c r="G855" s="22" t="inlineStr">
        <is>
          <t>AD</t>
        </is>
      </c>
      <c r="H855" s="63" t="n">
        <v>15628.8</v>
      </c>
      <c r="I855" s="22" t="inlineStr">
        <is>
          <t>EUR</t>
        </is>
      </c>
      <c r="J855" s="22" t="inlineStr">
        <is>
          <t>M+İ</t>
        </is>
      </c>
      <c r="K855" s="63" t="n">
        <v>20787.1334484118</v>
      </c>
      <c r="L855" s="22" t="inlineStr">
        <is>
          <t>6001.G</t>
        </is>
      </c>
      <c r="M855" s="22" t="n">
        <v>3</v>
      </c>
      <c r="N855" s="22" t="inlineStr">
        <is>
          <t>Kocaeli Sekapark-Otogar tramvay hattı (İhale 2015/17325) mekanik birim fiyat teklif cetveli (istasyon+depo+bakım binası); KDV hariç.</t>
        </is>
      </c>
    </row>
    <row r="856">
      <c r="A856" s="22" t="inlineStr">
        <is>
          <t>R05592</t>
        </is>
      </c>
      <c r="B856" s="22" t="inlineStr">
        <is>
          <t>KOCAELI_BELEDIYESI_TRAMWAY_HATTI (Kent Meydani klasöründe)</t>
        </is>
      </c>
      <c r="C856" s="22" t="inlineStr">
        <is>
          <t>tramvay</t>
        </is>
      </c>
      <c r="D856" s="22" t="inlineStr">
        <is>
          <t>bilinmiyor (Yapıray'a sunulan mekanik alt yüklenici teklifi)</t>
        </is>
      </c>
      <c r="E856" s="22" t="inlineStr">
        <is>
          <t>2015-04-10</t>
        </is>
      </c>
      <c r="F856" s="22" t="inlineStr">
        <is>
          <t>Mitsubishi Heavy VRF kaset iç ünite 2,5/3 kW</t>
        </is>
      </c>
      <c r="G856" s="22" t="inlineStr">
        <is>
          <t>AD</t>
        </is>
      </c>
      <c r="H856" s="63" t="n">
        <v>687.48</v>
      </c>
      <c r="I856" s="22" t="inlineStr">
        <is>
          <t>EUR</t>
        </is>
      </c>
      <c r="J856" s="22" t="inlineStr">
        <is>
          <t>M+İ</t>
        </is>
      </c>
      <c r="K856" s="63" t="n">
        <v>914.384885795081</v>
      </c>
      <c r="L856" s="22" t="inlineStr">
        <is>
          <t>6001.H</t>
        </is>
      </c>
      <c r="M856" s="22" t="n">
        <v>1</v>
      </c>
      <c r="N856" s="22" t="inlineStr">
        <is>
          <t>Kocaeli Sekapark-Otogar tramvay hattı (İhale 2015/17325) mekanik birim fiyat teklif cetveli (istasyon+depo+bakım binası); KDV hariç.</t>
        </is>
      </c>
    </row>
    <row r="857">
      <c r="A857" s="22" t="inlineStr">
        <is>
          <t>R05593</t>
        </is>
      </c>
      <c r="B857" s="22" t="inlineStr">
        <is>
          <t>KOCAELI_BELEDIYESI_TRAMWAY_HATTI (Kent Meydani klasöründe)</t>
        </is>
      </c>
      <c r="C857" s="22" t="inlineStr">
        <is>
          <t>tramvay</t>
        </is>
      </c>
      <c r="D857" s="22" t="inlineStr">
        <is>
          <t>bilinmiyor (Yapıray'a sunulan mekanik alt yüklenici teklifi)</t>
        </is>
      </c>
      <c r="E857" s="22" t="inlineStr">
        <is>
          <t>2015-04-10</t>
        </is>
      </c>
      <c r="F857" s="22" t="inlineStr">
        <is>
          <t>Mitsubishi Heavy VRF kaset iç ünite 4/4,5 kW</t>
        </is>
      </c>
      <c r="G857" s="22" t="inlineStr">
        <is>
          <t>AD</t>
        </is>
      </c>
      <c r="H857" s="63" t="n">
        <v>714.36</v>
      </c>
      <c r="I857" s="22" t="inlineStr">
        <is>
          <t>EUR</t>
        </is>
      </c>
      <c r="J857" s="22" t="inlineStr">
        <is>
          <t>M+İ</t>
        </is>
      </c>
      <c r="K857" s="63" t="n">
        <v>950.1367123648311</v>
      </c>
      <c r="L857" s="22" t="inlineStr">
        <is>
          <t>6001.H</t>
        </is>
      </c>
      <c r="M857" s="22" t="n">
        <v>1</v>
      </c>
      <c r="N857" s="22" t="inlineStr">
        <is>
          <t>Kocaeli Sekapark-Otogar tramvay hattı (İhale 2015/17325) mekanik birim fiyat teklif cetveli (istasyon+depo+bakım binası); KDV hariç.</t>
        </is>
      </c>
    </row>
    <row r="858">
      <c r="A858" s="22" t="inlineStr">
        <is>
          <t>R05594</t>
        </is>
      </c>
      <c r="B858" s="22" t="inlineStr">
        <is>
          <t>KOCAELI_BELEDIYESI_TRAMWAY_HATTI (Kent Meydani klasöründe)</t>
        </is>
      </c>
      <c r="C858" s="22" t="inlineStr">
        <is>
          <t>tramvay</t>
        </is>
      </c>
      <c r="D858" s="22" t="inlineStr">
        <is>
          <t>bilinmiyor (Yapıray'a sunulan mekanik alt yüklenici teklifi)</t>
        </is>
      </c>
      <c r="E858" s="22" t="inlineStr">
        <is>
          <t>2015-04-10</t>
        </is>
      </c>
      <c r="F858" s="22" t="inlineStr">
        <is>
          <t>Mitsubishi Heavy VRF kaset iç ünite 7/7,5 kW</t>
        </is>
      </c>
      <c r="G858" s="22" t="inlineStr">
        <is>
          <t>AD</t>
        </is>
      </c>
      <c r="H858" s="63" t="n">
        <v>851.64</v>
      </c>
      <c r="I858" s="22" t="inlineStr">
        <is>
          <t>EUR</t>
        </is>
      </c>
      <c r="J858" s="22" t="inlineStr">
        <is>
          <t>M+İ</t>
        </is>
      </c>
      <c r="K858" s="63" t="n">
        <v>1132.72639806034</v>
      </c>
      <c r="L858" s="22" t="inlineStr">
        <is>
          <t>6001.H</t>
        </is>
      </c>
      <c r="M858" s="22" t="n">
        <v>1</v>
      </c>
      <c r="N858" s="22" t="inlineStr">
        <is>
          <t>Kocaeli Sekapark-Otogar tramvay hattı (İhale 2015/17325) mekanik birim fiyat teklif cetveli (istasyon+depo+bakım binası); KDV hariç.</t>
        </is>
      </c>
    </row>
    <row r="859">
      <c r="A859" s="22" t="inlineStr">
        <is>
          <t>R05595</t>
        </is>
      </c>
      <c r="B859" s="22" t="inlineStr">
        <is>
          <t>KOCAELI_BELEDIYESI_TRAMWAY_HATTI (Kent Meydani klasöründe)</t>
        </is>
      </c>
      <c r="C859" s="22" t="inlineStr">
        <is>
          <t>tramvay</t>
        </is>
      </c>
      <c r="D859" s="22" t="inlineStr">
        <is>
          <t>bilinmiyor (Yapıray'a sunulan mekanik alt yüklenici teklifi)</t>
        </is>
      </c>
      <c r="E859" s="22" t="inlineStr">
        <is>
          <t>2015-04-10</t>
        </is>
      </c>
      <c r="F859" s="22" t="inlineStr">
        <is>
          <t>Mitsubishi Heavy VRF kaset iç ünite 9/9,9 kW</t>
        </is>
      </c>
      <c r="G859" s="22" t="inlineStr">
        <is>
          <t>AD</t>
        </is>
      </c>
      <c r="H859" s="63" t="n">
        <v>941.88</v>
      </c>
      <c r="I859" s="22" t="inlineStr">
        <is>
          <t>EUR</t>
        </is>
      </c>
      <c r="J859" s="22" t="inlineStr">
        <is>
          <t>M+İ</t>
        </is>
      </c>
      <c r="K859" s="63" t="n">
        <v>1252.75038725879</v>
      </c>
      <c r="L859" s="22" t="inlineStr">
        <is>
          <t>6001.H</t>
        </is>
      </c>
      <c r="M859" s="22" t="n">
        <v>2</v>
      </c>
      <c r="N859" s="22" t="inlineStr">
        <is>
          <t>Kocaeli Sekapark-Otogar tramvay hattı (İhale 2015/17325) mekanik birim fiyat teklif cetveli (istasyon+depo+bakım binası); KDV hariç. kaset; URF kanallı</t>
        </is>
      </c>
    </row>
    <row r="860">
      <c r="A860" s="22" t="inlineStr">
        <is>
          <t>R05596</t>
        </is>
      </c>
      <c r="B860" s="22" t="inlineStr">
        <is>
          <t>KOCAELI_BELEDIYESI_TRAMWAY_HATTI (Kent Meydani klasöründe)</t>
        </is>
      </c>
      <c r="C860" s="22" t="inlineStr">
        <is>
          <t>tramvay</t>
        </is>
      </c>
      <c r="D860" s="22" t="inlineStr">
        <is>
          <t>bilinmiyor (Yapıray'a sunulan mekanik alt yüklenici teklifi)</t>
        </is>
      </c>
      <c r="E860" s="22" t="inlineStr">
        <is>
          <t>2015-04-10</t>
        </is>
      </c>
      <c r="F860" s="22" t="inlineStr">
        <is>
          <t>Mitsubishi Heavy VRF kaset iç ünite 14/16 kW</t>
        </is>
      </c>
      <c r="G860" s="22" t="inlineStr">
        <is>
          <t>AD</t>
        </is>
      </c>
      <c r="H860" s="63" t="n">
        <v>1141.56</v>
      </c>
      <c r="I860" s="22" t="inlineStr">
        <is>
          <t>EUR</t>
        </is>
      </c>
      <c r="J860" s="22" t="inlineStr">
        <is>
          <t>M+İ</t>
        </is>
      </c>
      <c r="K860" s="63" t="n">
        <v>1518.33538463407</v>
      </c>
      <c r="L860" s="22" t="inlineStr">
        <is>
          <t>6001.G</t>
        </is>
      </c>
      <c r="M860" s="22" t="n">
        <v>2</v>
      </c>
      <c r="N860" s="22" t="inlineStr">
        <is>
          <t>Kocaeli Sekapark-Otogar tramvay hattı (İhale 2015/17325) mekanik birim fiyat teklif cetveli (istasyon+depo+bakım binası); KDV hariç. kaset; URF kanallı</t>
        </is>
      </c>
    </row>
    <row r="861">
      <c r="A861" s="22" t="inlineStr">
        <is>
          <t>R05597</t>
        </is>
      </c>
      <c r="B861" s="22" t="inlineStr">
        <is>
          <t>KOCAELI_BELEDIYESI_TRAMWAY_HATTI (Kent Meydani klasöründe)</t>
        </is>
      </c>
      <c r="C861" s="22" t="inlineStr">
        <is>
          <t>tramvay</t>
        </is>
      </c>
      <c r="D861" s="22" t="inlineStr">
        <is>
          <t>bilinmiyor (Yapıray'a sunulan mekanik alt yüklenici teklifi)</t>
        </is>
      </c>
      <c r="E861" s="22" t="inlineStr">
        <is>
          <t>2015-04-10</t>
        </is>
      </c>
      <c r="F861" s="22" t="inlineStr">
        <is>
          <t>Mitsubishi Heavy VRF kablolu kumanda</t>
        </is>
      </c>
      <c r="G861" s="22" t="inlineStr">
        <is>
          <t>AD</t>
        </is>
      </c>
      <c r="H861" s="63" t="n">
        <v>57.6</v>
      </c>
      <c r="I861" s="22" t="inlineStr">
        <is>
          <t>EUR</t>
        </is>
      </c>
      <c r="J861" s="22" t="inlineStr">
        <is>
          <t>Malzeme</t>
        </is>
      </c>
      <c r="K861" s="63" t="n">
        <v>76.61105693517869</v>
      </c>
      <c r="L861" s="22" t="inlineStr">
        <is>
          <t>6001.H</t>
        </is>
      </c>
      <c r="M861" s="22" t="n">
        <v>2</v>
      </c>
      <c r="N861" s="22" t="inlineStr">
        <is>
          <t>Kocaeli Sekapark-Otogar tramvay hattı (İhale 2015/17325) mekanik birim fiyat teklif cetveli (istasyon+depo+bakım binası); KDV hariç.</t>
        </is>
      </c>
    </row>
    <row r="862">
      <c r="A862" s="22" t="inlineStr">
        <is>
          <t>R05598</t>
        </is>
      </c>
      <c r="B862" s="22" t="inlineStr">
        <is>
          <t>KOCAELI_BELEDIYESI_TRAMWAY_HATTI (Kent Meydani klasöründe)</t>
        </is>
      </c>
      <c r="C862" s="22" t="inlineStr">
        <is>
          <t>tramvay</t>
        </is>
      </c>
      <c r="D862" s="22" t="inlineStr">
        <is>
          <t>bilinmiyor (Yapıray'a sunulan mekanik alt yüklenici teklifi)</t>
        </is>
      </c>
      <c r="E862" s="22" t="inlineStr">
        <is>
          <t>2015-04-10</t>
        </is>
      </c>
      <c r="F862" s="22" t="inlineStr">
        <is>
          <t>Mitsubishi Heavy merkezi kumanda (50 iç üniteye kadar)</t>
        </is>
      </c>
      <c r="G862" s="22" t="inlineStr">
        <is>
          <t>AD</t>
        </is>
      </c>
      <c r="H862" s="63" t="n">
        <v>664.3200000000001</v>
      </c>
      <c r="I862" s="22" t="inlineStr">
        <is>
          <t>EUR</t>
        </is>
      </c>
      <c r="J862" s="22" t="inlineStr">
        <is>
          <t>Malzeme</t>
        </is>
      </c>
      <c r="K862" s="63" t="n">
        <v>883.580856652395</v>
      </c>
      <c r="L862" s="22" t="inlineStr">
        <is>
          <t>6001.H</t>
        </is>
      </c>
      <c r="M862" s="22" t="n">
        <v>1</v>
      </c>
      <c r="N862" s="22" t="inlineStr">
        <is>
          <t>Kocaeli Sekapark-Otogar tramvay hattı (İhale 2015/17325) mekanik birim fiyat teklif cetveli (istasyon+depo+bakım binası); KDV hariç.</t>
        </is>
      </c>
    </row>
    <row r="863">
      <c r="A863" s="22" t="inlineStr">
        <is>
          <t>R05599</t>
        </is>
      </c>
      <c r="B863" s="22" t="inlineStr">
        <is>
          <t>KOCAELI_BELEDIYESI_TRAMWAY_HATTI (Kent Meydani klasöründe)</t>
        </is>
      </c>
      <c r="C863" s="22" t="inlineStr">
        <is>
          <t>tramvay</t>
        </is>
      </c>
      <c r="D863" s="22" t="inlineStr">
        <is>
          <t>bilinmiyor (Yapıray'a sunulan mekanik alt yüklenici teklifi)</t>
        </is>
      </c>
      <c r="E863" s="22" t="inlineStr">
        <is>
          <t>2015-04-10</t>
        </is>
      </c>
      <c r="F863" s="22" t="inlineStr">
        <is>
          <t>VRF izoleli bakır boru ¼"</t>
        </is>
      </c>
      <c r="G863" s="22" t="inlineStr">
        <is>
          <t>MT</t>
        </is>
      </c>
      <c r="H863" s="63" t="n">
        <v>8.1</v>
      </c>
      <c r="I863" s="22" t="inlineStr">
        <is>
          <t>EUR</t>
        </is>
      </c>
      <c r="J863" s="22" t="inlineStr">
        <is>
          <t>M+İ</t>
        </is>
      </c>
      <c r="K863" s="63" t="n">
        <v>10.7734298815095</v>
      </c>
      <c r="L863" s="22" t="inlineStr">
        <is>
          <t>6001.H</t>
        </is>
      </c>
      <c r="M863" s="22" t="n">
        <v>17</v>
      </c>
      <c r="N863" s="22" t="inlineStr">
        <is>
          <t>Kocaeli Sekapark-Otogar tramvay hattı (İhale 2015/17325) mekanik birim fiyat teklif cetveli (istasyon+depo+bakım binası); KDV hariç. tek boru; çift hat ≈ iki çapın toplamı</t>
        </is>
      </c>
    </row>
    <row r="864">
      <c r="A864" s="22" t="inlineStr">
        <is>
          <t>R05600</t>
        </is>
      </c>
      <c r="B864" s="22" t="inlineStr">
        <is>
          <t>KOCAELI_BELEDIYESI_TRAMWAY_HATTI (Kent Meydani klasöründe)</t>
        </is>
      </c>
      <c r="C864" s="22" t="inlineStr">
        <is>
          <t>tramvay</t>
        </is>
      </c>
      <c r="D864" s="22" t="inlineStr">
        <is>
          <t>bilinmiyor (Yapıray'a sunulan mekanik alt yüklenici teklifi)</t>
        </is>
      </c>
      <c r="E864" s="22" t="inlineStr">
        <is>
          <t>2015-04-10</t>
        </is>
      </c>
      <c r="F864" s="22" t="inlineStr">
        <is>
          <t>VRF izoleli bakır boru ⅜"</t>
        </is>
      </c>
      <c r="G864" s="22" t="inlineStr">
        <is>
          <t>MT</t>
        </is>
      </c>
      <c r="H864" s="63" t="n">
        <v>10.18</v>
      </c>
      <c r="I864" s="22" t="inlineStr">
        <is>
          <t>EUR</t>
        </is>
      </c>
      <c r="J864" s="22" t="inlineStr">
        <is>
          <t>M+İ</t>
        </is>
      </c>
      <c r="K864" s="63" t="n">
        <v>13.5399402708354</v>
      </c>
      <c r="L864" s="22" t="inlineStr">
        <is>
          <t>6001.H</t>
        </is>
      </c>
      <c r="M864" s="22" t="n">
        <v>17</v>
      </c>
      <c r="N864" s="22" t="inlineStr">
        <is>
          <t>Kocaeli Sekapark-Otogar tramvay hattı (İhale 2015/17325) mekanik birim fiyat teklif cetveli (istasyon+depo+bakım binası); KDV hariç. tek boru; çift hat ≈ iki çapın toplamı</t>
        </is>
      </c>
    </row>
    <row r="865">
      <c r="A865" s="22" t="inlineStr">
        <is>
          <t>R05601</t>
        </is>
      </c>
      <c r="B865" s="22" t="inlineStr">
        <is>
          <t>KOCAELI_BELEDIYESI_TRAMWAY_HATTI (Kent Meydani klasöründe)</t>
        </is>
      </c>
      <c r="C865" s="22" t="inlineStr">
        <is>
          <t>tramvay</t>
        </is>
      </c>
      <c r="D865" s="22" t="inlineStr">
        <is>
          <t>bilinmiyor (Yapıray'a sunulan mekanik alt yüklenici teklifi)</t>
        </is>
      </c>
      <c r="E865" s="22" t="inlineStr">
        <is>
          <t>2015-04-10</t>
        </is>
      </c>
      <c r="F865" s="22" t="inlineStr">
        <is>
          <t>VRF izoleli bakır boru ½"</t>
        </is>
      </c>
      <c r="G865" s="22" t="inlineStr">
        <is>
          <t>MT</t>
        </is>
      </c>
      <c r="H865" s="63" t="n">
        <v>14.17</v>
      </c>
      <c r="I865" s="22" t="inlineStr">
        <is>
          <t>EUR</t>
        </is>
      </c>
      <c r="J865" s="22" t="inlineStr">
        <is>
          <t>M+İ</t>
        </is>
      </c>
      <c r="K865" s="63" t="n">
        <v>18.8468520272827</v>
      </c>
      <c r="L865" s="22" t="inlineStr">
        <is>
          <t>6001.H</t>
        </is>
      </c>
      <c r="M865" s="22" t="n">
        <v>17</v>
      </c>
      <c r="N865" s="22" t="inlineStr">
        <is>
          <t>Kocaeli Sekapark-Otogar tramvay hattı (İhale 2015/17325) mekanik birim fiyat teklif cetveli (istasyon+depo+bakım binası); KDV hariç. tek boru; çift hat ≈ iki çapın toplamı</t>
        </is>
      </c>
    </row>
    <row r="866">
      <c r="A866" s="22" t="inlineStr">
        <is>
          <t>R05602</t>
        </is>
      </c>
      <c r="B866" s="22" t="inlineStr">
        <is>
          <t>KOCAELI_BELEDIYESI_TRAMWAY_HATTI (Kent Meydani klasöründe)</t>
        </is>
      </c>
      <c r="C866" s="22" t="inlineStr">
        <is>
          <t>tramvay</t>
        </is>
      </c>
      <c r="D866" s="22" t="inlineStr">
        <is>
          <t>bilinmiyor (Yapıray'a sunulan mekanik alt yüklenici teklifi)</t>
        </is>
      </c>
      <c r="E866" s="22" t="inlineStr">
        <is>
          <t>2015-04-10</t>
        </is>
      </c>
      <c r="F866" s="22" t="inlineStr">
        <is>
          <t>VRF izoleli bakır boru ⅝"</t>
        </is>
      </c>
      <c r="G866" s="22" t="inlineStr">
        <is>
          <t>MT</t>
        </is>
      </c>
      <c r="H866" s="63" t="n">
        <v>17.13</v>
      </c>
      <c r="I866" s="22" t="inlineStr">
        <is>
          <t>EUR</t>
        </is>
      </c>
      <c r="J866" s="22" t="inlineStr">
        <is>
          <t>M+İ</t>
        </is>
      </c>
      <c r="K866" s="63" t="n">
        <v>22.7838091197849</v>
      </c>
      <c r="L866" s="22" t="inlineStr">
        <is>
          <t>6001.H</t>
        </is>
      </c>
      <c r="M866" s="22" t="n">
        <v>18</v>
      </c>
      <c r="N866" s="22" t="inlineStr">
        <is>
          <t>Kocaeli Sekapark-Otogar tramvay hattı (İhale 2015/17325) mekanik birim fiyat teklif cetveli (istasyon+depo+bakım binası); KDV hariç. tek boru; çift hat ≈ iki çapın toplamı</t>
        </is>
      </c>
    </row>
    <row r="867">
      <c r="A867" s="22" t="inlineStr">
        <is>
          <t>R05603</t>
        </is>
      </c>
      <c r="B867" s="22" t="inlineStr">
        <is>
          <t>KOCAELI_BELEDIYESI_TRAMWAY_HATTI (Kent Meydani klasöründe)</t>
        </is>
      </c>
      <c r="C867" s="22" t="inlineStr">
        <is>
          <t>tramvay</t>
        </is>
      </c>
      <c r="D867" s="22" t="inlineStr">
        <is>
          <t>bilinmiyor (Yapıray'a sunulan mekanik alt yüklenici teklifi)</t>
        </is>
      </c>
      <c r="E867" s="22" t="inlineStr">
        <is>
          <t>2015-04-10</t>
        </is>
      </c>
      <c r="F867" s="22" t="inlineStr">
        <is>
          <t>VRF izoleli bakır boru ⅞"</t>
        </is>
      </c>
      <c r="G867" s="22" t="inlineStr">
        <is>
          <t>MT</t>
        </is>
      </c>
      <c r="H867" s="63" t="n">
        <v>26.36</v>
      </c>
      <c r="I867" s="22" t="inlineStr">
        <is>
          <t>EUR</t>
        </is>
      </c>
      <c r="J867" s="22" t="inlineStr">
        <is>
          <t>M+İ</t>
        </is>
      </c>
      <c r="K867" s="63" t="n">
        <v>35.0601989724186</v>
      </c>
      <c r="L867" s="22" t="inlineStr">
        <is>
          <t>6001.H</t>
        </is>
      </c>
      <c r="M867" s="22" t="n">
        <v>17</v>
      </c>
      <c r="N867" s="22" t="inlineStr">
        <is>
          <t>Kocaeli Sekapark-Otogar tramvay hattı (İhale 2015/17325) mekanik birim fiyat teklif cetveli (istasyon+depo+bakım binası); KDV hariç. tek boru; çift hat ≈ iki çapın toplamı</t>
        </is>
      </c>
    </row>
    <row r="868">
      <c r="A868" s="22" t="inlineStr">
        <is>
          <t>R05604</t>
        </is>
      </c>
      <c r="B868" s="22" t="inlineStr">
        <is>
          <t>KOCAELI_BELEDIYESI_TRAMWAY_HATTI (Kent Meydani klasöründe)</t>
        </is>
      </c>
      <c r="C868" s="22" t="inlineStr">
        <is>
          <t>tramvay</t>
        </is>
      </c>
      <c r="D868" s="22" t="inlineStr">
        <is>
          <t>bilinmiyor (Yapıray'a sunulan mekanik alt yüklenici teklifi)</t>
        </is>
      </c>
      <c r="E868" s="22" t="inlineStr">
        <is>
          <t>2015-04-10</t>
        </is>
      </c>
      <c r="F868" s="22" t="inlineStr">
        <is>
          <t>VRF izoleli bakır boru 1⅛"</t>
        </is>
      </c>
      <c r="G868" s="22" t="inlineStr">
        <is>
          <t>MT</t>
        </is>
      </c>
      <c r="H868" s="63" t="n">
        <v>33.61</v>
      </c>
      <c r="I868" s="22" t="inlineStr">
        <is>
          <t>EUR</t>
        </is>
      </c>
      <c r="J868" s="22" t="inlineStr">
        <is>
          <t>M+İ</t>
        </is>
      </c>
      <c r="K868" s="63" t="n">
        <v>44.7030837429055</v>
      </c>
      <c r="L868" s="22" t="inlineStr">
        <is>
          <t>6001.H</t>
        </is>
      </c>
      <c r="M868" s="22" t="n">
        <v>17</v>
      </c>
      <c r="N868" s="22" t="inlineStr">
        <is>
          <t>Kocaeli Sekapark-Otogar tramvay hattı (İhale 2015/17325) mekanik birim fiyat teklif cetveli (istasyon+depo+bakım binası); KDV hariç. tek boru; çift hat ≈ iki çapın toplamı</t>
        </is>
      </c>
    </row>
    <row r="869">
      <c r="A869" s="22" t="inlineStr">
        <is>
          <t>R05605</t>
        </is>
      </c>
      <c r="B869" s="22" t="inlineStr">
        <is>
          <t>KOCAELI_BELEDIYESI_TRAMWAY_HATTI (Kent Meydani klasöründe)</t>
        </is>
      </c>
      <c r="C869" s="22" t="inlineStr">
        <is>
          <t>tramvay</t>
        </is>
      </c>
      <c r="D869" s="22" t="inlineStr">
        <is>
          <t>bilinmiyor (Yapıray'a sunulan mekanik alt yüklenici teklifi)</t>
        </is>
      </c>
      <c r="E869" s="22" t="inlineStr">
        <is>
          <t>2015-04-10</t>
        </is>
      </c>
      <c r="F869" s="22" t="inlineStr">
        <is>
          <t>VRF izoleli bakır boru 1⅜"</t>
        </is>
      </c>
      <c r="G869" s="22" t="inlineStr">
        <is>
          <t>MT</t>
        </is>
      </c>
      <c r="H869" s="63" t="n">
        <v>48.16</v>
      </c>
      <c r="I869" s="22" t="inlineStr">
        <is>
          <t>EUR</t>
        </is>
      </c>
      <c r="J869" s="22" t="inlineStr">
        <is>
          <t>M+İ</t>
        </is>
      </c>
      <c r="K869" s="63" t="n">
        <v>64.0553559374689</v>
      </c>
      <c r="L869" s="22" t="inlineStr">
        <is>
          <t>6001.H</t>
        </is>
      </c>
      <c r="M869" s="22" t="n">
        <v>17</v>
      </c>
      <c r="N869" s="22" t="inlineStr">
        <is>
          <t>Kocaeli Sekapark-Otogar tramvay hattı (İhale 2015/17325) mekanik birim fiyat teklif cetveli (istasyon+depo+bakım binası); KDV hariç. tek boru; çift hat ≈ iki çapın toplamı</t>
        </is>
      </c>
    </row>
    <row r="870">
      <c r="A870" s="22" t="inlineStr">
        <is>
          <t>R05606</t>
        </is>
      </c>
      <c r="B870" s="22" t="inlineStr">
        <is>
          <t>KOCAELI_BELEDIYESI_TRAMWAY_HATTI (Kent Meydani klasöründe)</t>
        </is>
      </c>
      <c r="C870" s="22" t="inlineStr">
        <is>
          <t>tramvay</t>
        </is>
      </c>
      <c r="D870" s="22" t="inlineStr">
        <is>
          <t>bilinmiyor (Yapıray'a sunulan mekanik alt yüklenici teklifi)</t>
        </is>
      </c>
      <c r="E870" s="22" t="inlineStr">
        <is>
          <t>2015-04-10</t>
        </is>
      </c>
      <c r="F870" s="22" t="inlineStr">
        <is>
          <t>VRF izoleli bakır boru 1⅝"</t>
        </is>
      </c>
      <c r="G870" s="22" t="inlineStr">
        <is>
          <t>MT</t>
        </is>
      </c>
      <c r="H870" s="63" t="n">
        <v>54.93</v>
      </c>
      <c r="I870" s="22" t="inlineStr">
        <is>
          <t>EUR</t>
        </is>
      </c>
      <c r="J870" s="22" t="inlineStr">
        <is>
          <t>M+İ</t>
        </is>
      </c>
      <c r="K870" s="63" t="n">
        <v>73.059815233496</v>
      </c>
      <c r="L870" s="22" t="inlineStr">
        <is>
          <t>6001.H</t>
        </is>
      </c>
      <c r="M870" s="22" t="n">
        <v>18</v>
      </c>
      <c r="N870" s="22" t="inlineStr">
        <is>
          <t>Kocaeli Sekapark-Otogar tramvay hattı (İhale 2015/17325) mekanik birim fiyat teklif cetveli (istasyon+depo+bakım binası); KDV hariç. tek boru; çift hat ≈ iki çapın toplamı</t>
        </is>
      </c>
    </row>
    <row r="871">
      <c r="A871" s="22" t="inlineStr">
        <is>
          <t>R05607</t>
        </is>
      </c>
      <c r="B871" s="22" t="inlineStr">
        <is>
          <t>KOCAELI_BELEDIYESI_TRAMWAY_HATTI (Kent Meydani klasöründe)</t>
        </is>
      </c>
      <c r="C871" s="22" t="inlineStr">
        <is>
          <t>tramvay</t>
        </is>
      </c>
      <c r="D871" s="22" t="inlineStr">
        <is>
          <t>bilinmiyor (Yapıray'a sunulan mekanik alt yüklenici teklifi)</t>
        </is>
      </c>
      <c r="E871" s="22" t="inlineStr">
        <is>
          <t>2015-04-10</t>
        </is>
      </c>
      <c r="F871" s="22" t="inlineStr">
        <is>
          <t>VRF refnet/joint (25 kW'a kadar)</t>
        </is>
      </c>
      <c r="G871" s="22" t="inlineStr">
        <is>
          <t>TK</t>
        </is>
      </c>
      <c r="H871" s="63" t="n">
        <v>58</v>
      </c>
      <c r="I871" s="22" t="inlineStr">
        <is>
          <t>EUR</t>
        </is>
      </c>
      <c r="J871" s="22" t="inlineStr">
        <is>
          <t>M+İ</t>
        </is>
      </c>
      <c r="K871" s="63" t="n">
        <v>77.1430781638952</v>
      </c>
      <c r="L871" s="22" t="inlineStr">
        <is>
          <t>6001.H</t>
        </is>
      </c>
      <c r="M871" s="22" t="n">
        <v>2</v>
      </c>
      <c r="N871" s="22" t="inlineStr">
        <is>
          <t>Kocaeli Sekapark-Otogar tramvay hattı (İhale 2015/17325) mekanik birim fiyat teklif cetveli (istasyon+depo+bakım binası); KDV hariç.</t>
        </is>
      </c>
    </row>
    <row r="872">
      <c r="A872" s="22" t="inlineStr">
        <is>
          <t>R05608</t>
        </is>
      </c>
      <c r="B872" s="22" t="inlineStr">
        <is>
          <t>KOCAELI_BELEDIYESI_TRAMWAY_HATTI (Kent Meydani klasöründe)</t>
        </is>
      </c>
      <c r="C872" s="22" t="inlineStr">
        <is>
          <t>tramvay</t>
        </is>
      </c>
      <c r="D872" s="22" t="inlineStr">
        <is>
          <t>bilinmiyor (Yapıray'a sunulan mekanik alt yüklenici teklifi)</t>
        </is>
      </c>
      <c r="E872" s="22" t="inlineStr">
        <is>
          <t>2015-04-10</t>
        </is>
      </c>
      <c r="F872" s="22" t="inlineStr">
        <is>
          <t>VRF refnet/joint (25-50 kW)</t>
        </is>
      </c>
      <c r="G872" s="22" t="inlineStr">
        <is>
          <t>TK</t>
        </is>
      </c>
      <c r="H872" s="63" t="n">
        <v>91.8</v>
      </c>
      <c r="I872" s="22" t="inlineStr">
        <is>
          <t>EUR</t>
        </is>
      </c>
      <c r="J872" s="22" t="inlineStr">
        <is>
          <t>M+İ</t>
        </is>
      </c>
      <c r="K872" s="63" t="n">
        <v>122.098871990441</v>
      </c>
      <c r="L872" s="22" t="inlineStr">
        <is>
          <t>6001.H</t>
        </is>
      </c>
      <c r="M872" s="22" t="n">
        <v>2</v>
      </c>
      <c r="N872" s="22" t="inlineStr">
        <is>
          <t>Kocaeli Sekapark-Otogar tramvay hattı (İhale 2015/17325) mekanik birim fiyat teklif cetveli (istasyon+depo+bakım binası); KDV hariç.</t>
        </is>
      </c>
    </row>
    <row r="873">
      <c r="A873" s="22" t="inlineStr">
        <is>
          <t>R05609</t>
        </is>
      </c>
      <c r="B873" s="22" t="inlineStr">
        <is>
          <t>KOCAELI_BELEDIYESI_TRAMWAY_HATTI (Kent Meydani klasöründe)</t>
        </is>
      </c>
      <c r="C873" s="22" t="inlineStr">
        <is>
          <t>tramvay</t>
        </is>
      </c>
      <c r="D873" s="22" t="inlineStr">
        <is>
          <t>bilinmiyor (Yapıray'a sunulan mekanik alt yüklenici teklifi)</t>
        </is>
      </c>
      <c r="E873" s="22" t="inlineStr">
        <is>
          <t>2015-04-10</t>
        </is>
      </c>
      <c r="F873" s="22" t="inlineStr">
        <is>
          <t>VRF refnet/joint (50-100 kW)</t>
        </is>
      </c>
      <c r="G873" s="22" t="inlineStr">
        <is>
          <t>TK</t>
        </is>
      </c>
      <c r="H873" s="63" t="n">
        <v>118.2</v>
      </c>
      <c r="I873" s="22" t="inlineStr">
        <is>
          <t>EUR</t>
        </is>
      </c>
      <c r="J873" s="22" t="inlineStr">
        <is>
          <t>M+İ</t>
        </is>
      </c>
      <c r="K873" s="63" t="n">
        <v>157.212273085731</v>
      </c>
      <c r="L873" s="22" t="inlineStr">
        <is>
          <t>6001.G</t>
        </is>
      </c>
      <c r="M873" s="22" t="n">
        <v>2</v>
      </c>
      <c r="N873" s="22" t="inlineStr">
        <is>
          <t>Kocaeli Sekapark-Otogar tramvay hattı (İhale 2015/17325) mekanik birim fiyat teklif cetveli (istasyon+depo+bakım binası); KDV hariç.</t>
        </is>
      </c>
    </row>
    <row r="874">
      <c r="A874" s="22" t="inlineStr">
        <is>
          <t>R05610</t>
        </is>
      </c>
      <c r="B874" s="22" t="inlineStr">
        <is>
          <t>KOCAELI_BELEDIYESI_TRAMWAY_HATTI (Kent Meydani klasöründe)</t>
        </is>
      </c>
      <c r="C874" s="22" t="inlineStr">
        <is>
          <t>tramvay</t>
        </is>
      </c>
      <c r="D874" s="22" t="inlineStr">
        <is>
          <t>bilinmiyor (Yapıray'a sunulan mekanik alt yüklenici teklifi)</t>
        </is>
      </c>
      <c r="E874" s="22" t="inlineStr">
        <is>
          <t>2015-04-10</t>
        </is>
      </c>
      <c r="F874" s="22" t="inlineStr">
        <is>
          <t>FM-200 gazlı söndürme sistemi (40 m² oda için) komple</t>
        </is>
      </c>
      <c r="G874" s="22" t="inlineStr">
        <is>
          <t>AD</t>
        </is>
      </c>
      <c r="H874" s="63" t="n">
        <v>8700</v>
      </c>
      <c r="I874" s="22" t="inlineStr">
        <is>
          <t>EUR</t>
        </is>
      </c>
      <c r="J874" s="22" t="inlineStr">
        <is>
          <t>M+İ</t>
        </is>
      </c>
      <c r="K874" s="63" t="n">
        <v>11571.4617245843</v>
      </c>
      <c r="L874" s="22" t="inlineStr">
        <is>
          <t>5005.H</t>
        </is>
      </c>
      <c r="M874" s="22" t="n">
        <v>1</v>
      </c>
      <c r="N874" s="22" t="inlineStr">
        <is>
          <t>Kocaeli Sekapark-Otogar tramvay hattı (İhale 2015/17325) mekanik birim fiyat teklif cetveli (istasyon+depo+bakım binası); KDV hariç. oda başı, 40 m²</t>
        </is>
      </c>
    </row>
    <row r="875">
      <c r="A875" s="22" t="inlineStr">
        <is>
          <t>R05628</t>
        </is>
      </c>
      <c r="B875" s="22" t="inlineStr">
        <is>
          <t>Kartal_Kaynarca_Metro</t>
        </is>
      </c>
      <c r="C875" s="22" t="inlineStr">
        <is>
          <t>metro</t>
        </is>
      </c>
      <c r="D875" s="22" t="inlineStr">
        <is>
          <t>Arı Yangın Korunum Sistemleri San. ve Tic. A.Ş.</t>
        </is>
      </c>
      <c r="E875" s="22" t="inlineStr">
        <is>
          <t>2013-01-31</t>
        </is>
      </c>
      <c r="F875" s="22" t="inlineStr">
        <is>
          <t>F.Morse otomatik transfer switch UL/FM</t>
        </is>
      </c>
      <c r="G875" s="22" t="inlineStr">
        <is>
          <t>adet</t>
        </is>
      </c>
      <c r="H875" s="63" t="n">
        <v>13585.78</v>
      </c>
      <c r="I875" s="22" t="inlineStr">
        <is>
          <t>USD</t>
        </is>
      </c>
      <c r="J875" s="22" t="inlineStr"/>
      <c r="K875" s="63" t="n">
        <v>13655.1746280572</v>
      </c>
      <c r="L875" s="22" t="inlineStr">
        <is>
          <t>5005.H</t>
        </is>
      </c>
      <c r="M875" s="22" t="n">
        <v>1</v>
      </c>
      <c r="N875" s="22" t="inlineStr">
        <is>
          <t>Kartal-Kaynarca metrosu yangın söndürme mekanik ekipman teklifi (13-0123); İstanbul depo teslim, montaj/KDV hariç.</t>
        </is>
      </c>
    </row>
    <row r="876">
      <c r="A876" s="22" t="inlineStr">
        <is>
          <t>R05649</t>
        </is>
      </c>
      <c r="B876" s="22" t="inlineStr">
        <is>
          <t>Kartal_Kaynarca_Metro</t>
        </is>
      </c>
      <c r="C876" s="22" t="inlineStr">
        <is>
          <t>metro</t>
        </is>
      </c>
      <c r="D876" s="22" t="inlineStr">
        <is>
          <t>MCS Türkiye (Tyco BSPD / Sterling)</t>
        </is>
      </c>
      <c r="E876" s="22" t="inlineStr">
        <is>
          <t>2013-02-12</t>
        </is>
      </c>
      <c r="F876" s="22" t="inlineStr">
        <is>
          <t>110 kW otomatik transfer switch (liste)</t>
        </is>
      </c>
      <c r="G876" s="22" t="inlineStr">
        <is>
          <t>adet</t>
        </is>
      </c>
      <c r="H876" s="63" t="n">
        <v>15390</v>
      </c>
      <c r="I876" s="22" t="inlineStr">
        <is>
          <t>USD</t>
        </is>
      </c>
      <c r="J876" s="22" t="inlineStr"/>
      <c r="K876" s="63" t="n">
        <v>15540.4936876866</v>
      </c>
      <c r="L876" s="22" t="inlineStr">
        <is>
          <t>5005.H</t>
        </is>
      </c>
      <c r="M876" s="22" t="n">
        <v>1</v>
      </c>
      <c r="N876" s="22" t="inlineStr">
        <is>
          <t>Kartal-Kaynarca metro FM onaylı yangın pompaları; liste fiyatı üzerinden %42 özel indirim (toplam 351.528 → 203.886 $); KDV hariç.</t>
        </is>
      </c>
    </row>
    <row r="877">
      <c r="A877" s="22" t="inlineStr">
        <is>
          <t>R05663</t>
        </is>
      </c>
      <c r="B877" s="22" t="inlineStr">
        <is>
          <t>Kartal_Kaynarca_Metro</t>
        </is>
      </c>
      <c r="C877" s="22" t="inlineStr">
        <is>
          <t>metro</t>
        </is>
      </c>
      <c r="D877" s="22" t="inlineStr">
        <is>
          <t>3B İnşaat Taahhüt Tesisat Ltd.Şti.</t>
        </is>
      </c>
      <c r="E877" s="22" t="inlineStr">
        <is>
          <t>2013-02-13</t>
        </is>
      </c>
      <c r="F877" s="22" t="inlineStr">
        <is>
          <t>Kaynarca ist.: Galvaniz dikdörtgen hava kanalı (malz.+işçilik)</t>
        </is>
      </c>
      <c r="G877" s="22" t="inlineStr">
        <is>
          <t>m2</t>
        </is>
      </c>
      <c r="H877" s="63" t="n">
        <v>80</v>
      </c>
      <c r="I877" s="22" t="inlineStr">
        <is>
          <t>TRY</t>
        </is>
      </c>
      <c r="J877" s="22" t="inlineStr"/>
      <c r="K877" s="63" t="n">
        <v>45.634456799658</v>
      </c>
      <c r="L877" s="22" t="inlineStr">
        <is>
          <t>6002.B</t>
        </is>
      </c>
      <c r="M877" s="22" t="n">
        <v>1</v>
      </c>
      <c r="N877" s="22" t="inlineStr">
        <is>
          <t>Kartal-Kaynarca metro (Kaynarca, Pendik, Yakacık istasyonları) 3B İnşaat teklifi; TL (dosyada para birimi yazmıyor; ölçek TL), malzeme+montaj; tarih e-posta 13.02.2013. Havalandırma. izolasyon ayrı 35 TL/m²</t>
        </is>
      </c>
    </row>
    <row r="878">
      <c r="A878" s="22" t="inlineStr">
        <is>
          <t>R05696</t>
        </is>
      </c>
      <c r="B878" s="22" t="inlineStr">
        <is>
          <t>Kartal_Kaynarca_Metro</t>
        </is>
      </c>
      <c r="C878" s="22" t="inlineStr">
        <is>
          <t>metro</t>
        </is>
      </c>
      <c r="D878" s="22" t="inlineStr">
        <is>
          <t>3B İnşaat Taahhüt Tesisat Ltd.Şti.</t>
        </is>
      </c>
      <c r="E878" s="22" t="inlineStr">
        <is>
          <t>2013-02-13</t>
        </is>
      </c>
      <c r="F878" s="22" t="inlineStr">
        <is>
          <t>Kaynarca ist.: 80 L elektrikli su ısıtıcısı</t>
        </is>
      </c>
      <c r="G878" s="22" t="inlineStr">
        <is>
          <t>ad</t>
        </is>
      </c>
      <c r="H878" s="63" t="n">
        <v>500</v>
      </c>
      <c r="I878" s="22" t="inlineStr">
        <is>
          <t>TRY</t>
        </is>
      </c>
      <c r="J878" s="22" t="inlineStr"/>
      <c r="K878" s="63" t="n">
        <v>285.215354997862</v>
      </c>
      <c r="L878" s="22" t="inlineStr">
        <is>
          <t>5007.A</t>
        </is>
      </c>
      <c r="M878" s="22" t="n">
        <v>1</v>
      </c>
      <c r="N878" s="22" t="inlineStr">
        <is>
          <t>Kartal-Kaynarca metro (Kaynarca, Pendik, Yakacık istasyonları) 3B İnşaat teklifi; TL (dosyada para birimi yazmıyor; ölçek TL), malzeme+montaj; tarih e-posta 13.02.2013. Sıhhi+drenaj.</t>
        </is>
      </c>
    </row>
    <row r="879">
      <c r="A879" s="22" t="inlineStr">
        <is>
          <t>R05723</t>
        </is>
      </c>
      <c r="B879" s="22" t="inlineStr">
        <is>
          <t>Kent Meydani-Terminal Tram</t>
        </is>
      </c>
      <c r="C879" s="22" t="inlineStr">
        <is>
          <t>tramvay</t>
        </is>
      </c>
      <c r="D879" s="22" t="inlineStr">
        <is>
          <t>FER Mekanik Tesisat</t>
        </is>
      </c>
      <c r="E879" s="22" t="inlineStr">
        <is>
          <t>2015-05-29</t>
        </is>
      </c>
      <c r="F879" s="22" t="inlineStr">
        <is>
          <t>Wilo TOP-STG 30/10 sirkülasyon pompası 4 m³/h 6 mSS</t>
        </is>
      </c>
      <c r="G879" s="22" t="inlineStr">
        <is>
          <t>Ad</t>
        </is>
      </c>
      <c r="H879" s="63" t="n">
        <v>427</v>
      </c>
      <c r="I879" s="22" t="inlineStr">
        <is>
          <t>EUR</t>
        </is>
      </c>
      <c r="J879" s="22" t="inlineStr">
        <is>
          <t>M+İ</t>
        </is>
      </c>
      <c r="K879" s="63" t="n">
        <v>566.353661106146</v>
      </c>
      <c r="L879" s="22" t="inlineStr">
        <is>
          <t>5007.A</t>
        </is>
      </c>
      <c r="M879" s="22" t="n">
        <v>1</v>
      </c>
      <c r="N879" s="22" t="inlineStr">
        <is>
          <t>Bursa T2 Kent Meydanı-Terminal tramvay (istasyon+depo) mekanik teklifi; KDV hariç; kur 29.05.2015 EUR 3,02 USD 2,6869.</t>
        </is>
      </c>
    </row>
    <row r="880">
      <c r="A880" s="22" t="inlineStr">
        <is>
          <t>R05724</t>
        </is>
      </c>
      <c r="B880" s="22" t="inlineStr">
        <is>
          <t>Kent Meydani-Terminal Tram</t>
        </is>
      </c>
      <c r="C880" s="22" t="inlineStr">
        <is>
          <t>tramvay</t>
        </is>
      </c>
      <c r="D880" s="22" t="inlineStr">
        <is>
          <t>FER Mekanik Tesisat</t>
        </is>
      </c>
      <c r="E880" s="22" t="inlineStr">
        <is>
          <t>2015-05-29</t>
        </is>
      </c>
      <c r="F880" s="22" t="inlineStr">
        <is>
          <t>Wilo STAR-Z 20/7-3 sıcak su sirkülasyon pompası 1,5 m³/h 4 mSS</t>
        </is>
      </c>
      <c r="G880" s="22" t="inlineStr">
        <is>
          <t>Ad</t>
        </is>
      </c>
      <c r="H880" s="63" t="n">
        <v>265</v>
      </c>
      <c r="I880" s="22" t="inlineStr">
        <is>
          <t>EUR</t>
        </is>
      </c>
      <c r="J880" s="22" t="inlineStr">
        <is>
          <t>M+İ</t>
        </is>
      </c>
      <c r="K880" s="63" t="n">
        <v>351.484122232152</v>
      </c>
      <c r="L880" s="22" t="inlineStr">
        <is>
          <t>5007.A</t>
        </is>
      </c>
      <c r="M880" s="22" t="n">
        <v>1</v>
      </c>
      <c r="N880" s="22" t="inlineStr">
        <is>
          <t>Bursa T2 Kent Meydanı-Terminal tramvay (istasyon+depo) mekanik teklifi; KDV hariç; kur 29.05.2015 EUR 3,02 USD 2,6869.</t>
        </is>
      </c>
    </row>
    <row r="881">
      <c r="A881" s="22" t="inlineStr">
        <is>
          <t>R05728</t>
        </is>
      </c>
      <c r="B881" s="22" t="inlineStr">
        <is>
          <t>Kent Meydani-Terminal Tram</t>
        </is>
      </c>
      <c r="C881" s="22" t="inlineStr">
        <is>
          <t>tramvay</t>
        </is>
      </c>
      <c r="D881" s="22" t="inlineStr">
        <is>
          <t>FER Mekanik Tesisat</t>
        </is>
      </c>
      <c r="E881" s="22" t="inlineStr">
        <is>
          <t>2015-05-29</t>
        </is>
      </c>
      <c r="F881" s="22" t="inlineStr">
        <is>
          <t>Kale tezgah altı lavabo + lavabo tesisatı ve pirinç sifon (2.1+2.2 toplamı)</t>
        </is>
      </c>
      <c r="G881" s="22" t="inlineStr">
        <is>
          <t>Ad</t>
        </is>
      </c>
      <c r="H881" s="63" t="n">
        <v>188.5</v>
      </c>
      <c r="I881" s="22" t="inlineStr">
        <is>
          <t>TRY</t>
        </is>
      </c>
      <c r="J881" s="22" t="inlineStr">
        <is>
          <t>M+İ</t>
        </is>
      </c>
      <c r="K881" s="63" t="n">
        <v>85.65778782280719</v>
      </c>
      <c r="L881" s="22" t="inlineStr">
        <is>
          <t>5007.A</t>
        </is>
      </c>
      <c r="M881" s="22" t="n">
        <v>3</v>
      </c>
      <c r="N881" s="22" t="inlineStr">
        <is>
          <t>Bursa T2 Kent Meydanı-Terminal tramvay (istasyon+depo) mekanik teklifi; KDV hariç; kur 29.05.2015 EUR 3,02 USD 2,6869. batarya hariç</t>
        </is>
      </c>
    </row>
    <row r="882">
      <c r="A882" s="22" t="inlineStr">
        <is>
          <t>R05729</t>
        </is>
      </c>
      <c r="B882" s="22" t="inlineStr">
        <is>
          <t>Kent Meydani-Terminal Tram</t>
        </is>
      </c>
      <c r="C882" s="22" t="inlineStr">
        <is>
          <t>tramvay</t>
        </is>
      </c>
      <c r="D882" s="22" t="inlineStr">
        <is>
          <t>FER Mekanik Tesisat</t>
        </is>
      </c>
      <c r="E882" s="22" t="inlineStr">
        <is>
          <t>2015-05-29</t>
        </is>
      </c>
      <c r="F882" s="22" t="inlineStr">
        <is>
          <t>Kale kendinden rezervuarlı klozet</t>
        </is>
      </c>
      <c r="G882" s="22" t="inlineStr">
        <is>
          <t>Ad</t>
        </is>
      </c>
      <c r="H882" s="63" t="n">
        <v>295</v>
      </c>
      <c r="I882" s="22" t="inlineStr">
        <is>
          <t>TRY</t>
        </is>
      </c>
      <c r="J882" s="22" t="inlineStr">
        <is>
          <t>M+İ</t>
        </is>
      </c>
      <c r="K882" s="63" t="n">
        <v>134.053301897762</v>
      </c>
      <c r="L882" s="22" t="inlineStr">
        <is>
          <t>5007.A</t>
        </is>
      </c>
      <c r="M882" s="22" t="n">
        <v>3</v>
      </c>
      <c r="N882" s="22" t="inlineStr">
        <is>
          <t>Bursa T2 Kent Meydanı-Terminal tramvay (istasyon+depo) mekanik teklifi; KDV hariç; kur 29.05.2015 EUR 3,02 USD 2,6869.</t>
        </is>
      </c>
    </row>
    <row r="883">
      <c r="A883" s="22" t="inlineStr">
        <is>
          <t>R05731</t>
        </is>
      </c>
      <c r="B883" s="22" t="inlineStr">
        <is>
          <t>Kent Meydani-Terminal Tram</t>
        </is>
      </c>
      <c r="C883" s="22" t="inlineStr">
        <is>
          <t>tramvay</t>
        </is>
      </c>
      <c r="D883" s="22" t="inlineStr">
        <is>
          <t>FER Mekanik Tesisat</t>
        </is>
      </c>
      <c r="E883" s="22" t="inlineStr">
        <is>
          <t>2015-05-29</t>
        </is>
      </c>
      <c r="F883" s="22" t="inlineStr">
        <is>
          <t>Kale duş teknesi 80x80</t>
        </is>
      </c>
      <c r="G883" s="22" t="inlineStr">
        <is>
          <t>Ad</t>
        </is>
      </c>
      <c r="H883" s="63" t="n">
        <v>310</v>
      </c>
      <c r="I883" s="22" t="inlineStr">
        <is>
          <t>TRY</t>
        </is>
      </c>
      <c r="J883" s="22" t="inlineStr">
        <is>
          <t>M+İ</t>
        </is>
      </c>
      <c r="K883" s="63" t="n">
        <v>140.869571485784</v>
      </c>
      <c r="L883" s="22" t="inlineStr">
        <is>
          <t>5007.A</t>
        </is>
      </c>
      <c r="M883" s="22" t="n">
        <v>1</v>
      </c>
      <c r="N883" s="22" t="inlineStr">
        <is>
          <t>Bursa T2 Kent Meydanı-Terminal tramvay (istasyon+depo) mekanik teklifi; KDV hariç; kur 29.05.2015 EUR 3,02 USD 2,6869. sifon ayrı 90 TL</t>
        </is>
      </c>
    </row>
    <row r="884">
      <c r="A884" s="22" t="inlineStr">
        <is>
          <t>R05733</t>
        </is>
      </c>
      <c r="B884" s="22" t="inlineStr">
        <is>
          <t>Kent Meydani-Terminal Tram</t>
        </is>
      </c>
      <c r="C884" s="22" t="inlineStr">
        <is>
          <t>tramvay</t>
        </is>
      </c>
      <c r="D884" s="22" t="inlineStr">
        <is>
          <t>FER Mekanik Tesisat</t>
        </is>
      </c>
      <c r="E884" s="22" t="inlineStr">
        <is>
          <t>2015-05-29</t>
        </is>
      </c>
      <c r="F884" s="22" t="inlineStr">
        <is>
          <t>Kale tutunma barı (engelli)</t>
        </is>
      </c>
      <c r="G884" s="22" t="inlineStr">
        <is>
          <t>Ad</t>
        </is>
      </c>
      <c r="H884" s="63" t="n">
        <v>275</v>
      </c>
      <c r="I884" s="22" t="inlineStr">
        <is>
          <t>TRY</t>
        </is>
      </c>
      <c r="J884" s="22" t="inlineStr">
        <is>
          <t>M+İ</t>
        </is>
      </c>
      <c r="K884" s="63" t="n">
        <v>124.964942447066</v>
      </c>
      <c r="L884" s="22" t="inlineStr"/>
      <c r="M884" s="22" t="n">
        <v>1</v>
      </c>
      <c r="N884" s="22" t="inlineStr">
        <is>
          <t>Bursa T2 Kent Meydanı-Terminal tramvay (istasyon+depo) mekanik teklifi; KDV hariç; kur 29.05.2015 EUR 3,02 USD 2,6869.</t>
        </is>
      </c>
    </row>
    <row r="885">
      <c r="A885" s="22" t="inlineStr">
        <is>
          <t>R05735</t>
        </is>
      </c>
      <c r="B885" s="22" t="inlineStr">
        <is>
          <t>Kent Meydani-Terminal Tram</t>
        </is>
      </c>
      <c r="C885" s="22" t="inlineStr">
        <is>
          <t>tramvay</t>
        </is>
      </c>
      <c r="D885" s="22" t="inlineStr">
        <is>
          <t>FER Mekanik Tesisat</t>
        </is>
      </c>
      <c r="E885" s="22" t="inlineStr">
        <is>
          <t>2015-05-29</t>
        </is>
      </c>
      <c r="F885" s="22" t="inlineStr">
        <is>
          <t>Öz-Sarıgüller pik döküm sifonlu çamur yer süzgeci DN100 200x200</t>
        </is>
      </c>
      <c r="G885" s="22" t="inlineStr">
        <is>
          <t>Ad</t>
        </is>
      </c>
      <c r="H885" s="63" t="n">
        <v>206</v>
      </c>
      <c r="I885" s="22" t="inlineStr">
        <is>
          <t>TRY</t>
        </is>
      </c>
      <c r="J885" s="22" t="inlineStr">
        <is>
          <t>M+İ</t>
        </is>
      </c>
      <c r="K885" s="63" t="n">
        <v>93.610102342166</v>
      </c>
      <c r="L885" s="22" t="inlineStr">
        <is>
          <t>5006.H</t>
        </is>
      </c>
      <c r="M885" s="22" t="n">
        <v>6</v>
      </c>
      <c r="N885" s="22" t="inlineStr">
        <is>
          <t>Bursa T2 Kent Meydanı-Terminal tramvay (istasyon+depo) mekanik teklifi; KDV hariç; kur 29.05.2015 EUR 3,02 USD 2,6869.</t>
        </is>
      </c>
    </row>
    <row r="886">
      <c r="A886" s="22" t="inlineStr">
        <is>
          <t>R05737</t>
        </is>
      </c>
      <c r="B886" s="22" t="inlineStr">
        <is>
          <t>Kent Meydani-Terminal Tram</t>
        </is>
      </c>
      <c r="C886" s="22" t="inlineStr">
        <is>
          <t>tramvay</t>
        </is>
      </c>
      <c r="D886" s="22" t="inlineStr">
        <is>
          <t>FER Mekanik Tesisat</t>
        </is>
      </c>
      <c r="E886" s="22" t="inlineStr">
        <is>
          <t>2015-05-29</t>
        </is>
      </c>
      <c r="F886" s="22" t="inlineStr">
        <is>
          <t>Baylan soğuk su sayacı 2"</t>
        </is>
      </c>
      <c r="G886" s="22" t="inlineStr">
        <is>
          <t>Ad</t>
        </is>
      </c>
      <c r="H886" s="63" t="n">
        <v>483</v>
      </c>
      <c r="I886" s="22" t="inlineStr">
        <is>
          <t>TRY</t>
        </is>
      </c>
      <c r="J886" s="22" t="inlineStr">
        <is>
          <t>M+İ</t>
        </is>
      </c>
      <c r="K886" s="63" t="n">
        <v>219.483880734302</v>
      </c>
      <c r="L886" s="22" t="inlineStr"/>
      <c r="M886" s="22" t="n">
        <v>1</v>
      </c>
      <c r="N886" s="22" t="inlineStr">
        <is>
          <t>Bursa T2 Kent Meydanı-Terminal tramvay (istasyon+depo) mekanik teklifi; KDV hariç; kur 29.05.2015 EUR 3,02 USD 2,6869.</t>
        </is>
      </c>
    </row>
    <row r="887">
      <c r="A887" s="22" t="inlineStr">
        <is>
          <t>R05738</t>
        </is>
      </c>
      <c r="B887" s="22" t="inlineStr">
        <is>
          <t>Kent Meydani-Terminal Tram</t>
        </is>
      </c>
      <c r="C887" s="22" t="inlineStr">
        <is>
          <t>tramvay</t>
        </is>
      </c>
      <c r="D887" s="22" t="inlineStr">
        <is>
          <t>FER Mekanik Tesisat</t>
        </is>
      </c>
      <c r="E887" s="22" t="inlineStr">
        <is>
          <t>2015-05-29</t>
        </is>
      </c>
      <c r="F887" s="22" t="inlineStr">
        <is>
          <t>Teknopomp hidrofor 3x MNV 25-209 3x2,5 m³/h 60 mSS 300 L tanklı</t>
        </is>
      </c>
      <c r="G887" s="22" t="inlineStr">
        <is>
          <t>Ad</t>
        </is>
      </c>
      <c r="H887" s="63" t="n">
        <v>4025</v>
      </c>
      <c r="I887" s="22" t="inlineStr">
        <is>
          <t>TRY</t>
        </is>
      </c>
      <c r="J887" s="22" t="inlineStr">
        <is>
          <t>M+İ</t>
        </is>
      </c>
      <c r="K887" s="63" t="n">
        <v>1829.03233945252</v>
      </c>
      <c r="L887" s="22" t="inlineStr">
        <is>
          <t>5007.A</t>
        </is>
      </c>
      <c r="M887" s="22" t="n">
        <v>1</v>
      </c>
      <c r="N887" s="22" t="inlineStr">
        <is>
          <t>Bursa T2 Kent Meydanı-Terminal tramvay (istasyon+depo) mekanik teklifi; KDV hariç; kur 29.05.2015 EUR 3,02 USD 2,6869.</t>
        </is>
      </c>
    </row>
    <row r="888">
      <c r="A888" s="22" t="inlineStr">
        <is>
          <t>R05745</t>
        </is>
      </c>
      <c r="B888" s="22" t="inlineStr">
        <is>
          <t>Kent Meydani-Terminal Tram</t>
        </is>
      </c>
      <c r="C888" s="22" t="inlineStr">
        <is>
          <t>tramvay</t>
        </is>
      </c>
      <c r="D888" s="22" t="inlineStr">
        <is>
          <t>FER Mekanik Tesisat</t>
        </is>
      </c>
      <c r="E888" s="22" t="inlineStr">
        <is>
          <t>2015-05-29</t>
        </is>
      </c>
      <c r="F888" s="22" t="inlineStr">
        <is>
          <t>Wilo Aldea boyler 500 L çift serpantinli</t>
        </is>
      </c>
      <c r="G888" s="22" t="inlineStr">
        <is>
          <t>Ad</t>
        </is>
      </c>
      <c r="H888" s="63" t="n">
        <v>3250</v>
      </c>
      <c r="I888" s="22" t="inlineStr">
        <is>
          <t>TRY</t>
        </is>
      </c>
      <c r="J888" s="22" t="inlineStr">
        <is>
          <t>M+İ</t>
        </is>
      </c>
      <c r="K888" s="63" t="n">
        <v>1476.85841073806</v>
      </c>
      <c r="L888" s="22" t="inlineStr">
        <is>
          <t>5007.A</t>
        </is>
      </c>
      <c r="M888" s="22" t="n">
        <v>1</v>
      </c>
      <c r="N888" s="22" t="inlineStr">
        <is>
          <t>Bursa T2 Kent Meydanı-Terminal tramvay (istasyon+depo) mekanik teklifi; KDV hariç; kur 29.05.2015 EUR 3,02 USD 2,6869. serpantinli (rezistanssız)</t>
        </is>
      </c>
    </row>
    <row r="889">
      <c r="A889" s="22" t="inlineStr">
        <is>
          <t>R05746</t>
        </is>
      </c>
      <c r="B889" s="22" t="inlineStr">
        <is>
          <t>Kent Meydani-Terminal Tram</t>
        </is>
      </c>
      <c r="C889" s="22" t="inlineStr">
        <is>
          <t>tramvay</t>
        </is>
      </c>
      <c r="D889" s="22" t="inlineStr">
        <is>
          <t>FER Mekanik Tesisat</t>
        </is>
      </c>
      <c r="E889" s="22" t="inlineStr">
        <is>
          <t>2015-05-29</t>
        </is>
      </c>
      <c r="F889" s="22" t="inlineStr">
        <is>
          <t>Galvaniz boru ½" (sıhhi tesisat, montaj malzemesi %40 hariç)</t>
        </is>
      </c>
      <c r="G889" s="22" t="inlineStr">
        <is>
          <t>mt</t>
        </is>
      </c>
      <c r="H889" s="63" t="n">
        <v>24.3</v>
      </c>
      <c r="I889" s="22" t="inlineStr">
        <is>
          <t>TRY</t>
        </is>
      </c>
      <c r="J889" s="22" t="inlineStr">
        <is>
          <t>M+İ</t>
        </is>
      </c>
      <c r="K889" s="63" t="n">
        <v>11.0423567325953</v>
      </c>
      <c r="L889" s="22" t="inlineStr"/>
      <c r="M889" s="22" t="n">
        <v>1</v>
      </c>
      <c r="N889" s="22" t="inlineStr">
        <is>
          <t>Bursa T2 Kent Meydanı-Terminal tramvay (istasyon+depo) mekanik teklifi; KDV hariç; kur 29.05.2015 EUR 3,02 USD 2,6869. +%40 boru montaj malzemesi ayrı kalem</t>
        </is>
      </c>
    </row>
    <row r="890">
      <c r="A890" s="22" t="inlineStr">
        <is>
          <t>R05748</t>
        </is>
      </c>
      <c r="B890" s="22" t="inlineStr">
        <is>
          <t>Kent Meydani-Terminal Tram</t>
        </is>
      </c>
      <c r="C890" s="22" t="inlineStr">
        <is>
          <t>tramvay</t>
        </is>
      </c>
      <c r="D890" s="22" t="inlineStr">
        <is>
          <t>FER Mekanik Tesisat</t>
        </is>
      </c>
      <c r="E890" s="22" t="inlineStr">
        <is>
          <t>2015-05-29</t>
        </is>
      </c>
      <c r="F890" s="22" t="inlineStr">
        <is>
          <t>Galvaniz boru 1" (sıhhi tesisat, montaj malzemesi %40 hariç)</t>
        </is>
      </c>
      <c r="G890" s="22" t="inlineStr">
        <is>
          <t>mt</t>
        </is>
      </c>
      <c r="H890" s="63" t="n">
        <v>33.2</v>
      </c>
      <c r="I890" s="22" t="inlineStr">
        <is>
          <t>TRY</t>
        </is>
      </c>
      <c r="J890" s="22" t="inlineStr">
        <is>
          <t>M+İ</t>
        </is>
      </c>
      <c r="K890" s="63" t="n">
        <v>15.0866766881549</v>
      </c>
      <c r="L890" s="22" t="inlineStr"/>
      <c r="M890" s="22" t="n">
        <v>1</v>
      </c>
      <c r="N890" s="22" t="inlineStr">
        <is>
          <t>Bursa T2 Kent Meydanı-Terminal tramvay (istasyon+depo) mekanik teklifi; KDV hariç; kur 29.05.2015 EUR 3,02 USD 2,6869. +%40 boru montaj malzemesi ayrı kalem</t>
        </is>
      </c>
    </row>
    <row r="891">
      <c r="A891" s="22" t="inlineStr">
        <is>
          <t>R05749</t>
        </is>
      </c>
      <c r="B891" s="22" t="inlineStr">
        <is>
          <t>Kent Meydani-Terminal Tram</t>
        </is>
      </c>
      <c r="C891" s="22" t="inlineStr">
        <is>
          <t>tramvay</t>
        </is>
      </c>
      <c r="D891" s="22" t="inlineStr">
        <is>
          <t>FER Mekanik Tesisat</t>
        </is>
      </c>
      <c r="E891" s="22" t="inlineStr">
        <is>
          <t>2015-05-29</t>
        </is>
      </c>
      <c r="F891" s="22" t="inlineStr">
        <is>
          <t>Galvaniz boru 1¼" (sıhhi tesisat, montaj malzemesi %40 hariç)</t>
        </is>
      </c>
      <c r="G891" s="22" t="inlineStr">
        <is>
          <t>mt</t>
        </is>
      </c>
      <c r="H891" s="63" t="n">
        <v>41</v>
      </c>
      <c r="I891" s="22" t="inlineStr">
        <is>
          <t>TRY</t>
        </is>
      </c>
      <c r="J891" s="22" t="inlineStr">
        <is>
          <t>M+İ</t>
        </is>
      </c>
      <c r="K891" s="63" t="n">
        <v>18.6311368739262</v>
      </c>
      <c r="L891" s="22" t="inlineStr"/>
      <c r="M891" s="22" t="n">
        <v>1</v>
      </c>
      <c r="N891" s="22" t="inlineStr">
        <is>
          <t>Bursa T2 Kent Meydanı-Terminal tramvay (istasyon+depo) mekanik teklifi; KDV hariç; kur 29.05.2015 EUR 3,02 USD 2,6869. +%40 boru montaj malzemesi ayrı kalem</t>
        </is>
      </c>
    </row>
    <row r="892">
      <c r="A892" s="22" t="inlineStr">
        <is>
          <t>R05751</t>
        </is>
      </c>
      <c r="B892" s="22" t="inlineStr">
        <is>
          <t>Kent Meydani-Terminal Tram</t>
        </is>
      </c>
      <c r="C892" s="22" t="inlineStr">
        <is>
          <t>tramvay</t>
        </is>
      </c>
      <c r="D892" s="22" t="inlineStr">
        <is>
          <t>FER Mekanik Tesisat</t>
        </is>
      </c>
      <c r="E892" s="22" t="inlineStr">
        <is>
          <t>2015-05-29</t>
        </is>
      </c>
      <c r="F892" s="22" t="inlineStr">
        <is>
          <t>Galvaniz boru 2" (sıhhi tesisat, montaj malzemesi %40 hariç)</t>
        </is>
      </c>
      <c r="G892" s="22" t="inlineStr">
        <is>
          <t>mt</t>
        </is>
      </c>
      <c r="H892" s="63" t="n">
        <v>52.28</v>
      </c>
      <c r="I892" s="22" t="inlineStr">
        <is>
          <t>TRY</t>
        </is>
      </c>
      <c r="J892" s="22" t="inlineStr">
        <is>
          <t>M+İ</t>
        </is>
      </c>
      <c r="K892" s="63" t="n">
        <v>23.7569716041186</v>
      </c>
      <c r="L892" s="22" t="inlineStr">
        <is>
          <t>5005.H</t>
        </is>
      </c>
      <c r="M892" s="22" t="n">
        <v>4</v>
      </c>
      <c r="N892" s="22" t="inlineStr">
        <is>
          <t>Bursa T2 Kent Meydanı-Terminal tramvay (istasyon+depo) mekanik teklifi; KDV hariç; kur 29.05.2015 EUR 3,02 USD 2,6869. +%40 boru montaj malzemesi ayrı kalem</t>
        </is>
      </c>
    </row>
    <row r="893">
      <c r="A893" s="22" t="inlineStr">
        <is>
          <t>R05752</t>
        </is>
      </c>
      <c r="B893" s="22" t="inlineStr">
        <is>
          <t>Kent Meydani-Terminal Tram</t>
        </is>
      </c>
      <c r="C893" s="22" t="inlineStr">
        <is>
          <t>tramvay</t>
        </is>
      </c>
      <c r="D893" s="22" t="inlineStr">
        <is>
          <t>FER Mekanik Tesisat</t>
        </is>
      </c>
      <c r="E893" s="22" t="inlineStr">
        <is>
          <t>2015-05-29</t>
        </is>
      </c>
      <c r="F893" s="22" t="inlineStr">
        <is>
          <t>Galvaniz boru 2½" (sıhhi tesisat, montaj malzemesi %40 hariç)</t>
        </is>
      </c>
      <c r="G893" s="22" t="inlineStr">
        <is>
          <t>mt</t>
        </is>
      </c>
      <c r="H893" s="63" t="n">
        <v>62.01</v>
      </c>
      <c r="I893" s="22" t="inlineStr">
        <is>
          <t>TRY</t>
        </is>
      </c>
      <c r="J893" s="22" t="inlineStr">
        <is>
          <t>M+İ</t>
        </is>
      </c>
      <c r="K893" s="63" t="n">
        <v>28.1784584768821</v>
      </c>
      <c r="L893" s="22" t="inlineStr">
        <is>
          <t>5005.H</t>
        </is>
      </c>
      <c r="M893" s="22" t="n">
        <v>3</v>
      </c>
      <c r="N893" s="22" t="inlineStr">
        <is>
          <t>Bursa T2 Kent Meydanı-Terminal tramvay (istasyon+depo) mekanik teklifi; KDV hariç; kur 29.05.2015 EUR 3,02 USD 2,6869. +%40 boru montaj malzemesi ayrı kalem</t>
        </is>
      </c>
    </row>
    <row r="894">
      <c r="A894" s="22" t="inlineStr">
        <is>
          <t>R05753</t>
        </is>
      </c>
      <c r="B894" s="22" t="inlineStr">
        <is>
          <t>Kent Meydani-Terminal Tram</t>
        </is>
      </c>
      <c r="C894" s="22" t="inlineStr">
        <is>
          <t>tramvay</t>
        </is>
      </c>
      <c r="D894" s="22" t="inlineStr">
        <is>
          <t>FER Mekanik Tesisat</t>
        </is>
      </c>
      <c r="E894" s="22" t="inlineStr">
        <is>
          <t>2015-05-29</t>
        </is>
      </c>
      <c r="F894" s="22" t="inlineStr">
        <is>
          <t>Galvaniz boru 3" (sıhhi tesisat, montaj malzemesi %40 hariç)</t>
        </is>
      </c>
      <c r="G894" s="22" t="inlineStr">
        <is>
          <t>mt</t>
        </is>
      </c>
      <c r="H894" s="63" t="n">
        <v>74</v>
      </c>
      <c r="I894" s="22" t="inlineStr">
        <is>
          <t>TRY</t>
        </is>
      </c>
      <c r="J894" s="22" t="inlineStr">
        <is>
          <t>M+İ</t>
        </is>
      </c>
      <c r="K894" s="63" t="n">
        <v>33.6269299675742</v>
      </c>
      <c r="L894" s="22" t="inlineStr">
        <is>
          <t>5009.A</t>
        </is>
      </c>
      <c r="M894" s="22" t="n">
        <v>2</v>
      </c>
      <c r="N894" s="22" t="inlineStr">
        <is>
          <t>Bursa T2 Kent Meydanı-Terminal tramvay (istasyon+depo) mekanik teklifi; KDV hariç; kur 29.05.2015 EUR 3,02 USD 2,6869. +%40 boru montaj malzemesi ayrı kalem</t>
        </is>
      </c>
    </row>
    <row r="895">
      <c r="A895" s="22" t="inlineStr">
        <is>
          <t>R05754</t>
        </is>
      </c>
      <c r="B895" s="22" t="inlineStr">
        <is>
          <t>Kent Meydani-Terminal Tram</t>
        </is>
      </c>
      <c r="C895" s="22" t="inlineStr">
        <is>
          <t>tramvay</t>
        </is>
      </c>
      <c r="D895" s="22" t="inlineStr">
        <is>
          <t>FER Mekanik Tesisat</t>
        </is>
      </c>
      <c r="E895" s="22" t="inlineStr">
        <is>
          <t>2015-05-29</t>
        </is>
      </c>
      <c r="F895" s="22" t="inlineStr">
        <is>
          <t>Galvaniz boru 4" (sıhhi tesisat, montaj malzemesi %40 hariç)</t>
        </is>
      </c>
      <c r="G895" s="22" t="inlineStr">
        <is>
          <t>mt</t>
        </is>
      </c>
      <c r="H895" s="63" t="n">
        <v>87</v>
      </c>
      <c r="I895" s="22" t="inlineStr">
        <is>
          <t>TRY</t>
        </is>
      </c>
      <c r="J895" s="22" t="inlineStr">
        <is>
          <t>M+İ</t>
        </is>
      </c>
      <c r="K895" s="63" t="n">
        <v>39.5343636105264</v>
      </c>
      <c r="L895" s="22" t="inlineStr">
        <is>
          <t>5005.H</t>
        </is>
      </c>
      <c r="M895" s="22" t="n">
        <v>3</v>
      </c>
      <c r="N895" s="22" t="inlineStr">
        <is>
          <t>Bursa T2 Kent Meydanı-Terminal tramvay (istasyon+depo) mekanik teklifi; KDV hariç; kur 29.05.2015 EUR 3,02 USD 2,6869. +%40 boru montaj malzemesi ayrı kalem</t>
        </is>
      </c>
    </row>
    <row r="896">
      <c r="A896" s="22" t="inlineStr">
        <is>
          <t>R05755</t>
        </is>
      </c>
      <c r="B896" s="22" t="inlineStr">
        <is>
          <t>Kent Meydani-Terminal Tram</t>
        </is>
      </c>
      <c r="C896" s="22" t="inlineStr">
        <is>
          <t>tramvay</t>
        </is>
      </c>
      <c r="D896" s="22" t="inlineStr">
        <is>
          <t>FER Mekanik Tesisat</t>
        </is>
      </c>
      <c r="E896" s="22" t="inlineStr">
        <is>
          <t>2015-05-29</t>
        </is>
      </c>
      <c r="F896" s="22" t="inlineStr">
        <is>
          <t>Galvaniz boru 6" (sıhhi tesisat, montaj malzemesi %40 hariç)</t>
        </is>
      </c>
      <c r="G896" s="22" t="inlineStr">
        <is>
          <t>mt</t>
        </is>
      </c>
      <c r="H896" s="63" t="n">
        <v>127</v>
      </c>
      <c r="I896" s="22" t="inlineStr">
        <is>
          <t>TRY</t>
        </is>
      </c>
      <c r="J896" s="22" t="inlineStr">
        <is>
          <t>M+İ</t>
        </is>
      </c>
      <c r="K896" s="63" t="n">
        <v>57.7110825119179</v>
      </c>
      <c r="L896" s="22" t="inlineStr"/>
      <c r="M896" s="22" t="n">
        <v>2</v>
      </c>
      <c r="N896" s="22" t="inlineStr">
        <is>
          <t>Bursa T2 Kent Meydanı-Terminal tramvay (istasyon+depo) mekanik teklifi; KDV hariç; kur 29.05.2015 EUR 3,02 USD 2,6869. +%40 boru montaj malzemesi ayrı kalem</t>
        </is>
      </c>
    </row>
    <row r="897">
      <c r="A897" s="22" t="inlineStr">
        <is>
          <t>R05756</t>
        </is>
      </c>
      <c r="B897" s="22" t="inlineStr">
        <is>
          <t>Kent Meydani-Terminal Tram</t>
        </is>
      </c>
      <c r="C897" s="22" t="inlineStr">
        <is>
          <t>tramvay</t>
        </is>
      </c>
      <c r="D897" s="22" t="inlineStr">
        <is>
          <t>FER Mekanik Tesisat</t>
        </is>
      </c>
      <c r="E897" s="22" t="inlineStr">
        <is>
          <t>2015-05-29</t>
        </is>
      </c>
      <c r="F897" s="22" t="inlineStr">
        <is>
          <t>Hakan PVC pis su borusu Tip1 Ø50 (montaj malz. %50 hariç)</t>
        </is>
      </c>
      <c r="G897" s="22" t="inlineStr">
        <is>
          <t>mt</t>
        </is>
      </c>
      <c r="H897" s="63" t="n">
        <v>9.41</v>
      </c>
      <c r="I897" s="22" t="inlineStr">
        <is>
          <t>TRY</t>
        </is>
      </c>
      <c r="J897" s="22" t="inlineStr">
        <is>
          <t>M+İ</t>
        </is>
      </c>
      <c r="K897" s="63" t="n">
        <v>4.27607312155234</v>
      </c>
      <c r="L897" s="22" t="inlineStr">
        <is>
          <t>5008.A</t>
        </is>
      </c>
      <c r="M897" s="22" t="n">
        <v>1</v>
      </c>
      <c r="N897" s="22" t="inlineStr">
        <is>
          <t>Bursa T2 Kent Meydanı-Terminal tramvay (istasyon+depo) mekanik teklifi; KDV hariç; kur 29.05.2015 EUR 3,02 USD 2,6869. +%50 boru montaj malzemesi ayrı kalem</t>
        </is>
      </c>
    </row>
    <row r="898">
      <c r="A898" s="22" t="inlineStr">
        <is>
          <t>R05757</t>
        </is>
      </c>
      <c r="B898" s="22" t="inlineStr">
        <is>
          <t>Kent Meydani-Terminal Tram</t>
        </is>
      </c>
      <c r="C898" s="22" t="inlineStr">
        <is>
          <t>tramvay</t>
        </is>
      </c>
      <c r="D898" s="22" t="inlineStr">
        <is>
          <t>FER Mekanik Tesisat</t>
        </is>
      </c>
      <c r="E898" s="22" t="inlineStr">
        <is>
          <t>2015-05-29</t>
        </is>
      </c>
      <c r="F898" s="22" t="inlineStr">
        <is>
          <t>Hakan PVC pis su borusu Tip1 Ø75 (montaj malz. %50 hariç)</t>
        </is>
      </c>
      <c r="G898" s="22" t="inlineStr">
        <is>
          <t>mt</t>
        </is>
      </c>
      <c r="H898" s="63" t="n">
        <v>11.79</v>
      </c>
      <c r="I898" s="22" t="inlineStr">
        <is>
          <t>TRY</t>
        </is>
      </c>
      <c r="J898" s="22" t="inlineStr">
        <is>
          <t>M+İ</t>
        </is>
      </c>
      <c r="K898" s="63" t="n">
        <v>5.35758789618513</v>
      </c>
      <c r="L898" s="22" t="inlineStr">
        <is>
          <t>5008.A</t>
        </is>
      </c>
      <c r="M898" s="22" t="n">
        <v>4</v>
      </c>
      <c r="N898" s="22" t="inlineStr">
        <is>
          <t>Bursa T2 Kent Meydanı-Terminal tramvay (istasyon+depo) mekanik teklifi; KDV hariç; kur 29.05.2015 EUR 3,02 USD 2,6869. +%50 boru montaj malzemesi ayrı kalem</t>
        </is>
      </c>
    </row>
    <row r="899">
      <c r="A899" s="22" t="inlineStr">
        <is>
          <t>R05758</t>
        </is>
      </c>
      <c r="B899" s="22" t="inlineStr">
        <is>
          <t>Kent Meydani-Terminal Tram</t>
        </is>
      </c>
      <c r="C899" s="22" t="inlineStr">
        <is>
          <t>tramvay</t>
        </is>
      </c>
      <c r="D899" s="22" t="inlineStr">
        <is>
          <t>FER Mekanik Tesisat</t>
        </is>
      </c>
      <c r="E899" s="22" t="inlineStr">
        <is>
          <t>2015-05-29</t>
        </is>
      </c>
      <c r="F899" s="22" t="inlineStr">
        <is>
          <t>Hakan PVC pis su borusu Tip1 Ø110 (montaj malz. %50 hariç)</t>
        </is>
      </c>
      <c r="G899" s="22" t="inlineStr">
        <is>
          <t>mt</t>
        </is>
      </c>
      <c r="H899" s="63" t="n">
        <v>19.2</v>
      </c>
      <c r="I899" s="22" t="inlineStr">
        <is>
          <t>TRY</t>
        </is>
      </c>
      <c r="J899" s="22" t="inlineStr">
        <is>
          <t>M+İ</t>
        </is>
      </c>
      <c r="K899" s="63" t="n">
        <v>8.724825072667899</v>
      </c>
      <c r="L899" s="22" t="inlineStr">
        <is>
          <t>5008.A</t>
        </is>
      </c>
      <c r="M899" s="22" t="n">
        <v>21</v>
      </c>
      <c r="N899" s="22" t="inlineStr">
        <is>
          <t>Bursa T2 Kent Meydanı-Terminal tramvay (istasyon+depo) mekanik teklifi; KDV hariç; kur 29.05.2015 EUR 3,02 USD 2,6869. +%50 boru montaj malzemesi ayrı kalem</t>
        </is>
      </c>
    </row>
    <row r="900">
      <c r="A900" s="22" t="inlineStr">
        <is>
          <t>R05759</t>
        </is>
      </c>
      <c r="B900" s="22" t="inlineStr">
        <is>
          <t>Kent Meydani-Terminal Tram</t>
        </is>
      </c>
      <c r="C900" s="22" t="inlineStr">
        <is>
          <t>tramvay</t>
        </is>
      </c>
      <c r="D900" s="22" t="inlineStr">
        <is>
          <t>FER Mekanik Tesisat</t>
        </is>
      </c>
      <c r="E900" s="22" t="inlineStr">
        <is>
          <t>2015-05-29</t>
        </is>
      </c>
      <c r="F900" s="22" t="inlineStr">
        <is>
          <t>Hakan PVC pis su borusu Tip1 Ø125 (montaj malz. %50 hariç)</t>
        </is>
      </c>
      <c r="G900" s="22" t="inlineStr">
        <is>
          <t>mt</t>
        </is>
      </c>
      <c r="H900" s="63" t="n">
        <v>26</v>
      </c>
      <c r="I900" s="22" t="inlineStr">
        <is>
          <t>TRY</t>
        </is>
      </c>
      <c r="J900" s="22" t="inlineStr">
        <is>
          <t>M+İ</t>
        </is>
      </c>
      <c r="K900" s="63" t="n">
        <v>11.8148672859044</v>
      </c>
      <c r="L900" s="22" t="inlineStr">
        <is>
          <t>5008.A</t>
        </is>
      </c>
      <c r="M900" s="22" t="n">
        <v>4</v>
      </c>
      <c r="N900" s="22" t="inlineStr">
        <is>
          <t>Bursa T2 Kent Meydanı-Terminal tramvay (istasyon+depo) mekanik teklifi; KDV hariç; kur 29.05.2015 EUR 3,02 USD 2,6869. +%50 boru montaj malzemesi ayrı kalem</t>
        </is>
      </c>
    </row>
    <row r="901">
      <c r="A901" s="22" t="inlineStr">
        <is>
          <t>R05760</t>
        </is>
      </c>
      <c r="B901" s="22" t="inlineStr">
        <is>
          <t>Kent Meydani-Terminal Tram</t>
        </is>
      </c>
      <c r="C901" s="22" t="inlineStr">
        <is>
          <t>tramvay</t>
        </is>
      </c>
      <c r="D901" s="22" t="inlineStr">
        <is>
          <t>FER Mekanik Tesisat</t>
        </is>
      </c>
      <c r="E901" s="22" t="inlineStr">
        <is>
          <t>2015-05-29</t>
        </is>
      </c>
      <c r="F901" s="22" t="inlineStr">
        <is>
          <t>Hakan PVC pis su borusu Tip1 Ø150 (montaj malz. %50 hariç)</t>
        </is>
      </c>
      <c r="G901" s="22" t="inlineStr">
        <is>
          <t>mt</t>
        </is>
      </c>
      <c r="H901" s="63" t="n">
        <v>38</v>
      </c>
      <c r="I901" s="22" t="inlineStr">
        <is>
          <t>TRY</t>
        </is>
      </c>
      <c r="J901" s="22" t="inlineStr">
        <is>
          <t>M+İ</t>
        </is>
      </c>
      <c r="K901" s="63" t="n">
        <v>17.2678829563219</v>
      </c>
      <c r="L901" s="22" t="inlineStr"/>
      <c r="M901" s="22" t="n">
        <v>1</v>
      </c>
      <c r="N901" s="22" t="inlineStr">
        <is>
          <t>Bursa T2 Kent Meydanı-Terminal tramvay (istasyon+depo) mekanik teklifi; KDV hariç; kur 29.05.2015 EUR 3,02 USD 2,6869. +%50 boru montaj malzemesi ayrı kalem</t>
        </is>
      </c>
    </row>
    <row r="902">
      <c r="A902" s="22" t="inlineStr">
        <is>
          <t>R05761</t>
        </is>
      </c>
      <c r="B902" s="22" t="inlineStr">
        <is>
          <t>Kent Meydani-Terminal Tram</t>
        </is>
      </c>
      <c r="C902" s="22" t="inlineStr">
        <is>
          <t>tramvay</t>
        </is>
      </c>
      <c r="D902" s="22" t="inlineStr">
        <is>
          <t>FER Mekanik Tesisat</t>
        </is>
      </c>
      <c r="E902" s="22" t="inlineStr">
        <is>
          <t>2015-05-29</t>
        </is>
      </c>
      <c r="F902" s="22" t="inlineStr">
        <is>
          <t>Hakan PVC pis su borusu Tip1 Ø200 (montaj malz. %50 hariç)</t>
        </is>
      </c>
      <c r="G902" s="22" t="inlineStr">
        <is>
          <t>mt</t>
        </is>
      </c>
      <c r="H902" s="63" t="n">
        <v>57</v>
      </c>
      <c r="I902" s="22" t="inlineStr">
        <is>
          <t>TRY</t>
        </is>
      </c>
      <c r="J902" s="22" t="inlineStr">
        <is>
          <t>M+İ</t>
        </is>
      </c>
      <c r="K902" s="63" t="n">
        <v>25.9018244344828</v>
      </c>
      <c r="L902" s="22" t="inlineStr"/>
      <c r="M902" s="22" t="n">
        <v>1</v>
      </c>
      <c r="N902" s="22" t="inlineStr">
        <is>
          <t>Bursa T2 Kent Meydanı-Terminal tramvay (istasyon+depo) mekanik teklifi; KDV hariç; kur 29.05.2015 EUR 3,02 USD 2,6869. +%50 boru montaj malzemesi ayrı kalem</t>
        </is>
      </c>
    </row>
    <row r="903">
      <c r="A903" s="22" t="inlineStr">
        <is>
          <t>R05762</t>
        </is>
      </c>
      <c r="B903" s="22" t="inlineStr">
        <is>
          <t>Kent Meydani-Terminal Tram</t>
        </is>
      </c>
      <c r="C903" s="22" t="inlineStr">
        <is>
          <t>tramvay</t>
        </is>
      </c>
      <c r="D903" s="22" t="inlineStr">
        <is>
          <t>FER Mekanik Tesisat</t>
        </is>
      </c>
      <c r="E903" s="22" t="inlineStr">
        <is>
          <t>2015-05-29</t>
        </is>
      </c>
      <c r="F903" s="22" t="inlineStr">
        <is>
          <t>Hakan koruge boru Ø100 (saha drenajı)</t>
        </is>
      </c>
      <c r="G903" s="22" t="inlineStr">
        <is>
          <t>mt</t>
        </is>
      </c>
      <c r="H903" s="63" t="n">
        <v>7.56</v>
      </c>
      <c r="I903" s="22" t="inlineStr">
        <is>
          <t>USD</t>
        </is>
      </c>
      <c r="J903" s="22" t="inlineStr">
        <is>
          <t>M+İ</t>
        </is>
      </c>
      <c r="K903" s="63" t="n">
        <v>9.14060633313863</v>
      </c>
      <c r="L903" s="22" t="inlineStr">
        <is>
          <t>5006.İ</t>
        </is>
      </c>
      <c r="M903" s="22" t="n">
        <v>6</v>
      </c>
      <c r="N903" s="22" t="inlineStr">
        <is>
          <t>Bursa T2 Kent Meydanı-Terminal tramvay (istasyon+depo) mekanik teklifi; KDV hariç; kur 29.05.2015 EUR 3,02 USD 2,6869.</t>
        </is>
      </c>
    </row>
    <row r="904">
      <c r="A904" s="22" t="inlineStr">
        <is>
          <t>R05764</t>
        </is>
      </c>
      <c r="B904" s="22" t="inlineStr">
        <is>
          <t>Kent Meydani-Terminal Tram</t>
        </is>
      </c>
      <c r="C904" s="22" t="inlineStr">
        <is>
          <t>tramvay</t>
        </is>
      </c>
      <c r="D904" s="22" t="inlineStr">
        <is>
          <t>FER Mekanik Tesisat</t>
        </is>
      </c>
      <c r="E904" s="22" t="inlineStr">
        <is>
          <t>2015-05-29</t>
        </is>
      </c>
      <c r="F904" s="22" t="inlineStr">
        <is>
          <t>Hakan koruge boru Ø200 (saha drenajı)</t>
        </is>
      </c>
      <c r="G904" s="22" t="inlineStr">
        <is>
          <t>mt</t>
        </is>
      </c>
      <c r="H904" s="63" t="n">
        <v>13.11</v>
      </c>
      <c r="I904" s="22" t="inlineStr">
        <is>
          <t>USD</t>
        </is>
      </c>
      <c r="J904" s="22" t="inlineStr">
        <is>
          <t>M+İ</t>
        </is>
      </c>
      <c r="K904" s="63" t="n">
        <v>15.8509720935777</v>
      </c>
      <c r="L904" s="22" t="inlineStr"/>
      <c r="M904" s="22" t="n">
        <v>1</v>
      </c>
      <c r="N904" s="22" t="inlineStr">
        <is>
          <t>Bursa T2 Kent Meydanı-Terminal tramvay (istasyon+depo) mekanik teklifi; KDV hariç; kur 29.05.2015 EUR 3,02 USD 2,6869.</t>
        </is>
      </c>
    </row>
    <row r="905">
      <c r="A905" s="22" t="inlineStr">
        <is>
          <t>R05767</t>
        </is>
      </c>
      <c r="B905" s="22" t="inlineStr">
        <is>
          <t>Kent Meydani-Terminal Tram</t>
        </is>
      </c>
      <c r="C905" s="22" t="inlineStr">
        <is>
          <t>tramvay</t>
        </is>
      </c>
      <c r="D905" s="22" t="inlineStr">
        <is>
          <t>FER Mekanik Tesisat</t>
        </is>
      </c>
      <c r="E905" s="22" t="inlineStr">
        <is>
          <t>2015-05-29</t>
        </is>
      </c>
      <c r="F905" s="22" t="inlineStr">
        <is>
          <t>Hakan PPRC boru ½" (Ø20)</t>
        </is>
      </c>
      <c r="G905" s="22" t="inlineStr">
        <is>
          <t>mt</t>
        </is>
      </c>
      <c r="H905" s="63" t="n">
        <v>6.41</v>
      </c>
      <c r="I905" s="22" t="inlineStr">
        <is>
          <t>TRY</t>
        </is>
      </c>
      <c r="J905" s="22" t="inlineStr">
        <is>
          <t>M+İ</t>
        </is>
      </c>
      <c r="K905" s="63" t="n">
        <v>2.91281920394798</v>
      </c>
      <c r="L905" s="22" t="inlineStr">
        <is>
          <t>5007.A</t>
        </is>
      </c>
      <c r="M905" s="22" t="n">
        <v>12</v>
      </c>
      <c r="N905" s="22" t="inlineStr">
        <is>
          <t>Bursa T2 Kent Meydanı-Terminal tramvay (istasyon+depo) mekanik teklifi; KDV hariç; kur 29.05.2015 EUR 3,02 USD 2,6869. izolasyon ayrı (İzocamflex 18/13 3,80 TL/m)</t>
        </is>
      </c>
    </row>
    <row r="906">
      <c r="A906" s="22" t="inlineStr">
        <is>
          <t>R05768</t>
        </is>
      </c>
      <c r="B906" s="22" t="inlineStr">
        <is>
          <t>Kent Meydani-Terminal Tram</t>
        </is>
      </c>
      <c r="C906" s="22" t="inlineStr">
        <is>
          <t>tramvay</t>
        </is>
      </c>
      <c r="D906" s="22" t="inlineStr">
        <is>
          <t>FER Mekanik Tesisat</t>
        </is>
      </c>
      <c r="E906" s="22" t="inlineStr">
        <is>
          <t>2015-05-29</t>
        </is>
      </c>
      <c r="F906" s="22" t="inlineStr">
        <is>
          <t>Hakan PPRC boru ¾" (Ø25)</t>
        </is>
      </c>
      <c r="G906" s="22" t="inlineStr">
        <is>
          <t>mt</t>
        </is>
      </c>
      <c r="H906" s="63" t="n">
        <v>7.52</v>
      </c>
      <c r="I906" s="22" t="inlineStr">
        <is>
          <t>TRY</t>
        </is>
      </c>
      <c r="J906" s="22" t="inlineStr">
        <is>
          <t>M+İ</t>
        </is>
      </c>
      <c r="K906" s="63" t="n">
        <v>3.41722315346159</v>
      </c>
      <c r="L906" s="22" t="inlineStr">
        <is>
          <t>5007.A</t>
        </is>
      </c>
      <c r="M906" s="22" t="n">
        <v>15</v>
      </c>
      <c r="N906" s="22" t="inlineStr">
        <is>
          <t>Bursa T2 Kent Meydanı-Terminal tramvay (istasyon+depo) mekanik teklifi; KDV hariç; kur 29.05.2015 EUR 3,02 USD 2,6869. izolasyon ayrı (İzocamflex 18/13 3,80 TL/m)</t>
        </is>
      </c>
    </row>
    <row r="907">
      <c r="A907" s="22" t="inlineStr">
        <is>
          <t>R05769</t>
        </is>
      </c>
      <c r="B907" s="22" t="inlineStr">
        <is>
          <t>Kent Meydani-Terminal Tram</t>
        </is>
      </c>
      <c r="C907" s="22" t="inlineStr">
        <is>
          <t>tramvay</t>
        </is>
      </c>
      <c r="D907" s="22" t="inlineStr">
        <is>
          <t>FER Mekanik Tesisat</t>
        </is>
      </c>
      <c r="E907" s="22" t="inlineStr">
        <is>
          <t>2015-05-29</t>
        </is>
      </c>
      <c r="F907" s="22" t="inlineStr">
        <is>
          <t>Hakan PPRC boru 1" (Ø32)</t>
        </is>
      </c>
      <c r="G907" s="22" t="inlineStr">
        <is>
          <t>mt</t>
        </is>
      </c>
      <c r="H907" s="63" t="n">
        <v>9.83</v>
      </c>
      <c r="I907" s="22" t="inlineStr">
        <is>
          <t>TRY</t>
        </is>
      </c>
      <c r="J907" s="22" t="inlineStr">
        <is>
          <t>M+İ</t>
        </is>
      </c>
      <c r="K907" s="63" t="n">
        <v>4.46692867001695</v>
      </c>
      <c r="L907" s="22" t="inlineStr">
        <is>
          <t>5007.A</t>
        </is>
      </c>
      <c r="M907" s="22" t="n">
        <v>5</v>
      </c>
      <c r="N907" s="22" t="inlineStr">
        <is>
          <t>Bursa T2 Kent Meydanı-Terminal tramvay (istasyon+depo) mekanik teklifi; KDV hariç; kur 29.05.2015 EUR 3,02 USD 2,6869. izolasyon ayrı (İzocamflex 18/13 3,80 TL/m)</t>
        </is>
      </c>
    </row>
    <row r="908">
      <c r="A908" s="22" t="inlineStr">
        <is>
          <t>R05770</t>
        </is>
      </c>
      <c r="B908" s="22" t="inlineStr">
        <is>
          <t>Kent Meydani-Terminal Tram</t>
        </is>
      </c>
      <c r="C908" s="22" t="inlineStr">
        <is>
          <t>tramvay</t>
        </is>
      </c>
      <c r="D908" s="22" t="inlineStr">
        <is>
          <t>FER Mekanik Tesisat</t>
        </is>
      </c>
      <c r="E908" s="22" t="inlineStr">
        <is>
          <t>2015-05-29</t>
        </is>
      </c>
      <c r="F908" s="22" t="inlineStr">
        <is>
          <t>Hakan PPRC boru 1¼" (Ø40)</t>
        </is>
      </c>
      <c r="G908" s="22" t="inlineStr">
        <is>
          <t>mt</t>
        </is>
      </c>
      <c r="H908" s="63" t="n">
        <v>13.65</v>
      </c>
      <c r="I908" s="22" t="inlineStr">
        <is>
          <t>TRY</t>
        </is>
      </c>
      <c r="J908" s="22" t="inlineStr">
        <is>
          <t>M+İ</t>
        </is>
      </c>
      <c r="K908" s="63" t="n">
        <v>6.20280532509984</v>
      </c>
      <c r="L908" s="22" t="inlineStr">
        <is>
          <t>5007.A</t>
        </is>
      </c>
      <c r="M908" s="22" t="n">
        <v>1</v>
      </c>
      <c r="N908" s="22" t="inlineStr">
        <is>
          <t>Bursa T2 Kent Meydanı-Terminal tramvay (istasyon+depo) mekanik teklifi; KDV hariç; kur 29.05.2015 EUR 3,02 USD 2,6869. izolasyon ayrı (İzocamflex 18/13 3,80 TL/m)</t>
        </is>
      </c>
    </row>
    <row r="909">
      <c r="A909" s="22" t="inlineStr">
        <is>
          <t>R05771</t>
        </is>
      </c>
      <c r="B909" s="22" t="inlineStr">
        <is>
          <t>Kent Meydani-Terminal Tram</t>
        </is>
      </c>
      <c r="C909" s="22" t="inlineStr">
        <is>
          <t>tramvay</t>
        </is>
      </c>
      <c r="D909" s="22" t="inlineStr">
        <is>
          <t>FER Mekanik Tesisat</t>
        </is>
      </c>
      <c r="E909" s="22" t="inlineStr">
        <is>
          <t>2015-05-29</t>
        </is>
      </c>
      <c r="F909" s="22" t="inlineStr">
        <is>
          <t>Hakan PPRC boru 1½" (Ø50)</t>
        </is>
      </c>
      <c r="G909" s="22" t="inlineStr">
        <is>
          <t>mt</t>
        </is>
      </c>
      <c r="H909" s="63" t="n">
        <v>19.5</v>
      </c>
      <c r="I909" s="22" t="inlineStr">
        <is>
          <t>TRY</t>
        </is>
      </c>
      <c r="J909" s="22" t="inlineStr">
        <is>
          <t>M+İ</t>
        </is>
      </c>
      <c r="K909" s="63" t="n">
        <v>8.861150464428331</v>
      </c>
      <c r="L909" s="22" t="inlineStr">
        <is>
          <t>5007.A</t>
        </is>
      </c>
      <c r="M909" s="22" t="n">
        <v>1</v>
      </c>
      <c r="N909" s="22" t="inlineStr">
        <is>
          <t>Bursa T2 Kent Meydanı-Terminal tramvay (istasyon+depo) mekanik teklifi; KDV hariç; kur 29.05.2015 EUR 3,02 USD 2,6869. izolasyon ayrı (İzocamflex 18/13 3,80 TL/m)</t>
        </is>
      </c>
    </row>
    <row r="910">
      <c r="A910" s="22" t="inlineStr">
        <is>
          <t>R05776</t>
        </is>
      </c>
      <c r="B910" s="22" t="inlineStr">
        <is>
          <t>Kent Meydani-Terminal Tram</t>
        </is>
      </c>
      <c r="C910" s="22" t="inlineStr">
        <is>
          <t>tramvay</t>
        </is>
      </c>
      <c r="D910" s="22" t="inlineStr">
        <is>
          <t>FER Mekanik Tesisat</t>
        </is>
      </c>
      <c r="E910" s="22" t="inlineStr">
        <is>
          <t>2015-05-29</t>
        </is>
      </c>
      <c r="F910" s="22" t="inlineStr">
        <is>
          <t>Wilo TP-P 30-T dalgıç kirli su pompası 2,2 kW</t>
        </is>
      </c>
      <c r="G910" s="22" t="inlineStr">
        <is>
          <t>Ad.</t>
        </is>
      </c>
      <c r="H910" s="63" t="n">
        <v>780</v>
      </c>
      <c r="I910" s="22" t="inlineStr">
        <is>
          <t>EUR</t>
        </is>
      </c>
      <c r="J910" s="22" t="inlineStr">
        <is>
          <t>M+İ</t>
        </is>
      </c>
      <c r="K910" s="63" t="n">
        <v>1034.55703902294</v>
      </c>
      <c r="L910" s="22" t="inlineStr">
        <is>
          <t>5006.H</t>
        </is>
      </c>
      <c r="M910" s="22" t="n">
        <v>1</v>
      </c>
      <c r="N910" s="22" t="inlineStr">
        <is>
          <t>Bursa T2 Kent Meydanı-Terminal tramvay (istasyon+depo) mekanik teklifi; KDV hariç; kur 29.05.2015 EUR 3,02 USD 2,6869.</t>
        </is>
      </c>
    </row>
    <row r="911">
      <c r="A911" s="22" t="inlineStr">
        <is>
          <t>R05778</t>
        </is>
      </c>
      <c r="B911" s="22" t="inlineStr">
        <is>
          <t>Kent Meydani-Terminal Tram</t>
        </is>
      </c>
      <c r="C911" s="22" t="inlineStr">
        <is>
          <t>tramvay</t>
        </is>
      </c>
      <c r="D911" s="22" t="inlineStr">
        <is>
          <t>FER Mekanik Tesisat</t>
        </is>
      </c>
      <c r="E911" s="22" t="inlineStr">
        <is>
          <t>2015-05-29</t>
        </is>
      </c>
      <c r="F911" s="22" t="inlineStr">
        <is>
          <t>Öz-Sarıgüller yağ tutucu S900B DN100 2 l/s paslanmaz</t>
        </is>
      </c>
      <c r="G911" s="22" t="inlineStr">
        <is>
          <t>Ad</t>
        </is>
      </c>
      <c r="H911" s="63" t="n">
        <v>5109.25</v>
      </c>
      <c r="I911" s="22" t="inlineStr">
        <is>
          <t>TRY</t>
        </is>
      </c>
      <c r="J911" s="22" t="inlineStr">
        <is>
          <t>M+İ</t>
        </is>
      </c>
      <c r="K911" s="63" t="n">
        <v>2321.73502617336</v>
      </c>
      <c r="L911" s="22" t="inlineStr">
        <is>
          <t>5008.A</t>
        </is>
      </c>
      <c r="M911" s="22" t="n">
        <v>1</v>
      </c>
      <c r="N911" s="22" t="inlineStr">
        <is>
          <t>Bursa T2 Kent Meydanı-Terminal tramvay (istasyon+depo) mekanik teklifi; KDV hariç; kur 29.05.2015 EUR 3,02 USD 2,6869.</t>
        </is>
      </c>
    </row>
    <row r="912">
      <c r="A912" s="22" t="inlineStr">
        <is>
          <t>R05780</t>
        </is>
      </c>
      <c r="B912" s="22" t="inlineStr">
        <is>
          <t>Kent Meydani-Terminal Tram</t>
        </is>
      </c>
      <c r="C912" s="22" t="inlineStr">
        <is>
          <t>tramvay</t>
        </is>
      </c>
      <c r="D912" s="22" t="inlineStr">
        <is>
          <t>FER Mekanik Tesisat</t>
        </is>
      </c>
      <c r="E912" s="22" t="inlineStr">
        <is>
          <t>2015-05-29</t>
        </is>
      </c>
      <c r="F912" s="22" t="inlineStr">
        <is>
          <t>Hakan HDPE boru PN16 2½"</t>
        </is>
      </c>
      <c r="G912" s="22" t="inlineStr">
        <is>
          <t>mt</t>
        </is>
      </c>
      <c r="H912" s="63" t="n">
        <v>32.02</v>
      </c>
      <c r="I912" s="22" t="inlineStr">
        <is>
          <t>TRY</t>
        </is>
      </c>
      <c r="J912" s="22" t="inlineStr">
        <is>
          <t>M+İ</t>
        </is>
      </c>
      <c r="K912" s="63" t="n">
        <v>14.5504634805639</v>
      </c>
      <c r="L912" s="22" t="inlineStr">
        <is>
          <t>5007.A</t>
        </is>
      </c>
      <c r="M912" s="22" t="n">
        <v>2</v>
      </c>
      <c r="N912" s="22" t="inlineStr">
        <is>
          <t>Bursa T2 Kent Meydanı-Terminal tramvay (istasyon+depo) mekanik teklifi; KDV hariç; kur 29.05.2015 EUR 3,02 USD 2,6869.</t>
        </is>
      </c>
    </row>
    <row r="913">
      <c r="A913" s="22" t="inlineStr">
        <is>
          <t>R05781</t>
        </is>
      </c>
      <c r="B913" s="22" t="inlineStr">
        <is>
          <t>Kent Meydani-Terminal Tram</t>
        </is>
      </c>
      <c r="C913" s="22" t="inlineStr">
        <is>
          <t>tramvay</t>
        </is>
      </c>
      <c r="D913" s="22" t="inlineStr">
        <is>
          <t>FER Mekanik Tesisat</t>
        </is>
      </c>
      <c r="E913" s="22" t="inlineStr">
        <is>
          <t>2015-05-29</t>
        </is>
      </c>
      <c r="F913" s="22" t="inlineStr">
        <is>
          <t>Teknopomp yangın pompa seti: elektrikli AUE 21 80/250 75 kW 100 mSS + dizel AUED 68 kW + jokey MNV 32-609 3 kW 110 mSS, NFPA 20, panolar dahil</t>
        </is>
      </c>
      <c r="G913" s="22" t="inlineStr">
        <is>
          <t>set</t>
        </is>
      </c>
      <c r="H913" s="63" t="n">
        <v>38800</v>
      </c>
      <c r="I913" s="22" t="inlineStr">
        <is>
          <t>TRY</t>
        </is>
      </c>
      <c r="J913" s="22" t="inlineStr">
        <is>
          <t>M+İ</t>
        </is>
      </c>
      <c r="K913" s="63" t="n">
        <v>17631.4173343497</v>
      </c>
      <c r="L913" s="22" t="inlineStr">
        <is>
          <t>5005.H</t>
        </is>
      </c>
      <c r="M913" s="22" t="n">
        <v>1</v>
      </c>
      <c r="N913" s="22" t="inlineStr">
        <is>
          <t>Bursa T2 Kent Meydanı-Terminal tramvay (istasyon+depo) mekanik teklifi; KDV hariç; kur 29.05.2015 EUR 3,02 USD 2,6869. elektrikli+dizel+jokey komple set fiyatı; debi belirtilmemiş</t>
        </is>
      </c>
    </row>
    <row r="914">
      <c r="A914" s="22" t="inlineStr">
        <is>
          <t>R05782</t>
        </is>
      </c>
      <c r="B914" s="22" t="inlineStr">
        <is>
          <t>Kent Meydani-Terminal Tram</t>
        </is>
      </c>
      <c r="C914" s="22" t="inlineStr">
        <is>
          <t>tramvay</t>
        </is>
      </c>
      <c r="D914" s="22" t="inlineStr">
        <is>
          <t>FER Mekanik Tesisat</t>
        </is>
      </c>
      <c r="E914" s="22" t="inlineStr">
        <is>
          <t>2015-05-29</t>
        </is>
      </c>
      <c r="F914" s="22" t="inlineStr">
        <is>
          <t>Alarm yangın dolabı VT Vision 1" 25 m hortum, 6 kg KKT söndürücülü</t>
        </is>
      </c>
      <c r="G914" s="22" t="inlineStr">
        <is>
          <t>Ad</t>
        </is>
      </c>
      <c r="H914" s="63" t="n">
        <v>640</v>
      </c>
      <c r="I914" s="22" t="inlineStr">
        <is>
          <t>TRY</t>
        </is>
      </c>
      <c r="J914" s="22" t="inlineStr">
        <is>
          <t>M+İ</t>
        </is>
      </c>
      <c r="K914" s="63" t="n">
        <v>290.827502422263</v>
      </c>
      <c r="L914" s="22" t="inlineStr">
        <is>
          <t>5005.H</t>
        </is>
      </c>
      <c r="M914" s="22" t="n">
        <v>1</v>
      </c>
      <c r="N914" s="22" t="inlineStr">
        <is>
          <t>Bursa T2 Kent Meydanı-Terminal tramvay (istasyon+depo) mekanik teklifi; KDV hariç; kur 29.05.2015 EUR 3,02 USD 2,6869.</t>
        </is>
      </c>
    </row>
    <row r="915">
      <c r="A915" s="22" t="inlineStr">
        <is>
          <t>R05786</t>
        </is>
      </c>
      <c r="B915" s="22" t="inlineStr">
        <is>
          <t>Kent Meydani-Terminal Tram</t>
        </is>
      </c>
      <c r="C915" s="22" t="inlineStr">
        <is>
          <t>tramvay</t>
        </is>
      </c>
      <c r="D915" s="22" t="inlineStr">
        <is>
          <t>FER Mekanik Tesisat</t>
        </is>
      </c>
      <c r="E915" s="22" t="inlineStr">
        <is>
          <t>2015-05-29</t>
        </is>
      </c>
      <c r="F915" s="22" t="inlineStr">
        <is>
          <t>Hakan HDPE boru PN16 4" (saha yangın hattı)</t>
        </is>
      </c>
      <c r="G915" s="22" t="inlineStr">
        <is>
          <t>mt</t>
        </is>
      </c>
      <c r="H915" s="63" t="n">
        <v>48</v>
      </c>
      <c r="I915" s="22" t="inlineStr">
        <is>
          <t>TRY</t>
        </is>
      </c>
      <c r="J915" s="22" t="inlineStr">
        <is>
          <t>M+İ</t>
        </is>
      </c>
      <c r="K915" s="63" t="n">
        <v>21.8120626816698</v>
      </c>
      <c r="L915" s="22" t="inlineStr">
        <is>
          <t>5005.H</t>
        </is>
      </c>
      <c r="M915" s="22" t="n">
        <v>1</v>
      </c>
      <c r="N915" s="22" t="inlineStr">
        <is>
          <t>Bursa T2 Kent Meydanı-Terminal tramvay (istasyon+depo) mekanik teklifi; KDV hariç; kur 29.05.2015 EUR 3,02 USD 2,6869.</t>
        </is>
      </c>
    </row>
    <row r="916">
      <c r="A916" s="22" t="inlineStr">
        <is>
          <t>R05787</t>
        </is>
      </c>
      <c r="B916" s="22" t="inlineStr">
        <is>
          <t>Kent Meydani-Terminal Tram</t>
        </is>
      </c>
      <c r="C916" s="22" t="inlineStr">
        <is>
          <t>tramvay</t>
        </is>
      </c>
      <c r="D916" s="22" t="inlineStr">
        <is>
          <t>FER Mekanik Tesisat</t>
        </is>
      </c>
      <c r="E916" s="22" t="inlineStr">
        <is>
          <t>2015-05-29</t>
        </is>
      </c>
      <c r="F916" s="22" t="inlineStr">
        <is>
          <t>Hakan HDPE boru PN16 6" (saha yangın hattı)</t>
        </is>
      </c>
      <c r="G916" s="22" t="inlineStr">
        <is>
          <t>mt</t>
        </is>
      </c>
      <c r="H916" s="63" t="n">
        <v>103</v>
      </c>
      <c r="I916" s="22" t="inlineStr">
        <is>
          <t>TRY</t>
        </is>
      </c>
      <c r="J916" s="22" t="inlineStr">
        <is>
          <t>M+İ</t>
        </is>
      </c>
      <c r="K916" s="63" t="n">
        <v>46.805051171083</v>
      </c>
      <c r="L916" s="22" t="inlineStr">
        <is>
          <t>5005.H</t>
        </is>
      </c>
      <c r="M916" s="22" t="n">
        <v>1</v>
      </c>
      <c r="N916" s="22" t="inlineStr">
        <is>
          <t>Bursa T2 Kent Meydanı-Terminal tramvay (istasyon+depo) mekanik teklifi; KDV hariç; kur 29.05.2015 EUR 3,02 USD 2,6869.</t>
        </is>
      </c>
    </row>
    <row r="917">
      <c r="A917" s="22" t="inlineStr">
        <is>
          <t>R05788</t>
        </is>
      </c>
      <c r="B917" s="22" t="inlineStr">
        <is>
          <t>Kent Meydani-Terminal Tram</t>
        </is>
      </c>
      <c r="C917" s="22" t="inlineStr">
        <is>
          <t>tramvay</t>
        </is>
      </c>
      <c r="D917" s="22" t="inlineStr">
        <is>
          <t>FER Mekanik Tesisat</t>
        </is>
      </c>
      <c r="E917" s="22" t="inlineStr">
        <is>
          <t>2015-05-29</t>
        </is>
      </c>
      <c r="F917" s="22" t="inlineStr">
        <is>
          <t>FM200 gazlı söndürme sistemi (1 takım)</t>
        </is>
      </c>
      <c r="G917" s="22" t="inlineStr">
        <is>
          <t>tk</t>
        </is>
      </c>
      <c r="H917" s="63" t="n">
        <v>7800</v>
      </c>
      <c r="I917" s="22" t="inlineStr">
        <is>
          <t>EUR</t>
        </is>
      </c>
      <c r="J917" s="22" t="inlineStr">
        <is>
          <t>M+İ</t>
        </is>
      </c>
      <c r="K917" s="63" t="n">
        <v>10345.5703902294</v>
      </c>
      <c r="L917" s="22" t="inlineStr">
        <is>
          <t>5005.H</t>
        </is>
      </c>
      <c r="M917" s="22" t="n">
        <v>1</v>
      </c>
      <c r="N917" s="22" t="inlineStr">
        <is>
          <t>Bursa T2 Kent Meydanı-Terminal tramvay (istasyon+depo) mekanik teklifi; KDV hariç; kur 29.05.2015 EUR 3,02 USD 2,6869. hacim/silindir belirtilmemiş</t>
        </is>
      </c>
    </row>
    <row r="918">
      <c r="A918" s="22" t="inlineStr">
        <is>
          <t>R05789</t>
        </is>
      </c>
      <c r="B918" s="22" t="inlineStr">
        <is>
          <t>Kent Meydani-Terminal Tram</t>
        </is>
      </c>
      <c r="C918" s="22" t="inlineStr">
        <is>
          <t>tramvay</t>
        </is>
      </c>
      <c r="D918" s="22" t="inlineStr">
        <is>
          <t>FER Mekanik Tesisat</t>
        </is>
      </c>
      <c r="E918" s="22" t="inlineStr">
        <is>
          <t>2015-05-29</t>
        </is>
      </c>
      <c r="F918" s="22" t="inlineStr">
        <is>
          <t>Kurarır yangın tüpü 6 kg KKT</t>
        </is>
      </c>
      <c r="G918" s="22" t="inlineStr">
        <is>
          <t>Ad</t>
        </is>
      </c>
      <c r="H918" s="63" t="n">
        <v>81</v>
      </c>
      <c r="I918" s="22" t="inlineStr">
        <is>
          <t>TRY</t>
        </is>
      </c>
      <c r="J918" s="22" t="inlineStr">
        <is>
          <t>Malzeme</t>
        </is>
      </c>
      <c r="K918" s="63" t="n">
        <v>36.8078557753177</v>
      </c>
      <c r="L918" s="22" t="inlineStr">
        <is>
          <t>5005.A</t>
        </is>
      </c>
      <c r="M918" s="22" t="n">
        <v>9</v>
      </c>
      <c r="N918" s="22" t="inlineStr">
        <is>
          <t>Bursa T2 Kent Meydanı-Terminal tramvay (istasyon+depo) mekanik teklifi; KDV hariç; kur 29.05.2015 EUR 3,02 USD 2,6869.</t>
        </is>
      </c>
    </row>
    <row r="919">
      <c r="A919" s="22" t="inlineStr">
        <is>
          <t>R05790</t>
        </is>
      </c>
      <c r="B919" s="22" t="inlineStr">
        <is>
          <t>Kent Meydani-Terminal Tram</t>
        </is>
      </c>
      <c r="C919" s="22" t="inlineStr">
        <is>
          <t>tramvay</t>
        </is>
      </c>
      <c r="D919" s="22" t="inlineStr">
        <is>
          <t>FER Mekanik Tesisat</t>
        </is>
      </c>
      <c r="E919" s="22" t="inlineStr">
        <is>
          <t>2015-05-29</t>
        </is>
      </c>
      <c r="F919" s="22" t="inlineStr">
        <is>
          <t>Giacomini itfaiye bağlantı ağzı 4"x2½"x2½" UL/FM</t>
        </is>
      </c>
      <c r="G919" s="22" t="inlineStr">
        <is>
          <t>Ad</t>
        </is>
      </c>
      <c r="H919" s="63" t="n">
        <v>205</v>
      </c>
      <c r="I919" s="22" t="inlineStr">
        <is>
          <t>USD</t>
        </is>
      </c>
      <c r="J919" s="22" t="inlineStr">
        <is>
          <t>M+İ</t>
        </is>
      </c>
      <c r="K919" s="63" t="n">
        <v>247.860356917119</v>
      </c>
      <c r="L919" s="22" t="inlineStr">
        <is>
          <t>5005.H</t>
        </is>
      </c>
      <c r="M919" s="22" t="n">
        <v>1</v>
      </c>
      <c r="N919" s="22" t="inlineStr">
        <is>
          <t>Bursa T2 Kent Meydanı-Terminal tramvay (istasyon+depo) mekanik teklifi; KDV hariç; kur 29.05.2015 EUR 3,02 USD 2,6869.</t>
        </is>
      </c>
    </row>
    <row r="920">
      <c r="A920" s="22" t="inlineStr">
        <is>
          <t>R05791</t>
        </is>
      </c>
      <c r="B920" s="22" t="inlineStr">
        <is>
          <t>Kent Meydani-Terminal Tram</t>
        </is>
      </c>
      <c r="C920" s="22" t="inlineStr">
        <is>
          <t>tramvay</t>
        </is>
      </c>
      <c r="D920" s="22" t="inlineStr">
        <is>
          <t>FER Mekanik Tesisat</t>
        </is>
      </c>
      <c r="E920" s="22" t="inlineStr">
        <is>
          <t>2015-05-29</t>
        </is>
      </c>
      <c r="F920" s="22" t="inlineStr">
        <is>
          <t>Globe kelebek vana 4" izleme anahtarlı UL/FM</t>
        </is>
      </c>
      <c r="G920" s="22" t="inlineStr">
        <is>
          <t>Ad</t>
        </is>
      </c>
      <c r="H920" s="63" t="n">
        <v>276.25</v>
      </c>
      <c r="I920" s="22" t="inlineStr">
        <is>
          <t>USD</t>
        </is>
      </c>
      <c r="J920" s="22" t="inlineStr">
        <is>
          <t>M+İ</t>
        </is>
      </c>
      <c r="K920" s="63" t="n">
        <v>334.006944382215</v>
      </c>
      <c r="L920" s="22" t="inlineStr">
        <is>
          <t>5005.H</t>
        </is>
      </c>
      <c r="M920" s="22" t="n">
        <v>2</v>
      </c>
      <c r="N920" s="22" t="inlineStr">
        <is>
          <t>Bursa T2 Kent Meydanı-Terminal tramvay (istasyon+depo) mekanik teklifi; KDV hariç; kur 29.05.2015 EUR 3,02 USD 2,6869.</t>
        </is>
      </c>
    </row>
    <row r="921">
      <c r="A921" s="22" t="inlineStr">
        <is>
          <t>R05792</t>
        </is>
      </c>
      <c r="B921" s="22" t="inlineStr">
        <is>
          <t>Kent Meydani-Terminal Tram</t>
        </is>
      </c>
      <c r="C921" s="22" t="inlineStr">
        <is>
          <t>tramvay</t>
        </is>
      </c>
      <c r="D921" s="22" t="inlineStr">
        <is>
          <t>FER Mekanik Tesisat</t>
        </is>
      </c>
      <c r="E921" s="22" t="inlineStr">
        <is>
          <t>2015-05-29</t>
        </is>
      </c>
      <c r="F921" s="22" t="inlineStr">
        <is>
          <t>Globe kelebek vana 6" izleme anahtarlı UL/FM</t>
        </is>
      </c>
      <c r="G921" s="22" t="inlineStr">
        <is>
          <t>Ad</t>
        </is>
      </c>
      <c r="H921" s="63" t="n">
        <v>406.25</v>
      </c>
      <c r="I921" s="22" t="inlineStr">
        <is>
          <t>USD</t>
        </is>
      </c>
      <c r="J921" s="22" t="inlineStr">
        <is>
          <t>M+İ</t>
        </is>
      </c>
      <c r="K921" s="63" t="n">
        <v>491.186682915023</v>
      </c>
      <c r="L921" s="22" t="inlineStr"/>
      <c r="M921" s="22" t="n">
        <v>1</v>
      </c>
      <c r="N921" s="22" t="inlineStr">
        <is>
          <t>Bursa T2 Kent Meydanı-Terminal tramvay (istasyon+depo) mekanik teklifi; KDV hariç; kur 29.05.2015 EUR 3,02 USD 2,6869.</t>
        </is>
      </c>
    </row>
    <row r="922">
      <c r="A922" s="22" t="inlineStr">
        <is>
          <t>R05793</t>
        </is>
      </c>
      <c r="B922" s="22" t="inlineStr">
        <is>
          <t>Kent Meydani-Terminal Tram</t>
        </is>
      </c>
      <c r="C922" s="22" t="inlineStr">
        <is>
          <t>tramvay</t>
        </is>
      </c>
      <c r="D922" s="22" t="inlineStr">
        <is>
          <t>FER Mekanik Tesisat</t>
        </is>
      </c>
      <c r="E922" s="22" t="inlineStr">
        <is>
          <t>2015-05-29</t>
        </is>
      </c>
      <c r="F922" s="22" t="inlineStr">
        <is>
          <t>Globe kelebek vana 8" izleme anahtarlı UL/FM</t>
        </is>
      </c>
      <c r="G922" s="22" t="inlineStr">
        <is>
          <t>Ad</t>
        </is>
      </c>
      <c r="H922" s="63" t="n">
        <v>611</v>
      </c>
      <c r="I922" s="22" t="inlineStr">
        <is>
          <t>USD</t>
        </is>
      </c>
      <c r="J922" s="22" t="inlineStr">
        <is>
          <t>M+İ</t>
        </is>
      </c>
      <c r="K922" s="63" t="n">
        <v>738.744771104194</v>
      </c>
      <c r="L922" s="22" t="inlineStr"/>
      <c r="M922" s="22" t="n">
        <v>1</v>
      </c>
      <c r="N922" s="22" t="inlineStr">
        <is>
          <t>Bursa T2 Kent Meydanı-Terminal tramvay (istasyon+depo) mekanik teklifi; KDV hariç; kur 29.05.2015 EUR 3,02 USD 2,6869.</t>
        </is>
      </c>
    </row>
    <row r="923">
      <c r="A923" s="22" t="inlineStr">
        <is>
          <t>R05795</t>
        </is>
      </c>
      <c r="B923" s="22" t="inlineStr">
        <is>
          <t>Kent Meydani-Terminal Tram</t>
        </is>
      </c>
      <c r="C923" s="22" t="inlineStr">
        <is>
          <t>tramvay</t>
        </is>
      </c>
      <c r="D923" s="22" t="inlineStr">
        <is>
          <t>FER Mekanik Tesisat</t>
        </is>
      </c>
      <c r="E923" s="22" t="inlineStr">
        <is>
          <t>2015-05-29</t>
        </is>
      </c>
      <c r="F923" s="22" t="inlineStr">
        <is>
          <t>S&amp;P kanal tipi egzost aspiratörü EF 600 m³/h 15 mmSS</t>
        </is>
      </c>
      <c r="G923" s="22" t="inlineStr">
        <is>
          <t>Ad</t>
        </is>
      </c>
      <c r="H923" s="63" t="n">
        <v>700</v>
      </c>
      <c r="I923" s="22" t="inlineStr">
        <is>
          <t>TRY</t>
        </is>
      </c>
      <c r="J923" s="22" t="inlineStr">
        <is>
          <t>M+İ</t>
        </is>
      </c>
      <c r="K923" s="63" t="n">
        <v>318.092580774351</v>
      </c>
      <c r="L923" s="22" t="inlineStr">
        <is>
          <t>6002.B</t>
        </is>
      </c>
      <c r="M923" s="22" t="n">
        <v>2</v>
      </c>
      <c r="N923" s="22" t="inlineStr">
        <is>
          <t>Bursa T2 Kent Meydanı-Terminal tramvay (istasyon+depo) mekanik teklifi; KDV hariç; kur 29.05.2015 EUR 3,02 USD 2,6869.</t>
        </is>
      </c>
    </row>
    <row r="924">
      <c r="A924" s="22" t="inlineStr">
        <is>
          <t>R05797</t>
        </is>
      </c>
      <c r="B924" s="22" t="inlineStr">
        <is>
          <t>Kent Meydani-Terminal Tram</t>
        </is>
      </c>
      <c r="C924" s="22" t="inlineStr">
        <is>
          <t>tramvay</t>
        </is>
      </c>
      <c r="D924" s="22" t="inlineStr">
        <is>
          <t>FER Mekanik Tesisat</t>
        </is>
      </c>
      <c r="E924" s="22" t="inlineStr">
        <is>
          <t>2015-05-29</t>
        </is>
      </c>
      <c r="F924" s="22" t="inlineStr">
        <is>
          <t>S&amp;P kanal tipi egzost aspiratörü 800 m³/h 15 mmSS</t>
        </is>
      </c>
      <c r="G924" s="22" t="inlineStr">
        <is>
          <t>Ad</t>
        </is>
      </c>
      <c r="H924" s="63" t="n">
        <v>1075</v>
      </c>
      <c r="I924" s="22" t="inlineStr">
        <is>
          <t>TRY</t>
        </is>
      </c>
      <c r="J924" s="22" t="inlineStr">
        <is>
          <t>M+İ</t>
        </is>
      </c>
      <c r="K924" s="63" t="n">
        <v>488.499320474895</v>
      </c>
      <c r="L924" s="22" t="inlineStr">
        <is>
          <t>6002.B</t>
        </is>
      </c>
      <c r="M924" s="22" t="n">
        <v>1</v>
      </c>
      <c r="N924" s="22" t="inlineStr">
        <is>
          <t>Bursa T2 Kent Meydanı-Terminal tramvay (istasyon+depo) mekanik teklifi; KDV hariç; kur 29.05.2015 EUR 3,02 USD 2,6869.</t>
        </is>
      </c>
    </row>
    <row r="925">
      <c r="A925" s="22" t="inlineStr">
        <is>
          <t>R05798</t>
        </is>
      </c>
      <c r="B925" s="22" t="inlineStr">
        <is>
          <t>Kent Meydani-Terminal Tram</t>
        </is>
      </c>
      <c r="C925" s="22" t="inlineStr">
        <is>
          <t>tramvay</t>
        </is>
      </c>
      <c r="D925" s="22" t="inlineStr">
        <is>
          <t>FER Mekanik Tesisat</t>
        </is>
      </c>
      <c r="E925" s="22" t="inlineStr">
        <is>
          <t>2015-05-29</t>
        </is>
      </c>
      <c r="F925" s="22" t="inlineStr">
        <is>
          <t>S&amp;P kanal tipi aspiratör 1000 m³/h</t>
        </is>
      </c>
      <c r="G925" s="22" t="inlineStr">
        <is>
          <t>Ad</t>
        </is>
      </c>
      <c r="H925" s="63" t="n">
        <v>1300</v>
      </c>
      <c r="I925" s="22" t="inlineStr">
        <is>
          <t>TRY</t>
        </is>
      </c>
      <c r="J925" s="22" t="inlineStr">
        <is>
          <t>M+İ</t>
        </is>
      </c>
      <c r="K925" s="63" t="n">
        <v>590.743364295222</v>
      </c>
      <c r="L925" s="22" t="inlineStr">
        <is>
          <t>6002.B</t>
        </is>
      </c>
      <c r="M925" s="22" t="n">
        <v>1</v>
      </c>
      <c r="N925" s="22" t="inlineStr">
        <is>
          <t>Bursa T2 Kent Meydanı-Terminal tramvay (istasyon+depo) mekanik teklifi; KDV hariç; kur 29.05.2015 EUR 3,02 USD 2,6869.</t>
        </is>
      </c>
    </row>
    <row r="926">
      <c r="A926" s="22" t="inlineStr">
        <is>
          <t>R05799</t>
        </is>
      </c>
      <c r="B926" s="22" t="inlineStr">
        <is>
          <t>Kent Meydani-Terminal Tram</t>
        </is>
      </c>
      <c r="C926" s="22" t="inlineStr">
        <is>
          <t>tramvay</t>
        </is>
      </c>
      <c r="D926" s="22" t="inlineStr">
        <is>
          <t>FER Mekanik Tesisat</t>
        </is>
      </c>
      <c r="E926" s="22" t="inlineStr">
        <is>
          <t>2015-05-29</t>
        </is>
      </c>
      <c r="F926" s="22" t="inlineStr">
        <is>
          <t>Galvaniz sac dikdörtgen hava kanalı</t>
        </is>
      </c>
      <c r="G926" s="22" t="inlineStr">
        <is>
          <t>m²</t>
        </is>
      </c>
      <c r="H926" s="63" t="n">
        <v>74</v>
      </c>
      <c r="I926" s="22" t="inlineStr">
        <is>
          <t>TRY</t>
        </is>
      </c>
      <c r="J926" s="22" t="inlineStr">
        <is>
          <t>M+İ</t>
        </is>
      </c>
      <c r="K926" s="63" t="n">
        <v>33.6269299675742</v>
      </c>
      <c r="L926" s="22" t="inlineStr">
        <is>
          <t>6002.B</t>
        </is>
      </c>
      <c r="M926" s="22" t="n">
        <v>5</v>
      </c>
      <c r="N926" s="22" t="inlineStr">
        <is>
          <t>Bursa T2 Kent Meydanı-Terminal tramvay (istasyon+depo) mekanik teklifi; KDV hariç; kur 29.05.2015 EUR 3,02 USD 2,6869. izolasyonsuz</t>
        </is>
      </c>
    </row>
    <row r="927">
      <c r="A927" s="22" t="inlineStr">
        <is>
          <t>R05802</t>
        </is>
      </c>
      <c r="B927" s="22" t="inlineStr">
        <is>
          <t>Kent Meydani-Terminal Tram</t>
        </is>
      </c>
      <c r="C927" s="22" t="inlineStr">
        <is>
          <t>tramvay</t>
        </is>
      </c>
      <c r="D927" s="22" t="inlineStr">
        <is>
          <t>FER Mekanik Tesisat</t>
        </is>
      </c>
      <c r="E927" s="22" t="inlineStr">
        <is>
          <t>2015-05-29</t>
        </is>
      </c>
      <c r="F927" s="22" t="inlineStr">
        <is>
          <t>Elektroteknik toplayıcı menfez 100-500 cm²</t>
        </is>
      </c>
      <c r="G927" s="22" t="inlineStr">
        <is>
          <t>Ad</t>
        </is>
      </c>
      <c r="H927" s="63" t="n">
        <v>77</v>
      </c>
      <c r="I927" s="22" t="inlineStr">
        <is>
          <t>TRY</t>
        </is>
      </c>
      <c r="J927" s="22" t="inlineStr">
        <is>
          <t>M+İ</t>
        </is>
      </c>
      <c r="K927" s="63" t="n">
        <v>34.9901838851786</v>
      </c>
      <c r="L927" s="22" t="inlineStr">
        <is>
          <t>6002.B</t>
        </is>
      </c>
      <c r="M927" s="22" t="n">
        <v>2</v>
      </c>
      <c r="N927" s="22" t="inlineStr">
        <is>
          <t>Bursa T2 Kent Meydanı-Terminal tramvay (istasyon+depo) mekanik teklifi; KDV hariç; kur 29.05.2015 EUR 3,02 USD 2,6869.</t>
        </is>
      </c>
    </row>
    <row r="928">
      <c r="A928" s="22" t="inlineStr">
        <is>
          <t>R05804</t>
        </is>
      </c>
      <c r="B928" s="22" t="inlineStr">
        <is>
          <t>Kent Meydani-Terminal Tram</t>
        </is>
      </c>
      <c r="C928" s="22" t="inlineStr">
        <is>
          <t>tramvay</t>
        </is>
      </c>
      <c r="D928" s="22" t="inlineStr">
        <is>
          <t>FER Mekanik Tesisat</t>
        </is>
      </c>
      <c r="E928" s="22" t="inlineStr">
        <is>
          <t>2015-05-29</t>
        </is>
      </c>
      <c r="F928" s="22" t="inlineStr">
        <is>
          <t>Mitsubishi Heavy VRF dış ünite heat pump 40/45 kW (14 HP)</t>
        </is>
      </c>
      <c r="G928" s="22" t="inlineStr">
        <is>
          <t>Ad</t>
        </is>
      </c>
      <c r="H928" s="63" t="n">
        <v>9300</v>
      </c>
      <c r="I928" s="22" t="inlineStr">
        <is>
          <t>EUR</t>
        </is>
      </c>
      <c r="J928" s="22" t="inlineStr">
        <is>
          <t>M+İ</t>
        </is>
      </c>
      <c r="K928" s="63" t="n">
        <v>12335.1031575812</v>
      </c>
      <c r="L928" s="22" t="inlineStr">
        <is>
          <t>6001.H</t>
        </is>
      </c>
      <c r="M928" s="22" t="n">
        <v>2</v>
      </c>
      <c r="N928" s="22" t="inlineStr">
        <is>
          <t>Bursa T2 Kent Meydanı-Terminal tramvay (istasyon+depo) mekanik teklifi; KDV hariç; kur 29.05.2015 EUR 3,02 USD 2,6869.</t>
        </is>
      </c>
    </row>
    <row r="929">
      <c r="A929" s="22" t="inlineStr">
        <is>
          <t>R05805</t>
        </is>
      </c>
      <c r="B929" s="22" t="inlineStr">
        <is>
          <t>Kent Meydani-Terminal Tram</t>
        </is>
      </c>
      <c r="C929" s="22" t="inlineStr">
        <is>
          <t>tramvay</t>
        </is>
      </c>
      <c r="D929" s="22" t="inlineStr">
        <is>
          <t>FER Mekanik Tesisat</t>
        </is>
      </c>
      <c r="E929" s="22" t="inlineStr">
        <is>
          <t>2015-05-29</t>
        </is>
      </c>
      <c r="F929" s="22" t="inlineStr">
        <is>
          <t>Mitsubishi Heavy VRF dış ünite heat pump 45/50 kW</t>
        </is>
      </c>
      <c r="G929" s="22" t="inlineStr">
        <is>
          <t>Ad</t>
        </is>
      </c>
      <c r="H929" s="63" t="n">
        <v>10400</v>
      </c>
      <c r="I929" s="22" t="inlineStr">
        <is>
          <t>EUR</t>
        </is>
      </c>
      <c r="J929" s="22" t="inlineStr">
        <is>
          <t>M+İ</t>
        </is>
      </c>
      <c r="K929" s="63" t="n">
        <v>13794.0938536392</v>
      </c>
      <c r="L929" s="22" t="inlineStr">
        <is>
          <t>6001.H</t>
        </is>
      </c>
      <c r="M929" s="22" t="n">
        <v>1</v>
      </c>
      <c r="N929" s="22" t="inlineStr">
        <is>
          <t>Bursa T2 Kent Meydanı-Terminal tramvay (istasyon+depo) mekanik teklifi; KDV hariç; kur 29.05.2015 EUR 3,02 USD 2,6869.</t>
        </is>
      </c>
    </row>
    <row r="930">
      <c r="A930" s="22" t="inlineStr">
        <is>
          <t>R05806</t>
        </is>
      </c>
      <c r="B930" s="22" t="inlineStr">
        <is>
          <t>Kent Meydani-Terminal Tram</t>
        </is>
      </c>
      <c r="C930" s="22" t="inlineStr">
        <is>
          <t>tramvay</t>
        </is>
      </c>
      <c r="D930" s="22" t="inlineStr">
        <is>
          <t>FER Mekanik Tesisat</t>
        </is>
      </c>
      <c r="E930" s="22" t="inlineStr">
        <is>
          <t>2015-05-29</t>
        </is>
      </c>
      <c r="F930" s="22" t="inlineStr">
        <is>
          <t>Mitsubishi Heavy VRF duvar tipi iç ünite 2,2/2,5 kW</t>
        </is>
      </c>
      <c r="G930" s="22" t="inlineStr">
        <is>
          <t>Ad</t>
        </is>
      </c>
      <c r="H930" s="63" t="n">
        <v>658</v>
      </c>
      <c r="I930" s="22" t="inlineStr">
        <is>
          <t>EUR</t>
        </is>
      </c>
      <c r="J930" s="22" t="inlineStr">
        <is>
          <t>M+İ</t>
        </is>
      </c>
      <c r="K930" s="63" t="n">
        <v>872.741707278324</v>
      </c>
      <c r="L930" s="22" t="inlineStr">
        <is>
          <t>6001.H</t>
        </is>
      </c>
      <c r="M930" s="22" t="n">
        <v>1</v>
      </c>
      <c r="N930" s="22" t="inlineStr">
        <is>
          <t>[AYKIRI DEĞER – otomatik dışlandı] Bursa T2 Kent Meydanı-Terminal tramvay (istasyon+depo) mekanik teklifi; KDV hariç; kur 29.05.2015 EUR 3,02 USD 2,6869.</t>
        </is>
      </c>
    </row>
    <row r="931">
      <c r="A931" s="22" t="inlineStr">
        <is>
          <t>R05807</t>
        </is>
      </c>
      <c r="B931" s="22" t="inlineStr">
        <is>
          <t>Kent Meydani-Terminal Tram</t>
        </is>
      </c>
      <c r="C931" s="22" t="inlineStr">
        <is>
          <t>tramvay</t>
        </is>
      </c>
      <c r="D931" s="22" t="inlineStr">
        <is>
          <t>FER Mekanik Tesisat</t>
        </is>
      </c>
      <c r="E931" s="22" t="inlineStr">
        <is>
          <t>2015-05-29</t>
        </is>
      </c>
      <c r="F931" s="22" t="inlineStr">
        <is>
          <t>Mitsubishi Heavy VRF 4 yöne kaset iç ünite 2,2/2,5 kW</t>
        </is>
      </c>
      <c r="G931" s="22" t="inlineStr">
        <is>
          <t>Ad</t>
        </is>
      </c>
      <c r="H931" s="63" t="n">
        <v>682</v>
      </c>
      <c r="I931" s="22" t="inlineStr">
        <is>
          <t>EUR</t>
        </is>
      </c>
      <c r="J931" s="22" t="inlineStr">
        <is>
          <t>M+İ</t>
        </is>
      </c>
      <c r="K931" s="63" t="n">
        <v>904.574231555953</v>
      </c>
      <c r="L931" s="22" t="inlineStr">
        <is>
          <t>6001.H</t>
        </is>
      </c>
      <c r="M931" s="22" t="n">
        <v>1</v>
      </c>
      <c r="N931" s="22" t="inlineStr">
        <is>
          <t>Bursa T2 Kent Meydanı-Terminal tramvay (istasyon+depo) mekanik teklifi; KDV hariç; kur 29.05.2015 EUR 3,02 USD 2,6869.</t>
        </is>
      </c>
    </row>
    <row r="932">
      <c r="A932" s="22" t="inlineStr">
        <is>
          <t>R05808</t>
        </is>
      </c>
      <c r="B932" s="22" t="inlineStr">
        <is>
          <t>Kent Meydani-Terminal Tram</t>
        </is>
      </c>
      <c r="C932" s="22" t="inlineStr">
        <is>
          <t>tramvay</t>
        </is>
      </c>
      <c r="D932" s="22" t="inlineStr">
        <is>
          <t>FER Mekanik Tesisat</t>
        </is>
      </c>
      <c r="E932" s="22" t="inlineStr">
        <is>
          <t>2015-05-29</t>
        </is>
      </c>
      <c r="F932" s="22" t="inlineStr">
        <is>
          <t>Mitsubishi Heavy VRF 4 yöne kaset iç ünite 3,6/4,0 kW</t>
        </is>
      </c>
      <c r="G932" s="22" t="inlineStr">
        <is>
          <t>Ad</t>
        </is>
      </c>
      <c r="H932" s="63" t="n">
        <v>705</v>
      </c>
      <c r="I932" s="22" t="inlineStr">
        <is>
          <t>EUR</t>
        </is>
      </c>
      <c r="J932" s="22" t="inlineStr">
        <is>
          <t>M+İ</t>
        </is>
      </c>
      <c r="K932" s="63" t="n">
        <v>935.080400655347</v>
      </c>
      <c r="L932" s="22" t="inlineStr">
        <is>
          <t>6001.H</t>
        </is>
      </c>
      <c r="M932" s="22" t="n">
        <v>1</v>
      </c>
      <c r="N932" s="22" t="inlineStr">
        <is>
          <t>Bursa T2 Kent Meydanı-Terminal tramvay (istasyon+depo) mekanik teklifi; KDV hariç; kur 29.05.2015 EUR 3,02 USD 2,6869.</t>
        </is>
      </c>
    </row>
    <row r="933">
      <c r="A933" s="22" t="inlineStr">
        <is>
          <t>R05809</t>
        </is>
      </c>
      <c r="B933" s="22" t="inlineStr">
        <is>
          <t>Kent Meydani-Terminal Tram</t>
        </is>
      </c>
      <c r="C933" s="22" t="inlineStr">
        <is>
          <t>tramvay</t>
        </is>
      </c>
      <c r="D933" s="22" t="inlineStr">
        <is>
          <t>FER Mekanik Tesisat</t>
        </is>
      </c>
      <c r="E933" s="22" t="inlineStr">
        <is>
          <t>2015-05-29</t>
        </is>
      </c>
      <c r="F933" s="22" t="inlineStr">
        <is>
          <t>Mitsubishi Heavy VRF 4 yöne kaset iç ünite 7,5/8,5 kW</t>
        </is>
      </c>
      <c r="G933" s="22" t="inlineStr">
        <is>
          <t>Ad</t>
        </is>
      </c>
      <c r="H933" s="63" t="n">
        <v>935</v>
      </c>
      <c r="I933" s="22" t="inlineStr">
        <is>
          <t>EUR</t>
        </is>
      </c>
      <c r="J933" s="22" t="inlineStr">
        <is>
          <t>M+İ</t>
        </is>
      </c>
      <c r="K933" s="63" t="n">
        <v>1240.14209164929</v>
      </c>
      <c r="L933" s="22" t="inlineStr">
        <is>
          <t>6001.H</t>
        </is>
      </c>
      <c r="M933" s="22" t="n">
        <v>1</v>
      </c>
      <c r="N933" s="22" t="inlineStr">
        <is>
          <t>Bursa T2 Kent Meydanı-Terminal tramvay (istasyon+depo) mekanik teklifi; KDV hariç; kur 29.05.2015 EUR 3,02 USD 2,6869.</t>
        </is>
      </c>
    </row>
    <row r="934">
      <c r="A934" s="22" t="inlineStr">
        <is>
          <t>R05810</t>
        </is>
      </c>
      <c r="B934" s="22" t="inlineStr">
        <is>
          <t>Kent Meydani-Terminal Tram</t>
        </is>
      </c>
      <c r="C934" s="22" t="inlineStr">
        <is>
          <t>tramvay</t>
        </is>
      </c>
      <c r="D934" s="22" t="inlineStr">
        <is>
          <t>FER Mekanik Tesisat</t>
        </is>
      </c>
      <c r="E934" s="22" t="inlineStr">
        <is>
          <t>2015-05-29</t>
        </is>
      </c>
      <c r="F934" s="22" t="inlineStr">
        <is>
          <t>Mitsubishi Heavy VRF 4 yöne kaset iç ünite 9/10 kW</t>
        </is>
      </c>
      <c r="G934" s="22" t="inlineStr">
        <is>
          <t>Ad</t>
        </is>
      </c>
      <c r="H934" s="63" t="n">
        <v>1075</v>
      </c>
      <c r="I934" s="22" t="inlineStr">
        <is>
          <t>EUR</t>
        </is>
      </c>
      <c r="J934" s="22" t="inlineStr">
        <is>
          <t>M+İ</t>
        </is>
      </c>
      <c r="K934" s="63" t="n">
        <v>1425.83181660212</v>
      </c>
      <c r="L934" s="22" t="inlineStr">
        <is>
          <t>6001.G</t>
        </is>
      </c>
      <c r="M934" s="22" t="n">
        <v>2</v>
      </c>
      <c r="N934" s="22" t="inlineStr">
        <is>
          <t>Bursa T2 Kent Meydanı-Terminal tramvay (istasyon+depo) mekanik teklifi; KDV hariç; kur 29.05.2015 EUR 3,02 USD 2,6869. kaset tip</t>
        </is>
      </c>
    </row>
    <row r="935">
      <c r="A935" s="22" t="inlineStr">
        <is>
          <t>R05811</t>
        </is>
      </c>
      <c r="B935" s="22" t="inlineStr">
        <is>
          <t>Kent Meydani-Terminal Tram</t>
        </is>
      </c>
      <c r="C935" s="22" t="inlineStr">
        <is>
          <t>tramvay</t>
        </is>
      </c>
      <c r="D935" s="22" t="inlineStr">
        <is>
          <t>FER Mekanik Tesisat</t>
        </is>
      </c>
      <c r="E935" s="22" t="inlineStr">
        <is>
          <t>2015-05-29</t>
        </is>
      </c>
      <c r="F935" s="22" t="inlineStr">
        <is>
          <t>Mitsubishi Heavy kablolu kumanda</t>
        </is>
      </c>
      <c r="G935" s="22" t="inlineStr">
        <is>
          <t>Ad</t>
        </is>
      </c>
      <c r="H935" s="63" t="n">
        <v>58</v>
      </c>
      <c r="I935" s="22" t="inlineStr">
        <is>
          <t>EUR</t>
        </is>
      </c>
      <c r="J935" s="22" t="inlineStr">
        <is>
          <t>Malzeme</t>
        </is>
      </c>
      <c r="K935" s="63" t="n">
        <v>76.928600337603</v>
      </c>
      <c r="L935" s="22" t="inlineStr">
        <is>
          <t>6001.H</t>
        </is>
      </c>
      <c r="M935" s="22" t="n">
        <v>2</v>
      </c>
      <c r="N935" s="22" t="inlineStr">
        <is>
          <t>Bursa T2 Kent Meydanı-Terminal tramvay (istasyon+depo) mekanik teklifi; KDV hariç; kur 29.05.2015 EUR 3,02 USD 2,6869.</t>
        </is>
      </c>
    </row>
    <row r="936">
      <c r="A936" s="22" t="inlineStr">
        <is>
          <t>R05812</t>
        </is>
      </c>
      <c r="B936" s="22" t="inlineStr">
        <is>
          <t>Kent Meydani-Terminal Tram</t>
        </is>
      </c>
      <c r="C936" s="22" t="inlineStr">
        <is>
          <t>tramvay</t>
        </is>
      </c>
      <c r="D936" s="22" t="inlineStr">
        <is>
          <t>FER Mekanik Tesisat</t>
        </is>
      </c>
      <c r="E936" s="22" t="inlineStr">
        <is>
          <t>2015-05-29</t>
        </is>
      </c>
      <c r="F936" s="22" t="inlineStr">
        <is>
          <t>Mitsubishi Heavy merkezi kumanda ünitesi</t>
        </is>
      </c>
      <c r="G936" s="22" t="inlineStr">
        <is>
          <t>Ad</t>
        </is>
      </c>
      <c r="H936" s="63" t="n">
        <v>720</v>
      </c>
      <c r="I936" s="22" t="inlineStr">
        <is>
          <t>EUR</t>
        </is>
      </c>
      <c r="J936" s="22" t="inlineStr">
        <is>
          <t>Malzeme</t>
        </is>
      </c>
      <c r="K936" s="63" t="n">
        <v>954.975728328865</v>
      </c>
      <c r="L936" s="22" t="inlineStr">
        <is>
          <t>6001.H</t>
        </is>
      </c>
      <c r="M936" s="22" t="n">
        <v>1</v>
      </c>
      <c r="N936" s="22" t="inlineStr">
        <is>
          <t>Bursa T2 Kent Meydanı-Terminal tramvay (istasyon+depo) mekanik teklifi; KDV hariç; kur 29.05.2015 EUR 3,02 USD 2,6869.</t>
        </is>
      </c>
    </row>
    <row r="937">
      <c r="A937" s="22" t="inlineStr">
        <is>
          <t>R05814</t>
        </is>
      </c>
      <c r="B937" s="22" t="inlineStr">
        <is>
          <t>Kent Meydani-Terminal Tram</t>
        </is>
      </c>
      <c r="C937" s="22" t="inlineStr">
        <is>
          <t>tramvay</t>
        </is>
      </c>
      <c r="D937" s="22" t="inlineStr">
        <is>
          <t>FER Mekanik Tesisat</t>
        </is>
      </c>
      <c r="E937" s="22" t="inlineStr">
        <is>
          <t>2015-05-29</t>
        </is>
      </c>
      <c r="F937" s="22" t="inlineStr">
        <is>
          <t>VRF izoleli bakır boru ¼"</t>
        </is>
      </c>
      <c r="G937" s="22" t="inlineStr">
        <is>
          <t>m</t>
        </is>
      </c>
      <c r="H937" s="63" t="n">
        <v>8.65</v>
      </c>
      <c r="I937" s="22" t="inlineStr">
        <is>
          <t>EUR</t>
        </is>
      </c>
      <c r="J937" s="22" t="inlineStr">
        <is>
          <t>M+İ</t>
        </is>
      </c>
      <c r="K937" s="63" t="n">
        <v>11.4729722917287</v>
      </c>
      <c r="L937" s="22" t="inlineStr">
        <is>
          <t>6001.H</t>
        </is>
      </c>
      <c r="M937" s="22" t="n">
        <v>17</v>
      </c>
      <c r="N937" s="22" t="inlineStr">
        <is>
          <t>Bursa T2 Kent Meydanı-Terminal tramvay (istasyon+depo) mekanik teklifi; KDV hariç; kur 29.05.2015 EUR 3,02 USD 2,6869. tek boru fiyatı; URF sıvı+gaz çifti metre</t>
        </is>
      </c>
    </row>
    <row r="938">
      <c r="A938" s="22" t="inlineStr">
        <is>
          <t>R05815</t>
        </is>
      </c>
      <c r="B938" s="22" t="inlineStr">
        <is>
          <t>Kent Meydani-Terminal Tram</t>
        </is>
      </c>
      <c r="C938" s="22" t="inlineStr">
        <is>
          <t>tramvay</t>
        </is>
      </c>
      <c r="D938" s="22" t="inlineStr">
        <is>
          <t>FER Mekanik Tesisat</t>
        </is>
      </c>
      <c r="E938" s="22" t="inlineStr">
        <is>
          <t>2015-05-29</t>
        </is>
      </c>
      <c r="F938" s="22" t="inlineStr">
        <is>
          <t>VRF izoleli bakır boru ½"</t>
        </is>
      </c>
      <c r="G938" s="22" t="inlineStr">
        <is>
          <t>m</t>
        </is>
      </c>
      <c r="H938" s="63" t="n">
        <v>14.67</v>
      </c>
      <c r="I938" s="22" t="inlineStr">
        <is>
          <t>EUR</t>
        </is>
      </c>
      <c r="J938" s="22" t="inlineStr">
        <is>
          <t>M+İ</t>
        </is>
      </c>
      <c r="K938" s="63" t="n">
        <v>19.4576304647006</v>
      </c>
      <c r="L938" s="22" t="inlineStr">
        <is>
          <t>6001.H</t>
        </is>
      </c>
      <c r="M938" s="22" t="n">
        <v>17</v>
      </c>
      <c r="N938" s="22" t="inlineStr">
        <is>
          <t>Bursa T2 Kent Meydanı-Terminal tramvay (istasyon+depo) mekanik teklifi; KDV hariç; kur 29.05.2015 EUR 3,02 USD 2,6869. tek boru fiyatı; URF sıvı+gaz çifti metre</t>
        </is>
      </c>
    </row>
    <row r="939">
      <c r="A939" s="22" t="inlineStr">
        <is>
          <t>R05816</t>
        </is>
      </c>
      <c r="B939" s="22" t="inlineStr">
        <is>
          <t>Kent Meydani-Terminal Tram</t>
        </is>
      </c>
      <c r="C939" s="22" t="inlineStr">
        <is>
          <t>tramvay</t>
        </is>
      </c>
      <c r="D939" s="22" t="inlineStr">
        <is>
          <t>FER Mekanik Tesisat</t>
        </is>
      </c>
      <c r="E939" s="22" t="inlineStr">
        <is>
          <t>2015-05-29</t>
        </is>
      </c>
      <c r="F939" s="22" t="inlineStr">
        <is>
          <t>VRF izoleli bakır boru ¾"</t>
        </is>
      </c>
      <c r="G939" s="22" t="inlineStr">
        <is>
          <t>m</t>
        </is>
      </c>
      <c r="H939" s="63" t="n">
        <v>20.22</v>
      </c>
      <c r="I939" s="22" t="inlineStr">
        <is>
          <t>EUR</t>
        </is>
      </c>
      <c r="J939" s="22" t="inlineStr">
        <is>
          <t>M+İ</t>
        </is>
      </c>
      <c r="K939" s="63" t="n">
        <v>26.8189017039023</v>
      </c>
      <c r="L939" s="22" t="inlineStr">
        <is>
          <t>6001.H</t>
        </is>
      </c>
      <c r="M939" s="22" t="n">
        <v>18</v>
      </c>
      <c r="N939" s="22" t="inlineStr">
        <is>
          <t>Bursa T2 Kent Meydanı-Terminal tramvay (istasyon+depo) mekanik teklifi; KDV hariç; kur 29.05.2015 EUR 3,02 USD 2,6869. tek boru fiyatı; URF sıvı+gaz çifti metre</t>
        </is>
      </c>
    </row>
    <row r="940">
      <c r="A940" s="22" t="inlineStr">
        <is>
          <t>R05817</t>
        </is>
      </c>
      <c r="B940" s="22" t="inlineStr">
        <is>
          <t>Kent Meydani-Terminal Tram</t>
        </is>
      </c>
      <c r="C940" s="22" t="inlineStr">
        <is>
          <t>tramvay</t>
        </is>
      </c>
      <c r="D940" s="22" t="inlineStr">
        <is>
          <t>FER Mekanik Tesisat</t>
        </is>
      </c>
      <c r="E940" s="22" t="inlineStr">
        <is>
          <t>2015-05-29</t>
        </is>
      </c>
      <c r="F940" s="22" t="inlineStr">
        <is>
          <t>VRF izoleli bakır boru 1⅛"</t>
        </is>
      </c>
      <c r="G940" s="22" t="inlineStr">
        <is>
          <t>m</t>
        </is>
      </c>
      <c r="H940" s="63" t="n">
        <v>34.88</v>
      </c>
      <c r="I940" s="22" t="inlineStr">
        <is>
          <t>EUR</t>
        </is>
      </c>
      <c r="J940" s="22" t="inlineStr">
        <is>
          <t>M+İ</t>
        </is>
      </c>
      <c r="K940" s="63" t="n">
        <v>46.2632686168206</v>
      </c>
      <c r="L940" s="22" t="inlineStr">
        <is>
          <t>6001.H</t>
        </is>
      </c>
      <c r="M940" s="22" t="n">
        <v>17</v>
      </c>
      <c r="N940" s="22" t="inlineStr">
        <is>
          <t>Bursa T2 Kent Meydanı-Terminal tramvay (istasyon+depo) mekanik teklifi; KDV hariç; kur 29.05.2015 EUR 3,02 USD 2,6869. tek boru fiyatı; URF sıvı+gaz çifti metre</t>
        </is>
      </c>
    </row>
    <row r="941">
      <c r="A941" s="22" t="inlineStr">
        <is>
          <t>R05819</t>
        </is>
      </c>
      <c r="B941" s="22" t="inlineStr">
        <is>
          <t>Kent Meydani-Terminal Tram</t>
        </is>
      </c>
      <c r="C941" s="22" t="inlineStr">
        <is>
          <t>tramvay</t>
        </is>
      </c>
      <c r="D941" s="22" t="inlineStr">
        <is>
          <t>FER Mekanik Tesisat</t>
        </is>
      </c>
      <c r="E941" s="22" t="inlineStr">
        <is>
          <t>2015-05-29</t>
        </is>
      </c>
      <c r="F941" s="22" t="inlineStr">
        <is>
          <t>Arçelik duvar tipi split klima 18000 BTU/h teslim+montaj</t>
        </is>
      </c>
      <c r="G941" s="22" t="inlineStr">
        <is>
          <t>Ad</t>
        </is>
      </c>
      <c r="H941" s="63" t="n">
        <v>4400</v>
      </c>
      <c r="I941" s="22" t="inlineStr">
        <is>
          <t>TRY</t>
        </is>
      </c>
      <c r="J941" s="22" t="inlineStr">
        <is>
          <t>Malzeme</t>
        </is>
      </c>
      <c r="K941" s="63" t="n">
        <v>1999.43907915306</v>
      </c>
      <c r="L941" s="22" t="inlineStr">
        <is>
          <t>6001.A</t>
        </is>
      </c>
      <c r="M941" s="22" t="n">
        <v>6</v>
      </c>
      <c r="N941" s="22" t="inlineStr">
        <is>
          <t>Bursa T2 Kent Meydanı-Terminal tramvay (istasyon+depo) mekanik teklifi; KDV hariç; kur 29.05.2015 EUR 3,02 USD 2,6869. 18000 BTU=5,3 kW</t>
        </is>
      </c>
    </row>
    <row r="942">
      <c r="A942" s="22" t="inlineStr">
        <is>
          <t>R05820</t>
        </is>
      </c>
      <c r="B942" s="22" t="inlineStr">
        <is>
          <t>Kent Meydani-Terminal Tram</t>
        </is>
      </c>
      <c r="C942" s="22" t="inlineStr">
        <is>
          <t>tramvay</t>
        </is>
      </c>
      <c r="D942" s="22" t="inlineStr">
        <is>
          <t>FER Mekanik Tesisat</t>
        </is>
      </c>
      <c r="E942" s="22" t="inlineStr">
        <is>
          <t>2015-05-29</t>
        </is>
      </c>
      <c r="F942" s="22" t="inlineStr">
        <is>
          <t>Hakan sert PVC drenaj borusu 20 mm (klima drenajı)</t>
        </is>
      </c>
      <c r="G942" s="22" t="inlineStr">
        <is>
          <t>m</t>
        </is>
      </c>
      <c r="H942" s="63" t="n">
        <v>4.77</v>
      </c>
      <c r="I942" s="22" t="inlineStr">
        <is>
          <t>TRY</t>
        </is>
      </c>
      <c r="J942" s="22" t="inlineStr">
        <is>
          <t>M+İ</t>
        </is>
      </c>
      <c r="K942" s="63" t="n">
        <v>2.16757372899093</v>
      </c>
      <c r="L942" s="22" t="inlineStr">
        <is>
          <t>6001.A</t>
        </is>
      </c>
      <c r="M942" s="22" t="n">
        <v>12</v>
      </c>
      <c r="N942" s="22" t="inlineStr">
        <is>
          <t>Bursa T2 Kent Meydanı-Terminal tramvay (istasyon+depo) mekanik teklifi; KDV hariç; kur 29.05.2015 EUR 3,02 USD 2,6869.</t>
        </is>
      </c>
    </row>
    <row r="943">
      <c r="A943" s="22" t="inlineStr">
        <is>
          <t>R05821</t>
        </is>
      </c>
      <c r="B943" s="22" t="inlineStr">
        <is>
          <t>Kent Meydani-Terminal Tram</t>
        </is>
      </c>
      <c r="C943" s="22" t="inlineStr">
        <is>
          <t>tramvay</t>
        </is>
      </c>
      <c r="D943" s="22" t="inlineStr">
        <is>
          <t>FER Mekanik Tesisat</t>
        </is>
      </c>
      <c r="E943" s="22" t="inlineStr">
        <is>
          <t>2015-05-29</t>
        </is>
      </c>
      <c r="F943" s="22" t="inlineStr">
        <is>
          <t>Hakan sert PVC drenaj borusu 25 mm (klima drenajı)</t>
        </is>
      </c>
      <c r="G943" s="22" t="inlineStr">
        <is>
          <t>m</t>
        </is>
      </c>
      <c r="H943" s="63" t="n">
        <v>5.6</v>
      </c>
      <c r="I943" s="22" t="inlineStr">
        <is>
          <t>TRY</t>
        </is>
      </c>
      <c r="J943" s="22" t="inlineStr">
        <is>
          <t>M+İ</t>
        </is>
      </c>
      <c r="K943" s="63" t="n">
        <v>2.5447406461948</v>
      </c>
      <c r="L943" s="22" t="inlineStr">
        <is>
          <t>6001.H</t>
        </is>
      </c>
      <c r="M943" s="22" t="n">
        <v>9</v>
      </c>
      <c r="N943" s="22" t="inlineStr">
        <is>
          <t>Bursa T2 Kent Meydanı-Terminal tramvay (istasyon+depo) mekanik teklifi; KDV hariç; kur 29.05.2015 EUR 3,02 USD 2,6869.</t>
        </is>
      </c>
    </row>
    <row r="944">
      <c r="A944" s="22" t="inlineStr">
        <is>
          <t>R05822</t>
        </is>
      </c>
      <c r="B944" s="22" t="inlineStr">
        <is>
          <t>Kent Meydani-Terminal Tram</t>
        </is>
      </c>
      <c r="C944" s="22" t="inlineStr">
        <is>
          <t>tramvay</t>
        </is>
      </c>
      <c r="D944" s="22" t="inlineStr">
        <is>
          <t>FER Mekanik Tesisat</t>
        </is>
      </c>
      <c r="E944" s="22" t="inlineStr">
        <is>
          <t>2015-05-29</t>
        </is>
      </c>
      <c r="F944" s="22" t="inlineStr">
        <is>
          <t>Hakan sert PVC drenaj borusu 32 mm (klima drenajı)</t>
        </is>
      </c>
      <c r="G944" s="22" t="inlineStr">
        <is>
          <t>m</t>
        </is>
      </c>
      <c r="H944" s="63" t="n">
        <v>7.08</v>
      </c>
      <c r="I944" s="22" t="inlineStr">
        <is>
          <t>TRY</t>
        </is>
      </c>
      <c r="J944" s="22" t="inlineStr">
        <is>
          <t>M+İ</t>
        </is>
      </c>
      <c r="K944" s="63" t="n">
        <v>3.21727924554629</v>
      </c>
      <c r="L944" s="22" t="inlineStr">
        <is>
          <t>6001.G</t>
        </is>
      </c>
      <c r="M944" s="22" t="n">
        <v>1</v>
      </c>
      <c r="N944" s="22" t="inlineStr">
        <is>
          <t>Bursa T2 Kent Meydanı-Terminal tramvay (istasyon+depo) mekanik teklifi; KDV hariç; kur 29.05.2015 EUR 3,02 USD 2,6869.</t>
        </is>
      </c>
    </row>
    <row r="945">
      <c r="A945" s="22" t="inlineStr">
        <is>
          <t>R05823</t>
        </is>
      </c>
      <c r="B945" s="22" t="inlineStr">
        <is>
          <t>Kent Meydani-Terminal Tram</t>
        </is>
      </c>
      <c r="C945" s="22" t="inlineStr">
        <is>
          <t>tramvay</t>
        </is>
      </c>
      <c r="D945" s="22" t="inlineStr">
        <is>
          <t>FER Mekanik Tesisat</t>
        </is>
      </c>
      <c r="E945" s="22" t="inlineStr">
        <is>
          <t>2015-05-29</t>
        </is>
      </c>
      <c r="F945" s="22" t="inlineStr">
        <is>
          <t>Hava tankı 1000 L 11 bar aksesuarlı</t>
        </is>
      </c>
      <c r="G945" s="22" t="inlineStr">
        <is>
          <t>Ad</t>
        </is>
      </c>
      <c r="H945" s="63" t="n">
        <v>1805</v>
      </c>
      <c r="I945" s="22" t="inlineStr">
        <is>
          <t>EUR</t>
        </is>
      </c>
      <c r="J945" s="22" t="inlineStr">
        <is>
          <t>M+İ</t>
        </is>
      </c>
      <c r="K945" s="63" t="n">
        <v>2394.07109671334</v>
      </c>
      <c r="L945" s="22" t="inlineStr">
        <is>
          <t>5009.A</t>
        </is>
      </c>
      <c r="M945" s="22" t="n">
        <v>1</v>
      </c>
      <c r="N945" s="22" t="inlineStr">
        <is>
          <t>Bursa T2 Kent Meydanı-Terminal tramvay (istasyon+depo) mekanik teklifi; KDV hariç; kur 29.05.2015 EUR 3,02 USD 2,6869. hacim 1/3</t>
        </is>
      </c>
    </row>
    <row r="946">
      <c r="A946" s="22" t="inlineStr">
        <is>
          <t>R05824</t>
        </is>
      </c>
      <c r="B946" s="22" t="inlineStr">
        <is>
          <t>Kent Meydani-Terminal Tram</t>
        </is>
      </c>
      <c r="C946" s="22" t="inlineStr">
        <is>
          <t>tramvay</t>
        </is>
      </c>
      <c r="D946" s="22" t="inlineStr">
        <is>
          <t>FER Mekanik Tesisat</t>
        </is>
      </c>
      <c r="E946" s="22" t="inlineStr">
        <is>
          <t>2015-05-29</t>
        </is>
      </c>
      <c r="F946" s="22" t="inlineStr">
        <is>
          <t>Atlas Copco GA75P vidalı hava kompresörü 75 kW yağ enjekteli</t>
        </is>
      </c>
      <c r="G946" s="22" t="inlineStr">
        <is>
          <t>Ad</t>
        </is>
      </c>
      <c r="H946" s="63" t="n">
        <v>37550</v>
      </c>
      <c r="I946" s="22" t="inlineStr">
        <is>
          <t>EUR</t>
        </is>
      </c>
      <c r="J946" s="22" t="inlineStr">
        <is>
          <t>M+İ</t>
        </is>
      </c>
      <c r="K946" s="63" t="n">
        <v>49804.6369427068</v>
      </c>
      <c r="L946" s="22" t="inlineStr">
        <is>
          <t>5009.A</t>
        </is>
      </c>
      <c r="M946" s="22" t="n">
        <v>1</v>
      </c>
      <c r="N946" s="22" t="inlineStr">
        <is>
          <t>Bursa T2 Kent Meydanı-Terminal tramvay (istasyon+depo) mekanik teklifi; KDV hariç; kur 29.05.2015 EUR 3,02 USD 2,6869. 75 kW (URF 95 kW)</t>
        </is>
      </c>
    </row>
    <row r="947">
      <c r="A947" s="22" t="inlineStr">
        <is>
          <t>R05825</t>
        </is>
      </c>
      <c r="B947" s="22" t="inlineStr">
        <is>
          <t>Kent Meydani-Terminal Tram</t>
        </is>
      </c>
      <c r="C947" s="22" t="inlineStr">
        <is>
          <t>tramvay</t>
        </is>
      </c>
      <c r="D947" s="22" t="inlineStr">
        <is>
          <t>FER Mekanik Tesisat</t>
        </is>
      </c>
      <c r="E947" s="22" t="inlineStr">
        <is>
          <t>2015-05-29</t>
        </is>
      </c>
      <c r="F947" s="22" t="inlineStr">
        <is>
          <t>Atlas Copco FX15 hava kurutucu 250-280 l/s</t>
        </is>
      </c>
      <c r="G947" s="22" t="inlineStr">
        <is>
          <t>Ad</t>
        </is>
      </c>
      <c r="H947" s="63" t="n">
        <v>9560</v>
      </c>
      <c r="I947" s="22" t="inlineStr">
        <is>
          <t>EUR</t>
        </is>
      </c>
      <c r="J947" s="22" t="inlineStr">
        <is>
          <t>M+İ</t>
        </is>
      </c>
      <c r="K947" s="63" t="n">
        <v>12679.9555039222</v>
      </c>
      <c r="L947" s="22" t="inlineStr">
        <is>
          <t>5009.A</t>
        </is>
      </c>
      <c r="M947" s="22" t="n">
        <v>1</v>
      </c>
      <c r="N947" s="22" t="inlineStr">
        <is>
          <t>Bursa T2 Kent Meydanı-Terminal tramvay (istasyon+depo) mekanik teklifi; KDV hariç; kur 29.05.2015 EUR 3,02 USD 2,6869.</t>
        </is>
      </c>
    </row>
    <row r="948">
      <c r="A948" s="22" t="inlineStr">
        <is>
          <t>R05826</t>
        </is>
      </c>
      <c r="B948" s="22" t="inlineStr">
        <is>
          <t>Kent Meydani-Terminal Tram</t>
        </is>
      </c>
      <c r="C948" s="22" t="inlineStr">
        <is>
          <t>tramvay</t>
        </is>
      </c>
      <c r="D948" s="22" t="inlineStr">
        <is>
          <t>FER Mekanik Tesisat</t>
        </is>
      </c>
      <c r="E948" s="22" t="inlineStr">
        <is>
          <t>2015-05-29</t>
        </is>
      </c>
      <c r="F948" s="22" t="inlineStr">
        <is>
          <t>Atlas Copco DD210+ filtre 0,1 ppm/0,1 mikron</t>
        </is>
      </c>
      <c r="G948" s="22" t="inlineStr">
        <is>
          <t>ad</t>
        </is>
      </c>
      <c r="H948" s="63" t="n">
        <v>1226</v>
      </c>
      <c r="I948" s="22" t="inlineStr">
        <is>
          <t>EUR</t>
        </is>
      </c>
      <c r="J948" s="22" t="inlineStr">
        <is>
          <t>M+İ</t>
        </is>
      </c>
      <c r="K948" s="63" t="n">
        <v>1626.11144851554</v>
      </c>
      <c r="L948" s="22" t="inlineStr">
        <is>
          <t>5009.A</t>
        </is>
      </c>
      <c r="M948" s="22" t="n">
        <v>1</v>
      </c>
      <c r="N948" s="22" t="inlineStr">
        <is>
          <t>Bursa T2 Kent Meydanı-Terminal tramvay (istasyon+depo) mekanik teklifi; KDV hariç; kur 29.05.2015 EUR 3,02 USD 2,6869.</t>
        </is>
      </c>
    </row>
    <row r="949">
      <c r="A949" s="22" t="inlineStr">
        <is>
          <t>R05827</t>
        </is>
      </c>
      <c r="B949" s="22" t="inlineStr">
        <is>
          <t>Kent Meydani-Terminal Tram</t>
        </is>
      </c>
      <c r="C949" s="22" t="inlineStr">
        <is>
          <t>tramvay</t>
        </is>
      </c>
      <c r="D949" s="22" t="inlineStr">
        <is>
          <t>FER Mekanik Tesisat</t>
        </is>
      </c>
      <c r="E949" s="22" t="inlineStr">
        <is>
          <t>2015-05-29</t>
        </is>
      </c>
      <c r="F949" s="22" t="inlineStr">
        <is>
          <t>Atlas Copco EWD 50 elektronik su atma (kondens tahliye)</t>
        </is>
      </c>
      <c r="G949" s="22" t="inlineStr">
        <is>
          <t>ad</t>
        </is>
      </c>
      <c r="H949" s="63" t="n">
        <v>381</v>
      </c>
      <c r="I949" s="22" t="inlineStr">
        <is>
          <t>EUR</t>
        </is>
      </c>
      <c r="J949" s="22" t="inlineStr">
        <is>
          <t>M+İ</t>
        </is>
      </c>
      <c r="K949" s="63" t="n">
        <v>505.341322907358</v>
      </c>
      <c r="L949" s="22" t="inlineStr">
        <is>
          <t>5009.A</t>
        </is>
      </c>
      <c r="M949" s="22" t="n">
        <v>1</v>
      </c>
      <c r="N949" s="22" t="inlineStr">
        <is>
          <t>Bursa T2 Kent Meydanı-Terminal tramvay (istasyon+depo) mekanik teklifi; KDV hariç; kur 29.05.2015 EUR 3,02 USD 2,6869.</t>
        </is>
      </c>
    </row>
    <row r="950">
      <c r="A950" s="22" t="inlineStr">
        <is>
          <t>R05831</t>
        </is>
      </c>
      <c r="B950" s="22" t="inlineStr">
        <is>
          <t>Kent Meydani-Terminal Tram</t>
        </is>
      </c>
      <c r="C950" s="22" t="inlineStr">
        <is>
          <t>tramvay</t>
        </is>
      </c>
      <c r="D950" s="22" t="inlineStr">
        <is>
          <t>Mertsan Mekanik Tesisat Müh. Ltd.Şti.</t>
        </is>
      </c>
      <c r="E950" s="22" t="inlineStr">
        <is>
          <t>2015-06-05</t>
        </is>
      </c>
      <c r="F950" s="22" t="inlineStr">
        <is>
          <t>Tezgah altı/üstü oval lavabo 40x50</t>
        </is>
      </c>
      <c r="G950" s="22" t="inlineStr">
        <is>
          <t>AD</t>
        </is>
      </c>
      <c r="H950" s="63" t="n">
        <v>108</v>
      </c>
      <c r="I950" s="22" t="inlineStr">
        <is>
          <t>TRY</t>
        </is>
      </c>
      <c r="J950" s="22" t="inlineStr"/>
      <c r="K950" s="63" t="n">
        <v>47.9053269385273</v>
      </c>
      <c r="L950" s="22" t="inlineStr">
        <is>
          <t>5007.A</t>
        </is>
      </c>
      <c r="M950" s="22" t="n">
        <v>3</v>
      </c>
      <c r="N950" s="22" t="inlineStr">
        <is>
          <t>Bursa T2 Kent Meydanı-Terminal tramvay mekanik tesisat teklifi (FER ile aynı keşif); malzeme+işçilik tek birim fiyat, KDV hariç; tarih=dosya tarihi.</t>
        </is>
      </c>
    </row>
    <row r="951">
      <c r="A951" s="22" t="inlineStr">
        <is>
          <t>R05832</t>
        </is>
      </c>
      <c r="B951" s="22" t="inlineStr">
        <is>
          <t>Kent Meydani-Terminal Tram</t>
        </is>
      </c>
      <c r="C951" s="22" t="inlineStr">
        <is>
          <t>tramvay</t>
        </is>
      </c>
      <c r="D951" s="22" t="inlineStr">
        <is>
          <t>Mertsan Mekanik Tesisat Müh. Ltd.Şti.</t>
        </is>
      </c>
      <c r="E951" s="22" t="inlineStr">
        <is>
          <t>2015-06-05</t>
        </is>
      </c>
      <c r="F951" s="22" t="inlineStr">
        <is>
          <t>Lavabo tesisatı pirinç sifonlu</t>
        </is>
      </c>
      <c r="G951" s="22" t="inlineStr">
        <is>
          <t>TK</t>
        </is>
      </c>
      <c r="H951" s="63" t="n">
        <v>126</v>
      </c>
      <c r="I951" s="22" t="inlineStr">
        <is>
          <t>TRY</t>
        </is>
      </c>
      <c r="J951" s="22" t="inlineStr"/>
      <c r="K951" s="63" t="n">
        <v>55.8895480949485</v>
      </c>
      <c r="L951" s="22" t="inlineStr">
        <is>
          <t>5007.A</t>
        </is>
      </c>
      <c r="M951" s="22" t="n">
        <v>1</v>
      </c>
      <c r="N951" s="22" t="inlineStr">
        <is>
          <t>Bursa T2 Kent Meydanı-Terminal tramvay mekanik tesisat teklifi (FER ile aynı keşif); malzeme+işçilik tek birim fiyat, KDV hariç; tarih=dosya tarihi.</t>
        </is>
      </c>
    </row>
    <row r="952">
      <c r="A952" s="22" t="inlineStr">
        <is>
          <t>R05834</t>
        </is>
      </c>
      <c r="B952" s="22" t="inlineStr">
        <is>
          <t>Kent Meydani-Terminal Tram</t>
        </is>
      </c>
      <c r="C952" s="22" t="inlineStr">
        <is>
          <t>tramvay</t>
        </is>
      </c>
      <c r="D952" s="22" t="inlineStr">
        <is>
          <t>Mertsan Mekanik Tesisat Müh. Ltd.Şti.</t>
        </is>
      </c>
      <c r="E952" s="22" t="inlineStr">
        <is>
          <t>2015-06-05</t>
        </is>
      </c>
      <c r="F952" s="22" t="inlineStr">
        <is>
          <t>2 gözlü paslanmaz eviye 50x95</t>
        </is>
      </c>
      <c r="G952" s="22" t="inlineStr">
        <is>
          <t>AD</t>
        </is>
      </c>
      <c r="H952" s="63" t="n">
        <v>129</v>
      </c>
      <c r="I952" s="22" t="inlineStr">
        <is>
          <t>TRY</t>
        </is>
      </c>
      <c r="J952" s="22" t="inlineStr"/>
      <c r="K952" s="63" t="n">
        <v>57.2202516210187</v>
      </c>
      <c r="L952" s="22" t="inlineStr">
        <is>
          <t>5007.A</t>
        </is>
      </c>
      <c r="M952" s="22" t="n">
        <v>3</v>
      </c>
      <c r="N952" s="22" t="inlineStr">
        <is>
          <t>Bursa T2 Kent Meydanı-Terminal tramvay mekanik tesisat teklifi (FER ile aynı keşif); malzeme+işçilik tek birim fiyat, KDV hariç; tarih=dosya tarihi.</t>
        </is>
      </c>
    </row>
    <row r="953">
      <c r="A953" s="22" t="inlineStr">
        <is>
          <t>R05835</t>
        </is>
      </c>
      <c r="B953" s="22" t="inlineStr">
        <is>
          <t>Kent Meydani-Terminal Tram</t>
        </is>
      </c>
      <c r="C953" s="22" t="inlineStr">
        <is>
          <t>tramvay</t>
        </is>
      </c>
      <c r="D953" s="22" t="inlineStr">
        <is>
          <t>Mertsan Mekanik Tesisat Müh. Ltd.Şti.</t>
        </is>
      </c>
      <c r="E953" s="22" t="inlineStr">
        <is>
          <t>2015-06-05</t>
        </is>
      </c>
      <c r="F953" s="22" t="inlineStr">
        <is>
          <t>2 gözlü eviye tesisatı bataryalı pirinç sifonlu</t>
        </is>
      </c>
      <c r="G953" s="22" t="inlineStr">
        <is>
          <t>AD</t>
        </is>
      </c>
      <c r="H953" s="63" t="n">
        <v>141</v>
      </c>
      <c r="I953" s="22" t="inlineStr">
        <is>
          <t>TRY</t>
        </is>
      </c>
      <c r="J953" s="22" t="inlineStr"/>
      <c r="K953" s="63" t="n">
        <v>62.5430657252995</v>
      </c>
      <c r="L953" s="22" t="inlineStr">
        <is>
          <t>5007.A</t>
        </is>
      </c>
      <c r="M953" s="22" t="n">
        <v>1</v>
      </c>
      <c r="N953" s="22" t="inlineStr">
        <is>
          <t>Bursa T2 Kent Meydanı-Terminal tramvay mekanik tesisat teklifi (FER ile aynı keşif); malzeme+işçilik tek birim fiyat, KDV hariç; tarih=dosya tarihi.</t>
        </is>
      </c>
    </row>
    <row r="954">
      <c r="A954" s="22" t="inlineStr">
        <is>
          <t>R05836</t>
        </is>
      </c>
      <c r="B954" s="22" t="inlineStr">
        <is>
          <t>Kent Meydani-Terminal Tram</t>
        </is>
      </c>
      <c r="C954" s="22" t="inlineStr">
        <is>
          <t>tramvay</t>
        </is>
      </c>
      <c r="D954" s="22" t="inlineStr">
        <is>
          <t>Mertsan Mekanik Tesisat Müh. Ltd.Şti.</t>
        </is>
      </c>
      <c r="E954" s="22" t="inlineStr">
        <is>
          <t>2015-06-05</t>
        </is>
      </c>
      <c r="F954" s="22" t="inlineStr">
        <is>
          <t>Duş teknesi 80x80</t>
        </is>
      </c>
      <c r="G954" s="22" t="inlineStr">
        <is>
          <t>AD</t>
        </is>
      </c>
      <c r="H954" s="63" t="n">
        <v>260</v>
      </c>
      <c r="I954" s="22" t="inlineStr">
        <is>
          <t>TRY</t>
        </is>
      </c>
      <c r="J954" s="22" t="inlineStr"/>
      <c r="K954" s="63" t="n">
        <v>115.327638926084</v>
      </c>
      <c r="L954" s="22" t="inlineStr">
        <is>
          <t>5007.A</t>
        </is>
      </c>
      <c r="M954" s="22" t="n">
        <v>1</v>
      </c>
      <c r="N954" s="22" t="inlineStr">
        <is>
          <t>Bursa T2 Kent Meydanı-Terminal tramvay mekanik tesisat teklifi (FER ile aynı keşif); malzeme+işçilik tek birim fiyat, KDV hariç; tarih=dosya tarihi.</t>
        </is>
      </c>
    </row>
    <row r="955">
      <c r="A955" s="22" t="inlineStr">
        <is>
          <t>R05837</t>
        </is>
      </c>
      <c r="B955" s="22" t="inlineStr">
        <is>
          <t>Kent Meydani-Terminal Tram</t>
        </is>
      </c>
      <c r="C955" s="22" t="inlineStr">
        <is>
          <t>tramvay</t>
        </is>
      </c>
      <c r="D955" s="22" t="inlineStr">
        <is>
          <t>Mertsan Mekanik Tesisat Müh. Ltd.Şti.</t>
        </is>
      </c>
      <c r="E955" s="22" t="inlineStr">
        <is>
          <t>2015-06-05</t>
        </is>
      </c>
      <c r="F955" s="22" t="inlineStr">
        <is>
          <t>Duş tesisatı komple</t>
        </is>
      </c>
      <c r="G955" s="22" t="inlineStr">
        <is>
          <t>TK</t>
        </is>
      </c>
      <c r="H955" s="63" t="n">
        <v>185</v>
      </c>
      <c r="I955" s="22" t="inlineStr">
        <is>
          <t>TRY</t>
        </is>
      </c>
      <c r="J955" s="22" t="inlineStr"/>
      <c r="K955" s="63" t="n">
        <v>82.0600507743292</v>
      </c>
      <c r="L955" s="22" t="inlineStr">
        <is>
          <t>5007.A</t>
        </is>
      </c>
      <c r="M955" s="22" t="n">
        <v>1</v>
      </c>
      <c r="N955" s="22" t="inlineStr">
        <is>
          <t>Bursa T2 Kent Meydanı-Terminal tramvay mekanik tesisat teklifi (FER ile aynı keşif); malzeme+işçilik tek birim fiyat, KDV hariç; tarih=dosya tarihi.</t>
        </is>
      </c>
    </row>
    <row r="956">
      <c r="A956" s="22" t="inlineStr">
        <is>
          <t>R05838</t>
        </is>
      </c>
      <c r="B956" s="22" t="inlineStr">
        <is>
          <t>Kent Meydani-Terminal Tram</t>
        </is>
      </c>
      <c r="C956" s="22" t="inlineStr">
        <is>
          <t>tramvay</t>
        </is>
      </c>
      <c r="D956" s="22" t="inlineStr">
        <is>
          <t>Mertsan Mekanik Tesisat Müh. Ltd.Şti.</t>
        </is>
      </c>
      <c r="E956" s="22" t="inlineStr">
        <is>
          <t>2015-06-05</t>
        </is>
      </c>
      <c r="F956" s="22" t="inlineStr">
        <is>
          <t>Engelli klozet tutunma barı</t>
        </is>
      </c>
      <c r="G956" s="22" t="inlineStr">
        <is>
          <t>AD</t>
        </is>
      </c>
      <c r="H956" s="63" t="n">
        <v>165</v>
      </c>
      <c r="I956" s="22" t="inlineStr">
        <is>
          <t>TRY</t>
        </is>
      </c>
      <c r="J956" s="22" t="inlineStr"/>
      <c r="K956" s="63" t="n">
        <v>73.1886939338612</v>
      </c>
      <c r="L956" s="22" t="inlineStr">
        <is>
          <t>5007.A</t>
        </is>
      </c>
      <c r="M956" s="22" t="n">
        <v>1</v>
      </c>
      <c r="N956" s="22" t="inlineStr">
        <is>
          <t>Bursa T2 Kent Meydanı-Terminal tramvay mekanik tesisat teklifi (FER ile aynı keşif); malzeme+işçilik tek birim fiyat, KDV hariç; tarih=dosya tarihi.</t>
        </is>
      </c>
    </row>
    <row r="957">
      <c r="A957" s="22" t="inlineStr">
        <is>
          <t>R05840</t>
        </is>
      </c>
      <c r="B957" s="22" t="inlineStr">
        <is>
          <t>Kent Meydani-Terminal Tram</t>
        </is>
      </c>
      <c r="C957" s="22" t="inlineStr">
        <is>
          <t>tramvay</t>
        </is>
      </c>
      <c r="D957" s="22" t="inlineStr">
        <is>
          <t>Mertsan Mekanik Tesisat Müh. Ltd.Şti.</t>
        </is>
      </c>
      <c r="E957" s="22" t="inlineStr">
        <is>
          <t>2015-06-05</t>
        </is>
      </c>
      <c r="F957" s="22" t="inlineStr">
        <is>
          <t>Yer süzgeci h=22 cm Ø100 çıkışlı kovalı 25x33,5</t>
        </is>
      </c>
      <c r="G957" s="22" t="inlineStr">
        <is>
          <t>AD</t>
        </is>
      </c>
      <c r="H957" s="63" t="n">
        <v>72</v>
      </c>
      <c r="I957" s="22" t="inlineStr">
        <is>
          <t>TRY</t>
        </is>
      </c>
      <c r="J957" s="22" t="inlineStr"/>
      <c r="K957" s="63" t="n">
        <v>31.9368846256849</v>
      </c>
      <c r="L957" s="22" t="inlineStr">
        <is>
          <t>5006.A</t>
        </is>
      </c>
      <c r="M957" s="22" t="n">
        <v>6</v>
      </c>
      <c r="N957" s="22" t="inlineStr">
        <is>
          <t>Bursa T2 Kent Meydanı-Terminal tramvay mekanik tesisat teklifi (FER ile aynı keşif); malzeme+işçilik tek birim fiyat, KDV hariç; tarih=dosya tarihi.</t>
        </is>
      </c>
    </row>
    <row r="958">
      <c r="A958" s="22" t="inlineStr">
        <is>
          <t>R05842</t>
        </is>
      </c>
      <c r="B958" s="22" t="inlineStr">
        <is>
          <t>Kent Meydani-Terminal Tram</t>
        </is>
      </c>
      <c r="C958" s="22" t="inlineStr">
        <is>
          <t>tramvay</t>
        </is>
      </c>
      <c r="D958" s="22" t="inlineStr">
        <is>
          <t>Mertsan Mekanik Tesisat Müh. Ltd.Şti.</t>
        </is>
      </c>
      <c r="E958" s="22" t="inlineStr">
        <is>
          <t>2015-06-05</t>
        </is>
      </c>
      <c r="F958" s="22" t="inlineStr">
        <is>
          <t>Paket hidrofor grubu</t>
        </is>
      </c>
      <c r="G958" s="22" t="inlineStr">
        <is>
          <t>AD</t>
        </is>
      </c>
      <c r="H958" s="63" t="n">
        <v>8650</v>
      </c>
      <c r="I958" s="22" t="inlineStr">
        <is>
          <t>TRY</t>
        </is>
      </c>
      <c r="J958" s="22" t="inlineStr"/>
      <c r="K958" s="63" t="n">
        <v>3836.86183350242</v>
      </c>
      <c r="L958" s="22" t="inlineStr">
        <is>
          <t>5007.A</t>
        </is>
      </c>
      <c r="M958" s="22" t="n">
        <v>1</v>
      </c>
      <c r="N958" s="22" t="inlineStr">
        <is>
          <t>Bursa T2 Kent Meydanı-Terminal tramvay mekanik tesisat teklifi (FER ile aynı keşif); malzeme+işçilik tek birim fiyat, KDV hariç; tarih=dosya tarihi. kapasite belirtilmemiş</t>
        </is>
      </c>
    </row>
    <row r="959">
      <c r="A959" s="22" t="inlineStr">
        <is>
          <t>R05845</t>
        </is>
      </c>
      <c r="B959" s="22" t="inlineStr">
        <is>
          <t>Kent Meydani-Terminal Tram</t>
        </is>
      </c>
      <c r="C959" s="22" t="inlineStr">
        <is>
          <t>tramvay</t>
        </is>
      </c>
      <c r="D959" s="22" t="inlineStr">
        <is>
          <t>Mertsan Mekanik Tesisat Müh. Ltd.Şti.</t>
        </is>
      </c>
      <c r="E959" s="22" t="inlineStr">
        <is>
          <t>2015-06-05</t>
        </is>
      </c>
      <c r="F959" s="22" t="inlineStr">
        <is>
          <t>500 L çift serpantinli hızlı boyler</t>
        </is>
      </c>
      <c r="G959" s="22" t="inlineStr">
        <is>
          <t>AD</t>
        </is>
      </c>
      <c r="H959" s="63" t="n">
        <v>2640</v>
      </c>
      <c r="I959" s="22" t="inlineStr">
        <is>
          <t>TRY</t>
        </is>
      </c>
      <c r="J959" s="22" t="inlineStr"/>
      <c r="K959" s="63" t="n">
        <v>1171.01910294178</v>
      </c>
      <c r="L959" s="22" t="inlineStr">
        <is>
          <t>5007.A</t>
        </is>
      </c>
      <c r="M959" s="22" t="n">
        <v>1</v>
      </c>
      <c r="N959" s="22" t="inlineStr">
        <is>
          <t>Bursa T2 Kent Meydanı-Terminal tramvay mekanik tesisat teklifi (FER ile aynı keşif); malzeme+işçilik tek birim fiyat, KDV hariç; tarih=dosya tarihi. serpantinli, elektrikli değil</t>
        </is>
      </c>
    </row>
    <row r="960">
      <c r="A960" s="22" t="inlineStr">
        <is>
          <t>R05847</t>
        </is>
      </c>
      <c r="B960" s="22" t="inlineStr">
        <is>
          <t>Kent Meydani-Terminal Tram</t>
        </is>
      </c>
      <c r="C960" s="22" t="inlineStr">
        <is>
          <t>tramvay</t>
        </is>
      </c>
      <c r="D960" s="22" t="inlineStr">
        <is>
          <t>Mertsan Mekanik Tesisat Müh. Ltd.Şti.</t>
        </is>
      </c>
      <c r="E960" s="22" t="inlineStr">
        <is>
          <t>2015-06-05</t>
        </is>
      </c>
      <c r="F960" s="22" t="inlineStr">
        <is>
          <t>Dikişli galvanizli çelik boru ½" (bina içi vidalı)</t>
        </is>
      </c>
      <c r="G960" s="22" t="inlineStr">
        <is>
          <t>MT</t>
        </is>
      </c>
      <c r="H960" s="63" t="n">
        <v>10.9</v>
      </c>
      <c r="I960" s="22" t="inlineStr">
        <is>
          <t>TRY</t>
        </is>
      </c>
      <c r="J960" s="22" t="inlineStr"/>
      <c r="K960" s="63" t="n">
        <v>4.83488947805507</v>
      </c>
      <c r="L960" s="22" t="inlineStr">
        <is>
          <t>5009.A</t>
        </is>
      </c>
      <c r="M960" s="22" t="n">
        <v>1</v>
      </c>
      <c r="N960" s="22" t="inlineStr">
        <is>
          <t>Bursa T2 Kent Meydanı-Terminal tramvay mekanik tesisat teklifi (FER ile aynı keşif); malzeme+işçilik tek birim fiyat, KDV hariç; tarih=dosya tarihi. +%30 montaj malzemesi ayrı satır</t>
        </is>
      </c>
    </row>
    <row r="961">
      <c r="A961" s="22" t="inlineStr">
        <is>
          <t>R05848</t>
        </is>
      </c>
      <c r="B961" s="22" t="inlineStr">
        <is>
          <t>Kent Meydani-Terminal Tram</t>
        </is>
      </c>
      <c r="C961" s="22" t="inlineStr">
        <is>
          <t>tramvay</t>
        </is>
      </c>
      <c r="D961" s="22" t="inlineStr">
        <is>
          <t>Mertsan Mekanik Tesisat Müh. Ltd.Şti.</t>
        </is>
      </c>
      <c r="E961" s="22" t="inlineStr">
        <is>
          <t>2015-06-05</t>
        </is>
      </c>
      <c r="F961" s="22" t="inlineStr">
        <is>
          <t>Dikişli galvanizli çelik boru 1" (bina içi vidalı)</t>
        </is>
      </c>
      <c r="G961" s="22" t="inlineStr">
        <is>
          <t>MT</t>
        </is>
      </c>
      <c r="H961" s="63" t="n">
        <v>19.9</v>
      </c>
      <c r="I961" s="22" t="inlineStr">
        <is>
          <t>TRY</t>
        </is>
      </c>
      <c r="J961" s="22" t="inlineStr"/>
      <c r="K961" s="63" t="n">
        <v>8.82700005626568</v>
      </c>
      <c r="L961" s="22" t="inlineStr">
        <is>
          <t>5009.A</t>
        </is>
      </c>
      <c r="M961" s="22" t="n">
        <v>1</v>
      </c>
      <c r="N961" s="22" t="inlineStr">
        <is>
          <t>Bursa T2 Kent Meydanı-Terminal tramvay mekanik tesisat teklifi (FER ile aynı keşif); malzeme+işçilik tek birim fiyat, KDV hariç; tarih=dosya tarihi. +%30 montaj malzemesi ayrı satır</t>
        </is>
      </c>
    </row>
    <row r="962">
      <c r="A962" s="22" t="inlineStr">
        <is>
          <t>R05849</t>
        </is>
      </c>
      <c r="B962" s="22" t="inlineStr">
        <is>
          <t>Kent Meydani-Terminal Tram</t>
        </is>
      </c>
      <c r="C962" s="22" t="inlineStr">
        <is>
          <t>tramvay</t>
        </is>
      </c>
      <c r="D962" s="22" t="inlineStr">
        <is>
          <t>Mertsan Mekanik Tesisat Müh. Ltd.Şti.</t>
        </is>
      </c>
      <c r="E962" s="22" t="inlineStr">
        <is>
          <t>2015-06-05</t>
        </is>
      </c>
      <c r="F962" s="22" t="inlineStr">
        <is>
          <t>Dikişli galvanizli çelik boru 1¼" (bina içi vidalı)</t>
        </is>
      </c>
      <c r="G962" s="22" t="inlineStr">
        <is>
          <t>MT</t>
        </is>
      </c>
      <c r="H962" s="63" t="n">
        <v>24.2</v>
      </c>
      <c r="I962" s="22" t="inlineStr">
        <is>
          <t>TRY</t>
        </is>
      </c>
      <c r="J962" s="22" t="inlineStr"/>
      <c r="K962" s="63" t="n">
        <v>10.7343417769663</v>
      </c>
      <c r="L962" s="22" t="inlineStr">
        <is>
          <t>5009.A</t>
        </is>
      </c>
      <c r="M962" s="22" t="n">
        <v>1</v>
      </c>
      <c r="N962" s="22" t="inlineStr">
        <is>
          <t>Bursa T2 Kent Meydanı-Terminal tramvay mekanik tesisat teklifi (FER ile aynı keşif); malzeme+işçilik tek birim fiyat, KDV hariç; tarih=dosya tarihi. +%30 montaj malzemesi ayrı satır</t>
        </is>
      </c>
    </row>
    <row r="963">
      <c r="A963" s="22" t="inlineStr">
        <is>
          <t>R05850</t>
        </is>
      </c>
      <c r="B963" s="22" t="inlineStr">
        <is>
          <t>Kent Meydani-Terminal Tram</t>
        </is>
      </c>
      <c r="C963" s="22" t="inlineStr">
        <is>
          <t>tramvay</t>
        </is>
      </c>
      <c r="D963" s="22" t="inlineStr">
        <is>
          <t>Mertsan Mekanik Tesisat Müh. Ltd.Şti.</t>
        </is>
      </c>
      <c r="E963" s="22" t="inlineStr">
        <is>
          <t>2015-06-05</t>
        </is>
      </c>
      <c r="F963" s="22" t="inlineStr">
        <is>
          <t>Dikişli galvanizli çelik boru 2½" (bina içi vidalı)</t>
        </is>
      </c>
      <c r="G963" s="22" t="inlineStr">
        <is>
          <t>MT</t>
        </is>
      </c>
      <c r="H963" s="63" t="n">
        <v>49.8</v>
      </c>
      <c r="I963" s="22" t="inlineStr">
        <is>
          <t>TRY</t>
        </is>
      </c>
      <c r="J963" s="22" t="inlineStr"/>
      <c r="K963" s="63" t="n">
        <v>22.0896785327654</v>
      </c>
      <c r="L963" s="22" t="inlineStr">
        <is>
          <t>5005.H</t>
        </is>
      </c>
      <c r="M963" s="22" t="n">
        <v>3</v>
      </c>
      <c r="N963" s="22" t="inlineStr">
        <is>
          <t>Bursa T2 Kent Meydanı-Terminal tramvay mekanik tesisat teklifi (FER ile aynı keşif); malzeme+işçilik tek birim fiyat, KDV hariç; tarih=dosya tarihi. +%30 montaj malzemesi ayrı satır</t>
        </is>
      </c>
    </row>
    <row r="964">
      <c r="A964" s="22" t="inlineStr">
        <is>
          <t>R05851</t>
        </is>
      </c>
      <c r="B964" s="22" t="inlineStr">
        <is>
          <t>Kent Meydani-Terminal Tram</t>
        </is>
      </c>
      <c r="C964" s="22" t="inlineStr">
        <is>
          <t>tramvay</t>
        </is>
      </c>
      <c r="D964" s="22" t="inlineStr">
        <is>
          <t>Mertsan Mekanik Tesisat Müh. Ltd.Şti.</t>
        </is>
      </c>
      <c r="E964" s="22" t="inlineStr">
        <is>
          <t>2015-06-05</t>
        </is>
      </c>
      <c r="F964" s="22" t="inlineStr">
        <is>
          <t>Dikişli galvanizli çelik boru 3" (bina içi vidalı)</t>
        </is>
      </c>
      <c r="G964" s="22" t="inlineStr">
        <is>
          <t>MT</t>
        </is>
      </c>
      <c r="H964" s="63" t="n">
        <v>63.2</v>
      </c>
      <c r="I964" s="22" t="inlineStr">
        <is>
          <t>TRY</t>
        </is>
      </c>
      <c r="J964" s="22" t="inlineStr"/>
      <c r="K964" s="63" t="n">
        <v>28.0334876158789</v>
      </c>
      <c r="L964" s="22" t="inlineStr">
        <is>
          <t>5009.A</t>
        </is>
      </c>
      <c r="M964" s="22" t="n">
        <v>2</v>
      </c>
      <c r="N964" s="22" t="inlineStr">
        <is>
          <t>Bursa T2 Kent Meydanı-Terminal tramvay mekanik tesisat teklifi (FER ile aynı keşif); malzeme+işçilik tek birim fiyat, KDV hariç; tarih=dosya tarihi. +%30 montaj malzemesi ayrı satır</t>
        </is>
      </c>
    </row>
    <row r="965">
      <c r="A965" s="22" t="inlineStr">
        <is>
          <t>R05852</t>
        </is>
      </c>
      <c r="B965" s="22" t="inlineStr">
        <is>
          <t>Kent Meydani-Terminal Tram</t>
        </is>
      </c>
      <c r="C965" s="22" t="inlineStr">
        <is>
          <t>tramvay</t>
        </is>
      </c>
      <c r="D965" s="22" t="inlineStr">
        <is>
          <t>Mertsan Mekanik Tesisat Müh. Ltd.Şti.</t>
        </is>
      </c>
      <c r="E965" s="22" t="inlineStr">
        <is>
          <t>2015-06-05</t>
        </is>
      </c>
      <c r="F965" s="22" t="inlineStr">
        <is>
          <t>Dikişli galvanizli çelik boru 4" (bina içi vidalı)</t>
        </is>
      </c>
      <c r="G965" s="22" t="inlineStr">
        <is>
          <t>MT</t>
        </is>
      </c>
      <c r="H965" s="63" t="n">
        <v>88.3</v>
      </c>
      <c r="I965" s="22" t="inlineStr">
        <is>
          <t>TRY</t>
        </is>
      </c>
      <c r="J965" s="22" t="inlineStr"/>
      <c r="K965" s="63" t="n">
        <v>39.1670404506663</v>
      </c>
      <c r="L965" s="22" t="inlineStr">
        <is>
          <t>5005.H</t>
        </is>
      </c>
      <c r="M965" s="22" t="n">
        <v>3</v>
      </c>
      <c r="N965" s="22" t="inlineStr">
        <is>
          <t>Bursa T2 Kent Meydanı-Terminal tramvay mekanik tesisat teklifi (FER ile aynı keşif); malzeme+işçilik tek birim fiyat, KDV hariç; tarih=dosya tarihi. +%30 montaj malzemesi ayrı satır</t>
        </is>
      </c>
    </row>
    <row r="966">
      <c r="A966" s="22" t="inlineStr">
        <is>
          <t>R05854</t>
        </is>
      </c>
      <c r="B966" s="22" t="inlineStr">
        <is>
          <t>Kent Meydani-Terminal Tram</t>
        </is>
      </c>
      <c r="C966" s="22" t="inlineStr">
        <is>
          <t>tramvay</t>
        </is>
      </c>
      <c r="D966" s="22" t="inlineStr">
        <is>
          <t>Mertsan Mekanik Tesisat Müh. Ltd.Şti.</t>
        </is>
      </c>
      <c r="E966" s="22" t="inlineStr">
        <is>
          <t>2015-06-05</t>
        </is>
      </c>
      <c r="F966" s="22" t="inlineStr">
        <is>
          <t>Sert PVC pis su borusu Ø50</t>
        </is>
      </c>
      <c r="G966" s="22" t="inlineStr">
        <is>
          <t>MT</t>
        </is>
      </c>
      <c r="H966" s="63" t="n">
        <v>10.4</v>
      </c>
      <c r="I966" s="22" t="inlineStr">
        <is>
          <t>TRY</t>
        </is>
      </c>
      <c r="J966" s="22" t="inlineStr"/>
      <c r="K966" s="63" t="n">
        <v>4.61310555704337</v>
      </c>
      <c r="L966" s="22" t="inlineStr">
        <is>
          <t>5008.A</t>
        </is>
      </c>
      <c r="M966" s="22" t="n">
        <v>1</v>
      </c>
      <c r="N966" s="22" t="inlineStr">
        <is>
          <t>Bursa T2 Kent Meydanı-Terminal tramvay mekanik tesisat teklifi (FER ile aynı keşif); malzeme+işçilik tek birim fiyat, KDV hariç; tarih=dosya tarihi. +%45 montaj malzemesi ayrı satır</t>
        </is>
      </c>
    </row>
    <row r="967">
      <c r="A967" s="22" t="inlineStr">
        <is>
          <t>R05855</t>
        </is>
      </c>
      <c r="B967" s="22" t="inlineStr">
        <is>
          <t>Kent Meydani-Terminal Tram</t>
        </is>
      </c>
      <c r="C967" s="22" t="inlineStr">
        <is>
          <t>tramvay</t>
        </is>
      </c>
      <c r="D967" s="22" t="inlineStr">
        <is>
          <t>Mertsan Mekanik Tesisat Müh. Ltd.Şti.</t>
        </is>
      </c>
      <c r="E967" s="22" t="inlineStr">
        <is>
          <t>2015-06-05</t>
        </is>
      </c>
      <c r="F967" s="22" t="inlineStr">
        <is>
          <t>Sert PVC pis su borusu Ø75</t>
        </is>
      </c>
      <c r="G967" s="22" t="inlineStr">
        <is>
          <t>MT</t>
        </is>
      </c>
      <c r="H967" s="63" t="n">
        <v>15.45</v>
      </c>
      <c r="I967" s="22" t="inlineStr">
        <is>
          <t>TRY</t>
        </is>
      </c>
      <c r="J967" s="22" t="inlineStr"/>
      <c r="K967" s="63" t="n">
        <v>6.85312315926154</v>
      </c>
      <c r="L967" s="22" t="inlineStr">
        <is>
          <t>5008.A</t>
        </is>
      </c>
      <c r="M967" s="22" t="n">
        <v>4</v>
      </c>
      <c r="N967" s="22" t="inlineStr">
        <is>
          <t>Bursa T2 Kent Meydanı-Terminal tramvay mekanik tesisat teklifi (FER ile aynı keşif); malzeme+işçilik tek birim fiyat, KDV hariç; tarih=dosya tarihi. +%45 montaj malzemesi ayrı satır</t>
        </is>
      </c>
    </row>
    <row r="968">
      <c r="A968" s="22" t="inlineStr">
        <is>
          <t>R05856</t>
        </is>
      </c>
      <c r="B968" s="22" t="inlineStr">
        <is>
          <t>Kent Meydani-Terminal Tram</t>
        </is>
      </c>
      <c r="C968" s="22" t="inlineStr">
        <is>
          <t>tramvay</t>
        </is>
      </c>
      <c r="D968" s="22" t="inlineStr">
        <is>
          <t>Mertsan Mekanik Tesisat Müh. Ltd.Şti.</t>
        </is>
      </c>
      <c r="E968" s="22" t="inlineStr">
        <is>
          <t>2015-06-05</t>
        </is>
      </c>
      <c r="F968" s="22" t="inlineStr">
        <is>
          <t>Sert PVC pis su borusu Ø100-110</t>
        </is>
      </c>
      <c r="G968" s="22" t="inlineStr">
        <is>
          <t>MT</t>
        </is>
      </c>
      <c r="H968" s="63" t="n">
        <v>24.2</v>
      </c>
      <c r="I968" s="22" t="inlineStr">
        <is>
          <t>TRY</t>
        </is>
      </c>
      <c r="J968" s="22" t="inlineStr"/>
      <c r="K968" s="63" t="n">
        <v>10.7343417769663</v>
      </c>
      <c r="L968" s="22" t="inlineStr">
        <is>
          <t>5008.A</t>
        </is>
      </c>
      <c r="M968" s="22" t="n">
        <v>21</v>
      </c>
      <c r="N968" s="22" t="inlineStr">
        <is>
          <t>Bursa T2 Kent Meydanı-Terminal tramvay mekanik tesisat teklifi (FER ile aynı keşif); malzeme+işçilik tek birim fiyat, KDV hariç; tarih=dosya tarihi. +%45 montaj malzemesi ayrı satır</t>
        </is>
      </c>
    </row>
    <row r="969">
      <c r="A969" s="22" t="inlineStr">
        <is>
          <t>R05857</t>
        </is>
      </c>
      <c r="B969" s="22" t="inlineStr">
        <is>
          <t>Kent Meydani-Terminal Tram</t>
        </is>
      </c>
      <c r="C969" s="22" t="inlineStr">
        <is>
          <t>tramvay</t>
        </is>
      </c>
      <c r="D969" s="22" t="inlineStr">
        <is>
          <t>Mertsan Mekanik Tesisat Müh. Ltd.Şti.</t>
        </is>
      </c>
      <c r="E969" s="22" t="inlineStr">
        <is>
          <t>2015-06-05</t>
        </is>
      </c>
      <c r="F969" s="22" t="inlineStr">
        <is>
          <t>Sert PVC pis su borusu Ø125</t>
        </is>
      </c>
      <c r="G969" s="22" t="inlineStr">
        <is>
          <t>MT</t>
        </is>
      </c>
      <c r="H969" s="63" t="n">
        <v>36.2</v>
      </c>
      <c r="I969" s="22" t="inlineStr">
        <is>
          <t>TRY</t>
        </is>
      </c>
      <c r="J969" s="22" t="inlineStr"/>
      <c r="K969" s="63" t="n">
        <v>16.0571558812471</v>
      </c>
      <c r="L969" s="22" t="inlineStr">
        <is>
          <t>5008.A</t>
        </is>
      </c>
      <c r="M969" s="22" t="n">
        <v>4</v>
      </c>
      <c r="N969" s="22" t="inlineStr">
        <is>
          <t>Bursa T2 Kent Meydanı-Terminal tramvay mekanik tesisat teklifi (FER ile aynı keşif); malzeme+işçilik tek birim fiyat, KDV hariç; tarih=dosya tarihi. +%45 montaj malzemesi ayrı satır</t>
        </is>
      </c>
    </row>
    <row r="970">
      <c r="A970" s="22" t="inlineStr">
        <is>
          <t>R05858</t>
        </is>
      </c>
      <c r="B970" s="22" t="inlineStr">
        <is>
          <t>Kent Meydani-Terminal Tram</t>
        </is>
      </c>
      <c r="C970" s="22" t="inlineStr">
        <is>
          <t>tramvay</t>
        </is>
      </c>
      <c r="D970" s="22" t="inlineStr">
        <is>
          <t>Mertsan Mekanik Tesisat Müh. Ltd.Şti.</t>
        </is>
      </c>
      <c r="E970" s="22" t="inlineStr">
        <is>
          <t>2015-06-05</t>
        </is>
      </c>
      <c r="F970" s="22" t="inlineStr">
        <is>
          <t>Sert PVC pis su borusu Ø160</t>
        </is>
      </c>
      <c r="G970" s="22" t="inlineStr">
        <is>
          <t>MT</t>
        </is>
      </c>
      <c r="H970" s="63" t="n">
        <v>41.2</v>
      </c>
      <c r="I970" s="22" t="inlineStr">
        <is>
          <t>TRY</t>
        </is>
      </c>
      <c r="J970" s="22" t="inlineStr"/>
      <c r="K970" s="63" t="n">
        <v>18.2749950913641</v>
      </c>
      <c r="L970" s="22" t="inlineStr"/>
      <c r="M970" s="22" t="n">
        <v>1</v>
      </c>
      <c r="N970" s="22" t="inlineStr">
        <is>
          <t>Bursa T2 Kent Meydanı-Terminal tramvay mekanik tesisat teklifi (FER ile aynı keşif); malzeme+işçilik tek birim fiyat, KDV hariç; tarih=dosya tarihi. +%45 montaj malzemesi ayrı satır</t>
        </is>
      </c>
    </row>
    <row r="971">
      <c r="A971" s="22" t="inlineStr">
        <is>
          <t>R05859</t>
        </is>
      </c>
      <c r="B971" s="22" t="inlineStr">
        <is>
          <t>Kent Meydani-Terminal Tram</t>
        </is>
      </c>
      <c r="C971" s="22" t="inlineStr">
        <is>
          <t>tramvay</t>
        </is>
      </c>
      <c r="D971" s="22" t="inlineStr">
        <is>
          <t>Mertsan Mekanik Tesisat Müh. Ltd.Şti.</t>
        </is>
      </c>
      <c r="E971" s="22" t="inlineStr">
        <is>
          <t>2015-06-05</t>
        </is>
      </c>
      <c r="F971" s="22" t="inlineStr">
        <is>
          <t>Sert PVC pis su borusu Ø200</t>
        </is>
      </c>
      <c r="G971" s="22" t="inlineStr">
        <is>
          <t>MT</t>
        </is>
      </c>
      <c r="H971" s="63" t="n">
        <v>45.2</v>
      </c>
      <c r="I971" s="22" t="inlineStr">
        <is>
          <t>TRY</t>
        </is>
      </c>
      <c r="J971" s="22" t="inlineStr"/>
      <c r="K971" s="63" t="n">
        <v>20.0492664594577</v>
      </c>
      <c r="L971" s="22" t="inlineStr"/>
      <c r="M971" s="22" t="n">
        <v>1</v>
      </c>
      <c r="N971" s="22" t="inlineStr">
        <is>
          <t>Bursa T2 Kent Meydanı-Terminal tramvay mekanik tesisat teklifi (FER ile aynı keşif); malzeme+işçilik tek birim fiyat, KDV hariç; tarih=dosya tarihi. +%45 montaj malzemesi ayrı satır</t>
        </is>
      </c>
    </row>
    <row r="972">
      <c r="A972" s="22" t="inlineStr">
        <is>
          <t>R05860</t>
        </is>
      </c>
      <c r="B972" s="22" t="inlineStr">
        <is>
          <t>Kent Meydani-Terminal Tram</t>
        </is>
      </c>
      <c r="C972" s="22" t="inlineStr">
        <is>
          <t>tramvay</t>
        </is>
      </c>
      <c r="D972" s="22" t="inlineStr">
        <is>
          <t>Mertsan Mekanik Tesisat Müh. Ltd.Şti.</t>
        </is>
      </c>
      <c r="E972" s="22" t="inlineStr">
        <is>
          <t>2015-06-05</t>
        </is>
      </c>
      <c r="F972" s="22" t="inlineStr">
        <is>
          <t>Koruge kanalizasyon borusu DN100 fittings dahil (kazı/dolgu hariç)</t>
        </is>
      </c>
      <c r="G972" s="22" t="inlineStr">
        <is>
          <t>2800.0</t>
        </is>
      </c>
      <c r="H972" s="63" t="n">
        <v>23800</v>
      </c>
      <c r="I972" s="22" t="inlineStr">
        <is>
          <t>TRY</t>
        </is>
      </c>
      <c r="J972" s="22" t="inlineStr"/>
      <c r="K972" s="63" t="n">
        <v>10556.9146401569</v>
      </c>
      <c r="L972" s="22" t="inlineStr">
        <is>
          <t>5006.İ</t>
        </is>
      </c>
      <c r="M972" s="22" t="n">
        <v>1</v>
      </c>
      <c r="N972" s="22" t="inlineStr">
        <is>
          <t>Bursa T2 Kent Meydanı-Terminal tramvay mekanik tesisat teklifi (FER ile aynı keşif); malzeme+işçilik tek birim fiyat, KDV hariç; tarih=dosya tarihi.</t>
        </is>
      </c>
    </row>
    <row r="973">
      <c r="A973" s="22" t="inlineStr">
        <is>
          <t>R05865</t>
        </is>
      </c>
      <c r="B973" s="22" t="inlineStr">
        <is>
          <t>Kent Meydani-Terminal Tram</t>
        </is>
      </c>
      <c r="C973" s="22" t="inlineStr">
        <is>
          <t>tramvay</t>
        </is>
      </c>
      <c r="D973" s="22" t="inlineStr">
        <is>
          <t>Mertsan Mekanik Tesisat Müh. Ltd.Şti.</t>
        </is>
      </c>
      <c r="E973" s="22" t="inlineStr">
        <is>
          <t>2015-06-05</t>
        </is>
      </c>
      <c r="F973" s="22" t="inlineStr">
        <is>
          <t>PN20 PPRC temiz su borusu ½"</t>
        </is>
      </c>
      <c r="G973" s="22" t="inlineStr">
        <is>
          <t>MT</t>
        </is>
      </c>
      <c r="H973" s="63" t="n">
        <v>4.45</v>
      </c>
      <c r="I973" s="22" t="inlineStr">
        <is>
          <t>TRY</t>
        </is>
      </c>
      <c r="J973" s="22" t="inlineStr"/>
      <c r="K973" s="63" t="n">
        <v>1.97387689700413</v>
      </c>
      <c r="L973" s="22" t="inlineStr">
        <is>
          <t>5007.A</t>
        </is>
      </c>
      <c r="M973" s="22" t="n">
        <v>12</v>
      </c>
      <c r="N973" s="22" t="inlineStr">
        <is>
          <t>Bursa T2 Kent Meydanı-Terminal tramvay mekanik tesisat teklifi (FER ile aynı keşif); malzeme+işçilik tek birim fiyat, KDV hariç; tarih=dosya tarihi. +%45 montaj malzemesi ayrı; izolasyon ayrı</t>
        </is>
      </c>
    </row>
    <row r="974">
      <c r="A974" s="22" t="inlineStr">
        <is>
          <t>R05866</t>
        </is>
      </c>
      <c r="B974" s="22" t="inlineStr">
        <is>
          <t>Kent Meydani-Terminal Tram</t>
        </is>
      </c>
      <c r="C974" s="22" t="inlineStr">
        <is>
          <t>tramvay</t>
        </is>
      </c>
      <c r="D974" s="22" t="inlineStr">
        <is>
          <t>Mertsan Mekanik Tesisat Müh. Ltd.Şti.</t>
        </is>
      </c>
      <c r="E974" s="22" t="inlineStr">
        <is>
          <t>2015-06-05</t>
        </is>
      </c>
      <c r="F974" s="22" t="inlineStr">
        <is>
          <t>PN20 PPRC temiz su borusu ¾"</t>
        </is>
      </c>
      <c r="G974" s="22" t="inlineStr">
        <is>
          <t>MT</t>
        </is>
      </c>
      <c r="H974" s="63" t="n">
        <v>6.8</v>
      </c>
      <c r="I974" s="22" t="inlineStr">
        <is>
          <t>TRY</t>
        </is>
      </c>
      <c r="J974" s="22" t="inlineStr"/>
      <c r="K974" s="63" t="n">
        <v>3.01626132575913</v>
      </c>
      <c r="L974" s="22" t="inlineStr">
        <is>
          <t>5007.A</t>
        </is>
      </c>
      <c r="M974" s="22" t="n">
        <v>15</v>
      </c>
      <c r="N974" s="22" t="inlineStr">
        <is>
          <t>Bursa T2 Kent Meydanı-Terminal tramvay mekanik tesisat teklifi (FER ile aynı keşif); malzeme+işçilik tek birim fiyat, KDV hariç; tarih=dosya tarihi. +%45 montaj malzemesi ayrı; izolasyon ayrı</t>
        </is>
      </c>
    </row>
    <row r="975">
      <c r="A975" s="22" t="inlineStr">
        <is>
          <t>R05867</t>
        </is>
      </c>
      <c r="B975" s="22" t="inlineStr">
        <is>
          <t>Kent Meydani-Terminal Tram</t>
        </is>
      </c>
      <c r="C975" s="22" t="inlineStr">
        <is>
          <t>tramvay</t>
        </is>
      </c>
      <c r="D975" s="22" t="inlineStr">
        <is>
          <t>Mertsan Mekanik Tesisat Müh. Ltd.Şti.</t>
        </is>
      </c>
      <c r="E975" s="22" t="inlineStr">
        <is>
          <t>2015-06-05</t>
        </is>
      </c>
      <c r="F975" s="22" t="inlineStr">
        <is>
          <t>PN20 PPRC temiz su borusu 1"</t>
        </is>
      </c>
      <c r="G975" s="22" t="inlineStr">
        <is>
          <t>MT</t>
        </is>
      </c>
      <c r="H975" s="63" t="n">
        <v>9.949999999999999</v>
      </c>
      <c r="I975" s="22" t="inlineStr">
        <is>
          <t>TRY</t>
        </is>
      </c>
      <c r="J975" s="22" t="inlineStr"/>
      <c r="K975" s="63" t="n">
        <v>4.41350002813284</v>
      </c>
      <c r="L975" s="22" t="inlineStr">
        <is>
          <t>5007.A</t>
        </is>
      </c>
      <c r="M975" s="22" t="n">
        <v>5</v>
      </c>
      <c r="N975" s="22" t="inlineStr">
        <is>
          <t>Bursa T2 Kent Meydanı-Terminal tramvay mekanik tesisat teklifi (FER ile aynı keşif); malzeme+işçilik tek birim fiyat, KDV hariç; tarih=dosya tarihi. +%45 montaj malzemesi ayrı; izolasyon ayrı</t>
        </is>
      </c>
    </row>
    <row r="976">
      <c r="A976" s="22" t="inlineStr">
        <is>
          <t>R05868</t>
        </is>
      </c>
      <c r="B976" s="22" t="inlineStr">
        <is>
          <t>Kent Meydani-Terminal Tram</t>
        </is>
      </c>
      <c r="C976" s="22" t="inlineStr">
        <is>
          <t>tramvay</t>
        </is>
      </c>
      <c r="D976" s="22" t="inlineStr">
        <is>
          <t>Mertsan Mekanik Tesisat Müh. Ltd.Şti.</t>
        </is>
      </c>
      <c r="E976" s="22" t="inlineStr">
        <is>
          <t>2015-06-05</t>
        </is>
      </c>
      <c r="F976" s="22" t="inlineStr">
        <is>
          <t>PN20 PPRC temiz su borusu 1¼"</t>
        </is>
      </c>
      <c r="G976" s="22" t="inlineStr">
        <is>
          <t>MT</t>
        </is>
      </c>
      <c r="H976" s="63" t="n">
        <v>13.2</v>
      </c>
      <c r="I976" s="22" t="inlineStr">
        <is>
          <t>TRY</t>
        </is>
      </c>
      <c r="J976" s="22" t="inlineStr"/>
      <c r="K976" s="63" t="n">
        <v>5.85509551470889</v>
      </c>
      <c r="L976" s="22" t="inlineStr">
        <is>
          <t>5007.A</t>
        </is>
      </c>
      <c r="M976" s="22" t="n">
        <v>1</v>
      </c>
      <c r="N976" s="22" t="inlineStr">
        <is>
          <t>Bursa T2 Kent Meydanı-Terminal tramvay mekanik tesisat teklifi (FER ile aynı keşif); malzeme+işçilik tek birim fiyat, KDV hariç; tarih=dosya tarihi. +%45 montaj malzemesi ayrı; izolasyon ayrı</t>
        </is>
      </c>
    </row>
    <row r="977">
      <c r="A977" s="22" t="inlineStr">
        <is>
          <t>R05869</t>
        </is>
      </c>
      <c r="B977" s="22" t="inlineStr">
        <is>
          <t>Kent Meydani-Terminal Tram</t>
        </is>
      </c>
      <c r="C977" s="22" t="inlineStr">
        <is>
          <t>tramvay</t>
        </is>
      </c>
      <c r="D977" s="22" t="inlineStr">
        <is>
          <t>Mertsan Mekanik Tesisat Müh. Ltd.Şti.</t>
        </is>
      </c>
      <c r="E977" s="22" t="inlineStr">
        <is>
          <t>2015-06-05</t>
        </is>
      </c>
      <c r="F977" s="22" t="inlineStr">
        <is>
          <t>PN20 PPRC temiz su borusu 1½"</t>
        </is>
      </c>
      <c r="G977" s="22" t="inlineStr">
        <is>
          <t>MT</t>
        </is>
      </c>
      <c r="H977" s="63" t="n">
        <v>16.3</v>
      </c>
      <c r="I977" s="22" t="inlineStr">
        <is>
          <t>TRY</t>
        </is>
      </c>
      <c r="J977" s="22" t="inlineStr"/>
      <c r="K977" s="63" t="n">
        <v>7.23015582498144</v>
      </c>
      <c r="L977" s="22" t="inlineStr">
        <is>
          <t>5007.A</t>
        </is>
      </c>
      <c r="M977" s="22" t="n">
        <v>1</v>
      </c>
      <c r="N977" s="22" t="inlineStr">
        <is>
          <t>Bursa T2 Kent Meydanı-Terminal tramvay mekanik tesisat teklifi (FER ile aynı keşif); malzeme+işçilik tek birim fiyat, KDV hariç; tarih=dosya tarihi. +%45 montaj malzemesi ayrı; izolasyon ayrı</t>
        </is>
      </c>
    </row>
    <row r="978">
      <c r="A978" s="22" t="inlineStr">
        <is>
          <t>R05870</t>
        </is>
      </c>
      <c r="B978" s="22" t="inlineStr">
        <is>
          <t>Kent Meydani-Terminal Tram</t>
        </is>
      </c>
      <c r="C978" s="22" t="inlineStr">
        <is>
          <t>tramvay</t>
        </is>
      </c>
      <c r="D978" s="22" t="inlineStr">
        <is>
          <t>Mertsan Mekanik Tesisat Müh. Ltd.Şti.</t>
        </is>
      </c>
      <c r="E978" s="22" t="inlineStr">
        <is>
          <t>2015-06-05</t>
        </is>
      </c>
      <c r="F978" s="22" t="inlineStr">
        <is>
          <t>Basınç düşürücü vana DN80 flanşlı</t>
        </is>
      </c>
      <c r="G978" s="22" t="inlineStr">
        <is>
          <t>AD</t>
        </is>
      </c>
      <c r="H978" s="63" t="n">
        <v>1160</v>
      </c>
      <c r="I978" s="22" t="inlineStr">
        <is>
          <t>TRY</t>
        </is>
      </c>
      <c r="J978" s="22" t="inlineStr"/>
      <c r="K978" s="63" t="n">
        <v>514.538696747145</v>
      </c>
      <c r="L978" s="22" t="inlineStr">
        <is>
          <t>5007.A</t>
        </is>
      </c>
      <c r="M978" s="22" t="n">
        <v>2</v>
      </c>
      <c r="N978" s="22" t="inlineStr">
        <is>
          <t>Bursa T2 Kent Meydanı-Terminal tramvay mekanik tesisat teklifi (FER ile aynı keşif); malzeme+işçilik tek birim fiyat, KDV hariç; tarih=dosya tarihi.</t>
        </is>
      </c>
    </row>
    <row r="979">
      <c r="A979" s="22" t="inlineStr">
        <is>
          <t>R05872</t>
        </is>
      </c>
      <c r="B979" s="22" t="inlineStr">
        <is>
          <t>Kent Meydani-Terminal Tram</t>
        </is>
      </c>
      <c r="C979" s="22" t="inlineStr">
        <is>
          <t>tramvay</t>
        </is>
      </c>
      <c r="D979" s="22" t="inlineStr">
        <is>
          <t>Mertsan Mekanik Tesisat Müh. Ltd.Şti.</t>
        </is>
      </c>
      <c r="E979" s="22" t="inlineStr">
        <is>
          <t>2015-06-05</t>
        </is>
      </c>
      <c r="F979" s="22" t="inlineStr">
        <is>
          <t>Parçalayıcı bıçaklı dalgıç pompa 5-10 m³/h 10-15 mSS</t>
        </is>
      </c>
      <c r="G979" s="22" t="inlineStr">
        <is>
          <t>AD</t>
        </is>
      </c>
      <c r="H979" s="63" t="n">
        <v>2980</v>
      </c>
      <c r="I979" s="22" t="inlineStr">
        <is>
          <t>TRY</t>
        </is>
      </c>
      <c r="J979" s="22" t="inlineStr"/>
      <c r="K979" s="63" t="n">
        <v>1321.83216922973</v>
      </c>
      <c r="L979" s="22" t="inlineStr">
        <is>
          <t>5006.H</t>
        </is>
      </c>
      <c r="M979" s="22" t="n">
        <v>1</v>
      </c>
      <c r="N979" s="22" t="inlineStr">
        <is>
          <t>Bursa T2 Kent Meydanı-Terminal tramvay mekanik tesisat teklifi (FER ile aynı keşif); malzeme+işçilik tek birim fiyat, KDV hariç; tarih=dosya tarihi.</t>
        </is>
      </c>
    </row>
    <row r="980">
      <c r="A980" s="22" t="inlineStr">
        <is>
          <t>R05875</t>
        </is>
      </c>
      <c r="B980" s="22" t="inlineStr">
        <is>
          <t>Kent Meydani-Terminal Tram</t>
        </is>
      </c>
      <c r="C980" s="22" t="inlineStr">
        <is>
          <t>tramvay</t>
        </is>
      </c>
      <c r="D980" s="22" t="inlineStr">
        <is>
          <t>Mertsan Mekanik Tesisat Müh. Ltd.Şti.</t>
        </is>
      </c>
      <c r="E980" s="22" t="inlineStr">
        <is>
          <t>2015-06-05</t>
        </is>
      </c>
      <c r="F980" s="22" t="inlineStr">
        <is>
          <t>Yağ ayırıcı 2 l/s 80 L yağ hacmi</t>
        </is>
      </c>
      <c r="G980" s="22" t="inlineStr">
        <is>
          <t>AD</t>
        </is>
      </c>
      <c r="H980" s="63" t="n">
        <v>3240</v>
      </c>
      <c r="I980" s="22" t="inlineStr">
        <is>
          <t>TRY</t>
        </is>
      </c>
      <c r="J980" s="22" t="inlineStr"/>
      <c r="K980" s="63" t="n">
        <v>1437.15980815582</v>
      </c>
      <c r="L980" s="22" t="inlineStr">
        <is>
          <t>5008.A</t>
        </is>
      </c>
      <c r="M980" s="22" t="n">
        <v>2</v>
      </c>
      <c r="N980" s="22" t="inlineStr">
        <is>
          <t>Bursa T2 Kent Meydanı-Terminal tramvay mekanik tesisat teklifi (FER ile aynı keşif); malzeme+işçilik tek birim fiyat, KDV hariç; tarih=dosya tarihi.</t>
        </is>
      </c>
    </row>
    <row r="981">
      <c r="A981" s="22" t="inlineStr">
        <is>
          <t>R05877</t>
        </is>
      </c>
      <c r="B981" s="22" t="inlineStr">
        <is>
          <t>Kent Meydani-Terminal Tram</t>
        </is>
      </c>
      <c r="C981" s="22" t="inlineStr">
        <is>
          <t>tramvay</t>
        </is>
      </c>
      <c r="D981" s="22" t="inlineStr">
        <is>
          <t>Mertsan Mekanik Tesisat Müh. Ltd.Şti.</t>
        </is>
      </c>
      <c r="E981" s="22" t="inlineStr">
        <is>
          <t>2015-06-05</t>
        </is>
      </c>
      <c r="F981" s="22" t="inlineStr">
        <is>
          <t>HDPE PN16 temiz su borusu DN50 fittings dahil</t>
        </is>
      </c>
      <c r="G981" s="22" t="inlineStr">
        <is>
          <t>MT</t>
        </is>
      </c>
      <c r="H981" s="63" t="n">
        <v>11.2</v>
      </c>
      <c r="I981" s="22" t="inlineStr">
        <is>
          <t>TRY</t>
        </is>
      </c>
      <c r="J981" s="22" t="inlineStr"/>
      <c r="K981" s="63" t="n">
        <v>4.96795983066209</v>
      </c>
      <c r="L981" s="22" t="inlineStr">
        <is>
          <t>5007.A</t>
        </is>
      </c>
      <c r="M981" s="22" t="n">
        <v>2</v>
      </c>
      <c r="N981" s="22" t="inlineStr">
        <is>
          <t>Bursa T2 Kent Meydanı-Terminal tramvay mekanik tesisat teklifi (FER ile aynı keşif); malzeme+işçilik tek birim fiyat, KDV hariç; tarih=dosya tarihi.</t>
        </is>
      </c>
    </row>
    <row r="982">
      <c r="A982" s="22" t="inlineStr">
        <is>
          <t>R05882</t>
        </is>
      </c>
      <c r="B982" s="22" t="inlineStr">
        <is>
          <t>Kent Meydani-Terminal Tram</t>
        </is>
      </c>
      <c r="C982" s="22" t="inlineStr">
        <is>
          <t>tramvay</t>
        </is>
      </c>
      <c r="D982" s="22" t="inlineStr">
        <is>
          <t>Mertsan Mekanik Tesisat Müh. Ltd.Şti.</t>
        </is>
      </c>
      <c r="E982" s="22" t="inlineStr">
        <is>
          <t>2015-06-05</t>
        </is>
      </c>
      <c r="F982" s="22" t="inlineStr">
        <is>
          <t>Kanal tipi aspiratör 750 m³/h</t>
        </is>
      </c>
      <c r="G982" s="22" t="inlineStr">
        <is>
          <t>AD</t>
        </is>
      </c>
      <c r="H982" s="63" t="n">
        <v>343</v>
      </c>
      <c r="I982" s="22" t="inlineStr">
        <is>
          <t>TRY</t>
        </is>
      </c>
      <c r="J982" s="22" t="inlineStr"/>
      <c r="K982" s="63" t="n">
        <v>152.143769814027</v>
      </c>
      <c r="L982" s="22" t="inlineStr">
        <is>
          <t>6002.B</t>
        </is>
      </c>
      <c r="M982" s="22" t="n">
        <v>1</v>
      </c>
      <c r="N982" s="22" t="inlineStr">
        <is>
          <t>Bursa T2 Kent Meydanı-Terminal tramvay mekanik tesisat teklifi (FER ile aynı keşif); malzeme+işçilik tek birim fiyat, KDV hariç; tarih=dosya tarihi.</t>
        </is>
      </c>
    </row>
    <row r="983">
      <c r="A983" s="22" t="inlineStr">
        <is>
          <t>R05884</t>
        </is>
      </c>
      <c r="B983" s="22" t="inlineStr">
        <is>
          <t>Kent Meydani-Terminal Tram</t>
        </is>
      </c>
      <c r="C983" s="22" t="inlineStr">
        <is>
          <t>tramvay</t>
        </is>
      </c>
      <c r="D983" s="22" t="inlineStr">
        <is>
          <t>Mertsan Mekanik Tesisat Müh. Ltd.Şti.</t>
        </is>
      </c>
      <c r="E983" s="22" t="inlineStr">
        <is>
          <t>2015-06-05</t>
        </is>
      </c>
      <c r="F983" s="22" t="inlineStr">
        <is>
          <t>Kanal tipi aspiratör 1000 m³/h</t>
        </is>
      </c>
      <c r="G983" s="22" t="inlineStr">
        <is>
          <t>AD</t>
        </is>
      </c>
      <c r="H983" s="63" t="n">
        <v>372</v>
      </c>
      <c r="I983" s="22" t="inlineStr">
        <is>
          <t>TRY</t>
        </is>
      </c>
      <c r="J983" s="22" t="inlineStr"/>
      <c r="K983" s="63" t="n">
        <v>165.007237232705</v>
      </c>
      <c r="L983" s="22" t="inlineStr">
        <is>
          <t>6002.B</t>
        </is>
      </c>
      <c r="M983" s="22" t="n">
        <v>1</v>
      </c>
      <c r="N983" s="22" t="inlineStr">
        <is>
          <t>Bursa T2 Kent Meydanı-Terminal tramvay mekanik tesisat teklifi (FER ile aynı keşif); malzeme+işçilik tek birim fiyat, KDV hariç; tarih=dosya tarihi.</t>
        </is>
      </c>
    </row>
    <row r="984">
      <c r="A984" s="22" t="inlineStr">
        <is>
          <t>R05885</t>
        </is>
      </c>
      <c r="B984" s="22" t="inlineStr">
        <is>
          <t>Kent Meydani-Terminal Tram</t>
        </is>
      </c>
      <c r="C984" s="22" t="inlineStr">
        <is>
          <t>tramvay</t>
        </is>
      </c>
      <c r="D984" s="22" t="inlineStr">
        <is>
          <t>Mertsan Mekanik Tesisat Müh. Ltd.Şti.</t>
        </is>
      </c>
      <c r="E984" s="22" t="inlineStr">
        <is>
          <t>2015-06-05</t>
        </is>
      </c>
      <c r="F984" s="22" t="inlineStr">
        <is>
          <t>Galvaniz sac dikdörtgen hava kanalı 0,60 mm</t>
        </is>
      </c>
      <c r="G984" s="22" t="inlineStr">
        <is>
          <t>M2</t>
        </is>
      </c>
      <c r="H984" s="63" t="n">
        <v>48</v>
      </c>
      <c r="I984" s="22" t="inlineStr">
        <is>
          <t>TRY</t>
        </is>
      </c>
      <c r="J984" s="22" t="inlineStr"/>
      <c r="K984" s="63" t="n">
        <v>21.2912564171232</v>
      </c>
      <c r="L984" s="22" t="inlineStr">
        <is>
          <t>6002.B</t>
        </is>
      </c>
      <c r="M984" s="22" t="n">
        <v>1</v>
      </c>
      <c r="N984" s="22" t="inlineStr">
        <is>
          <t>Bursa T2 Kent Meydanı-Terminal tramvay mekanik tesisat teklifi (FER ile aynı keşif); malzeme+işçilik tek birim fiyat, KDV hariç; tarih=dosya tarihi. izolasyonsuz</t>
        </is>
      </c>
    </row>
    <row r="985">
      <c r="A985" s="22" t="inlineStr">
        <is>
          <t>R05887</t>
        </is>
      </c>
      <c r="B985" s="22" t="inlineStr">
        <is>
          <t>Kent Meydani-Terminal Tram</t>
        </is>
      </c>
      <c r="C985" s="22" t="inlineStr">
        <is>
          <t>tramvay</t>
        </is>
      </c>
      <c r="D985" s="22" t="inlineStr">
        <is>
          <t>Mertsan Mekanik Tesisat Müh. Ltd.Şti.</t>
        </is>
      </c>
      <c r="E985" s="22" t="inlineStr">
        <is>
          <t>2015-06-05</t>
        </is>
      </c>
      <c r="F985" s="22" t="inlineStr">
        <is>
          <t>Toplayıcı menfez tek sıra 100-500 cm² alüminyum</t>
        </is>
      </c>
      <c r="G985" s="22" t="inlineStr">
        <is>
          <t>AD</t>
        </is>
      </c>
      <c r="H985" s="63" t="n">
        <v>24.96</v>
      </c>
      <c r="I985" s="22" t="inlineStr">
        <is>
          <t>TRY</t>
        </is>
      </c>
      <c r="J985" s="22" t="inlineStr"/>
      <c r="K985" s="63" t="n">
        <v>11.0714533369041</v>
      </c>
      <c r="L985" s="22" t="inlineStr">
        <is>
          <t>6002.B</t>
        </is>
      </c>
      <c r="M985" s="22" t="n">
        <v>2</v>
      </c>
      <c r="N985" s="22" t="inlineStr">
        <is>
          <t>Bursa T2 Kent Meydanı-Terminal tramvay mekanik tesisat teklifi (FER ile aynı keşif); malzeme+işçilik tek birim fiyat, KDV hariç; tarih=dosya tarihi.</t>
        </is>
      </c>
    </row>
    <row r="986">
      <c r="A986" s="22" t="inlineStr">
        <is>
          <t>R05889</t>
        </is>
      </c>
      <c r="B986" s="22" t="inlineStr">
        <is>
          <t>Kent Meydani-Terminal Tram</t>
        </is>
      </c>
      <c r="C986" s="22" t="inlineStr">
        <is>
          <t>tramvay</t>
        </is>
      </c>
      <c r="D986" s="22" t="inlineStr">
        <is>
          <t>Mertsan Mekanik Tesisat Müh. Ltd.Şti.</t>
        </is>
      </c>
      <c r="E986" s="22" t="inlineStr">
        <is>
          <t>2015-06-05</t>
        </is>
      </c>
      <c r="F986" s="22" t="inlineStr">
        <is>
          <t>Yangın suyu basınçlandırma sistemi (1 elektrikli + 1 dizel + 1 jokey pompa)</t>
        </is>
      </c>
      <c r="G986" s="22" t="inlineStr">
        <is>
          <t>AD</t>
        </is>
      </c>
      <c r="H986" s="63" t="n">
        <v>75450</v>
      </c>
      <c r="I986" s="22" t="inlineStr">
        <is>
          <t>TRY</t>
        </is>
      </c>
      <c r="J986" s="22" t="inlineStr"/>
      <c r="K986" s="63" t="n">
        <v>33467.1936806656</v>
      </c>
      <c r="L986" s="22" t="inlineStr">
        <is>
          <t>5005.H</t>
        </is>
      </c>
      <c r="M986" s="22" t="n">
        <v>1</v>
      </c>
      <c r="N986" s="22" t="inlineStr">
        <is>
          <t>Bursa T2 Kent Meydanı-Terminal tramvay mekanik tesisat teklifi (FER ile aynı keşif); malzeme+işçilik tek birim fiyat, KDV hariç; tarih=dosya tarihi. FER teklifinde aynı kalem: AUE 80/250 75 kW 100 mSS</t>
        </is>
      </c>
    </row>
    <row r="987">
      <c r="A987" s="22" t="inlineStr">
        <is>
          <t>R05890</t>
        </is>
      </c>
      <c r="B987" s="22" t="inlineStr">
        <is>
          <t>Kent Meydani-Terminal Tram</t>
        </is>
      </c>
      <c r="C987" s="22" t="inlineStr">
        <is>
          <t>tramvay</t>
        </is>
      </c>
      <c r="D987" s="22" t="inlineStr">
        <is>
          <t>Mertsan Mekanik Tesisat Müh. Ltd.Şti.</t>
        </is>
      </c>
      <c r="E987" s="22" t="inlineStr">
        <is>
          <t>2015-06-05</t>
        </is>
      </c>
      <c r="F987" s="22" t="inlineStr">
        <is>
          <t>Yangın dolabı 2" bağlantılı 1" 25 m kauçuk hortumlu tüplü</t>
        </is>
      </c>
      <c r="G987" s="22" t="inlineStr">
        <is>
          <t>AD</t>
        </is>
      </c>
      <c r="H987" s="63" t="n">
        <v>843</v>
      </c>
      <c r="I987" s="22" t="inlineStr">
        <is>
          <t>TRY</t>
        </is>
      </c>
      <c r="J987" s="22" t="inlineStr"/>
      <c r="K987" s="63" t="n">
        <v>373.927690825727</v>
      </c>
      <c r="L987" s="22" t="inlineStr">
        <is>
          <t>5005.H</t>
        </is>
      </c>
      <c r="M987" s="22" t="n">
        <v>1</v>
      </c>
      <c r="N987" s="22" t="inlineStr">
        <is>
          <t>Bursa T2 Kent Meydanı-Terminal tramvay mekanik tesisat teklifi (FER ile aynı keşif); malzeme+işçilik tek birim fiyat, KDV hariç; tarih=dosya tarihi.</t>
        </is>
      </c>
    </row>
    <row r="988">
      <c r="A988" s="22" t="inlineStr">
        <is>
          <t>R05891</t>
        </is>
      </c>
      <c r="B988" s="22" t="inlineStr">
        <is>
          <t>Kent Meydani-Terminal Tram</t>
        </is>
      </c>
      <c r="C988" s="22" t="inlineStr">
        <is>
          <t>tramvay</t>
        </is>
      </c>
      <c r="D988" s="22" t="inlineStr">
        <is>
          <t>Mertsan Mekanik Tesisat Müh. Ltd.Şti.</t>
        </is>
      </c>
      <c r="E988" s="22" t="inlineStr">
        <is>
          <t>2015-06-05</t>
        </is>
      </c>
      <c r="F988" s="22" t="inlineStr">
        <is>
          <t>DN100 izlenebilir kelebek vana</t>
        </is>
      </c>
      <c r="G988" s="22" t="inlineStr">
        <is>
          <t>AD</t>
        </is>
      </c>
      <c r="H988" s="63" t="n">
        <v>873</v>
      </c>
      <c r="I988" s="22" t="inlineStr">
        <is>
          <t>TRY</t>
        </is>
      </c>
      <c r="J988" s="22" t="inlineStr"/>
      <c r="K988" s="63" t="n">
        <v>387.234726086429</v>
      </c>
      <c r="L988" s="22" t="inlineStr">
        <is>
          <t>5005.H</t>
        </is>
      </c>
      <c r="M988" s="22" t="n">
        <v>2</v>
      </c>
      <c r="N988" s="22" t="inlineStr">
        <is>
          <t>Bursa T2 Kent Meydanı-Terminal tramvay mekanik tesisat teklifi (FER ile aynı keşif); malzeme+işçilik tek birim fiyat, KDV hariç; tarih=dosya tarihi.</t>
        </is>
      </c>
    </row>
    <row r="989">
      <c r="A989" s="22" t="inlineStr">
        <is>
          <t>R05897</t>
        </is>
      </c>
      <c r="B989" s="22" t="inlineStr">
        <is>
          <t>Kent Meydani-Terminal Tram</t>
        </is>
      </c>
      <c r="C989" s="22" t="inlineStr">
        <is>
          <t>tramvay</t>
        </is>
      </c>
      <c r="D989" s="22" t="inlineStr">
        <is>
          <t>Mertsan Mekanik Tesisat Müh. Ltd.Şti.</t>
        </is>
      </c>
      <c r="E989" s="22" t="inlineStr">
        <is>
          <t>2015-06-05</t>
        </is>
      </c>
      <c r="F989" s="22" t="inlineStr">
        <is>
          <t>HDPE PN16 temiz su borusu DN100 (yangın saha)</t>
        </is>
      </c>
      <c r="G989" s="22" t="inlineStr">
        <is>
          <t>MT</t>
        </is>
      </c>
      <c r="H989" s="63" t="n">
        <v>22.5</v>
      </c>
      <c r="I989" s="22" t="inlineStr">
        <is>
          <t>TRY</t>
        </is>
      </c>
      <c r="J989" s="22" t="inlineStr"/>
      <c r="K989" s="63" t="n">
        <v>9.98027644552652</v>
      </c>
      <c r="L989" s="22" t="inlineStr">
        <is>
          <t>5005.H</t>
        </is>
      </c>
      <c r="M989" s="22" t="n">
        <v>2</v>
      </c>
      <c r="N989" s="22" t="inlineStr">
        <is>
          <t>Bursa T2 Kent Meydanı-Terminal tramvay mekanik tesisat teklifi (FER ile aynı keşif); malzeme+işçilik tek birim fiyat, KDV hariç; tarih=dosya tarihi.</t>
        </is>
      </c>
    </row>
    <row r="990">
      <c r="A990" s="22" t="inlineStr">
        <is>
          <t>R05898</t>
        </is>
      </c>
      <c r="B990" s="22" t="inlineStr">
        <is>
          <t>Kent Meydani-Terminal Tram</t>
        </is>
      </c>
      <c r="C990" s="22" t="inlineStr">
        <is>
          <t>tramvay</t>
        </is>
      </c>
      <c r="D990" s="22" t="inlineStr">
        <is>
          <t>Mertsan Mekanik Tesisat Müh. Ltd.Şti.</t>
        </is>
      </c>
      <c r="E990" s="22" t="inlineStr">
        <is>
          <t>2015-06-05</t>
        </is>
      </c>
      <c r="F990" s="22" t="inlineStr">
        <is>
          <t>TCC ve elektronik ekipman odası FM200 gazlı söndürme (11,5x12,3x3,5 + 11,5x5,9x3,5 m)</t>
        </is>
      </c>
      <c r="G990" s="22" t="inlineStr">
        <is>
          <t>TK</t>
        </is>
      </c>
      <c r="H990" s="63" t="n">
        <v>175550</v>
      </c>
      <c r="I990" s="22" t="inlineStr">
        <is>
          <t>TRY</t>
        </is>
      </c>
      <c r="J990" s="22" t="inlineStr"/>
      <c r="K990" s="63" t="n">
        <v>77868.33466720799</v>
      </c>
      <c r="L990" s="22" t="inlineStr">
        <is>
          <t>5005.H</t>
        </is>
      </c>
      <c r="M990" s="22" t="n">
        <v>1</v>
      </c>
      <c r="N990" s="22" t="inlineStr">
        <is>
          <t>Bursa T2 Kent Meydanı-Terminal tramvay mekanik tesisat teklifi (FER ile aynı keşif); malzeme+işçilik tek birim fiyat, KDV hariç; tarih=dosya tarihi. ~730 m³ hacim</t>
        </is>
      </c>
    </row>
    <row r="991">
      <c r="A991" s="22" t="inlineStr">
        <is>
          <t>R05899</t>
        </is>
      </c>
      <c r="B991" s="22" t="inlineStr">
        <is>
          <t>Kent Meydani-Terminal Tram</t>
        </is>
      </c>
      <c r="C991" s="22" t="inlineStr">
        <is>
          <t>tramvay</t>
        </is>
      </c>
      <c r="D991" s="22" t="inlineStr">
        <is>
          <t>Mertsan Mekanik Tesisat Müh. Ltd.Şti.</t>
        </is>
      </c>
      <c r="E991" s="22" t="inlineStr">
        <is>
          <t>2015-06-05</t>
        </is>
      </c>
      <c r="F991" s="22" t="inlineStr">
        <is>
          <t>ABC KKT taşınabilir yangın söndürücü 6 kg</t>
        </is>
      </c>
      <c r="G991" s="22" t="inlineStr">
        <is>
          <t>AD</t>
        </is>
      </c>
      <c r="H991" s="63" t="n">
        <v>73</v>
      </c>
      <c r="I991" s="22" t="inlineStr">
        <is>
          <t>TRY</t>
        </is>
      </c>
      <c r="J991" s="22" t="inlineStr"/>
      <c r="K991" s="63" t="n">
        <v>32.3804524677083</v>
      </c>
      <c r="L991" s="22" t="inlineStr">
        <is>
          <t>5005.A</t>
        </is>
      </c>
      <c r="M991" s="22" t="n">
        <v>9</v>
      </c>
      <c r="N991" s="22" t="inlineStr">
        <is>
          <t>Bursa T2 Kent Meydanı-Terminal tramvay mekanik tesisat teklifi (FER ile aynı keşif); malzeme+işçilik tek birim fiyat, KDV hariç; tarih=dosya tarihi.</t>
        </is>
      </c>
    </row>
    <row r="992">
      <c r="A992" s="22" t="inlineStr">
        <is>
          <t>R05900</t>
        </is>
      </c>
      <c r="B992" s="22" t="inlineStr">
        <is>
          <t>Kent Meydani-Terminal Tram</t>
        </is>
      </c>
      <c r="C992" s="22" t="inlineStr">
        <is>
          <t>tramvay</t>
        </is>
      </c>
      <c r="D992" s="22" t="inlineStr">
        <is>
          <t>Mertsan Mekanik Tesisat Müh. Ltd.Şti.</t>
        </is>
      </c>
      <c r="E992" s="22" t="inlineStr">
        <is>
          <t>2015-06-05</t>
        </is>
      </c>
      <c r="F992" s="22" t="inlineStr">
        <is>
          <t>VRF dış ünite 39/44 kW</t>
        </is>
      </c>
      <c r="G992" s="22" t="inlineStr">
        <is>
          <t>AD</t>
        </is>
      </c>
      <c r="H992" s="63" t="n">
        <v>20320</v>
      </c>
      <c r="I992" s="22" t="inlineStr">
        <is>
          <t>TRY</t>
        </is>
      </c>
      <c r="J992" s="22" t="inlineStr"/>
      <c r="K992" s="63" t="n">
        <v>9013.298549915509</v>
      </c>
      <c r="L992" s="22" t="inlineStr">
        <is>
          <t>6001.H</t>
        </is>
      </c>
      <c r="M992" s="22" t="n">
        <v>2</v>
      </c>
      <c r="N992" s="22" t="inlineStr">
        <is>
          <t>Bursa T2 Kent Meydanı-Terminal tramvay mekanik tesisat teklifi (FER ile aynı keşif); malzeme+işçilik tek birim fiyat, KDV hariç; tarih=dosya tarihi.</t>
        </is>
      </c>
    </row>
    <row r="993">
      <c r="A993" s="22" t="inlineStr">
        <is>
          <t>R05901</t>
        </is>
      </c>
      <c r="B993" s="22" t="inlineStr">
        <is>
          <t>Kent Meydani-Terminal Tram</t>
        </is>
      </c>
      <c r="C993" s="22" t="inlineStr">
        <is>
          <t>tramvay</t>
        </is>
      </c>
      <c r="D993" s="22" t="inlineStr">
        <is>
          <t>Mertsan Mekanik Tesisat Müh. Ltd.Şti.</t>
        </is>
      </c>
      <c r="E993" s="22" t="inlineStr">
        <is>
          <t>2015-06-05</t>
        </is>
      </c>
      <c r="F993" s="22" t="inlineStr">
        <is>
          <t>VRF dış ünite 45/50 kW</t>
        </is>
      </c>
      <c r="G993" s="22" t="inlineStr">
        <is>
          <t>AD</t>
        </is>
      </c>
      <c r="H993" s="63" t="n">
        <v>24160</v>
      </c>
      <c r="I993" s="22" t="inlineStr">
        <is>
          <t>TRY</t>
        </is>
      </c>
      <c r="J993" s="22" t="inlineStr"/>
      <c r="K993" s="63" t="n">
        <v>10716.5990632854</v>
      </c>
      <c r="L993" s="22" t="inlineStr">
        <is>
          <t>6001.H</t>
        </is>
      </c>
      <c r="M993" s="22" t="n">
        <v>1</v>
      </c>
      <c r="N993" s="22" t="inlineStr">
        <is>
          <t>Bursa T2 Kent Meydanı-Terminal tramvay mekanik tesisat teklifi (FER ile aynı keşif); malzeme+işçilik tek birim fiyat, KDV hariç; tarih=dosya tarihi.</t>
        </is>
      </c>
    </row>
    <row r="994">
      <c r="A994" s="22" t="inlineStr">
        <is>
          <t>R05902</t>
        </is>
      </c>
      <c r="B994" s="22" t="inlineStr">
        <is>
          <t>Kent Meydani-Terminal Tram</t>
        </is>
      </c>
      <c r="C994" s="22" t="inlineStr">
        <is>
          <t>tramvay</t>
        </is>
      </c>
      <c r="D994" s="22" t="inlineStr">
        <is>
          <t>Mertsan Mekanik Tesisat Müh. Ltd.Şti.</t>
        </is>
      </c>
      <c r="E994" s="22" t="inlineStr">
        <is>
          <t>2015-06-05</t>
        </is>
      </c>
      <c r="F994" s="22" t="inlineStr">
        <is>
          <t>VRF duvar tipi iç ünite 2,2/2,5 kW</t>
        </is>
      </c>
      <c r="G994" s="22" t="inlineStr">
        <is>
          <t>AD</t>
        </is>
      </c>
      <c r="H994" s="63" t="n">
        <v>1850</v>
      </c>
      <c r="I994" s="22" t="inlineStr">
        <is>
          <t>TRY</t>
        </is>
      </c>
      <c r="J994" s="22" t="inlineStr"/>
      <c r="K994" s="63" t="n">
        <v>820.600507743292</v>
      </c>
      <c r="L994" s="22" t="inlineStr">
        <is>
          <t>6001.H</t>
        </is>
      </c>
      <c r="M994" s="22" t="n">
        <v>1</v>
      </c>
      <c r="N994" s="22" t="inlineStr">
        <is>
          <t>[AYKIRI DEĞER – otomatik dışlandı] Bursa T2 Kent Meydanı-Terminal tramvay mekanik tesisat teklifi (FER ile aynı keşif); malzeme+işçilik tek birim fiyat, KDV hariç; tarih=dosya tarihi.</t>
        </is>
      </c>
    </row>
    <row r="995">
      <c r="A995" s="22" t="inlineStr">
        <is>
          <t>R05903</t>
        </is>
      </c>
      <c r="B995" s="22" t="inlineStr">
        <is>
          <t>Kent Meydani-Terminal Tram</t>
        </is>
      </c>
      <c r="C995" s="22" t="inlineStr">
        <is>
          <t>tramvay</t>
        </is>
      </c>
      <c r="D995" s="22" t="inlineStr">
        <is>
          <t>Mertsan Mekanik Tesisat Müh. Ltd.Şti.</t>
        </is>
      </c>
      <c r="E995" s="22" t="inlineStr">
        <is>
          <t>2015-06-05</t>
        </is>
      </c>
      <c r="F995" s="22" t="inlineStr">
        <is>
          <t>VRF kaset iç ünite 2,2/2,5 kW</t>
        </is>
      </c>
      <c r="G995" s="22" t="inlineStr">
        <is>
          <t>AD</t>
        </is>
      </c>
      <c r="H995" s="63" t="n">
        <v>1690</v>
      </c>
      <c r="I995" s="22" t="inlineStr">
        <is>
          <t>TRY</t>
        </is>
      </c>
      <c r="J995" s="22" t="inlineStr"/>
      <c r="K995" s="63" t="n">
        <v>749.629653019548</v>
      </c>
      <c r="L995" s="22" t="inlineStr">
        <is>
          <t>6001.H</t>
        </is>
      </c>
      <c r="M995" s="22" t="n">
        <v>1</v>
      </c>
      <c r="N995" s="22" t="inlineStr">
        <is>
          <t>Bursa T2 Kent Meydanı-Terminal tramvay mekanik tesisat teklifi (FER ile aynı keşif); malzeme+işçilik tek birim fiyat, KDV hariç; tarih=dosya tarihi.</t>
        </is>
      </c>
    </row>
    <row r="996">
      <c r="A996" s="22" t="inlineStr">
        <is>
          <t>R05904</t>
        </is>
      </c>
      <c r="B996" s="22" t="inlineStr">
        <is>
          <t>Kent Meydani-Terminal Tram</t>
        </is>
      </c>
      <c r="C996" s="22" t="inlineStr">
        <is>
          <t>tramvay</t>
        </is>
      </c>
      <c r="D996" s="22" t="inlineStr">
        <is>
          <t>Mertsan Mekanik Tesisat Müh. Ltd.Şti.</t>
        </is>
      </c>
      <c r="E996" s="22" t="inlineStr">
        <is>
          <t>2015-06-05</t>
        </is>
      </c>
      <c r="F996" s="22" t="inlineStr">
        <is>
          <t>VRF kaset iç ünite 3,6/4,0 kW</t>
        </is>
      </c>
      <c r="G996" s="22" t="inlineStr">
        <is>
          <t>AD</t>
        </is>
      </c>
      <c r="H996" s="63" t="n">
        <v>2386</v>
      </c>
      <c r="I996" s="22" t="inlineStr">
        <is>
          <t>TRY</t>
        </is>
      </c>
      <c r="J996" s="22" t="inlineStr"/>
      <c r="K996" s="63" t="n">
        <v>1058.35287106783</v>
      </c>
      <c r="L996" s="22" t="inlineStr">
        <is>
          <t>6001.H</t>
        </is>
      </c>
      <c r="M996" s="22" t="n">
        <v>1</v>
      </c>
      <c r="N996" s="22" t="inlineStr">
        <is>
          <t>Bursa T2 Kent Meydanı-Terminal tramvay mekanik tesisat teklifi (FER ile aynı keşif); malzeme+işçilik tek birim fiyat, KDV hariç; tarih=dosya tarihi.</t>
        </is>
      </c>
    </row>
    <row r="997">
      <c r="A997" s="22" t="inlineStr">
        <is>
          <t>R05905</t>
        </is>
      </c>
      <c r="B997" s="22" t="inlineStr">
        <is>
          <t>Kent Meydani-Terminal Tram</t>
        </is>
      </c>
      <c r="C997" s="22" t="inlineStr">
        <is>
          <t>tramvay</t>
        </is>
      </c>
      <c r="D997" s="22" t="inlineStr">
        <is>
          <t>Mertsan Mekanik Tesisat Müh. Ltd.Şti.</t>
        </is>
      </c>
      <c r="E997" s="22" t="inlineStr">
        <is>
          <t>2015-06-05</t>
        </is>
      </c>
      <c r="F997" s="22" t="inlineStr">
        <is>
          <t>VRF kaset iç ünite 7,5/8,5 kW</t>
        </is>
      </c>
      <c r="G997" s="22" t="inlineStr">
        <is>
          <t>AD</t>
        </is>
      </c>
      <c r="H997" s="63" t="n">
        <v>2965</v>
      </c>
      <c r="I997" s="22" t="inlineStr">
        <is>
          <t>TRY</t>
        </is>
      </c>
      <c r="J997" s="22" t="inlineStr"/>
      <c r="K997" s="63" t="n">
        <v>1315.17865159938</v>
      </c>
      <c r="L997" s="22" t="inlineStr">
        <is>
          <t>6001.H</t>
        </is>
      </c>
      <c r="M997" s="22" t="n">
        <v>1</v>
      </c>
      <c r="N997" s="22" t="inlineStr">
        <is>
          <t>Bursa T2 Kent Meydanı-Terminal tramvay mekanik tesisat teklifi (FER ile aynı keşif); malzeme+işçilik tek birim fiyat, KDV hariç; tarih=dosya tarihi.</t>
        </is>
      </c>
    </row>
    <row r="998">
      <c r="A998" s="22" t="inlineStr">
        <is>
          <t>R05906</t>
        </is>
      </c>
      <c r="B998" s="22" t="inlineStr">
        <is>
          <t>Kent Meydani-Terminal Tram</t>
        </is>
      </c>
      <c r="C998" s="22" t="inlineStr">
        <is>
          <t>tramvay</t>
        </is>
      </c>
      <c r="D998" s="22" t="inlineStr">
        <is>
          <t>Mertsan Mekanik Tesisat Müh. Ltd.Şti.</t>
        </is>
      </c>
      <c r="E998" s="22" t="inlineStr">
        <is>
          <t>2015-06-05</t>
        </is>
      </c>
      <c r="F998" s="22" t="inlineStr">
        <is>
          <t>VRF kaset iç ünite 9,0/9,9 kW</t>
        </is>
      </c>
      <c r="G998" s="22" t="inlineStr">
        <is>
          <t>AD</t>
        </is>
      </c>
      <c r="H998" s="63" t="n">
        <v>3115</v>
      </c>
      <c r="I998" s="22" t="inlineStr">
        <is>
          <t>TRY</t>
        </is>
      </c>
      <c r="J998" s="22" t="inlineStr"/>
      <c r="K998" s="63" t="n">
        <v>1381.71382790289</v>
      </c>
      <c r="L998" s="22" t="inlineStr">
        <is>
          <t>6001.G</t>
        </is>
      </c>
      <c r="M998" s="22" t="n">
        <v>2</v>
      </c>
      <c r="N998" s="22" t="inlineStr">
        <is>
          <t>Bursa T2 Kent Meydanı-Terminal tramvay mekanik tesisat teklifi (FER ile aynı keşif); malzeme+işçilik tek birim fiyat, KDV hariç; tarih=dosya tarihi. kaset; URF kanallı</t>
        </is>
      </c>
    </row>
    <row r="999">
      <c r="A999" s="22" t="inlineStr">
        <is>
          <t>R05907</t>
        </is>
      </c>
      <c r="B999" s="22" t="inlineStr">
        <is>
          <t>Kent Meydani-Terminal Tram</t>
        </is>
      </c>
      <c r="C999" s="22" t="inlineStr">
        <is>
          <t>tramvay</t>
        </is>
      </c>
      <c r="D999" s="22" t="inlineStr">
        <is>
          <t>Mertsan Mekanik Tesisat Müh. Ltd.Şti.</t>
        </is>
      </c>
      <c r="E999" s="22" t="inlineStr">
        <is>
          <t>2015-06-05</t>
        </is>
      </c>
      <c r="F999" s="22" t="inlineStr">
        <is>
          <t>VRF kablolu uzaktan kumanda</t>
        </is>
      </c>
      <c r="G999" s="22" t="inlineStr">
        <is>
          <t>AD</t>
        </is>
      </c>
      <c r="H999" s="63" t="n">
        <v>210</v>
      </c>
      <c r="I999" s="22" t="inlineStr">
        <is>
          <t>TRY</t>
        </is>
      </c>
      <c r="J999" s="22" t="inlineStr"/>
      <c r="K999" s="63" t="n">
        <v>93.1492468249142</v>
      </c>
      <c r="L999" s="22" t="inlineStr">
        <is>
          <t>6001.H</t>
        </is>
      </c>
      <c r="M999" s="22" t="n">
        <v>3</v>
      </c>
      <c r="N999" s="22" t="inlineStr">
        <is>
          <t>Bursa T2 Kent Meydanı-Terminal tramvay mekanik tesisat teklifi (FER ile aynı keşif); malzeme+işçilik tek birim fiyat, KDV hariç; tarih=dosya tarihi.</t>
        </is>
      </c>
    </row>
    <row r="1000">
      <c r="A1000" s="22" t="inlineStr">
        <is>
          <t>R05908</t>
        </is>
      </c>
      <c r="B1000" s="22" t="inlineStr">
        <is>
          <t>Kent Meydani-Terminal Tram</t>
        </is>
      </c>
      <c r="C1000" s="22" t="inlineStr">
        <is>
          <t>tramvay</t>
        </is>
      </c>
      <c r="D1000" s="22" t="inlineStr">
        <is>
          <t>Mertsan Mekanik Tesisat Müh. Ltd.Şti.</t>
        </is>
      </c>
      <c r="E1000" s="22" t="inlineStr">
        <is>
          <t>2015-06-05</t>
        </is>
      </c>
      <c r="F1000" s="22" t="inlineStr">
        <is>
          <t>VRF merkezi kumanda (50 iç üniteye kadar)</t>
        </is>
      </c>
      <c r="G1000" s="22" t="inlineStr">
        <is>
          <t>AD</t>
        </is>
      </c>
      <c r="H1000" s="63" t="n">
        <v>3100</v>
      </c>
      <c r="I1000" s="22" t="inlineStr">
        <is>
          <t>TRY</t>
        </is>
      </c>
      <c r="J1000" s="22" t="inlineStr"/>
      <c r="K1000" s="63" t="n">
        <v>1375.06031027254</v>
      </c>
      <c r="L1000" s="22" t="inlineStr">
        <is>
          <t>6001.H</t>
        </is>
      </c>
      <c r="M1000" s="22" t="n">
        <v>2</v>
      </c>
      <c r="N1000" s="22" t="inlineStr">
        <is>
          <t>Bursa T2 Kent Meydanı-Terminal tramvay mekanik tesisat teklifi (FER ile aynı keşif); malzeme+işçilik tek birim fiyat, KDV hariç; tarih=dosya tarihi.</t>
        </is>
      </c>
    </row>
    <row r="1001">
      <c r="A1001" s="22" t="inlineStr">
        <is>
          <t>R05909</t>
        </is>
      </c>
      <c r="B1001" s="22" t="inlineStr">
        <is>
          <t>Kent Meydani-Terminal Tram</t>
        </is>
      </c>
      <c r="C1001" s="22" t="inlineStr">
        <is>
          <t>tramvay</t>
        </is>
      </c>
      <c r="D1001" s="22" t="inlineStr">
        <is>
          <t>Mertsan Mekanik Tesisat Müh. Ltd.Şti.</t>
        </is>
      </c>
      <c r="E1001" s="22" t="inlineStr">
        <is>
          <t>2015-06-05</t>
        </is>
      </c>
      <c r="F1001" s="22" t="inlineStr">
        <is>
          <t>VRF bağlantı (joint) elemanları 25 kW'a kadar</t>
        </is>
      </c>
      <c r="G1001" s="22" t="inlineStr">
        <is>
          <t>TK</t>
        </is>
      </c>
      <c r="H1001" s="63" t="n">
        <v>174</v>
      </c>
      <c r="I1001" s="22" t="inlineStr">
        <is>
          <t>TRY</t>
        </is>
      </c>
      <c r="J1001" s="22" t="inlineStr"/>
      <c r="K1001" s="63" t="n">
        <v>77.1808045120718</v>
      </c>
      <c r="L1001" s="22" t="inlineStr">
        <is>
          <t>6001.H</t>
        </is>
      </c>
      <c r="M1001" s="22" t="n">
        <v>2</v>
      </c>
      <c r="N1001" s="22" t="inlineStr">
        <is>
          <t>Bursa T2 Kent Meydanı-Terminal tramvay mekanik tesisat teklifi (FER ile aynı keşif); malzeme+işçilik tek birim fiyat, KDV hariç; tarih=dosya tarihi.</t>
        </is>
      </c>
    </row>
    <row r="1002">
      <c r="A1002" s="22" t="inlineStr">
        <is>
          <t>R05910</t>
        </is>
      </c>
      <c r="B1002" s="22" t="inlineStr">
        <is>
          <t>Kent Meydani-Terminal Tram</t>
        </is>
      </c>
      <c r="C1002" s="22" t="inlineStr">
        <is>
          <t>tramvay</t>
        </is>
      </c>
      <c r="D1002" s="22" t="inlineStr">
        <is>
          <t>Mertsan Mekanik Tesisat Müh. Ltd.Şti.</t>
        </is>
      </c>
      <c r="E1002" s="22" t="inlineStr">
        <is>
          <t>2015-06-05</t>
        </is>
      </c>
      <c r="F1002" s="22" t="inlineStr">
        <is>
          <t>Sert PVC drenaj borusu DN20 (klima)</t>
        </is>
      </c>
      <c r="G1002" s="22" t="inlineStr">
        <is>
          <t>MT</t>
        </is>
      </c>
      <c r="H1002" s="63" t="n">
        <v>4.3</v>
      </c>
      <c r="I1002" s="22" t="inlineStr">
        <is>
          <t>TRY</t>
        </is>
      </c>
      <c r="J1002" s="22" t="inlineStr"/>
      <c r="K1002" s="63" t="n">
        <v>1.90734172070062</v>
      </c>
      <c r="L1002" s="22" t="inlineStr">
        <is>
          <t>6001.A</t>
        </is>
      </c>
      <c r="M1002" s="22" t="n">
        <v>12</v>
      </c>
      <c r="N1002" s="22" t="inlineStr">
        <is>
          <t>Bursa T2 Kent Meydanı-Terminal tramvay mekanik tesisat teklifi (FER ile aynı keşif); malzeme+işçilik tek birim fiyat, KDV hariç; tarih=dosya tarihi.</t>
        </is>
      </c>
    </row>
    <row r="1003">
      <c r="A1003" s="22" t="inlineStr">
        <is>
          <t>R05911</t>
        </is>
      </c>
      <c r="B1003" s="22" t="inlineStr">
        <is>
          <t>Kent Meydani-Terminal Tram</t>
        </is>
      </c>
      <c r="C1003" s="22" t="inlineStr">
        <is>
          <t>tramvay</t>
        </is>
      </c>
      <c r="D1003" s="22" t="inlineStr">
        <is>
          <t>Mertsan Mekanik Tesisat Müh. Ltd.Şti.</t>
        </is>
      </c>
      <c r="E1003" s="22" t="inlineStr">
        <is>
          <t>2015-06-05</t>
        </is>
      </c>
      <c r="F1003" s="22" t="inlineStr">
        <is>
          <t>Sert PVC drenaj borusu DN25 (klima)</t>
        </is>
      </c>
      <c r="G1003" s="22" t="inlineStr">
        <is>
          <t>MT</t>
        </is>
      </c>
      <c r="H1003" s="63" t="n">
        <v>6.8</v>
      </c>
      <c r="I1003" s="22" t="inlineStr">
        <is>
          <t>TRY</t>
        </is>
      </c>
      <c r="J1003" s="22" t="inlineStr"/>
      <c r="K1003" s="63" t="n">
        <v>3.01626132575913</v>
      </c>
      <c r="L1003" s="22" t="inlineStr">
        <is>
          <t>6001.H</t>
        </is>
      </c>
      <c r="M1003" s="22" t="n">
        <v>9</v>
      </c>
      <c r="N1003" s="22" t="inlineStr">
        <is>
          <t>Bursa T2 Kent Meydanı-Terminal tramvay mekanik tesisat teklifi (FER ile aynı keşif); malzeme+işçilik tek birim fiyat, KDV hariç; tarih=dosya tarihi.</t>
        </is>
      </c>
    </row>
    <row r="1004">
      <c r="A1004" s="22" t="inlineStr">
        <is>
          <t>R05912</t>
        </is>
      </c>
      <c r="B1004" s="22" t="inlineStr">
        <is>
          <t>Kent Meydani-Terminal Tram</t>
        </is>
      </c>
      <c r="C1004" s="22" t="inlineStr">
        <is>
          <t>tramvay</t>
        </is>
      </c>
      <c r="D1004" s="22" t="inlineStr">
        <is>
          <t>Mertsan Mekanik Tesisat Müh. Ltd.Şti.</t>
        </is>
      </c>
      <c r="E1004" s="22" t="inlineStr">
        <is>
          <t>2015-06-05</t>
        </is>
      </c>
      <c r="F1004" s="22" t="inlineStr">
        <is>
          <t>VRF izoleli bakır boru ¼"</t>
        </is>
      </c>
      <c r="G1004" s="22" t="inlineStr">
        <is>
          <t>MT</t>
        </is>
      </c>
      <c r="H1004" s="63" t="n">
        <v>19.3</v>
      </c>
      <c r="I1004" s="22" t="inlineStr">
        <is>
          <t>TRY</t>
        </is>
      </c>
      <c r="J1004" s="22" t="inlineStr"/>
      <c r="K1004" s="63" t="n">
        <v>8.56085935105164</v>
      </c>
      <c r="L1004" s="22" t="inlineStr">
        <is>
          <t>6001.H</t>
        </is>
      </c>
      <c r="M1004" s="22" t="n">
        <v>17</v>
      </c>
      <c r="N1004" s="22" t="inlineStr">
        <is>
          <t>Bursa T2 Kent Meydanı-Terminal tramvay mekanik tesisat teklifi (FER ile aynı keşif); malzeme+işçilik tek birim fiyat, KDV hariç; tarih=dosya tarihi. tek boru</t>
        </is>
      </c>
    </row>
    <row r="1005">
      <c r="A1005" s="22" t="inlineStr">
        <is>
          <t>R05913</t>
        </is>
      </c>
      <c r="B1005" s="22" t="inlineStr">
        <is>
          <t>Kent Meydani-Terminal Tram</t>
        </is>
      </c>
      <c r="C1005" s="22" t="inlineStr">
        <is>
          <t>tramvay</t>
        </is>
      </c>
      <c r="D1005" s="22" t="inlineStr">
        <is>
          <t>Mertsan Mekanik Tesisat Müh. Ltd.Şti.</t>
        </is>
      </c>
      <c r="E1005" s="22" t="inlineStr">
        <is>
          <t>2015-06-05</t>
        </is>
      </c>
      <c r="F1005" s="22" t="inlineStr">
        <is>
          <t>VRF izoleli bakır boru ½"</t>
        </is>
      </c>
      <c r="G1005" s="22" t="inlineStr">
        <is>
          <t>MT</t>
        </is>
      </c>
      <c r="H1005" s="63" t="n">
        <v>36.2</v>
      </c>
      <c r="I1005" s="22" t="inlineStr">
        <is>
          <t>TRY</t>
        </is>
      </c>
      <c r="J1005" s="22" t="inlineStr"/>
      <c r="K1005" s="63" t="n">
        <v>16.0571558812471</v>
      </c>
      <c r="L1005" s="22" t="inlineStr">
        <is>
          <t>6001.H</t>
        </is>
      </c>
      <c r="M1005" s="22" t="n">
        <v>17</v>
      </c>
      <c r="N1005" s="22" t="inlineStr">
        <is>
          <t>Bursa T2 Kent Meydanı-Terminal tramvay mekanik tesisat teklifi (FER ile aynı keşif); malzeme+işçilik tek birim fiyat, KDV hariç; tarih=dosya tarihi. tek boru</t>
        </is>
      </c>
    </row>
    <row r="1006">
      <c r="A1006" s="22" t="inlineStr">
        <is>
          <t>R05914</t>
        </is>
      </c>
      <c r="B1006" s="22" t="inlineStr">
        <is>
          <t>Kent Meydani-Terminal Tram</t>
        </is>
      </c>
      <c r="C1006" s="22" t="inlineStr">
        <is>
          <t>tramvay</t>
        </is>
      </c>
      <c r="D1006" s="22" t="inlineStr">
        <is>
          <t>Mertsan Mekanik Tesisat Müh. Ltd.Şti.</t>
        </is>
      </c>
      <c r="E1006" s="22" t="inlineStr">
        <is>
          <t>2015-06-05</t>
        </is>
      </c>
      <c r="F1006" s="22" t="inlineStr">
        <is>
          <t>VRF izoleli bakır boru ¾"</t>
        </is>
      </c>
      <c r="G1006" s="22" t="inlineStr">
        <is>
          <t>MT</t>
        </is>
      </c>
      <c r="H1006" s="63" t="n">
        <v>52.3</v>
      </c>
      <c r="I1006" s="22" t="inlineStr">
        <is>
          <t>TRY</t>
        </is>
      </c>
      <c r="J1006" s="22" t="inlineStr"/>
      <c r="K1006" s="63" t="n">
        <v>23.1985981378239</v>
      </c>
      <c r="L1006" s="22" t="inlineStr">
        <is>
          <t>6001.H</t>
        </is>
      </c>
      <c r="M1006" s="22" t="n">
        <v>18</v>
      </c>
      <c r="N1006" s="22" t="inlineStr">
        <is>
          <t>Bursa T2 Kent Meydanı-Terminal tramvay mekanik tesisat teklifi (FER ile aynı keşif); malzeme+işçilik tek birim fiyat, KDV hariç; tarih=dosya tarihi. tek boru</t>
        </is>
      </c>
    </row>
    <row r="1007">
      <c r="A1007" s="22" t="inlineStr">
        <is>
          <t>R05915</t>
        </is>
      </c>
      <c r="B1007" s="22" t="inlineStr">
        <is>
          <t>Kent Meydani-Terminal Tram</t>
        </is>
      </c>
      <c r="C1007" s="22" t="inlineStr">
        <is>
          <t>tramvay</t>
        </is>
      </c>
      <c r="D1007" s="22" t="inlineStr">
        <is>
          <t>Mertsan Mekanik Tesisat Müh. Ltd.Şti.</t>
        </is>
      </c>
      <c r="E1007" s="22" t="inlineStr">
        <is>
          <t>2015-06-05</t>
        </is>
      </c>
      <c r="F1007" s="22" t="inlineStr">
        <is>
          <t>VRF izoleli bakır boru 1⅛"</t>
        </is>
      </c>
      <c r="G1007" s="22" t="inlineStr">
        <is>
          <t>MT</t>
        </is>
      </c>
      <c r="H1007" s="63" t="n">
        <v>81.2</v>
      </c>
      <c r="I1007" s="22" t="inlineStr">
        <is>
          <t>TRY</t>
        </is>
      </c>
      <c r="J1007" s="22" t="inlineStr"/>
      <c r="K1007" s="63" t="n">
        <v>36.0177087723002</v>
      </c>
      <c r="L1007" s="22" t="inlineStr">
        <is>
          <t>6001.H</t>
        </is>
      </c>
      <c r="M1007" s="22" t="n">
        <v>17</v>
      </c>
      <c r="N1007" s="22" t="inlineStr">
        <is>
          <t>Bursa T2 Kent Meydanı-Terminal tramvay mekanik tesisat teklifi (FER ile aynı keşif); malzeme+işçilik tek birim fiyat, KDV hariç; tarih=dosya tarihi. tek boru</t>
        </is>
      </c>
    </row>
    <row r="1008">
      <c r="A1008" s="22" t="inlineStr">
        <is>
          <t>R05918</t>
        </is>
      </c>
      <c r="B1008" s="22" t="inlineStr">
        <is>
          <t>Kent Meydani-Terminal Tram</t>
        </is>
      </c>
      <c r="C1008" s="22" t="inlineStr">
        <is>
          <t>tramvay</t>
        </is>
      </c>
      <c r="D1008" s="22" t="inlineStr">
        <is>
          <t>Mertsan Mekanik Tesisat Müh. Ltd.Şti.</t>
        </is>
      </c>
      <c r="E1008" s="22" t="inlineStr">
        <is>
          <t>2015-06-05</t>
        </is>
      </c>
      <c r="F1008" s="22" t="inlineStr">
        <is>
          <t>Hava kompresörü deposu 1000 L 10 atm galvaniz</t>
        </is>
      </c>
      <c r="G1008" s="22" t="inlineStr">
        <is>
          <t>AD</t>
        </is>
      </c>
      <c r="H1008" s="63" t="n">
        <v>3150</v>
      </c>
      <c r="I1008" s="22" t="inlineStr">
        <is>
          <t>TRY</t>
        </is>
      </c>
      <c r="J1008" s="22" t="inlineStr"/>
      <c r="K1008" s="63" t="n">
        <v>1397.23870237371</v>
      </c>
      <c r="L1008" s="22" t="inlineStr">
        <is>
          <t>5009.A</t>
        </is>
      </c>
      <c r="M1008" s="22" t="n">
        <v>1</v>
      </c>
      <c r="N1008" s="22" t="inlineStr">
        <is>
          <t>Bursa T2 Kent Meydanı-Terminal tramvay mekanik tesisat teklifi (FER ile aynı keşif); malzeme+işçilik tek birim fiyat, KDV hariç; tarih=dosya tarihi. 1000 L</t>
        </is>
      </c>
    </row>
    <row r="1009">
      <c r="A1009" s="22" t="inlineStr">
        <is>
          <t>R05919</t>
        </is>
      </c>
      <c r="B1009" s="22" t="inlineStr">
        <is>
          <t>Kent Meydani-Terminal Tram</t>
        </is>
      </c>
      <c r="C1009" s="22" t="inlineStr">
        <is>
          <t>tramvay</t>
        </is>
      </c>
      <c r="D1009" s="22" t="inlineStr">
        <is>
          <t>Mertsan Mekanik Tesisat Müh. Ltd.Şti.</t>
        </is>
      </c>
      <c r="E1009" s="22" t="inlineStr">
        <is>
          <t>2015-06-05</t>
        </is>
      </c>
      <c r="F1009" s="22" t="inlineStr">
        <is>
          <t>Vidalı hava kompresörü 8 atü 12,5 m³/dk serbest hava</t>
        </is>
      </c>
      <c r="G1009" s="22" t="inlineStr">
        <is>
          <t>AD</t>
        </is>
      </c>
      <c r="H1009" s="63" t="n">
        <v>23750</v>
      </c>
      <c r="I1009" s="22" t="inlineStr">
        <is>
          <t>TRY</t>
        </is>
      </c>
      <c r="J1009" s="22" t="inlineStr"/>
      <c r="K1009" s="63" t="n">
        <v>10534.7362480558</v>
      </c>
      <c r="L1009" s="22" t="inlineStr">
        <is>
          <t>5009.A</t>
        </is>
      </c>
      <c r="M1009" s="22" t="n">
        <v>1</v>
      </c>
      <c r="N1009" s="22" t="inlineStr">
        <is>
          <t>Bursa T2 Kent Meydanı-Terminal tramvay mekanik tesisat teklifi (FER ile aynı keşif); malzeme+işçilik tek birim fiyat, KDV hariç; tarih=dosya tarihi. 750 m³/h (URF 882)</t>
        </is>
      </c>
    </row>
    <row r="1010">
      <c r="A1010" s="22" t="inlineStr">
        <is>
          <t>R05920</t>
        </is>
      </c>
      <c r="B1010" s="22" t="inlineStr">
        <is>
          <t>Kent Meydani-Terminal Tram</t>
        </is>
      </c>
      <c r="C1010" s="22" t="inlineStr">
        <is>
          <t>tramvay</t>
        </is>
      </c>
      <c r="D1010" s="22" t="inlineStr">
        <is>
          <t>Mertsan Mekanik Tesisat Müh. Ltd.Şti.</t>
        </is>
      </c>
      <c r="E1010" s="22" t="inlineStr">
        <is>
          <t>2015-06-05</t>
        </is>
      </c>
      <c r="F1010" s="22" t="inlineStr">
        <is>
          <t>Hava kurutucu (12,5 m³/dk) 8 bar</t>
        </is>
      </c>
      <c r="G1010" s="22" t="inlineStr">
        <is>
          <t>AD</t>
        </is>
      </c>
      <c r="H1010" s="63" t="n">
        <v>11750</v>
      </c>
      <c r="I1010" s="22" t="inlineStr">
        <is>
          <t>TRY</t>
        </is>
      </c>
      <c r="J1010" s="22" t="inlineStr"/>
      <c r="K1010" s="63" t="n">
        <v>5211.92214377496</v>
      </c>
      <c r="L1010" s="22" t="inlineStr">
        <is>
          <t>5009.A</t>
        </is>
      </c>
      <c r="M1010" s="22" t="n">
        <v>1</v>
      </c>
      <c r="N1010" s="22" t="inlineStr">
        <is>
          <t>Bursa T2 Kent Meydanı-Terminal tramvay mekanik tesisat teklifi (FER ile aynı keşif); malzeme+işçilik tek birim fiyat, KDV hariç; tarih=dosya tarihi. birim teklifte "m3/H" yazıyor; kompresörle eşleşen 12,5 m³/dk olmalı</t>
        </is>
      </c>
    </row>
    <row r="1011">
      <c r="A1011" s="22" t="inlineStr">
        <is>
          <t>R05921</t>
        </is>
      </c>
      <c r="B1011" s="22" t="inlineStr">
        <is>
          <t>Kent Meydani-Terminal Tram</t>
        </is>
      </c>
      <c r="C1011" s="22" t="inlineStr">
        <is>
          <t>tramvay</t>
        </is>
      </c>
      <c r="D1011" s="22" t="inlineStr">
        <is>
          <t>Mertsan Mekanik Tesisat Müh. Ltd.Şti.</t>
        </is>
      </c>
      <c r="E1011" s="22" t="inlineStr">
        <is>
          <t>2015-06-05</t>
        </is>
      </c>
      <c r="F1011" s="22" t="inlineStr">
        <is>
          <t>Basınçlı hava genel amaç filtresi 2½" MX</t>
        </is>
      </c>
      <c r="G1011" s="22" t="inlineStr">
        <is>
          <t>AD</t>
        </is>
      </c>
      <c r="H1011" s="63" t="n">
        <v>750</v>
      </c>
      <c r="I1011" s="22" t="inlineStr">
        <is>
          <t>TRY</t>
        </is>
      </c>
      <c r="J1011" s="22" t="inlineStr"/>
      <c r="K1011" s="63" t="n">
        <v>332.675881517551</v>
      </c>
      <c r="L1011" s="22" t="inlineStr">
        <is>
          <t>5009.A</t>
        </is>
      </c>
      <c r="M1011" s="22" t="n">
        <v>1</v>
      </c>
      <c r="N1011" s="22" t="inlineStr">
        <is>
          <t>Bursa T2 Kent Meydanı-Terminal tramvay mekanik tesisat teklifi (FER ile aynı keşif); malzeme+işçilik tek birim fiyat, KDV hariç; tarih=dosya tarihi.</t>
        </is>
      </c>
    </row>
    <row r="1012">
      <c r="A1012" s="22" t="inlineStr">
        <is>
          <t>R05922</t>
        </is>
      </c>
      <c r="B1012" s="22" t="inlineStr">
        <is>
          <t>Kent Meydani-Terminal Tram</t>
        </is>
      </c>
      <c r="C1012" s="22" t="inlineStr">
        <is>
          <t>tramvay</t>
        </is>
      </c>
      <c r="D1012" s="22" t="inlineStr">
        <is>
          <t>Mertsan Mekanik Tesisat Müh. Ltd.Şti.</t>
        </is>
      </c>
      <c r="E1012" s="22" t="inlineStr">
        <is>
          <t>2015-06-05</t>
        </is>
      </c>
      <c r="F1012" s="22" t="inlineStr">
        <is>
          <t>Basınçlı hava yağ giderici filtre 2½" MY</t>
        </is>
      </c>
      <c r="G1012" s="22" t="inlineStr">
        <is>
          <t>AD</t>
        </is>
      </c>
      <c r="H1012" s="63" t="n">
        <v>650</v>
      </c>
      <c r="I1012" s="22" t="inlineStr">
        <is>
          <t>TRY</t>
        </is>
      </c>
      <c r="J1012" s="22" t="inlineStr"/>
      <c r="K1012" s="63" t="n">
        <v>288.319097315211</v>
      </c>
      <c r="L1012" s="22" t="inlineStr">
        <is>
          <t>5009.A</t>
        </is>
      </c>
      <c r="M1012" s="22" t="n">
        <v>1</v>
      </c>
      <c r="N1012" s="22" t="inlineStr">
        <is>
          <t>Bursa T2 Kent Meydanı-Terminal tramvay mekanik tesisat teklifi (FER ile aynı keşif); malzeme+işçilik tek birim fiyat, KDV hariç; tarih=dosya tarihi.</t>
        </is>
      </c>
    </row>
    <row r="1013">
      <c r="A1013" s="22" t="inlineStr">
        <is>
          <t>R05923</t>
        </is>
      </c>
      <c r="B1013" s="22" t="inlineStr">
        <is>
          <t>Kent Meydani-Terminal Tram</t>
        </is>
      </c>
      <c r="C1013" s="22" t="inlineStr">
        <is>
          <t>tramvay</t>
        </is>
      </c>
      <c r="D1013" s="22" t="inlineStr">
        <is>
          <t>Mertsan Mekanik Tesisat Müh. Ltd.Şti.</t>
        </is>
      </c>
      <c r="E1013" s="22" t="inlineStr">
        <is>
          <t>2015-06-05</t>
        </is>
      </c>
      <c r="F1013" s="22" t="inlineStr">
        <is>
          <t>Basınçlı hava kondenstopu ½"</t>
        </is>
      </c>
      <c r="G1013" s="22" t="inlineStr">
        <is>
          <t>AD</t>
        </is>
      </c>
      <c r="H1013" s="63" t="n">
        <v>540</v>
      </c>
      <c r="I1013" s="22" t="inlineStr">
        <is>
          <t>TRY</t>
        </is>
      </c>
      <c r="J1013" s="22" t="inlineStr"/>
      <c r="K1013" s="63" t="n">
        <v>239.526634692637</v>
      </c>
      <c r="L1013" s="22" t="inlineStr">
        <is>
          <t>5009.A</t>
        </is>
      </c>
      <c r="M1013" s="22" t="n">
        <v>1</v>
      </c>
      <c r="N1013" s="22" t="inlineStr">
        <is>
          <t>Bursa T2 Kent Meydanı-Terminal tramvay mekanik tesisat teklifi (FER ile aynı keşif); malzeme+işçilik tek birim fiyat, KDV hariç; tarih=dosya tarihi.</t>
        </is>
      </c>
    </row>
    <row r="1014">
      <c r="A1014" s="22" t="inlineStr">
        <is>
          <t>R05924</t>
        </is>
      </c>
      <c r="B1014" s="22" t="inlineStr">
        <is>
          <t>Kent Meydani-Terminal Tram</t>
        </is>
      </c>
      <c r="C1014" s="22" t="inlineStr">
        <is>
          <t>tramvay</t>
        </is>
      </c>
      <c r="D1014" s="22" t="inlineStr">
        <is>
          <t>Mertsan Mekanik Tesisat Müh. Ltd.Şti.</t>
        </is>
      </c>
      <c r="E1014" s="22" t="inlineStr">
        <is>
          <t>2015-06-05</t>
        </is>
      </c>
      <c r="F1014" s="22" t="inlineStr">
        <is>
          <t>Basınçlı hava yağlayıcı ½"</t>
        </is>
      </c>
      <c r="G1014" s="22" t="inlineStr">
        <is>
          <t>AD</t>
        </is>
      </c>
      <c r="H1014" s="63" t="n">
        <v>95</v>
      </c>
      <c r="I1014" s="22" t="inlineStr">
        <is>
          <t>TRY</t>
        </is>
      </c>
      <c r="J1014" s="22" t="inlineStr"/>
      <c r="K1014" s="63" t="n">
        <v>42.1389449922231</v>
      </c>
      <c r="L1014" s="22" t="inlineStr">
        <is>
          <t>5009.A</t>
        </is>
      </c>
      <c r="M1014" s="22" t="n">
        <v>1</v>
      </c>
      <c r="N1014" s="22" t="inlineStr">
        <is>
          <t>Bursa T2 Kent Meydanı-Terminal tramvay mekanik tesisat teklifi (FER ile aynı keşif); malzeme+işçilik tek birim fiyat, KDV hariç; tarih=dosya tarihi.</t>
        </is>
      </c>
    </row>
    <row r="1015">
      <c r="A1015" s="22" t="inlineStr">
        <is>
          <t>R05925</t>
        </is>
      </c>
      <c r="B1015" s="22" t="inlineStr">
        <is>
          <t>Kent Meydani-Terminal Tram</t>
        </is>
      </c>
      <c r="C1015" s="22" t="inlineStr">
        <is>
          <t>tramvay</t>
        </is>
      </c>
      <c r="D1015" s="22" t="inlineStr">
        <is>
          <t>Mertsan Mekanik Tesisat Müh. Ltd.Şti.</t>
        </is>
      </c>
      <c r="E1015" s="22" t="inlineStr">
        <is>
          <t>2015-06-05</t>
        </is>
      </c>
      <c r="F1015" s="22" t="inlineStr">
        <is>
          <t>Basınçlı hava regülatörü ½"</t>
        </is>
      </c>
      <c r="G1015" s="22" t="inlineStr">
        <is>
          <t>AD</t>
        </is>
      </c>
      <c r="H1015" s="63" t="n">
        <v>75</v>
      </c>
      <c r="I1015" s="22" t="inlineStr">
        <is>
          <t>TRY</t>
        </is>
      </c>
      <c r="J1015" s="22" t="inlineStr"/>
      <c r="K1015" s="63" t="n">
        <v>33.2675881517551</v>
      </c>
      <c r="L1015" s="22" t="inlineStr">
        <is>
          <t>5009.A</t>
        </is>
      </c>
      <c r="M1015" s="22" t="n">
        <v>1</v>
      </c>
      <c r="N1015" s="22" t="inlineStr">
        <is>
          <t>Bursa T2 Kent Meydanı-Terminal tramvay mekanik tesisat teklifi (FER ile aynı keşif); malzeme+işçilik tek birim fiyat, KDV hariç; tarih=dosya tarihi.</t>
        </is>
      </c>
    </row>
    <row r="1016">
      <c r="A1016" s="22" t="inlineStr">
        <is>
          <t>R05927</t>
        </is>
      </c>
      <c r="B1016" s="22" t="inlineStr">
        <is>
          <t>Kent Meydani-Terminal Tram</t>
        </is>
      </c>
      <c r="C1016" s="22" t="inlineStr">
        <is>
          <t>tramvay</t>
        </is>
      </c>
      <c r="D1016" s="22" t="inlineStr">
        <is>
          <t>Mertsan Mekanik Tesisat Müh. Ltd.Şti.</t>
        </is>
      </c>
      <c r="E1016" s="22" t="inlineStr">
        <is>
          <t>2015-06-05</t>
        </is>
      </c>
      <c r="F1016" s="22" t="inlineStr">
        <is>
          <t>Duvar tipi split klima 18.000 BTU/h temin+montaj, bakır borulama dahil</t>
        </is>
      </c>
      <c r="G1016" s="22" t="inlineStr">
        <is>
          <t>AD</t>
        </is>
      </c>
      <c r="H1016" s="63" t="n">
        <v>4250</v>
      </c>
      <c r="I1016" s="22" t="inlineStr">
        <is>
          <t>TRY</t>
        </is>
      </c>
      <c r="J1016" s="22" t="inlineStr"/>
      <c r="K1016" s="63" t="n">
        <v>1885.16332859945</v>
      </c>
      <c r="L1016" s="22" t="inlineStr">
        <is>
          <t>6001.A</t>
        </is>
      </c>
      <c r="M1016" s="22" t="n">
        <v>6</v>
      </c>
      <c r="N1016" s="22" t="inlineStr">
        <is>
          <t>Bursa T2 Kent Meydanı-Terminal tramvay mekanik tesisat teklifi (FER ile aynı keşif); malzeme+işçilik tek birim fiyat, KDV hariç; tarih=dosya tarihi.</t>
        </is>
      </c>
    </row>
    <row r="1017">
      <c r="A1017" s="22" t="inlineStr">
        <is>
          <t>R05931</t>
        </is>
      </c>
      <c r="B1017" s="22" t="inlineStr">
        <is>
          <t>Kent Meydani-Terminal Tram</t>
        </is>
      </c>
      <c r="C1017" s="22" t="inlineStr">
        <is>
          <t>tramvay</t>
        </is>
      </c>
      <c r="D1017" s="22" t="inlineStr">
        <is>
          <t>TREMS Turkuaz Raylı ve ElektroMekanik Sistemler A.Ş.</t>
        </is>
      </c>
      <c r="E1017" s="22" t="inlineStr">
        <is>
          <t>2015-06-08</t>
        </is>
      </c>
      <c r="F1017" s="22" t="inlineStr">
        <is>
          <t>VRF heat pump dış ünite 40/45 kW (14 HP)</t>
        </is>
      </c>
      <c r="G1017" s="22" t="inlineStr">
        <is>
          <t>adet</t>
        </is>
      </c>
      <c r="H1017" s="63" t="n">
        <v>26659.02</v>
      </c>
      <c r="I1017" s="22" t="inlineStr">
        <is>
          <t>TRY</t>
        </is>
      </c>
      <c r="J1017" s="22" t="inlineStr"/>
      <c r="K1017" s="63" t="n">
        <v>11454.9873861851</v>
      </c>
      <c r="L1017" s="22" t="inlineStr">
        <is>
          <t>6001.H</t>
        </is>
      </c>
      <c r="M1017" s="22" t="n">
        <v>2</v>
      </c>
      <c r="N1017" s="22" t="inlineStr">
        <is>
          <t>Bursa T2 tramvay E&amp;M+katener ana paket teklifi (ref TF-013.15) keşif birim fiyatları; ana yüklenici fiyatı, kalemler arası dengesiz dağıtım var (ör. VRF duvar iç ünite 7.504 TL, yangın basınçlandırma seti 22.036 TL) – düşük güven.</t>
        </is>
      </c>
    </row>
    <row r="1018">
      <c r="A1018" s="22" t="inlineStr">
        <is>
          <t>R05932</t>
        </is>
      </c>
      <c r="B1018" s="22" t="inlineStr">
        <is>
          <t>Kent Meydani-Terminal Tram</t>
        </is>
      </c>
      <c r="C1018" s="22" t="inlineStr">
        <is>
          <t>tramvay</t>
        </is>
      </c>
      <c r="D1018" s="22" t="inlineStr">
        <is>
          <t>TREMS Turkuaz Raylı ve ElektroMekanik Sistemler A.Ş.</t>
        </is>
      </c>
      <c r="E1018" s="22" t="inlineStr">
        <is>
          <t>2015-06-08</t>
        </is>
      </c>
      <c r="F1018" s="22" t="inlineStr">
        <is>
          <t>VRF heat pump dış ünite 45/50 kW</t>
        </is>
      </c>
      <c r="G1018" s="22" t="inlineStr">
        <is>
          <t>adet</t>
        </is>
      </c>
      <c r="H1018" s="63" t="n">
        <v>32484.75</v>
      </c>
      <c r="I1018" s="22" t="inlineStr">
        <is>
          <t>TRY</t>
        </is>
      </c>
      <c r="J1018" s="22" t="inlineStr"/>
      <c r="K1018" s="63" t="n">
        <v>13958.2175748912</v>
      </c>
      <c r="L1018" s="22" t="inlineStr">
        <is>
          <t>6001.H</t>
        </is>
      </c>
      <c r="M1018" s="22" t="n">
        <v>1</v>
      </c>
      <c r="N1018" s="22" t="inlineStr">
        <is>
          <t>Bursa T2 tramvay E&amp;M+katener ana paket teklifi (ref TF-013.15) keşif birim fiyatları; ana yüklenici fiyatı, kalemler arası dengesiz dağıtım var (ör. VRF duvar iç ünite 7.504 TL, yangın basınçlandırma seti 22.036 TL) – düşük güven.</t>
        </is>
      </c>
    </row>
    <row r="1019">
      <c r="A1019" s="22" t="inlineStr">
        <is>
          <t>R05934</t>
        </is>
      </c>
      <c r="B1019" s="22" t="inlineStr">
        <is>
          <t>Kent Meydani-Terminal Tram</t>
        </is>
      </c>
      <c r="C1019" s="22" t="inlineStr">
        <is>
          <t>tramvay</t>
        </is>
      </c>
      <c r="D1019" s="22" t="inlineStr">
        <is>
          <t>TREMS Turkuaz Raylı ve ElektroMekanik Sistemler A.Ş.</t>
        </is>
      </c>
      <c r="E1019" s="22" t="inlineStr">
        <is>
          <t>2015-06-08</t>
        </is>
      </c>
      <c r="F1019" s="22" t="inlineStr">
        <is>
          <t>Yangın dolabı 2" bağlantılı 1" 25 m hortumlu tüplü</t>
        </is>
      </c>
      <c r="G1019" s="22" t="inlineStr">
        <is>
          <t>adet</t>
        </is>
      </c>
      <c r="H1019" s="63" t="n">
        <v>620.5700000000001</v>
      </c>
      <c r="I1019" s="22" t="inlineStr">
        <is>
          <t>TRY</t>
        </is>
      </c>
      <c r="J1019" s="22" t="inlineStr"/>
      <c r="K1019" s="63" t="n">
        <v>266.649768905417</v>
      </c>
      <c r="L1019" s="22" t="inlineStr">
        <is>
          <t>5005.H</t>
        </is>
      </c>
      <c r="M1019" s="22" t="n">
        <v>1</v>
      </c>
      <c r="N1019" s="22" t="inlineStr">
        <is>
          <t>Bursa T2 tramvay E&amp;M+katener ana paket teklifi (ref TF-013.15) keşif birim fiyatları; ana yüklenici fiyatı, kalemler arası dengesiz dağıtım var (ör. VRF duvar iç ünite 7.504 TL, yangın basınçlandırma seti 22.036 TL) – düşük güven.</t>
        </is>
      </c>
    </row>
    <row r="1020">
      <c r="A1020" s="22" t="inlineStr">
        <is>
          <t>R05936</t>
        </is>
      </c>
      <c r="B1020" s="22" t="inlineStr">
        <is>
          <t>Kent Meydani-Terminal Tram</t>
        </is>
      </c>
      <c r="C1020" s="22" t="inlineStr">
        <is>
          <t>tramvay</t>
        </is>
      </c>
      <c r="D1020" s="22" t="inlineStr">
        <is>
          <t>TREMS Turkuaz Raylı ve ElektroMekanik Sistemler A.Ş.</t>
        </is>
      </c>
      <c r="E1020" s="22" t="inlineStr">
        <is>
          <t>2015-06-08</t>
        </is>
      </c>
      <c r="F1020" s="22" t="inlineStr">
        <is>
          <t>Vidalı hava kompresörü 12 m³/dk 8 bar</t>
        </is>
      </c>
      <c r="G1020" s="22" t="inlineStr">
        <is>
          <t>adet</t>
        </is>
      </c>
      <c r="H1020" s="63" t="n">
        <v>49468</v>
      </c>
      <c r="I1020" s="22" t="inlineStr">
        <is>
          <t>TRY</t>
        </is>
      </c>
      <c r="J1020" s="22" t="inlineStr"/>
      <c r="K1020" s="63" t="n">
        <v>21255.6694139471</v>
      </c>
      <c r="L1020" s="22" t="inlineStr">
        <is>
          <t>5009.A</t>
        </is>
      </c>
      <c r="M1020" s="22" t="n">
        <v>1</v>
      </c>
      <c r="N1020" s="22" t="inlineStr">
        <is>
          <t>Bursa T2 tramvay E&amp;M+katener ana paket teklifi (ref TF-013.15) keşif birim fiyatları; ana yüklenici fiyatı, kalemler arası dengesiz dağıtım var (ör. VRF duvar iç ünite 7.504 TL, yangın basınçlandırma seti 22.036 TL) – düşük güven.</t>
        </is>
      </c>
    </row>
    <row r="1021">
      <c r="A1021" s="22" t="inlineStr">
        <is>
          <t>R05937</t>
        </is>
      </c>
      <c r="B1021" s="22" t="inlineStr">
        <is>
          <t>Kent Meydani-Terminal Tram</t>
        </is>
      </c>
      <c r="C1021" s="22" t="inlineStr">
        <is>
          <t>tramvay</t>
        </is>
      </c>
      <c r="D1021" s="22" t="inlineStr">
        <is>
          <t>TREMS Turkuaz Raylı ve ElektroMekanik Sistemler A.Ş.</t>
        </is>
      </c>
      <c r="E1021" s="22" t="inlineStr">
        <is>
          <t>2015-06-08</t>
        </is>
      </c>
      <c r="F1021" s="22" t="inlineStr">
        <is>
          <t>Hava kurutucu 12 m³/dk 8 bar</t>
        </is>
      </c>
      <c r="G1021" s="22" t="inlineStr">
        <is>
          <t>adet</t>
        </is>
      </c>
      <c r="H1021" s="63" t="n">
        <v>13544.81</v>
      </c>
      <c r="I1021" s="22" t="inlineStr">
        <is>
          <t>TRY</t>
        </is>
      </c>
      <c r="J1021" s="22" t="inlineStr"/>
      <c r="K1021" s="63" t="n">
        <v>5820.00492509753</v>
      </c>
      <c r="L1021" s="22" t="inlineStr">
        <is>
          <t>5009.A</t>
        </is>
      </c>
      <c r="M1021" s="22" t="n">
        <v>1</v>
      </c>
      <c r="N1021" s="22" t="inlineStr">
        <is>
          <t>Bursa T2 tramvay E&amp;M+katener ana paket teklifi (ref TF-013.15) keşif birim fiyatları; ana yüklenici fiyatı, kalemler arası dengesiz dağıtım var (ör. VRF duvar iç ünite 7.504 TL, yangın basınçlandırma seti 22.036 TL) – düşük güven.</t>
        </is>
      </c>
    </row>
    <row r="1022">
      <c r="A1022" s="22" t="inlineStr">
        <is>
          <t>R05938</t>
        </is>
      </c>
      <c r="B1022" s="22" t="inlineStr">
        <is>
          <t>Kent Meydani-Terminal Tram</t>
        </is>
      </c>
      <c r="C1022" s="22" t="inlineStr">
        <is>
          <t>tramvay</t>
        </is>
      </c>
      <c r="D1022" s="22" t="inlineStr">
        <is>
          <t>TREMS Turkuaz Raylı ve ElektroMekanik Sistemler A.Ş.</t>
        </is>
      </c>
      <c r="E1022" s="22" t="inlineStr">
        <is>
          <t>2015-06-08</t>
        </is>
      </c>
      <c r="F1022" s="22" t="inlineStr">
        <is>
          <t>Basınçlı hava tankı 1000 L 8 bar galvaniz</t>
        </is>
      </c>
      <c r="G1022" s="22" t="inlineStr">
        <is>
          <t>adet</t>
        </is>
      </c>
      <c r="H1022" s="63" t="n">
        <v>2885.63</v>
      </c>
      <c r="I1022" s="22" t="inlineStr">
        <is>
          <t>TRY</t>
        </is>
      </c>
      <c r="J1022" s="22" t="inlineStr"/>
      <c r="K1022" s="63" t="n">
        <v>1239.91261686278</v>
      </c>
      <c r="L1022" s="22" t="inlineStr">
        <is>
          <t>5009.A</t>
        </is>
      </c>
      <c r="M1022" s="22" t="n">
        <v>1</v>
      </c>
      <c r="N1022" s="22" t="inlineStr">
        <is>
          <t>Bursa T2 tramvay E&amp;M+katener ana paket teklifi (ref TF-013.15) keşif birim fiyatları; ana yüklenici fiyatı, kalemler arası dengesiz dağıtım var (ör. VRF duvar iç ünite 7.504 TL, yangın basınçlandırma seti 22.036 TL) – düşük güven.</t>
        </is>
      </c>
    </row>
    <row r="1023">
      <c r="A1023" s="22" t="inlineStr">
        <is>
          <t>R05942</t>
        </is>
      </c>
      <c r="B1023" s="22" t="inlineStr">
        <is>
          <t>Kent Meydani-Terminal Tram</t>
        </is>
      </c>
      <c r="C1023" s="22" t="inlineStr">
        <is>
          <t>tramvay</t>
        </is>
      </c>
      <c r="D1023" s="22" t="inlineStr">
        <is>
          <t>TREMS Turkuaz Raylı ve ElektroMekanik Sistemler A.Ş.</t>
        </is>
      </c>
      <c r="E1023" s="22" t="inlineStr">
        <is>
          <t>2015-06-08</t>
        </is>
      </c>
      <c r="F1023" s="22" t="inlineStr">
        <is>
          <t>Galvaniz sac dikdörtgen hava kanalı 0,60 mm</t>
        </is>
      </c>
      <c r="G1023" s="22" t="inlineStr">
        <is>
          <t>metrekare</t>
        </is>
      </c>
      <c r="H1023" s="63" t="n">
        <v>63.32</v>
      </c>
      <c r="I1023" s="22" t="inlineStr">
        <is>
          <t>TRY</t>
        </is>
      </c>
      <c r="J1023" s="22" t="inlineStr"/>
      <c r="K1023" s="63" t="n">
        <v>27.2076693476819</v>
      </c>
      <c r="L1023" s="22" t="inlineStr">
        <is>
          <t>6002.B</t>
        </is>
      </c>
      <c r="M1023" s="22" t="n">
        <v>1</v>
      </c>
      <c r="N1023" s="22" t="inlineStr">
        <is>
          <t>Bursa T2 tramvay E&amp;M+katener ana paket teklifi (ref TF-013.15) keşif birim fiyatları; ana yüklenici fiyatı, kalemler arası dengesiz dağıtım var (ör. VRF duvar iç ünite 7.504 TL, yangın basınçlandırma seti 22.036 TL) – düşük güven.</t>
        </is>
      </c>
    </row>
    <row r="1024">
      <c r="A1024" s="22" t="inlineStr">
        <is>
          <t>R05948</t>
        </is>
      </c>
      <c r="B1024" s="22" t="inlineStr">
        <is>
          <t>Kirazli_Halkali_Unv_Metro_202409_iptal</t>
        </is>
      </c>
      <c r="C1024" s="22" t="inlineStr">
        <is>
          <t>metro</t>
        </is>
      </c>
      <c r="D1024" s="22" t="inlineStr">
        <is>
          <t>Panel Mekanik</t>
        </is>
      </c>
      <c r="E1024" s="22" t="inlineStr">
        <is>
          <t>2024-12-03</t>
        </is>
      </c>
      <c r="F1024" s="22" t="inlineStr">
        <is>
          <t>Termofan/S&amp;P kanal tipi egzoz fanı 1200 m³/h 200 Pa</t>
        </is>
      </c>
      <c r="G1024" s="22" t="inlineStr">
        <is>
          <t>Adet</t>
        </is>
      </c>
      <c r="H1024" s="63" t="n">
        <v>135.46</v>
      </c>
      <c r="I1024" s="22" t="inlineStr">
        <is>
          <t>EUR</t>
        </is>
      </c>
      <c r="J1024" s="22" t="inlineStr">
        <is>
          <t>M+İ</t>
        </is>
      </c>
      <c r="K1024" s="63" t="n">
        <v>142.396880269143</v>
      </c>
      <c r="L1024" s="22" t="inlineStr">
        <is>
          <t>6002.B</t>
        </is>
      </c>
      <c r="M1024" s="22" t="n">
        <v>1</v>
      </c>
      <c r="N1024" s="22" t="inlineStr">
        <is>
          <t>Kirazlı-Halkalı Üniversite metro (5 yeraltı istasyonu; iptal 2024-09) mekanik bütçe/teklif keşfi; EUR; birim fiyat = malzeme + işçilik + GGK (GGK birim fiyatta ayrı kolon, ~%30-35); HVAC cihazları (AHU, VRF, split, kompresör) İşveren temini – yalnız montaj. [malz 55.73 + işç 44.19 + GGK 35.54]</t>
        </is>
      </c>
    </row>
    <row r="1025">
      <c r="A1025" s="22" t="inlineStr">
        <is>
          <t>R05949</t>
        </is>
      </c>
      <c r="B1025" s="22" t="inlineStr">
        <is>
          <t>Kirazli_Halkali_Unv_Metro_202409_iptal</t>
        </is>
      </c>
      <c r="C1025" s="22" t="inlineStr">
        <is>
          <t>metro</t>
        </is>
      </c>
      <c r="D1025" s="22" t="inlineStr">
        <is>
          <t>Panel Mekanik</t>
        </is>
      </c>
      <c r="E1025" s="22" t="inlineStr">
        <is>
          <t>2024-12-03</t>
        </is>
      </c>
      <c r="F1025" s="22" t="inlineStr">
        <is>
          <t>Termofan/S&amp;P kanal tipi egzoz fanı 300 m³/h 100 Pa</t>
        </is>
      </c>
      <c r="G1025" s="22" t="inlineStr">
        <is>
          <t>Adet</t>
        </is>
      </c>
      <c r="H1025" s="63" t="n">
        <v>103.31</v>
      </c>
      <c r="I1025" s="22" t="inlineStr">
        <is>
          <t>EUR</t>
        </is>
      </c>
      <c r="J1025" s="22" t="inlineStr">
        <is>
          <t>M+İ</t>
        </is>
      </c>
      <c r="K1025" s="63" t="n">
        <v>108.600485018494</v>
      </c>
      <c r="L1025" s="22" t="inlineStr">
        <is>
          <t>6002.B</t>
        </is>
      </c>
      <c r="M1025" s="22" t="n">
        <v>3</v>
      </c>
      <c r="N1025" s="22" t="inlineStr">
        <is>
          <t>Kirazlı-Halkalı Üniversite metro (5 yeraltı istasyonu; iptal 2024-09) mekanik bütçe/teklif keşfi; EUR; birim fiyat = malzeme + işçilik + GGK (GGK birim fiyatta ayrı kolon, ~%30-35); HVAC cihazları (AHU, VRF, split, kompresör) İşveren temini – yalnız montaj. exproof değil [malz 32.02 + işç 44.19 + GGK 27.11]</t>
        </is>
      </c>
    </row>
    <row r="1026">
      <c r="A1026" s="22" t="inlineStr">
        <is>
          <t>R05950</t>
        </is>
      </c>
      <c r="B1026" s="22" t="inlineStr">
        <is>
          <t>Kirazli_Halkali_Unv_Metro_202409_iptal</t>
        </is>
      </c>
      <c r="C1026" s="22" t="inlineStr">
        <is>
          <t>metro</t>
        </is>
      </c>
      <c r="D1026" s="22" t="inlineStr">
        <is>
          <t>Panel Mekanik</t>
        </is>
      </c>
      <c r="E1026" s="22" t="inlineStr">
        <is>
          <t>2024-12-03</t>
        </is>
      </c>
      <c r="F1026" s="22" t="inlineStr">
        <is>
          <t>Termofan/S&amp;P kanal tipi egzoz fanı 500 m³/h 50 Pa</t>
        </is>
      </c>
      <c r="G1026" s="22" t="inlineStr">
        <is>
          <t>Adet</t>
        </is>
      </c>
      <c r="H1026" s="63" t="n">
        <v>120.99</v>
      </c>
      <c r="I1026" s="22" t="inlineStr">
        <is>
          <t>EUR</t>
        </is>
      </c>
      <c r="J1026" s="22" t="inlineStr">
        <is>
          <t>M+İ</t>
        </is>
      </c>
      <c r="K1026" s="63" t="n">
        <v>127.185874381837</v>
      </c>
      <c r="L1026" s="22" t="inlineStr">
        <is>
          <t>6002.B</t>
        </is>
      </c>
      <c r="M1026" s="22" t="n">
        <v>4</v>
      </c>
      <c r="N1026" s="22" t="inlineStr">
        <is>
          <t>Kirazlı-Halkalı Üniversite metro (5 yeraltı istasyonu; iptal 2024-09) mekanik bütçe/teklif keşfi; EUR; birim fiyat = malzeme + işçilik + GGK (GGK birim fiyatta ayrı kolon, ~%30-35); HVAC cihazları (AHU, VRF, split, kompresör) İşveren temini – yalnız montaj. [malz 45.06 + işç 44.19 + GGK 31.75]</t>
        </is>
      </c>
    </row>
    <row r="1027">
      <c r="A1027" s="22" t="inlineStr">
        <is>
          <t>R05951</t>
        </is>
      </c>
      <c r="B1027" s="22" t="inlineStr">
        <is>
          <t>Kirazli_Halkali_Unv_Metro_202409_iptal</t>
        </is>
      </c>
      <c r="C1027" s="22" t="inlineStr">
        <is>
          <t>metro</t>
        </is>
      </c>
      <c r="D1027" s="22" t="inlineStr">
        <is>
          <t>Panel Mekanik</t>
        </is>
      </c>
      <c r="E1027" s="22" t="inlineStr">
        <is>
          <t>2024-12-03</t>
        </is>
      </c>
      <c r="F1027" s="22" t="inlineStr">
        <is>
          <t>Termofan/S&amp;P kanal tipi egzoz fanı 750 m³/h 130 Pa EXPROOF</t>
        </is>
      </c>
      <c r="G1027" s="22" t="inlineStr">
        <is>
          <t>Adet</t>
        </is>
      </c>
      <c r="H1027" s="63" t="n">
        <v>810.65</v>
      </c>
      <c r="I1027" s="22" t="inlineStr">
        <is>
          <t>EUR</t>
        </is>
      </c>
      <c r="J1027" s="22" t="inlineStr">
        <is>
          <t>M+İ</t>
        </is>
      </c>
      <c r="K1027" s="63" t="n">
        <v>852.163228925002</v>
      </c>
      <c r="L1027" s="22" t="inlineStr">
        <is>
          <t>6002.A</t>
        </is>
      </c>
      <c r="M1027" s="22" t="n">
        <v>4</v>
      </c>
      <c r="N1027" s="22" t="inlineStr">
        <is>
          <t>Kirazlı-Halkalı Üniversite metro (5 yeraltı istasyonu; iptal 2024-09) mekanik bütçe/teklif keşfi; EUR; birim fiyat = malzeme + işçilik + GGK (GGK birim fiyatta ayrı kolon, ~%30-35); HVAC cihazları (AHU, VRF, split, kompresör) İşveren temini – yalnız montaj. [malz 553.76 + işç 44.19 + GGK 212.70]</t>
        </is>
      </c>
    </row>
    <row r="1028">
      <c r="A1028" s="22" t="inlineStr">
        <is>
          <t>R05952</t>
        </is>
      </c>
      <c r="B1028" s="22" t="inlineStr">
        <is>
          <t>Kirazli_Halkali_Unv_Metro_202409_iptal</t>
        </is>
      </c>
      <c r="C1028" s="22" t="inlineStr">
        <is>
          <t>metro</t>
        </is>
      </c>
      <c r="D1028" s="22" t="inlineStr">
        <is>
          <t>Panel Mekanik</t>
        </is>
      </c>
      <c r="E1028" s="22" t="inlineStr">
        <is>
          <t>2024-12-03</t>
        </is>
      </c>
      <c r="F1028" s="22" t="inlineStr">
        <is>
          <t>Termofan/S&amp;P kanal tipi egzoz fanı 450 m³/h 100 Pa EXPROOF</t>
        </is>
      </c>
      <c r="G1028" s="22" t="inlineStr">
        <is>
          <t>Adet</t>
        </is>
      </c>
      <c r="H1028" s="63" t="n">
        <v>810.65</v>
      </c>
      <c r="I1028" s="22" t="inlineStr">
        <is>
          <t>EUR</t>
        </is>
      </c>
      <c r="J1028" s="22" t="inlineStr">
        <is>
          <t>M+İ</t>
        </is>
      </c>
      <c r="K1028" s="63" t="n">
        <v>852.163228925002</v>
      </c>
      <c r="L1028" s="22" t="inlineStr">
        <is>
          <t>6002.A</t>
        </is>
      </c>
      <c r="M1028" s="22" t="n">
        <v>4</v>
      </c>
      <c r="N1028" s="22" t="inlineStr">
        <is>
          <t>Kirazlı-Halkalı Üniversite metro (5 yeraltı istasyonu; iptal 2024-09) mekanik bütçe/teklif keşfi; EUR; birim fiyat = malzeme + işçilik + GGK (GGK birim fiyatta ayrı kolon, ~%30-35); HVAC cihazları (AHU, VRF, split, kompresör) İşveren temini – yalnız montaj. [malz 553.76 + işç 44.19 + GGK 212.70]</t>
        </is>
      </c>
    </row>
    <row r="1029">
      <c r="A1029" s="22" t="inlineStr">
        <is>
          <t>R05955</t>
        </is>
      </c>
      <c r="B1029" s="22" t="inlineStr">
        <is>
          <t>Kirazli_Halkali_Unv_Metro_202409_iptal</t>
        </is>
      </c>
      <c r="C1029" s="22" t="inlineStr">
        <is>
          <t>metro</t>
        </is>
      </c>
      <c r="D1029" s="22" t="inlineStr">
        <is>
          <t>Panel Mekanik</t>
        </is>
      </c>
      <c r="E1029" s="22" t="inlineStr">
        <is>
          <t>2024-12-03</t>
        </is>
      </c>
      <c r="F1029" s="22" t="inlineStr">
        <is>
          <t>Termofan/S&amp;P kanal tipi taze hava fanı 100 m³/h 100 Pa</t>
        </is>
      </c>
      <c r="G1029" s="22" t="inlineStr">
        <is>
          <t>Adet</t>
        </is>
      </c>
      <c r="H1029" s="63" t="n">
        <v>98.48999999999999</v>
      </c>
      <c r="I1029" s="22" t="inlineStr">
        <is>
          <t>EUR</t>
        </is>
      </c>
      <c r="J1029" s="22" t="inlineStr">
        <is>
          <t>M+İ</t>
        </is>
      </c>
      <c r="K1029" s="63" t="n">
        <v>103.53365375541</v>
      </c>
      <c r="L1029" s="22" t="inlineStr">
        <is>
          <t>6002.B</t>
        </is>
      </c>
      <c r="M1029" s="22" t="n">
        <v>3</v>
      </c>
      <c r="N1029" s="22" t="inlineStr">
        <is>
          <t>Kirazlı-Halkalı Üniversite metro (5 yeraltı istasyonu; iptal 2024-09) mekanik bütçe/teklif keşfi; EUR; birim fiyat = malzeme + işçilik + GGK (GGK birim fiyatta ayrı kolon, ~%30-35); HVAC cihazları (AHU, VRF, split, kompresör) İşveren temini – yalnız montaj. [malz 28.46 + işç 44.19 + GGK 25.84]</t>
        </is>
      </c>
    </row>
    <row r="1030">
      <c r="A1030" s="22" t="inlineStr">
        <is>
          <t>R05956</t>
        </is>
      </c>
      <c r="B1030" s="22" t="inlineStr">
        <is>
          <t>Kirazli_Halkali_Unv_Metro_202409_iptal</t>
        </is>
      </c>
      <c r="C1030" s="22" t="inlineStr">
        <is>
          <t>metro</t>
        </is>
      </c>
      <c r="D1030" s="22" t="inlineStr">
        <is>
          <t>Panel Mekanik</t>
        </is>
      </c>
      <c r="E1030" s="22" t="inlineStr">
        <is>
          <t>2024-12-03</t>
        </is>
      </c>
      <c r="F1030" s="22" t="inlineStr">
        <is>
          <t>Termofan/S&amp;P kanal tipi taze hava fanı 150 m³/h</t>
        </is>
      </c>
      <c r="G1030" s="22" t="inlineStr">
        <is>
          <t>Adet</t>
        </is>
      </c>
      <c r="H1030" s="63" t="n">
        <v>109.45</v>
      </c>
      <c r="I1030" s="22" t="inlineStr">
        <is>
          <t>EUR</t>
        </is>
      </c>
      <c r="J1030" s="22" t="inlineStr">
        <is>
          <t>M+İ</t>
        </is>
      </c>
      <c r="K1030" s="63" t="n">
        <v>115.054913224994</v>
      </c>
      <c r="L1030" s="22" t="inlineStr">
        <is>
          <t>6002.B</t>
        </is>
      </c>
      <c r="M1030" s="22" t="n">
        <v>1</v>
      </c>
      <c r="N1030" s="22" t="inlineStr">
        <is>
          <t>Kirazlı-Halkalı Üniversite metro (5 yeraltı istasyonu; iptal 2024-09) mekanik bütçe/teklif keşfi; EUR; birim fiyat = malzeme + işçilik + GGK (GGK birim fiyatta ayrı kolon, ~%30-35); HVAC cihazları (AHU, VRF, split, kompresör) İşveren temini – yalnız montaj. [malz 30.02 + işç 44.19 + GGK 35.24]</t>
        </is>
      </c>
    </row>
    <row r="1031">
      <c r="A1031" s="22" t="inlineStr">
        <is>
          <t>R05957</t>
        </is>
      </c>
      <c r="B1031" s="22" t="inlineStr">
        <is>
          <t>Kirazli_Halkali_Unv_Metro_202409_iptal</t>
        </is>
      </c>
      <c r="C1031" s="22" t="inlineStr">
        <is>
          <t>metro</t>
        </is>
      </c>
      <c r="D1031" s="22" t="inlineStr">
        <is>
          <t>Panel Mekanik</t>
        </is>
      </c>
      <c r="E1031" s="22" t="inlineStr">
        <is>
          <t>2024-12-03</t>
        </is>
      </c>
      <c r="F1031" s="22" t="inlineStr">
        <is>
          <t>Elektroteknik/Doğu sigortalı yangın damperi 150x150</t>
        </is>
      </c>
      <c r="G1031" s="22" t="inlineStr">
        <is>
          <t>Adet</t>
        </is>
      </c>
      <c r="H1031" s="63" t="n">
        <v>187.05</v>
      </c>
      <c r="I1031" s="22" t="inlineStr">
        <is>
          <t>EUR</t>
        </is>
      </c>
      <c r="J1031" s="22" t="inlineStr">
        <is>
          <t>M+İ</t>
        </is>
      </c>
      <c r="K1031" s="63" t="n">
        <v>196.628794141025</v>
      </c>
      <c r="L1031" s="22" t="inlineStr">
        <is>
          <t>6002.B</t>
        </is>
      </c>
      <c r="M1031" s="22" t="n">
        <v>1</v>
      </c>
      <c r="N1031" s="22" t="inlineStr">
        <is>
          <t>Kirazlı-Halkalı Üniversite metro (5 yeraltı istasyonu; iptal 2024-09) mekanik bütçe/teklif keşfi; EUR; birim fiyat = malzeme + işçilik + GGK (GGK birim fiyatta ayrı kolon, ~%30-35); HVAC cihazları (AHU, VRF, split, kompresör) İşveren temini – yalnız montaj. [malz 115.88 + işç 22.09 + GGK 49.08]</t>
        </is>
      </c>
    </row>
    <row r="1032">
      <c r="A1032" s="22" t="inlineStr">
        <is>
          <t>R05958</t>
        </is>
      </c>
      <c r="B1032" s="22" t="inlineStr">
        <is>
          <t>Kirazli_Halkali_Unv_Metro_202409_iptal</t>
        </is>
      </c>
      <c r="C1032" s="22" t="inlineStr">
        <is>
          <t>metro</t>
        </is>
      </c>
      <c r="D1032" s="22" t="inlineStr">
        <is>
          <t>Panel Mekanik</t>
        </is>
      </c>
      <c r="E1032" s="22" t="inlineStr">
        <is>
          <t>2024-12-03</t>
        </is>
      </c>
      <c r="F1032" s="22" t="inlineStr">
        <is>
          <t>Sigortalı yangın damperi 300x150</t>
        </is>
      </c>
      <c r="G1032" s="22" t="inlineStr">
        <is>
          <t>Adet</t>
        </is>
      </c>
      <c r="H1032" s="63" t="n">
        <v>303.4</v>
      </c>
      <c r="I1032" s="22" t="inlineStr">
        <is>
          <t>EUR</t>
        </is>
      </c>
      <c r="J1032" s="22" t="inlineStr">
        <is>
          <t>M+İ</t>
        </is>
      </c>
      <c r="K1032" s="63" t="n">
        <v>318.937055024789</v>
      </c>
      <c r="L1032" s="22" t="inlineStr">
        <is>
          <t>6002.B</t>
        </is>
      </c>
      <c r="M1032" s="22" t="n">
        <v>1</v>
      </c>
      <c r="N1032" s="22" t="inlineStr">
        <is>
          <t>Kirazlı-Halkalı Üniversite metro (5 yeraltı istasyonu; iptal 2024-09) mekanik bütçe/teklif keşfi; EUR; birim fiyat = malzeme + işçilik + GGK (GGK birim fiyatta ayrı kolon, ~%30-35); HVAC cihazları (AHU, VRF, split, kompresör) İşveren temini – yalnız montaj. [malz 141.06 + işç 22.09 + GGK 140.25]</t>
        </is>
      </c>
    </row>
    <row r="1033">
      <c r="A1033" s="22" t="inlineStr">
        <is>
          <t>R05959</t>
        </is>
      </c>
      <c r="B1033" s="22" t="inlineStr">
        <is>
          <t>Kirazli_Halkali_Unv_Metro_202409_iptal</t>
        </is>
      </c>
      <c r="C1033" s="22" t="inlineStr">
        <is>
          <t>metro</t>
        </is>
      </c>
      <c r="D1033" s="22" t="inlineStr">
        <is>
          <t>Panel Mekanik</t>
        </is>
      </c>
      <c r="E1033" s="22" t="inlineStr">
        <is>
          <t>2024-12-03</t>
        </is>
      </c>
      <c r="F1033" s="22" t="inlineStr">
        <is>
          <t>Motorlu yangın damperi 150x150</t>
        </is>
      </c>
      <c r="G1033" s="22" t="inlineStr">
        <is>
          <t>Adet</t>
        </is>
      </c>
      <c r="H1033" s="63" t="n">
        <v>409.31</v>
      </c>
      <c r="I1033" s="22" t="inlineStr">
        <is>
          <t>EUR</t>
        </is>
      </c>
      <c r="J1033" s="22" t="inlineStr">
        <is>
          <t>M+İ</t>
        </is>
      </c>
      <c r="K1033" s="63" t="n">
        <v>430.270685537892</v>
      </c>
      <c r="L1033" s="22" t="inlineStr">
        <is>
          <t>6002.B</t>
        </is>
      </c>
      <c r="M1033" s="22" t="n">
        <v>1</v>
      </c>
      <c r="N1033" s="22" t="inlineStr">
        <is>
          <t>Kirazlı-Halkalı Üniversite metro (5 yeraltı istasyonu; iptal 2024-09) mekanik bütçe/teklif keşfi; EUR; birim fiyat = malzeme + işçilik + GGK (GGK birim fiyatta ayrı kolon, ~%30-35); HVAC cihazları (AHU, VRF, split, kompresör) İşveren temini – yalnız montaj. [malz 263.25 + işç 38.66 + GGK 107.39]</t>
        </is>
      </c>
    </row>
    <row r="1034">
      <c r="A1034" s="22" t="inlineStr">
        <is>
          <t>R05960</t>
        </is>
      </c>
      <c r="B1034" s="22" t="inlineStr">
        <is>
          <t>Kirazli_Halkali_Unv_Metro_202409_iptal</t>
        </is>
      </c>
      <c r="C1034" s="22" t="inlineStr">
        <is>
          <t>metro</t>
        </is>
      </c>
      <c r="D1034" s="22" t="inlineStr">
        <is>
          <t>Panel Mekanik</t>
        </is>
      </c>
      <c r="E1034" s="22" t="inlineStr">
        <is>
          <t>2024-12-03</t>
        </is>
      </c>
      <c r="F1034" s="22" t="inlineStr">
        <is>
          <t>Motorlu damper 500x400</t>
        </is>
      </c>
      <c r="G1034" s="22" t="inlineStr">
        <is>
          <t>Adet</t>
        </is>
      </c>
      <c r="H1034" s="63" t="n">
        <v>221.61</v>
      </c>
      <c r="I1034" s="22" t="inlineStr">
        <is>
          <t>EUR</t>
        </is>
      </c>
      <c r="J1034" s="22" t="inlineStr">
        <is>
          <t>M+İ</t>
        </is>
      </c>
      <c r="K1034" s="63" t="n">
        <v>232.958605023216</v>
      </c>
      <c r="L1034" s="22" t="inlineStr">
        <is>
          <t>6002.B</t>
        </is>
      </c>
      <c r="M1034" s="22" t="n">
        <v>1</v>
      </c>
      <c r="N1034" s="22" t="inlineStr">
        <is>
          <t>Kirazlı-Halkalı Üniversite metro (5 yeraltı istasyonu; iptal 2024-09) mekanik bütçe/teklif keşfi; EUR; birim fiyat = malzeme + işçilik + GGK (GGK birim fiyatta ayrı kolon, ~%30-35); HVAC cihazları (AHU, VRF, split, kompresör) İşveren temini – yalnız montaj. [malz 130.32 + işç 33.14 + GGK 58.15]</t>
        </is>
      </c>
    </row>
    <row r="1035">
      <c r="A1035" s="22" t="inlineStr">
        <is>
          <t>R05961</t>
        </is>
      </c>
      <c r="B1035" s="22" t="inlineStr">
        <is>
          <t>Kirazli_Halkali_Unv_Metro_202409_iptal</t>
        </is>
      </c>
      <c r="C1035" s="22" t="inlineStr">
        <is>
          <t>metro</t>
        </is>
      </c>
      <c r="D1035" s="22" t="inlineStr">
        <is>
          <t>Panel Mekanik</t>
        </is>
      </c>
      <c r="E1035" s="22" t="inlineStr">
        <is>
          <t>2024-12-03</t>
        </is>
      </c>
      <c r="F1035" s="22" t="inlineStr">
        <is>
          <t>Backdraft (geri dönüşsüz) damper 200x200</t>
        </is>
      </c>
      <c r="G1035" s="22" t="inlineStr">
        <is>
          <t>Adet</t>
        </is>
      </c>
      <c r="H1035" s="63" t="n">
        <v>43.89</v>
      </c>
      <c r="I1035" s="22" t="inlineStr">
        <is>
          <t>EUR</t>
        </is>
      </c>
      <c r="J1035" s="22" t="inlineStr">
        <is>
          <t>M+İ</t>
        </is>
      </c>
      <c r="K1035" s="63" t="n">
        <v>46.1375983686157</v>
      </c>
      <c r="L1035" s="22" t="inlineStr">
        <is>
          <t>6002.A</t>
        </is>
      </c>
      <c r="M1035" s="22" t="n">
        <v>1</v>
      </c>
      <c r="N1035" s="22" t="inlineStr">
        <is>
          <t>[AYKIRI DEĞER – otomatik dışlandı] Kirazlı-Halkalı Üniversite metro (5 yeraltı istasyonu; iptal 2024-09) mekanik bütçe/teklif keşfi; EUR; birim fiyat = malzeme + işçilik + GGK (GGK birim fiyatta ayrı kolon, ~%30-35); HVAC cihazları (AHU, VRF, split, kompresör) İşveren temini – yalnız montaj. [malz 21.33 + işç 11.05 + GGK 11.52]</t>
        </is>
      </c>
    </row>
    <row r="1036">
      <c r="A1036" s="22" t="inlineStr">
        <is>
          <t>R05962</t>
        </is>
      </c>
      <c r="B1036" s="22" t="inlineStr">
        <is>
          <t>Kirazli_Halkali_Unv_Metro_202409_iptal</t>
        </is>
      </c>
      <c r="C1036" s="22" t="inlineStr">
        <is>
          <t>metro</t>
        </is>
      </c>
      <c r="D1036" s="22" t="inlineStr">
        <is>
          <t>Panel Mekanik</t>
        </is>
      </c>
      <c r="E1036" s="22" t="inlineStr">
        <is>
          <t>2024-12-03</t>
        </is>
      </c>
      <c r="F1036" s="22" t="inlineStr">
        <is>
          <t>Yandan tek boğaz plenum kutulu menfez Ø400</t>
        </is>
      </c>
      <c r="G1036" s="22" t="inlineStr">
        <is>
          <t>Adet</t>
        </is>
      </c>
      <c r="H1036" s="63" t="n">
        <v>91.75</v>
      </c>
      <c r="I1036" s="22" t="inlineStr">
        <is>
          <t>EUR</t>
        </is>
      </c>
      <c r="J1036" s="22" t="inlineStr">
        <is>
          <t>M+İ</t>
        </is>
      </c>
      <c r="K1036" s="63" t="n">
        <v>96.44849966553871</v>
      </c>
      <c r="L1036" s="22" t="inlineStr">
        <is>
          <t>6002.B</t>
        </is>
      </c>
      <c r="M1036" s="22" t="n">
        <v>3</v>
      </c>
      <c r="N1036" s="22" t="inlineStr">
        <is>
          <t>Kirazlı-Halkalı Üniversite metro (5 yeraltı istasyonu; iptal 2024-09) mekanik bütçe/teklif keşfi; EUR; birim fiyat = malzeme + işçilik + GGK (GGK birim fiyatta ayrı kolon, ~%30-35); HVAC cihazları (AHU, VRF, split, kompresör) İşveren temini – yalnız montaj. [malz 34.31 + işç 22.09 + GGK 35.34]</t>
        </is>
      </c>
    </row>
    <row r="1037">
      <c r="A1037" s="22" t="inlineStr">
        <is>
          <t>R05963</t>
        </is>
      </c>
      <c r="B1037" s="22" t="inlineStr">
        <is>
          <t>Kirazli_Halkali_Unv_Metro_202409_iptal</t>
        </is>
      </c>
      <c r="C1037" s="22" t="inlineStr">
        <is>
          <t>metro</t>
        </is>
      </c>
      <c r="D1037" s="22" t="inlineStr">
        <is>
          <t>Panel Mekanik</t>
        </is>
      </c>
      <c r="E1037" s="22" t="inlineStr">
        <is>
          <t>2024-12-03</t>
        </is>
      </c>
      <c r="F1037" s="22" t="inlineStr">
        <is>
          <t>Panjur 200x150</t>
        </is>
      </c>
      <c r="G1037" s="22" t="inlineStr">
        <is>
          <t>Adet</t>
        </is>
      </c>
      <c r="H1037" s="63" t="n">
        <v>62.08</v>
      </c>
      <c r="I1037" s="22" t="inlineStr">
        <is>
          <t>EUR</t>
        </is>
      </c>
      <c r="J1037" s="22" t="inlineStr">
        <is>
          <t>M+İ</t>
        </is>
      </c>
      <c r="K1037" s="63" t="n">
        <v>65.2591047328244</v>
      </c>
      <c r="L1037" s="22" t="inlineStr">
        <is>
          <t>6002.B</t>
        </is>
      </c>
      <c r="M1037" s="22" t="n">
        <v>1</v>
      </c>
      <c r="N1037" s="22" t="inlineStr">
        <is>
          <t>Kirazlı-Halkalı Üniversite metro (5 yeraltı istasyonu; iptal 2024-09) mekanik bütçe/teklif keşfi; EUR; birim fiyat = malzeme + işçilik + GGK (GGK birim fiyatta ayrı kolon, ~%30-35); HVAC cihazları (AHU, VRF, split, kompresör) İşveren temini – yalnız montaj. [malz 12.65 + işç 33.14 + GGK 16.29]</t>
        </is>
      </c>
    </row>
    <row r="1038">
      <c r="A1038" s="22" t="inlineStr">
        <is>
          <t>R05964</t>
        </is>
      </c>
      <c r="B1038" s="22" t="inlineStr">
        <is>
          <t>Kirazli_Halkali_Unv_Metro_202409_iptal</t>
        </is>
      </c>
      <c r="C1038" s="22" t="inlineStr">
        <is>
          <t>metro</t>
        </is>
      </c>
      <c r="D1038" s="22" t="inlineStr">
        <is>
          <t>Panel Mekanik</t>
        </is>
      </c>
      <c r="E1038" s="22" t="inlineStr">
        <is>
          <t>2024-12-03</t>
        </is>
      </c>
      <c r="F1038" s="22" t="inlineStr">
        <is>
          <t>Panjur 1200x1500</t>
        </is>
      </c>
      <c r="G1038" s="22" t="inlineStr">
        <is>
          <t>Adet</t>
        </is>
      </c>
      <c r="H1038" s="63" t="n">
        <v>350.49</v>
      </c>
      <c r="I1038" s="22" t="inlineStr">
        <is>
          <t>EUR</t>
        </is>
      </c>
      <c r="J1038" s="22" t="inlineStr">
        <is>
          <t>M+İ</t>
        </is>
      </c>
      <c r="K1038" s="63" t="n">
        <v>368.438524771386</v>
      </c>
      <c r="L1038" s="22" t="inlineStr">
        <is>
          <t>6002.B</t>
        </is>
      </c>
      <c r="M1038" s="22" t="n">
        <v>1</v>
      </c>
      <c r="N1038" s="22" t="inlineStr">
        <is>
          <t>Kirazlı-Halkalı Üniversite metro (5 yeraltı istasyonu; iptal 2024-09) mekanik bütçe/teklif keşfi; EUR; birim fiyat = malzeme + işçilik + GGK (GGK birim fiyatta ayrı kolon, ~%30-35); HVAC cihazları (AHU, VRF, split, kompresör) İşveren temini – yalnız montaj. [malz 225.39 + işç 33.14 + GGK 91.96]</t>
        </is>
      </c>
    </row>
    <row r="1039">
      <c r="A1039" s="22" t="inlineStr">
        <is>
          <t>R05965</t>
        </is>
      </c>
      <c r="B1039" s="22" t="inlineStr">
        <is>
          <t>Kirazli_Halkali_Unv_Metro_202409_iptal</t>
        </is>
      </c>
      <c r="C1039" s="22" t="inlineStr">
        <is>
          <t>metro</t>
        </is>
      </c>
      <c r="D1039" s="22" t="inlineStr">
        <is>
          <t>Panel Mekanik</t>
        </is>
      </c>
      <c r="E1039" s="22" t="inlineStr">
        <is>
          <t>2024-12-03</t>
        </is>
      </c>
      <c r="F1039" s="22" t="inlineStr">
        <is>
          <t>Galvaniz hava kanalı SMACNA 0,60 mm (≤600 mm)</t>
        </is>
      </c>
      <c r="G1039" s="22" t="inlineStr">
        <is>
          <t>m2</t>
        </is>
      </c>
      <c r="H1039" s="63" t="n">
        <v>45.75</v>
      </c>
      <c r="I1039" s="22" t="inlineStr">
        <is>
          <t>EUR</t>
        </is>
      </c>
      <c r="J1039" s="22" t="inlineStr">
        <is>
          <t>M+İ</t>
        </is>
      </c>
      <c r="K1039" s="63" t="n">
        <v>48.092848607067</v>
      </c>
      <c r="L1039" s="22" t="inlineStr">
        <is>
          <t>6002.B</t>
        </is>
      </c>
      <c r="M1039" s="22" t="n">
        <v>1</v>
      </c>
      <c r="N1039" s="22" t="inlineStr">
        <is>
          <t>Kirazlı-Halkalı Üniversite metro (5 yeraltı istasyonu; iptal 2024-09) mekanik bütçe/teklif keşfi; EUR; birim fiyat = malzeme + işçilik + GGK (GGK birim fiyatta ayrı kolon, ~%30-35); HVAC cihazları (AHU, VRF, split, kompresör) İşveren temini – yalnız montaj. izolasyon ayrı (25 mm kauçuk levha 28,6-35,6 €/m²) [malz 15.62 + işç 11.05 + GGK 19.09]</t>
        </is>
      </c>
    </row>
    <row r="1040">
      <c r="A1040" s="22" t="inlineStr">
        <is>
          <t>R05966</t>
        </is>
      </c>
      <c r="B1040" s="22" t="inlineStr">
        <is>
          <t>Kirazli_Halkali_Unv_Metro_202409_iptal</t>
        </is>
      </c>
      <c r="C1040" s="22" t="inlineStr">
        <is>
          <t>metro</t>
        </is>
      </c>
      <c r="D1040" s="22" t="inlineStr">
        <is>
          <t>Panel Mekanik</t>
        </is>
      </c>
      <c r="E1040" s="22" t="inlineStr">
        <is>
          <t>2024-12-03</t>
        </is>
      </c>
      <c r="F1040" s="22" t="inlineStr">
        <is>
          <t>Galvaniz hava kanalı SMACNA 0,80 mm (≤1250 mm)</t>
        </is>
      </c>
      <c r="G1040" s="22" t="inlineStr">
        <is>
          <t>m2</t>
        </is>
      </c>
      <c r="H1040" s="63" t="n">
        <v>48.47</v>
      </c>
      <c r="I1040" s="22" t="inlineStr">
        <is>
          <t>EUR</t>
        </is>
      </c>
      <c r="J1040" s="22" t="inlineStr">
        <is>
          <t>M+İ</t>
        </is>
      </c>
      <c r="K1040" s="63" t="n">
        <v>50.9521392783505</v>
      </c>
      <c r="L1040" s="22" t="inlineStr">
        <is>
          <t>6002.B</t>
        </is>
      </c>
      <c r="M1040" s="22" t="n">
        <v>1</v>
      </c>
      <c r="N1040" s="22" t="inlineStr">
        <is>
          <t>Kirazlı-Halkalı Üniversite metro (5 yeraltı istasyonu; iptal 2024-09) mekanik bütçe/teklif keşfi; EUR; birim fiyat = malzeme + işçilik + GGK (GGK birim fiyatta ayrı kolon, ~%30-35); HVAC cihazları (AHU, VRF, split, kompresör) İşveren temini – yalnız montaj. [malz 18.53 + işç 11.05 + GGK 18.89]</t>
        </is>
      </c>
    </row>
    <row r="1041">
      <c r="A1041" s="22" t="inlineStr">
        <is>
          <t>R05969</t>
        </is>
      </c>
      <c r="B1041" s="22" t="inlineStr">
        <is>
          <t>Kirazli_Halkali_Unv_Metro_202409_iptal</t>
        </is>
      </c>
      <c r="C1041" s="22" t="inlineStr">
        <is>
          <t>metro</t>
        </is>
      </c>
      <c r="D1041" s="22" t="inlineStr">
        <is>
          <t>Panel Mekanik</t>
        </is>
      </c>
      <c r="E1041" s="22" t="inlineStr">
        <is>
          <t>2024-12-03</t>
        </is>
      </c>
      <c r="F1041" s="22" t="inlineStr">
        <is>
          <t>İzoleli flexible hava kanalı Ø160</t>
        </is>
      </c>
      <c r="G1041" s="22" t="inlineStr">
        <is>
          <t>Mt</t>
        </is>
      </c>
      <c r="H1041" s="63" t="n">
        <v>10.64</v>
      </c>
      <c r="I1041" s="22" t="inlineStr">
        <is>
          <t>EUR</t>
        </is>
      </c>
      <c r="J1041" s="22" t="inlineStr">
        <is>
          <t>M+İ</t>
        </is>
      </c>
      <c r="K1041" s="63" t="n">
        <v>11.1848723317856</v>
      </c>
      <c r="L1041" s="22" t="inlineStr">
        <is>
          <t>6002.B</t>
        </is>
      </c>
      <c r="M1041" s="22" t="n">
        <v>1</v>
      </c>
      <c r="N1041" s="22" t="inlineStr">
        <is>
          <t>Kirazlı-Halkalı Üniversite metro (5 yeraltı istasyonu; iptal 2024-09) mekanik bütçe/teklif keşfi; EUR; birim fiyat = malzeme + işçilik + GGK (GGK birim fiyatta ayrı kolon, ~%30-35); HVAC cihazları (AHU, VRF, split, kompresör) İşveren temini – yalnız montaj. [malz 3.43 + işç 4.42 + GGK 2.79]</t>
        </is>
      </c>
    </row>
    <row r="1042">
      <c r="A1042" s="22" t="inlineStr">
        <is>
          <t>R05970</t>
        </is>
      </c>
      <c r="B1042" s="22" t="inlineStr">
        <is>
          <t>Kirazli_Halkali_Unv_Metro_202409_iptal</t>
        </is>
      </c>
      <c r="C1042" s="22" t="inlineStr">
        <is>
          <t>metro</t>
        </is>
      </c>
      <c r="D1042" s="22" t="inlineStr">
        <is>
          <t>Panel Mekanik</t>
        </is>
      </c>
      <c r="E1042" s="22" t="inlineStr">
        <is>
          <t>2024-12-03</t>
        </is>
      </c>
      <c r="F1042" s="22" t="inlineStr">
        <is>
          <t>İzoleli flexible hava kanalı Ø229</t>
        </is>
      </c>
      <c r="G1042" s="22" t="inlineStr">
        <is>
          <t>Mt</t>
        </is>
      </c>
      <c r="H1042" s="63" t="n">
        <v>12.02</v>
      </c>
      <c r="I1042" s="22" t="inlineStr">
        <is>
          <t>EUR</t>
        </is>
      </c>
      <c r="J1042" s="22" t="inlineStr">
        <is>
          <t>M+İ</t>
        </is>
      </c>
      <c r="K1042" s="63" t="n">
        <v>12.6355418635398</v>
      </c>
      <c r="L1042" s="22" t="inlineStr">
        <is>
          <t>6002.B</t>
        </is>
      </c>
      <c r="M1042" s="22" t="n">
        <v>1</v>
      </c>
      <c r="N1042" s="22" t="inlineStr">
        <is>
          <t>Kirazlı-Halkalı Üniversite metro (5 yeraltı istasyonu; iptal 2024-09) mekanik bütçe/teklif keşfi; EUR; birim fiyat = malzeme + işçilik + GGK (GGK birim fiyatta ayrı kolon, ~%30-35); HVAC cihazları (AHU, VRF, split, kompresör) İşveren temini – yalnız montaj. [malz 4.44 + işç 4.42 + GGK 3.15]</t>
        </is>
      </c>
    </row>
    <row r="1043">
      <c r="A1043" s="22" t="inlineStr">
        <is>
          <t>R05972</t>
        </is>
      </c>
      <c r="B1043" s="22" t="inlineStr">
        <is>
          <t>Kirazli_Halkali_Unv_Metro_202409_iptal</t>
        </is>
      </c>
      <c r="C1043" s="22" t="inlineStr">
        <is>
          <t>metro</t>
        </is>
      </c>
      <c r="D1043" s="22" t="inlineStr">
        <is>
          <t>Panel Mekanik</t>
        </is>
      </c>
      <c r="E1043" s="22" t="inlineStr">
        <is>
          <t>2024-12-03</t>
        </is>
      </c>
      <c r="F1043" s="22" t="inlineStr">
        <is>
          <t>İvigo fansız termostatlı elektrikli panel ısıtıcı 2000 W</t>
        </is>
      </c>
      <c r="G1043" s="22" t="inlineStr">
        <is>
          <t>Adet</t>
        </is>
      </c>
      <c r="H1043" s="63" t="n">
        <v>174.17</v>
      </c>
      <c r="I1043" s="22" t="inlineStr">
        <is>
          <t>EUR</t>
        </is>
      </c>
      <c r="J1043" s="22" t="inlineStr">
        <is>
          <t>M+İ</t>
        </is>
      </c>
      <c r="K1043" s="63" t="n">
        <v>183.089211844653</v>
      </c>
      <c r="L1043" s="22" t="inlineStr">
        <is>
          <t>6001.H</t>
        </is>
      </c>
      <c r="M1043" s="22" t="n">
        <v>1</v>
      </c>
      <c r="N1043" s="22" t="inlineStr">
        <is>
          <t>Kirazlı-Halkalı Üniversite metro (5 yeraltı istasyonu; iptal 2024-09) mekanik bütçe/teklif keşfi; EUR; birim fiyat = malzeme + işçilik + GGK (GGK birim fiyatta ayrı kolon, ~%30-35); HVAC cihazları (AHU, VRF, split, kompresör) İşveren temini – yalnız montaj. [malz 106.38 + işç 22.09 + GGK 45.70]</t>
        </is>
      </c>
    </row>
    <row r="1044">
      <c r="A1044" s="22" t="inlineStr">
        <is>
          <t>R05973</t>
        </is>
      </c>
      <c r="B1044" s="22" t="inlineStr">
        <is>
          <t>Kirazli_Halkali_Unv_Metro_202409_iptal</t>
        </is>
      </c>
      <c r="C1044" s="22" t="inlineStr">
        <is>
          <t>metro</t>
        </is>
      </c>
      <c r="D1044" s="22" t="inlineStr">
        <is>
          <t>Panel Mekanik</t>
        </is>
      </c>
      <c r="E1044" s="22" t="inlineStr">
        <is>
          <t>2024-12-03</t>
        </is>
      </c>
      <c r="F1044" s="22" t="inlineStr">
        <is>
          <t>İvigo elektrikli panel ısıtıcı 1500 W</t>
        </is>
      </c>
      <c r="G1044" s="22" t="inlineStr">
        <is>
          <t>Adet</t>
        </is>
      </c>
      <c r="H1044" s="63" t="n">
        <v>154.56</v>
      </c>
      <c r="I1044" s="22" t="inlineStr">
        <is>
          <t>EUR</t>
        </is>
      </c>
      <c r="J1044" s="22" t="inlineStr">
        <is>
          <t>M+İ</t>
        </is>
      </c>
      <c r="K1044" s="63" t="n">
        <v>162.474987556465</v>
      </c>
      <c r="L1044" s="22" t="inlineStr">
        <is>
          <t>6001.H</t>
        </is>
      </c>
      <c r="M1044" s="22" t="n">
        <v>1</v>
      </c>
      <c r="N1044" s="22" t="inlineStr">
        <is>
          <t>Kirazlı-Halkalı Üniversite metro (5 yeraltı istasyonu; iptal 2024-09) mekanik bütçe/teklif keşfi; EUR; birim fiyat = malzeme + işçilik + GGK (GGK birim fiyatta ayrı kolon, ~%30-35); HVAC cihazları (AHU, VRF, split, kompresör) İşveren temini – yalnız montaj. [malz 91.91 + işç 22.09 + GGK 40.55]</t>
        </is>
      </c>
    </row>
    <row r="1045">
      <c r="A1045" s="22" t="inlineStr">
        <is>
          <t>R05975</t>
        </is>
      </c>
      <c r="B1045" s="22" t="inlineStr">
        <is>
          <t>Kirazli_Halkali_Unv_Metro_202409_iptal</t>
        </is>
      </c>
      <c r="C1045" s="22" t="inlineStr">
        <is>
          <t>metro</t>
        </is>
      </c>
      <c r="D1045" s="22" t="inlineStr">
        <is>
          <t>Panel Mekanik</t>
        </is>
      </c>
      <c r="E1045" s="22" t="inlineStr">
        <is>
          <t>2024-12-03</t>
        </is>
      </c>
      <c r="F1045" s="22" t="inlineStr">
        <is>
          <t>Galvaniz boru 1" basınçlı hava</t>
        </is>
      </c>
      <c r="G1045" s="22" t="inlineStr">
        <is>
          <t>Mt</t>
        </is>
      </c>
      <c r="H1045" s="63" t="n">
        <v>28.03</v>
      </c>
      <c r="I1045" s="22" t="inlineStr">
        <is>
          <t>EUR</t>
        </is>
      </c>
      <c r="J1045" s="22" t="inlineStr">
        <is>
          <t>M+İ</t>
        </is>
      </c>
      <c r="K1045" s="63" t="n">
        <v>29.4654108514992</v>
      </c>
      <c r="L1045" s="22" t="inlineStr">
        <is>
          <t>5009.A</t>
        </is>
      </c>
      <c r="M1045" s="22" t="n">
        <v>1</v>
      </c>
      <c r="N1045" s="22" t="inlineStr">
        <is>
          <t>Kirazlı-Halkalı Üniversite metro (5 yeraltı istasyonu; iptal 2024-09) mekanik bütçe/teklif keşfi; EUR; birim fiyat = malzeme + işçilik + GGK (GGK birim fiyatta ayrı kolon, ~%30-35); HVAC cihazları (AHU, VRF, split, kompresör) İşveren temini – yalnız montaj. [malz 6.53 + işç 13.25 + GGK 8.25]</t>
        </is>
      </c>
    </row>
    <row r="1046">
      <c r="A1046" s="22" t="inlineStr">
        <is>
          <t>R05976</t>
        </is>
      </c>
      <c r="B1046" s="22" t="inlineStr">
        <is>
          <t>Kirazli_Halkali_Unv_Metro_202409_iptal</t>
        </is>
      </c>
      <c r="C1046" s="22" t="inlineStr">
        <is>
          <t>metro</t>
        </is>
      </c>
      <c r="D1046" s="22" t="inlineStr">
        <is>
          <t>Panel Mekanik</t>
        </is>
      </c>
      <c r="E1046" s="22" t="inlineStr">
        <is>
          <t>2024-12-03</t>
        </is>
      </c>
      <c r="F1046" s="22" t="inlineStr">
        <is>
          <t>Galvaniz boru 1¼" basınçlı hava</t>
        </is>
      </c>
      <c r="G1046" s="22" t="inlineStr">
        <is>
          <t>Mt</t>
        </is>
      </c>
      <c r="H1046" s="63" t="n">
        <v>31.27</v>
      </c>
      <c r="I1046" s="22" t="inlineStr">
        <is>
          <t>EUR</t>
        </is>
      </c>
      <c r="J1046" s="22" t="inlineStr">
        <is>
          <t>M+İ</t>
        </is>
      </c>
      <c r="K1046" s="63" t="n">
        <v>32.8713306217046</v>
      </c>
      <c r="L1046" s="22" t="inlineStr">
        <is>
          <t>5009.A</t>
        </is>
      </c>
      <c r="M1046" s="22" t="n">
        <v>1</v>
      </c>
      <c r="N1046" s="22" t="inlineStr">
        <is>
          <t>Kirazlı-Halkalı Üniversite metro (5 yeraltı istasyonu; iptal 2024-09) mekanik bütçe/teklif keşfi; EUR; birim fiyat = malzeme + işçilik + GGK (GGK birim fiyatta ayrı kolon, ~%30-35); HVAC cihazları (AHU, VRF, split, kompresör) İşveren temini – yalnız montaj. [malz 8.43 + işç 13.90 + GGK 8.94]</t>
        </is>
      </c>
    </row>
    <row r="1047">
      <c r="A1047" s="22" t="inlineStr">
        <is>
          <t>R05977</t>
        </is>
      </c>
      <c r="B1047" s="22" t="inlineStr">
        <is>
          <t>Kirazli_Halkali_Unv_Metro_202409_iptal</t>
        </is>
      </c>
      <c r="C1047" s="22" t="inlineStr">
        <is>
          <t>metro</t>
        </is>
      </c>
      <c r="D1047" s="22" t="inlineStr">
        <is>
          <t>Panel Mekanik</t>
        </is>
      </c>
      <c r="E1047" s="22" t="inlineStr">
        <is>
          <t>2024-12-03</t>
        </is>
      </c>
      <c r="F1047" s="22" t="inlineStr">
        <is>
          <t>5 kg CO2 portatif söndürücü</t>
        </is>
      </c>
      <c r="G1047" s="22" t="inlineStr">
        <is>
          <t>Adet</t>
        </is>
      </c>
      <c r="H1047" s="63" t="n">
        <v>96.47</v>
      </c>
      <c r="I1047" s="22" t="inlineStr">
        <is>
          <t>EUR</t>
        </is>
      </c>
      <c r="J1047" s="22" t="inlineStr">
        <is>
          <t>M+İ</t>
        </is>
      </c>
      <c r="K1047" s="63" t="n">
        <v>101.41020994806</v>
      </c>
      <c r="L1047" s="22" t="inlineStr">
        <is>
          <t>5005.A</t>
        </is>
      </c>
      <c r="M1047" s="22" t="n">
        <v>11</v>
      </c>
      <c r="N1047" s="22" t="inlineStr">
        <is>
          <t>Kirazlı-Halkalı Üniversite metro (5 yeraltı istasyonu; iptal 2024-09) mekanik bütçe/teklif keşfi; EUR; birim fiyat = malzeme + işçilik + GGK (GGK birim fiyatta ayrı kolon, ~%30-35); HVAC cihazları (AHU, VRF, split, kompresör) İşveren temini – yalnız montaj. [malz 65.63 + işç 5.52 + GGK 25.31]</t>
        </is>
      </c>
    </row>
    <row r="1048">
      <c r="A1048" s="22" t="inlineStr">
        <is>
          <t>R05978</t>
        </is>
      </c>
      <c r="B1048" s="22" t="inlineStr">
        <is>
          <t>Kirazli_Halkali_Unv_Metro_202409_iptal</t>
        </is>
      </c>
      <c r="C1048" s="22" t="inlineStr">
        <is>
          <t>metro</t>
        </is>
      </c>
      <c r="D1048" s="22" t="inlineStr">
        <is>
          <t>Panel Mekanik</t>
        </is>
      </c>
      <c r="E1048" s="22" t="inlineStr">
        <is>
          <t>2024-12-03</t>
        </is>
      </c>
      <c r="F1048" s="22" t="inlineStr">
        <is>
          <t>6 kg ABC KKT portatif söndürücü</t>
        </is>
      </c>
      <c r="G1048" s="22" t="inlineStr">
        <is>
          <t>Adet</t>
        </is>
      </c>
      <c r="H1048" s="63" t="n">
        <v>49.32</v>
      </c>
      <c r="I1048" s="22" t="inlineStr">
        <is>
          <t>EUR</t>
        </is>
      </c>
      <c r="J1048" s="22" t="inlineStr">
        <is>
          <t>M+İ</t>
        </is>
      </c>
      <c r="K1048" s="63" t="n">
        <v>51.8456676131266</v>
      </c>
      <c r="L1048" s="22" t="inlineStr">
        <is>
          <t>5005.A</t>
        </is>
      </c>
      <c r="M1048" s="22" t="n">
        <v>9</v>
      </c>
      <c r="N1048" s="22" t="inlineStr">
        <is>
          <t>Kirazlı-Halkalı Üniversite metro (5 yeraltı istasyonu; iptal 2024-09) mekanik bütçe/teklif keşfi; EUR; birim fiyat = malzeme + işçilik + GGK (GGK birim fiyatta ayrı kolon, ~%30-35); HVAC cihazları (AHU, VRF, split, kompresör) İşveren temini – yalnız montaj. [malz 30.85 + işç 5.52 + GGK 12.94]</t>
        </is>
      </c>
    </row>
    <row r="1049">
      <c r="A1049" s="22" t="inlineStr">
        <is>
          <t>R05979</t>
        </is>
      </c>
      <c r="B1049" s="22" t="inlineStr">
        <is>
          <t>Kirazli_Halkali_Unv_Metro_202409_iptal</t>
        </is>
      </c>
      <c r="C1049" s="22" t="inlineStr">
        <is>
          <t>metro</t>
        </is>
      </c>
      <c r="D1049" s="22" t="inlineStr">
        <is>
          <t>Panel Mekanik</t>
        </is>
      </c>
      <c r="E1049" s="22" t="inlineStr">
        <is>
          <t>2024-12-03</t>
        </is>
      </c>
      <c r="F1049" s="22" t="inlineStr">
        <is>
          <t>Yangın dolabı 1" 20 m kauçuk hortumlu, 6 kg KKT tüplü</t>
        </is>
      </c>
      <c r="G1049" s="22" t="inlineStr">
        <is>
          <t>Adet</t>
        </is>
      </c>
      <c r="H1049" s="63" t="n">
        <v>415.09</v>
      </c>
      <c r="I1049" s="22" t="inlineStr">
        <is>
          <t>EUR</t>
        </is>
      </c>
      <c r="J1049" s="22" t="inlineStr">
        <is>
          <t>M+İ</t>
        </is>
      </c>
      <c r="K1049" s="63" t="n">
        <v>436.34667821437</v>
      </c>
      <c r="L1049" s="22" t="inlineStr">
        <is>
          <t>5005.H</t>
        </is>
      </c>
      <c r="M1049" s="22" t="n">
        <v>1</v>
      </c>
      <c r="N1049" s="22" t="inlineStr">
        <is>
          <t>Kirazlı-Halkalı Üniversite metro (5 yeraltı istasyonu; iptal 2024-09) mekanik bütçe/teklif keşfi; EUR; birim fiyat = malzeme + işçilik + GGK (GGK birim fiyatta ayrı kolon, ~%30-35); HVAC cihazları (AHU, VRF, split, kompresör) İşveren temini – yalnız montaj. [malz 250.95 + işç 55.23 + GGK 108.91]</t>
        </is>
      </c>
    </row>
    <row r="1050">
      <c r="A1050" s="22" t="inlineStr">
        <is>
          <t>R05980</t>
        </is>
      </c>
      <c r="B1050" s="22" t="inlineStr">
        <is>
          <t>Kirazli_Halkali_Unv_Metro_202409_iptal</t>
        </is>
      </c>
      <c r="C1050" s="22" t="inlineStr">
        <is>
          <t>metro</t>
        </is>
      </c>
      <c r="D1050" s="22" t="inlineStr">
        <is>
          <t>Panel Mekanik</t>
        </is>
      </c>
      <c r="E1050" s="22" t="inlineStr">
        <is>
          <t>2024-12-03</t>
        </is>
      </c>
      <c r="F1050" s="22" t="inlineStr">
        <is>
          <t>Yangın dolabı 1" 30 m kauçuk hortumlu, 6 kg KKT tüplü</t>
        </is>
      </c>
      <c r="G1050" s="22" t="inlineStr">
        <is>
          <t>Adet</t>
        </is>
      </c>
      <c r="H1050" s="63" t="n">
        <v>435.49</v>
      </c>
      <c r="I1050" s="22" t="inlineStr">
        <is>
          <t>EUR</t>
        </is>
      </c>
      <c r="J1050" s="22" t="inlineStr">
        <is>
          <t>M+İ</t>
        </is>
      </c>
      <c r="K1050" s="63" t="n">
        <v>457.791358248997</v>
      </c>
      <c r="L1050" s="22" t="inlineStr">
        <is>
          <t>5005.H</t>
        </is>
      </c>
      <c r="M1050" s="22" t="n">
        <v>1</v>
      </c>
      <c r="N1050" s="22" t="inlineStr">
        <is>
          <t>Kirazlı-Halkalı Üniversite metro (5 yeraltı istasyonu; iptal 2024-09) mekanik bütçe/teklif keşfi; EUR; birim fiyat = malzeme + işçilik + GGK (GGK birim fiyatta ayrı kolon, ~%30-35); HVAC cihazları (AHU, VRF, split, kompresör) İşveren temini – yalnız montaj. [malz 266.00 + işç 55.23 + GGK 114.27]</t>
        </is>
      </c>
    </row>
    <row r="1051">
      <c r="A1051" s="22" t="inlineStr">
        <is>
          <t>R05982</t>
        </is>
      </c>
      <c r="B1051" s="22" t="inlineStr">
        <is>
          <t>Kirazli_Halkali_Unv_Metro_202409_iptal</t>
        </is>
      </c>
      <c r="C1051" s="22" t="inlineStr">
        <is>
          <t>metro</t>
        </is>
      </c>
      <c r="D1051" s="22" t="inlineStr">
        <is>
          <t>Panel Mekanik</t>
        </is>
      </c>
      <c r="E1051" s="22" t="inlineStr">
        <is>
          <t>2024-12-03</t>
        </is>
      </c>
      <c r="F1051" s="22" t="inlineStr">
        <is>
          <t>Galvaniz boru yivli bağlantılı 1" (yangın)</t>
        </is>
      </c>
      <c r="G1051" s="22" t="inlineStr">
        <is>
          <t>Mt</t>
        </is>
      </c>
      <c r="H1051" s="63" t="n">
        <v>41.1</v>
      </c>
      <c r="I1051" s="22" t="inlineStr">
        <is>
          <t>EUR</t>
        </is>
      </c>
      <c r="J1051" s="22" t="inlineStr">
        <is>
          <t>M+İ</t>
        </is>
      </c>
      <c r="K1051" s="63" t="n">
        <v>43.2047230109389</v>
      </c>
      <c r="L1051" s="22" t="inlineStr">
        <is>
          <t>5005.H</t>
        </is>
      </c>
      <c r="M1051" s="22" t="n">
        <v>1</v>
      </c>
      <c r="N1051" s="22" t="inlineStr">
        <is>
          <t>Kirazlı-Halkalı Üniversite metro (5 yeraltı istasyonu; iptal 2024-09) mekanik bütçe/teklif keşfi; EUR; birim fiyat = malzeme + işçilik + GGK (GGK birim fiyatta ayrı kolon, ~%30-35); HVAC cihazları (AHU, VRF, split, kompresör) İşveren temini – yalnız montaj. [malz 6.53 + işç 21.30 + GGK 13.27]</t>
        </is>
      </c>
    </row>
    <row r="1052">
      <c r="A1052" s="22" t="inlineStr">
        <is>
          <t>R05983</t>
        </is>
      </c>
      <c r="B1052" s="22" t="inlineStr">
        <is>
          <t>Kirazli_Halkali_Unv_Metro_202409_iptal</t>
        </is>
      </c>
      <c r="C1052" s="22" t="inlineStr">
        <is>
          <t>metro</t>
        </is>
      </c>
      <c r="D1052" s="22" t="inlineStr">
        <is>
          <t>Panel Mekanik</t>
        </is>
      </c>
      <c r="E1052" s="22" t="inlineStr">
        <is>
          <t>2024-12-03</t>
        </is>
      </c>
      <c r="F1052" s="22" t="inlineStr">
        <is>
          <t>Galvaniz boru yivli bağlantılı 1¼" (yangın)</t>
        </is>
      </c>
      <c r="G1052" s="22" t="inlineStr">
        <is>
          <t>Mt</t>
        </is>
      </c>
      <c r="H1052" s="63" t="n">
        <v>28.33</v>
      </c>
      <c r="I1052" s="22" t="inlineStr">
        <is>
          <t>EUR</t>
        </is>
      </c>
      <c r="J1052" s="22" t="inlineStr">
        <is>
          <t>M+İ</t>
        </is>
      </c>
      <c r="K1052" s="63" t="n">
        <v>29.7807737931849</v>
      </c>
      <c r="L1052" s="22" t="inlineStr">
        <is>
          <t>5005.H</t>
        </is>
      </c>
      <c r="M1052" s="22" t="n">
        <v>1</v>
      </c>
      <c r="N1052" s="22" t="inlineStr">
        <is>
          <t>Kirazlı-Halkalı Üniversite metro (5 yeraltı istasyonu; iptal 2024-09) mekanik bütçe/teklif keşfi; EUR; birim fiyat = malzeme + işçilik + GGK (GGK birim fiyatta ayrı kolon, ~%30-35); HVAC cihazları (AHU, VRF, split, kompresör) İşveren temini – yalnız montaj. [malz 8.43 + işç 12.15 + GGK 7.75]</t>
        </is>
      </c>
    </row>
    <row r="1053">
      <c r="A1053" s="22" t="inlineStr">
        <is>
          <t>R05984</t>
        </is>
      </c>
      <c r="B1053" s="22" t="inlineStr">
        <is>
          <t>Kirazli_Halkali_Unv_Metro_202409_iptal</t>
        </is>
      </c>
      <c r="C1053" s="22" t="inlineStr">
        <is>
          <t>metro</t>
        </is>
      </c>
      <c r="D1053" s="22" t="inlineStr">
        <is>
          <t>Panel Mekanik</t>
        </is>
      </c>
      <c r="E1053" s="22" t="inlineStr">
        <is>
          <t>2024-12-03</t>
        </is>
      </c>
      <c r="F1053" s="22" t="inlineStr">
        <is>
          <t>Galvaniz boru yivli bağlantılı 2" (yangın)</t>
        </is>
      </c>
      <c r="G1053" s="22" t="inlineStr">
        <is>
          <t>Mt</t>
        </is>
      </c>
      <c r="H1053" s="63" t="n">
        <v>49.11</v>
      </c>
      <c r="I1053" s="22" t="inlineStr">
        <is>
          <t>EUR</t>
        </is>
      </c>
      <c r="J1053" s="22" t="inlineStr">
        <is>
          <t>M+İ</t>
        </is>
      </c>
      <c r="K1053" s="63" t="n">
        <v>51.6249135539466</v>
      </c>
      <c r="L1053" s="22" t="inlineStr">
        <is>
          <t>5005.H</t>
        </is>
      </c>
      <c r="M1053" s="22" t="n">
        <v>4</v>
      </c>
      <c r="N1053" s="22" t="inlineStr">
        <is>
          <t>Kirazlı-Halkalı Üniversite metro (5 yeraltı istasyonu; iptal 2024-09) mekanik bütçe/teklif keşfi; EUR; birim fiyat = malzeme + işçilik + GGK (GGK birim fiyatta ayrı kolon, ~%30-35); HVAC cihazları (AHU, VRF, split, kompresör) İşveren temini – yalnız montaj. [malz 13.48 + işç 21.02 + GGK 14.61]</t>
        </is>
      </c>
    </row>
    <row r="1054">
      <c r="A1054" s="22" t="inlineStr">
        <is>
          <t>R05985</t>
        </is>
      </c>
      <c r="B1054" s="22" t="inlineStr">
        <is>
          <t>Kirazli_Halkali_Unv_Metro_202409_iptal</t>
        </is>
      </c>
      <c r="C1054" s="22" t="inlineStr">
        <is>
          <t>metro</t>
        </is>
      </c>
      <c r="D1054" s="22" t="inlineStr">
        <is>
          <t>Panel Mekanik</t>
        </is>
      </c>
      <c r="E1054" s="22" t="inlineStr">
        <is>
          <t>2024-12-03</t>
        </is>
      </c>
      <c r="F1054" s="22" t="inlineStr">
        <is>
          <t>Galvaniz boru yivli bağlantılı 2½" (yangın)</t>
        </is>
      </c>
      <c r="G1054" s="22" t="inlineStr">
        <is>
          <t>Mt</t>
        </is>
      </c>
      <c r="H1054" s="63" t="n">
        <v>68.20999999999999</v>
      </c>
      <c r="I1054" s="22" t="inlineStr">
        <is>
          <t>EUR</t>
        </is>
      </c>
      <c r="J1054" s="22" t="inlineStr">
        <is>
          <t>M+İ</t>
        </is>
      </c>
      <c r="K1054" s="63" t="n">
        <v>71.7030208412686</v>
      </c>
      <c r="L1054" s="22" t="inlineStr">
        <is>
          <t>5005.H</t>
        </is>
      </c>
      <c r="M1054" s="22" t="n">
        <v>3</v>
      </c>
      <c r="N1054" s="22" t="inlineStr">
        <is>
          <t>Kirazlı-Halkalı Üniversite metro (5 yeraltı istasyonu; iptal 2024-09) mekanik bütçe/teklif keşfi; EUR; birim fiyat = malzeme + işçilik + GGK (GGK birim fiyatta ayrı kolon, ~%30-35); HVAC cihazları (AHU, VRF, split, kompresör) İşveren temini – yalnız montaj. [malz 20.71 + işç 24.81 + GGK 22.70]</t>
        </is>
      </c>
    </row>
    <row r="1055">
      <c r="A1055" s="22" t="inlineStr">
        <is>
          <t>R05986</t>
        </is>
      </c>
      <c r="B1055" s="22" t="inlineStr">
        <is>
          <t>Kirazli_Halkali_Unv_Metro_202409_iptal</t>
        </is>
      </c>
      <c r="C1055" s="22" t="inlineStr">
        <is>
          <t>metro</t>
        </is>
      </c>
      <c r="D1055" s="22" t="inlineStr">
        <is>
          <t>Panel Mekanik</t>
        </is>
      </c>
      <c r="E1055" s="22" t="inlineStr">
        <is>
          <t>2024-12-03</t>
        </is>
      </c>
      <c r="F1055" s="22" t="inlineStr">
        <is>
          <t>Galvaniz boru yivli bağlantılı 3" (yangın)</t>
        </is>
      </c>
      <c r="G1055" s="22" t="inlineStr">
        <is>
          <t>Mt</t>
        </is>
      </c>
      <c r="H1055" s="63" t="n">
        <v>63.54</v>
      </c>
      <c r="I1055" s="22" t="inlineStr">
        <is>
          <t>EUR</t>
        </is>
      </c>
      <c r="J1055" s="22" t="inlineStr">
        <is>
          <t>M+İ</t>
        </is>
      </c>
      <c r="K1055" s="63" t="n">
        <v>66.7938710490281</v>
      </c>
      <c r="L1055" s="22" t="inlineStr">
        <is>
          <t>5005.H</t>
        </is>
      </c>
      <c r="M1055" s="22" t="n">
        <v>2</v>
      </c>
      <c r="N1055" s="22" t="inlineStr">
        <is>
          <t>Kirazlı-Halkalı Üniversite metro (5 yeraltı istasyonu; iptal 2024-09) mekanik bütçe/teklif keşfi; EUR; birim fiyat = malzeme + işçilik + GGK (GGK birim fiyatta ayrı kolon, ~%30-35); HVAC cihazları (AHU, VRF, split, kompresör) İşveren temini – yalnız montaj. [malz 26.56 + işç 20.30 + GGK 16.67]</t>
        </is>
      </c>
    </row>
    <row r="1056">
      <c r="A1056" s="22" t="inlineStr">
        <is>
          <t>R05987</t>
        </is>
      </c>
      <c r="B1056" s="22" t="inlineStr">
        <is>
          <t>Kirazli_Halkali_Unv_Metro_202409_iptal</t>
        </is>
      </c>
      <c r="C1056" s="22" t="inlineStr">
        <is>
          <t>metro</t>
        </is>
      </c>
      <c r="D1056" s="22" t="inlineStr">
        <is>
          <t>Panel Mekanik</t>
        </is>
      </c>
      <c r="E1056" s="22" t="inlineStr">
        <is>
          <t>2024-12-03</t>
        </is>
      </c>
      <c r="F1056" s="22" t="inlineStr">
        <is>
          <t>Galvaniz boru yivli bağlantılı 4" (yangın)</t>
        </is>
      </c>
      <c r="G1056" s="22" t="inlineStr">
        <is>
          <t>Mt</t>
        </is>
      </c>
      <c r="H1056" s="63" t="n">
        <v>75.95999999999999</v>
      </c>
      <c r="I1056" s="22" t="inlineStr">
        <is>
          <t>EUR</t>
        </is>
      </c>
      <c r="J1056" s="22" t="inlineStr">
        <is>
          <t>M+İ</t>
        </is>
      </c>
      <c r="K1056" s="63" t="n">
        <v>79.8498968348154</v>
      </c>
      <c r="L1056" s="22" t="inlineStr">
        <is>
          <t>5005.H</t>
        </is>
      </c>
      <c r="M1056" s="22" t="n">
        <v>3</v>
      </c>
      <c r="N1056" s="22" t="inlineStr">
        <is>
          <t>Kirazlı-Halkalı Üniversite metro (5 yeraltı istasyonu; iptal 2024-09) mekanik bütçe/teklif keşfi; EUR; birim fiyat = malzeme + işçilik + GGK (GGK birim fiyatta ayrı kolon, ~%30-35); HVAC cihazları (AHU, VRF, split, kompresör) İşveren temini – yalnız montaj. [malz 38.99 + işç 20.30 + GGK 16.67]</t>
        </is>
      </c>
    </row>
    <row r="1057">
      <c r="A1057" s="22" t="inlineStr">
        <is>
          <t>R05988</t>
        </is>
      </c>
      <c r="B1057" s="22" t="inlineStr">
        <is>
          <t>Kirazli_Halkali_Unv_Metro_202409_iptal</t>
        </is>
      </c>
      <c r="C1057" s="22" t="inlineStr">
        <is>
          <t>metro</t>
        </is>
      </c>
      <c r="D1057" s="22" t="inlineStr">
        <is>
          <t>Panel Mekanik</t>
        </is>
      </c>
      <c r="E1057" s="22" t="inlineStr">
        <is>
          <t>2024-12-03</t>
        </is>
      </c>
      <c r="F1057" s="22" t="inlineStr">
        <is>
          <t>Galvaniz boru yivli bağlantılı 6" (yangın)</t>
        </is>
      </c>
      <c r="G1057" s="22" t="inlineStr">
        <is>
          <t>Mt</t>
        </is>
      </c>
      <c r="H1057" s="63" t="n">
        <v>164.96</v>
      </c>
      <c r="I1057" s="22" t="inlineStr">
        <is>
          <t>EUR</t>
        </is>
      </c>
      <c r="J1057" s="22" t="inlineStr">
        <is>
          <t>M+İ</t>
        </is>
      </c>
      <c r="K1057" s="63" t="n">
        <v>173.407569534902</v>
      </c>
      <c r="L1057" s="22" t="inlineStr">
        <is>
          <t>5005.H</t>
        </is>
      </c>
      <c r="M1057" s="22" t="n">
        <v>2</v>
      </c>
      <c r="N1057" s="22" t="inlineStr">
        <is>
          <t>Kirazlı-Halkalı Üniversite metro (5 yeraltı istasyonu; iptal 2024-09) mekanik bütçe/teklif keşfi; EUR; birim fiyat = malzeme + işçilik + GGK (GGK birim fiyatta ayrı kolon, ~%30-35); HVAC cihazları (AHU, VRF, split, kompresör) İşveren temini – yalnız montaj. [malz 63.50 + işç 51.63 + GGK 49.83]</t>
        </is>
      </c>
    </row>
    <row r="1058">
      <c r="A1058" s="22" t="inlineStr">
        <is>
          <t>R05989</t>
        </is>
      </c>
      <c r="B1058" s="22" t="inlineStr">
        <is>
          <t>Kirazli_Halkali_Unv_Metro_202409_iptal</t>
        </is>
      </c>
      <c r="C1058" s="22" t="inlineStr">
        <is>
          <t>metro</t>
        </is>
      </c>
      <c r="D1058" s="22" t="inlineStr">
        <is>
          <t>Panel Mekanik</t>
        </is>
      </c>
      <c r="E1058" s="22" t="inlineStr">
        <is>
          <t>2024-12-03</t>
        </is>
      </c>
      <c r="F1058" s="22" t="inlineStr">
        <is>
          <t>İzleme anahtarlı kelebek vana DN100 flanşlı</t>
        </is>
      </c>
      <c r="G1058" s="22" t="inlineStr">
        <is>
          <t>Adet</t>
        </is>
      </c>
      <c r="H1058" s="63" t="n">
        <v>242.36</v>
      </c>
      <c r="I1058" s="22" t="inlineStr">
        <is>
          <t>EUR</t>
        </is>
      </c>
      <c r="J1058" s="22" t="inlineStr">
        <is>
          <t>M+İ</t>
        </is>
      </c>
      <c r="K1058" s="63" t="n">
        <v>254.771208489809</v>
      </c>
      <c r="L1058" s="22" t="inlineStr">
        <is>
          <t>5005.H</t>
        </is>
      </c>
      <c r="M1058" s="22" t="n">
        <v>2</v>
      </c>
      <c r="N1058" s="22" t="inlineStr">
        <is>
          <t>Kirazlı-Halkalı Üniversite metro (5 yeraltı istasyonu; iptal 2024-09) mekanik bütçe/teklif keşfi; EUR; birim fiyat = malzeme + işçilik + GGK (GGK birim fiyatta ayrı kolon, ~%30-35); HVAC cihazları (AHU, VRF, split, kompresör) İşveren temini – yalnız montaj. [malz 153.92 + işç 24.85 + GGK 63.59]</t>
        </is>
      </c>
    </row>
    <row r="1059">
      <c r="A1059" s="22" t="inlineStr">
        <is>
          <t>R05990</t>
        </is>
      </c>
      <c r="B1059" s="22" t="inlineStr">
        <is>
          <t>Kirazli_Halkali_Unv_Metro_202409_iptal</t>
        </is>
      </c>
      <c r="C1059" s="22" t="inlineStr">
        <is>
          <t>metro</t>
        </is>
      </c>
      <c r="D1059" s="22" t="inlineStr">
        <is>
          <t>Panel Mekanik</t>
        </is>
      </c>
      <c r="E1059" s="22" t="inlineStr">
        <is>
          <t>2024-12-03</t>
        </is>
      </c>
      <c r="F1059" s="22" t="inlineStr">
        <is>
          <t>Islak alarm vana istasyonu DN100 (flanş-yivli)</t>
        </is>
      </c>
      <c r="G1059" s="22" t="inlineStr">
        <is>
          <t>Adet</t>
        </is>
      </c>
      <c r="H1059" s="63" t="n">
        <v>8316.09</v>
      </c>
      <c r="I1059" s="22" t="inlineStr">
        <is>
          <t>EUR</t>
        </is>
      </c>
      <c r="J1059" s="22" t="inlineStr">
        <is>
          <t>M+İ</t>
        </is>
      </c>
      <c r="K1059" s="63" t="n">
        <v>8741.95535240969</v>
      </c>
      <c r="L1059" s="22" t="inlineStr">
        <is>
          <t>5005.H</t>
        </is>
      </c>
      <c r="M1059" s="22" t="n">
        <v>1</v>
      </c>
      <c r="N1059" s="22" t="inlineStr">
        <is>
          <t>Kirazlı-Halkalı Üniversite metro (5 yeraltı istasyonu; iptal 2024-09) mekanik bütçe/teklif keşfi; EUR; birim fiyat = malzeme + işçilik + GGK (GGK birim fiyatta ayrı kolon, ~%30-35); HVAC cihazları (AHU, VRF, split, kompresör) İşveren temini – yalnız montaj. [malz 6069.61 + işç 64.51 + GGK 2181.97]</t>
        </is>
      </c>
    </row>
    <row r="1060">
      <c r="A1060" s="22" t="inlineStr">
        <is>
          <t>R05991</t>
        </is>
      </c>
      <c r="B1060" s="22" t="inlineStr">
        <is>
          <t>Kirazli_Halkali_Unv_Metro_202409_iptal</t>
        </is>
      </c>
      <c r="C1060" s="22" t="inlineStr">
        <is>
          <t>metro</t>
        </is>
      </c>
      <c r="D1060" s="22" t="inlineStr">
        <is>
          <t>Panel Mekanik</t>
        </is>
      </c>
      <c r="E1060" s="22" t="inlineStr">
        <is>
          <t>2024-12-03</t>
        </is>
      </c>
      <c r="F1060" s="22" t="inlineStr">
        <is>
          <t>Test ve drenaj vanası 2"</t>
        </is>
      </c>
      <c r="G1060" s="22" t="inlineStr">
        <is>
          <t>Adet</t>
        </is>
      </c>
      <c r="H1060" s="63" t="n">
        <v>163.82</v>
      </c>
      <c r="I1060" s="22" t="inlineStr">
        <is>
          <t>EUR</t>
        </is>
      </c>
      <c r="J1060" s="22" t="inlineStr">
        <is>
          <t>M+İ</t>
        </is>
      </c>
      <c r="K1060" s="63" t="n">
        <v>172.209190356496</v>
      </c>
      <c r="L1060" s="22" t="inlineStr">
        <is>
          <t>5005.H</t>
        </is>
      </c>
      <c r="M1060" s="22" t="n">
        <v>1</v>
      </c>
      <c r="N1060" s="22" t="inlineStr">
        <is>
          <t>Kirazlı-Halkalı Üniversite metro (5 yeraltı istasyonu; iptal 2024-09) mekanik bütçe/teklif keşfi; EUR; birim fiyat = malzeme + işçilik + GGK (GGK birim fiyatta ayrı kolon, ~%30-35); HVAC cihazları (AHU, VRF, split, kompresör) İşveren temini – yalnız montaj. [malz 110.45 + işç 10.38 + GGK 42.98]</t>
        </is>
      </c>
    </row>
    <row r="1061">
      <c r="A1061" s="22" t="inlineStr">
        <is>
          <t>R05995</t>
        </is>
      </c>
      <c r="B1061" s="22" t="inlineStr">
        <is>
          <t>Kirazli_Halkali_Unv_Metro_202409_iptal</t>
        </is>
      </c>
      <c r="C1061" s="22" t="inlineStr">
        <is>
          <t>metro</t>
        </is>
      </c>
      <c r="D1061" s="22" t="inlineStr">
        <is>
          <t>Panel Mekanik</t>
        </is>
      </c>
      <c r="E1061" s="22" t="inlineStr">
        <is>
          <t>2024-12-03</t>
        </is>
      </c>
      <c r="F1061" s="22" t="inlineStr">
        <is>
          <t>Hızlı tepkimeli sprinkler upright EN 12259-1</t>
        </is>
      </c>
      <c r="G1061" s="22" t="inlineStr">
        <is>
          <t>Adet</t>
        </is>
      </c>
      <c r="H1061" s="63" t="n">
        <v>17.68</v>
      </c>
      <c r="I1061" s="22" t="inlineStr">
        <is>
          <t>EUR</t>
        </is>
      </c>
      <c r="J1061" s="22" t="inlineStr">
        <is>
          <t>M+İ</t>
        </is>
      </c>
      <c r="K1061" s="63" t="n">
        <v>18.585389363343</v>
      </c>
      <c r="L1061" s="22" t="inlineStr">
        <is>
          <t>5005.H</t>
        </is>
      </c>
      <c r="M1061" s="22" t="n">
        <v>2</v>
      </c>
      <c r="N1061" s="22" t="inlineStr">
        <is>
          <t>Kirazlı-Halkalı Üniversite metro (5 yeraltı istasyonu; iptal 2024-09) mekanik bütçe/teklif keşfi; EUR; birim fiyat = malzeme + işçilik + GGK (GGK birim fiyatta ayrı kolon, ~%30-35); HVAC cihazları (AHU, VRF, split, kompresör) İşveren temini – yalnız montaj. [malz 4.20 + işç 8.84 + GGK 4.64]</t>
        </is>
      </c>
    </row>
    <row r="1062">
      <c r="A1062" s="22" t="inlineStr">
        <is>
          <t>R05996</t>
        </is>
      </c>
      <c r="B1062" s="22" t="inlineStr">
        <is>
          <t>Kirazli_Halkali_Unv_Metro_202409_iptal</t>
        </is>
      </c>
      <c r="C1062" s="22" t="inlineStr">
        <is>
          <t>metro</t>
        </is>
      </c>
      <c r="D1062" s="22" t="inlineStr">
        <is>
          <t>Panel Mekanik</t>
        </is>
      </c>
      <c r="E1062" s="22" t="inlineStr">
        <is>
          <t>2024-12-03</t>
        </is>
      </c>
      <c r="F1062" s="22" t="inlineStr">
        <is>
          <t>Hızlı tepkimeli sprinkler sidewall</t>
        </is>
      </c>
      <c r="G1062" s="22" t="inlineStr">
        <is>
          <t>Adet</t>
        </is>
      </c>
      <c r="H1062" s="63" t="n">
        <v>18.71</v>
      </c>
      <c r="I1062" s="22" t="inlineStr">
        <is>
          <t>EUR</t>
        </is>
      </c>
      <c r="J1062" s="22" t="inlineStr">
        <is>
          <t>M+İ</t>
        </is>
      </c>
      <c r="K1062" s="63" t="n">
        <v>19.6681354631306</v>
      </c>
      <c r="L1062" s="22" t="inlineStr">
        <is>
          <t>5005.H</t>
        </is>
      </c>
      <c r="M1062" s="22" t="n">
        <v>1</v>
      </c>
      <c r="N1062" s="22" t="inlineStr">
        <is>
          <t>Kirazlı-Halkalı Üniversite metro (5 yeraltı istasyonu; iptal 2024-09) mekanik bütçe/teklif keşfi; EUR; birim fiyat = malzeme + işçilik + GGK (GGK birim fiyatta ayrı kolon, ~%30-35); HVAC cihazları (AHU, VRF, split, kompresör) İşveren temini – yalnız montaj. [malz 4.96 + işç 8.84 + GGK 4.91]</t>
        </is>
      </c>
    </row>
    <row r="1063">
      <c r="A1063" s="22" t="inlineStr">
        <is>
          <t>R05997</t>
        </is>
      </c>
      <c r="B1063" s="22" t="inlineStr">
        <is>
          <t>Kirazli_Halkali_Unv_Metro_202409_iptal</t>
        </is>
      </c>
      <c r="C1063" s="22" t="inlineStr">
        <is>
          <t>metro</t>
        </is>
      </c>
      <c r="D1063" s="22" t="inlineStr">
        <is>
          <t>Panel Mekanik</t>
        </is>
      </c>
      <c r="E1063" s="22" t="inlineStr">
        <is>
          <t>2024-12-03</t>
        </is>
      </c>
      <c r="F1063" s="22" t="inlineStr">
        <is>
          <t>Siyam ikizi itfaiye bağlantı ağzı 4"x2½"x2½"</t>
        </is>
      </c>
      <c r="G1063" s="22" t="inlineStr">
        <is>
          <t>Adet</t>
        </is>
      </c>
      <c r="H1063" s="63" t="n">
        <v>219.05</v>
      </c>
      <c r="I1063" s="22" t="inlineStr">
        <is>
          <t>EUR</t>
        </is>
      </c>
      <c r="J1063" s="22" t="inlineStr">
        <is>
          <t>M+İ</t>
        </is>
      </c>
      <c r="K1063" s="63" t="n">
        <v>230.267507920831</v>
      </c>
      <c r="L1063" s="22" t="inlineStr">
        <is>
          <t>5005.H</t>
        </is>
      </c>
      <c r="M1063" s="22" t="n">
        <v>1</v>
      </c>
      <c r="N1063" s="22" t="inlineStr">
        <is>
          <t>Kirazlı-Halkalı Üniversite metro (5 yeraltı istasyonu; iptal 2024-09) mekanik bütçe/teklif keşfi; EUR; birim fiyat = malzeme + işçilik + GGK (GGK birim fiyatta ayrı kolon, ~%30-35); HVAC cihazları (AHU, VRF, split, kompresör) İşveren temini – yalnız montaj. [malz 117.39 + işç 44.19 + GGK 57.48]</t>
        </is>
      </c>
    </row>
    <row r="1064">
      <c r="A1064" s="22" t="inlineStr">
        <is>
          <t>R05998</t>
        </is>
      </c>
      <c r="B1064" s="22" t="inlineStr">
        <is>
          <t>Kirazli_Halkali_Unv_Metro_202409_iptal</t>
        </is>
      </c>
      <c r="C1064" s="22" t="inlineStr">
        <is>
          <t>metro</t>
        </is>
      </c>
      <c r="D1064" s="22" t="inlineStr">
        <is>
          <t>Panel Mekanik</t>
        </is>
      </c>
      <c r="E1064" s="22" t="inlineStr">
        <is>
          <t>2024-12-03</t>
        </is>
      </c>
      <c r="F1064" s="22" t="inlineStr">
        <is>
          <t>İtfaiye su alma ağzı 2½"</t>
        </is>
      </c>
      <c r="G1064" s="22" t="inlineStr">
        <is>
          <t>Adet</t>
        </is>
      </c>
      <c r="H1064" s="63" t="n">
        <v>118.99</v>
      </c>
      <c r="I1064" s="22" t="inlineStr">
        <is>
          <t>EUR</t>
        </is>
      </c>
      <c r="J1064" s="22" t="inlineStr">
        <is>
          <t>M+İ</t>
        </is>
      </c>
      <c r="K1064" s="63" t="n">
        <v>125.083454770599</v>
      </c>
      <c r="L1064" s="22" t="inlineStr">
        <is>
          <t>5005.H</t>
        </is>
      </c>
      <c r="M1064" s="22" t="n">
        <v>1</v>
      </c>
      <c r="N1064" s="22" t="inlineStr">
        <is>
          <t>Kirazlı-Halkalı Üniversite metro (5 yeraltı istasyonu; iptal 2024-09) mekanik bütçe/teklif keşfi; EUR; birim fiyat = malzeme + işçilik + GGK (GGK birim fiyatta ayrı kolon, ~%30-35); HVAC cihazları (AHU, VRF, split, kompresör) İşveren temini – yalnız montaj. [malz 52.42 + işç 35.35 + GGK 31.22]</t>
        </is>
      </c>
    </row>
    <row r="1065">
      <c r="A1065" s="22" t="inlineStr">
        <is>
          <t>R06000</t>
        </is>
      </c>
      <c r="B1065" s="22" t="inlineStr">
        <is>
          <t>Kirazli_Halkali_Unv_Metro_202409_iptal</t>
        </is>
      </c>
      <c r="C1065" s="22" t="inlineStr">
        <is>
          <t>metro</t>
        </is>
      </c>
      <c r="D1065" s="22" t="inlineStr">
        <is>
          <t>Panel Mekanik</t>
        </is>
      </c>
      <c r="E1065" s="22" t="inlineStr">
        <is>
          <t>2024-12-03</t>
        </is>
      </c>
      <c r="F1065" s="22" t="inlineStr">
        <is>
          <t>Ani su ısıtıcı 3,5 kW (Baymak/Ariston)</t>
        </is>
      </c>
      <c r="G1065" s="22" t="inlineStr">
        <is>
          <t>Adet</t>
        </is>
      </c>
      <c r="H1065" s="63" t="n">
        <v>113.02</v>
      </c>
      <c r="I1065" s="22" t="inlineStr">
        <is>
          <t>EUR</t>
        </is>
      </c>
      <c r="J1065" s="22" t="inlineStr">
        <is>
          <t>M+İ</t>
        </is>
      </c>
      <c r="K1065" s="63" t="n">
        <v>118.807732231054</v>
      </c>
      <c r="L1065" s="22" t="inlineStr">
        <is>
          <t>5007.A</t>
        </is>
      </c>
      <c r="M1065" s="22" t="n">
        <v>1</v>
      </c>
      <c r="N1065" s="22" t="inlineStr">
        <is>
          <t>Kirazlı-Halkalı Üniversite metro (5 yeraltı istasyonu; iptal 2024-09) mekanik bütçe/teklif keşfi; EUR; birim fiyat = malzeme + işçilik + GGK (GGK birim fiyatta ayrı kolon, ~%30-35); HVAC cihazları (AHU, VRF, split, kompresör) İşveren temini – yalnız montaj. [malz 45.77 + işç 32.13 + GGK 35.12]</t>
        </is>
      </c>
    </row>
    <row r="1066">
      <c r="A1066" s="22" t="inlineStr">
        <is>
          <t>R06001</t>
        </is>
      </c>
      <c r="B1066" s="22" t="inlineStr">
        <is>
          <t>Kirazli_Halkali_Unv_Metro_202409_iptal</t>
        </is>
      </c>
      <c r="C1066" s="22" t="inlineStr">
        <is>
          <t>metro</t>
        </is>
      </c>
      <c r="D1066" s="22" t="inlineStr">
        <is>
          <t>Panel Mekanik</t>
        </is>
      </c>
      <c r="E1066" s="22" t="inlineStr">
        <is>
          <t>2024-12-03</t>
        </is>
      </c>
      <c r="F1066" s="22" t="inlineStr">
        <is>
          <t>Elektrikli termosifon 50 L (Baymak/Ariston)</t>
        </is>
      </c>
      <c r="G1066" s="22" t="inlineStr">
        <is>
          <t>Adet</t>
        </is>
      </c>
      <c r="H1066" s="63" t="n">
        <v>315.76</v>
      </c>
      <c r="I1066" s="22" t="inlineStr">
        <is>
          <t>EUR</t>
        </is>
      </c>
      <c r="J1066" s="22" t="inlineStr">
        <is>
          <t>M+İ</t>
        </is>
      </c>
      <c r="K1066" s="63" t="n">
        <v>331.93000822224</v>
      </c>
      <c r="L1066" s="22" t="inlineStr">
        <is>
          <t>5007.A</t>
        </is>
      </c>
      <c r="M1066" s="22" t="n">
        <v>1</v>
      </c>
      <c r="N1066" s="22" t="inlineStr">
        <is>
          <t>Kirazlı-Halkalı Üniversite metro (5 yeraltı istasyonu; iptal 2024-09) mekanik bütçe/teklif keşfi; EUR; birim fiyat = malzeme + işçilik + GGK (GGK birim fiyatta ayrı kolon, ~%30-35); HVAC cihazları (AHU, VRF, split, kompresör) İşveren temini – yalnız montaj. [malz 144.54 + işç 88.37 + GGK 82.85]</t>
        </is>
      </c>
    </row>
    <row r="1067">
      <c r="A1067" s="22" t="inlineStr">
        <is>
          <t>R06002</t>
        </is>
      </c>
      <c r="B1067" s="22" t="inlineStr">
        <is>
          <t>Kirazli_Halkali_Unv_Metro_202409_iptal</t>
        </is>
      </c>
      <c r="C1067" s="22" t="inlineStr">
        <is>
          <t>metro</t>
        </is>
      </c>
      <c r="D1067" s="22" t="inlineStr">
        <is>
          <t>Panel Mekanik</t>
        </is>
      </c>
      <c r="E1067" s="22" t="inlineStr">
        <is>
          <t>2024-12-03</t>
        </is>
      </c>
      <c r="F1067" s="22" t="inlineStr">
        <is>
          <t>Acil göz yıkama ünitesi duvar tipi ayak kumandalı (Okinox)</t>
        </is>
      </c>
      <c r="G1067" s="22" t="inlineStr">
        <is>
          <t>Adet</t>
        </is>
      </c>
      <c r="H1067" s="63" t="n">
        <v>2439.43</v>
      </c>
      <c r="I1067" s="22" t="inlineStr">
        <is>
          <t>EUR</t>
        </is>
      </c>
      <c r="J1067" s="22" t="inlineStr">
        <is>
          <t>M+İ</t>
        </is>
      </c>
      <c r="K1067" s="63" t="n">
        <v>2564.35273612104</v>
      </c>
      <c r="L1067" s="22" t="inlineStr">
        <is>
          <t>5007.A</t>
        </is>
      </c>
      <c r="M1067" s="22" t="n">
        <v>1</v>
      </c>
      <c r="N1067" s="22" t="inlineStr">
        <is>
          <t>Kirazlı-Halkalı Üniversite metro (5 yeraltı istasyonu; iptal 2024-09) mekanik bütçe/teklif keşfi; EUR; birim fiyat = malzeme + işçilik + GGK (GGK birim fiyatta ayrı kolon, ~%30-35); HVAC cihazları (AHU, VRF, split, kompresör) İşveren temini – yalnız montaj. [malz 1584.38 + işç 48.72 + GGK 806.34]</t>
        </is>
      </c>
    </row>
    <row r="1068">
      <c r="A1068" s="22" t="inlineStr">
        <is>
          <t>R06003</t>
        </is>
      </c>
      <c r="B1068" s="22" t="inlineStr">
        <is>
          <t>Kirazli_Halkali_Unv_Metro_202409_iptal</t>
        </is>
      </c>
      <c r="C1068" s="22" t="inlineStr">
        <is>
          <t>metro</t>
        </is>
      </c>
      <c r="D1068" s="22" t="inlineStr">
        <is>
          <t>Panel Mekanik</t>
        </is>
      </c>
      <c r="E1068" s="22" t="inlineStr">
        <is>
          <t>2024-12-03</t>
        </is>
      </c>
      <c r="F1068" s="22" t="inlineStr">
        <is>
          <t>Woltman su sayacı 4"</t>
        </is>
      </c>
      <c r="G1068" s="22" t="inlineStr">
        <is>
          <t>Adet</t>
        </is>
      </c>
      <c r="H1068" s="63" t="n">
        <v>506.69</v>
      </c>
      <c r="I1068" s="22" t="inlineStr">
        <is>
          <t>EUR</t>
        </is>
      </c>
      <c r="J1068" s="22" t="inlineStr">
        <is>
          <t>M+İ</t>
        </is>
      </c>
      <c r="K1068" s="63" t="n">
        <v>532.637496409066</v>
      </c>
      <c r="L1068" s="22" t="inlineStr"/>
      <c r="M1068" s="22" t="n">
        <v>1</v>
      </c>
      <c r="N1068" s="22" t="inlineStr">
        <is>
          <t>Kirazlı-Halkalı Üniversite metro (5 yeraltı istasyonu; iptal 2024-09) mekanik bütçe/teklif keşfi; EUR; birim fiyat = malzeme + işçilik + GGK (GGK birim fiyatta ayrı kolon, ~%30-35); HVAC cihazları (AHU, VRF, split, kompresör) İşveren temini – yalnız montaj. [malz 348.89 + işç 24.85 + GGK 132.95]</t>
        </is>
      </c>
    </row>
    <row r="1069">
      <c r="A1069" s="22" t="inlineStr">
        <is>
          <t>R06004</t>
        </is>
      </c>
      <c r="B1069" s="22" t="inlineStr">
        <is>
          <t>Kirazli_Halkali_Unv_Metro_202409_iptal</t>
        </is>
      </c>
      <c r="C1069" s="22" t="inlineStr">
        <is>
          <t>metro</t>
        </is>
      </c>
      <c r="D1069" s="22" t="inlineStr">
        <is>
          <t>Panel Mekanik</t>
        </is>
      </c>
      <c r="E1069" s="22" t="inlineStr">
        <is>
          <t>2024-12-03</t>
        </is>
      </c>
      <c r="F1069" s="22" t="inlineStr">
        <is>
          <t>Flatörlü seviye kontrol vanası 2"</t>
        </is>
      </c>
      <c r="G1069" s="22" t="inlineStr">
        <is>
          <t>Adet</t>
        </is>
      </c>
      <c r="H1069" s="63" t="n">
        <v>398.41</v>
      </c>
      <c r="I1069" s="22" t="inlineStr">
        <is>
          <t>EUR</t>
        </is>
      </c>
      <c r="J1069" s="22" t="inlineStr">
        <is>
          <t>M+İ</t>
        </is>
      </c>
      <c r="K1069" s="63" t="n">
        <v>418.812498656646</v>
      </c>
      <c r="L1069" s="22" t="inlineStr">
        <is>
          <t>5007.A</t>
        </is>
      </c>
      <c r="M1069" s="22" t="n">
        <v>1</v>
      </c>
      <c r="N1069" s="22" t="inlineStr">
        <is>
          <t>Kirazlı-Halkalı Üniversite metro (5 yeraltı istasyonu; iptal 2024-09) mekanik bütçe/teklif keşfi; EUR; birim fiyat = malzeme + işçilik + GGK (GGK birim fiyatta ayrı kolon, ~%30-35); HVAC cihazları (AHU, VRF, split, kompresör) İşveren temini – yalnız montaj. [malz 250.87 + işç 21.06 + GGK 126.48]</t>
        </is>
      </c>
    </row>
    <row r="1070">
      <c r="A1070" s="22" t="inlineStr">
        <is>
          <t>R06006</t>
        </is>
      </c>
      <c r="B1070" s="22" t="inlineStr">
        <is>
          <t>Kirazli_Halkali_Unv_Metro_202409_iptal</t>
        </is>
      </c>
      <c r="C1070" s="22" t="inlineStr">
        <is>
          <t>metro</t>
        </is>
      </c>
      <c r="D1070" s="22" t="inlineStr">
        <is>
          <t>Panel Mekanik</t>
        </is>
      </c>
      <c r="E1070" s="22" t="inlineStr">
        <is>
          <t>2024-12-03</t>
        </is>
      </c>
      <c r="F1070" s="22" t="inlineStr">
        <is>
          <t>PPRC boru al.folyo kaplı Ø20</t>
        </is>
      </c>
      <c r="G1070" s="22" t="inlineStr">
        <is>
          <t>Mt</t>
        </is>
      </c>
      <c r="H1070" s="63" t="n">
        <v>11.37</v>
      </c>
      <c r="I1070" s="22" t="inlineStr">
        <is>
          <t>EUR</t>
        </is>
      </c>
      <c r="J1070" s="22" t="inlineStr">
        <is>
          <t>M+İ</t>
        </is>
      </c>
      <c r="K1070" s="63" t="n">
        <v>11.9522554898875</v>
      </c>
      <c r="L1070" s="22" t="inlineStr">
        <is>
          <t>5007.A</t>
        </is>
      </c>
      <c r="M1070" s="22" t="n">
        <v>12</v>
      </c>
      <c r="N1070" s="22" t="inlineStr">
        <is>
          <t>Kirazlı-Halkalı Üniversite metro (5 yeraltı istasyonu; iptal 2024-09) mekanik bütçe/teklif keşfi; EUR; birim fiyat = malzeme + işçilik + GGK (GGK birim fiyatta ayrı kolon, ~%30-35); HVAC cihazları (AHU, VRF, split, kompresör) İşveren temini – yalnız montaj. [malz 1.76 + işç 6.63 + GGK 2.99]</t>
        </is>
      </c>
    </row>
    <row r="1071">
      <c r="A1071" s="22" t="inlineStr">
        <is>
          <t>R06007</t>
        </is>
      </c>
      <c r="B1071" s="22" t="inlineStr">
        <is>
          <t>Kirazli_Halkali_Unv_Metro_202409_iptal</t>
        </is>
      </c>
      <c r="C1071" s="22" t="inlineStr">
        <is>
          <t>metro</t>
        </is>
      </c>
      <c r="D1071" s="22" t="inlineStr">
        <is>
          <t>Panel Mekanik</t>
        </is>
      </c>
      <c r="E1071" s="22" t="inlineStr">
        <is>
          <t>2024-12-03</t>
        </is>
      </c>
      <c r="F1071" s="22" t="inlineStr">
        <is>
          <t>PPRC boru al.folyo kaplı Ø25</t>
        </is>
      </c>
      <c r="G1071" s="22" t="inlineStr">
        <is>
          <t>Mt</t>
        </is>
      </c>
      <c r="H1071" s="63" t="n">
        <v>12.93</v>
      </c>
      <c r="I1071" s="22" t="inlineStr">
        <is>
          <t>EUR</t>
        </is>
      </c>
      <c r="J1071" s="22" t="inlineStr">
        <is>
          <t>M+İ</t>
        </is>
      </c>
      <c r="K1071" s="63" t="n">
        <v>13.592142786653</v>
      </c>
      <c r="L1071" s="22" t="inlineStr">
        <is>
          <t>5007.A</t>
        </is>
      </c>
      <c r="M1071" s="22" t="n">
        <v>15</v>
      </c>
      <c r="N1071" s="22" t="inlineStr">
        <is>
          <t>Kirazlı-Halkalı Üniversite metro (5 yeraltı istasyonu; iptal 2024-09) mekanik bütçe/teklif keşfi; EUR; birim fiyat = malzeme + işçilik + GGK (GGK birim fiyatta ayrı kolon, ~%30-35); HVAC cihazları (AHU, VRF, split, kompresör) İşveren temini – yalnız montaj. [malz 2.91 + işç 6.63 + GGK 3.39]</t>
        </is>
      </c>
    </row>
    <row r="1072">
      <c r="A1072" s="22" t="inlineStr">
        <is>
          <t>R06009</t>
        </is>
      </c>
      <c r="B1072" s="22" t="inlineStr">
        <is>
          <t>Kirazli_Halkali_Unv_Metro_202409_iptal</t>
        </is>
      </c>
      <c r="C1072" s="22" t="inlineStr">
        <is>
          <t>metro</t>
        </is>
      </c>
      <c r="D1072" s="22" t="inlineStr">
        <is>
          <t>Panel Mekanik</t>
        </is>
      </c>
      <c r="E1072" s="22" t="inlineStr">
        <is>
          <t>2024-12-03</t>
        </is>
      </c>
      <c r="F1072" s="22" t="inlineStr">
        <is>
          <t>Süzgeç 15x15x30 Ø70</t>
        </is>
      </c>
      <c r="G1072" s="22" t="inlineStr">
        <is>
          <t>Adet</t>
        </is>
      </c>
      <c r="H1072" s="63" t="n">
        <v>37.1</v>
      </c>
      <c r="I1072" s="22" t="inlineStr">
        <is>
          <t>EUR</t>
        </is>
      </c>
      <c r="J1072" s="22" t="inlineStr">
        <is>
          <t>M+İ</t>
        </is>
      </c>
      <c r="K1072" s="63" t="n">
        <v>38.9998837884631</v>
      </c>
      <c r="L1072" s="22" t="inlineStr">
        <is>
          <t>5008.A</t>
        </is>
      </c>
      <c r="M1072" s="22" t="n">
        <v>4</v>
      </c>
      <c r="N1072" s="22" t="inlineStr">
        <is>
          <t>Kirazlı-Halkalı Üniversite metro (5 yeraltı istasyonu; iptal 2024-09) mekanik bütçe/teklif keşfi; EUR; birim fiyat = malzeme + işçilik + GGK (GGK birim fiyatta ayrı kolon, ~%30-35); HVAC cihazları (AHU, VRF, split, kompresör) İşveren temini – yalnız montaj. [malz 6.73 + işç 16.57 + GGK 13.80]</t>
        </is>
      </c>
    </row>
    <row r="1073">
      <c r="A1073" s="22" t="inlineStr">
        <is>
          <t>R06010</t>
        </is>
      </c>
      <c r="B1073" s="22" t="inlineStr">
        <is>
          <t>Kirazli_Halkali_Unv_Metro_202409_iptal</t>
        </is>
      </c>
      <c r="C1073" s="22" t="inlineStr">
        <is>
          <t>metro</t>
        </is>
      </c>
      <c r="D1073" s="22" t="inlineStr">
        <is>
          <t>Panel Mekanik</t>
        </is>
      </c>
      <c r="E1073" s="22" t="inlineStr">
        <is>
          <t>2024-12-03</t>
        </is>
      </c>
      <c r="F1073" s="22" t="inlineStr">
        <is>
          <t>Süzgeç 20x20x30 Ø100</t>
        </is>
      </c>
      <c r="G1073" s="22" t="inlineStr">
        <is>
          <t>Adet</t>
        </is>
      </c>
      <c r="H1073" s="63" t="n">
        <v>39.58</v>
      </c>
      <c r="I1073" s="22" t="inlineStr">
        <is>
          <t>EUR</t>
        </is>
      </c>
      <c r="J1073" s="22" t="inlineStr">
        <is>
          <t>M+İ</t>
        </is>
      </c>
      <c r="K1073" s="63" t="n">
        <v>41.606884106398</v>
      </c>
      <c r="L1073" s="22" t="inlineStr">
        <is>
          <t>5006.A</t>
        </is>
      </c>
      <c r="M1073" s="22" t="n">
        <v>6</v>
      </c>
      <c r="N1073" s="22" t="inlineStr">
        <is>
          <t>Kirazlı-Halkalı Üniversite metro (5 yeraltı istasyonu; iptal 2024-09) mekanik bütçe/teklif keşfi; EUR; birim fiyat = malzeme + işçilik + GGK (GGK birim fiyatta ayrı kolon, ~%30-35); HVAC cihazları (AHU, VRF, split, kompresör) İşveren temini – yalnız montaj. [malz 7.59 + işç 16.57 + GGK 15.42]</t>
        </is>
      </c>
    </row>
    <row r="1074">
      <c r="A1074" s="22" t="inlineStr">
        <is>
          <t>R06011</t>
        </is>
      </c>
      <c r="B1074" s="22" t="inlineStr">
        <is>
          <t>Kirazli_Halkali_Unv_Metro_202409_iptal</t>
        </is>
      </c>
      <c r="C1074" s="22" t="inlineStr">
        <is>
          <t>metro</t>
        </is>
      </c>
      <c r="D1074" s="22" t="inlineStr">
        <is>
          <t>Panel Mekanik</t>
        </is>
      </c>
      <c r="E1074" s="22" t="inlineStr">
        <is>
          <t>2024-12-03</t>
        </is>
      </c>
      <c r="F1074" s="22" t="inlineStr">
        <is>
          <t>Parapet tip süzgeç Ø100</t>
        </is>
      </c>
      <c r="G1074" s="22" t="inlineStr">
        <is>
          <t>Adet</t>
        </is>
      </c>
      <c r="H1074" s="63" t="n">
        <v>28.88</v>
      </c>
      <c r="I1074" s="22" t="inlineStr">
        <is>
          <t>EUR</t>
        </is>
      </c>
      <c r="J1074" s="22" t="inlineStr">
        <is>
          <t>M+İ</t>
        </is>
      </c>
      <c r="K1074" s="63" t="n">
        <v>30.3589391862753</v>
      </c>
      <c r="L1074" s="22" t="inlineStr">
        <is>
          <t>5006.H</t>
        </is>
      </c>
      <c r="M1074" s="22" t="n">
        <v>3</v>
      </c>
      <c r="N1074" s="22" t="inlineStr">
        <is>
          <t>Kirazlı-Halkalı Üniversite metro (5 yeraltı istasyonu; iptal 2024-09) mekanik bütçe/teklif keşfi; EUR; birim fiyat = malzeme + işçilik + GGK (GGK birim fiyatta ayrı kolon, ~%30-35); HVAC cihazları (AHU, VRF, split, kompresör) İşveren temini – yalnız montaj. [malz 4.03 + işç 16.57 + GGK 8.28]</t>
        </is>
      </c>
    </row>
    <row r="1075">
      <c r="A1075" s="22" t="inlineStr">
        <is>
          <t>R06020</t>
        </is>
      </c>
      <c r="B1075" s="22" t="inlineStr">
        <is>
          <t>Mezitli_3_Ocak_HRS_Metro</t>
        </is>
      </c>
      <c r="C1075" s="22" t="inlineStr">
        <is>
          <t>metro</t>
        </is>
      </c>
      <c r="D1075" s="22" t="inlineStr">
        <is>
          <t>Venco Havalandırma Yedek Parça Makina San. ve Tic. A.Ş.</t>
        </is>
      </c>
      <c r="E1075" s="22" t="inlineStr">
        <is>
          <t>2021-01-19</t>
        </is>
      </c>
      <c r="F1075" s="22" t="inlineStr">
        <is>
          <t>Venco CK 125 C yuvarlak kanal tipi radyal fan (~100-200 m³/h)</t>
        </is>
      </c>
      <c r="G1075" s="22" t="inlineStr">
        <is>
          <t>adet</t>
        </is>
      </c>
      <c r="H1075" s="63" t="n">
        <v>48.6</v>
      </c>
      <c r="I1075" s="22" t="inlineStr">
        <is>
          <t>EUR</t>
        </is>
      </c>
      <c r="J1075" s="22" t="inlineStr"/>
      <c r="K1075" s="63" t="n">
        <v>61.6393218571971</v>
      </c>
      <c r="L1075" s="22" t="inlineStr">
        <is>
          <t>6002.B</t>
        </is>
      </c>
      <c r="M1075" s="22" t="n">
        <v>4</v>
      </c>
      <c r="N1075" s="22" t="inlineStr">
        <is>
          <t>Mersin Mezitli metro fan teklifi (Doğuş); fan fiyatı, montaj hariç.</t>
        </is>
      </c>
    </row>
    <row r="1076">
      <c r="A1076" s="22" t="inlineStr">
        <is>
          <t>R06021</t>
        </is>
      </c>
      <c r="B1076" s="22" t="inlineStr">
        <is>
          <t>Mezitli_3_Ocak_HRS_Metro</t>
        </is>
      </c>
      <c r="C1076" s="22" t="inlineStr">
        <is>
          <t>metro</t>
        </is>
      </c>
      <c r="D1076" s="22" t="inlineStr">
        <is>
          <t>Venco Havalandırma Yedek Parça Makina San. ve Tic. A.Ş.</t>
        </is>
      </c>
      <c r="E1076" s="22" t="inlineStr">
        <is>
          <t>2021-01-19</t>
        </is>
      </c>
      <c r="F1076" s="22" t="inlineStr">
        <is>
          <t>Venco CK 315 B yuvarlak kanal tipi radyal fan 1.091 m³/h 149 Pa</t>
        </is>
      </c>
      <c r="G1076" s="22" t="inlineStr">
        <is>
          <t>adet</t>
        </is>
      </c>
      <c r="H1076" s="63" t="n">
        <v>94.95</v>
      </c>
      <c r="I1076" s="22" t="inlineStr">
        <is>
          <t>EUR</t>
        </is>
      </c>
      <c r="J1076" s="22" t="inlineStr"/>
      <c r="K1076" s="63" t="n">
        <v>120.424971406191</v>
      </c>
      <c r="L1076" s="22" t="inlineStr">
        <is>
          <t>6002.B</t>
        </is>
      </c>
      <c r="M1076" s="22" t="n">
        <v>1</v>
      </c>
      <c r="N1076" s="22" t="inlineStr">
        <is>
          <t>Mersin Mezitli metro fan teklifi (Doğuş); fan fiyatı, montaj hariç.</t>
        </is>
      </c>
    </row>
    <row r="1077">
      <c r="A1077" s="22" t="inlineStr">
        <is>
          <t>R06025</t>
        </is>
      </c>
      <c r="B1077" s="22" t="inlineStr">
        <is>
          <t>Mezitli_3_Ocak_HRS_Metro</t>
        </is>
      </c>
      <c r="C1077" s="22" t="inlineStr">
        <is>
          <t>metro</t>
        </is>
      </c>
      <c r="D1077" s="22" t="inlineStr">
        <is>
          <t>Daikin bayi (gönderen Seher Maltepe; ref T-7310)</t>
        </is>
      </c>
      <c r="E1077" s="22" t="inlineStr">
        <is>
          <t>2021-02-01</t>
        </is>
      </c>
      <c r="F1077" s="22" t="inlineStr">
        <is>
          <t>Daikin FTXF25 9.000 BTU (2,5 kW) Sensira inverter split duvar tipi (dış ünite dahil)</t>
        </is>
      </c>
      <c r="G1077" s="22" t="inlineStr">
        <is>
          <t>adet</t>
        </is>
      </c>
      <c r="H1077" s="63" t="n">
        <v>3798.78</v>
      </c>
      <c r="I1077" s="22" t="inlineStr">
        <is>
          <t>TRY</t>
        </is>
      </c>
      <c r="J1077" s="22" t="inlineStr"/>
      <c r="K1077" s="63" t="n">
        <v>553.26056335779</v>
      </c>
      <c r="L1077" s="22" t="inlineStr">
        <is>
          <t>6001.A</t>
        </is>
      </c>
      <c r="M1077" s="22" t="n">
        <v>6</v>
      </c>
      <c r="N1077" s="22" t="inlineStr">
        <is>
          <t>Mersin Mezitli metro (Doğuş) split ve multi klima teklifi; "özel fiyat" net cihaz fiyatı (liste fiyatından ~%32 indirim), montaj ve KDV hariç; toplam 1.713.214 TL+KDV. liste 5.586,44 TL</t>
        </is>
      </c>
    </row>
    <row r="1078">
      <c r="A1078" s="22" t="inlineStr">
        <is>
          <t>R06026</t>
        </is>
      </c>
      <c r="B1078" s="22" t="inlineStr">
        <is>
          <t>Mezitli_3_Ocak_HRS_Metro</t>
        </is>
      </c>
      <c r="C1078" s="22" t="inlineStr">
        <is>
          <t>metro</t>
        </is>
      </c>
      <c r="D1078" s="22" t="inlineStr">
        <is>
          <t>Daikin bayi (gönderen Seher Maltepe; ref T-7310)</t>
        </is>
      </c>
      <c r="E1078" s="22" t="inlineStr">
        <is>
          <t>2021-02-01</t>
        </is>
      </c>
      <c r="F1078" s="22" t="inlineStr">
        <is>
          <t>Daikin FTXF35 12.000 BTU (3,5 kW) Sensira inverter split</t>
        </is>
      </c>
      <c r="G1078" s="22" t="inlineStr">
        <is>
          <t>adet</t>
        </is>
      </c>
      <c r="H1078" s="63" t="n">
        <v>4333.56</v>
      </c>
      <c r="I1078" s="22" t="inlineStr">
        <is>
          <t>TRY</t>
        </is>
      </c>
      <c r="J1078" s="22" t="inlineStr"/>
      <c r="K1078" s="63" t="n">
        <v>631.146801590191</v>
      </c>
      <c r="L1078" s="22" t="inlineStr">
        <is>
          <t>6001.H</t>
        </is>
      </c>
      <c r="M1078" s="22" t="n">
        <v>3</v>
      </c>
      <c r="N1078" s="22" t="inlineStr">
        <is>
          <t>Mersin Mezitli metro (Doğuş) split ve multi klima teklifi; "özel fiyat" net cihaz fiyatı (liste fiyatından ~%32 indirim), montaj ve KDV hariç; toplam 1.713.214 TL+KDV. liste 6.372,88 TL</t>
        </is>
      </c>
    </row>
    <row r="1079">
      <c r="A1079" s="22" t="inlineStr">
        <is>
          <t>R06027</t>
        </is>
      </c>
      <c r="B1079" s="22" t="inlineStr">
        <is>
          <t>Mezitli_3_Ocak_HRS_Metro</t>
        </is>
      </c>
      <c r="C1079" s="22" t="inlineStr">
        <is>
          <t>metro</t>
        </is>
      </c>
      <c r="D1079" s="22" t="inlineStr">
        <is>
          <t>Daikin bayi (gönderen Seher Maltepe; ref T-7310)</t>
        </is>
      </c>
      <c r="E1079" s="22" t="inlineStr">
        <is>
          <t>2021-02-01</t>
        </is>
      </c>
      <c r="F1079" s="22" t="inlineStr">
        <is>
          <t>Daikin FTXF50 18.000 BTU (5 kW) Sensira inverter split</t>
        </is>
      </c>
      <c r="G1079" s="22" t="inlineStr">
        <is>
          <t>adet</t>
        </is>
      </c>
      <c r="H1079" s="63" t="n">
        <v>6896.81</v>
      </c>
      <c r="I1079" s="22" t="inlineStr">
        <is>
          <t>TRY</t>
        </is>
      </c>
      <c r="J1079" s="22" t="inlineStr"/>
      <c r="K1079" s="63" t="n">
        <v>1004.46274487379</v>
      </c>
      <c r="L1079" s="22" t="inlineStr">
        <is>
          <t>6001.A</t>
        </is>
      </c>
      <c r="M1079" s="22" t="n">
        <v>6</v>
      </c>
      <c r="N1079" s="22" t="inlineStr">
        <is>
          <t>Mersin Mezitli metro (Doğuş) split ve multi klima teklifi; "özel fiyat" net cihaz fiyatı (liste fiyatından ~%32 indirim), montaj ve KDV hariç; toplam 1.713.214 TL+KDV. liste 10.142,37 TL</t>
        </is>
      </c>
    </row>
    <row r="1080">
      <c r="A1080" s="22" t="inlineStr">
        <is>
          <t>R06056</t>
        </is>
      </c>
      <c r="B1080" s="22" t="inlineStr">
        <is>
          <t>SamsunLRT (_Genel: Antalya HRS atölye referansı)</t>
        </is>
      </c>
      <c r="C1080" s="22" t="inlineStr">
        <is>
          <t>tramvay</t>
        </is>
      </c>
      <c r="D1080" s="22" t="inlineStr">
        <is>
          <t>bilinmiyor (Samsun LRT dosyasında referans Antalya HRS atölye mekanik keşif/teklifi; muhtemelen İMTEKS)</t>
        </is>
      </c>
      <c r="E1080" s="22" t="inlineStr">
        <is>
          <t>2008-03-13</t>
        </is>
      </c>
      <c r="F1080" s="22" t="inlineStr">
        <is>
          <t>Culligan tam otomatik su yumuşatma cihazı</t>
        </is>
      </c>
      <c r="G1080" s="22" t="inlineStr">
        <is>
          <t>Ad.</t>
        </is>
      </c>
      <c r="H1080" s="63" t="n">
        <v>44000</v>
      </c>
      <c r="I1080" s="22" t="inlineStr">
        <is>
          <t>TRY</t>
        </is>
      </c>
      <c r="J1080" s="22" t="inlineStr">
        <is>
          <t>M+İ</t>
        </is>
      </c>
      <c r="K1080" s="63" t="n">
        <v>33480.6571585079</v>
      </c>
      <c r="L1080" s="22" t="inlineStr">
        <is>
          <t>5007.A</t>
        </is>
      </c>
      <c r="M1080" s="22" t="n">
        <v>1</v>
      </c>
      <c r="N1080" s="22" t="inlineStr">
        <is>
          <t>Antalya Hafif Raylı Sistem tamir-bakım atölyesi (depo) + 2 istasyon mekanik tesisat; YTL (2008, nominal TL ile eşdeğer); tarih=dosya tarihi. kapasite belirtilmemiş</t>
        </is>
      </c>
    </row>
    <row r="1081">
      <c r="A1081" s="22" t="inlineStr">
        <is>
          <t>R06066</t>
        </is>
      </c>
      <c r="B1081" s="22" t="inlineStr">
        <is>
          <t>SamsunLRT (_Genel: Antalya HRS atölye referansı)</t>
        </is>
      </c>
      <c r="C1081" s="22" t="inlineStr">
        <is>
          <t>tramvay</t>
        </is>
      </c>
      <c r="D1081" s="22" t="inlineStr">
        <is>
          <t>bilinmiyor (Samsun LRT dosyasında referans Antalya HRS atölye mekanik keşif/teklifi; muhtemelen İMTEKS)</t>
        </is>
      </c>
      <c r="E1081" s="22" t="inlineStr">
        <is>
          <t>2008-03-13</t>
        </is>
      </c>
      <c r="F1081" s="22" t="inlineStr">
        <is>
          <t>Galvaniz boru 3" (basınçlı hava)</t>
        </is>
      </c>
      <c r="G1081" s="22" t="inlineStr">
        <is>
          <t>mt</t>
        </is>
      </c>
      <c r="H1081" s="63" t="n">
        <v>35</v>
      </c>
      <c r="I1081" s="22" t="inlineStr">
        <is>
          <t>TRY</t>
        </is>
      </c>
      <c r="J1081" s="22" t="inlineStr">
        <is>
          <t>M+İ</t>
        </is>
      </c>
      <c r="K1081" s="63" t="n">
        <v>26.6323409215404</v>
      </c>
      <c r="L1081" s="22" t="inlineStr">
        <is>
          <t>5009.A</t>
        </is>
      </c>
      <c r="M1081" s="22" t="n">
        <v>1</v>
      </c>
      <c r="N1081" s="22" t="inlineStr">
        <is>
          <t>Antalya Hafif Raylı Sistem tamir-bakım atölyesi (depo) + 2 istasyon mekanik tesisat; YTL (2008, nominal TL ile eşdeğer); tarih=dosya tarihi.</t>
        </is>
      </c>
    </row>
    <row r="1082">
      <c r="A1082" s="22" t="inlineStr">
        <is>
          <t>R06082</t>
        </is>
      </c>
      <c r="B1082" s="22" t="inlineStr">
        <is>
          <t>Siirt_Kurtalan_Demiryolu</t>
        </is>
      </c>
      <c r="C1082" s="22" t="inlineStr">
        <is>
          <t>anahat</t>
        </is>
      </c>
      <c r="D1082" s="22" t="inlineStr">
        <is>
          <t>Yamaner Grup</t>
        </is>
      </c>
      <c r="E1082" s="22" t="inlineStr">
        <is>
          <t>2025-06-13</t>
        </is>
      </c>
      <c r="F1082" s="22" t="inlineStr">
        <is>
          <t>40x50 tezgah altı/üstü oval lavabo</t>
        </is>
      </c>
      <c r="G1082" s="22" t="inlineStr">
        <is>
          <t>AD</t>
        </is>
      </c>
      <c r="H1082" s="63" t="n">
        <v>5282.86</v>
      </c>
      <c r="I1082" s="22" t="inlineStr">
        <is>
          <t>TRY</t>
        </is>
      </c>
      <c r="J1082" s="22" t="inlineStr"/>
      <c r="K1082" s="63" t="n">
        <v>120.404941769102</v>
      </c>
      <c r="L1082" s="22" t="inlineStr">
        <is>
          <t>5007.A</t>
        </is>
      </c>
      <c r="M1082" s="22" t="n">
        <v>3</v>
      </c>
      <c r="N1082" s="22" t="inlineStr">
        <is>
          <t>Siirt-Kurtalan demiryolu 1 istasyon binası mekanik tesisat teklifi (malzeme+işçilik birim fiyat, KDV hariç, mobilizasyon/sigorta hariç; kamp/konaklama dahil); tarih=dosya tarihi (2025-06). batarya ayrı</t>
        </is>
      </c>
    </row>
    <row r="1083">
      <c r="A1083" s="22" t="inlineStr">
        <is>
          <t>R06083</t>
        </is>
      </c>
      <c r="B1083" s="22" t="inlineStr">
        <is>
          <t>Siirt_Kurtalan_Demiryolu</t>
        </is>
      </c>
      <c r="C1083" s="22" t="inlineStr">
        <is>
          <t>anahat</t>
        </is>
      </c>
      <c r="D1083" s="22" t="inlineStr">
        <is>
          <t>Yamaner Grup</t>
        </is>
      </c>
      <c r="E1083" s="22" t="inlineStr">
        <is>
          <t>2025-06-13</t>
        </is>
      </c>
      <c r="F1083" s="22" t="inlineStr">
        <is>
          <t>Bedensel engelli klozet seti (35x70)</t>
        </is>
      </c>
      <c r="G1083" s="22" t="inlineStr">
        <is>
          <t>TK</t>
        </is>
      </c>
      <c r="H1083" s="63" t="n">
        <v>17845.33</v>
      </c>
      <c r="I1083" s="22" t="inlineStr">
        <is>
          <t>TRY</t>
        </is>
      </c>
      <c r="J1083" s="22" t="inlineStr"/>
      <c r="K1083" s="63" t="n">
        <v>406.723994105543</v>
      </c>
      <c r="L1083" s="22" t="inlineStr">
        <is>
          <t>5007.A</t>
        </is>
      </c>
      <c r="M1083" s="22" t="n">
        <v>1</v>
      </c>
      <c r="N1083" s="22" t="inlineStr">
        <is>
          <t>Siirt-Kurtalan demiryolu 1 istasyon binası mekanik tesisat teklifi (malzeme+işçilik birim fiyat, KDV hariç, mobilizasyon/sigorta hariç; kamp/konaklama dahil); tarih=dosya tarihi (2025-06).</t>
        </is>
      </c>
    </row>
    <row r="1084">
      <c r="A1084" s="22" t="inlineStr">
        <is>
          <t>R06086</t>
        </is>
      </c>
      <c r="B1084" s="22" t="inlineStr">
        <is>
          <t>Siirt_Kurtalan_Demiryolu</t>
        </is>
      </c>
      <c r="C1084" s="22" t="inlineStr">
        <is>
          <t>anahat</t>
        </is>
      </c>
      <c r="D1084" s="22" t="inlineStr">
        <is>
          <t>Yamaner Grup</t>
        </is>
      </c>
      <c r="E1084" s="22" t="inlineStr">
        <is>
          <t>2025-06-13</t>
        </is>
      </c>
      <c r="F1084" s="22" t="inlineStr">
        <is>
          <t>Paslanmaz eviye 50x50x15 tek gözlü</t>
        </is>
      </c>
      <c r="G1084" s="22" t="inlineStr">
        <is>
          <t>AD</t>
        </is>
      </c>
      <c r="H1084" s="63" t="n">
        <v>11020.43</v>
      </c>
      <c r="I1084" s="22" t="inlineStr">
        <is>
          <t>TRY</t>
        </is>
      </c>
      <c r="J1084" s="22" t="inlineStr"/>
      <c r="K1084" s="63" t="n">
        <v>251.173461424392</v>
      </c>
      <c r="L1084" s="22" t="inlineStr">
        <is>
          <t>5007.A</t>
        </is>
      </c>
      <c r="M1084" s="22" t="n">
        <v>3</v>
      </c>
      <c r="N1084" s="22" t="inlineStr">
        <is>
          <t>Siirt-Kurtalan demiryolu 1 istasyon binası mekanik tesisat teklifi (malzeme+işçilik birim fiyat, KDV hariç, mobilizasyon/sigorta hariç; kamp/konaklama dahil); tarih=dosya tarihi (2025-06).</t>
        </is>
      </c>
    </row>
    <row r="1085">
      <c r="A1085" s="22" t="inlineStr">
        <is>
          <t>R06087</t>
        </is>
      </c>
      <c r="B1085" s="22" t="inlineStr">
        <is>
          <t>Siirt_Kurtalan_Demiryolu</t>
        </is>
      </c>
      <c r="C1085" s="22" t="inlineStr">
        <is>
          <t>anahat</t>
        </is>
      </c>
      <c r="D1085" s="22" t="inlineStr">
        <is>
          <t>Yamaner Grup</t>
        </is>
      </c>
      <c r="E1085" s="22" t="inlineStr">
        <is>
          <t>2025-06-13</t>
        </is>
      </c>
      <c r="F1085" s="22" t="inlineStr">
        <is>
          <t>Bir gözlü eviye tesisatı bataryalı</t>
        </is>
      </c>
      <c r="G1085" s="22" t="inlineStr">
        <is>
          <t>AD</t>
        </is>
      </c>
      <c r="H1085" s="63" t="n">
        <v>9006.17</v>
      </c>
      <c r="I1085" s="22" t="inlineStr">
        <is>
          <t>TRY</t>
        </is>
      </c>
      <c r="J1085" s="22" t="inlineStr"/>
      <c r="K1085" s="63" t="n">
        <v>205.265211346247</v>
      </c>
      <c r="L1085" s="22" t="inlineStr">
        <is>
          <t>5007.A</t>
        </is>
      </c>
      <c r="M1085" s="22" t="n">
        <v>1</v>
      </c>
      <c r="N1085" s="22" t="inlineStr">
        <is>
          <t>Siirt-Kurtalan demiryolu 1 istasyon binası mekanik tesisat teklifi (malzeme+işçilik birim fiyat, KDV hariç, mobilizasyon/sigorta hariç; kamp/konaklama dahil); tarih=dosya tarihi (2025-06).</t>
        </is>
      </c>
    </row>
    <row r="1086">
      <c r="A1086" s="22" t="inlineStr">
        <is>
          <t>R06088</t>
        </is>
      </c>
      <c r="B1086" s="22" t="inlineStr">
        <is>
          <t>Siirt_Kurtalan_Demiryolu</t>
        </is>
      </c>
      <c r="C1086" s="22" t="inlineStr">
        <is>
          <t>anahat</t>
        </is>
      </c>
      <c r="D1086" s="22" t="inlineStr">
        <is>
          <t>Yamaner Grup</t>
        </is>
      </c>
      <c r="E1086" s="22" t="inlineStr">
        <is>
          <t>2025-06-13</t>
        </is>
      </c>
      <c r="F1086" s="22" t="inlineStr">
        <is>
          <t>Akrilik duş teknesi 80x80x11</t>
        </is>
      </c>
      <c r="G1086" s="22" t="inlineStr">
        <is>
          <t>AD</t>
        </is>
      </c>
      <c r="H1086" s="63" t="n">
        <v>20658.96</v>
      </c>
      <c r="I1086" s="22" t="inlineStr">
        <is>
          <t>TRY</t>
        </is>
      </c>
      <c r="J1086" s="22" t="inlineStr"/>
      <c r="K1086" s="63" t="n">
        <v>470.851182088908</v>
      </c>
      <c r="L1086" s="22" t="inlineStr">
        <is>
          <t>5007.A</t>
        </is>
      </c>
      <c r="M1086" s="22" t="n">
        <v>1</v>
      </c>
      <c r="N1086" s="22" t="inlineStr">
        <is>
          <t>Siirt-Kurtalan demiryolu 1 istasyon binası mekanik tesisat teklifi (malzeme+işçilik birim fiyat, KDV hariç, mobilizasyon/sigorta hariç; kamp/konaklama dahil); tarih=dosya tarihi (2025-06).</t>
        </is>
      </c>
    </row>
    <row r="1087">
      <c r="A1087" s="22" t="inlineStr">
        <is>
          <t>R06089</t>
        </is>
      </c>
      <c r="B1087" s="22" t="inlineStr">
        <is>
          <t>Siirt_Kurtalan_Demiryolu</t>
        </is>
      </c>
      <c r="C1087" s="22" t="inlineStr">
        <is>
          <t>anahat</t>
        </is>
      </c>
      <c r="D1087" s="22" t="inlineStr">
        <is>
          <t>Yamaner Grup</t>
        </is>
      </c>
      <c r="E1087" s="22" t="inlineStr">
        <is>
          <t>2025-06-13</t>
        </is>
      </c>
      <c r="F1087" s="22" t="inlineStr">
        <is>
          <t>Komple banyo bataryası (duş borusu + duş başı)</t>
        </is>
      </c>
      <c r="G1087" s="22" t="inlineStr">
        <is>
          <t>TK</t>
        </is>
      </c>
      <c r="H1087" s="63" t="n">
        <v>15800.27</v>
      </c>
      <c r="I1087" s="22" t="inlineStr">
        <is>
          <t>TRY</t>
        </is>
      </c>
      <c r="J1087" s="22" t="inlineStr"/>
      <c r="K1087" s="63" t="n">
        <v>360.113762107284</v>
      </c>
      <c r="L1087" s="22" t="inlineStr">
        <is>
          <t>5007.A</t>
        </is>
      </c>
      <c r="M1087" s="22" t="n">
        <v>1</v>
      </c>
      <c r="N1087" s="22" t="inlineStr">
        <is>
          <t>Siirt-Kurtalan demiryolu 1 istasyon binası mekanik tesisat teklifi (malzeme+işçilik birim fiyat, KDV hariç, mobilizasyon/sigorta hariç; kamp/konaklama dahil); tarih=dosya tarihi (2025-06).</t>
        </is>
      </c>
    </row>
    <row r="1088">
      <c r="A1088" s="22" t="inlineStr">
        <is>
          <t>R06091</t>
        </is>
      </c>
      <c r="B1088" s="22" t="inlineStr">
        <is>
          <t>Siirt_Kurtalan_Demiryolu</t>
        </is>
      </c>
      <c r="C1088" s="22" t="inlineStr">
        <is>
          <t>anahat</t>
        </is>
      </c>
      <c r="D1088" s="22" t="inlineStr">
        <is>
          <t>Yamaner Grup</t>
        </is>
      </c>
      <c r="E1088" s="22" t="inlineStr">
        <is>
          <t>2025-06-13</t>
        </is>
      </c>
      <c r="F1088" s="22" t="inlineStr">
        <is>
          <t>Çift kumandalı lavabo bataryası</t>
        </is>
      </c>
      <c r="G1088" s="22" t="inlineStr">
        <is>
          <t>AD</t>
        </is>
      </c>
      <c r="H1088" s="63" t="n">
        <v>4521.64</v>
      </c>
      <c r="I1088" s="22" t="inlineStr">
        <is>
          <t>TRY</t>
        </is>
      </c>
      <c r="J1088" s="22" t="inlineStr"/>
      <c r="K1088" s="63" t="n">
        <v>103.05550419675</v>
      </c>
      <c r="L1088" s="22" t="inlineStr">
        <is>
          <t>5007.A</t>
        </is>
      </c>
      <c r="M1088" s="22" t="n">
        <v>5</v>
      </c>
      <c r="N1088" s="22" t="inlineStr">
        <is>
          <t>Siirt-Kurtalan demiryolu 1 istasyon binası mekanik tesisat teklifi (malzeme+işçilik birim fiyat, KDV hariç, mobilizasyon/sigorta hariç; kamp/konaklama dahil); tarih=dosya tarihi (2025-06).</t>
        </is>
      </c>
    </row>
    <row r="1089">
      <c r="A1089" s="22" t="inlineStr">
        <is>
          <t>R06092</t>
        </is>
      </c>
      <c r="B1089" s="22" t="inlineStr">
        <is>
          <t>Siirt_Kurtalan_Demiryolu</t>
        </is>
      </c>
      <c r="C1089" s="22" t="inlineStr">
        <is>
          <t>anahat</t>
        </is>
      </c>
      <c r="D1089" s="22" t="inlineStr">
        <is>
          <t>Yamaner Grup</t>
        </is>
      </c>
      <c r="E1089" s="22" t="inlineStr">
        <is>
          <t>2025-06-13</t>
        </is>
      </c>
      <c r="F1089" s="22" t="inlineStr">
        <is>
          <t>Engelli tutunma barı</t>
        </is>
      </c>
      <c r="G1089" s="22" t="inlineStr">
        <is>
          <t>AD</t>
        </is>
      </c>
      <c r="H1089" s="63" t="n">
        <v>2075.7</v>
      </c>
      <c r="I1089" s="22" t="inlineStr">
        <is>
          <t>TRY</t>
        </is>
      </c>
      <c r="J1089" s="22" t="inlineStr"/>
      <c r="K1089" s="63" t="n">
        <v>47.3085672590462</v>
      </c>
      <c r="L1089" s="22" t="inlineStr"/>
      <c r="M1089" s="22" t="n">
        <v>1</v>
      </c>
      <c r="N1089" s="22" t="inlineStr">
        <is>
          <t>Siirt-Kurtalan demiryolu 1 istasyon binası mekanik tesisat teklifi (malzeme+işçilik birim fiyat, KDV hariç, mobilizasyon/sigorta hariç; kamp/konaklama dahil); tarih=dosya tarihi (2025-06).</t>
        </is>
      </c>
    </row>
    <row r="1090">
      <c r="A1090" s="22" t="inlineStr">
        <is>
          <t>R06093</t>
        </is>
      </c>
      <c r="B1090" s="22" t="inlineStr">
        <is>
          <t>Siirt_Kurtalan_Demiryolu</t>
        </is>
      </c>
      <c r="C1090" s="22" t="inlineStr">
        <is>
          <t>anahat</t>
        </is>
      </c>
      <c r="D1090" s="22" t="inlineStr">
        <is>
          <t>Yamaner Grup</t>
        </is>
      </c>
      <c r="E1090" s="22" t="inlineStr">
        <is>
          <t>2025-06-13</t>
        </is>
      </c>
      <c r="F1090" s="22" t="inlineStr">
        <is>
          <t>Yer süzgeci pirinç kromajlı 15x15 Ø70</t>
        </is>
      </c>
      <c r="G1090" s="22" t="inlineStr">
        <is>
          <t>AD</t>
        </is>
      </c>
      <c r="H1090" s="63" t="n">
        <v>2177.6</v>
      </c>
      <c r="I1090" s="22" t="inlineStr">
        <is>
          <t>TRY</t>
        </is>
      </c>
      <c r="J1090" s="22" t="inlineStr"/>
      <c r="K1090" s="63" t="n">
        <v>49.6310334168228</v>
      </c>
      <c r="L1090" s="22" t="inlineStr">
        <is>
          <t>5008.A</t>
        </is>
      </c>
      <c r="M1090" s="22" t="n">
        <v>4</v>
      </c>
      <c r="N1090" s="22" t="inlineStr">
        <is>
          <t>Siirt-Kurtalan demiryolu 1 istasyon binası mekanik tesisat teklifi (malzeme+işçilik birim fiyat, KDV hariç, mobilizasyon/sigorta hariç; kamp/konaklama dahil); tarih=dosya tarihi (2025-06).</t>
        </is>
      </c>
    </row>
    <row r="1091">
      <c r="A1091" s="22" t="inlineStr">
        <is>
          <t>R06095</t>
        </is>
      </c>
      <c r="B1091" s="22" t="inlineStr">
        <is>
          <t>Siirt_Kurtalan_Demiryolu</t>
        </is>
      </c>
      <c r="C1091" s="22" t="inlineStr">
        <is>
          <t>anahat</t>
        </is>
      </c>
      <c r="D1091" s="22" t="inlineStr">
        <is>
          <t>Yamaner Grup</t>
        </is>
      </c>
      <c r="E1091" s="22" t="inlineStr">
        <is>
          <t>2025-06-13</t>
        </is>
      </c>
      <c r="F1091" s="22" t="inlineStr">
        <is>
          <t>12,5 m³ prizmatik modüler paslanmaz su deposu</t>
        </is>
      </c>
      <c r="G1091" s="22" t="inlineStr">
        <is>
          <t>AD</t>
        </is>
      </c>
      <c r="H1091" s="63" t="n">
        <v>347516.24</v>
      </c>
      <c r="I1091" s="22" t="inlineStr">
        <is>
          <t>TRY</t>
        </is>
      </c>
      <c r="J1091" s="22" t="inlineStr"/>
      <c r="K1091" s="63" t="n">
        <v>7920.45835797603</v>
      </c>
      <c r="L1091" s="22" t="inlineStr">
        <is>
          <t>5007.A</t>
        </is>
      </c>
      <c r="M1091" s="22" t="n">
        <v>1</v>
      </c>
      <c r="N1091" s="22" t="inlineStr">
        <is>
          <t>Siirt-Kurtalan demiryolu 1 istasyon binası mekanik tesisat teklifi (malzeme+işçilik birim fiyat, KDV hariç, mobilizasyon/sigorta hariç; kamp/konaklama dahil); tarih=dosya tarihi (2025-06). 12,5 m³</t>
        </is>
      </c>
    </row>
    <row r="1092">
      <c r="A1092" s="22" t="inlineStr">
        <is>
          <t>R06097</t>
        </is>
      </c>
      <c r="B1092" s="22" t="inlineStr">
        <is>
          <t>Siirt_Kurtalan_Demiryolu</t>
        </is>
      </c>
      <c r="C1092" s="22" t="inlineStr">
        <is>
          <t>anahat</t>
        </is>
      </c>
      <c r="D1092" s="22" t="inlineStr">
        <is>
          <t>Yamaner Grup</t>
        </is>
      </c>
      <c r="E1092" s="22" t="inlineStr">
        <is>
          <t>2025-06-13</t>
        </is>
      </c>
      <c r="F1092" s="22" t="inlineStr">
        <is>
          <t>İki pompalı frekans konvertörlü hidrofor 0-10 m³/h 30-60 mSS</t>
        </is>
      </c>
      <c r="G1092" s="22" t="inlineStr">
        <is>
          <t>AD</t>
        </is>
      </c>
      <c r="H1092" s="63" t="n">
        <v>315351.53</v>
      </c>
      <c r="I1092" s="22" t="inlineStr">
        <is>
          <t>TRY</t>
        </is>
      </c>
      <c r="J1092" s="22" t="inlineStr"/>
      <c r="K1092" s="63" t="n">
        <v>7187.37248506438</v>
      </c>
      <c r="L1092" s="22" t="inlineStr">
        <is>
          <t>5007.A</t>
        </is>
      </c>
      <c r="M1092" s="22" t="n">
        <v>2</v>
      </c>
      <c r="N1092" s="22" t="inlineStr">
        <is>
          <t>Siirt-Kurtalan demiryolu 1 istasyon binası mekanik tesisat teklifi (malzeme+işçilik birim fiyat, KDV hariç, mobilizasyon/sigorta hariç; kamp/konaklama dahil); tarih=dosya tarihi (2025-06).</t>
        </is>
      </c>
    </row>
    <row r="1093">
      <c r="A1093" s="22" t="inlineStr">
        <is>
          <t>R06098</t>
        </is>
      </c>
      <c r="B1093" s="22" t="inlineStr">
        <is>
          <t>Siirt_Kurtalan_Demiryolu</t>
        </is>
      </c>
      <c r="C1093" s="22" t="inlineStr">
        <is>
          <t>anahat</t>
        </is>
      </c>
      <c r="D1093" s="22" t="inlineStr">
        <is>
          <t>Yamaner Grup</t>
        </is>
      </c>
      <c r="E1093" s="22" t="inlineStr">
        <is>
          <t>2025-06-13</t>
        </is>
      </c>
      <c r="F1093" s="22" t="inlineStr">
        <is>
          <t>İki pompalı frekans konvertörlü hidrofor 10-30 m³/h 30-60 mSS (yangın)</t>
        </is>
      </c>
      <c r="G1093" s="22" t="inlineStr">
        <is>
          <t>AD</t>
        </is>
      </c>
      <c r="H1093" s="63" t="n">
        <v>417411.53</v>
      </c>
      <c r="I1093" s="22" t="inlineStr">
        <is>
          <t>TRY</t>
        </is>
      </c>
      <c r="J1093" s="22" t="inlineStr"/>
      <c r="K1093" s="63" t="n">
        <v>9513.4853021662</v>
      </c>
      <c r="L1093" s="22" t="inlineStr">
        <is>
          <t>5007.A</t>
        </is>
      </c>
      <c r="M1093" s="22" t="n">
        <v>1</v>
      </c>
      <c r="N1093" s="22" t="inlineStr">
        <is>
          <t>Siirt-Kurtalan demiryolu 1 istasyon binası mekanik tesisat teklifi (malzeme+işçilik birim fiyat, KDV hariç, mobilizasyon/sigorta hariç; kamp/konaklama dahil); tarih=dosya tarihi (2025-06). yangın tesisatı grubunda</t>
        </is>
      </c>
    </row>
    <row r="1094">
      <c r="A1094" s="22" t="inlineStr">
        <is>
          <t>R06100</t>
        </is>
      </c>
      <c r="B1094" s="22" t="inlineStr">
        <is>
          <t>Siirt_Kurtalan_Demiryolu</t>
        </is>
      </c>
      <c r="C1094" s="22" t="inlineStr">
        <is>
          <t>anahat</t>
        </is>
      </c>
      <c r="D1094" s="22" t="inlineStr">
        <is>
          <t>Yamaner Grup</t>
        </is>
      </c>
      <c r="E1094" s="22" t="inlineStr">
        <is>
          <t>2025-06-13</t>
        </is>
      </c>
      <c r="F1094" s="22" t="inlineStr">
        <is>
          <t>Dikişli galvaniz çelik boru ½" bina içi vidalı</t>
        </is>
      </c>
      <c r="G1094" s="22" t="inlineStr">
        <is>
          <t>MT</t>
        </is>
      </c>
      <c r="H1094" s="63" t="n">
        <v>702.34</v>
      </c>
      <c r="I1094" s="22" t="inlineStr">
        <is>
          <t>TRY</t>
        </is>
      </c>
      <c r="J1094" s="22" t="inlineStr"/>
      <c r="K1094" s="63" t="n">
        <v>16.0074669406555</v>
      </c>
      <c r="L1094" s="22" t="inlineStr">
        <is>
          <t>5009.A</t>
        </is>
      </c>
      <c r="M1094" s="22" t="n">
        <v>1</v>
      </c>
      <c r="N1094" s="22" t="inlineStr">
        <is>
          <t>Siirt-Kurtalan demiryolu 1 istasyon binası mekanik tesisat teklifi (malzeme+işçilik birim fiyat, KDV hariç, mobilizasyon/sigorta hariç; kamp/konaklama dahil); tarih=dosya tarihi (2025-06).</t>
        </is>
      </c>
    </row>
    <row r="1095">
      <c r="A1095" s="22" t="inlineStr">
        <is>
          <t>R06101</t>
        </is>
      </c>
      <c r="B1095" s="22" t="inlineStr">
        <is>
          <t>Siirt_Kurtalan_Demiryolu</t>
        </is>
      </c>
      <c r="C1095" s="22" t="inlineStr">
        <is>
          <t>anahat</t>
        </is>
      </c>
      <c r="D1095" s="22" t="inlineStr">
        <is>
          <t>Yamaner Grup</t>
        </is>
      </c>
      <c r="E1095" s="22" t="inlineStr">
        <is>
          <t>2025-06-13</t>
        </is>
      </c>
      <c r="F1095" s="22" t="inlineStr">
        <is>
          <t>Dikişli galvaniz çelik boru 1" bina içi vidalı</t>
        </is>
      </c>
      <c r="G1095" s="22" t="inlineStr">
        <is>
          <t>MT</t>
        </is>
      </c>
      <c r="H1095" s="63" t="n">
        <v>983.76</v>
      </c>
      <c r="I1095" s="22" t="inlineStr">
        <is>
          <t>TRY</t>
        </is>
      </c>
      <c r="J1095" s="22" t="inlineStr"/>
      <c r="K1095" s="63" t="n">
        <v>22.4214848613766</v>
      </c>
      <c r="L1095" s="22" t="inlineStr">
        <is>
          <t>5009.A</t>
        </is>
      </c>
      <c r="M1095" s="22" t="n">
        <v>2</v>
      </c>
      <c r="N1095" s="22" t="inlineStr">
        <is>
          <t>Siirt-Kurtalan demiryolu 1 istasyon binası mekanik tesisat teklifi (malzeme+işçilik birim fiyat, KDV hariç, mobilizasyon/sigorta hariç; kamp/konaklama dahil); tarih=dosya tarihi (2025-06).</t>
        </is>
      </c>
    </row>
    <row r="1096">
      <c r="A1096" s="22" t="inlineStr">
        <is>
          <t>R06102</t>
        </is>
      </c>
      <c r="B1096" s="22" t="inlineStr">
        <is>
          <t>Siirt_Kurtalan_Demiryolu</t>
        </is>
      </c>
      <c r="C1096" s="22" t="inlineStr">
        <is>
          <t>anahat</t>
        </is>
      </c>
      <c r="D1096" s="22" t="inlineStr">
        <is>
          <t>Yamaner Grup</t>
        </is>
      </c>
      <c r="E1096" s="22" t="inlineStr">
        <is>
          <t>2025-06-13</t>
        </is>
      </c>
      <c r="F1096" s="22" t="inlineStr">
        <is>
          <t>Dikişli galvaniz çelik boru 1¼" bina içi vidalı</t>
        </is>
      </c>
      <c r="G1096" s="22" t="inlineStr">
        <is>
          <t>MT</t>
        </is>
      </c>
      <c r="H1096" s="63" t="n">
        <v>1140.43</v>
      </c>
      <c r="I1096" s="22" t="inlineStr">
        <is>
          <t>TRY</t>
        </is>
      </c>
      <c r="J1096" s="22" t="inlineStr"/>
      <c r="K1096" s="63" t="n">
        <v>25.992248089432</v>
      </c>
      <c r="L1096" s="22" t="inlineStr">
        <is>
          <t>5009.A</t>
        </is>
      </c>
      <c r="M1096" s="22" t="n">
        <v>2</v>
      </c>
      <c r="N1096" s="22" t="inlineStr">
        <is>
          <t>Siirt-Kurtalan demiryolu 1 istasyon binası mekanik tesisat teklifi (malzeme+işçilik birim fiyat, KDV hariç, mobilizasyon/sigorta hariç; kamp/konaklama dahil); tarih=dosya tarihi (2025-06).</t>
        </is>
      </c>
    </row>
    <row r="1097">
      <c r="A1097" s="22" t="inlineStr">
        <is>
          <t>R06103</t>
        </is>
      </c>
      <c r="B1097" s="22" t="inlineStr">
        <is>
          <t>Siirt_Kurtalan_Demiryolu</t>
        </is>
      </c>
      <c r="C1097" s="22" t="inlineStr">
        <is>
          <t>anahat</t>
        </is>
      </c>
      <c r="D1097" s="22" t="inlineStr">
        <is>
          <t>Yamaner Grup</t>
        </is>
      </c>
      <c r="E1097" s="22" t="inlineStr">
        <is>
          <t>2025-06-13</t>
        </is>
      </c>
      <c r="F1097" s="22" t="inlineStr">
        <is>
          <t>Dikişli galvaniz çelik boru 2" bina içi vidalı</t>
        </is>
      </c>
      <c r="G1097" s="22" t="inlineStr">
        <is>
          <t>MT</t>
        </is>
      </c>
      <c r="H1097" s="63" t="n">
        <v>1583.4</v>
      </c>
      <c r="I1097" s="22" t="inlineStr">
        <is>
          <t>TRY</t>
        </is>
      </c>
      <c r="J1097" s="22" t="inlineStr"/>
      <c r="K1097" s="63" t="n">
        <v>36.0882523476291</v>
      </c>
      <c r="L1097" s="22" t="inlineStr">
        <is>
          <t>5009.A</t>
        </is>
      </c>
      <c r="M1097" s="22" t="n">
        <v>1</v>
      </c>
      <c r="N1097" s="22" t="inlineStr">
        <is>
          <t>Siirt-Kurtalan demiryolu 1 istasyon binası mekanik tesisat teklifi (malzeme+işçilik birim fiyat, KDV hariç, mobilizasyon/sigorta hariç; kamp/konaklama dahil); tarih=dosya tarihi (2025-06).</t>
        </is>
      </c>
    </row>
    <row r="1098">
      <c r="A1098" s="22" t="inlineStr">
        <is>
          <t>R06104</t>
        </is>
      </c>
      <c r="B1098" s="22" t="inlineStr">
        <is>
          <t>Siirt_Kurtalan_Demiryolu</t>
        </is>
      </c>
      <c r="C1098" s="22" t="inlineStr">
        <is>
          <t>anahat</t>
        </is>
      </c>
      <c r="D1098" s="22" t="inlineStr">
        <is>
          <t>Yamaner Grup</t>
        </is>
      </c>
      <c r="E1098" s="22" t="inlineStr">
        <is>
          <t>2025-06-13</t>
        </is>
      </c>
      <c r="F1098" s="22" t="inlineStr">
        <is>
          <t>Dikişli galvaniz çelik boru 2" (yangın)</t>
        </is>
      </c>
      <c r="G1098" s="22" t="inlineStr">
        <is>
          <t>MT</t>
        </is>
      </c>
      <c r="H1098" s="63" t="n">
        <v>1583.4</v>
      </c>
      <c r="I1098" s="22" t="inlineStr">
        <is>
          <t>TRY</t>
        </is>
      </c>
      <c r="J1098" s="22" t="inlineStr"/>
      <c r="K1098" s="63" t="n">
        <v>36.0882523476291</v>
      </c>
      <c r="L1098" s="22" t="inlineStr">
        <is>
          <t>5005.H</t>
        </is>
      </c>
      <c r="M1098" s="22" t="n">
        <v>3</v>
      </c>
      <c r="N1098" s="22" t="inlineStr">
        <is>
          <t>Siirt-Kurtalan demiryolu 1 istasyon binası mekanik tesisat teklifi (malzeme+işçilik birim fiyat, KDV hariç, mobilizasyon/sigorta hariç; kamp/konaklama dahil); tarih=dosya tarihi (2025-06).</t>
        </is>
      </c>
    </row>
    <row r="1099">
      <c r="A1099" s="22" t="inlineStr">
        <is>
          <t>R06105</t>
        </is>
      </c>
      <c r="B1099" s="22" t="inlineStr">
        <is>
          <t>Siirt_Kurtalan_Demiryolu</t>
        </is>
      </c>
      <c r="C1099" s="22" t="inlineStr">
        <is>
          <t>anahat</t>
        </is>
      </c>
      <c r="D1099" s="22" t="inlineStr">
        <is>
          <t>Yamaner Grup</t>
        </is>
      </c>
      <c r="E1099" s="22" t="inlineStr">
        <is>
          <t>2025-06-13</t>
        </is>
      </c>
      <c r="F1099" s="22" t="inlineStr">
        <is>
          <t>Dikişli galvaniz çelik boru 2½" (yangın)</t>
        </is>
      </c>
      <c r="G1099" s="22" t="inlineStr">
        <is>
          <t>MT</t>
        </is>
      </c>
      <c r="H1099" s="63" t="n">
        <v>1896</v>
      </c>
      <c r="I1099" s="22" t="inlineStr">
        <is>
          <t>TRY</t>
        </is>
      </c>
      <c r="J1099" s="22" t="inlineStr"/>
      <c r="K1099" s="63" t="n">
        <v>43.2129130043608</v>
      </c>
      <c r="L1099" s="22" t="inlineStr">
        <is>
          <t>5005.H</t>
        </is>
      </c>
      <c r="M1099" s="22" t="n">
        <v>3</v>
      </c>
      <c r="N1099" s="22" t="inlineStr">
        <is>
          <t>Siirt-Kurtalan demiryolu 1 istasyon binası mekanik tesisat teklifi (malzeme+işçilik birim fiyat, KDV hariç, mobilizasyon/sigorta hariç; kamp/konaklama dahil); tarih=dosya tarihi (2025-06).</t>
        </is>
      </c>
    </row>
    <row r="1100">
      <c r="A1100" s="22" t="inlineStr">
        <is>
          <t>R06106</t>
        </is>
      </c>
      <c r="B1100" s="22" t="inlineStr">
        <is>
          <t>Siirt_Kurtalan_Demiryolu</t>
        </is>
      </c>
      <c r="C1100" s="22" t="inlineStr">
        <is>
          <t>anahat</t>
        </is>
      </c>
      <c r="D1100" s="22" t="inlineStr">
        <is>
          <t>Yamaner Grup</t>
        </is>
      </c>
      <c r="E1100" s="22" t="inlineStr">
        <is>
          <t>2025-06-13</t>
        </is>
      </c>
      <c r="F1100" s="22" t="inlineStr">
        <is>
          <t>Dikişli galvaniz çelik boru 4" (yangın)</t>
        </is>
      </c>
      <c r="G1100" s="22" t="inlineStr">
        <is>
          <t>MT</t>
        </is>
      </c>
      <c r="H1100" s="63" t="n">
        <v>2950.51</v>
      </c>
      <c r="I1100" s="22" t="inlineStr">
        <is>
          <t>TRY</t>
        </is>
      </c>
      <c r="J1100" s="22" t="inlineStr"/>
      <c r="K1100" s="63" t="n">
        <v>67.2469050361268</v>
      </c>
      <c r="L1100" s="22" t="inlineStr">
        <is>
          <t>5005.H</t>
        </is>
      </c>
      <c r="M1100" s="22" t="n">
        <v>3</v>
      </c>
      <c r="N1100" s="22" t="inlineStr">
        <is>
          <t>Siirt-Kurtalan demiryolu 1 istasyon binası mekanik tesisat teklifi (malzeme+işçilik birim fiyat, KDV hariç, mobilizasyon/sigorta hariç; kamp/konaklama dahil); tarih=dosya tarihi (2025-06).</t>
        </is>
      </c>
    </row>
    <row r="1101">
      <c r="A1101" s="22" t="inlineStr">
        <is>
          <t>R06107</t>
        </is>
      </c>
      <c r="B1101" s="22" t="inlineStr">
        <is>
          <t>Siirt_Kurtalan_Demiryolu</t>
        </is>
      </c>
      <c r="C1101" s="22" t="inlineStr">
        <is>
          <t>anahat</t>
        </is>
      </c>
      <c r="D1101" s="22" t="inlineStr">
        <is>
          <t>Yamaner Grup</t>
        </is>
      </c>
      <c r="E1101" s="22" t="inlineStr">
        <is>
          <t>2025-06-13</t>
        </is>
      </c>
      <c r="F1101" s="22" t="inlineStr">
        <is>
          <t>PN20 PPRC temiz su borusu ½" Ø20 (montaj malz. dahil)</t>
        </is>
      </c>
      <c r="G1101" s="22" t="inlineStr">
        <is>
          <t>MT</t>
        </is>
      </c>
      <c r="H1101" s="63" t="n">
        <v>530.42</v>
      </c>
      <c r="I1101" s="22" t="inlineStr">
        <is>
          <t>TRY</t>
        </is>
      </c>
      <c r="J1101" s="22" t="inlineStr"/>
      <c r="K1101" s="63" t="n">
        <v>12.0891314956609</v>
      </c>
      <c r="L1101" s="22" t="inlineStr">
        <is>
          <t>5007.A</t>
        </is>
      </c>
      <c r="M1101" s="22" t="n">
        <v>12</v>
      </c>
      <c r="N1101" s="22" t="inlineStr">
        <is>
          <t>Siirt-Kurtalan demiryolu 1 istasyon binası mekanik tesisat teklifi (malzeme+işçilik birim fiyat, KDV hariç, mobilizasyon/sigorta hariç; kamp/konaklama dahil); tarih=dosya tarihi (2025-06). izolasyon ayrı</t>
        </is>
      </c>
    </row>
    <row r="1102">
      <c r="A1102" s="22" t="inlineStr">
        <is>
          <t>R06108</t>
        </is>
      </c>
      <c r="B1102" s="22" t="inlineStr">
        <is>
          <t>Siirt_Kurtalan_Demiryolu</t>
        </is>
      </c>
      <c r="C1102" s="22" t="inlineStr">
        <is>
          <t>anahat</t>
        </is>
      </c>
      <c r="D1102" s="22" t="inlineStr">
        <is>
          <t>Yamaner Grup</t>
        </is>
      </c>
      <c r="E1102" s="22" t="inlineStr">
        <is>
          <t>2025-06-13</t>
        </is>
      </c>
      <c r="F1102" s="22" t="inlineStr">
        <is>
          <t>PN20 PPRC temiz su borusu ¾" Ø25 (montaj malz. dahil)</t>
        </is>
      </c>
      <c r="G1102" s="22" t="inlineStr">
        <is>
          <t>MT</t>
        </is>
      </c>
      <c r="H1102" s="63" t="n">
        <v>584.27</v>
      </c>
      <c r="I1102" s="22" t="inlineStr">
        <is>
          <t>TRY</t>
        </is>
      </c>
      <c r="J1102" s="22" t="inlineStr"/>
      <c r="K1102" s="63" t="n">
        <v>13.3164602748195</v>
      </c>
      <c r="L1102" s="22" t="inlineStr">
        <is>
          <t>5007.A</t>
        </is>
      </c>
      <c r="M1102" s="22" t="n">
        <v>15</v>
      </c>
      <c r="N1102" s="22" t="inlineStr">
        <is>
          <t>Siirt-Kurtalan demiryolu 1 istasyon binası mekanik tesisat teklifi (malzeme+işçilik birim fiyat, KDV hariç, mobilizasyon/sigorta hariç; kamp/konaklama dahil); tarih=dosya tarihi (2025-06). izolasyon ayrı</t>
        </is>
      </c>
    </row>
    <row r="1103">
      <c r="A1103" s="22" t="inlineStr">
        <is>
          <t>R06109</t>
        </is>
      </c>
      <c r="B1103" s="22" t="inlineStr">
        <is>
          <t>Siirt_Kurtalan_Demiryolu</t>
        </is>
      </c>
      <c r="C1103" s="22" t="inlineStr">
        <is>
          <t>anahat</t>
        </is>
      </c>
      <c r="D1103" s="22" t="inlineStr">
        <is>
          <t>Yamaner Grup</t>
        </is>
      </c>
      <c r="E1103" s="22" t="inlineStr">
        <is>
          <t>2025-06-13</t>
        </is>
      </c>
      <c r="F1103" s="22" t="inlineStr">
        <is>
          <t>PN20 PPRC temiz su borusu 1" Ø32 (montaj malz. dahil)</t>
        </is>
      </c>
      <c r="G1103" s="22" t="inlineStr">
        <is>
          <t>MT</t>
        </is>
      </c>
      <c r="H1103" s="63" t="n">
        <v>655.95</v>
      </c>
      <c r="I1103" s="22" t="inlineStr">
        <is>
          <t>TRY</t>
        </is>
      </c>
      <c r="J1103" s="22" t="inlineStr"/>
      <c r="K1103" s="63" t="n">
        <v>14.9501636525372</v>
      </c>
      <c r="L1103" s="22" t="inlineStr">
        <is>
          <t>5007.A</t>
        </is>
      </c>
      <c r="M1103" s="22" t="n">
        <v>5</v>
      </c>
      <c r="N1103" s="22" t="inlineStr">
        <is>
          <t>Siirt-Kurtalan demiryolu 1 istasyon binası mekanik tesisat teklifi (malzeme+işçilik birim fiyat, KDV hariç, mobilizasyon/sigorta hariç; kamp/konaklama dahil); tarih=dosya tarihi (2025-06). izolasyon ayrı</t>
        </is>
      </c>
    </row>
    <row r="1104">
      <c r="A1104" s="22" t="inlineStr">
        <is>
          <t>R06110</t>
        </is>
      </c>
      <c r="B1104" s="22" t="inlineStr">
        <is>
          <t>Siirt_Kurtalan_Demiryolu</t>
        </is>
      </c>
      <c r="C1104" s="22" t="inlineStr">
        <is>
          <t>anahat</t>
        </is>
      </c>
      <c r="D1104" s="22" t="inlineStr">
        <is>
          <t>Yamaner Grup</t>
        </is>
      </c>
      <c r="E1104" s="22" t="inlineStr">
        <is>
          <t>2025-06-13</t>
        </is>
      </c>
      <c r="F1104" s="22" t="inlineStr">
        <is>
          <t>Sert PVC pis su borusu Ø50 (fittings dahil)</t>
        </is>
      </c>
      <c r="G1104" s="22" t="inlineStr">
        <is>
          <t>MT</t>
        </is>
      </c>
      <c r="H1104" s="63" t="n">
        <v>763.65</v>
      </c>
      <c r="I1104" s="22" t="inlineStr">
        <is>
          <t>TRY</t>
        </is>
      </c>
      <c r="J1104" s="22" t="inlineStr"/>
      <c r="K1104" s="63" t="n">
        <v>17.4048212108545</v>
      </c>
      <c r="L1104" s="22" t="inlineStr">
        <is>
          <t>5008.A</t>
        </is>
      </c>
      <c r="M1104" s="22" t="n">
        <v>1</v>
      </c>
      <c r="N1104" s="22" t="inlineStr">
        <is>
          <t>Siirt-Kurtalan demiryolu 1 istasyon binası mekanik tesisat teklifi (malzeme+işçilik birim fiyat, KDV hariç, mobilizasyon/sigorta hariç; kamp/konaklama dahil); tarih=dosya tarihi (2025-06).</t>
        </is>
      </c>
    </row>
    <row r="1105">
      <c r="A1105" s="22" t="inlineStr">
        <is>
          <t>R06111</t>
        </is>
      </c>
      <c r="B1105" s="22" t="inlineStr">
        <is>
          <t>Siirt_Kurtalan_Demiryolu</t>
        </is>
      </c>
      <c r="C1105" s="22" t="inlineStr">
        <is>
          <t>anahat</t>
        </is>
      </c>
      <c r="D1105" s="22" t="inlineStr">
        <is>
          <t>Yamaner Grup</t>
        </is>
      </c>
      <c r="E1105" s="22" t="inlineStr">
        <is>
          <t>2025-06-13</t>
        </is>
      </c>
      <c r="F1105" s="22" t="inlineStr">
        <is>
          <t>Sert PVC pis su borusu Ø75 (fittings dahil)</t>
        </is>
      </c>
      <c r="G1105" s="22" t="inlineStr">
        <is>
          <t>MT</t>
        </is>
      </c>
      <c r="H1105" s="63" t="n">
        <v>995.26</v>
      </c>
      <c r="I1105" s="22" t="inlineStr">
        <is>
          <t>TRY</t>
        </is>
      </c>
      <c r="J1105" s="22" t="inlineStr"/>
      <c r="K1105" s="63" t="n">
        <v>22.6835885003798</v>
      </c>
      <c r="L1105" s="22" t="inlineStr">
        <is>
          <t>5008.A</t>
        </is>
      </c>
      <c r="M1105" s="22" t="n">
        <v>4</v>
      </c>
      <c r="N1105" s="22" t="inlineStr">
        <is>
          <t>Siirt-Kurtalan demiryolu 1 istasyon binası mekanik tesisat teklifi (malzeme+işçilik birim fiyat, KDV hariç, mobilizasyon/sigorta hariç; kamp/konaklama dahil); tarih=dosya tarihi (2025-06).</t>
        </is>
      </c>
    </row>
    <row r="1106">
      <c r="A1106" s="22" t="inlineStr">
        <is>
          <t>R06112</t>
        </is>
      </c>
      <c r="B1106" s="22" t="inlineStr">
        <is>
          <t>Siirt_Kurtalan_Demiryolu</t>
        </is>
      </c>
      <c r="C1106" s="22" t="inlineStr">
        <is>
          <t>anahat</t>
        </is>
      </c>
      <c r="D1106" s="22" t="inlineStr">
        <is>
          <t>Yamaner Grup</t>
        </is>
      </c>
      <c r="E1106" s="22" t="inlineStr">
        <is>
          <t>2025-06-13</t>
        </is>
      </c>
      <c r="F1106" s="22" t="inlineStr">
        <is>
          <t>Sert PVC pis su borusu Ø100-110 (fittings dahil)</t>
        </is>
      </c>
      <c r="G1106" s="22" t="inlineStr">
        <is>
          <t>MT</t>
        </is>
      </c>
      <c r="H1106" s="63" t="n">
        <v>1256.03</v>
      </c>
      <c r="I1106" s="22" t="inlineStr">
        <is>
          <t>TRY</t>
        </is>
      </c>
      <c r="J1106" s="22" t="inlineStr"/>
      <c r="K1106" s="63" t="n">
        <v>28.6269594519342</v>
      </c>
      <c r="L1106" s="22" t="inlineStr">
        <is>
          <t>5008.A</t>
        </is>
      </c>
      <c r="M1106" s="22" t="n">
        <v>21</v>
      </c>
      <c r="N1106" s="22" t="inlineStr">
        <is>
          <t>Siirt-Kurtalan demiryolu 1 istasyon binası mekanik tesisat teklifi (malzeme+işçilik birim fiyat, KDV hariç, mobilizasyon/sigorta hariç; kamp/konaklama dahil); tarih=dosya tarihi (2025-06).</t>
        </is>
      </c>
    </row>
    <row r="1107">
      <c r="A1107" s="22" t="inlineStr">
        <is>
          <t>R06113</t>
        </is>
      </c>
      <c r="B1107" s="22" t="inlineStr">
        <is>
          <t>Siirt_Kurtalan_Demiryolu</t>
        </is>
      </c>
      <c r="C1107" s="22" t="inlineStr">
        <is>
          <t>anahat</t>
        </is>
      </c>
      <c r="D1107" s="22" t="inlineStr">
        <is>
          <t>Yamaner Grup</t>
        </is>
      </c>
      <c r="E1107" s="22" t="inlineStr">
        <is>
          <t>2025-06-13</t>
        </is>
      </c>
      <c r="F1107" s="22" t="inlineStr">
        <is>
          <t>Sert PVC pis su borusu Ø125 (fittings dahil)</t>
        </is>
      </c>
      <c r="G1107" s="22" t="inlineStr">
        <is>
          <t>MT</t>
        </is>
      </c>
      <c r="H1107" s="63" t="n">
        <v>1500.6</v>
      </c>
      <c r="I1107" s="22" t="inlineStr">
        <is>
          <t>TRY</t>
        </is>
      </c>
      <c r="J1107" s="22" t="inlineStr"/>
      <c r="K1107" s="63" t="n">
        <v>34.2011061468058</v>
      </c>
      <c r="L1107" s="22" t="inlineStr">
        <is>
          <t>5008.A</t>
        </is>
      </c>
      <c r="M1107" s="22" t="n">
        <v>4</v>
      </c>
      <c r="N1107" s="22" t="inlineStr">
        <is>
          <t>Siirt-Kurtalan demiryolu 1 istasyon binası mekanik tesisat teklifi (malzeme+işçilik birim fiyat, KDV hariç, mobilizasyon/sigorta hariç; kamp/konaklama dahil); tarih=dosya tarihi (2025-06).</t>
        </is>
      </c>
    </row>
    <row r="1108">
      <c r="A1108" s="22" t="inlineStr">
        <is>
          <t>R06114</t>
        </is>
      </c>
      <c r="B1108" s="22" t="inlineStr">
        <is>
          <t>Siirt_Kurtalan_Demiryolu</t>
        </is>
      </c>
      <c r="C1108" s="22" t="inlineStr">
        <is>
          <t>anahat</t>
        </is>
      </c>
      <c r="D1108" s="22" t="inlineStr">
        <is>
          <t>Yamaner Grup</t>
        </is>
      </c>
      <c r="E1108" s="22" t="inlineStr">
        <is>
          <t>2025-06-13</t>
        </is>
      </c>
      <c r="F1108" s="22" t="inlineStr">
        <is>
          <t>Havalandırma boru ve şapkası Ø100</t>
        </is>
      </c>
      <c r="G1108" s="22" t="inlineStr">
        <is>
          <t>AD</t>
        </is>
      </c>
      <c r="H1108" s="63" t="n">
        <v>1688.46</v>
      </c>
      <c r="I1108" s="22" t="inlineStr">
        <is>
          <t>TRY</t>
        </is>
      </c>
      <c r="J1108" s="22" t="inlineStr"/>
      <c r="K1108" s="63" t="n">
        <v>38.4827400270796</v>
      </c>
      <c r="L1108" s="22" t="inlineStr">
        <is>
          <t>5008.A</t>
        </is>
      </c>
      <c r="M1108" s="22" t="n">
        <v>1</v>
      </c>
      <c r="N1108" s="22" t="inlineStr">
        <is>
          <t>Siirt-Kurtalan demiryolu 1 istasyon binası mekanik tesisat teklifi (malzeme+işçilik birim fiyat, KDV hariç, mobilizasyon/sigorta hariç; kamp/konaklama dahil); tarih=dosya tarihi (2025-06).</t>
        </is>
      </c>
    </row>
    <row r="1109">
      <c r="A1109" s="22" t="inlineStr">
        <is>
          <t>R06116</t>
        </is>
      </c>
      <c r="B1109" s="22" t="inlineStr">
        <is>
          <t>Siirt_Kurtalan_Demiryolu</t>
        </is>
      </c>
      <c r="C1109" s="22" t="inlineStr">
        <is>
          <t>anahat</t>
        </is>
      </c>
      <c r="D1109" s="22" t="inlineStr">
        <is>
          <t>Yamaner Grup</t>
        </is>
      </c>
      <c r="E1109" s="22" t="inlineStr">
        <is>
          <t>2025-06-13</t>
        </is>
      </c>
      <c r="F1109" s="22" t="inlineStr">
        <is>
          <t>Frekans konvertörlü ıslak rotorlu sirkülasyon pompası 0,5-3,5 m³/h</t>
        </is>
      </c>
      <c r="G1109" s="22" t="inlineStr">
        <is>
          <t>AD</t>
        </is>
      </c>
      <c r="H1109" s="63" t="n">
        <v>55984.12</v>
      </c>
      <c r="I1109" s="22" t="inlineStr">
        <is>
          <t>TRY</t>
        </is>
      </c>
      <c r="J1109" s="22" t="inlineStr"/>
      <c r="K1109" s="63" t="n">
        <v>1275.96883290385</v>
      </c>
      <c r="L1109" s="22" t="inlineStr">
        <is>
          <t>5007.A</t>
        </is>
      </c>
      <c r="M1109" s="22" t="n">
        <v>1</v>
      </c>
      <c r="N1109" s="22" t="inlineStr">
        <is>
          <t>Siirt-Kurtalan demiryolu 1 istasyon binası mekanik tesisat teklifi (malzeme+işçilik birim fiyat, KDV hariç, mobilizasyon/sigorta hariç; kamp/konaklama dahil); tarih=dosya tarihi (2025-06).</t>
        </is>
      </c>
    </row>
    <row r="1110">
      <c r="A1110" s="22" t="inlineStr">
        <is>
          <t>R06118</t>
        </is>
      </c>
      <c r="B1110" s="22" t="inlineStr">
        <is>
          <t>Siirt_Kurtalan_Demiryolu</t>
        </is>
      </c>
      <c r="C1110" s="22" t="inlineStr">
        <is>
          <t>anahat</t>
        </is>
      </c>
      <c r="D1110" s="22" t="inlineStr">
        <is>
          <t>Yamaner Grup</t>
        </is>
      </c>
      <c r="E1110" s="22" t="inlineStr">
        <is>
          <t>2025-06-13</t>
        </is>
      </c>
      <c r="F1110" s="22" t="inlineStr">
        <is>
          <t>Elektrikli konvektör ısıtıcı 2000 W</t>
        </is>
      </c>
      <c r="G1110" s="22" t="inlineStr">
        <is>
          <t>AD</t>
        </is>
      </c>
      <c r="H1110" s="63" t="n">
        <v>15599.06</v>
      </c>
      <c r="I1110" s="22" t="inlineStr">
        <is>
          <t>TRY</t>
        </is>
      </c>
      <c r="J1110" s="22" t="inlineStr"/>
      <c r="K1110" s="63" t="n">
        <v>355.527860089559</v>
      </c>
      <c r="L1110" s="22" t="inlineStr">
        <is>
          <t>6001.H</t>
        </is>
      </c>
      <c r="M1110" s="22" t="n">
        <v>1</v>
      </c>
      <c r="N1110" s="22" t="inlineStr">
        <is>
          <t>Siirt-Kurtalan demiryolu 1 istasyon binası mekanik tesisat teklifi (malzeme+işçilik birim fiyat, KDV hariç, mobilizasyon/sigorta hariç; kamp/konaklama dahil); tarih=dosya tarihi (2025-06).</t>
        </is>
      </c>
    </row>
    <row r="1111">
      <c r="A1111" s="22" t="inlineStr">
        <is>
          <t>R06122</t>
        </is>
      </c>
      <c r="B1111" s="22" t="inlineStr">
        <is>
          <t>Siirt_Kurtalan_Demiryolu</t>
        </is>
      </c>
      <c r="C1111" s="22" t="inlineStr">
        <is>
          <t>anahat</t>
        </is>
      </c>
      <c r="D1111" s="22" t="inlineStr">
        <is>
          <t>Yamaner Grup</t>
        </is>
      </c>
      <c r="E1111" s="22" t="inlineStr">
        <is>
          <t>2025-06-13</t>
        </is>
      </c>
      <c r="F1111" s="22" t="inlineStr">
        <is>
          <t>Çatı tipi aspiratör 1500 m³/h</t>
        </is>
      </c>
      <c r="G1111" s="22" t="inlineStr">
        <is>
          <t>ADET</t>
        </is>
      </c>
      <c r="H1111" s="63" t="n">
        <v>60828.43</v>
      </c>
      <c r="I1111" s="22" t="inlineStr">
        <is>
          <t>TRY</t>
        </is>
      </c>
      <c r="J1111" s="22" t="inlineStr"/>
      <c r="K1111" s="63" t="n">
        <v>1386.37850937861</v>
      </c>
      <c r="L1111" s="22" t="inlineStr">
        <is>
          <t>6002.B</t>
        </is>
      </c>
      <c r="M1111" s="22" t="n">
        <v>2</v>
      </c>
      <c r="N1111" s="22" t="inlineStr">
        <is>
          <t>Siirt-Kurtalan demiryolu 1 istasyon binası mekanik tesisat teklifi (malzeme+işçilik birim fiyat, KDV hariç, mobilizasyon/sigorta hariç; kamp/konaklama dahil); tarih=dosya tarihi (2025-06).</t>
        </is>
      </c>
    </row>
    <row r="1112">
      <c r="A1112" s="22" t="inlineStr">
        <is>
          <t>R06123</t>
        </is>
      </c>
      <c r="B1112" s="22" t="inlineStr">
        <is>
          <t>Siirt_Kurtalan_Demiryolu</t>
        </is>
      </c>
      <c r="C1112" s="22" t="inlineStr">
        <is>
          <t>anahat</t>
        </is>
      </c>
      <c r="D1112" s="22" t="inlineStr">
        <is>
          <t>Yamaner Grup</t>
        </is>
      </c>
      <c r="E1112" s="22" t="inlineStr">
        <is>
          <t>2025-06-13</t>
        </is>
      </c>
      <c r="F1112" s="22" t="inlineStr">
        <is>
          <t>Çatı tipi radyal aspiratör 3000 m³/h 25 mmSS</t>
        </is>
      </c>
      <c r="G1112" s="22" t="inlineStr">
        <is>
          <t>AD</t>
        </is>
      </c>
      <c r="H1112" s="63" t="n">
        <v>106551.65</v>
      </c>
      <c r="I1112" s="22" t="inlineStr">
        <is>
          <t>TRY</t>
        </is>
      </c>
      <c r="J1112" s="22" t="inlineStr"/>
      <c r="K1112" s="63" t="n">
        <v>2428.4848005913</v>
      </c>
      <c r="L1112" s="22" t="inlineStr">
        <is>
          <t>6002.B</t>
        </is>
      </c>
      <c r="M1112" s="22" t="n">
        <v>2</v>
      </c>
      <c r="N1112" s="22" t="inlineStr">
        <is>
          <t>Siirt-Kurtalan demiryolu 1 istasyon binası mekanik tesisat teklifi (malzeme+işçilik birim fiyat, KDV hariç, mobilizasyon/sigorta hariç; kamp/konaklama dahil); tarih=dosya tarihi (2025-06).</t>
        </is>
      </c>
    </row>
    <row r="1113">
      <c r="A1113" s="22" t="inlineStr">
        <is>
          <t>R06124</t>
        </is>
      </c>
      <c r="B1113" s="22" t="inlineStr">
        <is>
          <t>Siirt_Kurtalan_Demiryolu</t>
        </is>
      </c>
      <c r="C1113" s="22" t="inlineStr">
        <is>
          <t>anahat</t>
        </is>
      </c>
      <c r="D1113" s="22" t="inlineStr">
        <is>
          <t>Yamaner Grup</t>
        </is>
      </c>
      <c r="E1113" s="22" t="inlineStr">
        <is>
          <t>2025-06-13</t>
        </is>
      </c>
      <c r="F1113" s="22" t="inlineStr">
        <is>
          <t>Galvaniz sac dikdörtgen hava kanalı 0,60 mm (≤600 mm)</t>
        </is>
      </c>
      <c r="G1113" s="22" t="inlineStr">
        <is>
          <t>M2</t>
        </is>
      </c>
      <c r="H1113" s="63" t="n">
        <v>1757.44</v>
      </c>
      <c r="I1113" s="22" t="inlineStr">
        <is>
          <t>TRY</t>
        </is>
      </c>
      <c r="J1113" s="22" t="inlineStr"/>
      <c r="K1113" s="63" t="n">
        <v>40.0549060286834</v>
      </c>
      <c r="L1113" s="22" t="inlineStr">
        <is>
          <t>6002.B</t>
        </is>
      </c>
      <c r="M1113" s="22" t="n">
        <v>1</v>
      </c>
      <c r="N1113" s="22" t="inlineStr">
        <is>
          <t>Siirt-Kurtalan demiryolu 1 istasyon binası mekanik tesisat teklifi (malzeme+işçilik birim fiyat, KDV hariç, mobilizasyon/sigorta hariç; kamp/konaklama dahil); tarih=dosya tarihi (2025-06). izolasyon ayrı</t>
        </is>
      </c>
    </row>
    <row r="1114">
      <c r="A1114" s="22" t="inlineStr">
        <is>
          <t>R06125</t>
        </is>
      </c>
      <c r="B1114" s="22" t="inlineStr">
        <is>
          <t>Siirt_Kurtalan_Demiryolu</t>
        </is>
      </c>
      <c r="C1114" s="22" t="inlineStr">
        <is>
          <t>anahat</t>
        </is>
      </c>
      <c r="D1114" s="22" t="inlineStr">
        <is>
          <t>Yamaner Grup</t>
        </is>
      </c>
      <c r="E1114" s="22" t="inlineStr">
        <is>
          <t>2025-06-13</t>
        </is>
      </c>
      <c r="F1114" s="22" t="inlineStr">
        <is>
          <t>Galvaniz sac dikdörtgen hava kanalı 0,80 mm (≤1249 mm)</t>
        </is>
      </c>
      <c r="G1114" s="22" t="inlineStr">
        <is>
          <t>M2</t>
        </is>
      </c>
      <c r="H1114" s="63" t="n">
        <v>1887.83</v>
      </c>
      <c r="I1114" s="22" t="inlineStr">
        <is>
          <t>TRY</t>
        </is>
      </c>
      <c r="J1114" s="22" t="inlineStr"/>
      <c r="K1114" s="63" t="n">
        <v>43.0267054625645</v>
      </c>
      <c r="L1114" s="22" t="inlineStr">
        <is>
          <t>6002.B</t>
        </is>
      </c>
      <c r="M1114" s="22" t="n">
        <v>1</v>
      </c>
      <c r="N1114" s="22" t="inlineStr">
        <is>
          <t>Siirt-Kurtalan demiryolu 1 istasyon binası mekanik tesisat teklifi (malzeme+işçilik birim fiyat, KDV hariç, mobilizasyon/sigorta hariç; kamp/konaklama dahil); tarih=dosya tarihi (2025-06).</t>
        </is>
      </c>
    </row>
    <row r="1115">
      <c r="A1115" s="22" t="inlineStr">
        <is>
          <t>R06131</t>
        </is>
      </c>
      <c r="B1115" s="22" t="inlineStr">
        <is>
          <t>Siirt_Kurtalan_Demiryolu</t>
        </is>
      </c>
      <c r="C1115" s="22" t="inlineStr">
        <is>
          <t>anahat</t>
        </is>
      </c>
      <c r="D1115" s="22" t="inlineStr">
        <is>
          <t>Yamaner Grup</t>
        </is>
      </c>
      <c r="E1115" s="22" t="inlineStr">
        <is>
          <t>2025-06-13</t>
        </is>
      </c>
      <c r="F1115" s="22" t="inlineStr">
        <is>
          <t>Alüminyum panjur (m²)</t>
        </is>
      </c>
      <c r="G1115" s="22" t="inlineStr">
        <is>
          <t>M2</t>
        </is>
      </c>
      <c r="H1115" s="63" t="n">
        <v>8818.25</v>
      </c>
      <c r="I1115" s="22" t="inlineStr">
        <is>
          <t>TRY</t>
        </is>
      </c>
      <c r="J1115" s="22" t="inlineStr"/>
      <c r="K1115" s="63" t="n">
        <v>200.982209968726</v>
      </c>
      <c r="L1115" s="22" t="inlineStr">
        <is>
          <t>6002.B</t>
        </is>
      </c>
      <c r="M1115" s="22" t="n">
        <v>1</v>
      </c>
      <c r="N1115" s="22" t="inlineStr">
        <is>
          <t>Siirt-Kurtalan demiryolu 1 istasyon binası mekanik tesisat teklifi (malzeme+işçilik birim fiyat, KDV hariç, mobilizasyon/sigorta hariç; kamp/konaklama dahil); tarih=dosya tarihi (2025-06). tel kafes ayrı 1.466 TL/m²</t>
        </is>
      </c>
    </row>
    <row r="1116">
      <c r="A1116" s="22" t="inlineStr">
        <is>
          <t>R06136</t>
        </is>
      </c>
      <c r="B1116" s="22" t="inlineStr">
        <is>
          <t>Siirt_Kurtalan_Demiryolu</t>
        </is>
      </c>
      <c r="C1116" s="22" t="inlineStr">
        <is>
          <t>anahat</t>
        </is>
      </c>
      <c r="D1116" s="22" t="inlineStr">
        <is>
          <t>Yamaner Grup</t>
        </is>
      </c>
      <c r="E1116" s="22" t="inlineStr">
        <is>
          <t>2025-06-13</t>
        </is>
      </c>
      <c r="F1116" s="22" t="inlineStr">
        <is>
          <t>VRF dış ünite 78/78 kW frekans kontrollü</t>
        </is>
      </c>
      <c r="G1116" s="22" t="inlineStr">
        <is>
          <t>AD</t>
        </is>
      </c>
      <c r="H1116" s="63" t="n">
        <v>667310.09</v>
      </c>
      <c r="I1116" s="22" t="inlineStr">
        <is>
          <t>TRY</t>
        </is>
      </c>
      <c r="J1116" s="22" t="inlineStr"/>
      <c r="K1116" s="63" t="n">
        <v>15209.0785158767</v>
      </c>
      <c r="L1116" s="22" t="inlineStr">
        <is>
          <t>6001.G</t>
        </is>
      </c>
      <c r="M1116" s="22" t="n">
        <v>3</v>
      </c>
      <c r="N1116" s="22" t="inlineStr">
        <is>
          <t>Siirt-Kurtalan demiryolu 1 istasyon binası mekanik tesisat teklifi (malzeme+işçilik birim fiyat, KDV hariç, mobilizasyon/sigorta hariç; kamp/konaklama dahil); tarih=dosya tarihi (2025-06).</t>
        </is>
      </c>
    </row>
    <row r="1117">
      <c r="A1117" s="22" t="inlineStr">
        <is>
          <t>R06137</t>
        </is>
      </c>
      <c r="B1117" s="22" t="inlineStr">
        <is>
          <t>Siirt_Kurtalan_Demiryolu</t>
        </is>
      </c>
      <c r="C1117" s="22" t="inlineStr">
        <is>
          <t>anahat</t>
        </is>
      </c>
      <c r="D1117" s="22" t="inlineStr">
        <is>
          <t>Yamaner Grup</t>
        </is>
      </c>
      <c r="E1117" s="22" t="inlineStr">
        <is>
          <t>2025-06-13</t>
        </is>
      </c>
      <c r="F1117" s="22" t="inlineStr">
        <is>
          <t>VRF kaset iç ünite 2-2,5 kW</t>
        </is>
      </c>
      <c r="G1117" s="22" t="inlineStr">
        <is>
          <t>AD</t>
        </is>
      </c>
      <c r="H1117" s="63" t="n">
        <v>31736.05</v>
      </c>
      <c r="I1117" s="22" t="inlineStr">
        <is>
          <t>TRY</t>
        </is>
      </c>
      <c r="J1117" s="22" t="inlineStr"/>
      <c r="K1117" s="63" t="n">
        <v>723.3160167468581</v>
      </c>
      <c r="L1117" s="22" t="inlineStr">
        <is>
          <t>6001.H</t>
        </is>
      </c>
      <c r="M1117" s="22" t="n">
        <v>1</v>
      </c>
      <c r="N1117" s="22" t="inlineStr">
        <is>
          <t>Siirt-Kurtalan demiryolu 1 istasyon binası mekanik tesisat teklifi (malzeme+işçilik birim fiyat, KDV hariç, mobilizasyon/sigorta hariç; kamp/konaklama dahil); tarih=dosya tarihi (2025-06).</t>
        </is>
      </c>
    </row>
    <row r="1118">
      <c r="A1118" s="22" t="inlineStr">
        <is>
          <t>R06138</t>
        </is>
      </c>
      <c r="B1118" s="22" t="inlineStr">
        <is>
          <t>Siirt_Kurtalan_Demiryolu</t>
        </is>
      </c>
      <c r="C1118" s="22" t="inlineStr">
        <is>
          <t>anahat</t>
        </is>
      </c>
      <c r="D1118" s="22" t="inlineStr">
        <is>
          <t>Yamaner Grup</t>
        </is>
      </c>
      <c r="E1118" s="22" t="inlineStr">
        <is>
          <t>2025-06-13</t>
        </is>
      </c>
      <c r="F1118" s="22" t="inlineStr">
        <is>
          <t>VRF kaset iç ünite 3-4 kW</t>
        </is>
      </c>
      <c r="G1118" s="22" t="inlineStr">
        <is>
          <t>AD</t>
        </is>
      </c>
      <c r="H1118" s="63" t="n">
        <v>36133.25</v>
      </c>
      <c r="I1118" s="22" t="inlineStr">
        <is>
          <t>TRY</t>
        </is>
      </c>
      <c r="J1118" s="22" t="inlineStr"/>
      <c r="K1118" s="63" t="n">
        <v>823.535331653385</v>
      </c>
      <c r="L1118" s="22" t="inlineStr">
        <is>
          <t>6001.H</t>
        </is>
      </c>
      <c r="M1118" s="22" t="n">
        <v>1</v>
      </c>
      <c r="N1118" s="22" t="inlineStr">
        <is>
          <t>Siirt-Kurtalan demiryolu 1 istasyon binası mekanik tesisat teklifi (malzeme+işçilik birim fiyat, KDV hariç, mobilizasyon/sigorta hariç; kamp/konaklama dahil); tarih=dosya tarihi (2025-06).</t>
        </is>
      </c>
    </row>
    <row r="1119">
      <c r="A1119" s="22" t="inlineStr">
        <is>
          <t>R06140</t>
        </is>
      </c>
      <c r="B1119" s="22" t="inlineStr">
        <is>
          <t>Siirt_Kurtalan_Demiryolu</t>
        </is>
      </c>
      <c r="C1119" s="22" t="inlineStr">
        <is>
          <t>anahat</t>
        </is>
      </c>
      <c r="D1119" s="22" t="inlineStr">
        <is>
          <t>Yamaner Grup</t>
        </is>
      </c>
      <c r="E1119" s="22" t="inlineStr">
        <is>
          <t>2025-06-13</t>
        </is>
      </c>
      <c r="F1119" s="22" t="inlineStr">
        <is>
          <t>VRF kablolu uzaktan kumanda</t>
        </is>
      </c>
      <c r="G1119" s="22" t="inlineStr">
        <is>
          <t>AD</t>
        </is>
      </c>
      <c r="H1119" s="63" t="n">
        <v>5133.29</v>
      </c>
      <c r="I1119" s="22" t="inlineStr">
        <is>
          <t>TRY</t>
        </is>
      </c>
      <c r="J1119" s="22" t="inlineStr"/>
      <c r="K1119" s="63" t="n">
        <v>116.995999048605</v>
      </c>
      <c r="L1119" s="22" t="inlineStr">
        <is>
          <t>6001.H</t>
        </is>
      </c>
      <c r="M1119" s="22" t="n">
        <v>3</v>
      </c>
      <c r="N1119" s="22" t="inlineStr">
        <is>
          <t>Siirt-Kurtalan demiryolu 1 istasyon binası mekanik tesisat teklifi (malzeme+işçilik birim fiyat, KDV hariç, mobilizasyon/sigorta hariç; kamp/konaklama dahil); tarih=dosya tarihi (2025-06).</t>
        </is>
      </c>
    </row>
    <row r="1120">
      <c r="A1120" s="22" t="inlineStr">
        <is>
          <t>R06141</t>
        </is>
      </c>
      <c r="B1120" s="22" t="inlineStr">
        <is>
          <t>Siirt_Kurtalan_Demiryolu</t>
        </is>
      </c>
      <c r="C1120" s="22" t="inlineStr">
        <is>
          <t>anahat</t>
        </is>
      </c>
      <c r="D1120" s="22" t="inlineStr">
        <is>
          <t>Yamaner Grup</t>
        </is>
      </c>
      <c r="E1120" s="22" t="inlineStr">
        <is>
          <t>2025-06-13</t>
        </is>
      </c>
      <c r="F1120" s="22" t="inlineStr">
        <is>
          <t>VRF merkezi kumanda (50 iç ünite)</t>
        </is>
      </c>
      <c r="G1120" s="22" t="inlineStr">
        <is>
          <t>AD</t>
        </is>
      </c>
      <c r="H1120" s="63" t="n">
        <v>152178.25</v>
      </c>
      <c r="I1120" s="22" t="inlineStr">
        <is>
          <t>TRY</t>
        </is>
      </c>
      <c r="J1120" s="22" t="inlineStr"/>
      <c r="K1120" s="63" t="n">
        <v>3468.38896540394</v>
      </c>
      <c r="L1120" s="22" t="inlineStr">
        <is>
          <t>6001.H</t>
        </is>
      </c>
      <c r="M1120" s="22" t="n">
        <v>1</v>
      </c>
      <c r="N1120" s="22" t="inlineStr">
        <is>
          <t>Siirt-Kurtalan demiryolu 1 istasyon binası mekanik tesisat teklifi (malzeme+işçilik birim fiyat, KDV hariç, mobilizasyon/sigorta hariç; kamp/konaklama dahil); tarih=dosya tarihi (2025-06).</t>
        </is>
      </c>
    </row>
    <row r="1121">
      <c r="A1121" s="22" t="inlineStr">
        <is>
          <t>R06142</t>
        </is>
      </c>
      <c r="B1121" s="22" t="inlineStr">
        <is>
          <t>Siirt_Kurtalan_Demiryolu</t>
        </is>
      </c>
      <c r="C1121" s="22" t="inlineStr">
        <is>
          <t>anahat</t>
        </is>
      </c>
      <c r="D1121" s="22" t="inlineStr">
        <is>
          <t>Yamaner Grup</t>
        </is>
      </c>
      <c r="E1121" s="22" t="inlineStr">
        <is>
          <t>2025-06-13</t>
        </is>
      </c>
      <c r="F1121" s="22" t="inlineStr">
        <is>
          <t>VRF izoleli bakır boru ¼"</t>
        </is>
      </c>
      <c r="G1121" s="22" t="inlineStr">
        <is>
          <t>MT</t>
        </is>
      </c>
      <c r="H1121" s="63" t="n">
        <v>659.75</v>
      </c>
      <c r="I1121" s="22" t="inlineStr">
        <is>
          <t>TRY</t>
        </is>
      </c>
      <c r="J1121" s="22" t="inlineStr"/>
      <c r="K1121" s="63" t="n">
        <v>15.0367718115121</v>
      </c>
      <c r="L1121" s="22" t="inlineStr">
        <is>
          <t>6001.H</t>
        </is>
      </c>
      <c r="M1121" s="22" t="n">
        <v>15</v>
      </c>
      <c r="N1121" s="22" t="inlineStr">
        <is>
          <t>Siirt-Kurtalan demiryolu 1 istasyon binası mekanik tesisat teklifi (malzeme+işçilik birim fiyat, KDV hariç, mobilizasyon/sigorta hariç; kamp/konaklama dahil); tarih=dosya tarihi (2025-06). tek boru; sıvı+gaz çifti ≈ 2 kalem toplamı</t>
        </is>
      </c>
    </row>
    <row r="1122">
      <c r="A1122" s="22" t="inlineStr">
        <is>
          <t>R06143</t>
        </is>
      </c>
      <c r="B1122" s="22" t="inlineStr">
        <is>
          <t>Siirt_Kurtalan_Demiryolu</t>
        </is>
      </c>
      <c r="C1122" s="22" t="inlineStr">
        <is>
          <t>anahat</t>
        </is>
      </c>
      <c r="D1122" s="22" t="inlineStr">
        <is>
          <t>Yamaner Grup</t>
        </is>
      </c>
      <c r="E1122" s="22" t="inlineStr">
        <is>
          <t>2025-06-13</t>
        </is>
      </c>
      <c r="F1122" s="22" t="inlineStr">
        <is>
          <t>VRF izoleli bakır boru ½"</t>
        </is>
      </c>
      <c r="G1122" s="22" t="inlineStr">
        <is>
          <t>MT</t>
        </is>
      </c>
      <c r="H1122" s="63" t="n">
        <v>746.15</v>
      </c>
      <c r="I1122" s="22" t="inlineStr">
        <is>
          <t>TRY</t>
        </is>
      </c>
      <c r="J1122" s="22" t="inlineStr"/>
      <c r="K1122" s="63" t="n">
        <v>17.0059678471539</v>
      </c>
      <c r="L1122" s="22" t="inlineStr">
        <is>
          <t>6001.H</t>
        </is>
      </c>
      <c r="M1122" s="22" t="n">
        <v>15</v>
      </c>
      <c r="N1122" s="22" t="inlineStr">
        <is>
          <t>Siirt-Kurtalan demiryolu 1 istasyon binası mekanik tesisat teklifi (malzeme+işçilik birim fiyat, KDV hariç, mobilizasyon/sigorta hariç; kamp/konaklama dahil); tarih=dosya tarihi (2025-06). tek boru; sıvı+gaz çifti ≈ 2 kalem toplamı</t>
        </is>
      </c>
    </row>
    <row r="1123">
      <c r="A1123" s="22" t="inlineStr">
        <is>
          <t>R06144</t>
        </is>
      </c>
      <c r="B1123" s="22" t="inlineStr">
        <is>
          <t>Siirt_Kurtalan_Demiryolu</t>
        </is>
      </c>
      <c r="C1123" s="22" t="inlineStr">
        <is>
          <t>anahat</t>
        </is>
      </c>
      <c r="D1123" s="22" t="inlineStr">
        <is>
          <t>Yamaner Grup</t>
        </is>
      </c>
      <c r="E1123" s="22" t="inlineStr">
        <is>
          <t>2025-06-13</t>
        </is>
      </c>
      <c r="F1123" s="22" t="inlineStr">
        <is>
          <t>VRF izoleli bakır boru ¾"</t>
        </is>
      </c>
      <c r="G1123" s="22" t="inlineStr">
        <is>
          <t>MT</t>
        </is>
      </c>
      <c r="H1123" s="63" t="n">
        <v>901.73</v>
      </c>
      <c r="I1123" s="22" t="inlineStr">
        <is>
          <t>TRY</t>
        </is>
      </c>
      <c r="J1123" s="22" t="inlineStr"/>
      <c r="K1123" s="63" t="n">
        <v>20.551888208556</v>
      </c>
      <c r="L1123" s="22" t="inlineStr">
        <is>
          <t>6001.H</t>
        </is>
      </c>
      <c r="M1123" s="22" t="n">
        <v>16</v>
      </c>
      <c r="N1123" s="22" t="inlineStr">
        <is>
          <t>Siirt-Kurtalan demiryolu 1 istasyon binası mekanik tesisat teklifi (malzeme+işçilik birim fiyat, KDV hariç, mobilizasyon/sigorta hariç; kamp/konaklama dahil); tarih=dosya tarihi (2025-06). tek boru; sıvı+gaz çifti ≈ 2 kalem toplamı</t>
        </is>
      </c>
    </row>
    <row r="1124">
      <c r="A1124" s="22" t="inlineStr">
        <is>
          <t>R06145</t>
        </is>
      </c>
      <c r="B1124" s="22" t="inlineStr">
        <is>
          <t>Siirt_Kurtalan_Demiryolu</t>
        </is>
      </c>
      <c r="C1124" s="22" t="inlineStr">
        <is>
          <t>anahat</t>
        </is>
      </c>
      <c r="D1124" s="22" t="inlineStr">
        <is>
          <t>Yamaner Grup</t>
        </is>
      </c>
      <c r="E1124" s="22" t="inlineStr">
        <is>
          <t>2025-06-13</t>
        </is>
      </c>
      <c r="F1124" s="22" t="inlineStr">
        <is>
          <t>VRF izoleli bakır boru ⅞"</t>
        </is>
      </c>
      <c r="G1124" s="22" t="inlineStr">
        <is>
          <t>MT</t>
        </is>
      </c>
      <c r="H1124" s="63" t="n">
        <v>944.9299999999999</v>
      </c>
      <c r="I1124" s="22" t="inlineStr">
        <is>
          <t>TRY</t>
        </is>
      </c>
      <c r="J1124" s="22" t="inlineStr"/>
      <c r="K1124" s="63" t="n">
        <v>21.5364862263769</v>
      </c>
      <c r="L1124" s="22" t="inlineStr">
        <is>
          <t>6001.H</t>
        </is>
      </c>
      <c r="M1124" s="22" t="n">
        <v>15</v>
      </c>
      <c r="N1124" s="22" t="inlineStr">
        <is>
          <t>Siirt-Kurtalan demiryolu 1 istasyon binası mekanik tesisat teklifi (malzeme+işçilik birim fiyat, KDV hariç, mobilizasyon/sigorta hariç; kamp/konaklama dahil); tarih=dosya tarihi (2025-06). tek boru; sıvı+gaz çifti ≈ 2 kalem toplamı</t>
        </is>
      </c>
    </row>
    <row r="1125">
      <c r="A1125" s="22" t="inlineStr">
        <is>
          <t>R06146</t>
        </is>
      </c>
      <c r="B1125" s="22" t="inlineStr">
        <is>
          <t>Siirt_Kurtalan_Demiryolu</t>
        </is>
      </c>
      <c r="C1125" s="22" t="inlineStr">
        <is>
          <t>anahat</t>
        </is>
      </c>
      <c r="D1125" s="22" t="inlineStr">
        <is>
          <t>Yamaner Grup</t>
        </is>
      </c>
      <c r="E1125" s="22" t="inlineStr">
        <is>
          <t>2025-06-13</t>
        </is>
      </c>
      <c r="F1125" s="22" t="inlineStr">
        <is>
          <t>VRF joint elemanları 25-50 kW</t>
        </is>
      </c>
      <c r="G1125" s="22" t="inlineStr">
        <is>
          <t>TK</t>
        </is>
      </c>
      <c r="H1125" s="63" t="n">
        <v>3515.53</v>
      </c>
      <c r="I1125" s="22" t="inlineStr">
        <is>
          <t>TRY</t>
        </is>
      </c>
      <c r="J1125" s="22" t="inlineStr"/>
      <c r="K1125" s="63" t="n">
        <v>80.12462661087569</v>
      </c>
      <c r="L1125" s="22" t="inlineStr">
        <is>
          <t>6001.H</t>
        </is>
      </c>
      <c r="M1125" s="22" t="n">
        <v>1</v>
      </c>
      <c r="N1125" s="22" t="inlineStr">
        <is>
          <t>Siirt-Kurtalan demiryolu 1 istasyon binası mekanik tesisat teklifi (malzeme+işçilik birim fiyat, KDV hariç, mobilizasyon/sigorta hariç; kamp/konaklama dahil); tarih=dosya tarihi (2025-06).</t>
        </is>
      </c>
    </row>
    <row r="1126">
      <c r="A1126" s="22" t="inlineStr">
        <is>
          <t>R06147</t>
        </is>
      </c>
      <c r="B1126" s="22" t="inlineStr">
        <is>
          <t>Siirt_Kurtalan_Demiryolu</t>
        </is>
      </c>
      <c r="C1126" s="22" t="inlineStr">
        <is>
          <t>anahat</t>
        </is>
      </c>
      <c r="D1126" s="22" t="inlineStr">
        <is>
          <t>Yamaner Grup</t>
        </is>
      </c>
      <c r="E1126" s="22" t="inlineStr">
        <is>
          <t>2025-06-13</t>
        </is>
      </c>
      <c r="F1126" s="22" t="inlineStr">
        <is>
          <t>Duvar tipi inverter split klima 18.000 BTU/h</t>
        </is>
      </c>
      <c r="G1126" s="22" t="inlineStr">
        <is>
          <t>AD</t>
        </is>
      </c>
      <c r="H1126" s="63" t="n">
        <v>75118.12</v>
      </c>
      <c r="I1126" s="22" t="inlineStr">
        <is>
          <t>TRY</t>
        </is>
      </c>
      <c r="J1126" s="22" t="inlineStr"/>
      <c r="K1126" s="63" t="n">
        <v>1712.06370496368</v>
      </c>
      <c r="L1126" s="22" t="inlineStr">
        <is>
          <t>6001.A</t>
        </is>
      </c>
      <c r="M1126" s="22" t="n">
        <v>6</v>
      </c>
      <c r="N1126" s="22" t="inlineStr">
        <is>
          <t>Siirt-Kurtalan demiryolu 1 istasyon binası mekanik tesisat teklifi (malzeme+işçilik birim fiyat, KDV hariç, mobilizasyon/sigorta hariç; kamp/konaklama dahil); tarih=dosya tarihi (2025-06).</t>
        </is>
      </c>
    </row>
    <row r="1127">
      <c r="A1127" s="22" t="inlineStr">
        <is>
          <t>R06148</t>
        </is>
      </c>
      <c r="B1127" s="22" t="inlineStr">
        <is>
          <t>Siirt_Kurtalan_Demiryolu</t>
        </is>
      </c>
      <c r="C1127" s="22" t="inlineStr">
        <is>
          <t>anahat</t>
        </is>
      </c>
      <c r="D1127" s="22" t="inlineStr">
        <is>
          <t>Yamaner Grup</t>
        </is>
      </c>
      <c r="E1127" s="22" t="inlineStr">
        <is>
          <t>2025-06-13</t>
        </is>
      </c>
      <c r="F1127" s="22" t="inlineStr">
        <is>
          <t>TS EN 671-1 tüplü yangın dolabı DN25 30 m</t>
        </is>
      </c>
      <c r="G1127" s="22" t="inlineStr">
        <is>
          <t>AD</t>
        </is>
      </c>
      <c r="H1127" s="63" t="n">
        <v>25018.59</v>
      </c>
      <c r="I1127" s="22" t="inlineStr">
        <is>
          <t>TRY</t>
        </is>
      </c>
      <c r="J1127" s="22" t="inlineStr"/>
      <c r="K1127" s="63" t="n">
        <v>570.214215802621</v>
      </c>
      <c r="L1127" s="22" t="inlineStr">
        <is>
          <t>5005.H</t>
        </is>
      </c>
      <c r="M1127" s="22" t="n">
        <v>1</v>
      </c>
      <c r="N1127" s="22" t="inlineStr">
        <is>
          <t>Siirt-Kurtalan demiryolu 1 istasyon binası mekanik tesisat teklifi (malzeme+işçilik birim fiyat, KDV hariç, mobilizasyon/sigorta hariç; kamp/konaklama dahil); tarih=dosya tarihi (2025-06).</t>
        </is>
      </c>
    </row>
    <row r="1128">
      <c r="A1128" s="22" t="inlineStr">
        <is>
          <t>R06150</t>
        </is>
      </c>
      <c r="B1128" s="22" t="inlineStr">
        <is>
          <t>Siirt_Kurtalan_Demiryolu</t>
        </is>
      </c>
      <c r="C1128" s="22" t="inlineStr">
        <is>
          <t>anahat</t>
        </is>
      </c>
      <c r="D1128" s="22" t="inlineStr">
        <is>
          <t>Yamaner Grup</t>
        </is>
      </c>
      <c r="E1128" s="22" t="inlineStr">
        <is>
          <t>2025-06-13</t>
        </is>
      </c>
      <c r="F1128" s="22" t="inlineStr">
        <is>
          <t>6 kg ABC KKT taşınabilir söndürücü</t>
        </is>
      </c>
      <c r="G1128" s="22" t="inlineStr">
        <is>
          <t>AD</t>
        </is>
      </c>
      <c r="H1128" s="63" t="n">
        <v>4555.61</v>
      </c>
      <c r="I1128" s="22" t="inlineStr">
        <is>
          <t>TRY</t>
        </is>
      </c>
      <c r="J1128" s="22" t="inlineStr"/>
      <c r="K1128" s="63" t="n">
        <v>103.829735554745</v>
      </c>
      <c r="L1128" s="22" t="inlineStr">
        <is>
          <t>5005.A</t>
        </is>
      </c>
      <c r="M1128" s="22" t="n">
        <v>9</v>
      </c>
      <c r="N1128" s="22" t="inlineStr">
        <is>
          <t>Siirt-Kurtalan demiryolu 1 istasyon binası mekanik tesisat teklifi (malzeme+işçilik birim fiyat, KDV hariç, mobilizasyon/sigorta hariç; kamp/konaklama dahil); tarih=dosya tarihi (2025-06).</t>
        </is>
      </c>
    </row>
    <row r="1129">
      <c r="A1129" s="22" t="inlineStr">
        <is>
          <t>R06168</t>
        </is>
      </c>
      <c r="B1129" s="22" t="inlineStr">
        <is>
          <t>Usk_Umr_Cekmekoy_Metro_Ins_ve_EM</t>
        </is>
      </c>
      <c r="C1129" s="22" t="inlineStr">
        <is>
          <t>metro</t>
        </is>
      </c>
      <c r="D1129" s="22" t="inlineStr">
        <is>
          <t>MAS DAF Makina Sanayi A.Ş.</t>
        </is>
      </c>
      <c r="E1129" s="22" t="inlineStr">
        <is>
          <t>2011-07-18</t>
        </is>
      </c>
      <c r="F1129" s="22" t="inlineStr">
        <is>
          <t>Otomatik transfer switch (UL/FM yangın pompası, 110 kW)</t>
        </is>
      </c>
      <c r="G1129" s="22" t="inlineStr">
        <is>
          <t>adet</t>
        </is>
      </c>
      <c r="H1129" s="63" t="n">
        <v>6300</v>
      </c>
      <c r="I1129" s="22" t="inlineStr">
        <is>
          <t>EUR</t>
        </is>
      </c>
      <c r="J1129" s="22" t="inlineStr"/>
      <c r="K1129" s="63" t="n">
        <v>8827.61511591314</v>
      </c>
      <c r="L1129" s="22" t="inlineStr">
        <is>
          <t>5005.H</t>
        </is>
      </c>
      <c r="M1129" s="22" t="n">
        <v>1</v>
      </c>
      <c r="N1129" s="22" t="inlineStr">
        <is>
          <t>[AYKIRI DEĞER – otomatik dışlandı] Üsküdar-Ümraniye-Çekmeköy metro pompa teklifi (B.No 11/07-423); net alış fiyatı, fabrika teslim, KDV/montaj hariç.</t>
        </is>
      </c>
    </row>
    <row r="1130">
      <c r="A1130" s="22" t="inlineStr">
        <is>
          <t>R06191</t>
        </is>
      </c>
      <c r="B1130" s="22" t="inlineStr">
        <is>
          <t>Usk_Umr_Cekmekoy_Metro_Ins_ve_EM</t>
        </is>
      </c>
      <c r="C1130" s="22" t="inlineStr">
        <is>
          <t>metro</t>
        </is>
      </c>
      <c r="D1130" s="22" t="inlineStr">
        <is>
          <t>KlimaPlus (Mitsubishi Electric City Multi VRF)</t>
        </is>
      </c>
      <c r="E1130" s="22" t="inlineStr">
        <is>
          <t>2011-08-03</t>
        </is>
      </c>
      <c r="F1130" s="22" t="inlineStr">
        <is>
          <t>VRF heat pump dış ünite PUHY-P350YJM 14 HP (~40 kW)</t>
        </is>
      </c>
      <c r="G1130" s="22" t="inlineStr">
        <is>
          <t>adet</t>
        </is>
      </c>
      <c r="H1130" s="63" t="n">
        <v>10197</v>
      </c>
      <c r="I1130" s="22" t="inlineStr">
        <is>
          <t>USD</t>
        </is>
      </c>
      <c r="J1130" s="22" t="inlineStr"/>
      <c r="K1130" s="63" t="n">
        <v>9972.865685429641</v>
      </c>
      <c r="L1130" s="22" t="inlineStr">
        <is>
          <t>6001.H</t>
        </is>
      </c>
      <c r="M1130" s="22" t="n">
        <v>1</v>
      </c>
      <c r="N1130" s="22" t="inlineStr">
        <is>
          <t>Üsküdar-Ümraniye metro VRF cihaz teklifi (IST1108015); cihaz fiyatı, montaj ve KDV hariç.</t>
        </is>
      </c>
    </row>
    <row r="1131">
      <c r="A1131" s="22" t="inlineStr">
        <is>
          <t>R06193</t>
        </is>
      </c>
      <c r="B1131" s="22" t="inlineStr">
        <is>
          <t>Usk_Umr_Cekmekoy_Metro_Ins_ve_EM</t>
        </is>
      </c>
      <c r="C1131" s="22" t="inlineStr">
        <is>
          <t>metro</t>
        </is>
      </c>
      <c r="D1131" s="22" t="inlineStr">
        <is>
          <t>KlimaPlus (Mitsubishi Electric City Multi VRF)</t>
        </is>
      </c>
      <c r="E1131" s="22" t="inlineStr">
        <is>
          <t>2011-08-03</t>
        </is>
      </c>
      <c r="F1131" s="22" t="inlineStr">
        <is>
          <t>VRF heat pump dış ünite PUHY-P1200YSJM 48 HP (~135 kW)</t>
        </is>
      </c>
      <c r="G1131" s="22" t="inlineStr">
        <is>
          <t>adet</t>
        </is>
      </c>
      <c r="H1131" s="63" t="n">
        <v>34974</v>
      </c>
      <c r="I1131" s="22" t="inlineStr">
        <is>
          <t>USD</t>
        </is>
      </c>
      <c r="J1131" s="22" t="inlineStr"/>
      <c r="K1131" s="63" t="n">
        <v>34205.2568875371</v>
      </c>
      <c r="L1131" s="22" t="inlineStr">
        <is>
          <t>6001.H</t>
        </is>
      </c>
      <c r="M1131" s="22" t="n">
        <v>1</v>
      </c>
      <c r="N1131" s="22" t="inlineStr">
        <is>
          <t>Üsküdar-Ümraniye metro VRF cihaz teklifi (IST1108015); cihaz fiyatı, montaj ve KDV hariç.</t>
        </is>
      </c>
    </row>
    <row r="1132">
      <c r="A1132" s="22" t="inlineStr">
        <is>
          <t>R06197</t>
        </is>
      </c>
      <c r="B1132" s="22" t="inlineStr">
        <is>
          <t>Usk_Umr_Cekmekoy_Metro_Ins_ve_EM</t>
        </is>
      </c>
      <c r="C1132" s="22" t="inlineStr">
        <is>
          <t>metro</t>
        </is>
      </c>
      <c r="D1132" s="22" t="inlineStr">
        <is>
          <t>KlimaPlus (Mitsubishi Electric City Multi VRF)</t>
        </is>
      </c>
      <c r="E1132" s="22" t="inlineStr">
        <is>
          <t>2011-08-03</t>
        </is>
      </c>
      <c r="F1132" s="22" t="inlineStr">
        <is>
          <t>VRF yüksek basınçlı gizli tavan (kanallı) iç ünite PEFY-P140 (16 kW)</t>
        </is>
      </c>
      <c r="G1132" s="22" t="inlineStr">
        <is>
          <t>adet</t>
        </is>
      </c>
      <c r="H1132" s="63" t="n">
        <v>2268</v>
      </c>
      <c r="I1132" s="22" t="inlineStr">
        <is>
          <t>USD</t>
        </is>
      </c>
      <c r="J1132" s="22" t="inlineStr"/>
      <c r="K1132" s="63" t="n">
        <v>2218.14841370544</v>
      </c>
      <c r="L1132" s="22" t="inlineStr">
        <is>
          <t>6001.G</t>
        </is>
      </c>
      <c r="M1132" s="22" t="n">
        <v>2</v>
      </c>
      <c r="N1132" s="22" t="inlineStr">
        <is>
          <t>Üsküdar-Ümraniye metro VRF cihaz teklifi (IST1108015); cihaz fiyatı, montaj ve KDV hariç.</t>
        </is>
      </c>
    </row>
    <row r="1133">
      <c r="A1133" s="22" t="inlineStr">
        <is>
          <t>R06277</t>
        </is>
      </c>
      <c r="B1133" s="22" t="inlineStr">
        <is>
          <t>Usk_Umr_Cekmekoy_Metro_Ins_ve_EM</t>
        </is>
      </c>
      <c r="C1133" s="22" t="inlineStr">
        <is>
          <t>metro</t>
        </is>
      </c>
      <c r="D1133" s="22" t="inlineStr">
        <is>
          <t>Ekin Proje (Construction Contract Trade and Ind. Inc.)</t>
        </is>
      </c>
      <c r="E1133" s="22" t="inlineStr">
        <is>
          <t>2011-08-22</t>
        </is>
      </c>
      <c r="F1133" s="22" t="inlineStr">
        <is>
          <t>Bakım ve Kontrol Merkezi (depo): Swirl üfleme menfezi 600x600</t>
        </is>
      </c>
      <c r="G1133" s="22" t="inlineStr">
        <is>
          <t>Adet</t>
        </is>
      </c>
      <c r="H1133" s="63" t="n">
        <v>69.84</v>
      </c>
      <c r="I1133" s="22" t="inlineStr">
        <is>
          <t>EUR</t>
        </is>
      </c>
      <c r="J1133" s="22" t="inlineStr">
        <is>
          <t>M+İ</t>
        </is>
      </c>
      <c r="K1133" s="63" t="n">
        <v>97.6759893539943</v>
      </c>
      <c r="L1133" s="22" t="inlineStr">
        <is>
          <t>6002.B</t>
        </is>
      </c>
      <c r="M1133" s="22" t="n">
        <v>1</v>
      </c>
      <c r="N1133" s="22" t="inlineStr">
        <is>
          <t>Üsküdar-Ümraniye-Çekmeköy metro mekanik tesisat teklifi (16 istasyon + Bakım ve Kontrol Merkezi); EUR; birim fiyat = malzeme + işçilik + genel gider/kâr (~%18); malzeme_bf/iscilik_bf GG+kâr hariç.</t>
        </is>
      </c>
    </row>
    <row r="1134">
      <c r="A1134" s="22" t="inlineStr">
        <is>
          <t>R06289</t>
        </is>
      </c>
      <c r="B1134" s="22" t="inlineStr">
        <is>
          <t>Usk_Umr_Cekmekoy_Metro_Ins_ve_EM</t>
        </is>
      </c>
      <c r="C1134" s="22" t="inlineStr">
        <is>
          <t>metro</t>
        </is>
      </c>
      <c r="D1134" s="22" t="inlineStr">
        <is>
          <t>Ekin Proje (Construction Contract Trade and Ind. Inc.)</t>
        </is>
      </c>
      <c r="E1134" s="22" t="inlineStr">
        <is>
          <t>2011-08-22</t>
        </is>
      </c>
      <c r="F1134" s="22" t="inlineStr">
        <is>
          <t>Bakım ve Kontrol Merkezi (depo): FM200 gazlı söndürme – elektrik odası 79 m²</t>
        </is>
      </c>
      <c r="G1134" s="22" t="inlineStr">
        <is>
          <t>Grup</t>
        </is>
      </c>
      <c r="H1134" s="63" t="n">
        <v>20536.27</v>
      </c>
      <c r="I1134" s="22" t="inlineStr">
        <is>
          <t>EUR</t>
        </is>
      </c>
      <c r="J1134" s="22" t="inlineStr">
        <is>
          <t>M+İ</t>
        </is>
      </c>
      <c r="K1134" s="63" t="n">
        <v>28721.3701301654</v>
      </c>
      <c r="L1134" s="22" t="inlineStr">
        <is>
          <t>5005.H</t>
        </is>
      </c>
      <c r="M1134" s="22" t="n">
        <v>1</v>
      </c>
      <c r="N1134" s="22" t="inlineStr">
        <is>
          <t>Üsküdar-Ümraniye-Çekmeköy metro mekanik tesisat teklifi (16 istasyon + Bakım ve Kontrol Merkezi); EUR; birim fiyat = malzeme + işçilik + genel gider/kâr (~%18); malzeme_bf/iscilik_bf GG+kâr hariç.</t>
        </is>
      </c>
    </row>
    <row r="1135">
      <c r="A1135" s="22" t="inlineStr">
        <is>
          <t>R06407</t>
        </is>
      </c>
      <c r="B1135" s="22" t="inlineStr">
        <is>
          <t>Baskentray</t>
        </is>
      </c>
      <c r="C1135" s="22" t="inlineStr">
        <is>
          <t>banliyo</t>
        </is>
      </c>
      <c r="D1135" s="22" t="inlineStr">
        <is>
          <t>Dimetronic (Invensys Rail)</t>
        </is>
      </c>
      <c r="E1135" s="22" t="inlineStr">
        <is>
          <t>2012-04-19</t>
        </is>
      </c>
      <c r="F1135" s="22" t="inlineStr">
        <is>
          <t>CTC sunucu</t>
        </is>
      </c>
      <c r="G1135" s="22" t="inlineStr">
        <is>
          <t>adet</t>
        </is>
      </c>
      <c r="H1135" s="63" t="n">
        <v>11541.5</v>
      </c>
      <c r="I1135" s="22" t="inlineStr">
        <is>
          <t>EUR</t>
        </is>
      </c>
      <c r="J1135" s="22" t="inlineStr"/>
      <c r="K1135" s="63" t="n">
        <v>15673.8674262403</v>
      </c>
      <c r="L1135" s="22" t="inlineStr">
        <is>
          <t>3001.D</t>
        </is>
      </c>
      <c r="M1135" s="22" t="n">
        <v>1</v>
      </c>
      <c r="N1135" s="22" t="inlineStr">
        <is>
          <t>Baskentray (Sincan-Ankara-Kayas banliyo, ~36 km kamu bilgisi; km kaynakta yok); Ankara-Sincan + Ankara-Kayas hat kesimleri; ERTMS L1/L2; KDV haric; toplam teklif a5658 Economical Offer: 60.826.621,61 + yedek 2.902.273,14</t>
        </is>
      </c>
    </row>
    <row r="1136">
      <c r="A1136" s="22" t="inlineStr">
        <is>
          <t>R06477</t>
        </is>
      </c>
      <c r="B1136" s="22" t="inlineStr">
        <is>
          <t>Eminönü_Alibeyköy_Tramvay</t>
        </is>
      </c>
      <c r="C1136" s="22" t="inlineStr">
        <is>
          <t>tramvay</t>
        </is>
      </c>
      <c r="D1136" s="22" t="inlineStr">
        <is>
          <t>Elektroline (Kummler+Matter araciligi)</t>
        </is>
      </c>
      <c r="E1136" s="22" t="inlineStr">
        <is>
          <t>2016-06-20</t>
        </is>
      </c>
      <c r="F1136" s="22" t="inlineStr">
        <is>
          <t>Elektro-hidrolik makas motoru TSH 102 LC (230V AC, SIL3, IP68, trailable, baglanti cubuk seti + manuel soket dahil)</t>
        </is>
      </c>
      <c r="G1136" s="22" t="inlineStr">
        <is>
          <t>adet</t>
        </is>
      </c>
      <c r="H1136" s="63" t="n">
        <v>11508</v>
      </c>
      <c r="I1136" s="22" t="inlineStr">
        <is>
          <t>EUR</t>
        </is>
      </c>
      <c r="J1136" s="22" t="inlineStr"/>
      <c r="K1136" s="63" t="n">
        <v>15254.6071533194</v>
      </c>
      <c r="L1136" s="22" t="inlineStr">
        <is>
          <t>3001.A</t>
        </is>
      </c>
      <c r="M1136" s="22" t="n">
        <v>1</v>
      </c>
      <c r="N1136" s="22" t="inlineStr">
        <is>
          <t>EXW Prague, KDV/gumruk haric, montaj haric (sadece supervizyon), kablolar haric | hat+depo toplam 68 adet</t>
        </is>
      </c>
    </row>
    <row r="1137">
      <c r="A1137" s="22" t="inlineStr">
        <is>
          <t>R06478</t>
        </is>
      </c>
      <c r="B1137" s="22" t="inlineStr">
        <is>
          <t>Eminönü_Alibeyköy_Tramvay</t>
        </is>
      </c>
      <c r="C1137" s="22" t="inlineStr">
        <is>
          <t>tramvay</t>
        </is>
      </c>
      <c r="D1137" s="22" t="inlineStr">
        <is>
          <t>Elektroline (Kummler+Matter araciligi)</t>
        </is>
      </c>
      <c r="E1137" s="22" t="inlineStr">
        <is>
          <t>2016-06-20</t>
        </is>
      </c>
      <c r="F1137" s="22" t="inlineStr">
        <is>
          <t>Elektro-hidrolik makas motoru TSH 070 H2 (sadece trailing konumlar icin basit versiyon)</t>
        </is>
      </c>
      <c r="G1137" s="22" t="inlineStr">
        <is>
          <t>adet</t>
        </is>
      </c>
      <c r="H1137" s="63" t="n">
        <v>6881</v>
      </c>
      <c r="I1137" s="22" t="inlineStr">
        <is>
          <t>EUR</t>
        </is>
      </c>
      <c r="J1137" s="22" t="inlineStr"/>
      <c r="K1137" s="63" t="n">
        <v>9121.215834375311</v>
      </c>
      <c r="L1137" s="22" t="inlineStr">
        <is>
          <t>3001.B</t>
        </is>
      </c>
      <c r="M1137" s="22" t="n">
        <v>1</v>
      </c>
      <c r="N1137" s="22" t="inlineStr">
        <is>
          <t>EXW Prague, KDV/gumruk haric, montaj haric (sadece supervizyon), kablolar haric</t>
        </is>
      </c>
    </row>
    <row r="1138">
      <c r="A1138" s="22" t="inlineStr">
        <is>
          <t>R06480</t>
        </is>
      </c>
      <c r="B1138" s="22" t="inlineStr">
        <is>
          <t>Eminönü_Alibeyköy_Tramvay</t>
        </is>
      </c>
      <c r="C1138" s="22" t="inlineStr">
        <is>
          <t>tramvay</t>
        </is>
      </c>
      <c r="D1138" s="22" t="inlineStr">
        <is>
          <t>Elektroline (Kummler+Matter araciligi)</t>
        </is>
      </c>
      <c r="E1138" s="22" t="inlineStr">
        <is>
          <t>2016-06-20</t>
        </is>
      </c>
      <c r="F1138" s="22" t="inlineStr">
        <is>
          <t>Mekanik makas motoru TSM 060 (trailing/el ile, baglanti cubuklari+zemin kutusu dahil)</t>
        </is>
      </c>
      <c r="G1138" s="22" t="inlineStr">
        <is>
          <t>adet</t>
        </is>
      </c>
      <c r="H1138" s="63" t="n">
        <v>3727</v>
      </c>
      <c r="I1138" s="22" t="inlineStr">
        <is>
          <t>EUR</t>
        </is>
      </c>
      <c r="J1138" s="22" t="inlineStr"/>
      <c r="K1138" s="63" t="n">
        <v>4940.38241748536</v>
      </c>
      <c r="L1138" s="22" t="inlineStr">
        <is>
          <t>3001.A</t>
        </is>
      </c>
      <c r="M1138" s="22" t="n">
        <v>2</v>
      </c>
      <c r="N1138" s="22" t="inlineStr">
        <is>
          <t>EXW Prague, KDV/gumruk haric, montaj haric (sadece supervizyon), kablolar haric</t>
        </is>
      </c>
    </row>
    <row r="1139">
      <c r="A1139" s="22" t="inlineStr">
        <is>
          <t>R06481</t>
        </is>
      </c>
      <c r="B1139" s="22" t="inlineStr">
        <is>
          <t>Eminönü_Alibeyköy_Tramvay</t>
        </is>
      </c>
      <c r="C1139" s="22" t="inlineStr">
        <is>
          <t>tramvay</t>
        </is>
      </c>
      <c r="D1139" s="22" t="inlineStr">
        <is>
          <t>Elektroline (Kummler+Matter araciligi)</t>
        </is>
      </c>
      <c r="E1139" s="22" t="inlineStr">
        <is>
          <t>2016-06-20</t>
        </is>
      </c>
      <c r="F1139" s="22" t="inlineStr">
        <is>
          <t>Arac ustu VETRA ekipmani - cift yonlu tramvay (2x transponder + 2x VTK15 surucu klavyesi)</t>
        </is>
      </c>
      <c r="G1139" s="22" t="inlineStr">
        <is>
          <t>arac</t>
        </is>
      </c>
      <c r="H1139" s="63" t="n">
        <v>3724</v>
      </c>
      <c r="I1139" s="22" t="inlineStr">
        <is>
          <t>EUR</t>
        </is>
      </c>
      <c r="J1139" s="22" t="inlineStr"/>
      <c r="K1139" s="63" t="n">
        <v>4936.40572114717</v>
      </c>
      <c r="L1139" s="22" t="inlineStr">
        <is>
          <t>3001.C</t>
        </is>
      </c>
      <c r="M1139" s="22" t="n">
        <v>4</v>
      </c>
      <c r="N1139" s="22" t="inlineStr">
        <is>
          <t>EXW Prague, KDV/gumruk haric, montaj haric (sadece supervizyon), kablolar haric | arac basina set (2 kabin); T5 filosu 30 arac</t>
        </is>
      </c>
    </row>
    <row r="1140">
      <c r="A1140" s="22" t="inlineStr">
        <is>
          <t>R06482</t>
        </is>
      </c>
      <c r="B1140" s="22" t="inlineStr">
        <is>
          <t>Eminönü_Alibeyköy_Tramvay</t>
        </is>
      </c>
      <c r="C1140" s="22" t="inlineStr">
        <is>
          <t>tramvay</t>
        </is>
      </c>
      <c r="D1140" s="22" t="inlineStr">
        <is>
          <t>Elektroline (Kummler+Matter araciligi)</t>
        </is>
      </c>
      <c r="E1140" s="22" t="inlineStr">
        <is>
          <t>2016-06-20</t>
        </is>
      </c>
      <c r="F1140" s="22" t="inlineStr">
        <is>
          <t>Tramvay-hat ekipmani entegrasyonu T1 hatti ile (eski 50 T1 tramvayina VETRA arac ustu)</t>
        </is>
      </c>
      <c r="G1140" s="22" t="inlineStr">
        <is>
          <t>set</t>
        </is>
      </c>
      <c r="H1140" s="63" t="n">
        <v>44462</v>
      </c>
      <c r="I1140" s="22" t="inlineStr">
        <is>
          <t>EUR</t>
        </is>
      </c>
      <c r="J1140" s="22" t="inlineStr"/>
      <c r="K1140" s="63" t="n">
        <v>58937.2908629552</v>
      </c>
      <c r="L1140" s="22" t="inlineStr"/>
      <c r="M1140" s="22" t="n">
        <v>1</v>
      </c>
      <c r="N1140" s="22" t="inlineStr">
        <is>
          <t>EXW Prague, KDV/gumruk haric, montaj haric (sadece supervizyon), kablolar haric | mevcut hat entegrasyonu</t>
        </is>
      </c>
    </row>
    <row r="1141">
      <c r="A1141" s="22" t="inlineStr">
        <is>
          <t>R06486</t>
        </is>
      </c>
      <c r="B1141" s="22" t="inlineStr">
        <is>
          <t>Eminönü_Alibeyköy_Tramvay</t>
        </is>
      </c>
      <c r="C1141" s="22" t="inlineStr">
        <is>
          <t>tramvay</t>
        </is>
      </c>
      <c r="D1141" s="22" t="inlineStr">
        <is>
          <t>Elektroline (Kummler+Matter araciligi)</t>
        </is>
      </c>
      <c r="E1141" s="22" t="inlineStr">
        <is>
          <t>2016-06-20</t>
        </is>
      </c>
      <c r="F1141" s="22" t="inlineStr">
        <is>
          <t>Sinyalizasyon kontrolcusu TSIG (Lokasyon D,E,F,G,I,J) - SIL3 tipik makas bolgesi</t>
        </is>
      </c>
      <c r="G1141" s="22" t="inlineStr">
        <is>
          <t>adet</t>
        </is>
      </c>
      <c r="H1141" s="63" t="n">
        <v>66089</v>
      </c>
      <c r="I1141" s="22" t="inlineStr">
        <is>
          <t>EUR</t>
        </is>
      </c>
      <c r="J1141" s="22" t="inlineStr"/>
      <c r="K1141" s="63" t="n">
        <v>87605.2947650094</v>
      </c>
      <c r="L1141" s="22" t="inlineStr">
        <is>
          <t>3001.A</t>
        </is>
      </c>
      <c r="M1141" s="22" t="n">
        <v>1</v>
      </c>
      <c r="N1141" s="22" t="inlineStr">
        <is>
          <t>EXW Prague, KDV/gumruk haric, montaj haric (sadece supervizyon), kablolar haric</t>
        </is>
      </c>
    </row>
    <row r="1142">
      <c r="A1142" s="22" t="inlineStr">
        <is>
          <t>R06499</t>
        </is>
      </c>
      <c r="B1142" s="22" t="inlineStr">
        <is>
          <t>Eminönü_Alibeyköy_Tramvay</t>
        </is>
      </c>
      <c r="C1142" s="22" t="inlineStr">
        <is>
          <t>tramvay</t>
        </is>
      </c>
      <c r="D1142" s="22" t="inlineStr">
        <is>
          <t>Elektroline (Kummler+Matter araciligi)</t>
        </is>
      </c>
      <c r="E1142" s="22" t="inlineStr">
        <is>
          <t>2016-06-20</t>
        </is>
      </c>
      <c r="F1142" s="22" t="inlineStr">
        <is>
          <t>Trafik isigi oncelik icin tramvay algilama unitesi TDS (mevcut trafik kabinine monte, kendi kabini yok)</t>
        </is>
      </c>
      <c r="G1142" s="22" t="inlineStr">
        <is>
          <t>adet</t>
        </is>
      </c>
      <c r="H1142" s="63" t="n">
        <v>5240</v>
      </c>
      <c r="I1142" s="22" t="inlineStr">
        <is>
          <t>EUR</t>
        </is>
      </c>
      <c r="J1142" s="22" t="inlineStr"/>
      <c r="K1142" s="63" t="n">
        <v>6945.96293738216</v>
      </c>
      <c r="L1142" s="22" t="inlineStr">
        <is>
          <t>3001.A</t>
        </is>
      </c>
      <c r="M1142" s="22" t="n">
        <v>2</v>
      </c>
      <c r="N1142" s="22" t="inlineStr">
        <is>
          <t>EXW Prague, KDV/gumruk haric, montaj haric (sadece supervizyon), kablolar haric | TSP kabininin elektronik kismi; kabin yok</t>
        </is>
      </c>
    </row>
    <row r="1143">
      <c r="A1143" s="22" t="inlineStr">
        <is>
          <t>R06500</t>
        </is>
      </c>
      <c r="B1143" s="22" t="inlineStr">
        <is>
          <t>Eminönü_Alibeyköy_Tramvay</t>
        </is>
      </c>
      <c r="C1143" s="22" t="inlineStr">
        <is>
          <t>tramvay</t>
        </is>
      </c>
      <c r="D1143" s="22" t="inlineStr">
        <is>
          <t>Elektroline (Kummler+Matter araciligi)</t>
        </is>
      </c>
      <c r="E1143" s="22" t="inlineStr">
        <is>
          <t>2016-06-20</t>
        </is>
      </c>
      <c r="F1143" s="22" t="inlineStr">
        <is>
          <t>TDS hat boyu ekipmani (sadece VETRA antenleri; sinyal/anahtar/kablo yok)</t>
        </is>
      </c>
      <c r="G1143" s="22" t="inlineStr">
        <is>
          <t>kavsak</t>
        </is>
      </c>
      <c r="H1143" s="63" t="n">
        <v>3110</v>
      </c>
      <c r="I1143" s="22" t="inlineStr">
        <is>
          <t>EUR</t>
        </is>
      </c>
      <c r="J1143" s="22" t="inlineStr"/>
      <c r="K1143" s="63" t="n">
        <v>4122.50853726307</v>
      </c>
      <c r="L1143" s="22" t="inlineStr">
        <is>
          <t>3001.A</t>
        </is>
      </c>
      <c r="M1143" s="22" t="n">
        <v>2</v>
      </c>
      <c r="N1143" s="22" t="inlineStr">
        <is>
          <t>EXW Prague, KDV/gumruk haric, montaj haric (sadece supervizyon), kablolar haric | kavsak basina lup/anten seti</t>
        </is>
      </c>
    </row>
    <row r="1144">
      <c r="A1144" s="22" t="inlineStr">
        <is>
          <t>R06503</t>
        </is>
      </c>
      <c r="B1144" s="22" t="inlineStr">
        <is>
          <t>Eminönü_Alibeyköy_Tramvay</t>
        </is>
      </c>
      <c r="C1144" s="22" t="inlineStr">
        <is>
          <t>tramvay</t>
        </is>
      </c>
      <c r="D1144" s="22" t="inlineStr">
        <is>
          <t>Elektroline (Kummler+Matter araciligi)</t>
        </is>
      </c>
      <c r="E1144" s="22" t="inlineStr">
        <is>
          <t>2016-06-20</t>
        </is>
      </c>
      <c r="F1144" s="22" t="inlineStr">
        <is>
          <t>EYAS otomatik depo makas isletim sistemi (HW+SW, temel konfig.)</t>
        </is>
      </c>
      <c r="G1144" s="22" t="inlineStr">
        <is>
          <t>set</t>
        </is>
      </c>
      <c r="H1144" s="63" t="n">
        <v>52935</v>
      </c>
      <c r="I1144" s="22" t="inlineStr">
        <is>
          <t>EUR</t>
        </is>
      </c>
      <c r="J1144" s="22" t="inlineStr"/>
      <c r="K1144" s="63" t="n">
        <v>70168.8068874665</v>
      </c>
      <c r="L1144" s="22" t="inlineStr">
        <is>
          <t>3001.B</t>
        </is>
      </c>
      <c r="M1144" s="22" t="n">
        <v>1</v>
      </c>
      <c r="N1144" s="22" t="inlineStr">
        <is>
          <t>EXW Prague, KDV/gumruk haric, montaj haric (sadece supervizyon), kablolar haric</t>
        </is>
      </c>
    </row>
    <row r="1145">
      <c r="A1145" s="22" t="inlineStr">
        <is>
          <t>R06504</t>
        </is>
      </c>
      <c r="B1145" s="22" t="inlineStr">
        <is>
          <t>Eminönü_Alibeyköy_Tramvay</t>
        </is>
      </c>
      <c r="C1145" s="22" t="inlineStr">
        <is>
          <t>tramvay</t>
        </is>
      </c>
      <c r="D1145" s="22" t="inlineStr">
        <is>
          <t>Elektroline (Kummler+Matter araciligi)</t>
        </is>
      </c>
      <c r="E1145" s="22" t="inlineStr">
        <is>
          <t>2016-06-20</t>
        </is>
      </c>
      <c r="F1145" s="22" t="inlineStr">
        <is>
          <t>Muhendislik, dokumantasyon, proje yonetimi</t>
        </is>
      </c>
      <c r="G1145" s="22" t="inlineStr">
        <is>
          <t>set</t>
        </is>
      </c>
      <c r="H1145" s="63" t="n">
        <v>156345</v>
      </c>
      <c r="I1145" s="22" t="inlineStr">
        <is>
          <t>EUR</t>
        </is>
      </c>
      <c r="J1145" s="22" t="inlineStr"/>
      <c r="K1145" s="63" t="n">
        <v>207245.529665079</v>
      </c>
      <c r="L1145" s="22" t="inlineStr">
        <is>
          <t>3001</t>
        </is>
      </c>
      <c r="M1145" s="22" t="n">
        <v>1</v>
      </c>
      <c r="N1145" s="22" t="inlineStr">
        <is>
          <t>EXW Prague, KDV/gumruk haric, montaj haric (sadece supervizyon), kablolar haric | standart kapsam muhendislik/tasarim; ISA haric</t>
        </is>
      </c>
    </row>
    <row r="1146">
      <c r="A1146" s="22" t="inlineStr">
        <is>
          <t>R06505</t>
        </is>
      </c>
      <c r="B1146" s="22" t="inlineStr">
        <is>
          <t>Eminönü_Alibeyköy_Tramvay</t>
        </is>
      </c>
      <c r="C1146" s="22" t="inlineStr">
        <is>
          <t>tramvay</t>
        </is>
      </c>
      <c r="D1146" s="22" t="inlineStr">
        <is>
          <t>Elektroline (Kummler+Matter araciligi)</t>
        </is>
      </c>
      <c r="E1146" s="22" t="inlineStr">
        <is>
          <t>2016-06-20</t>
        </is>
      </c>
      <c r="F1146" s="22" t="inlineStr">
        <is>
          <t>Sinyalizasyon devreye alma (6 saha ziyareti x 2 muhendis x 4 gun)</t>
        </is>
      </c>
      <c r="G1146" s="22" t="inlineStr">
        <is>
          <t>set</t>
        </is>
      </c>
      <c r="H1146" s="63" t="n">
        <v>44793</v>
      </c>
      <c r="I1146" s="22" t="inlineStr">
        <is>
          <t>EUR</t>
        </is>
      </c>
      <c r="J1146" s="22" t="inlineStr"/>
      <c r="K1146" s="63" t="n">
        <v>59376.0530256029</v>
      </c>
      <c r="L1146" s="22" t="inlineStr">
        <is>
          <t>3001.A</t>
        </is>
      </c>
      <c r="M1146" s="22" t="n">
        <v>1</v>
      </c>
      <c r="N1146" s="22" t="inlineStr">
        <is>
          <t>EXW Prague, KDV/gumruk haric, montaj haric (sadece supervizyon), kablolar haric</t>
        </is>
      </c>
    </row>
    <row r="1147">
      <c r="A1147" s="22" t="inlineStr">
        <is>
          <t>R06506</t>
        </is>
      </c>
      <c r="B1147" s="22" t="inlineStr">
        <is>
          <t>Eminönü_Alibeyköy_Tramvay</t>
        </is>
      </c>
      <c r="C1147" s="22" t="inlineStr">
        <is>
          <t>tramvay</t>
        </is>
      </c>
      <c r="D1147" s="22" t="inlineStr">
        <is>
          <t>Elektroline (Kummler+Matter araciligi)</t>
        </is>
      </c>
      <c r="E1147" s="22" t="inlineStr">
        <is>
          <t>2016-06-20</t>
        </is>
      </c>
      <c r="F1147" s="22" t="inlineStr">
        <is>
          <t>Egitim (Istanbul, 3 gun, Ingilizce)</t>
        </is>
      </c>
      <c r="G1147" s="22" t="inlineStr">
        <is>
          <t>oturum</t>
        </is>
      </c>
      <c r="H1147" s="63" t="n">
        <v>6227</v>
      </c>
      <c r="I1147" s="22" t="inlineStr">
        <is>
          <t>EUR</t>
        </is>
      </c>
      <c r="J1147" s="22" t="inlineStr"/>
      <c r="K1147" s="63" t="n">
        <v>8254.29603264861</v>
      </c>
      <c r="L1147" s="22" t="inlineStr">
        <is>
          <t>3001.D</t>
        </is>
      </c>
      <c r="M1147" s="22" t="n">
        <v>1</v>
      </c>
      <c r="N1147" s="22" t="inlineStr">
        <is>
          <t>EXW Prague, KDV/gumruk haric, montaj haric (sadece supervizyon), kablolar haric</t>
        </is>
      </c>
    </row>
    <row r="1148">
      <c r="A1148" s="22" t="inlineStr">
        <is>
          <t>R06520</t>
        </is>
      </c>
      <c r="B1148" s="22" t="inlineStr">
        <is>
          <t>Izmir_Konak_Karsiyaka_Tramvay</t>
        </is>
      </c>
      <c r="C1148" s="22" t="inlineStr">
        <is>
          <t>tramvay</t>
        </is>
      </c>
      <c r="D1148" s="22" t="inlineStr">
        <is>
          <t>Hanning &amp; Kahl</t>
        </is>
      </c>
      <c r="E1148" s="22" t="inlineStr">
        <is>
          <t>2014-02-11</t>
        </is>
      </c>
      <c r="F1148" s="22" t="inlineStr">
        <is>
          <t>Elektromanyetik makas motoru HW61.1 AVV-ZVV (SIL3, pozitif kilitli, dil dedektorlu, zemin kutulu, 600-750V DC) - hat</t>
        </is>
      </c>
      <c r="G1148" s="22" t="inlineStr">
        <is>
          <t>adet</t>
        </is>
      </c>
      <c r="H1148" s="63" t="n">
        <v>14336</v>
      </c>
      <c r="I1148" s="22" t="inlineStr">
        <is>
          <t>EUR</t>
        </is>
      </c>
      <c r="J1148" s="22" t="inlineStr"/>
      <c r="K1148" s="63" t="n">
        <v>19315.7471180149</v>
      </c>
      <c r="L1148" s="22" t="inlineStr">
        <is>
          <t>3001.A</t>
        </is>
      </c>
      <c r="M1148" s="22" t="n">
        <v>1</v>
      </c>
      <c r="N1148" s="22" t="inlineStr">
        <is>
          <t>Budget offer 30373/14; DDU Izmir, montaj haric (montaj supervizyonu/devreye alma dahil), standart kablo/direkler haric, KDV haric | Konak 12 + Karsiyaka 12</t>
        </is>
      </c>
    </row>
    <row r="1149">
      <c r="A1149" s="22" t="inlineStr">
        <is>
          <t>R06521</t>
        </is>
      </c>
      <c r="B1149" s="22" t="inlineStr">
        <is>
          <t>Izmir_Konak_Karsiyaka_Tramvay</t>
        </is>
      </c>
      <c r="C1149" s="22" t="inlineStr">
        <is>
          <t>tramvay</t>
        </is>
      </c>
      <c r="D1149" s="22" t="inlineStr">
        <is>
          <t>Hanning &amp; Kahl</t>
        </is>
      </c>
      <c r="E1149" s="22" t="inlineStr">
        <is>
          <t>2014-02-11</t>
        </is>
      </c>
      <c r="F1149" s="22" t="inlineStr">
        <is>
          <t>Elektro-hidrolik makas motoru HWE 61.O-Z (depo, zemin kutusuz, balastli)</t>
        </is>
      </c>
      <c r="G1149" s="22" t="inlineStr">
        <is>
          <t>adet</t>
        </is>
      </c>
      <c r="H1149" s="63" t="n">
        <v>10920</v>
      </c>
      <c r="I1149" s="22" t="inlineStr">
        <is>
          <t>EUR</t>
        </is>
      </c>
      <c r="J1149" s="22" t="inlineStr"/>
      <c r="K1149" s="63" t="n">
        <v>14713.1667500504</v>
      </c>
      <c r="L1149" s="22" t="inlineStr">
        <is>
          <t>3001.B</t>
        </is>
      </c>
      <c r="M1149" s="22" t="n">
        <v>1</v>
      </c>
      <c r="N1149" s="22" t="inlineStr">
        <is>
          <t>Budget offer 30373/14; DDU Izmir, montaj haric (montaj supervizyonu/devreye alma dahil), standart kablo/direkler haric, KDV haric | Konak depo 19 + Karsiyaka 15</t>
        </is>
      </c>
    </row>
    <row r="1150">
      <c r="A1150" s="22" t="inlineStr">
        <is>
          <t>R06522</t>
        </is>
      </c>
      <c r="B1150" s="22" t="inlineStr">
        <is>
          <t>Izmir_Konak_Karsiyaka_Tramvay</t>
        </is>
      </c>
      <c r="C1150" s="22" t="inlineStr">
        <is>
          <t>tramvay</t>
        </is>
      </c>
      <c r="D1150" s="22" t="inlineStr">
        <is>
          <t>Hanning &amp; Kahl</t>
        </is>
      </c>
      <c r="E1150" s="22" t="inlineStr">
        <is>
          <t>2014-02-11</t>
        </is>
      </c>
      <c r="F1150" s="22" t="inlineStr">
        <is>
          <t>Manuel makas mekanizmasi HWU40 D (throw-over/sprung, hidrolik damperli)</t>
        </is>
      </c>
      <c r="G1150" s="22" t="inlineStr">
        <is>
          <t>adet</t>
        </is>
      </c>
      <c r="H1150" s="63" t="n">
        <v>3752</v>
      </c>
      <c r="I1150" s="22" t="inlineStr">
        <is>
          <t>EUR</t>
        </is>
      </c>
      <c r="J1150" s="22" t="inlineStr"/>
      <c r="K1150" s="63" t="n">
        <v>5055.29319104297</v>
      </c>
      <c r="L1150" s="22" t="inlineStr">
        <is>
          <t>3001.B</t>
        </is>
      </c>
      <c r="M1150" s="22" t="n">
        <v>2</v>
      </c>
      <c r="N1150" s="22" t="inlineStr">
        <is>
          <t>Budget offer 30373/14; DDU Izmir, montaj haric (montaj supervizyonu/devreye alma dahil), standart kablo/direkler haric, KDV haric | Konak 12 + Karsiyaka 8; hat+depo</t>
        </is>
      </c>
    </row>
    <row r="1151">
      <c r="A1151" s="22" t="inlineStr">
        <is>
          <t>R06525</t>
        </is>
      </c>
      <c r="B1151" s="22" t="inlineStr">
        <is>
          <t>Izmir_Konak_Karsiyaka_Tramvay</t>
        </is>
      </c>
      <c r="C1151" s="22" t="inlineStr">
        <is>
          <t>tramvay</t>
        </is>
      </c>
      <c r="D1151" s="22" t="inlineStr">
        <is>
          <t>Hanning &amp; Kahl</t>
        </is>
      </c>
      <c r="E1151" s="22" t="inlineStr">
        <is>
          <t>2014-02-11</t>
        </is>
      </c>
      <c r="F1151" s="22" t="inlineStr">
        <is>
          <t>HCS-R alici kabini - karayolu kavsagi trafik isigi onceligi (Alu kabin, 4 lup, anahtar, 800 m kablo)</t>
        </is>
      </c>
      <c r="G1151" s="22" t="inlineStr">
        <is>
          <t>adet</t>
        </is>
      </c>
      <c r="H1151" s="63" t="n">
        <v>16912</v>
      </c>
      <c r="I1151" s="22" t="inlineStr">
        <is>
          <t>EUR</t>
        </is>
      </c>
      <c r="J1151" s="22" t="inlineStr"/>
      <c r="K1151" s="63" t="n">
        <v>22786.5454282832</v>
      </c>
      <c r="L1151" s="22" t="inlineStr">
        <is>
          <t>3001.A</t>
        </is>
      </c>
      <c r="M1151" s="22" t="n">
        <v>1</v>
      </c>
      <c r="N1151" s="22" t="inlineStr">
        <is>
          <t>Budget offer 30373/14; DDU Izmir, montaj haric (montaj supervizyonu/devreye alma dahil), standart kablo/direkler haric, KDV haric | Konak 20 + Karsiyaka 15; TSKP/trafik lambalari haric</t>
        </is>
      </c>
    </row>
    <row r="1152">
      <c r="A1152" s="22" t="inlineStr">
        <is>
          <t>R06526</t>
        </is>
      </c>
      <c r="B1152" s="22" t="inlineStr">
        <is>
          <t>Izmir_Konak_Karsiyaka_Tramvay</t>
        </is>
      </c>
      <c r="C1152" s="22" t="inlineStr">
        <is>
          <t>tramvay</t>
        </is>
      </c>
      <c r="D1152" s="22" t="inlineStr">
        <is>
          <t>Hanning &amp; Kahl</t>
        </is>
      </c>
      <c r="E1152" s="22" t="inlineStr">
        <is>
          <t>2014-02-11</t>
        </is>
      </c>
      <c r="F1152" s="22" t="inlineStr">
        <is>
          <t>Sinyalizasyon kontrolcusu HN-SA - terminal/makas bolgesi (4 makas, 4 HSK ray devresi, 4 LED sinyal, 2 anahtar, HCS-V alici + 4 lup, makas isitma kontrol)</t>
        </is>
      </c>
      <c r="G1152" s="22" t="inlineStr">
        <is>
          <t>adet</t>
        </is>
      </c>
      <c r="H1152" s="63" t="n">
        <v>69552</v>
      </c>
      <c r="I1152" s="22" t="inlineStr">
        <is>
          <t>EUR</t>
        </is>
      </c>
      <c r="J1152" s="22" t="inlineStr"/>
      <c r="K1152" s="63" t="n">
        <v>93711.55437724431</v>
      </c>
      <c r="L1152" s="22" t="inlineStr">
        <is>
          <t>3001.A</t>
        </is>
      </c>
      <c r="M1152" s="22" t="n">
        <v>1</v>
      </c>
      <c r="N1152" s="22" t="inlineStr">
        <is>
          <t>Budget offer 30373/14; DDU Izmir, montaj haric (montaj supervizyonu/devreye alma dahil), standart kablo/direkler haric, KDV haric | Konak 3 + Karsiyaka 3 terminal</t>
        </is>
      </c>
    </row>
    <row r="1153">
      <c r="A1153" s="22" t="inlineStr">
        <is>
          <t>R06527</t>
        </is>
      </c>
      <c r="B1153" s="22" t="inlineStr">
        <is>
          <t>Izmir_Konak_Karsiyaka_Tramvay</t>
        </is>
      </c>
      <c r="C1153" s="22" t="inlineStr">
        <is>
          <t>tramvay</t>
        </is>
      </c>
      <c r="D1153" s="22" t="inlineStr">
        <is>
          <t>Hanning &amp; Kahl</t>
        </is>
      </c>
      <c r="E1153" s="22" t="inlineStr">
        <is>
          <t>2014-02-11</t>
        </is>
      </c>
      <c r="F1153" s="22" t="inlineStr">
        <is>
          <t>Depo sinyalizasyon ekipmani KONAK (19 makas, 17 HSK ray devresi, 6000 m kablo, 15 LED + 15 matris sinyal, 15 guzergah talep paneli, AVLS/TCC arayuzu)</t>
        </is>
      </c>
      <c r="G1153" s="22" t="inlineStr">
        <is>
          <t>set</t>
        </is>
      </c>
      <c r="H1153" s="63" t="n">
        <v>206808</v>
      </c>
      <c r="I1153" s="22" t="inlineStr">
        <is>
          <t>EUR</t>
        </is>
      </c>
      <c r="J1153" s="22" t="inlineStr"/>
      <c r="K1153" s="63" t="n">
        <v>278644.742604801</v>
      </c>
      <c r="L1153" s="22" t="inlineStr">
        <is>
          <t>3001.B</t>
        </is>
      </c>
      <c r="M1153" s="22" t="n">
        <v>1</v>
      </c>
      <c r="N1153" s="22" t="inlineStr">
        <is>
          <t>Budget offer 30373/14; DDU Izmir, montaj haric (montaj supervizyonu/devreye alma dahil), standart kablo/direkler haric, KDV haric</t>
        </is>
      </c>
    </row>
    <row r="1154">
      <c r="A1154" s="22" t="inlineStr">
        <is>
          <t>R06529</t>
        </is>
      </c>
      <c r="B1154" s="22" t="inlineStr">
        <is>
          <t>Izmir_Konak_Karsiyaka_Tramvay</t>
        </is>
      </c>
      <c r="C1154" s="22" t="inlineStr">
        <is>
          <t>tramvay</t>
        </is>
      </c>
      <c r="D1154" s="22" t="inlineStr">
        <is>
          <t>Hanning &amp; Kahl</t>
        </is>
      </c>
      <c r="E1154" s="22" t="inlineStr">
        <is>
          <t>2014-02-11</t>
        </is>
      </c>
      <c r="F1154" s="22" t="inlineStr">
        <is>
          <t>HCS-R/kontrolcu/depo devreye alma + egitim (15 is gunu) - Konak</t>
        </is>
      </c>
      <c r="G1154" s="22" t="inlineStr">
        <is>
          <t>set</t>
        </is>
      </c>
      <c r="H1154" s="63" t="n">
        <v>30464</v>
      </c>
      <c r="I1154" s="22" t="inlineStr">
        <is>
          <t>EUR</t>
        </is>
      </c>
      <c r="J1154" s="22" t="inlineStr"/>
      <c r="K1154" s="63" t="n">
        <v>41045.9626257817</v>
      </c>
      <c r="L1154" s="22" t="inlineStr">
        <is>
          <t>3001.A</t>
        </is>
      </c>
      <c r="M1154" s="22" t="n">
        <v>1</v>
      </c>
      <c r="N1154" s="22" t="inlineStr">
        <is>
          <t>Budget offer 30373/14; DDU Izmir, montaj haric (montaj supervizyonu/devreye alma dahil), standart kablo/direkler haric, KDV haric</t>
        </is>
      </c>
    </row>
    <row r="1155">
      <c r="A1155" s="22" t="inlineStr">
        <is>
          <t>R06530</t>
        </is>
      </c>
      <c r="B1155" s="22" t="inlineStr">
        <is>
          <t>Izmir_Konak_Karsiyaka_Tramvay</t>
        </is>
      </c>
      <c r="C1155" s="22" t="inlineStr">
        <is>
          <t>tramvay</t>
        </is>
      </c>
      <c r="D1155" s="22" t="inlineStr">
        <is>
          <t>Hanning &amp; Kahl</t>
        </is>
      </c>
      <c r="E1155" s="22" t="inlineStr">
        <is>
          <t>2014-02-11</t>
        </is>
      </c>
      <c r="F1155" s="22" t="inlineStr">
        <is>
          <t>HCS-R/kontrolcu/depo devreye alma + egitim (15 is gunu) - Karsiyaka</t>
        </is>
      </c>
      <c r="G1155" s="22" t="inlineStr">
        <is>
          <t>set</t>
        </is>
      </c>
      <c r="H1155" s="63" t="n">
        <v>29904</v>
      </c>
      <c r="I1155" s="22" t="inlineStr">
        <is>
          <t>EUR</t>
        </is>
      </c>
      <c r="J1155" s="22" t="inlineStr"/>
      <c r="K1155" s="63" t="n">
        <v>40291.4412539843</v>
      </c>
      <c r="L1155" s="22" t="inlineStr">
        <is>
          <t>3001.A</t>
        </is>
      </c>
      <c r="M1155" s="22" t="n">
        <v>1</v>
      </c>
      <c r="N1155" s="22" t="inlineStr">
        <is>
          <t>Budget offer 30373/14; DDU Izmir, montaj haric (montaj supervizyonu/devreye alma dahil), standart kablo/direkler haric, KDV haric</t>
        </is>
      </c>
    </row>
    <row r="1156">
      <c r="A1156" s="22" t="inlineStr">
        <is>
          <t>R06531</t>
        </is>
      </c>
      <c r="B1156" s="22" t="inlineStr">
        <is>
          <t>Izmir_Konak_Karsiyaka_Tramvay</t>
        </is>
      </c>
      <c r="C1156" s="22" t="inlineStr">
        <is>
          <t>tramvay</t>
        </is>
      </c>
      <c r="D1156" s="22" t="inlineStr">
        <is>
          <t>Hanning &amp; Kahl</t>
        </is>
      </c>
      <c r="E1156" s="22" t="inlineStr">
        <is>
          <t>2014-02-11</t>
        </is>
      </c>
      <c r="F1156" s="22" t="inlineStr">
        <is>
          <t>HCS-V cift yonlu arac ustu ekipman (kabin kontrol unitesi, arac haberlesme unitesi, transponder, kablo seti) - kabin basina</t>
        </is>
      </c>
      <c r="G1156" s="22" t="inlineStr">
        <is>
          <t>kabin</t>
        </is>
      </c>
      <c r="H1156" s="63" t="n">
        <v>3746</v>
      </c>
      <c r="I1156" s="22" t="inlineStr">
        <is>
          <t>EUR</t>
        </is>
      </c>
      <c r="J1156" s="22" t="inlineStr"/>
      <c r="K1156" s="63" t="n">
        <v>5047.209033488</v>
      </c>
      <c r="L1156" s="22" t="inlineStr">
        <is>
          <t>3001.C</t>
        </is>
      </c>
      <c r="M1156" s="22" t="n">
        <v>4</v>
      </c>
      <c r="N1156" s="22" t="inlineStr">
        <is>
          <t>Budget offer 30373/14; DDU Izmir, montaj haric (montaj supervizyonu/devreye alma dahil), standart kablo/direkler haric, KDV haric | 36 cift kabinli tramvay; arac basina ~7.700 EUR</t>
        </is>
      </c>
    </row>
    <row r="1157">
      <c r="A1157" s="22" t="inlineStr">
        <is>
          <t>R06532</t>
        </is>
      </c>
      <c r="B1157" s="22" t="inlineStr">
        <is>
          <t>Izmir_Konak_Karsiyaka_Tramvay</t>
        </is>
      </c>
      <c r="C1157" s="22" t="inlineStr">
        <is>
          <t>tramvay</t>
        </is>
      </c>
      <c r="D1157" s="22" t="inlineStr">
        <is>
          <t>Hanning &amp; Kahl</t>
        </is>
      </c>
      <c r="E1157" s="22" t="inlineStr">
        <is>
          <t>2014-02-11</t>
        </is>
      </c>
      <c r="F1157" s="22" t="inlineStr">
        <is>
          <t>AVLS / isletme ve izleme sistemi (sinyal izleme+uzaktan kumanda) - Konak</t>
        </is>
      </c>
      <c r="G1157" s="22" t="inlineStr">
        <is>
          <t>set</t>
        </is>
      </c>
      <c r="H1157" s="63" t="n">
        <v>101360</v>
      </c>
      <c r="I1157" s="22" t="inlineStr">
        <is>
          <t>EUR</t>
        </is>
      </c>
      <c r="J1157" s="22" t="inlineStr"/>
      <c r="K1157" s="63" t="n">
        <v>136568.36829534</v>
      </c>
      <c r="L1157" s="22" t="inlineStr">
        <is>
          <t>3003</t>
        </is>
      </c>
      <c r="M1157" s="22" t="n">
        <v>1</v>
      </c>
      <c r="N1157" s="22" t="inlineStr">
        <is>
          <t>Budget offer 30373/14; DDU Izmir, montaj haric (montaj supervizyonu/devreye alma dahil), standart kablo/direkler haric, KDV haric</t>
        </is>
      </c>
    </row>
    <row r="1158">
      <c r="A1158" s="22" t="inlineStr">
        <is>
          <t>R06536</t>
        </is>
      </c>
      <c r="B1158" s="22" t="inlineStr">
        <is>
          <t>Izmir_Konak_Karsiyaka_Tramvay</t>
        </is>
      </c>
      <c r="C1158" s="22" t="inlineStr">
        <is>
          <t>tramvay</t>
        </is>
      </c>
      <c r="D1158" s="22" t="inlineStr">
        <is>
          <t>Hanning &amp; Kahl</t>
        </is>
      </c>
      <c r="E1158" s="22" t="inlineStr">
        <is>
          <t>2014-02-11</t>
        </is>
      </c>
      <c r="F1158" s="22" t="inlineStr">
        <is>
          <t>Opsiyon: Izmirde 1 haftalik egitim</t>
        </is>
      </c>
      <c r="G1158" s="22" t="inlineStr">
        <is>
          <t>set</t>
        </is>
      </c>
      <c r="H1158" s="63" t="n">
        <v>6360</v>
      </c>
      <c r="I1158" s="22" t="inlineStr">
        <is>
          <t>EUR</t>
        </is>
      </c>
      <c r="J1158" s="22" t="inlineStr"/>
      <c r="K1158" s="63" t="n">
        <v>8569.207008271131</v>
      </c>
      <c r="L1158" s="22" t="inlineStr">
        <is>
          <t>3001.D</t>
        </is>
      </c>
      <c r="M1158" s="22" t="n">
        <v>1</v>
      </c>
      <c r="N1158" s="22" t="inlineStr">
        <is>
          <t>Budget offer 30373/14; DDU Izmir, montaj haric (montaj supervizyonu/devreye alma dahil), standart kablo/direkler haric, KDV haric</t>
        </is>
      </c>
    </row>
    <row r="1159">
      <c r="A1159" s="22" t="inlineStr">
        <is>
          <t>R06540</t>
        </is>
      </c>
      <c r="B1159" s="22" t="inlineStr">
        <is>
          <t>Izmir_Konak_Karsiyaka_Tramvay</t>
        </is>
      </c>
      <c r="C1159" s="22" t="inlineStr">
        <is>
          <t>tramvay</t>
        </is>
      </c>
      <c r="D1159" s="22" t="inlineStr">
        <is>
          <t>CONTEC</t>
        </is>
      </c>
      <c r="E1159" s="22" t="inlineStr">
        <is>
          <t>2014-02-12</t>
        </is>
      </c>
      <c r="F1159" s="22" t="inlineStr">
        <is>
          <t>CONTEC TCS 300 makas kontrol ve sinyalizasyon kabini (4 elektrikli makas, SIL4 PLC, 4 ray devresi karti, kutle dedektor karti, V-COM karti, PCC ethernet)</t>
        </is>
      </c>
      <c r="G1159" s="22" t="inlineStr">
        <is>
          <t>adet</t>
        </is>
      </c>
      <c r="H1159" s="63" t="n">
        <v>28078.79</v>
      </c>
      <c r="I1159" s="22" t="inlineStr">
        <is>
          <t>EUR</t>
        </is>
      </c>
      <c r="J1159" s="22" t="inlineStr"/>
      <c r="K1159" s="63" t="n">
        <v>37832.2270521656</v>
      </c>
      <c r="L1159" s="22" t="inlineStr">
        <is>
          <t>3001.A</t>
        </is>
      </c>
      <c r="M1159" s="22" t="n">
        <v>1</v>
      </c>
      <c r="N1159" s="22" t="inlineStr">
        <is>
          <t>Kablo, montaj, devreye alma opsiyonel; KDV haric | Konak 3 alan + Karsiyaka 3 alan</t>
        </is>
      </c>
    </row>
    <row r="1160">
      <c r="A1160" s="22" t="inlineStr">
        <is>
          <t>R06541</t>
        </is>
      </c>
      <c r="B1160" s="22" t="inlineStr">
        <is>
          <t>Izmir_Konak_Karsiyaka_Tramvay</t>
        </is>
      </c>
      <c r="C1160" s="22" t="inlineStr">
        <is>
          <t>tramvay</t>
        </is>
      </c>
      <c r="D1160" s="22" t="inlineStr">
        <is>
          <t>CONTEC</t>
        </is>
      </c>
      <c r="E1160" s="22" t="inlineStr">
        <is>
          <t>2014-02-12</t>
        </is>
      </c>
      <c r="F1160" s="22" t="inlineStr">
        <is>
          <t>Ray bloklama devresi elemanlari seti (2 besleme ray kutusu + kondansator kutusu, baglantilar)</t>
        </is>
      </c>
      <c r="G1160" s="22" t="inlineStr">
        <is>
          <t>adet</t>
        </is>
      </c>
      <c r="H1160" s="63" t="n">
        <v>2289.92</v>
      </c>
      <c r="I1160" s="22" t="inlineStr">
        <is>
          <t>EUR</t>
        </is>
      </c>
      <c r="J1160" s="22" t="inlineStr"/>
      <c r="K1160" s="63" t="n">
        <v>3085.34567804721</v>
      </c>
      <c r="L1160" s="22" t="inlineStr">
        <is>
          <t>3001.A</t>
        </is>
      </c>
      <c r="M1160" s="22" t="n">
        <v>2</v>
      </c>
      <c r="N1160" s="22" t="inlineStr">
        <is>
          <t>Kablo, montaj, devreye alma opsiyonel; KDV haric</t>
        </is>
      </c>
    </row>
    <row r="1161">
      <c r="A1161" s="22" t="inlineStr">
        <is>
          <t>R06542</t>
        </is>
      </c>
      <c r="B1161" s="22" t="inlineStr">
        <is>
          <t>Izmir_Konak_Karsiyaka_Tramvay</t>
        </is>
      </c>
      <c r="C1161" s="22" t="inlineStr">
        <is>
          <t>tramvay</t>
        </is>
      </c>
      <c r="D1161" s="22" t="inlineStr">
        <is>
          <t>CONTEC</t>
        </is>
      </c>
      <c r="E1161" s="22" t="inlineStr">
        <is>
          <t>2014-02-12</t>
        </is>
      </c>
      <c r="F1161" s="22" t="inlineStr">
        <is>
          <t>Kutle dedeksiyon lupu ray elemanlari (makas motoru zemin kutusu - gobek arasi)</t>
        </is>
      </c>
      <c r="G1161" s="22" t="inlineStr">
        <is>
          <t>adet</t>
        </is>
      </c>
      <c r="H1161" s="63" t="n">
        <v>121.1</v>
      </c>
      <c r="I1161" s="22" t="inlineStr">
        <is>
          <t>EUR</t>
        </is>
      </c>
      <c r="J1161" s="22" t="inlineStr"/>
      <c r="K1161" s="63" t="n">
        <v>163.1652466512</v>
      </c>
      <c r="L1161" s="22" t="inlineStr">
        <is>
          <t>3001.A</t>
        </is>
      </c>
      <c r="M1161" s="22" t="n">
        <v>2</v>
      </c>
      <c r="N1161" s="22" t="inlineStr">
        <is>
          <t>[AYKIRI DEĞER – otomatik dışlandı] Kablo, montaj, devreye alma opsiyonel; KDV haric | sadece ray ici lup elemanlari</t>
        </is>
      </c>
    </row>
    <row r="1162">
      <c r="A1162" s="22" t="inlineStr">
        <is>
          <t>R06543</t>
        </is>
      </c>
      <c r="B1162" s="22" t="inlineStr">
        <is>
          <t>Izmir_Konak_Karsiyaka_Tramvay</t>
        </is>
      </c>
      <c r="C1162" s="22" t="inlineStr">
        <is>
          <t>tramvay</t>
        </is>
      </c>
      <c r="D1162" s="22" t="inlineStr">
        <is>
          <t>CONTEC</t>
        </is>
      </c>
      <c r="E1162" s="22" t="inlineStr">
        <is>
          <t>2014-02-12</t>
        </is>
      </c>
      <c r="F1162" s="22" t="inlineStr">
        <is>
          <t>CONTEC LED Unilight akilli sinyal 3 govde 5 gorunum (dur/gec + sag/sol + B matris)</t>
        </is>
      </c>
      <c r="G1162" s="22" t="inlineStr">
        <is>
          <t>adet</t>
        </is>
      </c>
      <c r="H1162" s="63" t="n">
        <v>1421.54</v>
      </c>
      <c r="I1162" s="22" t="inlineStr">
        <is>
          <t>EUR</t>
        </is>
      </c>
      <c r="J1162" s="22" t="inlineStr"/>
      <c r="K1162" s="63" t="n">
        <v>1915.325555116</v>
      </c>
      <c r="L1162" s="22" t="inlineStr">
        <is>
          <t>3001.A</t>
        </is>
      </c>
      <c r="M1162" s="22" t="n">
        <v>2</v>
      </c>
      <c r="N1162" s="22" t="inlineStr">
        <is>
          <t>Kablo, montaj, devreye alma opsiyonel; KDV haric</t>
        </is>
      </c>
    </row>
    <row r="1163">
      <c r="A1163" s="22" t="inlineStr">
        <is>
          <t>R06544</t>
        </is>
      </c>
      <c r="B1163" s="22" t="inlineStr">
        <is>
          <t>Izmir_Konak_Karsiyaka_Tramvay</t>
        </is>
      </c>
      <c r="C1163" s="22" t="inlineStr">
        <is>
          <t>tramvay</t>
        </is>
      </c>
      <c r="D1163" s="22" t="inlineStr">
        <is>
          <t>CONTEC</t>
        </is>
      </c>
      <c r="E1163" s="22" t="inlineStr">
        <is>
          <t>2014-02-12</t>
        </is>
      </c>
      <c r="F1163" s="22" t="inlineStr">
        <is>
          <t>V-COM arac haberlesme lupu ray elemanlari (lup kablosu + koruma borusu + paslanmaz ray kutusu)</t>
        </is>
      </c>
      <c r="G1163" s="22" t="inlineStr">
        <is>
          <t>adet</t>
        </is>
      </c>
      <c r="H1163" s="63" t="n">
        <v>1118.08</v>
      </c>
      <c r="I1163" s="22" t="inlineStr">
        <is>
          <t>EUR</t>
        </is>
      </c>
      <c r="J1163" s="22" t="inlineStr"/>
      <c r="K1163" s="63" t="n">
        <v>1506.45581317733</v>
      </c>
      <c r="L1163" s="22" t="inlineStr">
        <is>
          <t>3001.A</t>
        </is>
      </c>
      <c r="M1163" s="22" t="n">
        <v>2</v>
      </c>
      <c r="N1163" s="22" t="inlineStr">
        <is>
          <t>Kablo, montaj, devreye alma opsiyonel; KDV haric</t>
        </is>
      </c>
    </row>
    <row r="1164">
      <c r="A1164" s="22" t="inlineStr">
        <is>
          <t>R06546</t>
        </is>
      </c>
      <c r="B1164" s="22" t="inlineStr">
        <is>
          <t>Izmir_Konak_Karsiyaka_Tramvay</t>
        </is>
      </c>
      <c r="C1164" s="22" t="inlineStr">
        <is>
          <t>tramvay</t>
        </is>
      </c>
      <c r="D1164" s="22" t="inlineStr">
        <is>
          <t>CONTEC</t>
        </is>
      </c>
      <c r="E1164" s="22" t="inlineStr">
        <is>
          <t>2014-02-12</t>
        </is>
      </c>
      <c r="F1164" s="22" t="inlineStr">
        <is>
          <t>Makas motoru UNISTAR CSV 24 PV-P-EH-M (elektro-hidrolik 400V AC, paslanmaz, gobek ici, zemin kutulu, SIL4)</t>
        </is>
      </c>
      <c r="G1164" s="22" t="inlineStr">
        <is>
          <t>adet</t>
        </is>
      </c>
      <c r="H1164" s="63" t="n">
        <v>13200</v>
      </c>
      <c r="I1164" s="22" t="inlineStr">
        <is>
          <t>EUR</t>
        </is>
      </c>
      <c r="J1164" s="22" t="inlineStr"/>
      <c r="K1164" s="63" t="n">
        <v>17785.1466209401</v>
      </c>
      <c r="L1164" s="22" t="inlineStr">
        <is>
          <t>3001.A</t>
        </is>
      </c>
      <c r="M1164" s="22" t="n">
        <v>1</v>
      </c>
      <c r="N1164" s="22" t="inlineStr">
        <is>
          <t>Kablo, montaj, devreye alma opsiyonel; KDV haric</t>
        </is>
      </c>
    </row>
    <row r="1165">
      <c r="A1165" s="22" t="inlineStr">
        <is>
          <t>R06547</t>
        </is>
      </c>
      <c r="B1165" s="22" t="inlineStr">
        <is>
          <t>Izmir_Konak_Karsiyaka_Tramvay</t>
        </is>
      </c>
      <c r="C1165" s="22" t="inlineStr">
        <is>
          <t>tramvay</t>
        </is>
      </c>
      <c r="D1165" s="22" t="inlineStr">
        <is>
          <t>CONTEC</t>
        </is>
      </c>
      <c r="E1165" s="22" t="inlineStr">
        <is>
          <t>2014-02-12</t>
        </is>
      </c>
      <c r="F1165" s="22" t="inlineStr">
        <is>
          <t>Manuel makas motoru CONTEC CSV 34 O-O-D (paslanmaz, damperli, zemin kutulu)</t>
        </is>
      </c>
      <c r="G1165" s="22" t="inlineStr">
        <is>
          <t>adet</t>
        </is>
      </c>
      <c r="H1165" s="63" t="n">
        <v>3600</v>
      </c>
      <c r="I1165" s="22" t="inlineStr">
        <is>
          <t>EUR</t>
        </is>
      </c>
      <c r="J1165" s="22" t="inlineStr"/>
      <c r="K1165" s="63" t="n">
        <v>4850.49453298366</v>
      </c>
      <c r="L1165" s="22" t="inlineStr">
        <is>
          <t>3001.A</t>
        </is>
      </c>
      <c r="M1165" s="22" t="n">
        <v>2</v>
      </c>
      <c r="N1165" s="22" t="inlineStr">
        <is>
          <t>Kablo, montaj, devreye alma opsiyonel; KDV haric | Konak 12 + Karsiyaka 8</t>
        </is>
      </c>
    </row>
    <row r="1166">
      <c r="A1166" s="22" t="inlineStr">
        <is>
          <t>R06552</t>
        </is>
      </c>
      <c r="B1166" s="22" t="inlineStr">
        <is>
          <t>Izmir_Konak_Karsiyaka_Tramvay</t>
        </is>
      </c>
      <c r="C1166" s="22" t="inlineStr">
        <is>
          <t>tramvay</t>
        </is>
      </c>
      <c r="D1166" s="22" t="inlineStr">
        <is>
          <t>CONTEC</t>
        </is>
      </c>
      <c r="E1166" s="22" t="inlineStr">
        <is>
          <t>2014-02-12</t>
        </is>
      </c>
      <c r="F1166" s="22" t="inlineStr">
        <is>
          <t>Kavsak algilama kabini TCS 300 Vehicle Detection (V-COM karti, trafik kontrolcusu role arayuzu, PCC ethernet)</t>
        </is>
      </c>
      <c r="G1166" s="22" t="inlineStr">
        <is>
          <t>adet</t>
        </is>
      </c>
      <c r="H1166" s="63" t="n">
        <v>6403.17</v>
      </c>
      <c r="I1166" s="22" t="inlineStr">
        <is>
          <t>EUR</t>
        </is>
      </c>
      <c r="J1166" s="22" t="inlineStr"/>
      <c r="K1166" s="63" t="n">
        <v>8627.372521879161</v>
      </c>
      <c r="L1166" s="22" t="inlineStr">
        <is>
          <t>3001.A</t>
        </is>
      </c>
      <c r="M1166" s="22" t="n">
        <v>1</v>
      </c>
      <c r="N1166" s="22" t="inlineStr">
        <is>
          <t>Kablo, montaj, devreye alma opsiyonel; KDV haric | Konak 16 + Karsiyaka 13</t>
        </is>
      </c>
    </row>
    <row r="1167">
      <c r="A1167" s="22" t="inlineStr">
        <is>
          <t>R06556</t>
        </is>
      </c>
      <c r="B1167" s="22" t="inlineStr">
        <is>
          <t>Izmir_Konak_Karsiyaka_Tramvay</t>
        </is>
      </c>
      <c r="C1167" s="22" t="inlineStr">
        <is>
          <t>tramvay</t>
        </is>
      </c>
      <c r="D1167" s="22" t="inlineStr">
        <is>
          <t>CONTEC</t>
        </is>
      </c>
      <c r="E1167" s="22" t="inlineStr">
        <is>
          <t>2014-02-12</t>
        </is>
      </c>
      <c r="F1167" s="22" t="inlineStr">
        <is>
          <t>CONTEC TCS 300 depo makas kontrol sistemi (16 elektrikli makas, 3 ic kabin, SIL4 PLC, 14 ray devresi karti)</t>
        </is>
      </c>
      <c r="G1167" s="22" t="inlineStr">
        <is>
          <t>adet</t>
        </is>
      </c>
      <c r="H1167" s="63" t="n">
        <v>85475.92999999999</v>
      </c>
      <c r="I1167" s="22" t="inlineStr">
        <is>
          <t>EUR</t>
        </is>
      </c>
      <c r="J1167" s="22" t="inlineStr"/>
      <c r="K1167" s="63" t="n">
        <v>115166.814212971</v>
      </c>
      <c r="L1167" s="22" t="inlineStr">
        <is>
          <t>3001.B</t>
        </is>
      </c>
      <c r="M1167" s="22" t="n">
        <v>1</v>
      </c>
      <c r="N1167" s="22" t="inlineStr">
        <is>
          <t>Depo BoM; kablo/montaj opsiyonel</t>
        </is>
      </c>
    </row>
    <row r="1168">
      <c r="A1168" s="22" t="inlineStr">
        <is>
          <t>R06558</t>
        </is>
      </c>
      <c r="B1168" s="22" t="inlineStr">
        <is>
          <t>Izmir_Konak_Karsiyaka_Tramvay</t>
        </is>
      </c>
      <c r="C1168" s="22" t="inlineStr">
        <is>
          <t>tramvay</t>
        </is>
      </c>
      <c r="D1168" s="22" t="inlineStr">
        <is>
          <t>CONTEC</t>
        </is>
      </c>
      <c r="E1168" s="22" t="inlineStr">
        <is>
          <t>2014-02-12</t>
        </is>
      </c>
      <c r="F1168" s="22" t="inlineStr">
        <is>
          <t>LED makas pozisyon gostergesi PPI (2 govde) - depo</t>
        </is>
      </c>
      <c r="G1168" s="22" t="inlineStr">
        <is>
          <t>adet</t>
        </is>
      </c>
      <c r="H1168" s="63" t="n">
        <v>648.9</v>
      </c>
      <c r="I1168" s="22" t="inlineStr">
        <is>
          <t>EUR</t>
        </is>
      </c>
      <c r="J1168" s="22" t="inlineStr"/>
      <c r="K1168" s="63" t="n">
        <v>874.301639570305</v>
      </c>
      <c r="L1168" s="22" t="inlineStr">
        <is>
          <t>3001.B</t>
        </is>
      </c>
      <c r="M1168" s="22" t="n">
        <v>1</v>
      </c>
      <c r="N1168" s="22" t="inlineStr">
        <is>
          <t>Depo BoM; kablo/montaj opsiyonel</t>
        </is>
      </c>
    </row>
    <row r="1169">
      <c r="A1169" s="22" t="inlineStr">
        <is>
          <t>R06559</t>
        </is>
      </c>
      <c r="B1169" s="22" t="inlineStr">
        <is>
          <t>Izmir_Konak_Karsiyaka_Tramvay</t>
        </is>
      </c>
      <c r="C1169" s="22" t="inlineStr">
        <is>
          <t>tramvay</t>
        </is>
      </c>
      <c r="D1169" s="22" t="inlineStr">
        <is>
          <t>CONTEC</t>
        </is>
      </c>
      <c r="E1169" s="22" t="inlineStr">
        <is>
          <t>2014-02-12</t>
        </is>
      </c>
      <c r="F1169" s="22" t="inlineStr">
        <is>
          <t>Depo guzergah talep paneli (6 isikli buton)</t>
        </is>
      </c>
      <c r="G1169" s="22" t="inlineStr">
        <is>
          <t>adet</t>
        </is>
      </c>
      <c r="H1169" s="63" t="n">
        <v>878.6900000000001</v>
      </c>
      <c r="I1169" s="22" t="inlineStr">
        <is>
          <t>EUR</t>
        </is>
      </c>
      <c r="J1169" s="22" t="inlineStr"/>
      <c r="K1169" s="63" t="n">
        <v>1183.91140032984</v>
      </c>
      <c r="L1169" s="22" t="inlineStr">
        <is>
          <t>3001.B</t>
        </is>
      </c>
      <c r="M1169" s="22" t="n">
        <v>1</v>
      </c>
      <c r="N1169" s="22" t="inlineStr">
        <is>
          <t>Depo BoM; kablo/montaj opsiyonel</t>
        </is>
      </c>
    </row>
    <row r="1170">
      <c r="A1170" s="22" t="inlineStr">
        <is>
          <t>R06560</t>
        </is>
      </c>
      <c r="B1170" s="22" t="inlineStr">
        <is>
          <t>Izmir_Konak_Karsiyaka_Tramvay</t>
        </is>
      </c>
      <c r="C1170" s="22" t="inlineStr">
        <is>
          <t>tramvay</t>
        </is>
      </c>
      <c r="D1170" s="22" t="inlineStr">
        <is>
          <t>CONTEC</t>
        </is>
      </c>
      <c r="E1170" s="22" t="inlineStr">
        <is>
          <t>2014-02-12</t>
        </is>
      </c>
      <c r="F1170" s="22" t="inlineStr">
        <is>
          <t>Depo guzergah talep paneli (13 isikli buton)</t>
        </is>
      </c>
      <c r="G1170" s="22" t="inlineStr">
        <is>
          <t>adet</t>
        </is>
      </c>
      <c r="H1170" s="63" t="n">
        <v>1502.73</v>
      </c>
      <c r="I1170" s="22" t="inlineStr">
        <is>
          <t>EUR</t>
        </is>
      </c>
      <c r="J1170" s="22" t="inlineStr"/>
      <c r="K1170" s="63" t="n">
        <v>2024.7176804307</v>
      </c>
      <c r="L1170" s="22" t="inlineStr">
        <is>
          <t>3001.B</t>
        </is>
      </c>
      <c r="M1170" s="22" t="n">
        <v>1</v>
      </c>
      <c r="N1170" s="22" t="inlineStr">
        <is>
          <t>Depo BoM; kablo/montaj opsiyonel</t>
        </is>
      </c>
    </row>
    <row r="1171">
      <c r="A1171" s="22" t="inlineStr">
        <is>
          <t>R06561</t>
        </is>
      </c>
      <c r="B1171" s="22" t="inlineStr">
        <is>
          <t>Izmir_Konak_Karsiyaka_Tramvay</t>
        </is>
      </c>
      <c r="C1171" s="22" t="inlineStr">
        <is>
          <t>tramvay</t>
        </is>
      </c>
      <c r="D1171" s="22" t="inlineStr">
        <is>
          <t>CONTEC</t>
        </is>
      </c>
      <c r="E1171" s="22" t="inlineStr">
        <is>
          <t>2014-02-12</t>
        </is>
      </c>
      <c r="F1171" s="22" t="inlineStr">
        <is>
          <t>Makas motoru UNISTAR CSV 24 O-O-EH-M (elektro-hidrolik, IP67) - depo</t>
        </is>
      </c>
      <c r="G1171" s="22" t="inlineStr">
        <is>
          <t>adet</t>
        </is>
      </c>
      <c r="H1171" s="63" t="n">
        <v>11200</v>
      </c>
      <c r="I1171" s="22" t="inlineStr">
        <is>
          <t>EUR</t>
        </is>
      </c>
      <c r="J1171" s="22" t="inlineStr"/>
      <c r="K1171" s="63" t="n">
        <v>15090.4274359492</v>
      </c>
      <c r="L1171" s="22" t="inlineStr">
        <is>
          <t>3001.B</t>
        </is>
      </c>
      <c r="M1171" s="22" t="n">
        <v>1</v>
      </c>
      <c r="N1171" s="22" t="inlineStr">
        <is>
          <t>Depo BoM; kablo/montaj opsiyonel</t>
        </is>
      </c>
    </row>
    <row r="1172">
      <c r="A1172" s="22" t="inlineStr">
        <is>
          <t>R06576</t>
        </is>
      </c>
      <c r="B1172" s="22" t="inlineStr">
        <is>
          <t>Izmir_Metro_Project_II_FahrettinAltay_Narlidere</t>
        </is>
      </c>
      <c r="C1172" s="22" t="inlineStr">
        <is>
          <t>metro</t>
        </is>
      </c>
      <c r="D1172" s="22" t="inlineStr">
        <is>
          <t>Bombardier Transportation Sweden</t>
        </is>
      </c>
      <c r="E1172" s="22" t="inlineStr">
        <is>
          <t>2018-03-23</t>
        </is>
      </c>
      <c r="F1172" s="22" t="inlineStr">
        <is>
          <t>3.4.2 Bars for point machine</t>
        </is>
      </c>
      <c r="G1172" s="22" t="inlineStr">
        <is>
          <t>pc</t>
        </is>
      </c>
      <c r="H1172" s="63" t="n">
        <v>2287.55</v>
      </c>
      <c r="I1172" s="22" t="inlineStr">
        <is>
          <t>EUR</t>
        </is>
      </c>
      <c r="J1172" s="22" t="inlineStr"/>
      <c r="K1172" s="63" t="n">
        <v>2969.24101143232</v>
      </c>
      <c r="L1172" s="22" t="inlineStr">
        <is>
          <t>3001.A</t>
        </is>
      </c>
      <c r="M1172" s="22" t="n">
        <v>2</v>
      </c>
      <c r="N1172" s="22" t="inlineStr">
        <is>
          <t>Orijinal teklif SEK (Izmirext-2018-03-23, DAP Izmir, KDV haric); EUR degerleri YM hesap dosyasindaki 10,12 SEK/EUR kuru ile; mevcut Izmir metro (EBI Lock/ATP) 7 istasyonlu uzatmasi; hat km kaynakta yok | makas motoru cubuklari</t>
        </is>
      </c>
    </row>
    <row r="1173">
      <c r="A1173" s="22" t="inlineStr">
        <is>
          <t>R06581</t>
        </is>
      </c>
      <c r="B1173" s="22" t="inlineStr">
        <is>
          <t>Izmir_Metro_Project_II_FahrettinAltay_Narlidere</t>
        </is>
      </c>
      <c r="C1173" s="22" t="inlineStr">
        <is>
          <t>metro</t>
        </is>
      </c>
      <c r="D1173" s="22" t="inlineStr">
        <is>
          <t>Bombardier Transportation Sweden</t>
        </is>
      </c>
      <c r="E1173" s="22" t="inlineStr">
        <is>
          <t>2018-03-23</t>
        </is>
      </c>
      <c r="F1173" s="22" t="inlineStr">
        <is>
          <t>4.1 Signalling cables (OCS950)</t>
        </is>
      </c>
      <c r="G1173" s="22" t="inlineStr">
        <is>
          <t>meters</t>
        </is>
      </c>
      <c r="H1173" s="63" t="n">
        <v>1.13</v>
      </c>
      <c r="I1173" s="22" t="inlineStr">
        <is>
          <t>EUR</t>
        </is>
      </c>
      <c r="J1173" s="22" t="inlineStr"/>
      <c r="K1173" s="63" t="n">
        <v>1.46674054902342</v>
      </c>
      <c r="L1173" s="22" t="inlineStr">
        <is>
          <t>3001.A</t>
        </is>
      </c>
      <c r="M1173" s="22" t="n">
        <v>3</v>
      </c>
      <c r="N1173" s="22" t="inlineStr">
        <is>
          <t>Orijinal teklif SEK (Izmirext-2018-03-23, DAP Izmir, KDV haric); EUR degerleri YM hesap dosyasindaki 10,12 SEK/EUR kuru ile; mevcut Izmir metro (EBI Lock/ATP) 7 istasyonlu uzatmasi; hat km kaynakta yok</t>
        </is>
      </c>
    </row>
    <row r="1174">
      <c r="A1174" s="22" t="inlineStr">
        <is>
          <t>R06582</t>
        </is>
      </c>
      <c r="B1174" s="22" t="inlineStr">
        <is>
          <t>Izmir_Metro_Project_II_FahrettinAltay_Narlidere</t>
        </is>
      </c>
      <c r="C1174" s="22" t="inlineStr">
        <is>
          <t>metro</t>
        </is>
      </c>
      <c r="D1174" s="22" t="inlineStr">
        <is>
          <t>Bombardier Transportation Sweden</t>
        </is>
      </c>
      <c r="E1174" s="22" t="inlineStr">
        <is>
          <t>2018-03-23</t>
        </is>
      </c>
      <c r="F1174" s="22" t="inlineStr">
        <is>
          <t>4.2 Balise cables</t>
        </is>
      </c>
      <c r="G1174" s="22" t="inlineStr">
        <is>
          <t>meters</t>
        </is>
      </c>
      <c r="H1174" s="63" t="n">
        <v>1.88</v>
      </c>
      <c r="I1174" s="22" t="inlineStr">
        <is>
          <t>EUR</t>
        </is>
      </c>
      <c r="J1174" s="22" t="inlineStr"/>
      <c r="K1174" s="63" t="n">
        <v>2.44024091341949</v>
      </c>
      <c r="L1174" s="22" t="inlineStr"/>
      <c r="M1174" s="22" t="n">
        <v>3</v>
      </c>
      <c r="N1174" s="22" t="inlineStr">
        <is>
          <t>Orijinal teklif SEK (Izmirext-2018-03-23, DAP Izmir, KDV haric); EUR degerleri YM hesap dosyasindaki 10,12 SEK/EUR kuru ile; mevcut Izmir metro (EBI Lock/ATP) 7 istasyonlu uzatmasi; hat km kaynakta yok</t>
        </is>
      </c>
    </row>
    <row r="1175">
      <c r="A1175" s="22" t="inlineStr">
        <is>
          <t>R06584</t>
        </is>
      </c>
      <c r="B1175" s="22" t="inlineStr">
        <is>
          <t>Izmir_Metro_Project_II_FahrettinAltay_Narlidere</t>
        </is>
      </c>
      <c r="C1175" s="22" t="inlineStr">
        <is>
          <t>metro</t>
        </is>
      </c>
      <c r="D1175" s="22" t="inlineStr">
        <is>
          <t>Bombardier Transportation Sweden</t>
        </is>
      </c>
      <c r="E1175" s="22" t="inlineStr">
        <is>
          <t>2018-03-23</t>
        </is>
      </c>
      <c r="F1175" s="22" t="inlineStr">
        <is>
          <t>5.1 UPS 10 kVA, 1 h</t>
        </is>
      </c>
      <c r="G1175" s="22" t="inlineStr">
        <is>
          <t>pc</t>
        </is>
      </c>
      <c r="H1175" s="63" t="n">
        <v>4821.64</v>
      </c>
      <c r="I1175" s="22" t="inlineStr">
        <is>
          <t>EUR</t>
        </is>
      </c>
      <c r="J1175" s="22" t="inlineStr"/>
      <c r="K1175" s="63" t="n">
        <v>6258.49106264892</v>
      </c>
      <c r="L1175" s="22" t="inlineStr"/>
      <c r="M1175" s="22" t="n">
        <v>7</v>
      </c>
      <c r="N1175" s="22" t="inlineStr">
        <is>
          <t>Orijinal teklif SEK (Izmirext-2018-03-23, DAP Izmir, KDV haric); EUR degerleri YM hesap dosyasindaki 10,12 SEK/EUR kuru ile; mevcut Izmir metro (EBI Lock/ATP) 7 istasyonlu uzatmasi; hat km kaynakta yok | UPS 10 kVA</t>
        </is>
      </c>
    </row>
    <row r="1176">
      <c r="A1176" s="22" t="inlineStr">
        <is>
          <t>R06589</t>
        </is>
      </c>
      <c r="B1176" s="22" t="inlineStr">
        <is>
          <t>KOCAELI_BELEDIYESI_TRAMWAY_HATTI</t>
        </is>
      </c>
      <c r="C1176" s="22" t="inlineStr">
        <is>
          <t>tramvay</t>
        </is>
      </c>
      <c r="D1176" s="22" t="inlineStr">
        <is>
          <t>Ozgur Mak. (proje muellifi kesif ozeti - tedarikci teklifi degil)</t>
        </is>
      </c>
      <c r="E1176" s="22" t="inlineStr">
        <is>
          <t>2014-12-24</t>
        </is>
      </c>
      <c r="F1176" s="22" t="inlineStr">
        <is>
          <t>SS-3 Tramvay araci algilama unitesi</t>
        </is>
      </c>
      <c r="G1176" s="22" t="inlineStr">
        <is>
          <t>adet</t>
        </is>
      </c>
      <c r="H1176" s="63" t="n">
        <v>13280</v>
      </c>
      <c r="I1176" s="22" t="inlineStr">
        <is>
          <t>TRY</t>
        </is>
      </c>
      <c r="J1176" s="22" t="inlineStr"/>
      <c r="K1176" s="63" t="n">
        <v>6257.71492919763</v>
      </c>
      <c r="L1176" s="22" t="inlineStr">
        <is>
          <t>3001.A</t>
        </is>
      </c>
      <c r="M1176" s="22" t="n">
        <v>1</v>
      </c>
      <c r="N1176" s="22" t="inlineStr">
        <is>
          <t>Kocaeli Sekapark-Otogar tramvay hatti avan/uygulama proje revizyonu, B3 sinyalizasyon kesif ozeti (idare yaklasik maliyeti, TL, KDV haric varsayim); birim fiyat tarifleri KBB-TRM-BFT_C3 dosyasinda</t>
        </is>
      </c>
    </row>
    <row r="1177">
      <c r="A1177" s="22" t="inlineStr">
        <is>
          <t>R06590</t>
        </is>
      </c>
      <c r="B1177" s="22" t="inlineStr">
        <is>
          <t>KOCAELI_BELEDIYESI_TRAMWAY_HATTI</t>
        </is>
      </c>
      <c r="C1177" s="22" t="inlineStr">
        <is>
          <t>tramvay</t>
        </is>
      </c>
      <c r="D1177" s="22" t="inlineStr">
        <is>
          <t>Ozgur Mak. (proje muellifi kesif ozeti - tedarikci teklifi degil)</t>
        </is>
      </c>
      <c r="E1177" s="22" t="inlineStr">
        <is>
          <t>2014-12-24</t>
        </is>
      </c>
      <c r="F1177" s="22" t="inlineStr">
        <is>
          <t>SS-4 Kavsak sinyal unitesi</t>
        </is>
      </c>
      <c r="G1177" s="22" t="inlineStr">
        <is>
          <t>adet</t>
        </is>
      </c>
      <c r="H1177" s="63" t="n">
        <v>15425</v>
      </c>
      <c r="I1177" s="22" t="inlineStr">
        <is>
          <t>TRY</t>
        </is>
      </c>
      <c r="J1177" s="22" t="inlineStr"/>
      <c r="K1177" s="63" t="n">
        <v>7268.46783003565</v>
      </c>
      <c r="L1177" s="22" t="inlineStr">
        <is>
          <t>3001.A</t>
        </is>
      </c>
      <c r="M1177" s="22" t="n">
        <v>1</v>
      </c>
      <c r="N1177" s="22" t="inlineStr">
        <is>
          <t>Kocaeli Sekapark-Otogar tramvay hatti avan/uygulama proje revizyonu, B3 sinyalizasyon kesif ozeti (idare yaklasik maliyeti, TL, KDV haric varsayim); birim fiyat tarifleri KBB-TRM-BFT_C3 dosyasinda</t>
        </is>
      </c>
    </row>
    <row r="1178">
      <c r="A1178" s="22" t="inlineStr">
        <is>
          <t>R06591</t>
        </is>
      </c>
      <c r="B1178" s="22" t="inlineStr">
        <is>
          <t>KOCAELI_BELEDIYESI_TRAMWAY_HATTI</t>
        </is>
      </c>
      <c r="C1178" s="22" t="inlineStr">
        <is>
          <t>tramvay</t>
        </is>
      </c>
      <c r="D1178" s="22" t="inlineStr">
        <is>
          <t>Ozgur Mak. (proje muellifi kesif ozeti - tedarikci teklifi degil)</t>
        </is>
      </c>
      <c r="E1178" s="22" t="inlineStr">
        <is>
          <t>2014-12-24</t>
        </is>
      </c>
      <c r="F1178" s="22" t="inlineStr">
        <is>
          <t>SS-5 Makas durum sinyali unitesi</t>
        </is>
      </c>
      <c r="G1178" s="22" t="inlineStr">
        <is>
          <t>adet</t>
        </is>
      </c>
      <c r="H1178" s="63" t="n">
        <v>17890</v>
      </c>
      <c r="I1178" s="22" t="inlineStr">
        <is>
          <t>TRY</t>
        </is>
      </c>
      <c r="J1178" s="22" t="inlineStr"/>
      <c r="K1178" s="63" t="n">
        <v>8430.009042420599</v>
      </c>
      <c r="L1178" s="22" t="inlineStr">
        <is>
          <t>3001.A</t>
        </is>
      </c>
      <c r="M1178" s="22" t="n">
        <v>1</v>
      </c>
      <c r="N1178" s="22" t="inlineStr">
        <is>
          <t>Kocaeli Sekapark-Otogar tramvay hatti avan/uygulama proje revizyonu, B3 sinyalizasyon kesif ozeti (idare yaklasik maliyeti, TL, KDV haric varsayim); birim fiyat tarifleri KBB-TRM-BFT_C3 dosyasinda</t>
        </is>
      </c>
    </row>
    <row r="1179">
      <c r="A1179" s="22" t="inlineStr">
        <is>
          <t>R06594</t>
        </is>
      </c>
      <c r="B1179" s="22" t="inlineStr">
        <is>
          <t>KOCAELI_BELEDIYESI_TRAMWAY_HATTI</t>
        </is>
      </c>
      <c r="C1179" s="22" t="inlineStr">
        <is>
          <t>tramvay</t>
        </is>
      </c>
      <c r="D1179" s="22" t="inlineStr">
        <is>
          <t>Ozgur Mak. (proje muellifi kesif ozeti - tedarikci teklifi degil)</t>
        </is>
      </c>
      <c r="E1179" s="22" t="inlineStr">
        <is>
          <t>2014-12-24</t>
        </is>
      </c>
      <c r="F1179" s="22" t="inlineStr">
        <is>
          <t>SS-8 Makas motoru</t>
        </is>
      </c>
      <c r="G1179" s="22" t="inlineStr">
        <is>
          <t>adet</t>
        </is>
      </c>
      <c r="H1179" s="63" t="n">
        <v>21960</v>
      </c>
      <c r="I1179" s="22" t="inlineStr">
        <is>
          <t>TRY</t>
        </is>
      </c>
      <c r="J1179" s="22" t="inlineStr"/>
      <c r="K1179" s="63" t="n">
        <v>10347.8478799081</v>
      </c>
      <c r="L1179" s="22" t="inlineStr">
        <is>
          <t>3001.A</t>
        </is>
      </c>
      <c r="M1179" s="22" t="n">
        <v>1</v>
      </c>
      <c r="N1179" s="22" t="inlineStr">
        <is>
          <t>Kocaeli Sekapark-Otogar tramvay hatti avan/uygulama proje revizyonu, B3 sinyalizasyon kesif ozeti (idare yaklasik maliyeti, TL, KDV haric varsayim); birim fiyat tarifleri KBB-TRM-BFT_C3 dosyasinda</t>
        </is>
      </c>
    </row>
    <row r="1180">
      <c r="A1180" s="22" t="inlineStr">
        <is>
          <t>R06596</t>
        </is>
      </c>
      <c r="B1180" s="22" t="inlineStr">
        <is>
          <t>KOCAELI_BELEDIYESI_TRAMWAY_HATTI</t>
        </is>
      </c>
      <c r="C1180" s="22" t="inlineStr">
        <is>
          <t>tramvay</t>
        </is>
      </c>
      <c r="D1180" s="22" t="inlineStr">
        <is>
          <t>Ozgur Mak. (proje muellifi kesif ozeti - tedarikci teklifi degil)</t>
        </is>
      </c>
      <c r="E1180" s="22" t="inlineStr">
        <is>
          <t>2014-12-24</t>
        </is>
      </c>
      <c r="F1180" s="22" t="inlineStr">
        <is>
          <t>SS-10 Ray devresi</t>
        </is>
      </c>
      <c r="G1180" s="22" t="inlineStr">
        <is>
          <t>adet</t>
        </is>
      </c>
      <c r="H1180" s="63" t="n">
        <v>17280</v>
      </c>
      <c r="I1180" s="22" t="inlineStr">
        <is>
          <t>TRY</t>
        </is>
      </c>
      <c r="J1180" s="22" t="inlineStr"/>
      <c r="K1180" s="63" t="n">
        <v>8142.56882353427</v>
      </c>
      <c r="L1180" s="22" t="inlineStr">
        <is>
          <t>3001.A</t>
        </is>
      </c>
      <c r="M1180" s="22" t="n">
        <v>1</v>
      </c>
      <c r="N1180" s="22" t="inlineStr">
        <is>
          <t>Kocaeli Sekapark-Otogar tramvay hatti avan/uygulama proje revizyonu, B3 sinyalizasyon kesif ozeti (idare yaklasik maliyeti, TL, KDV haric varsayim); birim fiyat tarifleri KBB-TRM-BFT_C3 dosyasinda</t>
        </is>
      </c>
    </row>
    <row r="1181">
      <c r="A1181" s="22" t="inlineStr">
        <is>
          <t>R06599</t>
        </is>
      </c>
      <c r="B1181" s="22" t="inlineStr">
        <is>
          <t>KONYA_ALAADDIN_ADLIYE_TRAMVAY_PROJESI</t>
        </is>
      </c>
      <c r="C1181" s="22" t="inlineStr">
        <is>
          <t>tramvay</t>
        </is>
      </c>
      <c r="D1181" s="22" t="inlineStr">
        <is>
          <t>Hanning &amp; Kahl</t>
        </is>
      </c>
      <c r="E1181" s="22" t="inlineStr">
        <is>
          <t>2013-06-26</t>
        </is>
      </c>
      <c r="F1181" s="22" t="inlineStr">
        <is>
          <t>Elektromanyetik makas motoru HW 61.1 AVV-ZVV (SIL3, 750V DC, IP67, zemin kutulu, dil dedektorlu)</t>
        </is>
      </c>
      <c r="G1181" s="22" t="inlineStr">
        <is>
          <t>adet</t>
        </is>
      </c>
      <c r="H1181" s="63" t="n">
        <v>13800</v>
      </c>
      <c r="I1181" s="22" t="inlineStr">
        <is>
          <t>EUR</t>
        </is>
      </c>
      <c r="J1181" s="22" t="inlineStr"/>
      <c r="K1181" s="63" t="n">
        <v>18483.5633610749</v>
      </c>
      <c r="L1181" s="22" t="inlineStr">
        <is>
          <t>3001.A</t>
        </is>
      </c>
      <c r="M1181" s="22" t="n">
        <v>1</v>
      </c>
      <c r="N1181" s="22" t="inlineStr">
        <is>
          <t>Budget offer 29718/13; DDU Konya, montaj haric, KDV haric</t>
        </is>
      </c>
    </row>
    <row r="1182">
      <c r="A1182" s="22" t="inlineStr">
        <is>
          <t>R06603</t>
        </is>
      </c>
      <c r="B1182" s="22" t="inlineStr">
        <is>
          <t>KONYA_ALAADDIN_ADLIYE_TRAMVAY_PROJESI</t>
        </is>
      </c>
      <c r="C1182" s="22" t="inlineStr">
        <is>
          <t>tramvay</t>
        </is>
      </c>
      <c r="D1182" s="22" t="inlineStr">
        <is>
          <t>Hanning &amp; Kahl</t>
        </is>
      </c>
      <c r="E1182" s="22" t="inlineStr">
        <is>
          <t>2013-06-26</t>
        </is>
      </c>
      <c r="F1182" s="22" t="inlineStr">
        <is>
          <t>Tek makas kontrolcusu (Alu kabin, 1 HSK ray devresi, 1 HFK kutle dedektor, 400 m ozel kablo, HCS-V alici + lup, makas isitma kontrol, 3 isikli LED sinyal, anahtar, trafik isigi arayuzu)</t>
        </is>
      </c>
      <c r="G1182" s="22" t="inlineStr">
        <is>
          <t>adet</t>
        </is>
      </c>
      <c r="H1182" s="63" t="n">
        <v>39100</v>
      </c>
      <c r="I1182" s="22" t="inlineStr">
        <is>
          <t>EUR</t>
        </is>
      </c>
      <c r="J1182" s="22" t="inlineStr"/>
      <c r="K1182" s="63" t="n">
        <v>52370.0961897122</v>
      </c>
      <c r="L1182" s="22" t="inlineStr">
        <is>
          <t>3001.A</t>
        </is>
      </c>
      <c r="M1182" s="22" t="n">
        <v>1</v>
      </c>
      <c r="N1182" s="22" t="inlineStr">
        <is>
          <t>Budget offer 29718/13; DDU Konya, montaj haric, KDV haric | tek makasli lokal kontrol kabini komple</t>
        </is>
      </c>
    </row>
    <row r="1183">
      <c r="A1183" s="22" t="inlineStr">
        <is>
          <t>R06606</t>
        </is>
      </c>
      <c r="B1183" s="22" t="inlineStr">
        <is>
          <t>KONYA_ALAADDIN_ADLIYE_TRAMVAY_PROJESI</t>
        </is>
      </c>
      <c r="C1183" s="22" t="inlineStr">
        <is>
          <t>tramvay</t>
        </is>
      </c>
      <c r="D1183" s="22" t="inlineStr">
        <is>
          <t>Hanning &amp; Kahl</t>
        </is>
      </c>
      <c r="E1183" s="22" t="inlineStr">
        <is>
          <t>2013-06-26</t>
        </is>
      </c>
      <c r="F1183" s="22" t="inlineStr">
        <is>
          <t>Opsiyon: HCS-V arac ustu ekipman cift kabinli tramvay (2 kabin kontrol unitesi dokunmatik, 2 VCU, 2 transponder, kablo)</t>
        </is>
      </c>
      <c r="G1183" s="22" t="inlineStr">
        <is>
          <t>arac</t>
        </is>
      </c>
      <c r="H1183" s="63" t="n">
        <v>6910</v>
      </c>
      <c r="I1183" s="22" t="inlineStr">
        <is>
          <t>EUR</t>
        </is>
      </c>
      <c r="J1183" s="22" t="inlineStr"/>
      <c r="K1183" s="63" t="n">
        <v>9255.175567030979</v>
      </c>
      <c r="L1183" s="22" t="inlineStr">
        <is>
          <t>3001.C</t>
        </is>
      </c>
      <c r="M1183" s="22" t="n">
        <v>4</v>
      </c>
      <c r="N1183" s="22" t="inlineStr">
        <is>
          <t>Budget offer 29718/13; DDU Konya, montaj haric, KDV haric</t>
        </is>
      </c>
    </row>
    <row r="1184">
      <c r="A1184" s="22" t="inlineStr">
        <is>
          <t>R06607</t>
        </is>
      </c>
      <c r="B1184" s="22" t="inlineStr">
        <is>
          <t>KONYA_ALAADDIN_ADLIYE_TRAMVAY_PROJESI</t>
        </is>
      </c>
      <c r="C1184" s="22" t="inlineStr">
        <is>
          <t>tramvay</t>
        </is>
      </c>
      <c r="D1184" s="22" t="inlineStr">
        <is>
          <t>Hanning &amp; Kahl</t>
        </is>
      </c>
      <c r="E1184" s="22" t="inlineStr">
        <is>
          <t>2013-06-26</t>
        </is>
      </c>
      <c r="F1184" s="22" t="inlineStr">
        <is>
          <t>Opsiyon: arac ustu montaj (arac basina)</t>
        </is>
      </c>
      <c r="G1184" s="22" t="inlineStr">
        <is>
          <t>arac</t>
        </is>
      </c>
      <c r="H1184" s="63" t="n">
        <v>2200</v>
      </c>
      <c r="I1184" s="22" t="inlineStr">
        <is>
          <t>EUR</t>
        </is>
      </c>
      <c r="J1184" s="22" t="inlineStr"/>
      <c r="K1184" s="63" t="n">
        <v>2946.65502857716</v>
      </c>
      <c r="L1184" s="22" t="inlineStr">
        <is>
          <t>3001.C</t>
        </is>
      </c>
      <c r="M1184" s="22" t="n">
        <v>1</v>
      </c>
      <c r="N1184" s="22" t="inlineStr">
        <is>
          <t>Budget offer 29718/13; DDU Konya, montaj haric, KDV haric</t>
        </is>
      </c>
    </row>
    <row r="1185">
      <c r="A1185" s="22" t="inlineStr">
        <is>
          <t>R06608</t>
        </is>
      </c>
      <c r="B1185" s="22" t="inlineStr">
        <is>
          <t>KONYA_ALAADDIN_ADLIYE_TRAMVAY_PROJESI</t>
        </is>
      </c>
      <c r="C1185" s="22" t="inlineStr">
        <is>
          <t>tramvay</t>
        </is>
      </c>
      <c r="D1185" s="22" t="inlineStr">
        <is>
          <t>Hanning &amp; Kahl</t>
        </is>
      </c>
      <c r="E1185" s="22" t="inlineStr">
        <is>
          <t>2013-06-26</t>
        </is>
      </c>
      <c r="F1185" s="22" t="inlineStr">
        <is>
          <t>Opsiyon: arac ustu devreye alma (arac basina)</t>
        </is>
      </c>
      <c r="G1185" s="22" t="inlineStr">
        <is>
          <t>arac</t>
        </is>
      </c>
      <c r="H1185" s="63" t="n">
        <v>1400</v>
      </c>
      <c r="I1185" s="22" t="inlineStr">
        <is>
          <t>EUR</t>
        </is>
      </c>
      <c r="J1185" s="22" t="inlineStr"/>
      <c r="K1185" s="63" t="n">
        <v>1875.14410909456</v>
      </c>
      <c r="L1185" s="22" t="inlineStr">
        <is>
          <t>3001.C</t>
        </is>
      </c>
      <c r="M1185" s="22" t="n">
        <v>1</v>
      </c>
      <c r="N1185" s="22" t="inlineStr">
        <is>
          <t>Budget offer 29718/13; DDU Konya, montaj haric, KDV haric</t>
        </is>
      </c>
    </row>
    <row r="1186">
      <c r="A1186" s="22" t="inlineStr">
        <is>
          <t>R06610</t>
        </is>
      </c>
      <c r="B1186" s="22" t="inlineStr">
        <is>
          <t>KOSEKOY-GEBZE</t>
        </is>
      </c>
      <c r="C1186" s="22" t="inlineStr">
        <is>
          <t>banliyo</t>
        </is>
      </c>
      <c r="D1186" s="22" t="inlineStr">
        <is>
          <t>Dimetronic (Cepeda klasorunde ayni dosya)</t>
        </is>
      </c>
      <c r="E1186" s="22" t="inlineStr">
        <is>
          <t>2010-11-10</t>
        </is>
      </c>
      <c r="F1186" s="22" t="inlineStr">
        <is>
          <t>1.1 CTC Server, including two XEON processors, two LAN card, 4 GB RAM, 73 GB hard disk, and DVD recorder.</t>
        </is>
      </c>
      <c r="G1186" s="22" t="inlineStr"/>
      <c r="H1186" s="63" t="n">
        <v>8372.860000000001</v>
      </c>
      <c r="I1186" s="22" t="inlineStr">
        <is>
          <t>EUR</t>
        </is>
      </c>
      <c r="J1186" s="22" t="inlineStr">
        <is>
          <t>Malzeme</t>
        </is>
      </c>
      <c r="K1186" s="63" t="n">
        <v>11924.7621918947</v>
      </c>
      <c r="L1186" s="22" t="inlineStr">
        <is>
          <t>3001.D</t>
        </is>
      </c>
      <c r="M1186" s="22" t="n">
        <v>1</v>
      </c>
      <c r="N1186" s="22" t="inlineStr">
        <is>
          <t>Gebze-Kosekoy (Marmaray/YHT ortak koridor, banliyo+anahat) sinyalizasyon &amp; ERTMS L1 maliyet analizi; makas motorlari/kablo/kanal YM kapsaminda (listede yok); hat km kaynakta yok; 6 anklasman | CTC sunucu</t>
        </is>
      </c>
    </row>
    <row r="1187">
      <c r="A1187" s="22" t="inlineStr">
        <is>
          <t>R06745</t>
        </is>
      </c>
      <c r="B1187" s="22" t="inlineStr">
        <is>
          <t>Usk_Umr_Cekmekoy_Metro_Ins_ve_EM</t>
        </is>
      </c>
      <c r="C1187" s="22" t="inlineStr">
        <is>
          <t>metro</t>
        </is>
      </c>
      <c r="D1187" s="22" t="inlineStr">
        <is>
          <t>Dimetronic (Invensys Rail)</t>
        </is>
      </c>
      <c r="E1187" s="22" t="inlineStr">
        <is>
          <t>2011-09-12</t>
        </is>
      </c>
      <c r="F1187" s="22" t="inlineStr">
        <is>
          <t>301.01.01 CTC Server, including 2 XEON processors, 2 LAN card, 4 GB RAM, 73 GB hard disk and DVD recorder.</t>
        </is>
      </c>
      <c r="G1187" s="22" t="inlineStr"/>
      <c r="H1187" s="63" t="n">
        <v>6597.26</v>
      </c>
      <c r="I1187" s="22" t="inlineStr">
        <is>
          <t>EUR</t>
        </is>
      </c>
      <c r="J1187" s="22" t="inlineStr">
        <is>
          <t>Malzeme</t>
        </is>
      </c>
      <c r="K1187" s="63" t="n">
        <v>9159.585452549631</v>
      </c>
      <c r="L1187" s="22" t="inlineStr">
        <is>
          <t>3001.D</t>
        </is>
      </c>
      <c r="M1187" s="22" t="n">
        <v>1</v>
      </c>
      <c r="N1187" s="22" t="inlineStr">
        <is>
          <t>CBTC (Westrace anklasman + Block Processor + 2,4 GHz radyo); tarih Economical Offer Yapi Merkezi 20110912 dosyasindan; FOB Ispanya, KDV haric | ATS sunucu</t>
        </is>
      </c>
    </row>
  </sheetData>
  <autoFilter ref="A4:N1187"/>
  <mergeCells count="1">
    <mergeCell ref="A2:N2"/>
  </mergeCell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sheetPr>
  <dimension ref="A1:I17"/>
  <sheetViews>
    <sheetView zoomScale="90" workbookViewId="0">
      <selection activeCell="A1" sqref="A1"/>
    </sheetView>
  </sheetViews>
  <sheetFormatPr baseColWidth="8" defaultRowHeight="15"/>
  <cols>
    <col width="18" customWidth="1" min="1" max="1"/>
    <col width="34" customWidth="1" min="2" max="2"/>
    <col width="60" customWidth="1" min="3" max="3"/>
    <col width="15" customWidth="1" min="4" max="4"/>
    <col width="10" customWidth="1" min="5" max="5"/>
    <col width="15" customWidth="1" min="6" max="6"/>
    <col width="14" customWidth="1" min="7" max="7"/>
    <col width="14" customWidth="1" min="8" max="8"/>
    <col width="48" customWidth="1" min="9" max="9"/>
  </cols>
  <sheetData>
    <row r="1">
      <c r="A1" s="20" t="inlineStr">
        <is>
          <t>GELEN TEKLİFLER VE REFERANS KIYASLAR (06.10.2026 itibarıyla)</t>
        </is>
      </c>
    </row>
    <row r="2"/>
    <row r="3">
      <c r="A3" s="3" t="inlineStr">
        <is>
          <t>Disiplin</t>
        </is>
      </c>
      <c r="B3" s="3" t="inlineStr">
        <is>
          <t>Firma</t>
        </is>
      </c>
      <c r="C3" s="3" t="inlineStr">
        <is>
          <t>Kapsam / not</t>
        </is>
      </c>
      <c r="D3" s="3" t="inlineStr">
        <is>
          <t>Tutar (orijinal)</t>
        </is>
      </c>
      <c r="E3" s="3" t="inlineStr">
        <is>
          <t>Para birimi</t>
        </is>
      </c>
      <c r="F3" s="3" t="inlineStr">
        <is>
          <t>Tutar (EUR)</t>
        </is>
      </c>
      <c r="G3" s="3" t="inlineStr">
        <is>
          <t>Birim fiyat (EUR) 1000 kg</t>
        </is>
      </c>
      <c r="H3" s="3" t="inlineStr">
        <is>
          <t>Birim fiyat (EUR) 800 kg</t>
        </is>
      </c>
      <c r="I3" s="3" t="inlineStr">
        <is>
          <t>Değerlendirme</t>
        </is>
      </c>
    </row>
    <row r="4">
      <c r="A4" s="7" t="inlineStr">
        <is>
          <t>Asansör</t>
        </is>
      </c>
      <c r="B4" s="7" t="inlineStr">
        <is>
          <t>Schindler (Mert Can Oğlakkaya)</t>
        </is>
      </c>
      <c r="C4" s="7" t="inlineStr">
        <is>
          <t>12 × 37.000 USD (işçilik dahil) + 1 × 800 kg 36.000 USD; bakım hariç</t>
        </is>
      </c>
      <c r="D4" s="8" t="n">
        <v>480000</v>
      </c>
      <c r="E4" s="7" t="inlineStr">
        <is>
          <t>USD</t>
        </is>
      </c>
      <c r="F4" s="8">
        <f>D4/IF(E4="USD",Varsayimlar!$B$4,IF(E4="TRY",Varsayimlar!$B$5,1))</f>
        <v/>
      </c>
      <c r="G4" s="8">
        <f>37000/Varsayimlar!$B$4</f>
        <v/>
      </c>
      <c r="H4" s="8">
        <f>36000/Varsayimlar!$B$4</f>
        <v/>
      </c>
      <c r="I4" s="7" t="inlineStr">
        <is>
          <t>Şartnameye uygun kabul; bütçede kullanıldı</t>
        </is>
      </c>
    </row>
    <row r="5">
      <c r="A5" s="7" t="inlineStr">
        <is>
          <t>Asansör</t>
        </is>
      </c>
      <c r="B5" s="7" t="inlineStr">
        <is>
          <t>TK Elevator (Betül Okay)</t>
        </is>
      </c>
      <c r="C5" s="7" t="inlineStr">
        <is>
          <t>12 × (24.000 malzeme + 8.000 işçilik) + 1 × 30.200; anti-vandal CAT-2</t>
        </is>
      </c>
      <c r="D5" s="8" t="n">
        <v>414200</v>
      </c>
      <c r="E5" s="7" t="inlineStr">
        <is>
          <t>EUR</t>
        </is>
      </c>
      <c r="F5" s="8">
        <f>D5/IF(E5="USD",Varsayimlar!$B$4,IF(E5="TRY",Varsayimlar!$B$5,1))</f>
        <v/>
      </c>
      <c r="G5" s="8" t="n">
        <v>32000</v>
      </c>
      <c r="H5" s="8" t="n">
        <v>30200</v>
      </c>
      <c r="I5" s="7" t="inlineStr">
        <is>
          <t>Şartnameye uygun kabul; bütçede kullanıldı</t>
        </is>
      </c>
    </row>
    <row r="6">
      <c r="A6" s="7" t="inlineStr">
        <is>
          <t>Asansör</t>
        </is>
      </c>
      <c r="B6" s="7" t="inlineStr">
        <is>
          <t>Emlift (teklif no 2026/E025, 05.10.2026)</t>
        </is>
      </c>
      <c r="C6" s="7" t="inlineStr">
        <is>
          <t>12 × 1.500.000 TL + 1 × 1.500.000 TL; montaj dahil; teknik föyde antivandal/dış ortam yok, kapı 900×2000; kuyu aydınlatma ve topraklama hariç</t>
        </is>
      </c>
      <c r="D6" s="8" t="n">
        <v>19500000</v>
      </c>
      <c r="E6" s="7" t="inlineStr">
        <is>
          <t>TRY</t>
        </is>
      </c>
      <c r="F6" s="8">
        <f>D6/IF(E6="USD",Varsayimlar!$B$4,IF(E6="TRY",Varsayimlar!$B$5,1))</f>
        <v/>
      </c>
      <c r="G6" s="8">
        <f>1500000/Varsayimlar!$B$5</f>
        <v/>
      </c>
      <c r="H6" s="8">
        <f>1500000/Varsayimlar!$B$5</f>
        <v/>
      </c>
      <c r="I6" s="7" t="inlineStr">
        <is>
          <t>Sapmalı (şartname dışı detaylar); medyana dahil</t>
        </is>
      </c>
    </row>
    <row r="7">
      <c r="A7" s="7" t="inlineStr">
        <is>
          <t>Sinyalizasyon + AVLS</t>
        </is>
      </c>
      <c r="B7" s="7" t="inlineStr">
        <is>
          <t>Point Link / CASCO (Çin)</t>
        </is>
      </c>
      <c r="C7" s="7" t="inlineStr">
        <is>
          <t>Sıra 228–235; DAP şantiye; KDV ve gümrük hariç; AI asistan imzalı yanıt</t>
        </is>
      </c>
      <c r="D7" s="8" t="n">
        <v>7281784</v>
      </c>
      <c r="E7" s="7" t="inlineStr">
        <is>
          <t>EUR</t>
        </is>
      </c>
      <c r="F7" s="8">
        <f>D7/IF(E7="USD",Varsayimlar!$B$4,IF(E7="TRY",Varsayimlar!$B$5,1))</f>
        <v/>
      </c>
      <c r="G7" s="8" t="n"/>
      <c r="H7" s="8" t="n"/>
      <c r="I7" s="7" t="inlineStr">
        <is>
          <t>Referanslara göre ~2,3 kat yüksek; kalem dökümü alınmadan bütçeye esas alınmadı (üst sınır kıyası)</t>
        </is>
      </c>
    </row>
    <row r="8">
      <c r="A8" s="7" t="inlineStr">
        <is>
          <t>Sinyalizasyon</t>
        </is>
      </c>
      <c r="B8" s="7" t="inlineStr">
        <is>
          <t>Referans – sistem bazlı (makas başı)</t>
        </is>
      </c>
      <c r="C8" s="7" t="inlineStr">
        <is>
          <t>İzmir tramvay H&amp;K 64.862 €/makas, Eminönü Elektroline 46.638 €/makas; ort. 55.750 €/makas × 56</t>
        </is>
      </c>
      <c r="D8" s="8" t="n">
        <v>3121990</v>
      </c>
      <c r="E8" s="7" t="inlineStr">
        <is>
          <t>EUR</t>
        </is>
      </c>
      <c r="F8" s="8">
        <f>D8/IF(E8="USD",Varsayimlar!$B$4,IF(E8="TRY",Varsayimlar!$B$5,1))</f>
        <v/>
      </c>
      <c r="G8" s="8" t="n"/>
      <c r="H8" s="8" t="n"/>
      <c r="I8" s="7" t="inlineStr">
        <is>
          <t>EM_Butce_Tahmini Sistem sayfası (EUR Ağu-2026)</t>
        </is>
      </c>
    </row>
    <row r="9">
      <c r="A9" s="7" t="inlineStr">
        <is>
          <t>Sinyalizasyon</t>
        </is>
      </c>
      <c r="B9" s="7" t="inlineStr">
        <is>
          <t>Referans – kalem bazlı (fiyatı bulunan 5/8 ana kalem)</t>
        </is>
      </c>
      <c r="C9" s="7" t="inlineStr">
        <is>
          <t>228, 229, 230, 231, 234 sıraları; 232, 233, 235 fiyatsız</t>
        </is>
      </c>
      <c r="D9" s="8" t="n">
        <v>1802246</v>
      </c>
      <c r="E9" s="7" t="inlineStr">
        <is>
          <t>EUR</t>
        </is>
      </c>
      <c r="F9" s="8">
        <f>D9/IF(E9="USD",Varsayimlar!$B$4,IF(E9="TRY",Varsayimlar!$B$5,1))</f>
        <v/>
      </c>
      <c r="G9" s="8" t="n"/>
      <c r="H9" s="8" t="n"/>
      <c r="I9" s="7" t="inlineStr">
        <is>
          <t>EM_Butce_Tahmini Ozet sayfası</t>
        </is>
      </c>
    </row>
    <row r="10">
      <c r="A10" s="7" t="inlineStr">
        <is>
          <t>Katener</t>
        </is>
      </c>
      <c r="B10" s="7" t="inlineStr">
        <is>
          <t>Referans – sistem bazlı (hat-km başı)</t>
        </is>
      </c>
      <c r="C10" s="7" t="inlineStr">
        <is>
          <t>İzmir (Usluel, Siemens), Samsun (Usluel, BBR) ort. 356.767 €/km × 6,56 km</t>
        </is>
      </c>
      <c r="D10" s="8" t="n">
        <v>2340390</v>
      </c>
      <c r="E10" s="7" t="inlineStr">
        <is>
          <t>EUR</t>
        </is>
      </c>
      <c r="F10" s="8">
        <f>D10/IF(E10="USD",Varsayimlar!$B$4,IF(E10="TRY",Varsayimlar!$B$5,1))</f>
        <v/>
      </c>
      <c r="G10" s="8" t="n"/>
      <c r="H10" s="8" t="n"/>
      <c r="I10" s="7" t="inlineStr">
        <is>
          <t>EM_Butce_Tahmini Sistem sayfası</t>
        </is>
      </c>
    </row>
    <row r="11">
      <c r="A11" s="7" t="inlineStr">
        <is>
          <t>Katener</t>
        </is>
      </c>
      <c r="B11" s="7" t="inlineStr">
        <is>
          <t>Referans – kalem bazlı (6/7 ana kalem)</t>
        </is>
      </c>
      <c r="C11" s="7" t="inlineStr">
        <is>
          <t>220 için konsol, iletken, gergi; 221 kısmi; direkler kg bazlı</t>
        </is>
      </c>
      <c r="D11" s="8" t="n">
        <v>2590010</v>
      </c>
      <c r="E11" s="7" t="inlineStr">
        <is>
          <t>EUR</t>
        </is>
      </c>
      <c r="F11" s="8">
        <f>D11/IF(E11="USD",Varsayimlar!$B$4,IF(E11="TRY",Varsayimlar!$B$5,1))</f>
        <v/>
      </c>
      <c r="G11" s="8" t="n"/>
      <c r="H11" s="8" t="n"/>
      <c r="I11" s="7" t="inlineStr">
        <is>
          <t>EM_Butce_Tahmini Ozet sayfası</t>
        </is>
      </c>
    </row>
    <row r="12">
      <c r="A12" s="7" t="inlineStr">
        <is>
          <t>Cer gücü</t>
        </is>
      </c>
      <c r="B12" s="7" t="inlineStr">
        <is>
          <t>Referans – sistem bazlı (TM başı)</t>
        </is>
      </c>
      <c r="C12" s="7" t="inlineStr">
        <is>
          <t>İzmir Siemens, Bursa Haluk/MET, Kocaeli; ort. 672.038 €/TM × 5 (OG+trafo+redresör+DC; kablo hariç)</t>
        </is>
      </c>
      <c r="D12" s="8" t="n">
        <v>3360189</v>
      </c>
      <c r="E12" s="7" t="inlineStr">
        <is>
          <t>EUR</t>
        </is>
      </c>
      <c r="F12" s="8">
        <f>D12/IF(E12="USD",Varsayimlar!$B$4,IF(E12="TRY",Varsayimlar!$B$5,1))</f>
        <v/>
      </c>
      <c r="G12" s="8" t="n"/>
      <c r="H12" s="8" t="n"/>
      <c r="I12" s="7" t="inlineStr">
        <is>
          <t>EM_Butce_Tahmini Sistem sayfası</t>
        </is>
      </c>
    </row>
    <row r="13">
      <c r="A13" s="7" t="inlineStr">
        <is>
          <t>AVLS (sıra 233–235)</t>
        </is>
      </c>
      <c r="B13" s="7" t="inlineStr">
        <is>
          <t>Mukan Rail (bütçesel, 06.10.2026)</t>
        </is>
      </c>
      <c r="C13" s="7" t="inlineStr">
        <is>
          <t>233: 15 araç × 21.300 = 319.500; 234 merkez 314.500; 235 tasarım 154.000; 180 gün geçerli; kabin/UPS/omurga, işletme SIM hariç</t>
        </is>
      </c>
      <c r="D13" s="8" t="n">
        <v>788000</v>
      </c>
      <c r="E13" s="7" t="inlineStr">
        <is>
          <t>EUR</t>
        </is>
      </c>
      <c r="F13" s="8">
        <f>D13/IF(E13="USD",Varsayimlar!$B$4,IF(E13="TRY",Varsayimlar!$B$5,1))</f>
        <v/>
      </c>
      <c r="G13" s="8" t="n"/>
      <c r="H13" s="8" t="n"/>
      <c r="I13" s="7" t="inlineStr">
        <is>
          <t>Bütçeye işlendi (233 araç başı × 14 araç)</t>
        </is>
      </c>
    </row>
    <row r="14">
      <c r="A14" s="7" t="inlineStr">
        <is>
          <t>Haberleşme</t>
        </is>
      </c>
      <c r="B14" s="7" t="inlineStr">
        <is>
          <t>Referans – kalem bazlı (fiyatı bulunan 54/86 ana kalem) + sistem bazlı ort. 1.121.764</t>
        </is>
      </c>
      <c r="C14" s="7" t="inlineStr">
        <is>
          <t>İletim, telefon, telsiz, anons, CCTV, saat, erişim, SCADA, YBS, turnike</t>
        </is>
      </c>
      <c r="D14" s="8" t="n">
        <v>1721471</v>
      </c>
      <c r="E14" s="7" t="inlineStr">
        <is>
          <t>EUR</t>
        </is>
      </c>
      <c r="F14" s="8">
        <f>D14/IF(E14="USD",Varsayimlar!$B$4,IF(E14="TRY",Varsayimlar!$B$5,1))</f>
        <v/>
      </c>
      <c r="G14" s="8" t="n"/>
      <c r="H14" s="8" t="n"/>
      <c r="I14" s="7" t="inlineStr">
        <is>
          <t>EM_Butce_Tahmini Ozet sayfası (kalem bazlı)</t>
        </is>
      </c>
    </row>
    <row r="15">
      <c r="A15" s="7" t="inlineStr">
        <is>
          <t>Asansör</t>
        </is>
      </c>
      <c r="B15" s="7" t="inlineStr">
        <is>
          <t>Referans – kalem bazlı (metro/tramvay asansör referansları medyanı)</t>
        </is>
      </c>
      <c r="C15" s="7" t="inlineStr">
        <is>
          <t>1000 kg medyan 50.992 €, 800 kg 35.293 €</t>
        </is>
      </c>
      <c r="D15" s="8" t="n">
        <v>647200</v>
      </c>
      <c r="E15" s="7" t="inlineStr">
        <is>
          <t>EUR</t>
        </is>
      </c>
      <c r="F15" s="8">
        <f>D15/IF(E15="USD",Varsayimlar!$B$4,IF(E15="TRY",Varsayimlar!$B$5,1))</f>
        <v/>
      </c>
      <c r="G15" s="8" t="n">
        <v>50992</v>
      </c>
      <c r="H15" s="8" t="n">
        <v>35293</v>
      </c>
      <c r="I15" s="7" t="inlineStr">
        <is>
          <t>Metro referansları ağırlıklı; teklifler daha düşük</t>
        </is>
      </c>
    </row>
    <row r="16"/>
    <row r="17" ht="45" customHeight="1">
      <c r="A17" s="2" t="inlineStr">
        <is>
          <t>Bekleyen / bütçe fiyatı istenen: Edoux, Adakon-Orona (asansör); Contirail/Mukan Rail (AVLS), Hanning &amp; Kahl, Pintsch, INIT, Frauscher (sinyal); Mitaş, DeSA/Arthur Flury, Erbakır, Kambeton, La Farga, Galland, Revenga (katener); Best Transformer, Alfanar, Savronik, Alstom, Met-Eng, Tema (enerji).</t>
        </is>
      </c>
    </row>
  </sheetData>
  <mergeCells count="1">
    <mergeCell ref="A17:I17"/>
  </mergeCell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sheetPr>
  <dimension ref="A1:M88"/>
  <sheetViews>
    <sheetView zoomScale="90" workbookViewId="0">
      <selection activeCell="A1" sqref="A1"/>
    </sheetView>
  </sheetViews>
  <sheetFormatPr baseColWidth="8" defaultRowHeight="15"/>
  <cols>
    <col width="11" customWidth="1" min="1" max="1"/>
    <col width="30" customWidth="1" min="2" max="2"/>
    <col width="12" customWidth="1" min="3" max="3"/>
    <col width="14" customWidth="1" min="4" max="4"/>
    <col width="40" customWidth="1" min="5" max="5"/>
    <col width="40" customWidth="1" min="6" max="6"/>
    <col width="50" customWidth="1" min="7" max="7"/>
    <col width="9" customWidth="1" min="8" max="8"/>
    <col width="12" customWidth="1" min="9" max="9"/>
    <col width="12" customWidth="1" min="10" max="10"/>
    <col width="9" customWidth="1" min="11" max="11"/>
    <col width="14" customWidth="1" min="12" max="12"/>
    <col width="40" customWidth="1" min="13" max="13"/>
  </cols>
  <sheetData>
    <row r="1">
      <c r="A1" s="20" t="inlineStr">
        <is>
          <t>TEDARİKÇİ DÖNÜŞLERİ – serhat@mepcenter.com.tr Gmail taraması (29.09–06.10.2026) ve okunan teklif ekleri</t>
        </is>
      </c>
    </row>
    <row r="2"/>
    <row r="3">
      <c r="A3" s="32" t="inlineStr">
        <is>
          <t>Tarih</t>
        </is>
      </c>
      <c r="B3" s="32" t="inlineStr">
        <is>
          <t>Firma</t>
        </is>
      </c>
      <c r="C3" s="32" t="inlineStr">
        <is>
          <t>Disiplin</t>
        </is>
      </c>
      <c r="D3" s="32" t="inlineStr">
        <is>
          <t>Durum</t>
        </is>
      </c>
      <c r="E3" s="32" t="inlineStr">
        <is>
          <t>Kapsam</t>
        </is>
      </c>
      <c r="F3" s="32" t="inlineStr">
        <is>
          <t>Ekler</t>
        </is>
      </c>
      <c r="G3" s="32" t="inlineStr">
        <is>
          <t>Not</t>
        </is>
      </c>
    </row>
    <row r="4">
      <c r="A4" s="7" t="inlineStr">
        <is>
          <t>2026-09-30</t>
        </is>
      </c>
      <c r="B4" s="7" t="inlineStr">
        <is>
          <t>KONE Asansör</t>
        </is>
      </c>
      <c r="C4" s="7" t="inlineStr">
        <is>
          <t>ASANSOR</t>
        </is>
      </c>
      <c r="D4" s="7" t="inlineStr">
        <is>
          <t>DIGER</t>
        </is>
      </c>
      <c r="E4" s="7" t="inlineStr">
        <is>
          <t>Asansör paketi</t>
        </is>
      </c>
      <c r="F4" s="7" t="inlineStr"/>
      <c r="G4" s="7" t="inlineStr">
        <is>
          <t>Müşteri hizmetleri iletişim bilgisi istedi, Serhat 30.09 cevapladı. Ayrıca 3 otomatik dosya no maili (Kc-47493420, Kc-47496026, Kc-47499695). Teklif yok</t>
        </is>
      </c>
    </row>
    <row r="5">
      <c r="A5" s="7" t="inlineStr">
        <is>
          <t>2026-10-02</t>
        </is>
      </c>
      <c r="B5" s="7" t="inlineStr">
        <is>
          <t>TK Asansör (Adana bölge)</t>
        </is>
      </c>
      <c r="C5" s="7" t="inlineStr">
        <is>
          <t>ASANSOR</t>
        </is>
      </c>
      <c r="D5" s="7" t="inlineStr">
        <is>
          <t>DIGER</t>
        </is>
      </c>
      <c r="E5" s="7" t="inlineStr"/>
      <c r="F5" s="7" t="inlineStr"/>
      <c r="G5" s="7" t="inlineStr">
        <is>
          <t>Hatırlatma mailine boş yanıt (yalnız imza + jpeg görsel). Teklif Betül Okay üzerinden geldi</t>
        </is>
      </c>
    </row>
    <row r="6">
      <c r="A6" s="7" t="inlineStr">
        <is>
          <t>2026-10-02</t>
        </is>
      </c>
      <c r="B6" s="7" t="inlineStr">
        <is>
          <t>AdakonLift (Orona Türkiye distribütörü)</t>
        </is>
      </c>
      <c r="C6" s="7" t="inlineStr">
        <is>
          <t>ASANSOR</t>
        </is>
      </c>
      <c r="D6" s="7" t="inlineStr">
        <is>
          <t>SORU</t>
        </is>
      </c>
      <c r="E6" s="7" t="inlineStr">
        <is>
          <t>Asansör paketi</t>
        </is>
      </c>
      <c r="F6" s="7" t="inlineStr"/>
      <c r="G6" s="7" t="inlineStr">
        <is>
          <t>Şartnamedeki yerli üretim / en az %80 yerli katkı şartı; sadece ithal ürün (Orona) önerebiliyor, şartnameden farklı uygulama sordu. Serhat: şart değişmez; sapmayı belirterek bütçesel ithal fiyat istedi (02.10). Yanıt yok</t>
        </is>
      </c>
    </row>
    <row r="7">
      <c r="A7" s="7" t="inlineStr">
        <is>
          <t>2026-10-01</t>
        </is>
      </c>
      <c r="B7" s="7" t="inlineStr">
        <is>
          <t>Schindler Türkeli Asansör</t>
        </is>
      </c>
      <c r="C7" s="7" t="inlineStr">
        <is>
          <t>ASANSOR</t>
        </is>
      </c>
      <c r="D7" s="7" t="inlineStr">
        <is>
          <t>TEKLIF_EKTE</t>
        </is>
      </c>
      <c r="E7" s="7" t="inlineStr">
        <is>
          <t>Sıra 364 (12 set üst geçit) + Sıra 365 (1 set idari bina) asansörleri – ön fiyat teklifi</t>
        </is>
      </c>
      <c r="F7" s="7" t="inlineStr">
        <is>
          <t>URF_1Etap_ASANSOR_Teklif_Talebi.xlsx</t>
        </is>
      </c>
      <c r="G7" s="7" t="inlineStr">
        <is>
          <t>Gövdede tutar yok ('ön fiyat teklifimizi ekte'); fiyat doldurulmuş Excel'de. Kullanıcının bildirdiği 480.000 USD e-posta metninde geçmiyor</t>
        </is>
      </c>
    </row>
    <row r="8">
      <c r="A8" s="7" t="inlineStr">
        <is>
          <t>2026-10-02</t>
        </is>
      </c>
      <c r="B8" s="7" t="inlineStr">
        <is>
          <t>TK Asansör (TK Elevator)</t>
        </is>
      </c>
      <c r="C8" s="7" t="inlineStr">
        <is>
          <t>ASANSOR</t>
        </is>
      </c>
      <c r="D8" s="7" t="inlineStr">
        <is>
          <t>TEKLIF_EKTE</t>
        </is>
      </c>
      <c r="E8" s="7" t="inlineStr">
        <is>
          <t>12 üst geçit asansörü (anti vandal CAT-2) + idari bina asansörü</t>
        </is>
      </c>
      <c r="F8" s="7" t="inlineStr">
        <is>
          <t>TK ASANSÖR HALİLİYE EYYÜBİYE HAFİF RAYLI SİSTEM  FİYAT TEKLİFİ -R0.pdf; URF_1Etap_ASANSOR_Teklif_Talebi.xlsx</t>
        </is>
      </c>
      <c r="G8" s="7" t="inlineStr">
        <is>
          <t>Gövde: '12 adet üst geçit asansörleri anti vandal CAT-2'ye göre tekliflendirilmiştir'. Tutar gövdede yok; kullanıcının bildirdiği 414.200 EUR PDF'te olmalı</t>
        </is>
      </c>
    </row>
    <row r="9">
      <c r="A9" s="7" t="inlineStr">
        <is>
          <t>2026-10-05</t>
        </is>
      </c>
      <c r="B9" s="7" t="inlineStr">
        <is>
          <t>Emlift Asansör</t>
        </is>
      </c>
      <c r="C9" s="7" t="inlineStr">
        <is>
          <t>ASANSOR</t>
        </is>
      </c>
      <c r="D9" s="7" t="inlineStr">
        <is>
          <t>TEKLIF_EKTE</t>
        </is>
      </c>
      <c r="E9" s="7" t="inlineStr">
        <is>
          <t>12 adet 2 duraklı 13 kişilik + 1 adet idari bina asansörü</t>
        </is>
      </c>
      <c r="F9" s="7" t="inlineStr">
        <is>
          <t>URF_1Etap_ASANSOR_Teklif_Talebi.xlsx; ÖZVER İNŞAAT İDARİ BİNA.pdf; ÖZVER İNŞAAT 2 DURAK 12 ADET ASANSÖR.pdf</t>
        </is>
      </c>
      <c r="G9" s="7" t="inlineStr">
        <is>
          <t>Gövde yalnızca 'İlgili dosyalar ekte yer almaktadır'</t>
        </is>
      </c>
    </row>
    <row r="10">
      <c r="A10" s="7" t="inlineStr">
        <is>
          <t>2026-10-02</t>
        </is>
      </c>
      <c r="B10" s="7" t="inlineStr">
        <is>
          <t>Edoux Asansör</t>
        </is>
      </c>
      <c r="C10" s="7" t="inlineStr">
        <is>
          <t>ASANSOR</t>
        </is>
      </c>
      <c r="D10" s="7" t="inlineStr">
        <is>
          <t>VERECEK</t>
        </is>
      </c>
      <c r="E10" s="7" t="inlineStr">
        <is>
          <t>Asansör paketi</t>
        </is>
      </c>
      <c r="F10" s="7" t="inlineStr"/>
      <c r="G10" s="7" t="inlineStr">
        <is>
          <t>Önce mimari proje istedi (SORU); Serhat ASANSOR_Ekler.zip linkini verdi; yanıt: 'İnşallah yetiştirmeye çalışacağız'</t>
        </is>
      </c>
    </row>
    <row r="11">
      <c r="A11" s="7" t="inlineStr">
        <is>
          <t>2026-10-05</t>
        </is>
      </c>
      <c r="B11" s="7" t="inlineStr">
        <is>
          <t>Rayba Yapı</t>
        </is>
      </c>
      <c r="C11" s="7" t="inlineStr">
        <is>
          <t>DIGER</t>
        </is>
      </c>
      <c r="D11" s="7" t="inlineStr">
        <is>
          <t>TEKLIF_EKTE</t>
        </is>
      </c>
      <c r="E11" s="7" t="inlineStr">
        <is>
          <t>Demiryolu (ray/üstyapı) işleri + S-LINE kauçuk esaslı ray bağlantı sistemi</t>
        </is>
      </c>
      <c r="F11" s="7" t="inlineStr">
        <is>
          <t>Fiyat Teklifi-Şanlıurfa Tramvay İhalesi-02.10.2026.pdf; Fiyat Teklifi-(S-LINE) ŞANLIURFA HALİLİYE-EYYÜBİYE TRAMVAYI.pdf; S-LINE Sunum-TR.pdf</t>
        </is>
      </c>
      <c r="G11" s="7" t="inlineStr">
        <is>
          <t>İlk teklif 02.10; 05.10 düzeltme: 'Birim fiyat teklifi döviz cinsi EURO olup, bir önceki e-mail ile paylaşılan teklifte sehven TL yazıldığı için dikkate alınmamasını rica ederiz'. 05.10 20:26'da teklif + S-LINE teklifi yeniden gönderildi. Mail To: rayba@raybayapi.com (Serhat BCC/dağıtım)</t>
        </is>
      </c>
    </row>
    <row r="12">
      <c r="A12" s="7" t="inlineStr">
        <is>
          <t>2026-10-02</t>
        </is>
      </c>
      <c r="B12" s="7" t="inlineStr">
        <is>
          <t>Orest Teknoloji</t>
        </is>
      </c>
      <c r="C12" s="7" t="inlineStr">
        <is>
          <t>ELEKTRIK</t>
        </is>
      </c>
      <c r="D12" s="7" t="inlineStr">
        <is>
          <t>SORU</t>
        </is>
      </c>
      <c r="E12" s="7" t="inlineStr">
        <is>
          <t>Listedeki işler yapabilecekleri kapsamda</t>
        </is>
      </c>
      <c r="F12" s="7" t="inlineStr"/>
      <c r="G12" s="7" t="inlineStr">
        <is>
          <t>Teklif verebilir ama 180 gün fiyat geçerliliğine çekince; iş başlangıcında güncel liste istedi. Serhat: kendi opsiyon/geçerlilik sürenizle verin, 07.10'a kadar</t>
        </is>
      </c>
    </row>
    <row r="13">
      <c r="A13" s="7" t="inlineStr">
        <is>
          <t>2026-10-02</t>
        </is>
      </c>
      <c r="B13" s="7" t="inlineStr">
        <is>
          <t>Alfanar</t>
        </is>
      </c>
      <c r="C13" s="7" t="inlineStr">
        <is>
          <t>ELEKTRIK</t>
        </is>
      </c>
      <c r="D13" s="7" t="inlineStr">
        <is>
          <t>VERMIYOR</t>
        </is>
      </c>
      <c r="E13" s="7" t="inlineStr">
        <is>
          <t>34,5 kV OG hücreleri</t>
        </is>
      </c>
      <c r="F13" s="7" t="inlineStr"/>
      <c r="G13" s="7" t="inlineStr">
        <is>
          <t>Önce SORU: '36kV RMU ürünlerimiz 630A 16kA/1s'dir. SLD'de ürünler 1250A isteniyor.' Serhat: metal clad 1250A 25kA gerekli. Sonra: uygun ürün yok, teklif vermeyecek. Serhat 02.10 RMU için bütçe istedi; yanıt yok</t>
        </is>
      </c>
    </row>
    <row r="14">
      <c r="A14" s="7" t="inlineStr">
        <is>
          <t>2026-10-02</t>
        </is>
      </c>
      <c r="B14" s="7" t="inlineStr">
        <is>
          <t>Tema Elektrik Sistemleri</t>
        </is>
      </c>
      <c r="C14" s="7" t="inlineStr">
        <is>
          <t>ELEKTRIK</t>
        </is>
      </c>
      <c r="D14" s="7" t="inlineStr">
        <is>
          <t>VERMIYOR</t>
        </is>
      </c>
      <c r="E14" s="7" t="inlineStr"/>
      <c r="F14" s="7" t="inlineStr"/>
      <c r="G14" s="7" t="inlineStr">
        <is>
          <t>4 firma daha irtibat kurduğu için etik gereği teklif değerlendirmeme kararı; ihale alınırsa uygulamada çalışmak ister. Serhat bütçesel birim fiyat istedi; yanıt yok</t>
        </is>
      </c>
    </row>
    <row r="15">
      <c r="A15" s="7" t="inlineStr">
        <is>
          <t>2026-10-01</t>
        </is>
      </c>
      <c r="B15" s="7" t="inlineStr">
        <is>
          <t>EVA Elektromekanik</t>
        </is>
      </c>
      <c r="C15" s="7" t="inlineStr">
        <is>
          <t>ELEKTRIK</t>
        </is>
      </c>
      <c r="D15" s="7" t="inlineStr">
        <is>
          <t>VERMIYOR</t>
        </is>
      </c>
      <c r="E15" s="7" t="inlineStr">
        <is>
          <t>OG hücreleri</t>
        </is>
      </c>
      <c r="F15" s="7" t="inlineStr"/>
      <c r="G15" s="7" t="inlineStr">
        <is>
          <t>Metal Clad hücre üretimi yok (yalnız Metal Enclosed)</t>
        </is>
      </c>
    </row>
    <row r="16">
      <c r="A16" s="7" t="inlineStr">
        <is>
          <t>2026-10-01</t>
        </is>
      </c>
      <c r="B16" s="7" t="inlineStr">
        <is>
          <t>DC Group</t>
        </is>
      </c>
      <c r="C16" s="7" t="inlineStr">
        <is>
          <t>ELEKTRIK</t>
        </is>
      </c>
      <c r="D16" s="7" t="inlineStr">
        <is>
          <t>VERMIYOR</t>
        </is>
      </c>
      <c r="E16" s="7" t="inlineStr">
        <is>
          <t>Elektrik ve Mekanik</t>
        </is>
      </c>
      <c r="F16" s="7" t="inlineStr"/>
      <c r="G16" s="7" t="inlineStr">
        <is>
          <t>Metro/tramvay çalışmasına sıcak bakmıyorlar</t>
        </is>
      </c>
    </row>
    <row r="17">
      <c r="A17" s="7" t="inlineStr">
        <is>
          <t>2026-10-02</t>
        </is>
      </c>
      <c r="B17" s="7" t="inlineStr">
        <is>
          <t>Teknim (→ Lev Mühendislik)</t>
        </is>
      </c>
      <c r="C17" s="7" t="inlineStr">
        <is>
          <t>ELEKTRIK</t>
        </is>
      </c>
      <c r="D17" s="7" t="inlineStr">
        <is>
          <t>YONLENDIRDI</t>
        </is>
      </c>
      <c r="E17" s="7" t="inlineStr">
        <is>
          <t>Yangın ihbar</t>
        </is>
      </c>
      <c r="F17" s="7" t="inlineStr"/>
      <c r="G17" s="7" t="inlineStr">
        <is>
          <t>Lev Mühendislik – Enver Ertik (enver.ertik@levmuhendislik.com, 0533 170 48 64)'e yönlendirdi; Serhat 02.10 Enver Bey'e RFQ gönderdi, Lev'den yanıt yok</t>
        </is>
      </c>
    </row>
    <row r="18">
      <c r="A18" s="7" t="inlineStr">
        <is>
          <t>2026-10-02</t>
        </is>
      </c>
      <c r="B18" s="7" t="inlineStr">
        <is>
          <t>BETAŞ (Best Transformer)</t>
        </is>
      </c>
      <c r="C18" s="7" t="inlineStr">
        <is>
          <t>ELEKTRIK</t>
        </is>
      </c>
      <c r="D18" s="7" t="inlineStr">
        <is>
          <t>YONLENDIRDI</t>
        </is>
      </c>
      <c r="E18" s="7" t="inlineStr">
        <is>
          <t>Cer ve iç ihtiyaç trafoları</t>
        </is>
      </c>
      <c r="F18" s="7" t="inlineStr">
        <is>
          <t>BETAŞ Catalogue.pdf</t>
        </is>
      </c>
      <c r="G18" s="7" t="inlineStr">
        <is>
          <t>Elektrik işleri faaliyet alanı dışı (154 kV+ EPC) → teklif yok; trafo için grup şirketi Gürkan Temel (gurkan.temel@besttransformer.com)'e yönlendirdi. Serhat 02.10 Gürkan Bey'e trafo RFQ gönderdi; yanıt yok</t>
        </is>
      </c>
    </row>
    <row r="19">
      <c r="A19" s="7" t="inlineStr">
        <is>
          <t>2026-10-01</t>
        </is>
      </c>
      <c r="B19" s="7" t="inlineStr">
        <is>
          <t>Eaton</t>
        </is>
      </c>
      <c r="C19" s="7" t="inlineStr">
        <is>
          <t>ELEKTRIK</t>
        </is>
      </c>
      <c r="D19" s="7" t="inlineStr">
        <is>
          <t>YONLENDIRDI</t>
        </is>
      </c>
      <c r="E19" s="7" t="inlineStr"/>
      <c r="F19" s="7" t="inlineStr"/>
      <c r="G19" s="7" t="inlineStr">
        <is>
          <t>Teklif ve satış ekibine yönlendirdi; sonrasında yanıt yok</t>
        </is>
      </c>
    </row>
    <row r="20">
      <c r="A20" s="7" t="inlineStr">
        <is>
          <t>2026-10-01</t>
        </is>
      </c>
      <c r="B20" s="7" t="inlineStr">
        <is>
          <t>Keenfinity</t>
        </is>
      </c>
      <c r="C20" s="7" t="inlineStr">
        <is>
          <t>HABERLESME</t>
        </is>
      </c>
      <c r="D20" s="7" t="inlineStr">
        <is>
          <t>DIGER</t>
        </is>
      </c>
      <c r="E20" s="7" t="inlineStr"/>
      <c r="F20" s="7" t="inlineStr"/>
      <c r="G20" s="7" t="inlineStr">
        <is>
          <t>Otomatik yanıt: bu kutu okunmuyor</t>
        </is>
      </c>
    </row>
    <row r="21">
      <c r="A21" s="7" t="inlineStr">
        <is>
          <t>2026-09-30</t>
        </is>
      </c>
      <c r="B21" s="7" t="inlineStr">
        <is>
          <t>Atak Ulaşım</t>
        </is>
      </c>
      <c r="C21" s="7" t="inlineStr">
        <is>
          <t>HABERLESME</t>
        </is>
      </c>
      <c r="D21" s="7" t="inlineStr">
        <is>
          <t>DIGER</t>
        </is>
      </c>
      <c r="E21" s="7" t="inlineStr">
        <is>
          <t>Yolcu bilgilendirme (YBS)</t>
        </is>
      </c>
      <c r="F21" s="7" t="inlineStr"/>
      <c r="G21" s="7" t="inlineStr">
        <is>
          <t>Telefonla görüşmek istedi; Serhat 01.10 YBS kalemlerini (sıra 310 vb.) özetledi; sonrasında yanıt yok</t>
        </is>
      </c>
    </row>
    <row r="22">
      <c r="A22" s="7" t="inlineStr">
        <is>
          <t>2026-09-30</t>
        </is>
      </c>
      <c r="B22" s="7" t="inlineStr">
        <is>
          <t>Atılım Group</t>
        </is>
      </c>
      <c r="C22" s="7" t="inlineStr">
        <is>
          <t>HABERLESME</t>
        </is>
      </c>
      <c r="D22" s="7" t="inlineStr">
        <is>
          <t>SORU</t>
        </is>
      </c>
      <c r="E22" s="7" t="inlineStr"/>
      <c r="F22" s="7" t="inlineStr"/>
      <c r="G22" s="7" t="inlineStr">
        <is>
          <t>'İş sizin uhdenizde mi?' Serhat 30.09: ihaleye katılıyoruz, ihale 13.10.2026. Sonra yanıt yok</t>
        </is>
      </c>
    </row>
    <row r="23">
      <c r="A23" s="7" t="inlineStr">
        <is>
          <t>2026-10-06</t>
        </is>
      </c>
      <c r="B23" s="7" t="inlineStr">
        <is>
          <t>ON Elektronik (RayON)</t>
        </is>
      </c>
      <c r="C23" s="7" t="inlineStr">
        <is>
          <t>HABERLESME</t>
        </is>
      </c>
      <c r="D23" s="7" t="inlineStr">
        <is>
          <t>TEKLIF_EKTE</t>
        </is>
      </c>
      <c r="E23" s="7" t="inlineStr">
        <is>
          <t>Yalnız Merkezi Saat Sistemi (MSS) ve Yolcu Bilgilendirme Sistemi (YBS) – üretici olarak</t>
        </is>
      </c>
      <c r="F23" s="7" t="inlineStr">
        <is>
          <t>RayOn_Urfa_HRS_MSS_Keşfi_06102026.xlsx; RayOn_Urfa_HRS_YBS_Keşfi_06102026.xlsx; Tanıtım.zip; RayON_Referanslar_2026.pdf</t>
        </is>
      </c>
      <c r="G23" s="7" t="inlineStr">
        <is>
          <t>Bizim keşif üzerinden ilgili bölümler fiyatlandırılmış; tutar gövdede yok. Referans PDF'i ayrı FW mailiyle geldi</t>
        </is>
      </c>
    </row>
    <row r="24">
      <c r="A24" s="7" t="inlineStr">
        <is>
          <t>2026-10-02</t>
        </is>
      </c>
      <c r="B24" s="7" t="inlineStr">
        <is>
          <t>Teknomaks</t>
        </is>
      </c>
      <c r="C24" s="7" t="inlineStr">
        <is>
          <t>HABERLESME</t>
        </is>
      </c>
      <c r="D24" s="7" t="inlineStr">
        <is>
          <t>YONLENDIRDI</t>
        </is>
      </c>
      <c r="E24" s="7" t="inlineStr">
        <is>
          <t>CCTV / video güvenlik</t>
        </is>
      </c>
      <c r="F24" s="7" t="inlineStr"/>
      <c r="G24" s="7" t="inlineStr">
        <is>
          <t>Iqsight yönlendirmesi; Taylan Bey talebi Özgür Bey'e (bölge partneri) iletti; henüz teklif yok</t>
        </is>
      </c>
    </row>
    <row r="25">
      <c r="A25" s="7" t="inlineStr">
        <is>
          <t>2026-10-01</t>
        </is>
      </c>
      <c r="B25" s="7" t="inlineStr">
        <is>
          <t>Iqsight (eski Bosch/Keenfinity)</t>
        </is>
      </c>
      <c r="C25" s="7" t="inlineStr">
        <is>
          <t>HABERLESME</t>
        </is>
      </c>
      <c r="D25" s="7" t="inlineStr">
        <is>
          <t>YONLENDIRDI</t>
        </is>
      </c>
      <c r="E25" s="7" t="inlineStr">
        <is>
          <t>CCTV / güvenlik</t>
        </is>
      </c>
      <c r="F25" s="7" t="inlineStr"/>
      <c r="G25" s="7" t="inlineStr">
        <is>
          <t>Partnerler üzerinden; dağıtıcı Teknomaks (Taylan Akpınar)'a yönlendirdi</t>
        </is>
      </c>
    </row>
    <row r="26">
      <c r="A26" s="7" t="inlineStr">
        <is>
          <t>2026-10-01</t>
        </is>
      </c>
      <c r="B26" s="7" t="inlineStr">
        <is>
          <t>DeSA Temsilcilik (Arthur Flury)</t>
        </is>
      </c>
      <c r="C26" s="7" t="inlineStr">
        <is>
          <t>KATENER</t>
        </is>
      </c>
      <c r="D26" s="7" t="inlineStr">
        <is>
          <t>SORU</t>
        </is>
      </c>
      <c r="E26" s="7" t="inlineStr">
        <is>
          <t>Seksiyon izolatörleri / nötr kesimler (Arthur Flury)</t>
        </is>
      </c>
      <c r="F26" s="7" t="inlineStr">
        <is>
          <t>AF SI konfigürasyonu formu.pdf</t>
        </is>
      </c>
      <c r="G26" s="7" t="inlineStr">
        <is>
          <t>İzolatör seçim formu gönderdi; teknik değerlendirme sonrası fiyat verecek. Serhat 01.10 temel verileri (750 V DC, hız vb.) iletti; fiyat henüz yok</t>
        </is>
      </c>
    </row>
    <row r="27">
      <c r="A27" s="7" t="inlineStr">
        <is>
          <t>2026-10-02</t>
        </is>
      </c>
      <c r="B27" s="7" t="inlineStr">
        <is>
          <t>ER-BAKIR</t>
        </is>
      </c>
      <c r="C27" s="7" t="inlineStr">
        <is>
          <t>KATENER</t>
        </is>
      </c>
      <c r="D27" s="7" t="inlineStr">
        <is>
          <t>SORU</t>
        </is>
      </c>
      <c r="E27" s="7" t="inlineStr">
        <is>
          <t>Kontak teli 120 mm² Cu ETP, destek iletkeni 2x120 mm², 95 mm² örgülü esnek iletken, depo kontak teli</t>
        </is>
      </c>
      <c r="F27" s="7" t="inlineStr"/>
      <c r="G27" s="7" t="inlineStr">
        <is>
          <t>İletken teknik detaylarını sordu (AC/BC tipi, ETP teyidi, standart, yapı; 3K120F000002 önerisi). Serhat 02.10 şartname bilgileriyle cevapladı</t>
        </is>
      </c>
    </row>
    <row r="28">
      <c r="A28" s="7" t="inlineStr">
        <is>
          <t>2026-10-05</t>
        </is>
      </c>
      <c r="B28" s="7" t="inlineStr">
        <is>
          <t>Kambeton</t>
        </is>
      </c>
      <c r="C28" s="7" t="inlineStr">
        <is>
          <t>KATENER</t>
        </is>
      </c>
      <c r="D28" s="7" t="inlineStr">
        <is>
          <t>SORU</t>
        </is>
      </c>
      <c r="E28" s="7" t="inlineStr">
        <is>
          <t>Katener direkleri</t>
        </is>
      </c>
      <c r="F28" s="7" t="inlineStr"/>
      <c r="G28" s="7" t="inlineStr">
        <is>
          <t>'Teklif iletebilmemiz için direk tip ve adetlerinin net olması gerekmektedir.' Serhat 05.10: cetvelde net, teklif bekliyoruz</t>
        </is>
      </c>
    </row>
    <row r="29">
      <c r="A29" s="7" t="inlineStr">
        <is>
          <t>2026-10-01</t>
        </is>
      </c>
      <c r="B29" s="7" t="inlineStr">
        <is>
          <t>Mitaş Endüstri</t>
        </is>
      </c>
      <c r="C29" s="7" t="inlineStr">
        <is>
          <t>KATENER</t>
        </is>
      </c>
      <c r="D29" s="7" t="inlineStr">
        <is>
          <t>VERECEK</t>
        </is>
      </c>
      <c r="E29" s="7" t="inlineStr">
        <is>
          <t>Katener direkleri Sıra 222-226: T1-A 114, T2-B 17, T2-B1 4, T3-D 33, T3-C 60 adet</t>
        </is>
      </c>
      <c r="F29" s="7" t="inlineStr">
        <is>
          <t>GUL-A-8-MONTAJ.PDF; GUL-B-8-MONTAJ.PDF; GUL-B1-8-MONTAJ.PDF; GUL-C-8-MONTAJ.PDF; GUL-D-8-MONTAJ.PDF</t>
        </is>
      </c>
      <c r="G29" s="7" t="inlineStr">
        <is>
          <t>İzmir projesi direk çizimleri ekte. C/D kendi çizimine, A/B/B1 proje taban plaklarına göre teklif çalışacak. S355 dikişli boru (dikişsizin ithal/pahalı olduğu, idareye dikişli boru belirtilmesi gerektiği); kesit kontrolü yapamıyorlar; ankraj bulonu ve direk başı kapağı detayı istedi. Serhat 01.10 cevapladı. Fiyat henüz yok</t>
        </is>
      </c>
    </row>
    <row r="30">
      <c r="A30" s="7" t="inlineStr">
        <is>
          <t>2026-10-01</t>
        </is>
      </c>
      <c r="B30" s="7" t="inlineStr">
        <is>
          <t>Doruk Grup Enerji</t>
        </is>
      </c>
      <c r="C30" s="7" t="inlineStr">
        <is>
          <t>KATENER</t>
        </is>
      </c>
      <c r="D30" s="7" t="inlineStr">
        <is>
          <t>VERMIYOR</t>
        </is>
      </c>
      <c r="E30" s="7" t="inlineStr"/>
      <c r="F30" s="7" t="inlineStr"/>
      <c r="G30" s="7" t="inlineStr">
        <is>
          <t>Üretim programı 2027 Mart'a kadar dolu</t>
        </is>
      </c>
    </row>
    <row r="31">
      <c r="A31" s="7" t="inlineStr">
        <is>
          <t>2026-10-01</t>
        </is>
      </c>
      <c r="B31" s="7" t="inlineStr">
        <is>
          <t>KAM A.Ş.</t>
        </is>
      </c>
      <c r="C31" s="7" t="inlineStr">
        <is>
          <t>KATENER</t>
        </is>
      </c>
      <c r="D31" s="7" t="inlineStr">
        <is>
          <t>VERMIYOR</t>
        </is>
      </c>
      <c r="E31" s="7" t="inlineStr"/>
      <c r="F31" s="7" t="inlineStr"/>
      <c r="G31" s="7" t="inlineStr">
        <is>
          <t>'İstemiş olduğunuz ürünler üretim bandımızda bulunmamaktadır.' (Konu: 'kam aş'; hangi pakete yanıt olduğu belirtilmemiş, ENH satış – muhtemelen katener)</t>
        </is>
      </c>
    </row>
    <row r="32">
      <c r="A32" s="7" t="inlineStr">
        <is>
          <t>2026-09-30</t>
        </is>
      </c>
      <c r="B32" s="7" t="inlineStr">
        <is>
          <t>Resa</t>
        </is>
      </c>
      <c r="C32" s="7" t="inlineStr">
        <is>
          <t>KATENER</t>
        </is>
      </c>
      <c r="D32" s="7" t="inlineStr">
        <is>
          <t>VERMIYOR</t>
        </is>
      </c>
      <c r="E32" s="7" t="inlineStr">
        <is>
          <t>Elektrik ve Katener</t>
        </is>
      </c>
      <c r="F32" s="7" t="inlineStr"/>
      <c r="G32" s="7" t="inlineStr">
        <is>
          <t>Projede birlikte çalıştığı iş ortakları olduğundan teklif vermeyecek</t>
        </is>
      </c>
    </row>
    <row r="33">
      <c r="A33" s="7" t="inlineStr">
        <is>
          <t>2026-10-05</t>
        </is>
      </c>
      <c r="B33" s="7" t="inlineStr">
        <is>
          <t>Protek</t>
        </is>
      </c>
      <c r="C33" s="7" t="inlineStr">
        <is>
          <t>MEKANIK</t>
        </is>
      </c>
      <c r="D33" s="7" t="inlineStr">
        <is>
          <t>SORU</t>
        </is>
      </c>
      <c r="E33" s="7" t="inlineStr">
        <is>
          <t>FM200 gazlı söndürme (5005.H, D01 elektrik/elektronik odaları; mekanik cetvel sıra 350)</t>
        </is>
      </c>
      <c r="F33" s="7" t="inlineStr"/>
      <c r="G33" s="7" t="inlineStr">
        <is>
          <t>01.10: mekanik kapsamı/gazlı söndürme sordu (Serhat mekanik cetveli gönderdi). 05.10: '3 zon'un anlamı, oda hacimleri, 83 L silindire kaç kg gaz, tek silindir/3 panel mi, 3 selector vana mı' sordu; FM200 ile devam ekonomik dedi. Gövdede fiyat YOK. Serhat 05.10 cevapladı</t>
        </is>
      </c>
    </row>
    <row r="34">
      <c r="A34" s="7" t="inlineStr">
        <is>
          <t>2026-10-03</t>
        </is>
      </c>
      <c r="B34" s="7" t="inlineStr">
        <is>
          <t>Ekura</t>
        </is>
      </c>
      <c r="C34" s="7" t="inlineStr">
        <is>
          <t>MEKANIK</t>
        </is>
      </c>
      <c r="D34" s="7" t="inlineStr">
        <is>
          <t>VERECEK</t>
        </is>
      </c>
      <c r="E34" s="7" t="inlineStr">
        <is>
          <t>Mekanik tesisat paketi</t>
        </is>
      </c>
      <c r="F34" s="7" t="inlineStr"/>
      <c r="G34" s="7" t="inlineStr">
        <is>
          <t>Birkaç gün gecikmeyle gönderecek; zaman olsa tüm mekanik paketi (yürüyen merdiven, asansör, jeneratör dahil) bütçeleyebilir. Serhat en geç 09.10.2026 dedi</t>
        </is>
      </c>
    </row>
    <row r="35">
      <c r="A35" s="7" t="inlineStr">
        <is>
          <t>2026-10-05</t>
        </is>
      </c>
      <c r="B35" s="7" t="inlineStr">
        <is>
          <t>MET Mühendislik</t>
        </is>
      </c>
      <c r="C35" s="7" t="inlineStr">
        <is>
          <t>MEKANIK</t>
        </is>
      </c>
      <c r="D35" s="7" t="inlineStr">
        <is>
          <t>VERMIYOR</t>
        </is>
      </c>
      <c r="E35" s="7" t="inlineStr"/>
      <c r="F35" s="7" t="inlineStr"/>
      <c r="G35" s="7" t="inlineStr">
        <is>
          <t>Rekabetçi fiyat veremeyeceği için çalışmayacak. Serhat bütçesel fiyat istedi; yanıt yok</t>
        </is>
      </c>
    </row>
    <row r="36">
      <c r="A36" s="7" t="inlineStr">
        <is>
          <t>2026-10-05</t>
        </is>
      </c>
      <c r="B36" s="7" t="inlineStr">
        <is>
          <t>Demta</t>
        </is>
      </c>
      <c r="C36" s="7" t="inlineStr">
        <is>
          <t>MEKANIK</t>
        </is>
      </c>
      <c r="D36" s="7" t="inlineStr">
        <is>
          <t>VERMIYOR</t>
        </is>
      </c>
      <c r="E36" s="7" t="inlineStr"/>
      <c r="F36" s="7" t="inlineStr"/>
      <c r="G36" s="7" t="inlineStr">
        <is>
          <t>İlave değer katamayacağımızı düşünüyoruz; ihaleye katılmayacak</t>
        </is>
      </c>
    </row>
    <row r="37">
      <c r="A37" s="7" t="inlineStr">
        <is>
          <t>2026-09-30</t>
        </is>
      </c>
      <c r="B37" s="7" t="inlineStr">
        <is>
          <t>Birleşim Grup</t>
        </is>
      </c>
      <c r="C37" s="7" t="inlineStr">
        <is>
          <t>MEKANIK</t>
        </is>
      </c>
      <c r="D37" s="7" t="inlineStr">
        <is>
          <t>VERMIYOR</t>
        </is>
      </c>
      <c r="E37" s="7" t="inlineStr"/>
      <c r="F37" s="7" t="inlineStr"/>
      <c r="G37" s="7" t="inlineStr">
        <is>
          <t>Mevcut iş yoğunluğu</t>
        </is>
      </c>
    </row>
    <row r="38">
      <c r="A38" s="7" t="inlineStr">
        <is>
          <t>2026-09-30</t>
        </is>
      </c>
      <c r="B38" s="7" t="inlineStr">
        <is>
          <t>Genç Mühendislik</t>
        </is>
      </c>
      <c r="C38" s="7" t="inlineStr">
        <is>
          <t>MEKANIK</t>
        </is>
      </c>
      <c r="D38" s="7" t="inlineStr">
        <is>
          <t>VERMIYOR</t>
        </is>
      </c>
      <c r="E38" s="7" t="inlineStr"/>
      <c r="F38" s="7" t="inlineStr"/>
      <c r="G38" s="7" t="inlineStr">
        <is>
          <t>Önce tanışma süreci tercih; yoğun ihale programı; yalnızca fiyat vermek için teklif sunmuyor</t>
        </is>
      </c>
    </row>
    <row r="39">
      <c r="A39" s="7" t="inlineStr">
        <is>
          <t>2026-10-01</t>
        </is>
      </c>
      <c r="B39" s="7" t="inlineStr">
        <is>
          <t>Hanning &amp; Kahl</t>
        </is>
      </c>
      <c r="C39" s="7" t="inlineStr">
        <is>
          <t>SINYAL</t>
        </is>
      </c>
      <c r="D39" s="7" t="inlineStr">
        <is>
          <t>DIGER</t>
        </is>
      </c>
      <c r="E39" s="7" t="inlineStr"/>
      <c r="F39" s="7" t="inlineStr"/>
      <c r="G39" s="7" t="inlineStr">
        <is>
          <t>Otomatik yanıt: 02.10.2026'ya kadar ofis dışı</t>
        </is>
      </c>
    </row>
    <row r="40">
      <c r="A40" s="7" t="inlineStr">
        <is>
          <t>2026-10-06</t>
        </is>
      </c>
      <c r="B40" s="7" t="inlineStr">
        <is>
          <t>Mukan Rail / Contirail</t>
        </is>
      </c>
      <c r="C40" s="7" t="inlineStr">
        <is>
          <t>SINYAL</t>
        </is>
      </c>
      <c r="D40" s="7" t="inlineStr">
        <is>
          <t>TEKLIF_EKTE</t>
        </is>
      </c>
      <c r="E40" s="7" t="inlineStr">
        <is>
          <t>Araç Takip Sistemi (AVLS): Sıra 233/Poz 3002, Sıra 234/Poz 3003, Sıra 235/Poz 3004</t>
        </is>
      </c>
      <c r="F40" s="7" t="inlineStr">
        <is>
          <t>MUKAN Rail Butcesel Teklif - Sanliurfa HRS 1 Etap AVLS 2026-1327584.pdf; MUKAN Rail Teknik Foy ve Marka Sinifi - Sanliurfa HRS 1 Etap AVLS 2026-1327584.pdf; URF_1Etap_SINYALIZASYON_Teklif_Cetveli_MUKAN_AVLS.xlsx</t>
        </is>
      </c>
      <c r="G40" s="7" t="inlineStr">
        <is>
          <t>02.10 E. Tuncer 11 teknik soru sordu (YBS kapsamı, belediye AVLS/API, 15 araç, lup arayüzü, sürücü/sefer no, 3 sn/10 sn güncelleme, SIM, dolap/UPS/switch, 2 sunucu+NAS, ticari koşullar, takvim); Serhat varsayımlarla cevapladı; Tuncer kabul etti. 06.10 bütçesel teklif ekte; gövdede tutar yok. Katener için teklif yok</t>
        </is>
      </c>
    </row>
    <row r="41">
      <c r="A41" s="7" t="inlineStr">
        <is>
          <t>2026-10-01</t>
        </is>
      </c>
      <c r="B41" s="7" t="inlineStr">
        <is>
          <t>Hugotek</t>
        </is>
      </c>
      <c r="C41" s="7" t="inlineStr">
        <is>
          <t>SINYAL</t>
        </is>
      </c>
      <c r="D41" s="7" t="inlineStr">
        <is>
          <t>VERECEK</t>
        </is>
      </c>
      <c r="E41" s="7" t="inlineStr">
        <is>
          <t>Sinyalizasyon + araç takip</t>
        </is>
      </c>
      <c r="F41" s="7" t="inlineStr"/>
      <c r="G41" s="7" t="inlineStr">
        <is>
          <t>'Konu hakkında en kısa sürede sizlere ulaşmış olacağız' (net taahhüt değil)</t>
        </is>
      </c>
    </row>
    <row r="42">
      <c r="A42" s="7" t="inlineStr">
        <is>
          <t>2026-10-05</t>
        </is>
      </c>
      <c r="B42" s="7" t="inlineStr">
        <is>
          <t>Alstom</t>
        </is>
      </c>
      <c r="C42" s="7" t="inlineStr">
        <is>
          <t>SINYAL</t>
        </is>
      </c>
      <c r="D42" s="7" t="inlineStr">
        <is>
          <t>VERMIYOR</t>
        </is>
      </c>
      <c r="E42" s="7" t="inlineStr">
        <is>
          <t>Sinyalizasyon + araç takip</t>
        </is>
      </c>
      <c r="F42" s="7" t="inlineStr"/>
      <c r="G42" s="7" t="inlineStr">
        <is>
          <t>Detaylı çalışma için yeterli zaman yok, teklif sunamayacağız. Serhat 05.10 bütçesel (toplam/ana kalem) fiyat istedi; yanıt yok</t>
        </is>
      </c>
    </row>
    <row r="43">
      <c r="A43" s="7" t="inlineStr">
        <is>
          <t>2026-10-02</t>
        </is>
      </c>
      <c r="B43" s="7" t="inlineStr">
        <is>
          <t>Savronik</t>
        </is>
      </c>
      <c r="C43" s="7" t="inlineStr">
        <is>
          <t>SINYAL</t>
        </is>
      </c>
      <c r="D43" s="7" t="inlineStr">
        <is>
          <t>VERMIYOR</t>
        </is>
      </c>
      <c r="E43" s="7" t="inlineStr">
        <is>
          <t>Sinyalizasyon + araç takip</t>
        </is>
      </c>
      <c r="F43" s="7" t="inlineStr"/>
      <c r="G43" s="7" t="inlineStr">
        <is>
          <t>Teklif süresinin kısıtlı olması nedeniyle teklif vermeyecek. Serhat 02.10 bütçesel fiyat istedi; yanıt yok</t>
        </is>
      </c>
    </row>
    <row r="44">
      <c r="A44" s="7" t="inlineStr">
        <is>
          <t>2026-10-01</t>
        </is>
      </c>
      <c r="B44" s="7" t="inlineStr">
        <is>
          <t>Anadolu Trafik</t>
        </is>
      </c>
      <c r="C44" s="7" t="inlineStr">
        <is>
          <t>SINYAL</t>
        </is>
      </c>
      <c r="D44" s="7" t="inlineStr">
        <is>
          <t>VERMIYOR</t>
        </is>
      </c>
      <c r="E44" s="7" t="inlineStr"/>
      <c r="F44" s="7" t="inlineStr"/>
      <c r="G44" s="7" t="inlineStr">
        <is>
          <t>Karayolu tünel ürünleri üretiyor; istenen ürünler yok</t>
        </is>
      </c>
    </row>
    <row r="45">
      <c r="A45" s="7" t="inlineStr">
        <is>
          <t>2026-10-01</t>
        </is>
      </c>
      <c r="B45" s="7" t="inlineStr">
        <is>
          <t>EHT Mühendislik</t>
        </is>
      </c>
      <c r="C45" s="7" t="inlineStr">
        <is>
          <t>SINYAL</t>
        </is>
      </c>
      <c r="D45" s="7" t="inlineStr">
        <is>
          <t>VERMIYOR</t>
        </is>
      </c>
      <c r="E45" s="7" t="inlineStr"/>
      <c r="F45" s="7" t="inlineStr">
        <is>
          <t>EHT MÜH TANITIM TR.pdf; design_guide_iecex_final.pdf</t>
        </is>
      </c>
      <c r="G45" s="7" t="inlineStr">
        <is>
          <t>Faaliyet alanına (ısıtma, makas ısıtıcı vb.) giren kalem yok</t>
        </is>
      </c>
    </row>
    <row r="46">
      <c r="A46" s="7" t="inlineStr">
        <is>
          <t>2026-10-01</t>
        </is>
      </c>
      <c r="B46" s="7" t="inlineStr">
        <is>
          <t>Elmak</t>
        </is>
      </c>
      <c r="C46" s="7" t="inlineStr">
        <is>
          <t>SINYAL</t>
        </is>
      </c>
      <c r="D46" s="7" t="inlineStr">
        <is>
          <t>VERMIYOR</t>
        </is>
      </c>
      <c r="E46" s="7" t="inlineStr"/>
      <c r="F46" s="7" t="inlineStr"/>
      <c r="G46" s="7" t="inlineStr">
        <is>
          <t>Otomasyon SCADA hizmeti veriyor; ilgili kapsamlar için çalışmaları yok</t>
        </is>
      </c>
    </row>
    <row r="47">
      <c r="A47" s="7" t="inlineStr">
        <is>
          <t>2026-10-01</t>
        </is>
      </c>
      <c r="B47" s="7" t="inlineStr">
        <is>
          <t>İntetra</t>
        </is>
      </c>
      <c r="C47" s="7" t="inlineStr">
        <is>
          <t>SINYAL</t>
        </is>
      </c>
      <c r="D47" s="7" t="inlineStr">
        <is>
          <t>YONLENDIRDI</t>
        </is>
      </c>
      <c r="E47" s="7" t="inlineStr">
        <is>
          <t>Sinyalizasyon + araç takip</t>
        </is>
      </c>
      <c r="F47" s="7" t="inlineStr"/>
      <c r="G47" s="7" t="inlineStr">
        <is>
          <t>Mehmet Göktepe Bey dönüş yapacak; henüz yanıt yok</t>
        </is>
      </c>
    </row>
    <row r="48"/>
    <row r="49"/>
    <row r="50">
      <c r="A50" s="20" t="inlineStr">
        <is>
          <t>EKLERDEN OKUNAN TEKLİF KALEMLERİ</t>
        </is>
      </c>
    </row>
    <row r="51">
      <c r="A51" s="32" t="inlineStr">
        <is>
          <t>firma</t>
        </is>
      </c>
      <c r="B51" s="32" t="inlineStr">
        <is>
          <t>tarih</t>
        </is>
      </c>
      <c r="C51" s="32" t="inlineStr">
        <is>
          <t>disiplin</t>
        </is>
      </c>
      <c r="D51" s="32" t="inlineStr">
        <is>
          <t>sira</t>
        </is>
      </c>
      <c r="E51" s="32" t="inlineStr">
        <is>
          <t>poz</t>
        </is>
      </c>
      <c r="F51" s="32" t="inlineStr">
        <is>
          <t>kalem</t>
        </is>
      </c>
      <c r="G51" s="32" t="inlineStr">
        <is>
          <t>birim</t>
        </is>
      </c>
      <c r="H51" s="32" t="inlineStr">
        <is>
          <t>miktar</t>
        </is>
      </c>
      <c r="I51" s="32" t="inlineStr">
        <is>
          <t>malzeme_bf</t>
        </is>
      </c>
      <c r="J51" s="32" t="inlineStr">
        <is>
          <t>iscilik_bf</t>
        </is>
      </c>
      <c r="K51" s="32" t="inlineStr">
        <is>
          <t>para_birimi</t>
        </is>
      </c>
      <c r="L51" s="32" t="inlineStr">
        <is>
          <t>toplam</t>
        </is>
      </c>
      <c r="M51" s="32" t="inlineStr">
        <is>
          <t>not</t>
        </is>
      </c>
    </row>
    <row r="52">
      <c r="A52" s="7" t="inlineStr">
        <is>
          <t>TK Elevator (TK Asansör)</t>
        </is>
      </c>
      <c r="B52" s="7" t="inlineStr">
        <is>
          <t>2026-10-02</t>
        </is>
      </c>
      <c r="C52" s="7" t="inlineStr">
        <is>
          <t>ASANSOR</t>
        </is>
      </c>
      <c r="D52" s="7" t="inlineStr">
        <is>
          <t>364</t>
        </is>
      </c>
      <c r="E52" s="7" t="inlineStr">
        <is>
          <t>5010.A</t>
        </is>
      </c>
      <c r="F52" s="7" t="inlineStr">
        <is>
          <t>Asansör 13 kişi/1000 kg, 2 durak (zemin ±0,00 / üst geçit tabliyesi ~+7,46), MRL dişlisiz, DC beslemeli, VVVF, EN81-20/50/70/73, 1,0 m/s, cam+paslanmaz kabin — S09 Hızmalı Köprüsü üst geçidi</t>
        </is>
      </c>
      <c r="G52" s="7" t="inlineStr">
        <is>
          <t>adet</t>
        </is>
      </c>
      <c r="H52" s="7" t="n">
        <v>3</v>
      </c>
      <c r="I52" s="7" t="n">
        <v>24000</v>
      </c>
      <c r="J52" s="7" t="n">
        <v>8000</v>
      </c>
      <c r="K52" s="7" t="inlineStr">
        <is>
          <t>EUR</t>
        </is>
      </c>
      <c r="L52" s="7" t="n">
        <v>96000</v>
      </c>
      <c r="M52" s="7" t="inlineStr">
        <is>
          <t>Marka: TKE; PDF TR-2111355-R00: 12x32.000 + 1x30.200 = 414.200 EUR, malzeme+montaj+nakliye dahil, KDV hariç</t>
        </is>
      </c>
    </row>
    <row r="53">
      <c r="A53" s="7" t="inlineStr">
        <is>
          <t>TK Elevator (TK Asansör)</t>
        </is>
      </c>
      <c r="B53" s="7" t="inlineStr">
        <is>
          <t>2026-10-02</t>
        </is>
      </c>
      <c r="C53" s="7" t="inlineStr">
        <is>
          <t>ASANSOR</t>
        </is>
      </c>
      <c r="D53" s="7" t="inlineStr">
        <is>
          <t>364</t>
        </is>
      </c>
      <c r="E53" s="7" t="inlineStr">
        <is>
          <t>5010.A</t>
        </is>
      </c>
      <c r="F53" s="7" t="inlineStr">
        <is>
          <t>Asansör 13 kişi/1000 kg, 2 durak (zemin ±0,00 / üst geçit tabliyesi ~+7,46), MRL dişlisiz, DC beslemeli, VVVF, EN81-20/50/70/73, 1,0 m/s, cam+paslanmaz kabin — S10 Balıklıgöl üst geçidi</t>
        </is>
      </c>
      <c r="G53" s="7" t="inlineStr">
        <is>
          <t>adet</t>
        </is>
      </c>
      <c r="H53" s="7" t="n">
        <v>3</v>
      </c>
      <c r="I53" s="7" t="n">
        <v>24000</v>
      </c>
      <c r="J53" s="7" t="n">
        <v>8000</v>
      </c>
      <c r="K53" s="7" t="inlineStr">
        <is>
          <t>EUR</t>
        </is>
      </c>
      <c r="L53" s="7" t="n">
        <v>96000</v>
      </c>
      <c r="M53" s="7" t="inlineStr">
        <is>
          <t>Marka: TKE; PDF TR-2111355-R00: 12x32.000 + 1x30.200 = 414.200 EUR, malzeme+montaj+nakliye dahil, KDV hariç</t>
        </is>
      </c>
    </row>
    <row r="54">
      <c r="A54" s="7" t="inlineStr">
        <is>
          <t>TK Elevator (TK Asansör)</t>
        </is>
      </c>
      <c r="B54" s="7" t="inlineStr">
        <is>
          <t>2026-10-02</t>
        </is>
      </c>
      <c r="C54" s="7" t="inlineStr">
        <is>
          <t>ASANSOR</t>
        </is>
      </c>
      <c r="D54" s="7" t="inlineStr">
        <is>
          <t>364</t>
        </is>
      </c>
      <c r="E54" s="7" t="inlineStr">
        <is>
          <t>5010.A</t>
        </is>
      </c>
      <c r="F54" s="7" t="inlineStr">
        <is>
          <t>Asansör 13 kişi/1000 kg, 2 durak (zemin ±0,00 / üst geçit tabliyesi ~+7,46), MRL dişlisiz, DC beslemeli, VVVF, EN81-20/50/70/73, 1,0 m/s, cam+paslanmaz kabin — S11 Eyyüp Peygamber üst geçidi</t>
        </is>
      </c>
      <c r="G54" s="7" t="inlineStr">
        <is>
          <t>adet</t>
        </is>
      </c>
      <c r="H54" s="7" t="n">
        <v>3</v>
      </c>
      <c r="I54" s="7" t="n">
        <v>24000</v>
      </c>
      <c r="J54" s="7" t="n">
        <v>8000</v>
      </c>
      <c r="K54" s="7" t="inlineStr">
        <is>
          <t>EUR</t>
        </is>
      </c>
      <c r="L54" s="7" t="n">
        <v>96000</v>
      </c>
      <c r="M54" s="7" t="inlineStr">
        <is>
          <t>Marka: TKE; PDF TR-2111355-R00: 12x32.000 + 1x30.200 = 414.200 EUR, malzeme+montaj+nakliye dahil, KDV hariç</t>
        </is>
      </c>
    </row>
    <row r="55">
      <c r="A55" s="7" t="inlineStr">
        <is>
          <t>TK Elevator (TK Asansör)</t>
        </is>
      </c>
      <c r="B55" s="7" t="inlineStr">
        <is>
          <t>2026-10-02</t>
        </is>
      </c>
      <c r="C55" s="7" t="inlineStr">
        <is>
          <t>ASANSOR</t>
        </is>
      </c>
      <c r="D55" s="7" t="inlineStr">
        <is>
          <t>364</t>
        </is>
      </c>
      <c r="E55" s="7" t="inlineStr">
        <is>
          <t>5010.A</t>
        </is>
      </c>
      <c r="F55" s="7" t="inlineStr">
        <is>
          <t>Asansör 13 kişi/1000 kg, 2 durak (zemin ±0,00 / üst geçit tabliyesi ~+7,46), MRL dişlisiz, DC beslemeli, VVVF, EN81-20/50/70/73, 1,0 m/s, cam+paslanmaz kabin — S12 Rasathane üst geçidi</t>
        </is>
      </c>
      <c r="G55" s="7" t="inlineStr">
        <is>
          <t>adet</t>
        </is>
      </c>
      <c r="H55" s="7" t="n">
        <v>3</v>
      </c>
      <c r="I55" s="7" t="n">
        <v>24000</v>
      </c>
      <c r="J55" s="7" t="n">
        <v>8000</v>
      </c>
      <c r="K55" s="7" t="inlineStr">
        <is>
          <t>EUR</t>
        </is>
      </c>
      <c r="L55" s="7" t="n">
        <v>96000</v>
      </c>
      <c r="M55" s="7" t="inlineStr">
        <is>
          <t>Marka: TKE; PDF TR-2111355-R00: 12x32.000 + 1x30.200 = 414.200 EUR, malzeme+montaj+nakliye dahil, KDV hariç</t>
        </is>
      </c>
    </row>
    <row r="56">
      <c r="A56" s="7" t="inlineStr">
        <is>
          <t>TK Elevator (TK Asansör)</t>
        </is>
      </c>
      <c r="B56" s="7" t="inlineStr">
        <is>
          <t>2026-10-02</t>
        </is>
      </c>
      <c r="C56" s="7" t="inlineStr">
        <is>
          <t>ASANSOR</t>
        </is>
      </c>
      <c r="D56" s="7" t="inlineStr">
        <is>
          <t>365</t>
        </is>
      </c>
      <c r="E56" s="7" t="inlineStr">
        <is>
          <t>5010.B</t>
        </is>
      </c>
      <c r="F56" s="7" t="inlineStr">
        <is>
          <t>Asansör 10 kişi/800 kg, 2 durak (zemin/1. kat), MRL dişlisiz, DC beslemeli, VVVF, 1,0 m/s — D01 İdari Bina</t>
        </is>
      </c>
      <c r="G56" s="7" t="inlineStr">
        <is>
          <t>adet</t>
        </is>
      </c>
      <c r="H56" s="7" t="n">
        <v>1</v>
      </c>
      <c r="I56" s="7" t="n">
        <v>22650</v>
      </c>
      <c r="J56" s="7" t="n">
        <v>7550</v>
      </c>
      <c r="K56" s="7" t="inlineStr">
        <is>
          <t>EUR</t>
        </is>
      </c>
      <c r="L56" s="7" t="n">
        <v>30200</v>
      </c>
      <c r="M56" s="7" t="inlineStr">
        <is>
          <t>Marka: TKE; PDF TR-2111355-R00: 12x32.000 + 1x30.200 = 414.200 EUR, malzeme+montaj+nakliye dahil, KDV hariç</t>
        </is>
      </c>
    </row>
    <row r="57">
      <c r="A57" s="7" t="inlineStr">
        <is>
          <t>Emlift (Elit İnşaat)</t>
        </is>
      </c>
      <c r="B57" s="7" t="inlineStr">
        <is>
          <t>2026-10-05</t>
        </is>
      </c>
      <c r="C57" s="7" t="inlineStr">
        <is>
          <t>ASANSOR</t>
        </is>
      </c>
      <c r="D57" s="7" t="inlineStr">
        <is>
          <t>364</t>
        </is>
      </c>
      <c r="E57" s="7" t="inlineStr">
        <is>
          <t>5010.A</t>
        </is>
      </c>
      <c r="F57" s="7" t="inlineStr">
        <is>
          <t>Asansör 13 kişi/1000 kg, 2 durak (zemin ±0,00 / üst geçit tabliyesi ~+7,46), MRL dişlisiz, DC beslemeli, VVVF, EN81-20/50/70/73, 1,0 m/s, cam+paslanmaz kabin — S09 Hızmalı Köprüsü üst geçidi</t>
        </is>
      </c>
      <c r="G57" s="7" t="inlineStr">
        <is>
          <t>adet</t>
        </is>
      </c>
      <c r="H57" s="7" t="n">
        <v>3</v>
      </c>
      <c r="I57" s="7" t="n">
        <v>1500000</v>
      </c>
      <c r="J57" s="7" t="inlineStr"/>
      <c r="K57" s="7" t="inlineStr">
        <is>
          <t>TL</t>
        </is>
      </c>
      <c r="L57" s="7" t="n">
        <v>4500000</v>
      </c>
      <c r="M57" s="7" t="inlineStr">
        <is>
          <t>Para birimi xlsx'te boş; PDF teklif 2026/E025 TL, KDV hariç (KDV %20 ayrı)</t>
        </is>
      </c>
    </row>
    <row r="58">
      <c r="A58" s="7" t="inlineStr">
        <is>
          <t>Emlift (Elit İnşaat)</t>
        </is>
      </c>
      <c r="B58" s="7" t="inlineStr">
        <is>
          <t>2026-10-05</t>
        </is>
      </c>
      <c r="C58" s="7" t="inlineStr">
        <is>
          <t>ASANSOR</t>
        </is>
      </c>
      <c r="D58" s="7" t="inlineStr">
        <is>
          <t>364</t>
        </is>
      </c>
      <c r="E58" s="7" t="inlineStr">
        <is>
          <t>5010.A</t>
        </is>
      </c>
      <c r="F58" s="7" t="inlineStr">
        <is>
          <t>Asansör 13 kişi/1000 kg, 2 durak (zemin ±0,00 / üst geçit tabliyesi ~+7,46), MRL dişlisiz, DC beslemeli, VVVF, EN81-20/50/70/73, 1,0 m/s, cam+paslanmaz kabin — S10 Balıklıgöl üst geçidi</t>
        </is>
      </c>
      <c r="G58" s="7" t="inlineStr">
        <is>
          <t>adet</t>
        </is>
      </c>
      <c r="H58" s="7" t="n">
        <v>3</v>
      </c>
      <c r="I58" s="7" t="n">
        <v>1500000</v>
      </c>
      <c r="J58" s="7" t="inlineStr"/>
      <c r="K58" s="7" t="inlineStr">
        <is>
          <t>TL</t>
        </is>
      </c>
      <c r="L58" s="7" t="n">
        <v>4500000</v>
      </c>
      <c r="M58" s="7" t="inlineStr">
        <is>
          <t>Para birimi xlsx'te boş; PDF teklif 2026/E025 TL, KDV hariç (KDV %20 ayrı)</t>
        </is>
      </c>
    </row>
    <row r="59">
      <c r="A59" s="7" t="inlineStr">
        <is>
          <t>Emlift (Elit İnşaat)</t>
        </is>
      </c>
      <c r="B59" s="7" t="inlineStr">
        <is>
          <t>2026-10-05</t>
        </is>
      </c>
      <c r="C59" s="7" t="inlineStr">
        <is>
          <t>ASANSOR</t>
        </is>
      </c>
      <c r="D59" s="7" t="inlineStr">
        <is>
          <t>364</t>
        </is>
      </c>
      <c r="E59" s="7" t="inlineStr">
        <is>
          <t>5010.A</t>
        </is>
      </c>
      <c r="F59" s="7" t="inlineStr">
        <is>
          <t>Asansör 13 kişi/1000 kg, 2 durak (zemin ±0,00 / üst geçit tabliyesi ~+7,46), MRL dişlisiz, DC beslemeli, VVVF, EN81-20/50/70/73, 1,0 m/s, cam+paslanmaz kabin — S11 Eyyüp Peygamber üst geçidi</t>
        </is>
      </c>
      <c r="G59" s="7" t="inlineStr">
        <is>
          <t>adet</t>
        </is>
      </c>
      <c r="H59" s="7" t="n">
        <v>3</v>
      </c>
      <c r="I59" s="7" t="n">
        <v>1500000</v>
      </c>
      <c r="J59" s="7" t="inlineStr"/>
      <c r="K59" s="7" t="inlineStr">
        <is>
          <t>TL</t>
        </is>
      </c>
      <c r="L59" s="7" t="n">
        <v>4500000</v>
      </c>
      <c r="M59" s="7" t="inlineStr">
        <is>
          <t>Para birimi xlsx'te boş; PDF teklif 2026/E025 TL, KDV hariç (KDV %20 ayrı)</t>
        </is>
      </c>
    </row>
    <row r="60">
      <c r="A60" s="7" t="inlineStr">
        <is>
          <t>Emlift (Elit İnşaat)</t>
        </is>
      </c>
      <c r="B60" s="7" t="inlineStr">
        <is>
          <t>2026-10-05</t>
        </is>
      </c>
      <c r="C60" s="7" t="inlineStr">
        <is>
          <t>ASANSOR</t>
        </is>
      </c>
      <c r="D60" s="7" t="inlineStr">
        <is>
          <t>364</t>
        </is>
      </c>
      <c r="E60" s="7" t="inlineStr">
        <is>
          <t>5010.A</t>
        </is>
      </c>
      <c r="F60" s="7" t="inlineStr">
        <is>
          <t>Asansör 13 kişi/1000 kg, 2 durak (zemin ±0,00 / üst geçit tabliyesi ~+7,46), MRL dişlisiz, DC beslemeli, VVVF, EN81-20/50/70/73, 1,0 m/s, cam+paslanmaz kabin — S12 Rasathane üst geçidi</t>
        </is>
      </c>
      <c r="G60" s="7" t="inlineStr">
        <is>
          <t>adet</t>
        </is>
      </c>
      <c r="H60" s="7" t="n">
        <v>3</v>
      </c>
      <c r="I60" s="7" t="n">
        <v>1500000</v>
      </c>
      <c r="J60" s="7" t="inlineStr"/>
      <c r="K60" s="7" t="inlineStr">
        <is>
          <t>TL</t>
        </is>
      </c>
      <c r="L60" s="7" t="n">
        <v>4500000</v>
      </c>
      <c r="M60" s="7" t="inlineStr">
        <is>
          <t>Para birimi xlsx'te boş; PDF teklif 2026/E025 TL, KDV hariç (KDV %20 ayrı)</t>
        </is>
      </c>
    </row>
    <row r="61">
      <c r="A61" s="7" t="inlineStr">
        <is>
          <t>Emlift (Elit İnşaat)</t>
        </is>
      </c>
      <c r="B61" s="7" t="inlineStr">
        <is>
          <t>2026-10-05</t>
        </is>
      </c>
      <c r="C61" s="7" t="inlineStr">
        <is>
          <t>ASANSOR</t>
        </is>
      </c>
      <c r="D61" s="7" t="inlineStr">
        <is>
          <t>365</t>
        </is>
      </c>
      <c r="E61" s="7" t="inlineStr">
        <is>
          <t>5010.B</t>
        </is>
      </c>
      <c r="F61" s="7" t="inlineStr">
        <is>
          <t>Asansör 10 kişi/800 kg, 2 durak (zemin/1. kat), MRL dişlisiz, DC beslemeli, VVVF, 1,0 m/s — D01 İdari Bina</t>
        </is>
      </c>
      <c r="G61" s="7" t="inlineStr">
        <is>
          <t>adet</t>
        </is>
      </c>
      <c r="H61" s="7" t="n">
        <v>1</v>
      </c>
      <c r="I61" s="7" t="n">
        <v>1500000</v>
      </c>
      <c r="J61" s="7" t="inlineStr"/>
      <c r="K61" s="7" t="inlineStr">
        <is>
          <t>TL</t>
        </is>
      </c>
      <c r="L61" s="7" t="n">
        <v>1500000</v>
      </c>
      <c r="M61" s="7" t="inlineStr">
        <is>
          <t>Para birimi xlsx'te boş; PDF teklif 2026/E025 TL, KDV hariç (KDV %20 ayrı)</t>
        </is>
      </c>
    </row>
    <row r="62">
      <c r="A62" s="7" t="inlineStr">
        <is>
          <t>Mukan Rail</t>
        </is>
      </c>
      <c r="B62" s="7" t="inlineStr">
        <is>
          <t>2026-10-05</t>
        </is>
      </c>
      <c r="C62" s="7" t="inlineStr">
        <is>
          <t>SINYALIZASYON (AVLS)</t>
        </is>
      </c>
      <c r="D62" s="7" t="inlineStr">
        <is>
          <t>233</t>
        </is>
      </c>
      <c r="E62" s="7" t="inlineStr">
        <is>
          <t>3002</t>
        </is>
      </c>
      <c r="F62" s="7" t="inlineStr">
        <is>
          <t>Arac ustu AVLS bilgisayari (EN 50155, min 48 kanal GPS alicisi, GSM/LTE modem, odometri girisi)</t>
        </is>
      </c>
      <c r="G62" s="7" t="inlineStr">
        <is>
          <t>adet</t>
        </is>
      </c>
      <c r="H62" s="7" t="n">
        <v>15</v>
      </c>
      <c r="I62" s="7" t="n">
        <v>7500</v>
      </c>
      <c r="J62" s="7" t="inlineStr"/>
      <c r="K62" s="7" t="inlineStr">
        <is>
          <t>EUR</t>
        </is>
      </c>
      <c r="L62" s="7" t="n">
        <v>112500</v>
      </c>
      <c r="M62" s="7" t="inlineStr">
        <is>
          <t>Marka: Moxa / Advantech / Teltonika (EN 50155); Bütçesel; montaj birim fiyata dahil, işçilik sütunu boş</t>
        </is>
      </c>
    </row>
    <row r="63">
      <c r="A63" s="7" t="inlineStr">
        <is>
          <t>Mukan Rail</t>
        </is>
      </c>
      <c r="B63" s="7" t="inlineStr">
        <is>
          <t>2026-10-05</t>
        </is>
      </c>
      <c r="C63" s="7" t="inlineStr">
        <is>
          <t>SINYALIZASYON (AVLS)</t>
        </is>
      </c>
      <c r="D63" s="7" t="inlineStr">
        <is>
          <t>233</t>
        </is>
      </c>
      <c r="E63" s="7" t="inlineStr">
        <is>
          <t>3002</t>
        </is>
      </c>
      <c r="F63" s="7" t="inlineStr">
        <is>
          <t>Entegre GSM/GPS cati anteni + anten kablosu</t>
        </is>
      </c>
      <c r="G63" s="7" t="inlineStr">
        <is>
          <t>adet</t>
        </is>
      </c>
      <c r="H63" s="7" t="n">
        <v>15</v>
      </c>
      <c r="I63" s="7" t="n">
        <v>1400</v>
      </c>
      <c r="J63" s="7" t="inlineStr"/>
      <c r="K63" s="7" t="inlineStr">
        <is>
          <t>EUR</t>
        </is>
      </c>
      <c r="L63" s="7" t="n">
        <v>21000</v>
      </c>
      <c r="M63" s="7" t="inlineStr">
        <is>
          <t>Marka: Huber+Suhner / Antonics / Panorama (IP69K); Bütçesel; montaj birim fiyata dahil, işçilik sütunu boş</t>
        </is>
      </c>
    </row>
    <row r="64">
      <c r="A64" s="7" t="inlineStr">
        <is>
          <t>Mukan Rail</t>
        </is>
      </c>
      <c r="B64" s="7" t="inlineStr">
        <is>
          <t>2026-10-05</t>
        </is>
      </c>
      <c r="C64" s="7" t="inlineStr">
        <is>
          <t>SINYALIZASYON (AVLS)</t>
        </is>
      </c>
      <c r="D64" s="7" t="inlineStr">
        <is>
          <t>233</t>
        </is>
      </c>
      <c r="E64" s="7" t="inlineStr">
        <is>
          <t>3002</t>
        </is>
      </c>
      <c r="F64" s="7" t="inlineStr">
        <is>
          <t>Surucu HMI terminali (gecikme/sefer mesajlari, surucu-sefer no girisi) - her kabine 1</t>
        </is>
      </c>
      <c r="G64" s="7" t="inlineStr">
        <is>
          <t>adet</t>
        </is>
      </c>
      <c r="H64" s="7" t="n">
        <v>30</v>
      </c>
      <c r="I64" s="7" t="n">
        <v>3400</v>
      </c>
      <c r="J64" s="7" t="inlineStr"/>
      <c r="K64" s="7" t="inlineStr">
        <is>
          <t>EUR</t>
        </is>
      </c>
      <c r="L64" s="7" t="n">
        <v>102000</v>
      </c>
      <c r="M64" s="7" t="inlineStr">
        <is>
          <t>Marka: Advantech / Moxa (EN 50155 dokunmatik); Bütçesel; montaj birim fiyata dahil, işçilik sütunu boş</t>
        </is>
      </c>
    </row>
    <row r="65">
      <c r="A65" s="7" t="inlineStr">
        <is>
          <t>Mukan Rail</t>
        </is>
      </c>
      <c r="B65" s="7" t="inlineStr">
        <is>
          <t>2026-10-05</t>
        </is>
      </c>
      <c r="C65" s="7" t="inlineStr">
        <is>
          <t>SINYALIZASYON (AVLS)</t>
        </is>
      </c>
      <c r="D65" s="7" t="inlineStr">
        <is>
          <t>233</t>
        </is>
      </c>
      <c r="E65" s="7" t="inlineStr">
        <is>
          <t>3002</t>
        </is>
      </c>
      <c r="F65" s="7" t="inlineStr">
        <is>
          <t>Arac ici arayuz: odometri/hiz, arac PIS/otomatik anons, sinyalizasyon paneli (arac/sefer no), kablaj ve montaj seti</t>
        </is>
      </c>
      <c r="G65" s="7" t="inlineStr">
        <is>
          <t>set</t>
        </is>
      </c>
      <c r="H65" s="7" t="n">
        <v>15</v>
      </c>
      <c r="I65" s="7" t="n">
        <v>2500</v>
      </c>
      <c r="J65" s="7" t="inlineStr"/>
      <c r="K65" s="7" t="inlineStr">
        <is>
          <t>EUR</t>
        </is>
      </c>
      <c r="L65" s="7" t="n">
        <v>37500</v>
      </c>
      <c r="M65" s="7" t="inlineStr">
        <is>
          <t>Marka: MUKAN / Standart Araç Arayüz ve Montaj Kiti; Bütçesel; montaj birim fiyata dahil, işçilik sütunu boş</t>
        </is>
      </c>
    </row>
    <row r="66">
      <c r="A66" s="7" t="inlineStr">
        <is>
          <t>Mukan Rail</t>
        </is>
      </c>
      <c r="B66" s="7" t="inlineStr">
        <is>
          <t>2026-10-05</t>
        </is>
      </c>
      <c r="C66" s="7" t="inlineStr">
        <is>
          <t>SINYALIZASYON (AVLS)</t>
        </is>
      </c>
      <c r="D66" s="7" t="inlineStr">
        <is>
          <t>233</t>
        </is>
      </c>
      <c r="E66" s="7" t="inlineStr">
        <is>
          <t>3002</t>
        </is>
      </c>
      <c r="F66" s="7" t="inlineStr">
        <is>
          <t>M2M data SIM / APN aktivasyonu (kurulum ve test donemi)</t>
        </is>
      </c>
      <c r="G66" s="7" t="inlineStr">
        <is>
          <t>adet</t>
        </is>
      </c>
      <c r="H66" s="7" t="n">
        <v>15</v>
      </c>
      <c r="I66" s="7" t="n">
        <v>300</v>
      </c>
      <c r="J66" s="7" t="inlineStr"/>
      <c r="K66" s="7" t="inlineStr">
        <is>
          <t>EUR</t>
        </is>
      </c>
      <c r="L66" s="7" t="n">
        <v>4500</v>
      </c>
      <c r="M66" s="7" t="inlineStr">
        <is>
          <t>Marka: Turkcell / Vodafone / Türk Telekom M2M; Firma notu: 12 ay kurulum ve test dönemi. İşletme aboneliği dahil değildir.; Bütçesel; montaj birim fiyata dahil, işçilik sütunu boş</t>
        </is>
      </c>
    </row>
    <row r="67">
      <c r="A67" s="7" t="inlineStr">
        <is>
          <t>Mukan Rail</t>
        </is>
      </c>
      <c r="B67" s="7" t="inlineStr">
        <is>
          <t>2026-10-05</t>
        </is>
      </c>
      <c r="C67" s="7" t="inlineStr">
        <is>
          <t>SINYALIZASYON (AVLS)</t>
        </is>
      </c>
      <c r="D67" s="7" t="inlineStr">
        <is>
          <t>233</t>
        </is>
      </c>
      <c r="E67" s="7" t="inlineStr">
        <is>
          <t>3002</t>
        </is>
      </c>
      <c r="F67" s="7" t="inlineStr">
        <is>
          <t>Depo veri indirme/konfigurasyon kablosuz erisim noktasi (depo park ve atolye)</t>
        </is>
      </c>
      <c r="G67" s="7" t="inlineStr">
        <is>
          <t>adet</t>
        </is>
      </c>
      <c r="H67" s="7" t="n">
        <v>2</v>
      </c>
      <c r="I67" s="7" t="n">
        <v>3500</v>
      </c>
      <c r="J67" s="7" t="inlineStr"/>
      <c r="K67" s="7" t="inlineStr">
        <is>
          <t>EUR</t>
        </is>
      </c>
      <c r="L67" s="7" t="n">
        <v>7000</v>
      </c>
      <c r="M67" s="7" t="inlineStr">
        <is>
          <t>Marka: Moxa / Cisco / Aruba Endüstriyel Dış Ortam; Bütçesel; montaj birim fiyata dahil, işçilik sütunu boş</t>
        </is>
      </c>
    </row>
    <row r="68">
      <c r="A68" s="7" t="inlineStr">
        <is>
          <t>Mukan Rail</t>
        </is>
      </c>
      <c r="B68" s="7" t="inlineStr">
        <is>
          <t>2026-10-05</t>
        </is>
      </c>
      <c r="C68" s="7" t="inlineStr">
        <is>
          <t>SINYALIZASYON (AVLS)</t>
        </is>
      </c>
      <c r="D68" s="7" t="inlineStr">
        <is>
          <t>233</t>
        </is>
      </c>
      <c r="E68" s="7" t="inlineStr">
        <is>
          <t>3002</t>
        </is>
      </c>
      <c r="F68" s="7" t="inlineStr">
        <is>
          <t>Hat boyu konum destegi: sinyalizasyon lup konum verisinin AVLS'ye aktarimi (ek saha donanimi yok)</t>
        </is>
      </c>
      <c r="G68" s="7" t="inlineStr">
        <is>
          <t>set</t>
        </is>
      </c>
      <c r="H68" s="7" t="n">
        <v>1</v>
      </c>
      <c r="I68" s="7" t="n">
        <v>8500</v>
      </c>
      <c r="J68" s="7" t="inlineStr"/>
      <c r="K68" s="7" t="inlineStr">
        <is>
          <t>EUR</t>
        </is>
      </c>
      <c r="L68" s="7" t="n">
        <v>8500</v>
      </c>
      <c r="M68" s="7" t="inlineStr">
        <is>
          <t>Marka: MUKAN AVLS Sinyalizasyon Lup Adaptörü; Firma notu: Araç üstü konum birleştirme payı. Merkez lup adaptörü Sıra 234 yazılım satırındadır.; Bütçesel; montaj birim fiyata dahil, işçilik sütunu boş</t>
        </is>
      </c>
    </row>
    <row r="69">
      <c r="A69" s="7" t="inlineStr">
        <is>
          <t>Mukan Rail</t>
        </is>
      </c>
      <c r="B69" s="7" t="inlineStr">
        <is>
          <t>2026-10-05</t>
        </is>
      </c>
      <c r="C69" s="7" t="inlineStr">
        <is>
          <t>SINYALIZASYON (AVLS)</t>
        </is>
      </c>
      <c r="D69" s="7" t="inlineStr">
        <is>
          <t>233</t>
        </is>
      </c>
      <c r="E69" s="7" t="inlineStr">
        <is>
          <t>3002</t>
        </is>
      </c>
      <c r="F69" s="7" t="inlineStr">
        <is>
          <t>Kurulum, arac bazli test ve devreye alma - AVLS saha/arac</t>
        </is>
      </c>
      <c r="G69" s="7" t="inlineStr">
        <is>
          <t>set</t>
        </is>
      </c>
      <c r="H69" s="7" t="n">
        <v>1</v>
      </c>
      <c r="I69" s="7" t="n">
        <v>26500</v>
      </c>
      <c r="J69" s="7" t="inlineStr"/>
      <c r="K69" s="7" t="inlineStr">
        <is>
          <t>EUR</t>
        </is>
      </c>
      <c r="L69" s="7" t="n">
        <v>26500</v>
      </c>
      <c r="M69" s="7" t="inlineStr">
        <is>
          <t>Marka: MUKAN Saha ve Kurulum Ekibi; Bütçesel; montaj birim fiyata dahil, işçilik sütunu boş</t>
        </is>
      </c>
    </row>
    <row r="70">
      <c r="A70" s="7" t="inlineStr">
        <is>
          <t>Mukan Rail</t>
        </is>
      </c>
      <c r="B70" s="7" t="inlineStr">
        <is>
          <t>2026-10-05</t>
        </is>
      </c>
      <c r="C70" s="7" t="inlineStr">
        <is>
          <t>SINYALIZASYON (AVLS)</t>
        </is>
      </c>
      <c r="D70" s="7" t="inlineStr">
        <is>
          <t>234</t>
        </is>
      </c>
      <c r="E70" s="7" t="inlineStr">
        <is>
          <t>3003</t>
        </is>
      </c>
      <c r="F70" s="7" t="inlineStr">
        <is>
          <t>AVLS sunucusu (sicak yedekli) - TCC cihaz odasi</t>
        </is>
      </c>
      <c r="G70" s="7" t="inlineStr">
        <is>
          <t>adet</t>
        </is>
      </c>
      <c r="H70" s="7" t="n">
        <v>2</v>
      </c>
      <c r="I70" s="7" t="n">
        <v>16000</v>
      </c>
      <c r="J70" s="7" t="inlineStr"/>
      <c r="K70" s="7" t="inlineStr">
        <is>
          <t>EUR</t>
        </is>
      </c>
      <c r="L70" s="7" t="n">
        <v>32000</v>
      </c>
      <c r="M70" s="7" t="inlineStr">
        <is>
          <t>Marka: Dell / HPE / Lenovo (1U Çift PSU); Bütçesel; montaj birim fiyata dahil, işçilik sütunu boş</t>
        </is>
      </c>
    </row>
    <row r="71">
      <c r="A71" s="7" t="inlineStr">
        <is>
          <t>Mukan Rail</t>
        </is>
      </c>
      <c r="B71" s="7" t="inlineStr">
        <is>
          <t>2026-10-05</t>
        </is>
      </c>
      <c r="C71" s="7" t="inlineStr">
        <is>
          <t>SINYALIZASYON (AVLS)</t>
        </is>
      </c>
      <c r="D71" s="7" t="inlineStr">
        <is>
          <t>234</t>
        </is>
      </c>
      <c r="E71" s="7" t="inlineStr">
        <is>
          <t>3003</t>
        </is>
      </c>
      <c r="F71" s="7" t="inlineStr">
        <is>
          <t>Veri kayit/arsiv depolama birimi (NAS/SAN)</t>
        </is>
      </c>
      <c r="G71" s="7" t="inlineStr">
        <is>
          <t>adet</t>
        </is>
      </c>
      <c r="H71" s="7" t="n">
        <v>1</v>
      </c>
      <c r="I71" s="7" t="n">
        <v>8000</v>
      </c>
      <c r="J71" s="7" t="inlineStr"/>
      <c r="K71" s="7" t="inlineStr">
        <is>
          <t>EUR</t>
        </is>
      </c>
      <c r="L71" s="7" t="n">
        <v>8000</v>
      </c>
      <c r="M71" s="7" t="inlineStr">
        <is>
          <t>Marka: Synology / QNAP (RAID); Bütçesel; montaj birim fiyata dahil, işçilik sütunu boş</t>
        </is>
      </c>
    </row>
    <row r="72">
      <c r="A72" s="7" t="inlineStr">
        <is>
          <t>Mukan Rail</t>
        </is>
      </c>
      <c r="B72" s="7" t="inlineStr">
        <is>
          <t>2026-10-05</t>
        </is>
      </c>
      <c r="C72" s="7" t="inlineStr">
        <is>
          <t>SINYALIZASYON (AVLS)</t>
        </is>
      </c>
      <c r="D72" s="7" t="inlineStr">
        <is>
          <t>234</t>
        </is>
      </c>
      <c r="E72" s="7" t="inlineStr">
        <is>
          <t>3003</t>
        </is>
      </c>
      <c r="F72" s="7" t="inlineStr">
        <is>
          <t>AVLS operator is istasyonu + 21-24 in monitor + klavye + fare</t>
        </is>
      </c>
      <c r="G72" s="7" t="inlineStr">
        <is>
          <t>takim</t>
        </is>
      </c>
      <c r="H72" s="7" t="n">
        <v>1</v>
      </c>
      <c r="I72" s="7" t="n">
        <v>5500</v>
      </c>
      <c r="J72" s="7" t="inlineStr"/>
      <c r="K72" s="7" t="inlineStr">
        <is>
          <t>EUR</t>
        </is>
      </c>
      <c r="L72" s="7" t="n">
        <v>5500</v>
      </c>
      <c r="M72" s="7" t="inlineStr">
        <is>
          <t>Marka: Dell / HP / Lenovo İş İstasyonu + 2x24"; Bütçesel; montaj birim fiyata dahil, işçilik sütunu boş</t>
        </is>
      </c>
    </row>
    <row r="73">
      <c r="A73" s="7" t="inlineStr">
        <is>
          <t>Mukan Rail</t>
        </is>
      </c>
      <c r="B73" s="7" t="inlineStr">
        <is>
          <t>2026-10-05</t>
        </is>
      </c>
      <c r="C73" s="7" t="inlineStr">
        <is>
          <t>SINYALIZASYON (AVLS)</t>
        </is>
      </c>
      <c r="D73" s="7" t="inlineStr">
        <is>
          <t>234</t>
        </is>
      </c>
      <c r="E73" s="7" t="inlineStr">
        <is>
          <t>3003</t>
        </is>
      </c>
      <c r="F73" s="7" t="inlineStr">
        <is>
          <t>AVLS duvar monitoru 62-65 in (profesyonel 7/24) + duvar/ayak montaj aparati</t>
        </is>
      </c>
      <c r="G73" s="7" t="inlineStr">
        <is>
          <t>adet</t>
        </is>
      </c>
      <c r="H73" s="7" t="n">
        <v>1</v>
      </c>
      <c r="I73" s="7" t="n">
        <v>7500</v>
      </c>
      <c r="J73" s="7" t="inlineStr"/>
      <c r="K73" s="7" t="inlineStr">
        <is>
          <t>EUR</t>
        </is>
      </c>
      <c r="L73" s="7" t="n">
        <v>7500</v>
      </c>
      <c r="M73" s="7" t="inlineStr">
        <is>
          <t>Marka: Samsung / LG Profesyonel Seri (65" 7/24); Bütçesel; montaj birim fiyata dahil, işçilik sütunu boş</t>
        </is>
      </c>
    </row>
    <row r="74">
      <c r="A74" s="7" t="inlineStr">
        <is>
          <t>Mukan Rail</t>
        </is>
      </c>
      <c r="B74" s="7" t="inlineStr">
        <is>
          <t>2026-10-05</t>
        </is>
      </c>
      <c r="C74" s="7" t="inlineStr">
        <is>
          <t>SINYALIZASYON (AVLS)</t>
        </is>
      </c>
      <c r="D74" s="7" t="inlineStr">
        <is>
          <t>234</t>
        </is>
      </c>
      <c r="E74" s="7" t="inlineStr">
        <is>
          <t>3003</t>
        </is>
      </c>
      <c r="F74" s="7" t="inlineStr">
        <is>
          <t>GSM/APN VPN router + firewall (yedekli)</t>
        </is>
      </c>
      <c r="G74" s="7" t="inlineStr">
        <is>
          <t>adet</t>
        </is>
      </c>
      <c r="H74" s="7" t="n">
        <v>2</v>
      </c>
      <c r="I74" s="7" t="n">
        <v>5000</v>
      </c>
      <c r="J74" s="7" t="inlineStr"/>
      <c r="K74" s="7" t="inlineStr">
        <is>
          <t>EUR</t>
        </is>
      </c>
      <c r="L74" s="7" t="n">
        <v>10000</v>
      </c>
      <c r="M74" s="7" t="inlineStr">
        <is>
          <t>Marka: Fortinet / Teltonika (Yedekli VPN); Bütçesel; montaj birim fiyata dahil, işçilik sütunu boş</t>
        </is>
      </c>
    </row>
    <row r="75">
      <c r="A75" s="7" t="inlineStr">
        <is>
          <t>Mukan Rail</t>
        </is>
      </c>
      <c r="B75" s="7" t="inlineStr">
        <is>
          <t>2026-10-05</t>
        </is>
      </c>
      <c r="C75" s="7" t="inlineStr">
        <is>
          <t>SINYALIZASYON (AVLS)</t>
        </is>
      </c>
      <c r="D75" s="7" t="inlineStr">
        <is>
          <t>234</t>
        </is>
      </c>
      <c r="E75" s="7" t="inlineStr">
        <is>
          <t>3003</t>
        </is>
      </c>
      <c r="F75" s="7" t="inlineStr">
        <is>
          <t>AVLS LAN ethernet anahtari + patch/CAT6</t>
        </is>
      </c>
      <c r="G75" s="7" t="inlineStr">
        <is>
          <t>adet</t>
        </is>
      </c>
      <c r="H75" s="7" t="n">
        <v>1</v>
      </c>
      <c r="I75" s="7" t="n">
        <v>4000</v>
      </c>
      <c r="J75" s="7" t="inlineStr"/>
      <c r="K75" s="7" t="inlineStr">
        <is>
          <t>EUR</t>
        </is>
      </c>
      <c r="L75" s="7" t="n">
        <v>4000</v>
      </c>
      <c r="M75" s="7" t="inlineStr">
        <is>
          <t>Marka: Moxa / Cisco / HPE (24 Port Yönetilebilir); Bütçesel; montaj birim fiyata dahil, işçilik sütunu boş</t>
        </is>
      </c>
    </row>
    <row r="76">
      <c r="A76" s="7" t="inlineStr">
        <is>
          <t>Mukan Rail</t>
        </is>
      </c>
      <c r="B76" s="7" t="inlineStr">
        <is>
          <t>2026-10-05</t>
        </is>
      </c>
      <c r="C76" s="7" t="inlineStr">
        <is>
          <t>SINYALIZASYON (AVLS)</t>
        </is>
      </c>
      <c r="D76" s="7" t="inlineStr">
        <is>
          <t>234</t>
        </is>
      </c>
      <c r="E76" s="7" t="inlineStr">
        <is>
          <t>3003</t>
        </is>
      </c>
      <c r="F76" s="7" t="inlineStr">
        <is>
          <t>AVLS merkezi yazilim + lisanslar (cizgisel hat haritasi, hiz asimi, gecikme, raporlama, geliş suresi hesabi, YBS ve sinyalizasyon lup arayuzu)</t>
        </is>
      </c>
      <c r="G76" s="7" t="inlineStr">
        <is>
          <t>set</t>
        </is>
      </c>
      <c r="H76" s="7" t="n">
        <v>1</v>
      </c>
      <c r="I76" s="7" t="n">
        <v>172500</v>
      </c>
      <c r="J76" s="7" t="inlineStr"/>
      <c r="K76" s="7" t="inlineStr">
        <is>
          <t>EUR</t>
        </is>
      </c>
      <c r="L76" s="7" t="n">
        <v>172500</v>
      </c>
      <c r="M76" s="7" t="inlineStr">
        <is>
          <t>Marka: MUKAN AVLS Merkezi Yazılım Suite; Bütçesel; montaj birim fiyata dahil, işçilik sütunu boş</t>
        </is>
      </c>
    </row>
    <row r="77">
      <c r="A77" s="7" t="inlineStr">
        <is>
          <t>Mukan Rail</t>
        </is>
      </c>
      <c r="B77" s="7" t="inlineStr">
        <is>
          <t>2026-10-05</t>
        </is>
      </c>
      <c r="C77" s="7" t="inlineStr">
        <is>
          <t>SINYALIZASYON (AVLS)</t>
        </is>
      </c>
      <c r="D77" s="7" t="inlineStr">
        <is>
          <t>234</t>
        </is>
      </c>
      <c r="E77" s="7" t="inlineStr">
        <is>
          <t>3003</t>
        </is>
      </c>
      <c r="F77" s="7" t="inlineStr">
        <is>
          <t>Belediye mevcut AVLS sistemine entegrasyon (yazilim revizyonu + fiziksel/mantiksal veri linki)</t>
        </is>
      </c>
      <c r="G77" s="7" t="inlineStr">
        <is>
          <t>set</t>
        </is>
      </c>
      <c r="H77" s="7" t="n">
        <v>1</v>
      </c>
      <c r="I77" s="7" t="n">
        <v>19000</v>
      </c>
      <c r="J77" s="7" t="inlineStr"/>
      <c r="K77" s="7" t="inlineStr">
        <is>
          <t>EUR</t>
        </is>
      </c>
      <c r="L77" s="7" t="n">
        <v>19000</v>
      </c>
      <c r="M77" s="7" t="inlineStr">
        <is>
          <t>Marka: MUKAN Entegrasyon ve Veri Linki Modülü; Firma notu: Açık arayüz ve bizim tarafımızdaki iş. Sağlayıcı lisansı ve karşı taraf revizyonu dahil değildir.; Bütçesel; montaj birim fiyata dahil, işçilik sütunu boş</t>
        </is>
      </c>
    </row>
    <row r="78">
      <c r="A78" s="7" t="inlineStr">
        <is>
          <t>Mukan Rail</t>
        </is>
      </c>
      <c r="B78" s="7" t="inlineStr">
        <is>
          <t>2026-10-05</t>
        </is>
      </c>
      <c r="C78" s="7" t="inlineStr">
        <is>
          <t>SINYALIZASYON (AVLS)</t>
        </is>
      </c>
      <c r="D78" s="7" t="inlineStr">
        <is>
          <t>234</t>
        </is>
      </c>
      <c r="E78" s="7" t="inlineStr">
        <is>
          <t>3003</t>
        </is>
      </c>
      <c r="F78" s="7" t="inlineStr">
        <is>
          <t>19 in dolap icinde montaj (sinyalizasyon/haberlesme dolabi payi) + kablolama</t>
        </is>
      </c>
      <c r="G78" s="7" t="inlineStr">
        <is>
          <t>set</t>
        </is>
      </c>
      <c r="H78" s="7" t="n">
        <v>1</v>
      </c>
      <c r="I78" s="7" t="n">
        <v>4000</v>
      </c>
      <c r="J78" s="7" t="inlineStr"/>
      <c r="K78" s="7" t="inlineStr">
        <is>
          <t>EUR</t>
        </is>
      </c>
      <c r="L78" s="7" t="n">
        <v>4000</v>
      </c>
      <c r="M78" s="7" t="inlineStr">
        <is>
          <t>Marka: 19" Dolap İçi Montaj ve Dahili Kablolama; Firma notu: Dolap, UPS ve enerji dahil değildir. Yalnız dolap içi montaj ve kablolama.; Bütçesel; montaj birim fiyata dahil, işçilik sütunu boş</t>
        </is>
      </c>
    </row>
    <row r="79">
      <c r="A79" s="7" t="inlineStr">
        <is>
          <t>Mukan Rail</t>
        </is>
      </c>
      <c r="B79" s="7" t="inlineStr">
        <is>
          <t>2026-10-05</t>
        </is>
      </c>
      <c r="C79" s="7" t="inlineStr">
        <is>
          <t>SINYALIZASYON (AVLS)</t>
        </is>
      </c>
      <c r="D79" s="7" t="inlineStr">
        <is>
          <t>234</t>
        </is>
      </c>
      <c r="E79" s="7" t="inlineStr">
        <is>
          <t>3003</t>
        </is>
      </c>
      <c r="F79" s="7" t="inlineStr">
        <is>
          <t>Merkez kurulum, entegre test, egitim</t>
        </is>
      </c>
      <c r="G79" s="7" t="inlineStr">
        <is>
          <t>set</t>
        </is>
      </c>
      <c r="H79" s="7" t="n">
        <v>1</v>
      </c>
      <c r="I79" s="7" t="n">
        <v>52000</v>
      </c>
      <c r="J79" s="7" t="inlineStr"/>
      <c r="K79" s="7" t="inlineStr">
        <is>
          <t>EUR</t>
        </is>
      </c>
      <c r="L79" s="7" t="n">
        <v>52000</v>
      </c>
      <c r="M79" s="7" t="inlineStr">
        <is>
          <t>Marka: MUKAN Saha ve Kurulum Ekibi; Bütçesel; montaj birim fiyata dahil, işçilik sütunu boş</t>
        </is>
      </c>
    </row>
    <row r="80">
      <c r="A80" s="7" t="inlineStr">
        <is>
          <t>Mukan Rail</t>
        </is>
      </c>
      <c r="B80" s="7" t="inlineStr">
        <is>
          <t>2026-10-05</t>
        </is>
      </c>
      <c r="C80" s="7" t="inlineStr">
        <is>
          <t>SINYALIZASYON (AVLS)</t>
        </is>
      </c>
      <c r="D80" s="7" t="inlineStr">
        <is>
          <t>235</t>
        </is>
      </c>
      <c r="E80" s="7" t="inlineStr">
        <is>
          <t>3004</t>
        </is>
      </c>
      <c r="F80" s="7" t="inlineStr">
        <is>
          <t>Sistem mimarisi, haberlesme altyapisi, veri iletim yapisi, sunucu ve ag topolojisi, yedeklilik senaryolari</t>
        </is>
      </c>
      <c r="G80" s="7" t="inlineStr">
        <is>
          <t>set</t>
        </is>
      </c>
      <c r="H80" s="7" t="n">
        <v>1</v>
      </c>
      <c r="I80" s="7" t="n">
        <v>47500</v>
      </c>
      <c r="J80" s="7" t="inlineStr"/>
      <c r="K80" s="7" t="inlineStr">
        <is>
          <t>EUR</t>
        </is>
      </c>
      <c r="L80" s="7" t="n">
        <v>47500</v>
      </c>
      <c r="M80" s="7" t="inlineStr">
        <is>
          <t>Marka: MUKAN Tasarım &amp; Mühendislik; Bütçesel; montaj birim fiyata dahil, işçilik sütunu boş</t>
        </is>
      </c>
    </row>
    <row r="81">
      <c r="A81" s="7" t="inlineStr">
        <is>
          <t>Mukan Rail</t>
        </is>
      </c>
      <c r="B81" s="7" t="inlineStr">
        <is>
          <t>2026-10-05</t>
        </is>
      </c>
      <c r="C81" s="7" t="inlineStr">
        <is>
          <t>SINYALIZASYON (AVLS)</t>
        </is>
      </c>
      <c r="D81" s="7" t="inlineStr">
        <is>
          <t>235</t>
        </is>
      </c>
      <c r="E81" s="7" t="inlineStr">
        <is>
          <t>3004</t>
        </is>
      </c>
      <c r="F81" s="7" t="inlineStr">
        <is>
          <t>Arac konumlandirma (GPS + odometri + sinyalizasyon lup fuzyonu) tasarimi, arac ustu ekipman yerlesim ve arac ureticisi koordinasyonu (15 arac)</t>
        </is>
      </c>
      <c r="G81" s="7" t="inlineStr">
        <is>
          <t>set</t>
        </is>
      </c>
      <c r="H81" s="7" t="n">
        <v>1</v>
      </c>
      <c r="I81" s="7" t="n">
        <v>26000</v>
      </c>
      <c r="J81" s="7" t="inlineStr"/>
      <c r="K81" s="7" t="inlineStr">
        <is>
          <t>EUR</t>
        </is>
      </c>
      <c r="L81" s="7" t="n">
        <v>26000</v>
      </c>
      <c r="M81" s="7" t="inlineStr">
        <is>
          <t>Marka: MUKAN Tasarım &amp; Mühendislik; Bütçesel; montaj birim fiyata dahil, işçilik sütunu boş</t>
        </is>
      </c>
    </row>
    <row r="82">
      <c r="A82" s="7" t="inlineStr">
        <is>
          <t>Mukan Rail</t>
        </is>
      </c>
      <c r="B82" s="7" t="inlineStr">
        <is>
          <t>2026-10-05</t>
        </is>
      </c>
      <c r="C82" s="7" t="inlineStr">
        <is>
          <t>SINYALIZASYON (AVLS)</t>
        </is>
      </c>
      <c r="D82" s="7" t="inlineStr">
        <is>
          <t>235</t>
        </is>
      </c>
      <c r="E82" s="7" t="inlineStr">
        <is>
          <t>3004</t>
        </is>
      </c>
      <c r="F82" s="7" t="inlineStr">
        <is>
          <t>Kontrol merkezi ekranlari, operator arayuzleri, alarm/raporlama senaryolari, veri kayit yapilari</t>
        </is>
      </c>
      <c r="G82" s="7" t="inlineStr">
        <is>
          <t>set</t>
        </is>
      </c>
      <c r="H82" s="7" t="n">
        <v>1</v>
      </c>
      <c r="I82" s="7" t="n">
        <v>21500</v>
      </c>
      <c r="J82" s="7" t="inlineStr"/>
      <c r="K82" s="7" t="inlineStr">
        <is>
          <t>EUR</t>
        </is>
      </c>
      <c r="L82" s="7" t="n">
        <v>21500</v>
      </c>
      <c r="M82" s="7" t="inlineStr">
        <is>
          <t>Marka: MUKAN Tasarım &amp; Mühendislik; Bütçesel; montaj birim fiyata dahil, işçilik sütunu boş</t>
        </is>
      </c>
    </row>
    <row r="83">
      <c r="A83" s="7" t="inlineStr">
        <is>
          <t>Mukan Rail</t>
        </is>
      </c>
      <c r="B83" s="7" t="inlineStr">
        <is>
          <t>2026-10-05</t>
        </is>
      </c>
      <c r="C83" s="7" t="inlineStr">
        <is>
          <t>SINYALIZASYON (AVLS)</t>
        </is>
      </c>
      <c r="D83" s="7" t="inlineStr">
        <is>
          <t>235</t>
        </is>
      </c>
      <c r="E83" s="7" t="inlineStr">
        <is>
          <t>3004</t>
        </is>
      </c>
      <c r="F83" s="7" t="inlineStr">
        <is>
          <t>Siber guvenlik gereksinimleri (GSM/APN, belediye mevcut AVLS baglantisi) ve entegrasyon prensipleri (sinyalizasyon, YBS, anons, telsiz)</t>
        </is>
      </c>
      <c r="G83" s="7" t="inlineStr">
        <is>
          <t>set</t>
        </is>
      </c>
      <c r="H83" s="7" t="n">
        <v>1</v>
      </c>
      <c r="I83" s="7" t="n">
        <v>25000</v>
      </c>
      <c r="J83" s="7" t="inlineStr"/>
      <c r="K83" s="7" t="inlineStr">
        <is>
          <t>EUR</t>
        </is>
      </c>
      <c r="L83" s="7" t="n">
        <v>25000</v>
      </c>
      <c r="M83" s="7" t="inlineStr">
        <is>
          <t>Marka: MUKAN Siber Güvenlik Tasarımı; Bütçesel; montaj birim fiyata dahil, işçilik sütunu boş</t>
        </is>
      </c>
    </row>
    <row r="84">
      <c r="A84" s="7" t="inlineStr">
        <is>
          <t>Mukan Rail</t>
        </is>
      </c>
      <c r="B84" s="7" t="inlineStr">
        <is>
          <t>2026-10-05</t>
        </is>
      </c>
      <c r="C84" s="7" t="inlineStr">
        <is>
          <t>SINYALIZASYON (AVLS)</t>
        </is>
      </c>
      <c r="D84" s="7" t="inlineStr">
        <is>
          <t>235</t>
        </is>
      </c>
      <c r="E84" s="7" t="inlineStr">
        <is>
          <t>3004</t>
        </is>
      </c>
      <c r="F84" s="7" t="inlineStr">
        <is>
          <t>Uygulama projeleri, tek hat/mimari semalar, yerlesim projeleri, teknik hesap ve raporlar, test senaryolari, revizyonlar</t>
        </is>
      </c>
      <c r="G84" s="7" t="inlineStr">
        <is>
          <t>set</t>
        </is>
      </c>
      <c r="H84" s="7" t="n">
        <v>1</v>
      </c>
      <c r="I84" s="7" t="n">
        <v>34000</v>
      </c>
      <c r="J84" s="7" t="inlineStr"/>
      <c r="K84" s="7" t="inlineStr">
        <is>
          <t>EUR</t>
        </is>
      </c>
      <c r="L84" s="7" t="n">
        <v>34000</v>
      </c>
      <c r="M84" s="7" t="inlineStr">
        <is>
          <t>Marka: MUKAN Tasarım &amp; Mühendislik; Bütçesel; montaj birim fiyata dahil, işçilik sütunu boş</t>
        </is>
      </c>
    </row>
    <row r="85">
      <c r="A85" s="7" t="inlineStr">
        <is>
          <t>Schindler Türkeli</t>
        </is>
      </c>
      <c r="B85" s="7" t="inlineStr">
        <is>
          <t>2026-10-01</t>
        </is>
      </c>
      <c r="C85" s="7" t="inlineStr">
        <is>
          <t>ASANSOR</t>
        </is>
      </c>
      <c r="D85" s="7" t="inlineStr">
        <is>
          <t>364</t>
        </is>
      </c>
      <c r="E85" s="7" t="inlineStr">
        <is>
          <t>5010.A</t>
        </is>
      </c>
      <c r="F85" s="7" t="inlineStr">
        <is>
          <t>Asansör 13 kişi/1000 kg, 2 durak – 4 üst geçit × 3</t>
        </is>
      </c>
      <c r="G85" s="7" t="inlineStr">
        <is>
          <t>adet</t>
        </is>
      </c>
      <c r="H85" s="7" t="n">
        <v>12</v>
      </c>
      <c r="I85" s="7" t="n">
        <v>37000</v>
      </c>
      <c r="J85" s="7" t="inlineStr">
        <is>
          <t>dahil</t>
        </is>
      </c>
      <c r="K85" s="7" t="inlineStr">
        <is>
          <t>USD</t>
        </is>
      </c>
      <c r="L85" s="7" t="n">
        <v>444000</v>
      </c>
      <c r="M85" s="7" t="inlineStr">
        <is>
          <t>Bakım ücreti dahil değildir (Excel eki)</t>
        </is>
      </c>
    </row>
    <row r="86">
      <c r="A86" s="7" t="inlineStr">
        <is>
          <t>Schindler Türkeli</t>
        </is>
      </c>
      <c r="B86" s="7" t="inlineStr">
        <is>
          <t>2026-10-01</t>
        </is>
      </c>
      <c r="C86" s="7" t="inlineStr">
        <is>
          <t>ASANSOR</t>
        </is>
      </c>
      <c r="D86" s="7" t="inlineStr">
        <is>
          <t>365</t>
        </is>
      </c>
      <c r="E86" s="7" t="inlineStr">
        <is>
          <t>5010.B</t>
        </is>
      </c>
      <c r="F86" s="7" t="inlineStr">
        <is>
          <t>Asansör 10 kişi/800 kg, 2 durak – D01 İdari Bina</t>
        </is>
      </c>
      <c r="G86" s="7" t="inlineStr">
        <is>
          <t>adet</t>
        </is>
      </c>
      <c r="H86" s="7" t="n">
        <v>1</v>
      </c>
      <c r="I86" s="7" t="n">
        <v>36000</v>
      </c>
      <c r="J86" s="7" t="inlineStr">
        <is>
          <t>dahil</t>
        </is>
      </c>
      <c r="K86" s="7" t="inlineStr">
        <is>
          <t>USD</t>
        </is>
      </c>
      <c r="L86" s="7" t="n">
        <v>36000</v>
      </c>
      <c r="M86" s="7" t="inlineStr">
        <is>
          <t>Genel toplam 480.000 USD</t>
        </is>
      </c>
    </row>
    <row r="87">
      <c r="A87" s="7" t="inlineStr">
        <is>
          <t>ON Elektronik (RayON)</t>
        </is>
      </c>
      <c r="B87" s="7" t="inlineStr">
        <is>
          <t>2026-10-06</t>
        </is>
      </c>
      <c r="C87" s="7" t="inlineStr">
        <is>
          <t>ELEKTRIK-HABERLESME</t>
        </is>
      </c>
      <c r="D87" s="7" t="inlineStr">
        <is>
          <t>281–289</t>
        </is>
      </c>
      <c r="E87" s="7" t="inlineStr">
        <is>
          <t>4011/4012</t>
        </is>
      </c>
      <c r="F87" s="7" t="inlineStr">
        <is>
          <t>Merkezi saat sistemi (MSS) – kalem fiyatları Haberlesme sayfasında</t>
        </is>
      </c>
      <c r="G87" s="7" t="inlineStr">
        <is>
          <t>set</t>
        </is>
      </c>
      <c r="H87" s="7" t="n">
        <v>1</v>
      </c>
      <c r="I87" s="7" t="inlineStr"/>
      <c r="J87" s="7" t="inlineStr"/>
      <c r="K87" s="7" t="inlineStr">
        <is>
          <t>EUR</t>
        </is>
      </c>
      <c r="L87" s="7" t="n">
        <v>81600</v>
      </c>
      <c r="M87" s="7" t="inlineStr">
        <is>
          <t>Kablolar ana yüklenicide; mevcut depo entegrasyonu 2.500 € (idare: mevcut sistem yok)</t>
        </is>
      </c>
    </row>
    <row r="88">
      <c r="A88" s="7" t="inlineStr">
        <is>
          <t>ON Elektronik (RayON)</t>
        </is>
      </c>
      <c r="B88" s="7" t="inlineStr">
        <is>
          <t>2026-10-06</t>
        </is>
      </c>
      <c r="C88" s="7" t="inlineStr">
        <is>
          <t>ELEKTRIK-HABERLESME</t>
        </is>
      </c>
      <c r="D88" s="7" t="inlineStr">
        <is>
          <t>310–317</t>
        </is>
      </c>
      <c r="E88" s="7" t="inlineStr">
        <is>
          <t>4017/4018</t>
        </is>
      </c>
      <c r="F88" s="7" t="inlineStr">
        <is>
          <t>Yolcu bilgilendirme sistemi (YBS) – 24 adet 55" dış ortam ekran, yazılım, tasarım</t>
        </is>
      </c>
      <c r="G88" s="7" t="inlineStr">
        <is>
          <t>set</t>
        </is>
      </c>
      <c r="H88" s="7" t="n">
        <v>1</v>
      </c>
      <c r="I88" s="7" t="inlineStr"/>
      <c r="J88" s="7" t="inlineStr"/>
      <c r="K88" s="7" t="inlineStr">
        <is>
          <t>EUR</t>
        </is>
      </c>
      <c r="L88" s="7" t="n">
        <v>171000</v>
      </c>
      <c r="M88" s="7" t="inlineStr">
        <is>
          <t>Kablolar ana yüklenicide; mevcut depo entegrasyonu 11.000 € (idare: mevcut sistem yok)</t>
        </is>
      </c>
    </row>
  </sheetData>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sheetPr>
  <dimension ref="A1:F23"/>
  <sheetViews>
    <sheetView zoomScale="90" workbookViewId="0">
      <selection activeCell="A1" sqref="A1"/>
    </sheetView>
  </sheetViews>
  <sheetFormatPr baseColWidth="8" defaultRowHeight="15"/>
  <cols>
    <col width="6" customWidth="1" min="1" max="1"/>
    <col width="26" customWidth="1" min="2" max="2"/>
    <col width="38" customWidth="1" min="3" max="3"/>
    <col width="40" customWidth="1" min="4" max="4"/>
    <col width="55" customWidth="1" min="5" max="5"/>
    <col width="14" customWidth="1" min="6" max="6"/>
  </cols>
  <sheetData>
    <row r="1">
      <c r="A1" s="20" t="inlineStr">
        <is>
          <t>İDARE CEVAPLARI (05.10.2026) – BU BÜTÇEYE UYGULANAN DÜZELTMELER</t>
        </is>
      </c>
    </row>
    <row r="2"/>
    <row r="3">
      <c r="A3" s="32" t="inlineStr">
        <is>
          <t>No</t>
        </is>
      </c>
      <c r="B3" s="32" t="inlineStr">
        <is>
          <t>Konu</t>
        </is>
      </c>
      <c r="C3" s="32" t="inlineStr">
        <is>
          <t>RFQ kabulü</t>
        </is>
      </c>
      <c r="D3" s="32" t="inlineStr">
        <is>
          <t>İdare cevabı</t>
        </is>
      </c>
      <c r="E3" s="32" t="inlineStr">
        <is>
          <t>Bütçeye etkisi</t>
        </is>
      </c>
      <c r="F3" s="32" t="inlineStr">
        <is>
          <t>Sayfa</t>
        </is>
      </c>
    </row>
    <row r="4">
      <c r="A4" s="7" t="n">
        <v>1</v>
      </c>
      <c r="B4" s="7" t="inlineStr">
        <is>
          <t>Kavşak sinyal (229)</t>
        </is>
      </c>
      <c r="C4" s="7" t="inlineStr">
        <is>
          <t>TSKP + 64 trafik lambası + 64 direk + 2.695 m kablo dahil</t>
        </is>
      </c>
      <c r="D4" s="7" t="inlineStr">
        <is>
          <t>TSKP ve lambalar kapsam dışı; irtibat kablolaması kapsamda</t>
        </is>
      </c>
      <c r="E4" s="7" t="inlineStr">
        <is>
          <t>Düşüldü (TSP, lup, arayüz kablosu kalır)</t>
        </is>
      </c>
      <c r="F4" s="7" t="inlineStr">
        <is>
          <t>Sinyal</t>
        </is>
      </c>
    </row>
    <row r="5">
      <c r="A5" s="7" t="n">
        <v>2</v>
      </c>
      <c r="B5" s="7" t="inlineStr">
        <is>
          <t>Araç adedi (231, 233)</t>
        </is>
      </c>
      <c r="C5" s="7" t="inlineStr">
        <is>
          <t>15 araç</t>
        </is>
      </c>
      <c r="D5" s="7" t="inlineStr">
        <is>
          <t>14 araç; araçlar ayrı ihale</t>
        </is>
      </c>
      <c r="E5" s="7" t="inlineStr">
        <is>
          <t>Araç başı kalemler 14'e indirildi</t>
        </is>
      </c>
      <c r="F5" s="7" t="inlineStr">
        <is>
          <t>Sinyal</t>
        </is>
      </c>
    </row>
    <row r="6">
      <c r="A6" s="7" t="n">
        <v>3</v>
      </c>
      <c r="B6" s="7" t="inlineStr">
        <is>
          <t>Ana hat makasları</t>
        </is>
      </c>
      <c r="C6" s="7" t="inlineStr">
        <is>
          <t>12 motorlu + 4 manuel</t>
        </is>
      </c>
      <c r="D6" s="7" t="inlineStr">
        <is>
          <t>Tüm makaslar motorlu</t>
        </is>
      </c>
      <c r="E6" s="7" t="inlineStr">
        <is>
          <t>+4 motor, +çubuk seti, +1 SKP (temkinli); manuel kalemler sıfır</t>
        </is>
      </c>
      <c r="F6" s="7" t="inlineStr">
        <is>
          <t>Sinyal</t>
        </is>
      </c>
    </row>
    <row r="7">
      <c r="A7" s="7" t="n">
        <v>4</v>
      </c>
      <c r="B7" s="7" t="inlineStr">
        <is>
          <t>Depo makasları</t>
        </is>
      </c>
      <c r="C7" s="7" t="inlineStr">
        <is>
          <t>20 motorlu + 20 manuel</t>
        </is>
      </c>
      <c r="D7" s="7" t="inlineStr">
        <is>
          <t>Tamamı motorlu</t>
        </is>
      </c>
      <c r="E7" s="7" t="inlineStr">
        <is>
          <t>+20 motor, +20 lamba, +16 dedektör, kablolar ×2; manuel sıfır</t>
        </is>
      </c>
      <c r="F7" s="7" t="inlineStr">
        <is>
          <t>Sinyal</t>
        </is>
      </c>
    </row>
    <row r="8">
      <c r="A8" s="7" t="n">
        <v>6</v>
      </c>
      <c r="B8" s="7" t="inlineStr">
        <is>
          <t>Ana hat lentesi</t>
        </is>
      </c>
      <c r="C8" s="7" t="inlineStr">
        <is>
          <t>66 lente + 68 temel</t>
        </is>
      </c>
      <c r="D8" s="7" t="inlineStr">
        <is>
          <t>Kullanılmayacak</t>
        </is>
      </c>
      <c r="E8" s="7" t="inlineStr">
        <is>
          <t>Lente teçhizatı ve temelleri düşüldü</t>
        </is>
      </c>
      <c r="F8" s="7" t="inlineStr">
        <is>
          <t>Katener</t>
        </is>
      </c>
    </row>
    <row r="9">
      <c r="A9" s="7" t="n">
        <v>7</v>
      </c>
      <c r="B9" s="7" t="inlineStr">
        <is>
          <t>Depo direkleri</t>
        </is>
      </c>
      <c r="C9" s="7" t="inlineStr">
        <is>
          <t>221 setinde 77 direk + temeller</t>
        </is>
      </c>
      <c r="D9" s="7" t="inlineStr">
        <is>
          <t>Cetvel direk kalemleri + sıra 13</t>
        </is>
      </c>
      <c r="E9" s="7" t="inlineStr">
        <is>
          <t>Depo direk/temel kalemleri düşüldü (çift sayım)</t>
        </is>
      </c>
      <c r="F9" s="7" t="inlineStr">
        <is>
          <t>Katener</t>
        </is>
      </c>
    </row>
    <row r="10">
      <c r="A10" s="7" t="n">
        <v>11</v>
      </c>
      <c r="B10" s="7" t="inlineStr">
        <is>
          <t>İstasyon UPS</t>
        </is>
      </c>
      <c r="C10" s="7" t="inlineStr">
        <is>
          <t>2 saat</t>
        </is>
      </c>
      <c r="D10" s="7" t="inlineStr">
        <is>
          <t>İstasyon 20 dk; TM 2 saat</t>
        </is>
      </c>
      <c r="E10" s="7" t="inlineStr">
        <is>
          <t>Bu bütçede yalnız TM UPS'leri var (2 saat korundu)</t>
        </is>
      </c>
      <c r="F10" s="7" t="inlineStr">
        <is>
          <t>Cer_Guc</t>
        </is>
      </c>
    </row>
    <row r="11">
      <c r="A11" s="7" t="n">
        <v>17</v>
      </c>
      <c r="B11" s="7" t="inlineStr">
        <is>
          <t>Mevcut sistem entegrasyonu</t>
        </is>
      </c>
      <c r="C11" s="7" t="inlineStr">
        <is>
          <t>Dahil</t>
        </is>
      </c>
      <c r="D11" s="7" t="inlineStr">
        <is>
          <t>Mevcut sistem yok</t>
        </is>
      </c>
      <c r="E11" s="7" t="inlineStr">
        <is>
          <t>Düşüldü</t>
        </is>
      </c>
      <c r="F11" s="7" t="inlineStr">
        <is>
          <t>Sinyal</t>
        </is>
      </c>
    </row>
    <row r="12">
      <c r="A12" s="7" t="n">
        <v>18</v>
      </c>
      <c r="B12" s="7" t="inlineStr">
        <is>
          <t>Hat uzunluğu</t>
        </is>
      </c>
      <c r="C12" s="7" t="inlineStr">
        <is>
          <t>6,56 km</t>
        </is>
      </c>
      <c r="D12" s="7" t="inlineStr">
        <is>
          <t>6,44 km</t>
        </is>
      </c>
      <c r="E12" s="7" t="inlineStr">
        <is>
          <t>Hat boyu iletken/kablolar × 0,9817</t>
        </is>
      </c>
      <c r="F12" s="7" t="inlineStr">
        <is>
          <t>Katener, Sinyal</t>
        </is>
      </c>
    </row>
    <row r="13">
      <c r="A13" s="7" t="n">
        <v>21</v>
      </c>
      <c r="B13" s="7" t="inlineStr">
        <is>
          <t>OG ring (170)</t>
        </is>
      </c>
      <c r="C13" s="7" t="inlineStr">
        <is>
          <t>7.000 m</t>
        </is>
      </c>
      <c r="D13" s="7" t="inlineStr">
        <is>
          <t>Tüm kesitler 7.964 m</t>
        </is>
      </c>
      <c r="E13" s="7" t="inlineStr">
        <is>
          <t>Kablo, muf, kelepçe güzergah oranında artırıldı</t>
        </is>
      </c>
      <c r="F13" s="7" t="inlineStr">
        <is>
          <t>Cer_Guc</t>
        </is>
      </c>
    </row>
    <row r="14">
      <c r="A14" s="7" t="n">
        <v>22</v>
      </c>
      <c r="B14" s="7" t="inlineStr">
        <is>
          <t>TEİAŞ kablosu (171)</t>
        </is>
      </c>
      <c r="C14" s="7" t="inlineStr">
        <is>
          <t>4 kablo/güzergah, 35.424 m</t>
        </is>
      </c>
      <c r="D14" s="7" t="inlineStr">
        <is>
          <t>Aynı</t>
        </is>
      </c>
      <c r="E14" s="7" t="inlineStr">
        <is>
          <t>Değişiklik yok</t>
        </is>
      </c>
      <c r="F14" s="7" t="inlineStr">
        <is>
          <t>Cer_Guc</t>
        </is>
      </c>
    </row>
    <row r="15">
      <c r="A15" s="7" t="inlineStr">
        <is>
          <t>—</t>
        </is>
      </c>
      <c r="B15" s="7" t="inlineStr">
        <is>
          <t>İç ihtiyaç trafoları</t>
        </is>
      </c>
      <c r="C15" s="7" t="inlineStr">
        <is>
          <t>Belirtilmemişti</t>
        </is>
      </c>
      <c r="D15" s="7" t="inlineStr">
        <is>
          <t>Cu/Cu sargı zorunlu</t>
        </is>
      </c>
      <c r="E15" s="7" t="inlineStr">
        <is>
          <t>250 / 2000 kVA trafolar Cu/Cu fiyatlandı</t>
        </is>
      </c>
      <c r="F15" s="7" t="inlineStr">
        <is>
          <t>Cer_Guc</t>
        </is>
      </c>
    </row>
    <row r="16">
      <c r="A16" s="7" t="inlineStr">
        <is>
          <t>—</t>
        </is>
      </c>
      <c r="B16" s="7" t="inlineStr">
        <is>
          <t>Sıra 228</t>
        </is>
      </c>
      <c r="C16" s="7" t="inlineStr">
        <is>
          <t>Tasarım</t>
        </is>
      </c>
      <c r="D16" s="7" t="inlineStr">
        <is>
          <t>Yalnız tasarım; ekipman 229–232</t>
        </is>
      </c>
      <c r="E16" s="7" t="inlineStr">
        <is>
          <t>Uyumlu</t>
        </is>
      </c>
      <c r="F16" s="7" t="inlineStr">
        <is>
          <t>Sinyal</t>
        </is>
      </c>
    </row>
    <row r="17">
      <c r="A17" s="7" t="n">
        <v>26</v>
      </c>
      <c r="B17" s="7" t="inlineStr">
        <is>
          <t>Kabin splitleri (6001.A–F)</t>
        </is>
      </c>
      <c r="C17" s="7" t="inlineStr">
        <is>
          <t>İstasyon mekaniğinde</t>
        </is>
      </c>
      <c r="D17" s="7" t="inlineStr">
        <is>
          <t>Sıra 143 kabin fiyatında</t>
        </is>
      </c>
      <c r="E17" s="7" t="inlineStr">
        <is>
          <t>Güvenlik kabini split kalemleri sıfırlandı</t>
        </is>
      </c>
      <c r="F17" s="7" t="inlineStr">
        <is>
          <t>Mekanik</t>
        </is>
      </c>
    </row>
    <row r="18">
      <c r="A18" s="7" t="n">
        <v>11</v>
      </c>
      <c r="B18" s="7" t="inlineStr">
        <is>
          <t>İstasyon UPS aküsü</t>
        </is>
      </c>
      <c r="C18" s="7" t="inlineStr">
        <is>
          <t>2 saat</t>
        </is>
      </c>
      <c r="D18" s="7" t="inlineStr">
        <is>
          <t>20 dk; Göbeklitepe 10 kVA</t>
        </is>
      </c>
      <c r="E18" s="7" t="inlineStr">
        <is>
          <t>İstasyon UPS akü kalemleri 20 dk'ya göre fiyatlandı</t>
        </is>
      </c>
      <c r="F18" s="7" t="inlineStr">
        <is>
          <t>Elektrik_AG</t>
        </is>
      </c>
    </row>
    <row r="19">
      <c r="A19" s="7" t="n">
        <v>24</v>
      </c>
      <c r="B19" s="7" t="inlineStr">
        <is>
          <t>İstasyon topraklama elektrodu</t>
        </is>
      </c>
      <c r="C19" s="7" t="inlineStr">
        <is>
          <t>Som bakır (112 adet)</t>
        </is>
      </c>
      <c r="D19" s="7" t="inlineStr">
        <is>
          <t>Galvaniz köşebent</t>
        </is>
      </c>
      <c r="E19" s="7" t="inlineStr">
        <is>
          <t>Elektrot birim fiyatı galvaniz köşebent</t>
        </is>
      </c>
      <c r="F19" s="7" t="inlineStr">
        <is>
          <t>Elektrik_AG</t>
        </is>
      </c>
    </row>
    <row r="20">
      <c r="A20" s="7" t="n">
        <v>13</v>
      </c>
      <c r="B20" s="7" t="inlineStr">
        <is>
          <t>Hatboyu fiber</t>
        </is>
      </c>
      <c r="C20" s="7" t="inlineStr">
        <is>
          <t>2×96 SM + 24 MM</t>
        </is>
      </c>
      <c r="D20" s="7" t="inlineStr">
        <is>
          <t>24 ve 8 core SM</t>
        </is>
      </c>
      <c r="E20" s="7" t="inlineStr">
        <is>
          <t>Fiber kabloları 24/8 core SM olarak fiyatlandı</t>
        </is>
      </c>
      <c r="F20" s="7" t="inlineStr">
        <is>
          <t>Haberlesme</t>
        </is>
      </c>
    </row>
    <row r="21">
      <c r="A21" s="7" t="n">
        <v>16</v>
      </c>
      <c r="B21" s="7" t="inlineStr">
        <is>
          <t>Saat sistemi</t>
        </is>
      </c>
      <c r="C21" s="7" t="inlineStr">
        <is>
          <t>4 set (depo)</t>
        </is>
      </c>
      <c r="D21" s="7" t="inlineStr">
        <is>
          <t>Cevap yok</t>
        </is>
      </c>
      <c r="E21" s="7" t="inlineStr">
        <is>
          <t>Kabul korundu</t>
        </is>
      </c>
      <c r="F21" s="7" t="inlineStr">
        <is>
          <t>Haberlesme</t>
        </is>
      </c>
    </row>
    <row r="22">
      <c r="A22" s="7" t="n">
        <v>14</v>
      </c>
      <c r="B22" s="7" t="inlineStr">
        <is>
          <t>Turnike adedi</t>
        </is>
      </c>
      <c r="C22" s="7" t="inlineStr">
        <is>
          <t>Cetvel 27 + 19</t>
        </is>
      </c>
      <c r="D22" s="7" t="inlineStr">
        <is>
          <t>Onaylı mimari projeler</t>
        </is>
      </c>
      <c r="E22" s="7" t="inlineStr">
        <is>
          <t>Cetvel adedi kullanıldı; mimariden sayılınca güncellenmeli</t>
        </is>
      </c>
      <c r="F22" s="7" t="inlineStr">
        <is>
          <t>Haberlesme</t>
        </is>
      </c>
    </row>
    <row r="23">
      <c r="A23" s="7" t="inlineStr">
        <is>
          <t>—</t>
        </is>
      </c>
      <c r="B23" s="7" t="inlineStr">
        <is>
          <t>Garanti / yedek parça</t>
        </is>
      </c>
      <c r="C23" s="7" t="inlineStr">
        <is>
          <t>—</t>
        </is>
      </c>
      <c r="D23" s="7" t="inlineStr">
        <is>
          <t>24 ay; 2 yıllık yedek parça sıra 384'ten</t>
        </is>
      </c>
      <c r="E23" s="7" t="inlineStr">
        <is>
          <t>Katener test kalemine yedek parça payı dahil; sinyal yedekleri sıra 384'te</t>
        </is>
      </c>
      <c r="F23" s="7" t="inlineStr">
        <is>
          <t>—</t>
        </is>
      </c>
    </row>
  </sheetData>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sheetPr>
  <dimension ref="A1:C22"/>
  <sheetViews>
    <sheetView zoomScale="90" workbookViewId="0">
      <selection activeCell="A1" sqref="A1"/>
    </sheetView>
  </sheetViews>
  <sheetFormatPr baseColWidth="8" defaultRowHeight="15"/>
  <cols>
    <col width="58" customWidth="1" min="1" max="1"/>
    <col width="16" customWidth="1" min="2" max="2"/>
    <col width="95" customWidth="1" min="3" max="3"/>
  </cols>
  <sheetData>
    <row r="1">
      <c r="A1" s="20" t="inlineStr">
        <is>
          <t>VARSAYIMLAR (sarı hücreler değiştirilebilir; tüm sayfalar formülle bağlıdır)</t>
        </is>
      </c>
    </row>
    <row r="2"/>
    <row r="3">
      <c r="A3" s="32" t="inlineStr">
        <is>
          <t>Parametre</t>
        </is>
      </c>
      <c r="B3" s="32" t="inlineStr">
        <is>
          <t>Değer</t>
        </is>
      </c>
      <c r="C3" s="32" t="inlineStr">
        <is>
          <t>Kaynak / açıklama</t>
        </is>
      </c>
    </row>
    <row r="4">
      <c r="A4" s="27" t="inlineStr">
        <is>
          <t>EUR/USD kuru</t>
        </is>
      </c>
      <c r="B4" s="64" t="n">
        <v>1.1225</v>
      </c>
      <c r="C4" s="27" t="inlineStr">
        <is>
          <t>ECB referans kuru, 02.10.2026 (eurofxref). Teklif günü kuru ile güncelleyin.</t>
        </is>
      </c>
    </row>
    <row r="5">
      <c r="A5" s="27" t="inlineStr">
        <is>
          <t>EUR/TRY kuru</t>
        </is>
      </c>
      <c r="B5" s="64" t="n">
        <v>55.165</v>
      </c>
      <c r="C5" s="27" t="inlineStr">
        <is>
          <t>ECB referans kuru, 02.10.2026 (eurofxref). Teklif günü kuru ile güncelleyin.</t>
        </is>
      </c>
    </row>
    <row r="6">
      <c r="A6" s="27" t="inlineStr">
        <is>
          <t>Hat uzunluğu – RFQ kabulü (km)</t>
        </is>
      </c>
      <c r="B6" s="64" t="n">
        <v>6.56</v>
      </c>
      <c r="C6" s="27" t="inlineStr">
        <is>
          <t>Katener şartnamesi; RFQ cetvellerinde kullanıldı</t>
        </is>
      </c>
    </row>
    <row r="7">
      <c r="A7" s="27" t="inlineStr">
        <is>
          <t>Hat uzunluğu – idare cevabı (km)</t>
        </is>
      </c>
      <c r="B7" s="64" t="n">
        <v>6.44</v>
      </c>
      <c r="C7" s="27" t="inlineStr">
        <is>
          <t>İdare cevabı 05.10.2026, soru 18</t>
        </is>
      </c>
    </row>
    <row r="8">
      <c r="A8" s="27" t="inlineStr">
        <is>
          <t>Hat boyu uzunluk düzeltme oranı</t>
        </is>
      </c>
      <c r="B8" s="65">
        <f>B6/B5</f>
        <v/>
      </c>
      <c r="C8" s="27" t="inlineStr">
        <is>
          <t>Hat boyu iletken/kablo uzunluklarına uygulanır</t>
        </is>
      </c>
    </row>
    <row r="9">
      <c r="A9" s="27" t="inlineStr">
        <is>
          <t>Araç sayısı – RFQ kabulü</t>
        </is>
      </c>
      <c r="B9" s="64" t="n">
        <v>15</v>
      </c>
      <c r="C9" s="27" t="inlineStr">
        <is>
          <t>Sinyal RFQ kabul 5</t>
        </is>
      </c>
    </row>
    <row r="10">
      <c r="A10" s="27" t="inlineStr">
        <is>
          <t>Araç sayısı – idare cevabı</t>
        </is>
      </c>
      <c r="B10" s="64" t="n">
        <v>14</v>
      </c>
      <c r="C10" s="27" t="inlineStr">
        <is>
          <t>İdare cevabı soru 2 (araçlar ayrı ihale; arayüz yüklenicide)</t>
        </is>
      </c>
    </row>
    <row r="11">
      <c r="A11" s="27" t="inlineStr">
        <is>
          <t>OG ring güzergahı – RFQ (m)</t>
        </is>
      </c>
      <c r="B11" s="64" t="n">
        <v>7000</v>
      </c>
      <c r="C11" s="27" t="inlineStr">
        <is>
          <t>Sıra 170 RFQ</t>
        </is>
      </c>
    </row>
    <row r="12">
      <c r="A12" s="27" t="inlineStr">
        <is>
          <t>OG ring güzergahı – idare cevabı (m)</t>
        </is>
      </c>
      <c r="B12" s="64" t="n">
        <v>7964</v>
      </c>
      <c r="C12" s="27" t="inlineStr">
        <is>
          <t>İdare cevabı soru 21 (tüm kesitler)</t>
        </is>
      </c>
    </row>
    <row r="13">
      <c r="A13" s="27" t="inlineStr">
        <is>
          <t>Galvanizli katener direği çeliği, imalat+galvaniz+dikim (EUR/kg)</t>
        </is>
      </c>
      <c r="B13" s="64" t="n">
        <v>2.2</v>
      </c>
      <c r="C13" s="27" t="inlineStr">
        <is>
          <t>Referans medyanı 1,80 €/kg (2013–2016 tramvay) + yerli üretim/montaj payı; Mitaş teklifi gelince güncelleyin</t>
        </is>
      </c>
    </row>
    <row r="14">
      <c r="A14" s="27" t="inlineStr">
        <is>
          <t>Risk/belirsizlik payı – Asansör</t>
        </is>
      </c>
      <c r="B14" s="66" t="n">
        <v>0.03</v>
      </c>
      <c r="C14" s="27" t="inlineStr">
        <is>
          <t>2 firma teklifi var, kapsam net</t>
        </is>
      </c>
    </row>
    <row r="15">
      <c r="A15" s="27" t="inlineStr">
        <is>
          <t>Risk/belirsizlik payı – Sinyalizasyon + AVLS</t>
        </is>
      </c>
      <c r="B15" s="66" t="n">
        <v>0.1</v>
      </c>
      <c r="C15" s="27" t="inlineStr">
        <is>
          <t>Ayrı sinyal projesi yok; miktarlar öngörü ağırlıklı; tek teklif (Point Link) aykırı</t>
        </is>
      </c>
    </row>
    <row r="16">
      <c r="A16" s="27" t="inlineStr">
        <is>
          <t>Risk/belirsizlik payı – Katener</t>
        </is>
      </c>
      <c r="B16" s="66" t="n">
        <v>0.05</v>
      </c>
      <c r="C16" s="27" t="inlineStr">
        <is>
          <t>Proje var; fiyatlar referans + tahmin</t>
        </is>
      </c>
    </row>
    <row r="17">
      <c r="A17" s="27" t="inlineStr">
        <is>
          <t>Risk/belirsizlik payı – Cer gücü / enerji temini</t>
        </is>
      </c>
      <c r="B17" s="66" t="n">
        <v>0.05</v>
      </c>
      <c r="C17" s="27" t="inlineStr">
        <is>
          <t>Proje var; teklif yok (Best Transformer, Alfanar bütçe bekleniyor)</t>
        </is>
      </c>
    </row>
    <row r="18">
      <c r="A18" s="27" t="inlineStr">
        <is>
          <t>Risk/belirsizlik payı – Mekanik</t>
        </is>
      </c>
      <c r="B18" s="66" t="n">
        <v>0.05</v>
      </c>
      <c r="C18" s="27" t="inlineStr">
        <is>
          <t>Kalem bazlı; referans + tahmin; Ekura/Protek teklifleri bekleniyor</t>
        </is>
      </c>
    </row>
    <row r="19">
      <c r="A19" s="27" t="inlineStr">
        <is>
          <t>Risk/belirsizlik payı – Elektrik AG / aydınlatma / yangın ihbar / topraklama</t>
        </is>
      </c>
      <c r="B19" s="66" t="n">
        <v>0.05</v>
      </c>
      <c r="C19" s="27" t="inlineStr">
        <is>
          <t>Kalem bazlı; referans kapsaması düşük</t>
        </is>
      </c>
    </row>
    <row r="20">
      <c r="A20" s="27" t="inlineStr">
        <is>
          <t>Risk/belirsizlik payı – Kontrol ve haberleşme (SCADA, CCTV, telsiz, YBS, turnike)</t>
        </is>
      </c>
      <c r="B20" s="66" t="n">
        <v>0.05</v>
      </c>
      <c r="C20" s="27" t="inlineStr">
        <is>
          <t>Kalem bazlı; turnike adedi mimariden sayılacak</t>
        </is>
      </c>
    </row>
    <row r="21">
      <c r="A21" s="27" t="inlineStr">
        <is>
          <t>Metraj payları geri alınsın mı? (1 = evet, 0 = RFQ metrajı)</t>
        </is>
      </c>
      <c r="B21" s="64" t="n">
        <v>1</v>
      </c>
      <c r="C21" s="27" t="inlineStr">
        <is>
          <t>RFQ'da bilinçli şişirme: uzunluklara %10 fire; Mekanik+Elektrik set alt kalemlerinde dağıtık malzemeye %30 (devir notu bölüm 10). Bütçe net metrajla hesaplanır.</t>
        </is>
      </c>
    </row>
    <row r="22">
      <c r="A22" s="27" t="inlineStr">
        <is>
          <t>Fiyat esası</t>
        </is>
      </c>
      <c r="B22" s="27" t="inlineStr">
        <is>
          <t>EUR, Ekim 2026, KDV hariç, Şanlıurfa şantiye teslim, montaj+test+devreye alma dahil (taşeron fiyatı)</t>
        </is>
      </c>
      <c r="C22" s="27" t="inlineStr"/>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2026-10-06T20:28:23Z</dcterms:created>
  <dcterms:modified xmlns:dcterms="http://purl.org/dc/terms/" xmlns:xsi="http://www.w3.org/2001/XMLSchema-instance" xsi:type="dcterms:W3CDTF">2026-10-06T20:28:29Z</dcterms:modified>
</cp:coreProperties>
</file>