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zet" sheetId="1" state="visible" r:id="rId3"/>
    <sheet name="Yontem" sheetId="2" state="visible" r:id="rId4"/>
    <sheet name="Teklif_Degerlendirme" sheetId="3" state="visible" r:id="rId5"/>
    <sheet name="Ihale_Geneli_Bilgi" sheetId="4" state="visible" r:id="rId6"/>
    <sheet name="Elektrik_AG" sheetId="5" state="visible" r:id="rId7"/>
    <sheet name="Haberlesme" sheetId="6" state="visible" r:id="rId8"/>
    <sheet name="Mekanik" sheetId="7" state="visible" r:id="rId9"/>
    <sheet name="Asansor" sheetId="8" state="visible" r:id="rId10"/>
    <sheet name="Sinyal" sheetId="9" state="visible" r:id="rId11"/>
    <sheet name="Cer_Guc" sheetId="10" state="visible" r:id="rId12"/>
    <sheet name="Katener" sheetId="11" state="visible" r:id="rId13"/>
    <sheet name="Emsal_Kaynaklari" sheetId="12" state="visible" r:id="rId14"/>
    <sheet name="Teklif_Istenen_Firmalar" sheetId="13" state="visible" r:id="rId15"/>
    <sheet name="Teklifler" sheetId="14" state="visible" r:id="rId16"/>
    <sheet name="Teklif_Durumu" sheetId="15" state="visible" r:id="rId17"/>
    <sheet name="Idare_Duzeltme" sheetId="16" state="visible" r:id="rId18"/>
    <sheet name="Varsayimlar" sheetId="17" state="visible" r:id="rId19"/>
  </sheets>
  <definedNames>
    <definedName function="false" hidden="true" localSheetId="7" name="_xlnm._FilterDatabase" vbProcedure="false">Asansor!$A$4:$M$4</definedName>
    <definedName function="false" hidden="true" localSheetId="9" name="_xlnm._FilterDatabase" vbProcedure="false">Cer_Guc!$A$4:$M$4</definedName>
    <definedName function="false" hidden="true" localSheetId="4" name="_xlnm._FilterDatabase" vbProcedure="false">Elektrik_AG!$A$4:$M$4</definedName>
    <definedName function="false" hidden="true" localSheetId="11" name="_xlnm._FilterDatabase" vbProcedure="false">Emsal_Kaynaklari!$A$4:$N$1187</definedName>
    <definedName function="false" hidden="true" localSheetId="5" name="_xlnm._FilterDatabase" vbProcedure="false">Haberlesme!$A$4:$M$4</definedName>
    <definedName function="false" hidden="true" localSheetId="10" name="_xlnm._FilterDatabase" vbProcedure="false">Katener!$A$4:$M$4</definedName>
    <definedName function="false" hidden="true" localSheetId="6" name="_xlnm._FilterDatabase" vbProcedure="false">Mekanik!$A$4:$M$4</definedName>
    <definedName function="false" hidden="true" localSheetId="8" name="_xlnm._FilterDatabase" vbProcedure="false">Sinyal!$A$4:$M$4</definedName>
    <definedName function="false" hidden="true" localSheetId="12" name="_xlnm._FilterDatabase" vbProcedure="false">Teklif_Istenen_Firmalar!$A$5:$J$307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<sst xmlns="http://schemas.openxmlformats.org/spreadsheetml/2006/main" count="29112" uniqueCount="7627">
  <si>
    <t xml:space="preserve">ŞANLIURFA HRS 1. ETAP – MEP BÜTÇE ÇALIŞMASI (ELEKTRİK, MEKANİK, ASANSÖR, SİNYALİZASYON, ELEKTRİFİKASYON)</t>
  </si>
  <si>
    <t xml:space="preserve">İKN 2026/1327584 • Teklif sahibi: ÖZVER İNŞAAT A.Ş. • Hazırlayan: MEP Center • 06.10.2026 • EUR, KDV hariç, montaj+test+devreye alma dahil (taşeron fiyatı), Şanlıurfa şantiye teslim. Miktarlar RFQ cetvelleri + idare cevapları (05.10.2026) ile düzeltilmiştir.</t>
  </si>
  <si>
    <t xml:space="preserve">Disiplin</t>
  </si>
  <si>
    <t xml:space="preserve">Kapsam</t>
  </si>
  <si>
    <t xml:space="preserve">Kalem bazlı bütçe EUR</t>
  </si>
  <si>
    <t xml:space="preserve">Risk payı EUR</t>
  </si>
  <si>
    <t xml:space="preserve">Önerilen bütçe EUR</t>
  </si>
  <si>
    <t xml:space="preserve">Önerilen bütçe USD</t>
  </si>
  <si>
    <t xml:space="preserve">Önerilen bütçe TL</t>
  </si>
  <si>
    <t xml:space="preserve">Pay %</t>
  </si>
  <si>
    <t xml:space="preserve">RFQ cetvel miktarlarıyla (şişirmeli) EUR</t>
  </si>
  <si>
    <t xml:space="preserve">Referans / teklif kıyası EUR</t>
  </si>
  <si>
    <t xml:space="preserve">Teklife dayanan %</t>
  </si>
  <si>
    <t xml:space="preserve">Geçmiş teklif uyarlaması %</t>
  </si>
  <si>
    <t xml:space="preserve">Mühendislik tahmini %</t>
  </si>
  <si>
    <t xml:space="preserve">BÜTÇE GÖSTERGELERİ</t>
  </si>
  <si>
    <t xml:space="preserve">1 ELEKTRİK</t>
  </si>
  <si>
    <t xml:space="preserve">AG tesisat, aydınlatma, yangın ihbar, topraklama, kontrol-haberleşme, SCADA</t>
  </si>
  <si>
    <t xml:space="preserve">TOPLAM MEP ÖNERİLEN BÜTÇE (EUR)</t>
  </si>
  <si>
    <t xml:space="preserve">2 MEKANİK</t>
  </si>
  <si>
    <t xml:space="preserve">HVAC, yangın söndürme, drenaj, sıhhi tesisat, basınçlı hava</t>
  </si>
  <si>
    <t xml:space="preserve">USD karşılığı</t>
  </si>
  <si>
    <t xml:space="preserve">3 ASANSÖR</t>
  </si>
  <si>
    <t xml:space="preserve">13 asansör</t>
  </si>
  <si>
    <t xml:space="preserve">TL karşılığı</t>
  </si>
  <si>
    <t xml:space="preserve">4 SİNYALİZASYON</t>
  </si>
  <si>
    <t xml:space="preserve">Sinyalizasyon + araç takip (AVLS)</t>
  </si>
  <si>
    <t xml:space="preserve">Fiyatlandırılan kalem sayısı</t>
  </si>
  <si>
    <t xml:space="preserve">5 ELEKTRİFİKASYON</t>
  </si>
  <si>
    <t xml:space="preserve">Güç temini/cer gücü + katener</t>
  </si>
  <si>
    <t xml:space="preserve">Teklif + geçmiş teklif emsaline dayanan pay</t>
  </si>
  <si>
    <t xml:space="preserve">TOPLAM MEP</t>
  </si>
  <si>
    <t xml:space="preserve">Grafik verisi (EUR, risk hariç)</t>
  </si>
  <si>
    <t xml:space="preserve">ALT KIRILIM (disiplin içi)</t>
  </si>
  <si>
    <t xml:space="preserve">2026 teklif</t>
  </si>
  <si>
    <t xml:space="preserve">Geçmiş teklif uyarlama</t>
  </si>
  <si>
    <t xml:space="preserve">Mühendislik tahmini</t>
  </si>
  <si>
    <t xml:space="preserve">Alt kalem</t>
  </si>
  <si>
    <t xml:space="preserve">Cetvel sıraları</t>
  </si>
  <si>
    <t xml:space="preserve">Kalem bazlı EUR</t>
  </si>
  <si>
    <t xml:space="preserve">Risk %</t>
  </si>
  <si>
    <t xml:space="preserve">Önerilen EUR</t>
  </si>
  <si>
    <t xml:space="preserve">RFQ miktarlarıyla EUR</t>
  </si>
  <si>
    <t xml:space="preserve">Kıyas EUR</t>
  </si>
  <si>
    <t xml:space="preserve">Kıyas kaynağı</t>
  </si>
  <si>
    <t xml:space="preserve">Açıklama</t>
  </si>
  <si>
    <t xml:space="preserve">2026 teklifine dayanan EUR</t>
  </si>
  <si>
    <t xml:space="preserve">Geçmiş teklif uyarlaması EUR</t>
  </si>
  <si>
    <t xml:space="preserve">Mühendislik tahmini EUR</t>
  </si>
  <si>
    <t xml:space="preserve">AG dağıtım, AG kablolar, iç tesisat-aydınlatma, UPS, yangın ihbar, topraklama</t>
  </si>
  <si>
    <t xml:space="preserve">180–186, 190–196, 198–199, 211–218, 322–342</t>
  </si>
  <si>
    <t xml:space="preserve">İstasyon/depo ADP, AG besleme kabloları, aydınlatma, UPS'ler, yangın ihbar</t>
  </si>
  <si>
    <t xml:space="preserve">Kontrol ve haberleşme (fiber, telefon, telsiz, anons, CCTV, saat, erişim, SCADA, YBS, turnike)</t>
  </si>
  <si>
    <t xml:space="preserve">236–321</t>
  </si>
  <si>
    <t xml:space="preserve">Referans kalem bazlı</t>
  </si>
  <si>
    <t xml:space="preserve">ON Elektronik (saat+YBS) ve Teknomaks (CCTV) teklifleri ekte/bekleniyor</t>
  </si>
  <si>
    <t xml:space="preserve">Isıtma-soğutma, havalandırma, yangın söndürme, drenaj, sıhhi tesisat, basınçlı hava</t>
  </si>
  <si>
    <t xml:space="preserve">159–168, 343–363</t>
  </si>
  <si>
    <t xml:space="preserve">Asansör hariç (ayrı disiplin)</t>
  </si>
  <si>
    <t xml:space="preserve">13 asansör (12 üst geçit 1000 kg + 1 idari bina 800 kg)</t>
  </si>
  <si>
    <t xml:space="preserve">364–365</t>
  </si>
  <si>
    <t xml:space="preserve">En düşük teklif (Emlift, sapmalı)</t>
  </si>
  <si>
    <t xml:space="preserve">3 teklifin medyanı (Schindler 480.000 USD, TK 414.200 EUR, Emlift 19,5 M TL); bakım hariç</t>
  </si>
  <si>
    <t xml:space="preserve">Hat boyu + depo sinyalizasyon, araç üstü, merkez, araç takip (AVLS)</t>
  </si>
  <si>
    <t xml:space="preserve">228–235</t>
  </si>
  <si>
    <t xml:space="preserve">Sistem bazlı ref. (makas başı)</t>
  </si>
  <si>
    <t xml:space="preserve">AVLS 233–235 Mukan Rail teklifiyle; Point Link 7,28 M€ kıyas dışı (Gmail'de bulunamadı)</t>
  </si>
  <si>
    <t xml:space="preserve">Güç temini ve cer gücü (OG ring, TEİAŞ bağlantısı, 34,5 kV hücreler, 5 cer TM, kaçak akım)</t>
  </si>
  <si>
    <t xml:space="preserve">169–179, 187–189, 197, 200–210, 219, 227</t>
  </si>
  <si>
    <t xml:space="preserve">Sistem bazlı ref. (5 TM; yalnız OG+trafo+DC)</t>
  </si>
  <si>
    <t xml:space="preserve">Katener (hat boyu, depo, direkler)</t>
  </si>
  <si>
    <t xml:space="preserve">220–226</t>
  </si>
  <si>
    <t xml:space="preserve">Sistem bazlı ref. (km başı)</t>
  </si>
  <si>
    <t xml:space="preserve">Direk temelleri inşaatta; ana hatta lente yok</t>
  </si>
  <si>
    <t xml:space="preserve">▶ KAPSAM DIŞI KALEMLER – İdare cevaplarıyla (05.10.2026) bütçeden düşülen kalemlerin RFQ'daki değeri</t>
  </si>
  <si>
    <t xml:space="preserve">Disiplin sayfası</t>
  </si>
  <si>
    <t xml:space="preserve">Düşülen başlıca kalemler</t>
  </si>
  <si>
    <t xml:space="preserve">RFQ birim fiyatlarıyla değer €</t>
  </si>
  <si>
    <t xml:space="preserve">Sinyal</t>
  </si>
  <si>
    <t xml:space="preserve">Kavşak TSKP, trafik lambaları/direkleri/kabloları; manuel makas mekanizmaları; mevcut depo kontrol merkezi entegrasyonu</t>
  </si>
  <si>
    <t xml:space="preserve">Katener</t>
  </si>
  <si>
    <t xml:space="preserve">Ana hat ankraj lentesi + 68 lente temeli; depo direkleri ve temelleri (cetvel direk kalemleriyle çift sayım)</t>
  </si>
  <si>
    <t xml:space="preserve">Mekanik</t>
  </si>
  <si>
    <t xml:space="preserve">Güvenlik kabini splitleri (sıra 143 modüler kabin fiyatında)</t>
  </si>
  <si>
    <t xml:space="preserve">Elektrik_AG</t>
  </si>
  <si>
    <t xml:space="preserve">Kavşak TSKP beslemeleri</t>
  </si>
  <si>
    <t xml:space="preserve">Haberlesme</t>
  </si>
  <si>
    <t xml:space="preserve">Mevcut sistem entegrasyonları (mevcut sistem yok)</t>
  </si>
  <si>
    <t xml:space="preserve">Toplam düşülen</t>
  </si>
  <si>
    <t xml:space="preserve">Ayrıca RFQ'daki bilinçli metraj payları (%10 fire, dağıtık malzemede %30) bütçeden geri alınmıştır; etkisi: 'RFQ cetvel miktarlarıyla' sütunu − 'Kalem bazlı bütçe'.</t>
  </si>
  <si>
    <t xml:space="preserve">▶ KAPSAM DIŞI EKİPMANLAR – Yüklenici kapsamındaki depo ekipmanları (MEP paketlerinde yok) – bilgi amaçlı tahmini bütçe</t>
  </si>
  <si>
    <t xml:space="preserve">Ekipman</t>
  </si>
  <si>
    <t xml:space="preserve">Miktar</t>
  </si>
  <si>
    <t xml:space="preserve">Birim fiyat €</t>
  </si>
  <si>
    <t xml:space="preserve">Tutar €</t>
  </si>
  <si>
    <t xml:space="preserve">Fiyat türü</t>
  </si>
  <si>
    <t xml:space="preserve">Köprülü vinç 7,5 t</t>
  </si>
  <si>
    <t xml:space="preserve">Atölye, ~20 m açıklık, ray+yürüyüş yolu, montaj dahil</t>
  </si>
  <si>
    <t xml:space="preserve">PİYASA TAHMİNİ (veritabanında emsal yok)</t>
  </si>
  <si>
    <t xml:space="preserve">Köprülü vinç 1 t</t>
  </si>
  <si>
    <t xml:space="preserve">Atölye yardımcı vinç / monoray</t>
  </si>
  <si>
    <t xml:space="preserve">Araç kaldırma lifti 11 t</t>
  </si>
  <si>
    <t xml:space="preserve">Senkron kolon lift (10 + 2 yedek), kumanda dahil</t>
  </si>
  <si>
    <t xml:space="preserve">Katener bakım aracı</t>
  </si>
  <si>
    <t xml:space="preserve">Karayolu-demiryolu, kaldırma platformlu, ölçüm donanımlı</t>
  </si>
  <si>
    <t xml:space="preserve">Manevra aracı (shunter)</t>
  </si>
  <si>
    <t xml:space="preserve">Karayolu-demiryolu tip, tramvay çekebilir</t>
  </si>
  <si>
    <t xml:space="preserve">Toplam (bilgi)</t>
  </si>
  <si>
    <t xml:space="preserve">İdare cevabı: depo ekipmanları (1 t + 7,5 t köprülü vinç, 12 × 11 t lift, katener bakım aracı, shunter vb.) yüklenici kapsamındadır; MEP teklif paketlerine dahil edilmemiştir. Rakamlar teklif alınana kadar mertebe göstergesidir.</t>
  </si>
  <si>
    <t xml:space="preserve">▶ İHALE GENELİ – MEP DIŞI GELEN TEKLİF: RAYBA YAPI (demiryolu üstyapı) – MEP toplamına dahil değil</t>
  </si>
  <si>
    <t xml:space="preserve">Firma</t>
  </si>
  <si>
    <t xml:space="preserve">Teklif</t>
  </si>
  <si>
    <t xml:space="preserve">EUR</t>
  </si>
  <si>
    <t xml:space="preserve">USD</t>
  </si>
  <si>
    <t xml:space="preserve">TL</t>
  </si>
  <si>
    <t xml:space="preserve">Rayba Yapı</t>
  </si>
  <si>
    <t xml:space="preserve">Demiryolu işleri (kauçuk esaslı bağlantılı doğrudan tespitli hat)</t>
  </si>
  <si>
    <t xml:space="preserve">S-LINE kauçuk ray bağlantı sistemi (malzeme)</t>
  </si>
  <si>
    <t xml:space="preserve">Rayba teklifi 42×R50 + 2×R100 makas + 3 kruvazman (= 56 makas) ile sinyal/katener makas kabulünü teyit ediyor. S-LINE kapsülleri hat döşeme fiyatında olabilir – çift sayım kontrolü; beton/donatı hariç. Ayrıntı: Ihale_Geneli_Bilgi.</t>
  </si>
  <si>
    <t xml:space="preserve">CETVEL SIRASI BAZINDA DÖKÜM (risk payı hariç, EUR)</t>
  </si>
  <si>
    <t xml:space="preserve">Sıra</t>
  </si>
  <si>
    <t xml:space="preserve">Kalem</t>
  </si>
  <si>
    <t xml:space="preserve">Tutar EUR</t>
  </si>
  <si>
    <t xml:space="preserve">1 Elektrik – AG/aydınlatma/yangın</t>
  </si>
  <si>
    <t xml:space="preserve">180</t>
  </si>
  <si>
    <t xml:space="preserve">Göbekli Tepe İstasyonu Ag Ana Dağıtım Panoları (400 V) (1 set)</t>
  </si>
  <si>
    <t xml:space="preserve">181</t>
  </si>
  <si>
    <t xml:space="preserve">Hızmalı Köprüsü İstasyonu Ag Ana Dağıtım Panoları (400 V) (1 set)</t>
  </si>
  <si>
    <t xml:space="preserve">182</t>
  </si>
  <si>
    <t xml:space="preserve">Balıklıgöl İstasyonu Ag Ana Dağıtım Panoları (400 V) (1 set)</t>
  </si>
  <si>
    <t xml:space="preserve">183</t>
  </si>
  <si>
    <t xml:space="preserve">Eyüp Peygamber İstasyonu Ag Ana Dağıtım Panoları (400 V) (1 set)</t>
  </si>
  <si>
    <t xml:space="preserve">184</t>
  </si>
  <si>
    <t xml:space="preserve">Rasathane İstasyonu Ag Ana Dağıtım Panoları (400 V) (1 set)</t>
  </si>
  <si>
    <t xml:space="preserve">185</t>
  </si>
  <si>
    <t xml:space="preserve">Harran İstasyonu Ag Ana Dağıtım Panoları (400 V) (1 set)</t>
  </si>
  <si>
    <t xml:space="preserve">186</t>
  </si>
  <si>
    <t xml:space="preserve">Depo Sahası ve Tesisleri Ag Ana Dağıtım Panoları (400 V) (1 set)</t>
  </si>
  <si>
    <t xml:space="preserve">190</t>
  </si>
  <si>
    <t xml:space="preserve">Göbekli Tepe İstasyonu Topraklama Tesisatı (1 set)</t>
  </si>
  <si>
    <t xml:space="preserve">191</t>
  </si>
  <si>
    <t xml:space="preserve">Hızmalı Köprüsü İstasyonu Topraklama Tesisatı (1 set)</t>
  </si>
  <si>
    <t xml:space="preserve">192</t>
  </si>
  <si>
    <t xml:space="preserve">Balıklıgöl İstasyonu Topraklama Tesisatı (1 set)</t>
  </si>
  <si>
    <t xml:space="preserve">193</t>
  </si>
  <si>
    <t xml:space="preserve">Eyüp Peygamber İstasyonu Topraklama Tesisatı (1 set)</t>
  </si>
  <si>
    <t xml:space="preserve">194</t>
  </si>
  <si>
    <t xml:space="preserve">Rasathane İstasyonu Topraklama Tesisatı (1 set)</t>
  </si>
  <si>
    <t xml:space="preserve">195</t>
  </si>
  <si>
    <t xml:space="preserve">Depo Sahası ve Topraklama Tesisatı (1 set)</t>
  </si>
  <si>
    <t xml:space="preserve">196</t>
  </si>
  <si>
    <t xml:space="preserve">Harran İstasyonu Topraklama Tesisatı (1 set)</t>
  </si>
  <si>
    <t xml:space="preserve">198</t>
  </si>
  <si>
    <t xml:space="preserve">Sanat Yapıları (Üst Geçit) Topraklama Tesisatı (4 set)</t>
  </si>
  <si>
    <t xml:space="preserve">199</t>
  </si>
  <si>
    <t xml:space="preserve">Hat Boyu Topraklama Tesisatı (1 set)</t>
  </si>
  <si>
    <t xml:space="preserve">211</t>
  </si>
  <si>
    <t xml:space="preserve">Göbekli Tepe İstasyonu Alçak Gerilim Besleme-Dağıtım Kabloları ve Kablo Taşıma Sistemleri (1 set)</t>
  </si>
  <si>
    <t xml:space="preserve">212</t>
  </si>
  <si>
    <t xml:space="preserve">Hızmalı Köprüsü İstasyonu Alçak Gerilim Besleme-Dağıtım Kabloları ve Kablo Taşıma Sistemleri (1 set)</t>
  </si>
  <si>
    <t xml:space="preserve">213</t>
  </si>
  <si>
    <t xml:space="preserve">Balıklıgöl İstasyonu Alçak Gerilim Besleme-Dağıtım Kabloları ve Kablo Taşıma Sistemleri (1 set)</t>
  </si>
  <si>
    <t xml:space="preserve">214</t>
  </si>
  <si>
    <t xml:space="preserve">Eyüp Peygamber İstasyonu Alçak Gerilim Besleme-Dağıtım Kabloları ve Kablo Taşıma Sistemleri (1 set)</t>
  </si>
  <si>
    <t xml:space="preserve">215</t>
  </si>
  <si>
    <t xml:space="preserve">Rasathane İstasyonu Alçak Gerilim Besleme-Dağıtım Kabloları ve Kablo Taşıma Sistemleri (1 set)</t>
  </si>
  <si>
    <t xml:space="preserve">216</t>
  </si>
  <si>
    <t xml:space="preserve">Depo Sahası ve Tesisleri Alçak Gerilim Besleme-Dağıtım Kabloları ve Kablo Taşıma Sistemleri (1 set)</t>
  </si>
  <si>
    <t xml:space="preserve">217</t>
  </si>
  <si>
    <t xml:space="preserve">Harran İstasyonu Alçak Gerilim Besleme-Dağıtım Kabloları ve Kablo Taşıma Sistemleri (1 set)</t>
  </si>
  <si>
    <t xml:space="preserve">218</t>
  </si>
  <si>
    <t xml:space="preserve">Hat Boyu Alçak Gerilim Besleme-Dağıtım Kabloları ve Kablo Taşıma Sistemleri (1 set)</t>
  </si>
  <si>
    <t xml:space="preserve">322</t>
  </si>
  <si>
    <t xml:space="preserve">Alçak Gerilim Tesisatı ve Aydınlatma Sistemi Tasarımı (1 set)</t>
  </si>
  <si>
    <t xml:space="preserve">323</t>
  </si>
  <si>
    <t xml:space="preserve">Göbekli Tepe İstasyonu Alçak Gerilim Tesisatı ve Aydınlatma Sistemi (1 set)</t>
  </si>
  <si>
    <t xml:space="preserve">324</t>
  </si>
  <si>
    <t xml:space="preserve">Hızmalı Köprüsü İstasyonu Alçak Gerilim Tesisatı ve Aydınlatma Sistemi (1 set)</t>
  </si>
  <si>
    <t xml:space="preserve">325</t>
  </si>
  <si>
    <t xml:space="preserve">Balıklıgöl İstasyonu Alçak Gerilim Tesisatı ve Aydınlatma Sistemi (1 set)</t>
  </si>
  <si>
    <t xml:space="preserve">326</t>
  </si>
  <si>
    <t xml:space="preserve">Eyüp Peygamber İstasyonu Alçak Gerilim Tesisatı ve Aydınlatma Sistemi (1 set)</t>
  </si>
  <si>
    <t xml:space="preserve">327</t>
  </si>
  <si>
    <t xml:space="preserve">Rasathane İstasyonu Alçak Gerilim Tesisatı ve Aydınlatma Sistemi (1 set)</t>
  </si>
  <si>
    <t xml:space="preserve">328</t>
  </si>
  <si>
    <t xml:space="preserve">Harran İstasyonu Alçak Gerilim Tesisatı ve Aydınlatma Sistemi (1 set)</t>
  </si>
  <si>
    <t xml:space="preserve">329</t>
  </si>
  <si>
    <t xml:space="preserve">Depo Sahası ve Tesisleri Alçak Gerilim Tesisatı ve Aydınlatma Sistemi (1 set)</t>
  </si>
  <si>
    <t xml:space="preserve">330</t>
  </si>
  <si>
    <t xml:space="preserve">Depo Çevre AG Tesisatı ve Aydınlatma Sistemi (1 set)</t>
  </si>
  <si>
    <t xml:space="preserve">331</t>
  </si>
  <si>
    <t xml:space="preserve">Hat Trafo Binaları Alçak Gerilim Tesisatı ve Aydınlatma Sistemi (4 set)</t>
  </si>
  <si>
    <t xml:space="preserve">332</t>
  </si>
  <si>
    <t xml:space="preserve">Hatboyu Ag Tesisatı ve Aydınlatma Sistemi (1 set)</t>
  </si>
  <si>
    <t xml:space="preserve">333</t>
  </si>
  <si>
    <t xml:space="preserve">Yangın İhbar ve Kontrol Sistemi Tasarımı (1 set)</t>
  </si>
  <si>
    <t xml:space="preserve">334</t>
  </si>
  <si>
    <t xml:space="preserve">Göbekli Tepe İstasyonu Yangın İhbar ve Kontrol Sistemi (1 set)</t>
  </si>
  <si>
    <t xml:space="preserve">335</t>
  </si>
  <si>
    <t xml:space="preserve">Hızmalı Köprüsü İstasyonu Yangın İhbar ve Kontrol Sistemi (1 set)</t>
  </si>
  <si>
    <t xml:space="preserve">336</t>
  </si>
  <si>
    <t xml:space="preserve">Balıklıgöl İstasyonu Yangın İhbar ve Kontrol Sistemi (1 set)</t>
  </si>
  <si>
    <t xml:space="preserve">337</t>
  </si>
  <si>
    <t xml:space="preserve">Eyüp Peygamber İstasyonu Yangın İhbar ve Kontrol Sistemi (1 set)</t>
  </si>
  <si>
    <t xml:space="preserve">338</t>
  </si>
  <si>
    <t xml:space="preserve">Rasathane İstasyonu Yangın İhbar ve Kontrol Sistemi (1 set)</t>
  </si>
  <si>
    <t xml:space="preserve">339</t>
  </si>
  <si>
    <t xml:space="preserve">Harran İstasyonu Yangın İhbar ve Kontrol Sistemi (1 set)</t>
  </si>
  <si>
    <t xml:space="preserve">340</t>
  </si>
  <si>
    <t xml:space="preserve">Depo Sahası ve Tesisleri Yangın İhbar ve Kontrol Sistemi (1 set)</t>
  </si>
  <si>
    <t xml:space="preserve">341</t>
  </si>
  <si>
    <t xml:space="preserve">Hat Trafo Binaları Yangın İhbar ve Kontrol Sistemi (4 set)</t>
  </si>
  <si>
    <t xml:space="preserve">342</t>
  </si>
  <si>
    <t xml:space="preserve">Yangın İhbar ve Kontrol Sistemi Merkezi Donanımı&amp;Yazılımı (1 set)</t>
  </si>
  <si>
    <t xml:space="preserve">1 Elektrik – haberleşme/SCADA</t>
  </si>
  <si>
    <t xml:space="preserve">236</t>
  </si>
  <si>
    <t xml:space="preserve">İletim Sistemi Tasarımı (1 set)</t>
  </si>
  <si>
    <t xml:space="preserve">237</t>
  </si>
  <si>
    <t xml:space="preserve">Göbekli Tepe İstasyonu İletim Sistemi (1 set)</t>
  </si>
  <si>
    <t xml:space="preserve">238</t>
  </si>
  <si>
    <t xml:space="preserve">Hızmalı Köprüsü İstasyonu İletim Sistemi (1 set)</t>
  </si>
  <si>
    <t xml:space="preserve">239</t>
  </si>
  <si>
    <t xml:space="preserve">Balıklıgöl İstasyonu İletim Sistemi (1 set)</t>
  </si>
  <si>
    <t xml:space="preserve">240</t>
  </si>
  <si>
    <t xml:space="preserve">Eyüp Peygamber İstasyonu İletim Sistemi (1 set)</t>
  </si>
  <si>
    <t xml:space="preserve">241</t>
  </si>
  <si>
    <t xml:space="preserve">Rasathane İstasyonu İletim Sistemi (1 set)</t>
  </si>
  <si>
    <t xml:space="preserve">242</t>
  </si>
  <si>
    <t xml:space="preserve">Harran İstasyonu İletim Sistemi (1 set)</t>
  </si>
  <si>
    <t xml:space="preserve">243</t>
  </si>
  <si>
    <t xml:space="preserve">Depo Sahası ve Tesisleri İletim Sistemi (1 set)</t>
  </si>
  <si>
    <t xml:space="preserve">244</t>
  </si>
  <si>
    <t xml:space="preserve">Hat Trafo Binaları İletim Sistemi (4 set)</t>
  </si>
  <si>
    <t xml:space="preserve">245</t>
  </si>
  <si>
    <t xml:space="preserve">Hatboyu İletim Sistemi (1 set)</t>
  </si>
  <si>
    <t xml:space="preserve">246</t>
  </si>
  <si>
    <t xml:space="preserve">İletim Sistemi Merkezi Donanımı&amp;Yazılımı (1 set)</t>
  </si>
  <si>
    <t xml:space="preserve">247</t>
  </si>
  <si>
    <t xml:space="preserve">Hatboyu Fiberoptik Ağı (1 set)</t>
  </si>
  <si>
    <t xml:space="preserve">248</t>
  </si>
  <si>
    <t xml:space="preserve">Telefon Sistemi Tasarımı (1 set)</t>
  </si>
  <si>
    <t xml:space="preserve">249</t>
  </si>
  <si>
    <t xml:space="preserve">Göbekli Tepe İstasyonu Telefon Sistemi (1 set)</t>
  </si>
  <si>
    <t xml:space="preserve">250</t>
  </si>
  <si>
    <t xml:space="preserve">Hızmalı Köprüsü İstasyonu Telefon Sistemi (1 set)</t>
  </si>
  <si>
    <t xml:space="preserve">251</t>
  </si>
  <si>
    <t xml:space="preserve">Balıklıgöl İstasyonu Telefon Sistemi (1 set)</t>
  </si>
  <si>
    <t xml:space="preserve">252</t>
  </si>
  <si>
    <t xml:space="preserve">Eyüp Peygamber İstasyonu Telefon Sistemi (1 set)</t>
  </si>
  <si>
    <t xml:space="preserve">253</t>
  </si>
  <si>
    <t xml:space="preserve">Rasathane İstasyonu Telefon Sistemi (1 set)</t>
  </si>
  <si>
    <t xml:space="preserve">254</t>
  </si>
  <si>
    <t xml:space="preserve">Harran İstasyonu Telefon Sistemi (1 set)</t>
  </si>
  <si>
    <t xml:space="preserve">255</t>
  </si>
  <si>
    <t xml:space="preserve">Depo Sahası ve Tesisleri Telefon Sistemi (1 set)</t>
  </si>
  <si>
    <t xml:space="preserve">256</t>
  </si>
  <si>
    <t xml:space="preserve">Hat Trafo Binaları Telefon Sistemi (4 set)</t>
  </si>
  <si>
    <t xml:space="preserve">257</t>
  </si>
  <si>
    <t xml:space="preserve">Telefon Sistemi Merkezi Donanımı&amp;Yazılımı (1 set)</t>
  </si>
  <si>
    <t xml:space="preserve">258</t>
  </si>
  <si>
    <t xml:space="preserve">Telsiz Sistemi Tasarımı (1 set)</t>
  </si>
  <si>
    <t xml:space="preserve">259</t>
  </si>
  <si>
    <t xml:space="preserve">Hat Boyu Telsiz Sistemi (1 set)</t>
  </si>
  <si>
    <t xml:space="preserve">260</t>
  </si>
  <si>
    <t xml:space="preserve">Telsiz Sistemi Merkezi Donanımı&amp;Yazılımı (1 set)</t>
  </si>
  <si>
    <t xml:space="preserve">261</t>
  </si>
  <si>
    <t xml:space="preserve">Anons Sistemi Tasarımı (1 set)</t>
  </si>
  <si>
    <t xml:space="preserve">262</t>
  </si>
  <si>
    <t xml:space="preserve">Göbekli Tepe İstasyonu Anons Sistemi (1 set)</t>
  </si>
  <si>
    <t xml:space="preserve">263</t>
  </si>
  <si>
    <t xml:space="preserve">Hızmalı Köprüsü İstasyonu Anons Sistemi (1 set)</t>
  </si>
  <si>
    <t xml:space="preserve">264</t>
  </si>
  <si>
    <t xml:space="preserve">Balıklıgöl İstasyonu Anons Sistemi (1 set)</t>
  </si>
  <si>
    <t xml:space="preserve">265</t>
  </si>
  <si>
    <t xml:space="preserve">Eyüp Peygamber İstasyonu Anons Sistemi (1 set)</t>
  </si>
  <si>
    <t xml:space="preserve">266</t>
  </si>
  <si>
    <t xml:space="preserve">Rasathane İstasyonu Anons Sistemi (1 set)</t>
  </si>
  <si>
    <t xml:space="preserve">267</t>
  </si>
  <si>
    <t xml:space="preserve">Harran İstasyonu Anons Sistemi (1 set)</t>
  </si>
  <si>
    <t xml:space="preserve">268</t>
  </si>
  <si>
    <t xml:space="preserve">Depo Sahası ve Tesisleri Anons Sistemi (1 set)</t>
  </si>
  <si>
    <t xml:space="preserve">269</t>
  </si>
  <si>
    <t xml:space="preserve">Anons Sistemi Merkez Donanımı&amp;Yazılımı (1 set)</t>
  </si>
  <si>
    <t xml:space="preserve">270</t>
  </si>
  <si>
    <t xml:space="preserve">Kapalı Devre Televizyon Sistemi (CCTV) Tasarımı (1 set)</t>
  </si>
  <si>
    <t xml:space="preserve">271</t>
  </si>
  <si>
    <t xml:space="preserve">Göbekli Tepe İstasyonu Kapalı Devre Televizyon Sistemi (CCTV) (1 set)</t>
  </si>
  <si>
    <t xml:space="preserve">272</t>
  </si>
  <si>
    <t xml:space="preserve">Hızmalı Köprüsü İstasyonu Kapalı Devre Televizyon Sistemi (CCTV) (1 set)</t>
  </si>
  <si>
    <t xml:space="preserve">273</t>
  </si>
  <si>
    <t xml:space="preserve">Balıklıgöl İstasyonu Kapalı Devre Televizyon Sistemi (CCTV) (1 set)</t>
  </si>
  <si>
    <t xml:space="preserve">274</t>
  </si>
  <si>
    <t xml:space="preserve">Eyüp Peygamber İstasyonu Kapalı Devre Televizyon Sistemi (CCTV) (1 set)</t>
  </si>
  <si>
    <t xml:space="preserve">275</t>
  </si>
  <si>
    <t xml:space="preserve">Rasathane İstasyonu Kapalı Devre Televizyon Sistemi (CCTV) (1 set)</t>
  </si>
  <si>
    <t xml:space="preserve">276</t>
  </si>
  <si>
    <t xml:space="preserve">Harran İstasyonu Kapalı Devre Televizyon Sistemi (CCTV) (1 set)</t>
  </si>
  <si>
    <t xml:space="preserve">277</t>
  </si>
  <si>
    <t xml:space="preserve">Depo Sahası ve Tesisleri Kapalı Devre Televizyon Sistemi (CCTV) (1 set)</t>
  </si>
  <si>
    <t xml:space="preserve">278</t>
  </si>
  <si>
    <t xml:space="preserve">Hat Trafo Binaları Kapalı Devre Televizyon Sistemi (CCTV) (4 set)</t>
  </si>
  <si>
    <t xml:space="preserve">279</t>
  </si>
  <si>
    <t xml:space="preserve">Hatboyu CCTV Sistemi (1 set)</t>
  </si>
  <si>
    <t xml:space="preserve">280</t>
  </si>
  <si>
    <t xml:space="preserve">CCTV Sistemi Merkezi Donanımı ve Yazılımı (1 set)</t>
  </si>
  <si>
    <t xml:space="preserve">281</t>
  </si>
  <si>
    <t xml:space="preserve">Saat Sistemi Tasarımı (1 set)</t>
  </si>
  <si>
    <t xml:space="preserve">282</t>
  </si>
  <si>
    <t xml:space="preserve">Göbekli Tepe İstasyonu Saat Sistemi (1 set)</t>
  </si>
  <si>
    <t xml:space="preserve">283</t>
  </si>
  <si>
    <t xml:space="preserve">Hızmalı Köprüsü İstasyonu Saat Sistemi (1 set)</t>
  </si>
  <si>
    <t xml:space="preserve">284</t>
  </si>
  <si>
    <t xml:space="preserve">Balıklıgöl İstasyonu Saat Sistemi (1 set)</t>
  </si>
  <si>
    <t xml:space="preserve">285</t>
  </si>
  <si>
    <t xml:space="preserve">Eyüp Peygamber İstasyonu Saat Sistemi (1 set)</t>
  </si>
  <si>
    <t xml:space="preserve">286</t>
  </si>
  <si>
    <t xml:space="preserve">Rasathane İstasyonu Saat Sistemi (1 set)</t>
  </si>
  <si>
    <t xml:space="preserve">287</t>
  </si>
  <si>
    <t xml:space="preserve">Harran İstasyonu Saat Sistemi (1 set)</t>
  </si>
  <si>
    <t xml:space="preserve">288</t>
  </si>
  <si>
    <t xml:space="preserve">Depo Sahası ve Tesisleri Saat Sistemi (4 set)</t>
  </si>
  <si>
    <t xml:space="preserve">289</t>
  </si>
  <si>
    <t xml:space="preserve">Saat Sistemi Merkez Donanımı&amp;Yazılımı (1 set)</t>
  </si>
  <si>
    <t xml:space="preserve">290</t>
  </si>
  <si>
    <t xml:space="preserve">Erişim Kontrol Sistemi Tasarımı (1 set)</t>
  </si>
  <si>
    <t xml:space="preserve">291</t>
  </si>
  <si>
    <t xml:space="preserve">Göbekli Tepe İstasyonu Erişim Kontrol Sistemi (1 set)</t>
  </si>
  <si>
    <t xml:space="preserve">292</t>
  </si>
  <si>
    <t xml:space="preserve">Hızmalı Köprüsü İstasyonu Erişim Kontrol Sistemi (1 set)</t>
  </si>
  <si>
    <t xml:space="preserve">293</t>
  </si>
  <si>
    <t xml:space="preserve">Balıklıgöl İstasyonu Erişim Kontrol Sistemi (1 set)</t>
  </si>
  <si>
    <t xml:space="preserve">294</t>
  </si>
  <si>
    <t xml:space="preserve">Eyüp Peygamber İstasyonu Erişim Kontrol Sistemi (1 set)</t>
  </si>
  <si>
    <t xml:space="preserve">295</t>
  </si>
  <si>
    <t xml:space="preserve">Rasathane İstasyonu Erişim Kontrol Sistemi (1 set)</t>
  </si>
  <si>
    <t xml:space="preserve">296</t>
  </si>
  <si>
    <t xml:space="preserve">Harran İstasyonu Erişim Kontrol Sistemi (1 set)</t>
  </si>
  <si>
    <t xml:space="preserve">297</t>
  </si>
  <si>
    <t xml:space="preserve">Depo Sahası ve Tesisleri Erişim Kontrol Sistemi (1 set)</t>
  </si>
  <si>
    <t xml:space="preserve">298</t>
  </si>
  <si>
    <t xml:space="preserve">Hat Trafo Binaları Erişim Kontrol Sistemi (4 set)</t>
  </si>
  <si>
    <t xml:space="preserve">299</t>
  </si>
  <si>
    <t xml:space="preserve">Erişim Kontrol Sistemi Merkezi Donanımı ve Yazılımı (1 set)</t>
  </si>
  <si>
    <t xml:space="preserve">300</t>
  </si>
  <si>
    <t xml:space="preserve">Sistem Kontrol ve Veri Toplama Sistemi (SCADA) Tasarımı (1 set)</t>
  </si>
  <si>
    <t xml:space="preserve">301</t>
  </si>
  <si>
    <t xml:space="preserve">Göbekli Tepe İstasyonu Sistem Kontrol ve Veri Toplama Sistemi (SCADA) (1 set)</t>
  </si>
  <si>
    <t xml:space="preserve">302</t>
  </si>
  <si>
    <t xml:space="preserve">Hızmalı Köprüsü İstasyonu Sistem Kontrol ve Veri Toplama Sistemi (SCADA) (1 set)</t>
  </si>
  <si>
    <t xml:space="preserve">303</t>
  </si>
  <si>
    <t xml:space="preserve">Balıklıgöl İstasyonu Sistem Kontrol ve Veri Toplama Sistemi (SCADA) (1 set)</t>
  </si>
  <si>
    <t xml:space="preserve">304</t>
  </si>
  <si>
    <t xml:space="preserve">Eyüp Peygamber İstasyonu Sistem Kontrol ve Veri Toplama Sistemi (SCADA) (1 set)</t>
  </si>
  <si>
    <t xml:space="preserve">305</t>
  </si>
  <si>
    <t xml:space="preserve">Rasathane İstasyonu Sistem Kontrol ve Veri Toplama Sistemi (SCADA) (1 set)</t>
  </si>
  <si>
    <t xml:space="preserve">306</t>
  </si>
  <si>
    <t xml:space="preserve">Harran İstasyonu Sistem Kontrol ve Veri Toplama Sistemi (SCADA) (1 set)</t>
  </si>
  <si>
    <t xml:space="preserve">307</t>
  </si>
  <si>
    <t xml:space="preserve">Depo Sahası ve Tesisleri Sistem Kontrol ve Veri Toplama Sistemi (SCADA) (1 set)</t>
  </si>
  <si>
    <t xml:space="preserve">308</t>
  </si>
  <si>
    <t xml:space="preserve">Hat Trafo Binaları Sistem Kontrol ve Veri Toplama Sistemi (SCADA) (4 set)</t>
  </si>
  <si>
    <t xml:space="preserve">309</t>
  </si>
  <si>
    <t xml:space="preserve">Sistem Kontrol ve Veri Toplama Sistemi (SCADA) Merkezi Donanımı&amp;Yazılımı (1 set)</t>
  </si>
  <si>
    <t xml:space="preserve">310</t>
  </si>
  <si>
    <t xml:space="preserve">Yolcu Bilgilendirme Sistemi Tasarımı (1 set)</t>
  </si>
  <si>
    <t xml:space="preserve">311</t>
  </si>
  <si>
    <t xml:space="preserve">Göbekli Tepe İstasyonu Yolcu Bilgilendirme Sistemi (1 set)</t>
  </si>
  <si>
    <t xml:space="preserve">312</t>
  </si>
  <si>
    <t xml:space="preserve">Hızmalı Köprüsü İstasyonu Yolcu Bilgilendirme Sistemi (1 set)</t>
  </si>
  <si>
    <t xml:space="preserve">313</t>
  </si>
  <si>
    <t xml:space="preserve">Balıklıgöl İstasyonu Yolcu Bilgilendirme Sistemi (1 set)</t>
  </si>
  <si>
    <t xml:space="preserve">314</t>
  </si>
  <si>
    <t xml:space="preserve">Eyüp Peygamber İstasyonu Yolcu Bilgilendirme Sistemi (1 set)</t>
  </si>
  <si>
    <t xml:space="preserve">315</t>
  </si>
  <si>
    <t xml:space="preserve">Rasathane İstasyonu Yolcu Bilgilendirme Sistemi (1 set)</t>
  </si>
  <si>
    <t xml:space="preserve">316</t>
  </si>
  <si>
    <t xml:space="preserve">Harran İstasyonu Yolcu Bilgilendirme Sistemi (1 set)</t>
  </si>
  <si>
    <t xml:space="preserve">317</t>
  </si>
  <si>
    <t xml:space="preserve">Yolcu Bilgilendirme Sistemi Merkez Donanımı&amp;Yazılımı (1 set)</t>
  </si>
  <si>
    <t xml:space="preserve">318</t>
  </si>
  <si>
    <t xml:space="preserve">Yolcu Geçiş Kontrol (Ücret Toplama) Sistemi Tasarımı (1 set)</t>
  </si>
  <si>
    <t xml:space="preserve">319</t>
  </si>
  <si>
    <t xml:space="preserve">Yolcu Geçiş Kontrol (Ücret Toplama) Sistemi Giriş/Çıkış Turnikesi (27 adet)</t>
  </si>
  <si>
    <t xml:space="preserve">320</t>
  </si>
  <si>
    <t xml:space="preserve">Yolcu Geçiş Kontrol (Ücret Toplama) Sistemi Engelli Geçiş Turnikesi (Validatörlü) (19 adet)</t>
  </si>
  <si>
    <t xml:space="preserve">321</t>
  </si>
  <si>
    <t xml:space="preserve">Yolcu Geçiş Kontrol (Ücret Toplama) Sistemi İstasyonlar Donanımı ve Yazılımı (1 set)</t>
  </si>
  <si>
    <t xml:space="preserve">2 Mekanik</t>
  </si>
  <si>
    <t xml:space="preserve">159</t>
  </si>
  <si>
    <t xml:space="preserve">Harran İstasyonu Isıtma Soğutma Sistemi (1 set)</t>
  </si>
  <si>
    <t xml:space="preserve">160</t>
  </si>
  <si>
    <t xml:space="preserve">Rasathane İstasyonu Isıtma Soğutma Sistemi (1 set)</t>
  </si>
  <si>
    <t xml:space="preserve">161</t>
  </si>
  <si>
    <t xml:space="preserve">Eyüp Peygamber İstasyonu Isıtma Soğutma Sistemi (1 set)</t>
  </si>
  <si>
    <t xml:space="preserve">162</t>
  </si>
  <si>
    <t xml:space="preserve">Balıklıgöl İstasyonu Isıtma Soğutma Sistemi (1 set)</t>
  </si>
  <si>
    <t xml:space="preserve">163</t>
  </si>
  <si>
    <t xml:space="preserve">Hızmalı Köprüsü İstasyonu Isıtma Soğutma Sistemi (1 set)</t>
  </si>
  <si>
    <t xml:space="preserve">164</t>
  </si>
  <si>
    <t xml:space="preserve">Göbeklitepe İstasyonu Isıtma Soğutma Sistemi (1 set)</t>
  </si>
  <si>
    <t xml:space="preserve">165</t>
  </si>
  <si>
    <t xml:space="preserve">Trafo Binaları Isıtma Soğutma Sistemi (4 set)</t>
  </si>
  <si>
    <t xml:space="preserve">166</t>
  </si>
  <si>
    <t xml:space="preserve">Depo-Kontrol Binaları Isıtma Soğutma Sistemi (1 set)</t>
  </si>
  <si>
    <t xml:space="preserve">167</t>
  </si>
  <si>
    <t xml:space="preserve">Trafo Binaları Havalandırma Sistemi (4 set)</t>
  </si>
  <si>
    <t xml:space="preserve">168</t>
  </si>
  <si>
    <t xml:space="preserve">Depo-Kontrol Binaları Havalandırma Sistemi (1 set)</t>
  </si>
  <si>
    <t xml:space="preserve">343</t>
  </si>
  <si>
    <t xml:space="preserve">Harran İstasyonu Yangından Kor. ve Yangınla Mücadele Sistemi (1 set)</t>
  </si>
  <si>
    <t xml:space="preserve">344</t>
  </si>
  <si>
    <t xml:space="preserve">Rasathane İstasyonu Yangından Kor. ve Yangınla Mücadele Sistemi (1 set)</t>
  </si>
  <si>
    <t xml:space="preserve">345</t>
  </si>
  <si>
    <t xml:space="preserve">Eyüp Peygamber İstasyonu Yangından Kor. ve Yangınla Mücadele Sistemi (1 set)</t>
  </si>
  <si>
    <t xml:space="preserve">346</t>
  </si>
  <si>
    <t xml:space="preserve">Balıklıgöl İstasyonu Yangından Kor. ve Yangınla Mücadele Sistemi (1 set)</t>
  </si>
  <si>
    <t xml:space="preserve">347</t>
  </si>
  <si>
    <t xml:space="preserve">Hızmalı Köprüsü İstasyonu Yangından Kor. ve Yangınla Mücadele Sistemi (1 set)</t>
  </si>
  <si>
    <t xml:space="preserve">348</t>
  </si>
  <si>
    <t xml:space="preserve">Göbeklitepe İstasyonu Yangından Kor. ve Yangınla Mücadele Sistemi (1 set)</t>
  </si>
  <si>
    <t xml:space="preserve">349</t>
  </si>
  <si>
    <t xml:space="preserve">Trafo Binaları Yangından Kor. ve Yangınla Mücadele Sistemi (4 set)</t>
  </si>
  <si>
    <t xml:space="preserve">350</t>
  </si>
  <si>
    <t xml:space="preserve">Depo-Kontrol Binaları Yangından Kor. ve Yangınla Mücadele Sistemi (1 set)</t>
  </si>
  <si>
    <t xml:space="preserve">351</t>
  </si>
  <si>
    <t xml:space="preserve">Harran İstasyonu Drenaj Sistemi (1 set)</t>
  </si>
  <si>
    <t xml:space="preserve">352</t>
  </si>
  <si>
    <t xml:space="preserve">Rasathane İstasyonu Drenaj Sistemi (1 set)</t>
  </si>
  <si>
    <t xml:space="preserve">353</t>
  </si>
  <si>
    <t xml:space="preserve">Eyüp Peygamber İstasyonu Drenaj Sistemi (1 set)</t>
  </si>
  <si>
    <t xml:space="preserve">354</t>
  </si>
  <si>
    <t xml:space="preserve">Balıklıgöl İstasyonu Drenaj Sistemi (1 set)</t>
  </si>
  <si>
    <t xml:space="preserve">355</t>
  </si>
  <si>
    <t xml:space="preserve">Hızmalı Köprüsü İstasyonu Drenaj Sistemi (1 set)</t>
  </si>
  <si>
    <t xml:space="preserve">356</t>
  </si>
  <si>
    <t xml:space="preserve">Göbeklitepe İstasyonu Drenaj Sistemi (1 set)</t>
  </si>
  <si>
    <t xml:space="preserve">357</t>
  </si>
  <si>
    <t xml:space="preserve">Trafo Binaları Drenaj Sistemi (4 set)</t>
  </si>
  <si>
    <t xml:space="preserve">358</t>
  </si>
  <si>
    <t xml:space="preserve">Depo-Kontrol Binaları Drenaj Sistemi (1 set)</t>
  </si>
  <si>
    <t xml:space="preserve">359</t>
  </si>
  <si>
    <t xml:space="preserve">Yaya Üst Geçidi Drenaj Sistemi (4 set)</t>
  </si>
  <si>
    <t xml:space="preserve">360</t>
  </si>
  <si>
    <t xml:space="preserve">Depo-Kontrol Binaları Kullanım Suyu ve Sıhhi Tesisat Sistemi (1 set)</t>
  </si>
  <si>
    <t xml:space="preserve">361</t>
  </si>
  <si>
    <t xml:space="preserve">Depo-Kontrol Binaları Kanalizasyon Sistemi (1 set)</t>
  </si>
  <si>
    <t xml:space="preserve">362</t>
  </si>
  <si>
    <t xml:space="preserve">Depo-Kontrol Binaları Basınçlı Hava Sistemi (1 set)</t>
  </si>
  <si>
    <t xml:space="preserve">363</t>
  </si>
  <si>
    <t xml:space="preserve">Depo-Kontrol Binaları Basınçlı Hava Sistemi Tasarımı (1 set)</t>
  </si>
  <si>
    <t xml:space="preserve">3 Asansör</t>
  </si>
  <si>
    <t xml:space="preserve">364</t>
  </si>
  <si>
    <t xml:space="preserve">2 Duraklı 13 Kişilik Asansör (12 adet – 4 üst geçit × 3)</t>
  </si>
  <si>
    <t xml:space="preserve">365</t>
  </si>
  <si>
    <t xml:space="preserve">2 Duraklı 10 Kişilik 800 kg Asansör (D01 idari bina)</t>
  </si>
  <si>
    <t xml:space="preserve">4 Sinyalizasyon</t>
  </si>
  <si>
    <t xml:space="preserve">228</t>
  </si>
  <si>
    <t xml:space="preserve">Sinyalizasyon Sistemi Tasarımı</t>
  </si>
  <si>
    <t xml:space="preserve">229</t>
  </si>
  <si>
    <t xml:space="preserve">Hat Boyu Sinyalizasyon Sistemi</t>
  </si>
  <si>
    <t xml:space="preserve">230</t>
  </si>
  <si>
    <t xml:space="preserve">Depo Sahası ve Tesisleri Sinyalizasyon Sistemi</t>
  </si>
  <si>
    <t xml:space="preserve">231</t>
  </si>
  <si>
    <t xml:space="preserve">Araç Üstü Sinyalizasyon Sistemi</t>
  </si>
  <si>
    <t xml:space="preserve">232</t>
  </si>
  <si>
    <t xml:space="preserve">Sinyalizasyon Merkez Donanımı &amp; Sistem Yazılımları</t>
  </si>
  <si>
    <t xml:space="preserve">233</t>
  </si>
  <si>
    <t xml:space="preserve">Araç Takip Sistemi (AVLS) – araç üstü ve saha</t>
  </si>
  <si>
    <t xml:space="preserve">234</t>
  </si>
  <si>
    <t xml:space="preserve">Tramvay Araç Takip Sistemi Merkezi Donanımı ve Yazılımı</t>
  </si>
  <si>
    <t xml:space="preserve">235</t>
  </si>
  <si>
    <t xml:space="preserve">Araç Takip Sistemi Tasarımı</t>
  </si>
  <si>
    <t xml:space="preserve">5 Elektrifikasyon – güç temini/cer</t>
  </si>
  <si>
    <t xml:space="preserve">169</t>
  </si>
  <si>
    <t xml:space="preserve">Güç Temini ve Cer Gücü Tasarımı</t>
  </si>
  <si>
    <t xml:space="preserve">170</t>
  </si>
  <si>
    <t xml:space="preserve">OG Ring Şebekesi 3×1×240/25 mm² 20,3/35 kV Al XLPE</t>
  </si>
  <si>
    <t xml:space="preserve">171</t>
  </si>
  <si>
    <t xml:space="preserve">TEİAŞ Bağlantısı 2×4×(1×400+35) mm² 20,3/35 kV – transe dahil</t>
  </si>
  <si>
    <t xml:space="preserve">172</t>
  </si>
  <si>
    <t xml:space="preserve">Enerji Kalitesi ve Yönetimi Sistemi</t>
  </si>
  <si>
    <t xml:space="preserve">173</t>
  </si>
  <si>
    <t xml:space="preserve">Ring Giriş/Çıkış 34,5 kV Şalt Panosu (12 hücre)</t>
  </si>
  <si>
    <t xml:space="preserve">174</t>
  </si>
  <si>
    <t xml:space="preserve">Cer Trafo Besleme 34,5 kV Şalt Panosu (5 hücre)</t>
  </si>
  <si>
    <t xml:space="preserve">175</t>
  </si>
  <si>
    <t xml:space="preserve">İç İhtiyaç Trafo Besleme 34,5 kV Şalt Panosu (6 hücre)</t>
  </si>
  <si>
    <t xml:space="preserve">176</t>
  </si>
  <si>
    <t xml:space="preserve">Ölçü 34,5 kV Şalt Panosu</t>
  </si>
  <si>
    <t xml:space="preserve">177</t>
  </si>
  <si>
    <t xml:space="preserve">TEİAŞ Giriş 34,5 kV Şalt Panosu (mevcut TM-4'te fider ilavesi)</t>
  </si>
  <si>
    <t xml:space="preserve">178</t>
  </si>
  <si>
    <t xml:space="preserve">Hat TM İç İhtiyaç Trafosu 250 kVA (4 adet)</t>
  </si>
  <si>
    <t xml:space="preserve">179</t>
  </si>
  <si>
    <t xml:space="preserve">Depo TM İç İhtiyaç Trafosu 2000 kVA (2 adet)</t>
  </si>
  <si>
    <t xml:space="preserve">187</t>
  </si>
  <si>
    <t xml:space="preserve">Hat Trafo Binaları AG Ana Dağıtım Panoları (4 set)</t>
  </si>
  <si>
    <t xml:space="preserve">188</t>
  </si>
  <si>
    <t xml:space="preserve">Hat TM Cer Merkezi – 1×2,75 MVA (4 adet)</t>
  </si>
  <si>
    <t xml:space="preserve">189</t>
  </si>
  <si>
    <t xml:space="preserve">Depo TM Cer Merkezi – 1×2,75 MVA (1 adet)</t>
  </si>
  <si>
    <t xml:space="preserve">197</t>
  </si>
  <si>
    <t xml:space="preserve">Hat Trafo Binaları Topraklama Tesisatı (4 set)</t>
  </si>
  <si>
    <t xml:space="preserve">200</t>
  </si>
  <si>
    <t xml:space="preserve">Hat TM 110 V DC Akü-Şarj (4 set)</t>
  </si>
  <si>
    <t xml:space="preserve">201</t>
  </si>
  <si>
    <t xml:space="preserve">Depo TM 110 V DC Akü-Şarj (1 set)</t>
  </si>
  <si>
    <t xml:space="preserve">202-208</t>
  </si>
  <si>
    <t xml:space="preserve">İstasyon (6) ve Depo Kaçak Akım İzleme / Korozyon Kontrolü</t>
  </si>
  <si>
    <t xml:space="preserve">209</t>
  </si>
  <si>
    <t xml:space="preserve">Hat TM Kaçak Akım İzleme (4 set)</t>
  </si>
  <si>
    <t xml:space="preserve">210</t>
  </si>
  <si>
    <t xml:space="preserve">Hatboyu ve Üst Geçit Kaçak Akım İzleme / Korozyon Kontrolü</t>
  </si>
  <si>
    <t xml:space="preserve">219</t>
  </si>
  <si>
    <t xml:space="preserve">Hat Trafo Binaları AG Kabloları ve Kablo Taşıma (4 set)</t>
  </si>
  <si>
    <t xml:space="preserve">227</t>
  </si>
  <si>
    <t xml:space="preserve">Depo Trafo Binası Busbar (kablo bağlantısı)</t>
  </si>
  <si>
    <t xml:space="preserve">5 Elektrifikasyon – katener</t>
  </si>
  <si>
    <t xml:space="preserve">220</t>
  </si>
  <si>
    <t xml:space="preserve">Hat Boyu ve Depo Bağlantı Hatları Katener Sistemi</t>
  </si>
  <si>
    <t xml:space="preserve">221</t>
  </si>
  <si>
    <t xml:space="preserve">Depo Sahası ve Tesisleri Katener Sistemi</t>
  </si>
  <si>
    <t xml:space="preserve">222</t>
  </si>
  <si>
    <t xml:space="preserve">T1-A Tipi Katener Direği (114 adet)</t>
  </si>
  <si>
    <t xml:space="preserve">223</t>
  </si>
  <si>
    <t xml:space="preserve">T2-B Tipi Katener Direği (17 adet)</t>
  </si>
  <si>
    <t xml:space="preserve">224</t>
  </si>
  <si>
    <t xml:space="preserve">T2-B1 Tipi Katener Direği (4 adet)</t>
  </si>
  <si>
    <t xml:space="preserve">225</t>
  </si>
  <si>
    <t xml:space="preserve">T3-D Tipi Katener Direği (33 adet)</t>
  </si>
  <si>
    <t xml:space="preserve">226</t>
  </si>
  <si>
    <t xml:space="preserve">T3-C Tipi Katener Direği (60 adet)</t>
  </si>
  <si>
    <t xml:space="preserve">NOTLAR</t>
  </si>
  <si>
    <t xml:space="preserve">1. Kalem bazlı bütçe: RFQ cetvellerindeki alt kalemler × birim fiyat. Birim fiyat önceliği: 2026 teklifi &gt; geçmiş teklif referansı (EM_Butce_Tahmini, HICP ile Ağu-2026'ya taşınmış, tramvay/LRT öncelikli) &gt; mühendislik tahmini. Her satırda kaynak yazılıdır.</t>
  </si>
  <si>
    <t xml:space="preserve">2. İdare cevaplarına göre düzeltmeler Idare_Duzeltme sayfasında; değişen miktarlar disiplin sayfalarında turuncu işaretlidir. 'RFQ miktarlarıyla' sütunu aynı birim fiyatlarla düzeltmesiz tutarı gösterir.</t>
  </si>
  <si>
    <t xml:space="preserve">3. Risk payı, eksik teklif ve öngörü miktarları için Varsayımlar sayfasından değiştirilebilir. Önerilen bütçe = kalem bazlı × (1 + risk payı).</t>
  </si>
  <si>
    <t xml:space="preserve">4. Kapsam dışı: katener direk temelleri (sıra 13, inşaat), depo ekipmanları (vinç, lift, katener bakım aracı – yüklenici), modüler kabinler ve kabin splitleri (sıra 143), asansör kuyusu; yürüyen merdiven ihalede yok. Kavşak TSKP/trafik lambaları kapsam dışı.</t>
  </si>
  <si>
    <t xml:space="preserve">5. Sinyalizasyonda ayrı proje yoktur; miktarlar şematik paftalardan öngörülmüştür. Point Link/CASCO teklifi (7.281.784 € DAP, gümrük ve KDV hariç) kalem dökümü alınana kadar yalnız üst sınır göstergesidir.</t>
  </si>
  <si>
    <t xml:space="preserve">6. Kur: EUR/USD ve EUR/TRY Varsayımlar sayfasındadır (Eylül 2026 sonu piyasa değerleri); teklif günü kuruyla güncellenmelidir.</t>
  </si>
  <si>
    <t xml:space="preserve">7. Gelen yeni teklifler (Mitaş, Erbakır, DeSA, Best Transformer, Contirail vb.) ilgili satırın birim fiyatına yazılarak bütçe güncellenebilir.</t>
  </si>
  <si>
    <t xml:space="preserve">BİRİM FİYATLAR NASIL BELİRLENDİ? – YÖNTEM VE İZLENEBİLİRLİK</t>
  </si>
  <si>
    <t xml:space="preserve">Bu bütçedeki her kalem, cetveldeki miktarı ve izlenebilir bir fiyat kaynağıyla birlikte verilmiştir. Aşağıda fiyatların hangi veriden, hangi kurallarla ve hangi düzeltmelerle türetildiği adım adım açıklanmıştır.</t>
  </si>
  <si>
    <t xml:space="preserve">1. FİYAT ÖNCELİK SIRASI (her kalem için bu sırayla)</t>
  </si>
  <si>
    <t xml:space="preserve">Öncelik</t>
  </si>
  <si>
    <t xml:space="preserve">Renk</t>
  </si>
  <si>
    <t xml:space="preserve">2026 TEKLİF</t>
  </si>
  <si>
    <t xml:space="preserve">Bu ihale için 29.09–06.10.2026 arasında alınan firma teklifleri (Schindler, TK Elevator, Emlift, Mukan Rail, ON Elektronik). Teklif kalem fiyatı doğrudan kullanılır.</t>
  </si>
  <si>
    <t xml:space="preserve">Yeşil</t>
  </si>
  <si>
    <t xml:space="preserve">GEÇMİŞ TEKLİF UYARLAMA</t>
  </si>
  <si>
    <t xml:space="preserve">Aynı tip/boyutta ekipman için geçmiş raylı sistem projelerinde alınmış gerçek teklifler (emsal). Kur ve enflasyonla 2026'ya taşınır; gerekirse montaj/boyut düzeltmesi yapılır.</t>
  </si>
  <si>
    <t xml:space="preserve">Mavi</t>
  </si>
  <si>
    <t xml:space="preserve">MÜHENDİSLİK TAHMİNİ</t>
  </si>
  <si>
    <t xml:space="preserve">Veritabanında karşılaştırılabilir emsal bulunmayan kalemler (tasarım, test, yazılım, inşaat payları vb.). 2026 Türkiye piyasa bilgisiyle tahmin edilir; her satırda gerekçe yazılıdır.</t>
  </si>
  <si>
    <t xml:space="preserve">Sarı</t>
  </si>
  <si>
    <t xml:space="preserve">–</t>
  </si>
  <si>
    <t xml:space="preserve">KAPSAM DIŞI (0)</t>
  </si>
  <si>
    <t xml:space="preserve">İdare cevaplarıyla (05.10.2026) kapsam dışı kalan kalemler; miktar 0, bilgi için satırda bırakılmıştır.</t>
  </si>
  <si>
    <t xml:space="preserve">Gri</t>
  </si>
  <si>
    <t xml:space="preserve">2. GEÇMİŞ TEKLİF VERİTABANI</t>
  </si>
  <si>
    <t xml:space="preserve">Kaynak: MEP Center proje arşivindeki raylı sistem projelerinin 'MALIYET / GELEN_TEKLIF' klasörlerinde bulunan tedarikçi teklifleri. Tekliflerdeki fiyat satırları tek tek okunmuş, her satır kaynak dosya yolu, firma, tarih, para birimi ve kapsamıyla (malzeme / malzeme+montaj) kaydedilmiştir.</t>
  </si>
  <si>
    <t xml:space="preserve">Gösterge</t>
  </si>
  <si>
    <t xml:space="preserve">Veritabanı (tümü)</t>
  </si>
  <si>
    <t xml:space="preserve">Bu bütçede kullanılan emsaller</t>
  </si>
  <si>
    <t xml:space="preserve">Fiyat satırı</t>
  </si>
  <si>
    <t xml:space="preserve">Proje</t>
  </si>
  <si>
    <t xml:space="preserve">Teklif yılları</t>
  </si>
  <si>
    <t xml:space="preserve">2008 – 2025</t>
  </si>
  <si>
    <t xml:space="preserve">ağırlıkla 2014 – 2025</t>
  </si>
  <si>
    <t xml:space="preserve">Tramvay / LRT satırı</t>
  </si>
  <si>
    <t xml:space="preserve">Metro satırı</t>
  </si>
  <si>
    <t xml:space="preserve">Diğer (YHT, banliyö, anahat, bina)</t>
  </si>
  <si>
    <t xml:space="preserve">Başlıca tramvay/LRT referansları: Bursa T2 Kent Meydanı–Terminal (Haluk, MET, AKE, Delta, FER, AKT), İzmir Konak/Karşıyaka tramvayı (Siemens, Usluel, Hanning &amp; Kahl, CONTEC, Aktif, Netaş), Kocaeli tramvayı (Sekaray, Özgür Mak., Uluhanlar), Konya Alaaddin–Adliye (Hanning &amp; Kahl, ABB), Eminönü–Alibeyköy (Elektroline), Samsun LRT (Usluel, Balfour Beatty, Uskom). Metro referansları (İzmir Buca, Narlıdere, Kabataş–Mahmutbey, Kirazlı–Halkalı vb.) yalnız tramvay emsali yoksa ve ölçek düzeltmesiyle kullanılmıştır.</t>
  </si>
  <si>
    <t xml:space="preserve">3. FİYATI 2026'YA TAŞIMA ZİNCİRİ</t>
  </si>
  <si>
    <t xml:space="preserve">Adım</t>
  </si>
  <si>
    <t xml:space="preserve">İşlem</t>
  </si>
  <si>
    <t xml:space="preserve">Kaynak</t>
  </si>
  <si>
    <t xml:space="preserve">1</t>
  </si>
  <si>
    <t xml:space="preserve">Orijinal birim fiyat (teklifteki para birimi ile)</t>
  </si>
  <si>
    <t xml:space="preserve">2</t>
  </si>
  <si>
    <t xml:space="preserve">EUR'ya çevirme: Fiyat ÷ teklif günündeki kur (TRY, USD → EUR)</t>
  </si>
  <si>
    <t xml:space="preserve">3</t>
  </si>
  <si>
    <t xml:space="preserve">Enflasyon eskalasyonu: × HICP(Ağu-2026) ÷ HICP(teklif ayı)</t>
  </si>
  <si>
    <t xml:space="preserve">4</t>
  </si>
  <si>
    <t xml:space="preserve">Kapsam düzeltmesi: yalnız malzeme ise montaj payı eklenir</t>
  </si>
  <si>
    <t xml:space="preserve">5</t>
  </si>
  <si>
    <t xml:space="preserve">Boyut/teknoloji düzeltmesi (kVA, kW, kesit, yaş)</t>
  </si>
  <si>
    <t xml:space="preserve">6</t>
  </si>
  <si>
    <t xml:space="preserve">Emsallerin medyanı alınır (≥2 emsal); tek emsalde mevcut tahminle %50 harmanlanır</t>
  </si>
  <si>
    <t xml:space="preserve">4. ÖRNEK HESAPLAR (canlı formül – hücreleri değiştirerek kontrol edilebilir)</t>
  </si>
  <si>
    <t xml:space="preserve">Emsal (ID – proje – firma – tarih)</t>
  </si>
  <si>
    <t xml:space="preserve">Orijinal fiyat</t>
  </si>
  <si>
    <t xml:space="preserve">Para birimi</t>
  </si>
  <si>
    <t xml:space="preserve">Kur (1 EUR =)</t>
  </si>
  <si>
    <t xml:space="preserve">EUR (teklif günü)</t>
  </si>
  <si>
    <t xml:space="preserve">HICP teklif ayı</t>
  </si>
  <si>
    <t xml:space="preserve">HICP Ağu-2026</t>
  </si>
  <si>
    <t xml:space="preserve">Eskalasyon katsayısı</t>
  </si>
  <si>
    <t xml:space="preserve">EUR Ağu-2026</t>
  </si>
  <si>
    <t xml:space="preserve">Bütçe BF €</t>
  </si>
  <si>
    <t xml:space="preserve">DC fider hücresi HSCB (Cer_Guc 188)</t>
  </si>
  <si>
    <t xml:space="preserve">R00877 – Bursa T2 Kent Meydanı–Terminal – Haluk Elektrik – 04.06.2015</t>
  </si>
  <si>
    <t xml:space="preserve">TRY</t>
  </si>
  <si>
    <t xml:space="preserve">Haluk 44.641 / MET 43.769 / Kocaeli 74.194 → medyan 44.641 €</t>
  </si>
  <si>
    <t xml:space="preserve">Depo elektrikli makas motoru (Sinyal 230)</t>
  </si>
  <si>
    <t xml:space="preserve">R06521 – İzmir Konak tramvayı – Hanning &amp; Kahl – 11.02.2014</t>
  </si>
  <si>
    <t xml:space="preserve">H&amp;K 14.713 / CONTEC 15.090 / Elektroline 9.121 → medyan 14.713 + %8 montaj = 15.890 €</t>
  </si>
  <si>
    <t xml:space="preserve">OG kablo 1×400 Al 36 kV (Cer_Guc 171)</t>
  </si>
  <si>
    <t xml:space="preserve">R00678 – İzmir Üçyol–Buca metrosu – Türk Prysmian – 03.05.2021</t>
  </si>
  <si>
    <t xml:space="preserve">Prysmian 14,90 + 2 € çekme; Haluk 17,29; MET 19,14 → medyan 17,29 €/m</t>
  </si>
  <si>
    <t xml:space="preserve">Örnek: Haluk'un 2015'teki 102.250 TL'lik DC fider hücresi, teklif günü kuru 3,0377 ile 33.660 €; Euro Bölgesi enflasyonu ile (×1,3262) Ağustos 2026'da 44.641 € eder. Aynı kalem için başka bağımsız tekliflerle birlikte medyan alınır; tek bir teklif bütçeyi belirlemez.</t>
  </si>
  <si>
    <t xml:space="preserve">5. DÜZELTME KURALLARI</t>
  </si>
  <si>
    <t xml:space="preserve">Durum</t>
  </si>
  <si>
    <t xml:space="preserve">Uygulanan düzeltme</t>
  </si>
  <si>
    <t xml:space="preserve">Gerekçe</t>
  </si>
  <si>
    <t xml:space="preserve">Emsal yalnız malzeme (montaj hariç)</t>
  </si>
  <si>
    <t xml:space="preserve">Kablo +%25–35 · tava +%40 · armatür/dedektör +%30 · ekipman +%8–20 · elektronik +%5–15</t>
  </si>
  <si>
    <t xml:space="preserve">Farklı güç/boyut</t>
  </si>
  <si>
    <t xml:space="preserve">Trafo kVA^0,6 · VRF kW^0,8 · kompresör debi^0,7 · kablo kesit/bakır ağırlığı oranı</t>
  </si>
  <si>
    <t xml:space="preserve">Eski elektronik (CCTV, IT, sunucu)</t>
  </si>
  <si>
    <t xml:space="preserve">2014 öncesi ×0,4–0,5 · 2015 ×0,85</t>
  </si>
  <si>
    <t xml:space="preserve">Bakır yoğun kalemler (2012–2015 emsal)</t>
  </si>
  <si>
    <t xml:space="preserve">+%15–30</t>
  </si>
  <si>
    <t xml:space="preserve">Metro (1500 V DC, yeraltı) emsali</t>
  </si>
  <si>
    <t xml:space="preserve">Ölçek ve gerilim düzeltmesi, ancak tramvay emsali yoksa</t>
  </si>
  <si>
    <t xml:space="preserve">Tek emsal</t>
  </si>
  <si>
    <t xml:space="preserve">Mevcut tahminle %50 harman ('REF-derin(1)')</t>
  </si>
  <si>
    <t xml:space="preserve">İç maliyet / keşif (İDİS, MET keşfi vb.)</t>
  </si>
  <si>
    <t xml:space="preserve">Düşük ağırlık; gerçek tedarikçi teklifi varsa kullanılmaz</t>
  </si>
  <si>
    <t xml:space="preserve">6. MİKTARLAR</t>
  </si>
  <si>
    <t xml:space="preserve">Miktarlar idarenin birim fiyat cetveli, ihale projeleri ve şartnamelerden çıkarılan RFQ (teklif talebi) cetvellerinden alınmıştır. Tedarikçilere gönderilen cetvellerde bilinçli olarak yukarıdan tutulan metraj payları (uzunluklarda %10 fire; Mekanik/Elektrik set alt kalemlerinde dağıtık malzemeye %30) bu bütçede geri alınmıştır (Varsayımlar'da açılıp kapatılabilir). İdarenin 05.10.2026 tarihli açıklama cevapları uygulanmıştır (Idare_Duzeltme sayfası): 14 araç, tüm makaslar motorlu, ana hatta lente yok, kavşak TSKP kapsam dışı, hat 6,44 km, OG ring 7.964 m, fiber 24/8 core SM, istasyon UPS 20 dk vb.</t>
  </si>
  <si>
    <t xml:space="preserve">7. KONTROLLER</t>
  </si>
  <si>
    <t xml:space="preserve">• Her kalem tek tek eşleştirilmiş; emsal ID'leri ilgili satırın 'Fiyat kaynağı / emsal' sütununda ve Emsal_Kaynaklari sayfasında yer alır.  • Disiplin toplamları sistem bazlı ölçütlerle (hat-km, makas başı, TM başı) karşılaştırılmıştır (Ozet ve Teklifler).  • Gelen 2026 teklifleri bütçe karşılığıyla kıyaslanmıştır (Teklif_Degerlendirme): Asansör ±%16, AVLS +%3, saat/YBS ±%6 içinde.  • Tüm tutarlar formüllüdür; kur, risk payı ve metraj payı Varsayimlar sayfasından değiştirilebilir.</t>
  </si>
  <si>
    <t xml:space="preserve">8. SINIRLAMALAR</t>
  </si>
  <si>
    <t xml:space="preserve">Emsal bulunamayan kalemler (toplamın ~%20'si) mühendislik tahminidir; tedarikçi teklifleri geldikçe bu kalemler teklif fiyatına dönüştürülecektir. Euro Bölgesi enflasyonu Türkiye'deki yerel işçilik maliyet artışını tam yansıtmayabilir. Fiyatlar KDV, gümrük ve bakım hariçtir.</t>
  </si>
  <si>
    <t xml:space="preserve">GELEN TEKLİFLERİN DEĞERLENDİRMESİ (06.10.2026 itibarıyla okunabilen teklifler)</t>
  </si>
  <si>
    <t xml:space="preserve">Tutarlar KDV hariç. EUR karşılığı Varsayımlar sayfasındaki kurla. 'Bütçe karşılığı' = aynı kapsam için bu çalışmadaki kalem bazlı tutar (net metraj, idare cevaplarına göre). Fark = teklif / bütçe − 1.</t>
  </si>
  <si>
    <t xml:space="preserve">Tarih</t>
  </si>
  <si>
    <t xml:space="preserve">Kapsam (cetvel sıra)</t>
  </si>
  <si>
    <t xml:space="preserve">Teklif tutarı</t>
  </si>
  <si>
    <t xml:space="preserve">PB</t>
  </si>
  <si>
    <t xml:space="preserve">Teklif EUR</t>
  </si>
  <si>
    <t xml:space="preserve">Bütçe karşılığı EUR</t>
  </si>
  <si>
    <t xml:space="preserve">Fark %</t>
  </si>
  <si>
    <t xml:space="preserve">Birim fiyat (EUR)</t>
  </si>
  <si>
    <t xml:space="preserve">Teknik uygunluk / sapmalar</t>
  </si>
  <si>
    <t xml:space="preserve">Ticari şartlar</t>
  </si>
  <si>
    <t xml:space="preserve">Bütçede kullanımı</t>
  </si>
  <si>
    <t xml:space="preserve">Değerlendirme</t>
  </si>
  <si>
    <t xml:space="preserve">Asansör</t>
  </si>
  <si>
    <t xml:space="preserve">Schindler Türkeli</t>
  </si>
  <si>
    <t xml:space="preserve">01.10.2026</t>
  </si>
  <si>
    <t xml:space="preserve">364–365 (13 asansör)</t>
  </si>
  <si>
    <t xml:space="preserve">1000 kg: 37.000 USD; 800 kg: 36.000 USD</t>
  </si>
  <si>
    <t xml:space="preserve">Şartnameye uygun beyan; bakım hariç</t>
  </si>
  <si>
    <t xml:space="preserve">Geçerlilik/ödeme Excel'de belirtilmemiş</t>
  </si>
  <si>
    <t xml:space="preserve">Medyan hesabına dahil</t>
  </si>
  <si>
    <t xml:space="preserve">En yüksek teklif; kapsam tam</t>
  </si>
  <si>
    <t xml:space="preserve">TK Elevator</t>
  </si>
  <si>
    <t xml:space="preserve">02.10.2026</t>
  </si>
  <si>
    <t xml:space="preserve">1000 kg: 32.000 (24.000 malz.+8.000 işç.); 800 kg: 30.200</t>
  </si>
  <si>
    <t xml:space="preserve">Antivandal CAT-2, dış ortam; kapı 900×2000 (talep 1100×2100); seyir 6 m (proje ~7,46 m)</t>
  </si>
  <si>
    <t xml:space="preserve">Geçerlilik 30 gün (talep 180); ödeme %50/%40/%10; teslim 8 ay; çelik işleri hariç; bakım 120 €/ay/adet</t>
  </si>
  <si>
    <t xml:space="preserve">Medyan = TK birim fiyatı (bütçe esası)</t>
  </si>
  <si>
    <t xml:space="preserve">Teknik olarak en uygun; geçerlilik süresi uzatılmalı, kapı ölçüsü teyit</t>
  </si>
  <si>
    <t xml:space="preserve">Emlift</t>
  </si>
  <si>
    <t xml:space="preserve">05.10.2026</t>
  </si>
  <si>
    <t xml:space="preserve">1.500.000 TL/adet (≈26.700 €)</t>
  </si>
  <si>
    <t xml:space="preserve">Teknik föy başka işten kopya (15 m seyir, 135×145 kabin); antivandal/dış ortam yok; kapı 900×2000</t>
  </si>
  <si>
    <t xml:space="preserve">Geçerlilik ve ödeme şartı yok; kuyu aydınlatma, topraklama, MMO/belediye harçları hariç</t>
  </si>
  <si>
    <t xml:space="preserve">Medyan hesabına dahil (alt sınır)</t>
  </si>
  <si>
    <t xml:space="preserve">En düşük ama şartname sapmalı; teknik föy yenilenmeli</t>
  </si>
  <si>
    <t xml:space="preserve">Sinyalizasyon – AVLS</t>
  </si>
  <si>
    <t xml:space="preserve">Mukan Rail</t>
  </si>
  <si>
    <t xml:space="preserve">06.10.2026</t>
  </si>
  <si>
    <t xml:space="preserve">233–235 (araç takip)</t>
  </si>
  <si>
    <t xml:space="preserve">Araç başı 21.300; merkez 314.500 (yazılım+lisans 172.500); tasarım 154.000</t>
  </si>
  <si>
    <t xml:space="preserve">11 soruya verilen varsayımlar esas; 2 sunucu + NAS; konum güncelleme ≤3 sn</t>
  </si>
  <si>
    <t xml:space="preserve">Bütçesel; 180 gün; %20 avans/%70 hakediş/%10 kabul; kabin, UPS, omurga, işletme SIM, yedek parça hariç</t>
  </si>
  <si>
    <t xml:space="preserve">Bütçeye işlendi (233: 14 araç)</t>
  </si>
  <si>
    <t xml:space="preserve">Tek teklif; H&amp;K İzmir referansının ~2 katı – pazarlık payı var</t>
  </si>
  <si>
    <t xml:space="preserve">Elektrik – saat sistemi</t>
  </si>
  <si>
    <t xml:space="preserve">ON Elektronik (RayON)</t>
  </si>
  <si>
    <t xml:space="preserve">281–289 (MSS)</t>
  </si>
  <si>
    <t xml:space="preserve">Peron saati 3.000; master saat (Mobatime) 4.500; duvar saati 850–1.500</t>
  </si>
  <si>
    <t xml:space="preserve">Üretici; şartnameye uygun beyan</t>
  </si>
  <si>
    <t xml:space="preserve">Kablolar ana yüklenicide (bütçede ayrıca var); geçerlilik belirtilmemiş</t>
  </si>
  <si>
    <t xml:space="preserve">Kalem kalem bütçeye işlendi</t>
  </si>
  <si>
    <t xml:space="preserve">Mevcut depo entegrasyonu (2.500) idare cevabıyla düşüldü</t>
  </si>
  <si>
    <t xml:space="preserve">Elektrik – yolcu bilgilendirme</t>
  </si>
  <si>
    <t xml:space="preserve">310–317 (YBS)</t>
  </si>
  <si>
    <t xml:space="preserve">55" dış ortam ekran 3.500; askı 1.250; yazılım 25.000; tasarım+doküman 26.000</t>
  </si>
  <si>
    <t xml:space="preserve">Medya oynatıcı ekrana dahil</t>
  </si>
  <si>
    <t xml:space="preserve">Kablolar ana yüklenicide; geçerlilik belirtilmemiş</t>
  </si>
  <si>
    <t xml:space="preserve">Mevcut depo entegrasyonu (11.000) idare cevabıyla düşüldü</t>
  </si>
  <si>
    <t xml:space="preserve">Sinyalizasyon (tümü)</t>
  </si>
  <si>
    <t xml:space="preserve">Point Link / CASCO (Çin)</t>
  </si>
  <si>
    <t xml:space="preserve">devir notu</t>
  </si>
  <si>
    <t xml:space="preserve">Kalem dökümü yok</t>
  </si>
  <si>
    <t xml:space="preserve">Yanıt 'AI asistan Eva' imzalı; mail Gmail'de bulunamadı</t>
  </si>
  <si>
    <t xml:space="preserve">DAP şantiye; KDV ve gümrük hariç</t>
  </si>
  <si>
    <t xml:space="preserve">Kullanılmadı</t>
  </si>
  <si>
    <t xml:space="preserve">Bütçenin ~1,8 katı; dökümsüz – yalnız üst sınır göstergesi</t>
  </si>
  <si>
    <t xml:space="preserve">Bilgi – MEP dışı</t>
  </si>
  <si>
    <t xml:space="preserve">Rayba Yapı (demiryolu üstyapı)</t>
  </si>
  <si>
    <t xml:space="preserve">02.10 / 05.10.2026</t>
  </si>
  <si>
    <t xml:space="preserve">Ray, makas, kruvazman; S-LINE bağlantı</t>
  </si>
  <si>
    <t xml:space="preserve">42×R50 + 2×R100 makas + 3 kruvazman (= 56 makas, sinyal kabulüyle uyumlu); 17.231 m oluklu ray</t>
  </si>
  <si>
    <t xml:space="preserve">Beton/donatı hariç; 31.12.2026'ya kadar geçerli</t>
  </si>
  <si>
    <t xml:space="preserve">MEP bütçesine dahil değil</t>
  </si>
  <si>
    <t xml:space="preserve">Makas adedi sinyalizasyon/katener metrajını teyit ediyor</t>
  </si>
  <si>
    <t xml:space="preserve">TEKLİF DURUMU ÖZETİ (Gmail, 29.09–06.10.2026)</t>
  </si>
  <si>
    <t xml:space="preserve">Elektrik: ON Elektronik saat (81.600 €) ve YBS (171.000 €) teklifleri işlendi. Teknomaks (CCTV) ve Lev Müh. (yangın ihbar) çalışıyor; Best Transformer (trafo) dönmedi. Alfanar, Tema, EVA, DC Group vermiyor (Alfanar'dan RMU bütçesi istendi).</t>
  </si>
  <si>
    <t xml:space="preserve">Mekanik: Fiyatlı teklif yok. Ekura en geç 09.10 verecek; Protek (FM200) soru sordu. MET, Demta, Birleşim, Genç Müh. vermiyor.</t>
  </si>
  <si>
    <t xml:space="preserve">Asansör: 3 teklif (Schindler, TK, Emlift). Edoux verecek; Adakon (Orona) ithal ürünle bütçe verecek; KONE dönmedi.</t>
  </si>
  <si>
    <t xml:space="preserve">Sinyalizasyon: Mukan (AVLS) teklifi geldi. Hugotek ve İntetra dönecek; Alstom ve Savronik vermiyor (bütçe istendi); Hanning &amp; Kahl dönmedi.</t>
  </si>
  <si>
    <t xml:space="preserve">Elektrifikasyon: Fiyatlı teklif yok. Mitaş (direk) verecek; DeSA (seksiyon izolatörü), Erbakır (iletken), Kambeton (beton direk) sorularına cevap verildi; Doruk ve KAM vermiyor.</t>
  </si>
  <si>
    <t xml:space="preserve">Ulaşmayan adres: 26 (mailer-daemon). Ayrıntı: Teklif_Durumu sayfası.</t>
  </si>
  <si>
    <t xml:space="preserve">İHALE GENELİ – MEP DIŞI GELEN TEKLİFLER (bilgi amaçlı; MEP bütçesine dahil değildir)</t>
  </si>
  <si>
    <t xml:space="preserve">Tutarlar EUR, KDV hariç. Rayba: demiryolu işleri teklifi beton ve donatı hariç; işlerin bölünmesi halinde birim fiyatlar değişebilir; 31.12.2026'ya kadar geçerli. S-LINE: malzeme teklifi, en az 15.000 hat-metre için geçerli, teslim Şanlıurfa, %25 avans/%75 teslimde. Not: 'S-LINE kauçuk kapsül' kalemi, demiryolu teklifindeki hat döşeme fiyatının içinde olabilir – çift sayım için ayrı alt toplam verilmiştir.</t>
  </si>
  <si>
    <t xml:space="preserve">No</t>
  </si>
  <si>
    <t xml:space="preserve">Birim</t>
  </si>
  <si>
    <t xml:space="preserve">Malzeme BF €</t>
  </si>
  <si>
    <t xml:space="preserve">İşçilik BF €</t>
  </si>
  <si>
    <t xml:space="preserve">Toplam €</t>
  </si>
  <si>
    <t xml:space="preserve">Not</t>
  </si>
  <si>
    <t xml:space="preserve">02.10.2026 (05.10 EUR teyidi)</t>
  </si>
  <si>
    <t xml:space="preserve">1/6R50 tipi düz makas temini ve döşenmesi</t>
  </si>
  <si>
    <t xml:space="preserve">adet</t>
  </si>
  <si>
    <t xml:space="preserve">1/6R100 tipi düz makas temini ve döşenmesi</t>
  </si>
  <si>
    <t xml:space="preserve">Kruvazman 1/6R100 çapraz makas takımı (4 makas dahil)</t>
  </si>
  <si>
    <t xml:space="preserve">Kruvazman 1/6R50 çapraz makas takımı (4 makas dahil)</t>
  </si>
  <si>
    <t xml:space="preserve">Tabela ve işaretler</t>
  </si>
  <si>
    <t xml:space="preserve">set</t>
  </si>
  <si>
    <t xml:space="preserve">59R2 (Ri59N) oluklu rayla doğrudan tespitli hat döşenmesi</t>
  </si>
  <si>
    <t xml:space="preserve">hat-metre</t>
  </si>
  <si>
    <t xml:space="preserve">7</t>
  </si>
  <si>
    <t xml:space="preserve">49E1 (S49) tipi balastlı hat döşenmesi</t>
  </si>
  <si>
    <t xml:space="preserve">8</t>
  </si>
  <si>
    <t xml:space="preserve">Yol sonu bariyeri</t>
  </si>
  <si>
    <t xml:space="preserve">9</t>
  </si>
  <si>
    <t xml:space="preserve">Ray kenarı mastik dolgu</t>
  </si>
  <si>
    <t xml:space="preserve">m³</t>
  </si>
  <si>
    <t xml:space="preserve">S-LINE kauçuk kapsüller (Ri59/60)</t>
  </si>
  <si>
    <t xml:space="preserve">S-LINE kauçuk kapsüller – makas</t>
  </si>
  <si>
    <t xml:space="preserve">S-LINE montaj sehpası</t>
  </si>
  <si>
    <t xml:space="preserve">U-profil</t>
  </si>
  <si>
    <t xml:space="preserve">Mastik yapıştırıcı (600 cc)</t>
  </si>
  <si>
    <t xml:space="preserve">Montaj kelepçesi ve kement</t>
  </si>
  <si>
    <t xml:space="preserve">metre</t>
  </si>
  <si>
    <t xml:space="preserve">ALT TOPLAMLAR</t>
  </si>
  <si>
    <t xml:space="preserve">TOPLAM (iki teklif birlikte – çift sayım kontrol edilmeli)</t>
  </si>
  <si>
    <t xml:space="preserve">Diğer bilgi: Point Link / CASCO sinyalizasyon teklifi 7.281.784 € (DAP, KDV ve gümrük hariç, dökümsüz) – MEP sinyal bütçesinde kullanılmadı; Teklif_Degerlendirme sayfasında.</t>
  </si>
  <si>
    <t xml:space="preserve">1 ELEKTRİK (A) – AG dağıtım, topraklama, AG kablolar, AG tesisat-aydınlatma, yangın ihbar</t>
  </si>
  <si>
    <t xml:space="preserve">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</si>
  <si>
    <t xml:space="preserve">DİSİPLİN TOPLAMI →</t>
  </si>
  <si>
    <t xml:space="preserve">Poz</t>
  </si>
  <si>
    <t xml:space="preserve">Kalem / Alt kalem</t>
  </si>
  <si>
    <t xml:space="preserve">Miktar (RFQ cetveli)</t>
  </si>
  <si>
    <t xml:space="preserve">Miktar (idare cevabına göre)</t>
  </si>
  <si>
    <t xml:space="preserve">Metraj payı geri alınan</t>
  </si>
  <si>
    <t xml:space="preserve">Net miktar (bütçe)</t>
  </si>
  <si>
    <t xml:space="preserve">Birim fiyat EUR (montaj dahil)</t>
  </si>
  <si>
    <t xml:space="preserve">Fiyat kaynağı / emsal (proje, firma, yıl, uyarlama)</t>
  </si>
  <si>
    <t xml:space="preserve">Not / düzeltme</t>
  </si>
  <si>
    <t xml:space="preserve">2006.A</t>
  </si>
  <si>
    <t xml:space="preserve">RFQ tutarı →</t>
  </si>
  <si>
    <t xml:space="preserve">ADP panosu: metal mahfazalı, TS EN 61439, IP54, 20x5 Cu bara</t>
  </si>
  <si>
    <t xml:space="preserve">-</t>
  </si>
  <si>
    <t xml:space="preserve">REF-derin – Bursa T2 MET 2015 saç pano 800 mm (M+İ) 2.162,86 +%15 Cu bara/IP54→2.487,29; Ankara-Sivas YHT Platin 2019 saç pano 61439 (M+İ) 1.644,82 +%15 Cu bara/IP54→1.891,54; Bursa T2 Haluk 2015 saç pano 800 mm (M+İ) 676,71 +%15 Cu bara/IP54→778,22 → medyan 1.891,54 [Emsal ID: R00985;R00484;R00917]</t>
  </si>
  <si>
    <t xml:space="preserve">Boş pano gövdesi+bara | İlk tahmin BF 2,200.00</t>
  </si>
  <si>
    <t xml:space="preserve">Ana giriş TMŞ 3x50 A 10 kA + RCD-D 300 mA</t>
  </si>
  <si>
    <t xml:space="preserve">TAHMIN (emsal yok) – Emsal yok (veride AG kesici/TMŞ teklifi yok; R02784 MCB 1x6A 4,18 (M) kıyas dışı)</t>
  </si>
  <si>
    <t xml:space="preserve">TMŞ 50A+RCD-D</t>
  </si>
  <si>
    <t xml:space="preserve">Çıkış TMŞ 3x32 A (APP-1, APP-2, SK-1, SK-2)</t>
  </si>
  <si>
    <t xml:space="preserve">Çıkış TMŞ 32A montajlı</t>
  </si>
  <si>
    <t xml:space="preserve">Çıkış TMŞ 3x40 A (2 yedek + UPS besleme)</t>
  </si>
  <si>
    <t xml:space="preserve">Çıkış TMŞ 40A montajlı</t>
  </si>
  <si>
    <t xml:space="preserve">UPS ana dağıtım panosu (UDP): giriş TMŞ 3x32 A, 20x5 Cu bara, UK1-UK2 TMŞ 3x32 A, UK3 AOS 1x10 A, UK4 TMŞ 1x10 A, UK5-UK7 TMŞ 3x25 A</t>
  </si>
  <si>
    <t xml:space="preserve">TAHMIN (emsal yok) – Emsal yok (komple tali pano; İzmir Buca TEDAK 2021 tali pano ort. 3.010 € (M) metro/daha büyük, Bursa T2 "özel saç pano" yalnız gövde → kıyas dışı)</t>
  </si>
  <si>
    <t xml:space="preserve">UDP komple</t>
  </si>
  <si>
    <t xml:space="preserve">UPS-1 / UPS-2 dağıtım panoları (peron başına, UK01-UK13 AOS 1x10/16 A + KAKŞ)</t>
  </si>
  <si>
    <t xml:space="preserve">Peron UPS tali panosu</t>
  </si>
  <si>
    <t xml:space="preserve">Parafudr Tip 1+2 (giriş)</t>
  </si>
  <si>
    <t xml:space="preserve">REF-derin – Bursa T2 Haluk 2015 SPD B 3F+N (M+İ) 183,45 +%20 Tip1+2→220,15; Bursa T2 MET 2015 SPD B 3F+N (M+İ) 466,49 +%20 Tip1+2→559,79; Başkentray Desat 2012 SPD B 100 kA (M+İ) 454,65 +%20 Tip1+2→545,58 → medyan 545,58 [Emsal ID: R00920;R00987;R00517]</t>
  </si>
  <si>
    <t xml:space="preserve">SPD Tip1+2 | İlk tahmin BF 650.00</t>
  </si>
  <si>
    <t xml:space="preserve">Pano montaj, iç kablaj, test</t>
  </si>
  <si>
    <t xml:space="preserve">TAHMIN (emsal yok) – Emsal yok (götürü montaj/test)</t>
  </si>
  <si>
    <t xml:space="preserve">Montaj/test götürü</t>
  </si>
  <si>
    <t xml:space="preserve">2006.B</t>
  </si>
  <si>
    <t xml:space="preserve">ADP panosu: metal mahfazalı, TS EN 61439-1/2, IP54, 20x5 Cu bara 3P+N+PE</t>
  </si>
  <si>
    <t xml:space="preserve">Boş pano gövdesi+bara | İlk tahmin BF 2,500.00</t>
  </si>
  <si>
    <t xml:space="preserve">Ana giriş TMŞ 3x125 A 10 kA + RCD-D 300 mA (toroid)</t>
  </si>
  <si>
    <t xml:space="preserve">TMŞ 125A+RCD-D toroid</t>
  </si>
  <si>
    <t xml:space="preserve">Çıkış TMŞ 3x32 A (APP, UPS, SK, YMP-01/02/03, ASP-01/02/03)</t>
  </si>
  <si>
    <t xml:space="preserve">Çıkış TMŞ 3x40 A (yedek)</t>
  </si>
  <si>
    <t xml:space="preserve">Parafudr Tip 1+2 3+N+PE (giriş)</t>
  </si>
  <si>
    <t xml:space="preserve">UPS ana dağıtım panosu (UPS çıkışı, UK01-UK12): giriş AOS 3x25 A, 2 x KAKŞ 4x25 A 30 mA, ~12 AOS 1x10/16 A, 4 yedek</t>
  </si>
  <si>
    <t xml:space="preserve">Pano montaj/kaide, etiketleme, iç kablaj, test ve devreye alma</t>
  </si>
  <si>
    <t xml:space="preserve">2006.C</t>
  </si>
  <si>
    <t xml:space="preserve">2006.D</t>
  </si>
  <si>
    <t xml:space="preserve">2006.E</t>
  </si>
  <si>
    <t xml:space="preserve">2006.F</t>
  </si>
  <si>
    <t xml:space="preserve">Boş pano gövdesi+bara | İlk tahmin BF 2,000.00</t>
  </si>
  <si>
    <t xml:space="preserve">Ana giriş TMŞ 3x63 A 10 kA + RCD-D 300 mA</t>
  </si>
  <si>
    <t xml:space="preserve">TMŞ 63A+RCD-D</t>
  </si>
  <si>
    <t xml:space="preserve">Çıkış TMŞ 3x32 A (APP, UPS, SK)</t>
  </si>
  <si>
    <t xml:space="preserve">UPS ana dağıtım panosu (UK01-UK12, 9,55 kW)</t>
  </si>
  <si>
    <t xml:space="preserve">UDP komple (küçük istasyon)</t>
  </si>
  <si>
    <t xml:space="preserve">2006.G</t>
  </si>
  <si>
    <t xml:space="preserve">T09 (depo trafo binası) ADP/13: 3200 A Cu bara, dikili tip form 3b/4, TS EN 61439</t>
  </si>
  <si>
    <t xml:space="preserve">REF-derin(1) – TEDAK 2021 İzmir Buca metro ADP Form4B 6,3 m 83.315 € (ACB dahil) → ~13,2 k€/m; 6 hücre ~4,8 m ≈ 63,5 k€ − 2 ACB 23 k€ = 40,5 k€; mevcut 28 k€ ile harmanlandı [Emsal ID: R00716;R00717]</t>
  </si>
  <si>
    <t xml:space="preserve">Form 3b/4 gövde+3200A bara (~6 hücre) | İlk tahmin BF 28,000.00</t>
  </si>
  <si>
    <t xml:space="preserve">Açık tip motorlu hava devre kesici (ACB) 3x3200 A 40 kA (Q1, Q2 trafo girişleri, kuplaj/ATS kilitli)</t>
  </si>
  <si>
    <t xml:space="preserve">TAHMIN (emsal yok) – 3200 A motorlu ACB için tekil teklif yok (ADP toplam fiyatlarına gömülü); 11.500 € 2026 piyasası için makul</t>
  </si>
  <si>
    <t xml:space="preserve">ACB 3200A motorlu</t>
  </si>
  <si>
    <t xml:space="preserve">Akım trafosu 3200/5 A + enerji analizörü (Modbus)</t>
  </si>
  <si>
    <t xml:space="preserve">takım</t>
  </si>
  <si>
    <t xml:space="preserve">AT+analizör</t>
  </si>
  <si>
    <t xml:space="preserve">Parafudr B+C sınıfı 100 kA</t>
  </si>
  <si>
    <t xml:space="preserve">SPD B+C 100kA | İlk tahmin BF 1,100.00</t>
  </si>
  <si>
    <t xml:space="preserve">Çıkış kompakt şalter 3x1250 A 35 kA (Q5 → D01-ADP atölye)</t>
  </si>
  <si>
    <t xml:space="preserve">MCCB 1250A elektronik</t>
  </si>
  <si>
    <t xml:space="preserve">Çıkış kompakt şalter 3x630 A 35 kA (Q4 → AJDP)</t>
  </si>
  <si>
    <t xml:space="preserve">MCCB 630A</t>
  </si>
  <si>
    <t xml:space="preserve">Çıkış TMŞ 3x40 A (M1-M4 klima dış ünite TO SIMS + 2 yedek)</t>
  </si>
  <si>
    <t xml:space="preserve">TMŞ 40A</t>
  </si>
  <si>
    <t xml:space="preserve">Çıkış TMŞ 3x25/3x32 A (BCB, APP, D07 giriş kontrol APP)</t>
  </si>
  <si>
    <t xml:space="preserve">TMŞ 25/32A</t>
  </si>
  <si>
    <t xml:space="preserve">Çıkış MCB 2x16 A 10 kA (M5-M12 iç üniteler + 2 yedek)</t>
  </si>
  <si>
    <t xml:space="preserve">%30</t>
  </si>
  <si>
    <t xml:space="preserve">MCB 2x16A</t>
  </si>
  <si>
    <t xml:space="preserve">Su deposu ATS panosu (yangın pompaları D06-YPP-001/002 90 kW + D06-SDP-J1; şebeke/jeneratör)</t>
  </si>
  <si>
    <t xml:space="preserve">TAHMIN (emsal yok) – UL/FM yangın pompası transfer switch refleri pompa başına 8,8–15,5 k€ (Arı Yangın 2013, MAS 2011); kalem UL/FM listeli değilse 9.000 € makul – UL/FM şartsa ~2x risk (işaretlendi) [Emsal ID: R05628;R06168;R05649]</t>
  </si>
  <si>
    <t xml:space="preserve">Yangın pompası ATS panosu</t>
  </si>
  <si>
    <t xml:space="preserve">AJDP (acil/jeneratör dağıtım panosu): 630 A Cu bara, Q3 3x800 A 40 kA (jeneratör), Q7 3x630 A, 3x500 A (JDP), 4x50 A (UPS), 3x63 A, 3x32 A; elektronik sayaç + 3x800/5 A</t>
  </si>
  <si>
    <t xml:space="preserve">TAHMIN (emsal yok) – 630 A AJDP için doğrudan emsal yok (Kocaeli tramvay TM AC panosu 11–12 k€ daha küçük kapsam); mevcut korundu</t>
  </si>
  <si>
    <t xml:space="preserve">AJDP 630A komple</t>
  </si>
  <si>
    <t xml:space="preserve">T09(Depo)-UPS-001 dağıtım panosu: 40 A bara, 4x40 A giriş, 9 x AOS 2x20 A (GGP, YAP, RTU, HP, SKP-1..4, I&amp;LSKP)</t>
  </si>
  <si>
    <t xml:space="preserve">Küçük UPS dağıtım panosu</t>
  </si>
  <si>
    <t xml:space="preserve">D01-ADP atölye binası ana dağıtım panosu: 3x1250 A 35 kA giriş, 1250 A Cu bara, toroid kaçak akım rölesi 300 mA-30 A, B+C parafudr, enerji analizörü 1250/5 A, ~30 çıkış (3x25…3x630 A)</t>
  </si>
  <si>
    <t xml:space="preserve">REF-derin(1) – TEDAK 2021 İzmir Buca LVS-402 ADP 2. bölüm (3 m, Form4B) 32.331 €; 1250 A ADP ile benzer boy → mevcut 38.000 ile harmanlandı [Emsal ID: R00717]</t>
  </si>
  <si>
    <t xml:space="preserve">1250A ADP komple (çıkışlar dahil varsayım) | İlk tahmin BF 38,000.00</t>
  </si>
  <si>
    <t xml:space="preserve">D01-JDP jeneratör dağıtım + D01-UDP (TCC UPS) dağıtım panoları, 2 x ATS panosu</t>
  </si>
  <si>
    <t xml:space="preserve">REF-derin(1) – TEDAK 2021 Buca UPS dağıtım panosu dikili Form4B 7.853 € → mevcut 6.500 ile harmanlandı [Emsal ID: R00719]</t>
  </si>
  <si>
    <t xml:space="preserve">JDP/UDP/ATS pano ortalaması | İlk tahmin BF 6,500.00</t>
  </si>
  <si>
    <t xml:space="preserve">D03-ADP-001 vagon yıkama binası ana dağıtım panosu (102,9 kW)</t>
  </si>
  <si>
    <t xml:space="preserve">REF-derin – Bursa T2 Haluk 2015 250 kVA 3x400 A AG panosu 2.118 €, 400 kVA 3x630 A 2.685 €; Ankara-Sivas Platin 2019 250 kVA ADP 2.585 € → medyan 2.585 × eski TL işçilik düzeltmesi %30 → 3.400 € [Emsal ID: R00867;R00868;R00479]</t>
  </si>
  <si>
    <t xml:space="preserve">~200A ADP komple | İlk tahmin BF 6,000.00</t>
  </si>
  <si>
    <t xml:space="preserve">Pano montajı, bara bağlantıları, test/devreye alma, SCADA I/O</t>
  </si>
  <si>
    <t xml:space="preserve">TAHMIN (emsal yok) – Montaj/test/SCADA I/O götürü – emsal yok</t>
  </si>
  <si>
    <t xml:space="preserve">Montaj/test/SCADA I/O</t>
  </si>
  <si>
    <t xml:space="preserve">2008.A</t>
  </si>
  <si>
    <t xml:space="preserve">Temel topraklama iletkeni 30x3,5 mm sıcak daldırma galvanizli çelik şerit (beton içinde, dik)</t>
  </si>
  <si>
    <t xml:space="preserve">m</t>
  </si>
  <si>
    <t xml:space="preserve">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</si>
  <si>
    <t xml:space="preserve">Galv. şerit 30x3,5 temel | İlk tahmin BF 6.00</t>
  </si>
  <si>
    <t xml:space="preserve">Topraklama elektrodu SOM BAKIR Ø20 x 1,5 m (galvanizli köşebent yerine) + 40x40 muayene menholü (bir kısmında)</t>
  </si>
  <si>
    <t xml:space="preserve">REF-derin – İzmir Buca M. ESCO 2021 Cu Ø20x3,5 m 119,71 (M) ×1,5/3,5 boy +%30 çakma→66,92; Bursa T2 Haluk 2015 Cu Ø20x3,5 m (M+İ) 152,81 ×1,5/3,5 boy→65,71; Bursa T2 MET 2015 Cu Ø20x3,5 m (M+İ) 168,23 ×1,5/3,5 boy→72,34 → medyan 66,92 + menhol payı (%20 adet × rogar 42,24 (M) +%30) = 77,90 [Emsal ID: R00793;R00916;R00984;R00796]</t>
  </si>
  <si>
    <t xml:space="preserve">İdare: galvaniz köşebent | İlk tahmin BF 55.00</t>
  </si>
  <si>
    <t xml:space="preserve">Çelik kolon (peron saçağı) topraklama bağlantısı (şerit filizi + bağlantı parçası)</t>
  </si>
  <si>
    <t xml:space="preserve">TAHMIN (emsal yok) – Emsal yok (bağlantı/irtibat noktası; R00797 termo kaynak tozu 6,33 (M) yalnız sarf)</t>
  </si>
  <si>
    <t xml:space="preserve">Şerit filizi+bağlantı</t>
  </si>
  <si>
    <t xml:space="preserve">Ark kaynaklı/egzotermik irtibat noktası ve çapraz galvaniz kroşe bağlantıları</t>
  </si>
  <si>
    <t xml:space="preserve">Kroşe/egzotermik ort.</t>
  </si>
  <si>
    <t xml:space="preserve">Metal korkuluk/turnike bağlantısı 1x16 mm2 izoleli iletken (H07Z-R)</t>
  </si>
  <si>
    <t xml:space="preserve">fire+%30</t>
  </si>
  <si>
    <t xml:space="preserve">REF-derin – İzmir Buca M. Prysmian 2021 H07Z1-R 16 2,00 (M)+%30 montaj→2,60; Mersin M. Arkom 2021 NYAF-HF 16 1,64 (M)+%30 montaj→2,13 → medyan 2,37 [Emsal ID: R00690;R01109]</t>
  </si>
  <si>
    <t xml:space="preserve">H07Z-R 1x16 | İlk tahmin BF 3.50</t>
  </si>
  <si>
    <t xml:space="preserve">Pano odası topraklama barası (bakır eş potansiyel bara 300x40x5 veya 40x10x400) + bağlantı</t>
  </si>
  <si>
    <t xml:space="preserve">REF-derin – İzmir Buca M. ESCO 2021 60x5 Cu lama 2,5 m EP 77,99 (M) ×0,43 Cu ağırlık(40x10x400) +%40 montaj→46,95; Mersin M. Arkom 2021 EP barası 19,89 (M)+%40 montaj→27,85 → medyan 37,40 + 20 bağlantı iletkeni/pabuç (tahmin) = 57,40 [Emsal ID: R00798;R01108]</t>
  </si>
  <si>
    <t xml:space="preserve">Cu EP bara | İlk tahmin BF 120.00</t>
  </si>
  <si>
    <t xml:space="preserve">Ekipman/pano topraklama iletkenleri (H07Z-R 16-25 mm2) ve bağlantı pabuçları</t>
  </si>
  <si>
    <t xml:space="preserve">REF-derin – İzmir Buca M. Prysmian 2021 H07Z1-R 16 2,00 (M)+%30, ×1,28 kesit(ort.20,5), +%10 pabuç→3,67; Mersin M. Arkom 2021 NYAF-HF 16 1,64 (M)+%30, ×1,28 kesit, +%10 pabuç→2,99 → medyan 3,33 [Emsal ID: R00690;R01109]</t>
  </si>
  <si>
    <t xml:space="preserve">H07Z-R 16-25+pabuç | İlk tahmin BF 4.50</t>
  </si>
  <si>
    <t xml:space="preserve">Topraklama direnci ölçümü + süreklilik testi + fotoğraflı raporlama (beton öncesi)</t>
  </si>
  <si>
    <t xml:space="preserve">TAHMIN (emsal yok) – Emsal yok (ölçüm/rapor götürü)</t>
  </si>
  <si>
    <t xml:space="preserve">Ölçüm/rapor</t>
  </si>
  <si>
    <t xml:space="preserve">2008.B</t>
  </si>
  <si>
    <t xml:space="preserve">2008.C</t>
  </si>
  <si>
    <t xml:space="preserve">2008.D</t>
  </si>
  <si>
    <t xml:space="preserve">2008.E</t>
  </si>
  <si>
    <t xml:space="preserve">2008.G</t>
  </si>
  <si>
    <t xml:space="preserve">Depo trafo binası (T09) temel altı ağ 1x120 mm2 örgülü çıplak bakır</t>
  </si>
  <si>
    <t xml:space="preserve">REF-derin – İzmir Buca M. Kablo ür. 2021 120 mm2 örgülü Cu 12,56 (M)+%30 montaj→16,33; İzmir Buca M. ESCO 2021 120 mm2 örgülü Cu 12,37 (M)+%30 montaj→16,08; Mersin M. Arkom 2021 1x120 örgülü Cu €/kg 10,91 (M) 1,08 kg/m +%30→15,31 → medyan 16,08 [Emsal ID: R00725;R00792;R01107]</t>
  </si>
  <si>
    <t xml:space="preserve">Çıplak Cu 120 mm2 | İlk tahmin BF 22.00</t>
  </si>
  <si>
    <t xml:space="preserve">T09 kazık elektrodu Ø20 x 1,5 m Cu + bağlantı klemensleri</t>
  </si>
  <si>
    <t xml:space="preserve">REF-derin – İzmir Buca M. ESCO 2021 Cu Ø20x3,5 m 119,71 (M) ×1,5/3,5 boy +%30 çakma→66,92; Bursa T2 Haluk 2015 Cu Ø20x3,5 m (M+İ) 152,81 ×1,5/3,5 boy→65,71; Bursa T2 MET 2015 Cu Ø20x3,5 m (M+İ) 168,23 ×1,5/3,5 boy→72,34 → medyan 66,92 + 2 klemens (R00795 1,23 (M) +%30) = 70,13 [Emsal ID: R00793;R00916;R00984;R00795]</t>
  </si>
  <si>
    <t xml:space="preserve">Som Cu Ø20x1,5 m | İlk tahmin BF 110.00</t>
  </si>
  <si>
    <t xml:space="preserve">T09 bina içi 30x3,5 galvanizli şerit (kolon içi bara çıkışları, A-B aks hatları)</t>
  </si>
  <si>
    <t xml:space="preserve">fire %10</t>
  </si>
  <si>
    <t xml:space="preserve">Galv. şerit | İlk tahmin BF 6.00</t>
  </si>
  <si>
    <t xml:space="preserve">Atölye+idari bina (D01) temel altı ağ 1x120 mm2 örgülü çıplak bakır (~18x8-18 m gözlü)</t>
  </si>
  <si>
    <t xml:space="preserve">REF-derin – 120 mm² örgülü Cu: Buca 2021 kablo üreticisi 12,6 €/m (M), ESCO 2021 12,4 €/m (M), Mezitli Arkom 2021 10,9 €/kg≈11,7 €/m (M) → +%35 serme/bağlantı işçiliği → medyan 16,7 €/m (LME Cu ~10 k$/t ile uyumlu) [Emsal ID: R00725;R00792;R01107]</t>
  </si>
  <si>
    <t xml:space="preserve">D01 Cu elektrot Ø20 x 3,5 m (bakır)</t>
  </si>
  <si>
    <t xml:space="preserve">REF-derin – İzmir Buca M. ESCO 2021 Cu Ø20x3,5 m 119,71 (M)+%30 çakma→155,62; Bursa T2 Haluk 2015 Cu Ø20x3,5 m (M+İ) 152,81; Bursa T2 MET 2015 Cu Ø20x3,5 m (M+İ) 168,23 → medyan 155,62 [Emsal ID: R00793;R00916;R00984]</t>
  </si>
  <si>
    <t xml:space="preserve">Som Cu Ø20x3,5 m | İlk tahmin BF 220.00</t>
  </si>
  <si>
    <t xml:space="preserve">D01 bina içi topraklama: 1x120 ana + 1x70 + H07Z-R 1x16 ekipman iletkenleri</t>
  </si>
  <si>
    <t xml:space="preserve">TAHMIN (emsal yok) – 120/70/16 karışık bina içi topraklama – karışım oranı belirsiz, ortalama 9 € makul</t>
  </si>
  <si>
    <t xml:space="preserve">120/70/16 karışık ort.</t>
  </si>
  <si>
    <t xml:space="preserve">D01 bakır topraklama barası 40x10x400 + egzotermik bağlantılar</t>
  </si>
  <si>
    <t xml:space="preserve">REF-derin – İzmir Buca M. ESCO 2021 60x5 Cu lama 2,5 m EP 77,99 (M) ×0,43 Cu ağırlık +%40 montaj→46,95; Mersin M. Arkom 2021 EP barası 19,89 (M)+%40 montaj→27,85 → medyan 37,40 + 20 bağlantı + 2×15 egzotermik (mevcut tahmin) = 87,40 [Emsal ID: R00798;R01108]</t>
  </si>
  <si>
    <t xml:space="preserve">Cu bara+egzotermik | İlk tahmin BF 180.00</t>
  </si>
  <si>
    <t xml:space="preserve">D01 donatı ilave Ø16 + galvanizli şerit–donatı bağlantı kroşeleri</t>
  </si>
  <si>
    <t xml:space="preserve">Donatı/kroşe</t>
  </si>
  <si>
    <t xml:space="preserve">Vagon yıkama (D03) temel topraklama 1x120 mm2 örgülü çıplak bakır (dış çevre + aks 1 hattı)</t>
  </si>
  <si>
    <t xml:space="preserve">Malzeme deposu (D05) temel altı ağ 1x120 mm2 örgülü çıplak bakır (3 yatay + 5 düşey + elektrot bağlantıları)</t>
  </si>
  <si>
    <t xml:space="preserve">Su deposu/pompa (D06) temel topraklama 1x120 mm2 örgülü çıplak bakır</t>
  </si>
  <si>
    <t xml:space="preserve">Giriş kontrol binası (D07) temel topraklama 30x3,5 galvanizli çelik şerit</t>
  </si>
  <si>
    <t xml:space="preserve">Vagon yıkama (D03) bina içi topraklama 1x16 mm2 çıplak bakır (duvar dibi)</t>
  </si>
  <si>
    <t xml:space="preserve">REF-derin – Bursa T2 Haluk 2015 16 mm2 çıplak Cu (M+İ) 4,39; Bursa T2 MET 2015 16 mm2 çıplak Cu (M+İ) 2,47; İzmir Buca M. Kablo ür. 2021 16 mm2 örgülü Cu 1,72 (M)+%40 montaj/kroşe→2,41 → medyan 2,47 [Emsal ID: R00900;R00971;R00724]</t>
  </si>
  <si>
    <t xml:space="preserve">Çıplak Cu 16 | İlk tahmin BF 4.00</t>
  </si>
  <si>
    <t xml:space="preserve">Yan binalar kazık elektrotları (Cu Ø20)</t>
  </si>
  <si>
    <t xml:space="preserve">REF-derin – İzmir Buca M. ESCO 2021 Cu Ø20x3,5 m 119,71 (M) ×1,5/3,5 boy +%30 çakma→66,92; Bursa T2 Haluk 2015 Cu Ø20x3,5 m (M+İ) 152,81 ×1,5/3,5 boy→65,71; Bursa T2 MET 2015 Cu Ø20x3,5 m (M+İ) 168,23 ×1,5/3,5 boy→72,34 → medyan 66,92 [Emsal ID: R00793;R00916;R00984]</t>
  </si>
  <si>
    <t xml:space="preserve">Binalar arası topraklama irtibat hattı 1x120 mm2 Cu (saha, eş potansiyel)</t>
  </si>
  <si>
    <t xml:space="preserve">Cu 120 (kazı hariç) | İlk tahmin BF 22.00</t>
  </si>
  <si>
    <t xml:space="preserve">Depo sahası ray/metal yapı topraklaması (depo floating değil): 1x120 mm2 Cu bağlantı</t>
  </si>
  <si>
    <t xml:space="preserve">Cu 120 bağlantı noktası</t>
  </si>
  <si>
    <t xml:space="preserve">Ölçümler/rapor</t>
  </si>
  <si>
    <t xml:space="preserve">Depo ölçüm/rapor</t>
  </si>
  <si>
    <t xml:space="preserve">2008.F</t>
  </si>
  <si>
    <t xml:space="preserve">2008.I</t>
  </si>
  <si>
    <t xml:space="preserve">Üst geçit ayak temelleri topraklaması 30x3,5 galvanizli şerit (temel içi + istasyon ağına bağlantı)</t>
  </si>
  <si>
    <t xml:space="preserve">Çelik taşıyıcı kolon bağlantıları (şerit filizi/bağlantı parçası)</t>
  </si>
  <si>
    <t xml:space="preserve">Şerit filizi</t>
  </si>
  <si>
    <t xml:space="preserve">Korkuluk, yürüyen merdiven ve asansör şaseleri eş potansiyel bağlantı 1x16/1x25 H07Z-R</t>
  </si>
  <si>
    <t xml:space="preserve">H07Z-R 16/25 | İlk tahmin BF 4.50</t>
  </si>
  <si>
    <t xml:space="preserve">Eş potansiyel bara (asansör kuyuları/merdiven başları)</t>
  </si>
  <si>
    <t xml:space="preserve">Topraklama elektrodu som bakır Cu Ø20 x 1,5 m</t>
  </si>
  <si>
    <t xml:space="preserve">Üst geçit: Cu korundu (istasyon değil) | İlk tahmin BF 110.00</t>
  </si>
  <si>
    <t xml:space="preserve">Katener bölgesi (EN 50122-1 OCL zone) metal kısımları için gerilim sınırlayıcı/izolasyon kontrol bağlantısı</t>
  </si>
  <si>
    <t xml:space="preserve">TAHMIN (emsal yok) – Haluk 2015 ray potansiyeli sınırlama cihazı 13,8 k€ (cihazın kendisi) – kalem yalnız bağlantı, emsal değil [Emsal ID: R00896]</t>
  </si>
  <si>
    <t xml:space="preserve">VLD/EN 50122-1 bağlantı</t>
  </si>
  <si>
    <t xml:space="preserve">Ölçümler</t>
  </si>
  <si>
    <t xml:space="preserve">Geçit başı ölçüm</t>
  </si>
  <si>
    <t xml:space="preserve">2008.J</t>
  </si>
  <si>
    <t xml:space="preserve">Hatboyu kablo kanalı içinde 30x3,5 mm galvanizli çelik şerit (her iki yanda 1’er hat)</t>
  </si>
  <si>
    <t xml:space="preserve">REF-derin – 30x3,5 galv. şerit: ESCO 2021 1,5 €/m (M) ve Arkom 2021 1,2 €/m (M) +%50 kanal içi serme → 2,25/1,8; Bursa T2 Haluk 2015 2,7 €/m (TL, işçilik +%20 → 3,2); Platin 2019 gömülü 4,6 → medyan 2,73 €/m (mevcut 5,5 çok yüksek) [Emsal ID: R00794;R01106;R00915;R00480]</t>
  </si>
  <si>
    <t xml:space="preserve">Galv. şerit kanal içi; 6,44 km | İlk tahmin BF 5.50</t>
  </si>
  <si>
    <t xml:space="preserve">Katener direği topraklama bağlantısı (30x3,5 şerit filizi ~3 m + bağlantı klemensi)</t>
  </si>
  <si>
    <t xml:space="preserve">TAHMIN (emsal yok) – Direk filizi+klemens için emsal yok; 35 € biraz yüksek olabilir (~25–30 €)</t>
  </si>
  <si>
    <t xml:space="preserve">Direk bağlantısı</t>
  </si>
  <si>
    <t xml:space="preserve">Direk bağlantı şeridi 30x3,5 galvaniz</t>
  </si>
  <si>
    <t xml:space="preserve">Direk sayısına bağlı, uzunluk düzeltilmedi | İlk tahmin BF 6.00</t>
  </si>
  <si>
    <t xml:space="preserve">Hatboyu ekipman (sinyal/makas kontrol dolapları, aydınlatma direk panoları, handhole) topraklama bağlantıları</t>
  </si>
  <si>
    <t xml:space="preserve">Ekipman bağlantısı</t>
  </si>
  <si>
    <t xml:space="preserve">Şerit ek/düğüm noktaları (galvaniz çapraz kroşe / egzotermik)</t>
  </si>
  <si>
    <t xml:space="preserve">TAHMIN (emsal yok) – Kroşe/egzotermik ek için emsal yok</t>
  </si>
  <si>
    <t xml:space="preserve">Kroşe/egzotermik</t>
  </si>
  <si>
    <t xml:space="preserve">Kazık elektrodu Cu Ø20 x 3 m (hatboyu, ~250 m’de bir, her iki şerit)</t>
  </si>
  <si>
    <t xml:space="preserve">REF-derin – Ø20 som Cu elektrot 3,5 m: ESCO 2021 119,7 € (M)+%25=150; Bursa T2 Haluk 2015 152,8 €, MET 168,2 €; Başkentray Desat 150,8 € → medyan 151,7 € × 3,0/3,5 m boy → 130 € [Emsal ID: R00793;R00916;R00984;R00533]</t>
  </si>
  <si>
    <t xml:space="preserve">Som Cu Ø20x3 m (hatboyu) | İlk tahmin BF 190.00</t>
  </si>
  <si>
    <t xml:space="preserve">Hatboyu topraklama sürekliliği ve direnç ölçümleri</t>
  </si>
  <si>
    <t xml:space="preserve">Hatboyu ölçümler</t>
  </si>
  <si>
    <t xml:space="preserve">2011.A</t>
  </si>
  <si>
    <t xml:space="preserve">N2XH 4x6 mm2 (ADP→APP-1 5, APP-2 15, UPS 5+5, UDP→UPS-1 5, UPS-2 15, SKP21(SS-3) 200)</t>
  </si>
  <si>
    <t xml:space="preserve">REF-derin – İzmir Buca M. Prysmian 2021 4x6 3,59 (M)+%35 montaj→4,85; Bursa T2 Delta 2015 4x6 2,55 (M)+%35 montaj→3,45; Bursa T2 Haluk 2015 4x6 3,51; Bursa T2 MET 2015 4x6 4,40 → medyan 3,95 [Emsal ID: R00687;R00850;R00903;R00974]</t>
  </si>
  <si>
    <t xml:space="preserve">N2XH 4x6 | İlk tahmin BF 5.50</t>
  </si>
  <si>
    <t xml:space="preserve">N2XH 4x2,5 mm2 (ADP→SK-1 25, SK-2 25)</t>
  </si>
  <si>
    <t xml:space="preserve">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</si>
  <si>
    <t xml:space="preserve">N2XH 4x2,5 | İlk tahmin BF 3.20</t>
  </si>
  <si>
    <t xml:space="preserve">N2XH 3x2,5 mm2 (UDP→kontrol panosu 5, AVLS 5)</t>
  </si>
  <si>
    <t xml:space="preserve">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</si>
  <si>
    <t xml:space="preserve">N2XH 3x2,5 | İlk tahmin BF 2.50</t>
  </si>
  <si>
    <t xml:space="preserve">N2XH 3x2,5 mm2 – UPS-1/UPS-2 panolarından sistem panolarına (turnike, yolcu bilg., biletmatik, haberleşme, AVLS, TSKP, SKP)</t>
  </si>
  <si>
    <t xml:space="preserve">TSKP payı düşüldü (10/150 oransal) | İlk tahmin BF 2.50</t>
  </si>
  <si>
    <t xml:space="preserve">Ø110 koruge (HDPE) elektrik borusu (2 kenar peron + hatlar altı geçiş)</t>
  </si>
  <si>
    <t xml:space="preserve">TAHMIN (emsal yok) – Emsal yok (çap belirtilen HDPE/çelik boru teklifi yok; R04035 HDPE muhafaza 3,53 / R01311 4,63 çap belirsiz)</t>
  </si>
  <si>
    <t xml:space="preserve">HDPE Ø110 (kazı hariç)</t>
  </si>
  <si>
    <t xml:space="preserve">Kablo merdiveni 300 mm (pano odası) + delikli tava 100 mm</t>
  </si>
  <si>
    <t xml:space="preserve">REF-derin – Karışık kalem (merdiven/tava eşit pay): merdiven300=16,21 + tava100kapak=11,29 → 13,75. Emsaller: merdiven300 [R00805;R01103;R00853;R00935] 16,21 | tava100kapak [R00800;R01102;R00853;R00935] 11,29 [Emsal ID: R00805;R01103;R00853;R00935;R00800;R01102]</t>
  </si>
  <si>
    <t xml:space="preserve">Merdiven 300 + tava 100 karışık | İlk tahmin BF 20.00</t>
  </si>
  <si>
    <t xml:space="preserve">Yangın durdurucu</t>
  </si>
  <si>
    <t xml:space="preserve">TAHMIN (emsal yok) – Emsal yok (yangın durdurucu/pabuç/test götürü)</t>
  </si>
  <si>
    <t xml:space="preserve">Pabuç/etiket/test</t>
  </si>
  <si>
    <t xml:space="preserve">Götürü</t>
  </si>
  <si>
    <t xml:space="preserve">Döşeme altı HDPE kablo koruma borusu (aydınlatma-priz besleme güzergâhı; ana Ø110 borulamadan ayrı)</t>
  </si>
  <si>
    <t xml:space="preserve">HDPE koruma borusu küçük çap</t>
  </si>
  <si>
    <t xml:space="preserve">2011.B</t>
  </si>
  <si>
    <t xml:space="preserve">N2XH 4x6 mm2 (ADP→APP, UPS, YMP-01/02/03, ASP-01/02/03)</t>
  </si>
  <si>
    <t xml:space="preserve">N2XH 4x2,5 mm2 (ADP→SK)</t>
  </si>
  <si>
    <t xml:space="preserve">N2XH 4x6+6 (UPS→UPS dağıtım panosu) / H07Z-R 1x6 PE</t>
  </si>
  <si>
    <t xml:space="preserve">REF-derin – İzmir Buca M. Prysmian 2021 4x6 3,59 (M)+%35, +%25 1x6 PE→6,06; Bursa T2 Delta 2015 4x6 2,55 (M)+%35, +%25 1x6 PE→4,31; Bursa T2 Haluk 2015 4x6 3,51 +%25 1x6 PE→4,38; Bursa T2 MET 2015 4x6 4,40 +%25 1x6 PE→5,50 → medyan 4,94 [Emsal ID: R00687;R00850;R00903;R00974]</t>
  </si>
  <si>
    <t xml:space="preserve">N2XH 4x6+6 + PE | İlk tahmin BF 7.00</t>
  </si>
  <si>
    <t xml:space="preserve">N2XH 3x2,5 mm2 – UPS panosundan sistem panolarına besleme (turnike 25, yolcu bilg. 60, biletmatik 15, haberleşme 5, AVLS 10, TSKP 10, SKP 10, DU 15)</t>
  </si>
  <si>
    <t xml:space="preserve">N2XH 3x6 mm2 TSKP kavşak panosu beslemesi (kavşak ≥55 m ise)</t>
  </si>
  <si>
    <t xml:space="preserve">REF-derin – İzmir Buca M. Prysmian 2021 4x6 3,59 (M)+%35, ×3/4 damar→3,64; Bursa T2 Delta 2015 4x6 2,55 (M)+%35, ×3/4 damar→2,59; Bursa T2 Haluk 2015 4x6 3,51 ×3/4 damar→2,63; Bursa T2 MET 2015 4x6 4,40 ×3/4 damar→3,30 → medyan 2,96 [Emsal ID: R00687;R00850;R00903;R00974]</t>
  </si>
  <si>
    <t xml:space="preserve">İdare: TSKP kapsam dışı | İlk tahmin BF 4.50</t>
  </si>
  <si>
    <t xml:space="preserve">Ø110 koruge (HDPE) elektrik borusu – peron/üst geçit borulama</t>
  </si>
  <si>
    <t xml:space="preserve">Galvanizli çelik kablo borusu / spiral (üst geçit ve saçak inişleri)</t>
  </si>
  <si>
    <t xml:space="preserve">Galv. boru/spiral</t>
  </si>
  <si>
    <t xml:space="preserve">Kablo merdiveni 300 mm (ADP/pano odası, panolar arası) + askı/konsol</t>
  </si>
  <si>
    <t xml:space="preserve">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</si>
  <si>
    <t xml:space="preserve">Merdiven 300 + askı | İlk tahmin BF 25.00</t>
  </si>
  <si>
    <t xml:space="preserve">Delikli kablo tavası 100 mm + kapak (pano odası–peron geçişleri)</t>
  </si>
  <si>
    <t xml:space="preserve">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</si>
  <si>
    <t xml:space="preserve">Tava 100 + kapak | İlk tahmin BF 14.00</t>
  </si>
  <si>
    <t xml:space="preserve">Yangın durdurucu (duvar/döşeme geçişleri)</t>
  </si>
  <si>
    <t xml:space="preserve">Kablo başlık/pabuç, etiket, test (izolasyon ölçümü)</t>
  </si>
  <si>
    <t xml:space="preserve">2011.C</t>
  </si>
  <si>
    <t xml:space="preserve">2011.D</t>
  </si>
  <si>
    <t xml:space="preserve">2011.E</t>
  </si>
  <si>
    <t xml:space="preserve">2011.G</t>
  </si>
  <si>
    <t xml:space="preserve">N2XH 3x240/120 mm2</t>
  </si>
  <si>
    <t xml:space="preserve">REF-derin – Prysmian 2021 Buca N2XH 1x240 30,3 €/m, 3x70/35 31,2 €/m (M, LME Cu 9.990 $/t) → ~0,127 €/mm²·m × 840 mm² = 107 € + %20 çekme → 128 €/m [Emsal ID: R00682;R00726;R00689]</t>
  </si>
  <si>
    <t xml:space="preserve">N2XH 3x240/120 | İlk tahmin BF 125.00</t>
  </si>
  <si>
    <t xml:space="preserve">N2XH 1x120 mm2 (T09→D01-ADP paralel PE)</t>
  </si>
  <si>
    <t xml:space="preserve">REF-derin – Bursa T2 Delta 2015 1x120 11,01 (M)+%25 montaj→13,76; İzmir Buca M. Prysmian 2021 1x95 12,01 (M)+%25, ×120/95→18,96; İzmir Buca M. Prysmian 2021 1x185 23,17 (M)+%25, ×120/185→18,79; İzmir Buca M. Prysmian 2021 1x240 30,32 (M)+%25, ×120/240→18,95; İzmir Buca M. Kablo ür. 2021 1x240 26,02 (M)+%25, ×120/240→16,26 → medyan 18,79 [Emsal ID: R00851;R00684;R00683;R00682;R00726]</t>
  </si>
  <si>
    <t xml:space="preserve">N2XH 1x120 | İlk tahmin BF 21.00</t>
  </si>
  <si>
    <t xml:space="preserve">N2XH FE180 3x185/95 mm2 (AJDP→JDP)</t>
  </si>
  <si>
    <t xml:space="preserve">REF-derin – Prysmian 2021 N2XH 1x185 23,2 €/m (M) → 0,127 €/mm²×650 mm²=83 € × FE180 farkı 1,25 + %20 montaj → 124 €/m [Emsal ID: R00683;R00691;R00682]</t>
  </si>
  <si>
    <t xml:space="preserve">FE180 3x185/95 | İlk tahmin BF 115.00</t>
  </si>
  <si>
    <t xml:space="preserve">N2XH FE180 1x185 mm2 + H07Z1 1x95 (jeneratör→AJDP)</t>
  </si>
  <si>
    <t xml:space="preserve">REF-derin – Prysmian 2021 N2XH 1x185 23,2 € ×1,25 (FE180) + 1x95 ~10 € → 39 € (M) + %20 montaj → 47 €/m [Emsal ID: R00683;R00684]</t>
  </si>
  <si>
    <t xml:space="preserve">FE180 1x185 + 1x95 | İlk tahmin BF 40.00</t>
  </si>
  <si>
    <t xml:space="preserve">N2XH 3x150/70 mm2</t>
  </si>
  <si>
    <t xml:space="preserve">REF-derin – İzmir Buca M. Prysmian 2021 3x70/35 31,16 (M)+%25, ×520/245 Cu→82,67; İzmir Buca M. Prysmian 2021 1x95 12,01 (M)+%25, ×520/95 Cu→82,16; İzmir Buca M. Prysmian 2021 1x185 23,17 (M)+%25, ×520/185 Cu→81,40; İzmir Buca M. Prysmian 2021 1x240 30,32 (M)+%25, ×520/240 Cu→82,13; İzmir Buca M. Kablo ür. 2021 1x240 26,02 (M)+%25, ×520/240 Cu→70,47 → medyan 82,13 [Emsal ID: R00689;R00684;R00683;R00682;R00726]</t>
  </si>
  <si>
    <t xml:space="preserve">N2XH 3x150/70 | İlk tahmin BF 75.00</t>
  </si>
  <si>
    <t xml:space="preserve">NYY 3x120/70 mm2</t>
  </si>
  <si>
    <t xml:space="preserve">REF-derin – Prysmian 2021 N2XH 3x70/35 31,2 €, 1x240 30,3 € (M) → 0,127 €/mm²×430 mm² ×0,9 (NYY/PVC) = 49 € + %20 → 59 €/m [Emsal ID: R00689;R00682]</t>
  </si>
  <si>
    <t xml:space="preserve">NYY 3x120/70 | İlk tahmin BF 58.00</t>
  </si>
  <si>
    <t xml:space="preserve">N2XH 3x120/70 mm2</t>
  </si>
  <si>
    <t xml:space="preserve">REF-derin – Prysmian 2021 N2XH (M) 0,127 €/mm²×430 mm² = 54,6 € + %20 montaj → 65,5 €/m [Emsal ID: R00689;R00682]</t>
  </si>
  <si>
    <t xml:space="preserve">N2XH 3x120/70 | İlk tahmin BF 62.00</t>
  </si>
  <si>
    <t xml:space="preserve">N2XH FE180 3x95/50 mm2 (su deposu yangın pompaları YPP-001/002)</t>
  </si>
  <si>
    <t xml:space="preserve">REF-derin – Prysmian 2021 N2XH 3x70/35 31,2 € (M) ölçekli 335 mm² = 42,5 € ×1,25 FE180 + %20 montaj → 63,8 €/m [Emsal ID: R00689;R00691]</t>
  </si>
  <si>
    <t xml:space="preserve">FE180 3x95/50 | İlk tahmin BF 58.00</t>
  </si>
  <si>
    <t xml:space="preserve">N2XH 3x70/35 mm2</t>
  </si>
  <si>
    <t xml:space="preserve">REF-derin – İzmir Buca M. Prysmian 2021 3x70/35 31,16 (M)+%25, ×245/245 Cu→38,95; İzmir Buca M. Prysmian 2021 1x95 12,01 (M)+%25, ×245/95 Cu→38,71; İzmir Buca M. Prysmian 2021 1x185 23,17 (M)+%25, ×245/185 Cu→38,35; İzmir Buca M. Prysmian 2021 1x240 30,32 (M)+%25, ×245/240 Cu→38,69; İzmir Buca M. Kablo ür. 2021 1x240 26,02 (M)+%25, ×245/240 Cu→33,20 → medyan 38,69 [Emsal ID: R00689;R00684;R00683;R00682;R00726]</t>
  </si>
  <si>
    <t xml:space="preserve">N2XH 3x70/35 | İlk tahmin BF 36.00</t>
  </si>
  <si>
    <t xml:space="preserve">N2XH 3x50/25 mm2</t>
  </si>
  <si>
    <t xml:space="preserve">REF-derin – İzmir Buca M. Prysmian 2021 3x70/35 31,16 (M)+%25, ×175/245 Cu→27,82; İzmir Buca M. Prysmian 2021 1x95 12,01 (M)+%25, ×175/95 Cu→27,65; İzmir Buca M. Prysmian 2021 1x185 23,17 (M)+%25, ×175/185 Cu→27,40; İzmir Buca M. Prysmian 2021 1x240 30,32 (M)+%25, ×175/240 Cu→27,64; İzmir Buca M. Kablo ür. 2021 1x240 26,02 (M)+%25, ×175/240 Cu→23,72 → medyan 27,64 [Emsal ID: R00689;R00684;R00683;R00682;R00726]</t>
  </si>
  <si>
    <t xml:space="preserve">N2XH 3x50/25 | İlk tahmin BF 27.00</t>
  </si>
  <si>
    <t xml:space="preserve">N2XH 3x35/16 mm2</t>
  </si>
  <si>
    <t xml:space="preserve">REF-derin – İzmir Buca M. Prysmian 2021 3x70/35 31,16 (M)+%25, ×121/245 Cu→19,24; İzmir Buca M. Prysmian 2021 1x95 12,01 (M)+%25, ×121/95 Cu→19,12; İzmir Buca M. Prysmian 2021 1x185 23,17 (M)+%25, ×121/185 Cu→18,94; İzmir Buca M. Prysmian 2021 1x240 30,32 (M)+%25, ×121/240 Cu→19,11; İzmir Buca M. Kablo ür. 2021 1x240 26,02 (M)+%25, ×121/240 Cu→16,40 → medyan 19,11 [Emsal ID: R00689;R00684;R00683;R00682;R00726]</t>
  </si>
  <si>
    <t xml:space="preserve">N2XH 3x35/16 | İlk tahmin BF 21.00</t>
  </si>
  <si>
    <t xml:space="preserve">N2XH 3x25/16 mm2 (N2XH 60 + FE180 28+30)</t>
  </si>
  <si>
    <t xml:space="preserve">REF-derin – İzmir Buca M. Prysmian 2021 3x70/35 31,16 (M)+%25, ×91/245 Cu, +%15 FE180 payı→16,64; İzmir Buca M. Prysmian 2021 4x16 8,51 (M)+%25, ×91/64 Cu, +%15 FE→17,39; Bursa T2 Haluk 2015 4x16 7,57 ×91/64 Cu, +%15 FE→12,38; Bursa T2 MET 2015 4x16 10,23 ×91/64 Cu, +%15 FE→16,73 → medyan 16,68 [Emsal ID: R00689;R00688;R00902;R00973]</t>
  </si>
  <si>
    <t xml:space="preserve">N2XH/FE180 3x25/16 | İlk tahmin BF 17.00</t>
  </si>
  <si>
    <t xml:space="preserve">N2XH 4x16 mm2 (N2XH 564 + FE180 17)</t>
  </si>
  <si>
    <t xml:space="preserve">REF-derin – N2XH 4x16: Prysmian 2021 8,5 € (M)+%20=10,2; Bursa T2 Haluk 2015 7,6 €, MET 10,2 € (M+İ) → medyan 10,2 €/m [Emsal ID: R00688;R00902;R00973]</t>
  </si>
  <si>
    <t xml:space="preserve">N2XH 4x16 | İlk tahmin BF 11.50</t>
  </si>
  <si>
    <t xml:space="preserve">NYY 4x16 mm2</t>
  </si>
  <si>
    <t xml:space="preserve">REF-derin – İzmir Buca M. Prysmian 2021 4x16 8,51 (M)+%25 montaj→10,63; Bursa T2 Haluk 2015 4x16 7,57; Bursa T2 MET 2015 4x16 10,23 → medyan 10,23 [Emsal ID: R00688;R00902;R00973]</t>
  </si>
  <si>
    <t xml:space="preserve">NYY 4x16 | İlk tahmin BF 10.50</t>
  </si>
  <si>
    <t xml:space="preserve">NYY 4x10 mm2 (D00-AP çevre aydınlatma panoları 8 fider + SKP-3/4 makas besleme)</t>
  </si>
  <si>
    <t xml:space="preserve">REF-derin – Prysmian 2021 FE180 4x10 6,5 €, N2XH 4x16 8,5 € → N2XH/NYY 4x10 ≈5,0 € (M) + %20 → 6,0 €/m [Emsal ID: R00691;R00688]</t>
  </si>
  <si>
    <t xml:space="preserve">NYY 4x10 | İlk tahmin BF 7.50</t>
  </si>
  <si>
    <t xml:space="preserve">N2XH 4x10 mm2 (N2XH 95+25 + FE180 25+60+92)</t>
  </si>
  <si>
    <t xml:space="preserve">REF-derin – İzmir Buca M. Prysmian 2021 FE180 4x10 6,45 (M)+%25 montaj→8,07; İzmir Buca M. Prysmian 2021 4x16 8,51 (M)+%25, ×0,65 Cu→6,91; Bursa T2 Haluk 2015 4x16 7,57 ×0,65 Cu→4,92; Bursa T2 MET 2015 4x16 10,23 ×0,65 Cu→6,65 → ağırlıklı %60 FE180 (8,07) + %40 N2XH medyan (6,65) = 7,50 [Emsal ID: R00691;R00688;R00902;R00973]</t>
  </si>
  <si>
    <t xml:space="preserve">N2XH/FE180 4x10 | İlk tahmin BF 8.50</t>
  </si>
  <si>
    <t xml:space="preserve">N2XH 4x6 mm2 (N2XH 733 + FE180 367)</t>
  </si>
  <si>
    <t xml:space="preserve">REF-derin – N2XH 4x6: Prysmian 2021 3,6 € (M)+%20=4,3; Bursa T2 Haluk 2015 3,5 €, MET 4,4 €, Delta Tema 2,6 € (M)+%20=3,1 → medyan 3,9 € ×1,08 (1/3 FE180) → 4,2 €/m [Emsal ID: R00687;R00903;R00974;R00850]</t>
  </si>
  <si>
    <t xml:space="preserve">N2XH/FE180 4x6 | İlk tahmin BF 6.00</t>
  </si>
  <si>
    <t xml:space="preserve">NYY 4x4 mm2 (SKP-1/2, I&amp;LSKP makas besleme)</t>
  </si>
  <si>
    <t xml:space="preserve">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</si>
  <si>
    <t xml:space="preserve">NYY 4x4 | İlk tahmin BF 4.20</t>
  </si>
  <si>
    <t xml:space="preserve">N2XH 3x2,5 mm2 (klima iç üniteler M5-M12, UPS U1-U4)</t>
  </si>
  <si>
    <t xml:space="preserve">H07Z-R PE iletkenleri (16-120 mm2) fiderlerle birlikte</t>
  </si>
  <si>
    <t xml:space="preserve">TAHMIN (emsal yok) – H07Z-R PE 16–120 karışık – kesit dağılımı belirsiz, 6 € korundu</t>
  </si>
  <si>
    <t xml:space="preserve">PE 16-120 ort.</t>
  </si>
  <si>
    <t xml:space="preserve">D02 trafo binası delikli kablo tavası 100 mm (KT-100)</t>
  </si>
  <si>
    <t xml:space="preserve">REF-derin – İzmir Buca M. EAE 2021 CTH100 tava 3,89 (M)+%40 montaj→5,45; Mersin M. Arkom 2021 100 mm tava 5,64 (M)+%40 montaj→7,89; Bursa T2 Haluk 2015 galv. tava €/kg 3,97 2,59 kg/m (100x60x1,5)→10,28; Bursa T2 MET 2015 galv. tava €/kg 3,41 2,59 kg/m→8,84 → medyan 8,36 [Emsal ID: R00800;R01102;R00853;R00935]</t>
  </si>
  <si>
    <t xml:space="preserve">Tava 100 | İlk tahmin BF 12.00</t>
  </si>
  <si>
    <t xml:space="preserve">D02 trafo binası kablo merdiveni/tava 500 mm (KT-500)</t>
  </si>
  <si>
    <t xml:space="preserve">REF-derin – KT-500 tava: Buca EAE 2021 CTA 500 20,7 €/m (M), Mezitli Arkom 2021 400/600 tava 13,0/17,9 → 500≈15,5 €/m (M); medyan 18,1 × 1,7 (kapak/ek/askı + montaj) → 30,8 €/m [Emsal ID: R00803;R01104;R01105]</t>
  </si>
  <si>
    <t xml:space="preserve">Merdiven/tava 500 | İlk tahmin BF 38.00</t>
  </si>
  <si>
    <t xml:space="preserve">Atölye+idari bina (D01) kablo tavaları KT-100/KT-200 (çoğu KT-200, çukurlarda h:-0,5 m, holde h:3,00/6,45 m) + askı/konsol</t>
  </si>
  <si>
    <t xml:space="preserve">REF-derin – KT-200 tava: Buca EAE 2021 8,3 €/m, Mezitli Arkom 2021 8,1 €/m (M) → 8,2 × 1,7 (askı/konsol+montaj) × 1,1 (6,45 m yükseklik) → 15,3 €/m [Emsal ID: R00801;R01101;R00800;R01102]</t>
  </si>
  <si>
    <t xml:space="preserve">KT-100/200 + askı | İlk tahmin BF 17.00</t>
  </si>
  <si>
    <t xml:space="preserve">Diğer depo binaları tavaları (D03, D05, D06)</t>
  </si>
  <si>
    <t xml:space="preserve">TAHMIN (emsal yok) – Emsal yok (tava genişliği belirsiz; kontrol: 100 mm tava REF ~8,4, kapaklı ~11,3 €/m)</t>
  </si>
  <si>
    <t xml:space="preserve">Tava ort.</t>
  </si>
  <si>
    <t xml:space="preserve">Tava topraklama iletkeni 16 mm2 çıplak Cu (tava boyunca)</t>
  </si>
  <si>
    <t xml:space="preserve">REF-derin – 16 mm² Cu: Buca 2021 örgülü 1,7 € (M)+%35=2,3; Bursa T2 Haluk 2015 4,4 €, MET 2,5 €; Başkentray Desat 3,0 €; Platin 2019 3,4 € → medyan 3,0 €/m [Emsal ID: R00724;R00900;R00971;R00518;R00485]</t>
  </si>
  <si>
    <t xml:space="preserve">Cu 16 çıplak | İlk tahmin BF 3.50</t>
  </si>
  <si>
    <t xml:space="preserve">Saha dışı fiderler için HDPE koruge boru Ø110/160 (binalar arası)</t>
  </si>
  <si>
    <t xml:space="preserve">TAHMIN (emsal yok) – HDPE koruge Ø110/160: refler (AUS 2018 3,5 €/m, YM Çerkezköy 2018 4,6 €/m) çap belirtmiyor – mevcut 5,5 € Ø160 payı ile makul [Emsal ID: R04035;R01311]</t>
  </si>
  <si>
    <t xml:space="preserve">HDPE Ø110/160 (kazı hariç)</t>
  </si>
  <si>
    <t xml:space="preserve">Yangın durdurucu, pabuç, etiket, testler</t>
  </si>
  <si>
    <t xml:space="preserve">Götürü depo</t>
  </si>
  <si>
    <t xml:space="preserve">D01 sistem/ekipman besleme kabloları N2XH 4x4–4x16 (IMP, MBP, AKT/003, TCCP/ZDUP rack)</t>
  </si>
  <si>
    <t xml:space="preserve">REF-derin(1) – Karışık kalem (kesit eşit dağılım varsayımı 4x4/4x6/4x10/4x16): N2XH4x4=3,33 + N2XH4x6=3,95 + 4x10mix=7,50 + N2XH4x16=10,23 → 6,25; dağılım belirsiz → mevcut 7,00 ile ort. = 6,63. Emsaller: N2XH4x4 [R00687;R00850;R00903;R00974;R01697;R02744] 3,33 | N2XH4x6 [R00687;R00850;R00903;R00974] 3,95 | 4x10mix [R00691;R00688;R00902;R00973] 7,50 | N2XH4x16 [R00688;R00902;R00973] 10,23 [Emsal ID: R00687;R00850;R00903;R00974;R01697;R02744;R00691;R00688;R00902;R00973]</t>
  </si>
  <si>
    <t xml:space="preserve">4x4-4x16 ort. | İlk tahmin BF 7.00</t>
  </si>
  <si>
    <t xml:space="preserve">D01 linye kabloları için HF boru/spiral + buat (sıva altı/üstü)</t>
  </si>
  <si>
    <t xml:space="preserve">REF-derin(1) – SAGE 2018 Q16 rijit boru aksesuarlı 1,7 €/m (M+İ) → mevcut 2,2 ile harmanlandı [Emsal ID: R03097]</t>
  </si>
  <si>
    <t xml:space="preserve">HF boru/spiral+buat | İlk tahmin BF 2.20</t>
  </si>
  <si>
    <t xml:space="preserve">D06 pompa/fan/kompresör besleme kabloları (4x4, 3x10, 3x2,5)</t>
  </si>
  <si>
    <t xml:space="preserve">REF-derin(1) – Karışık kalem (eşit dağılım 4x4/3x10/3x2,5): N2XH4x4=3,33 + N2XH3x2.5=1,83 + 3x10=4,94 → 3,37; dağılım belirsiz → mevcut 5,00 ile ort. = 4,18. Emsaller: N2XH4x4 [R00687;R00850;R00903;R00974;R01697;R02744] 3,33 | N2XH3x2.5 [R00685;R00727;R00848;R00901;R00972;R01622;R01802;R01827] 1,83 | 3x10 [R00687;R00850;R00903;R00974] 4,94 [Emsal ID: R00687;R00850;R00903;R00974;R01697;R02744;R00685;R00727;R00848;R00901;R00972;R01622;R01802;R01827]</t>
  </si>
  <si>
    <t xml:space="preserve">Karışık kesit | İlk tahmin BF 5.00</t>
  </si>
  <si>
    <t xml:space="preserve">D07 bariyer/klima/mekanik besleme kabloları M01-M05</t>
  </si>
  <si>
    <t xml:space="preserve">REF-derin(1) – Karışık kalem (küçük kesit varsayımı 3x2,5/3x4/5x2,5): N2XH3x2.5=1,83 + N2XH3x4=3,13 + N2XH5x2.5=2,64 → 2,53; dağılım belirsiz → mevcut 4,00 ile ort. = 3,27. Emsaller: N2XH3x2.5 [R00685;R00727;R00848;R00901;R00972;R01622;R01802;R01827] 1,83 | N2XH3x4 [R01697;R02744] 3,13 | N2XH5x2.5 [R00686;R00849;R00904;R00975] 2,64 [Emsal ID: R00685;R00727;R00848;R00901;R00972;R01622;R01802;R01827;R01697;R02744;R00686;R00849;R00904;R00975]</t>
  </si>
  <si>
    <t xml:space="preserve">Küçük kesit | İlk tahmin BF 4.00</t>
  </si>
  <si>
    <t xml:space="preserve">ÇAP101 besleme kablosu (D01 ADP→ÇAP101)</t>
  </si>
  <si>
    <t xml:space="preserve">REF-derin – İzmir Buca M. Prysmian 2021 4x16 8,51 (M)+%25, ×100/64 Cu→16,62; Bursa T2 Haluk 2015 4x16 7,57 ×100/64 Cu→11,83; Bursa T2 MET 2015 4x16 10,23 ×100/64 Cu→15,99; İzmir Buca M. Prysmian 2021 3x70/35 31,16 (M)+%25, ×100/245 Cu→15,90 → medyan 15,94 [Emsal ID: R00688;R00902;R00973;R00689]</t>
  </si>
  <si>
    <t xml:space="preserve">Kesit belirsiz, ~4x25 varsayım | İlk tahmin BF 14.00</t>
  </si>
  <si>
    <t xml:space="preserve">2011.F</t>
  </si>
  <si>
    <t xml:space="preserve">N2XH 4x6 mm2 (ADP→APP 10, UPS 10) + UPS→UPS panosu 4x6+6 10</t>
  </si>
  <si>
    <t xml:space="preserve">REF-derin – İzmir Buca M. Prysmian 2021 4x6 3,59 (M)+%35, ×1,075 (%30 4x6+6)→5,21; Bursa T2 Delta 2015 4x6 2,55 (M)+%35, ×1,075 (%30 4x6+6)→3,71; Bursa T2 Haluk 2015 4x6 3,51 ×1,075 (%30 4x6+6)→3,77; Bursa T2 MET 2015 4x6 4,40 ×1,075 (%30 4x6+6)→4,73 → medyan 4,25 [Emsal ID: R00687;R00850;R00903;R00974]</t>
  </si>
  <si>
    <t xml:space="preserve">4x6 + 4x6+6 karışık | İlk tahmin BF 5.80</t>
  </si>
  <si>
    <t xml:space="preserve">N2XH 4x2,5 mm2 (ADP→SK 25)</t>
  </si>
  <si>
    <t xml:space="preserve">N2XH 3x2,5 mm2 – UPS panosundan sistem panolarına</t>
  </si>
  <si>
    <t xml:space="preserve">N2XH 3x6 mm2 TSKP kavşak beslemesi</t>
  </si>
  <si>
    <t xml:space="preserve">Ø110 koruge (HDPE) elektrik borusu</t>
  </si>
  <si>
    <t xml:space="preserve">Kablo merdiveni 300 mm + delikli tava 100 mm (pano odası)</t>
  </si>
  <si>
    <t xml:space="preserve">2011.H</t>
  </si>
  <si>
    <t xml:space="preserve">NYY 3x185/95 mm2 (TR-06→Hızmalı Köprüsü 660 m, TR-07→Eyüp Peygamber 630 m)</t>
  </si>
  <si>
    <t xml:space="preserve">REF-derin – NYY 3x185/95: Prysmian 2021 N2XH 1x185 23,2 €, 3x70/35 31,2 € (M) → 0,127 €/mm²×650×0,9 = 74 € + %15 kanal içi serme → 85,4 €/m (mevcut 70 Cu içeriğine göre düşük: ~5,8 kg Cu/m) [Emsal ID: R00683;R00689]</t>
  </si>
  <si>
    <t xml:space="preserve">NYY 3x185/95; 6,44 km | İlk tahmin BF 70.00</t>
  </si>
  <si>
    <t xml:space="preserve">NYY 3x120/70 mm2 (TR-8→Harran 1590 m)</t>
  </si>
  <si>
    <t xml:space="preserve">REF-derin – Prysmian 2021 (M) 0,127 €/mm²×430×0,9 = 49 € + %15 kanal içi → 56,5 €/m [Emsal ID: R00689;R00682]</t>
  </si>
  <si>
    <t xml:space="preserve">NYY 3x120/70; 6,44 km | İlk tahmin BF 50.00</t>
  </si>
  <si>
    <t xml:space="preserve">NYY 3x95/50 mm2 (TR-06→Balıklıgöl 270 m, TR-8→Rasathane 390 m)</t>
  </si>
  <si>
    <t xml:space="preserve">REF-derin – Prysmian 2021 (M) 0,127 €/mm²×335×0,9 = 38,3 € + %15 → 44,0 €/m [Emsal ID: R00689;R00684]</t>
  </si>
  <si>
    <t xml:space="preserve">NYY 3x95/50; 6,44 km | İlk tahmin BF 42.00</t>
  </si>
  <si>
    <t xml:space="preserve">NYY 3x70/35 mm2 (TR-05→Göbeklitepe 820 m)</t>
  </si>
  <si>
    <t xml:space="preserve">REF-derin – Prysmian 2021 Buca N2XH 3x70/35 31,2 €/m (M) ×0,9 NYY +%15 → 32,3 €/m (tek kesit ama aynı kesit; Cu bazlı diğer reflerle tutarlı) [Emsal ID: R00689]</t>
  </si>
  <si>
    <t xml:space="preserve">NYY 3x70/35; 6,44 km | İlk tahmin BF 33.00</t>
  </si>
  <si>
    <t xml:space="preserve">N2XH-O 4x10 mm2 (TM UDP→makas kontrol panosu SKP-1, 634 m/TM)</t>
  </si>
  <si>
    <t xml:space="preserve">REF-derin(1) – Prysmian 2021 FE180 4x10 6,5 €/m (M) → N2XH 4x10 ≈5,2 + %15 = 6,0 €; mevcut 8,5 ile harmanlandı → 7,25 [Emsal ID: R00691]</t>
  </si>
  <si>
    <t xml:space="preserve">N2XH 4x10; 6,44 km | İlk tahmin BF 8.50</t>
  </si>
  <si>
    <t xml:space="preserve">Kablo başlık/pabuç (NYY 70-185 mm2)</t>
  </si>
  <si>
    <t xml:space="preserve">Pabuç/başlık 70-185</t>
  </si>
  <si>
    <t xml:space="preserve">Hatboyu kablo kanalı içi AG kablo konsolu/kelepçe (kanal duvarına)</t>
  </si>
  <si>
    <t xml:space="preserve">TAHMIN (emsal yok) – Kanal içi konsol/kelepçe – emsal yok</t>
  </si>
  <si>
    <t xml:space="preserve">Konsol/kelepçe</t>
  </si>
  <si>
    <t xml:space="preserve">Yol/kavşak geçişleri HDPE boru Ø160 (AG fiderleri)</t>
  </si>
  <si>
    <t xml:space="preserve">HDPE Ø160 (kazı hariç); 6,44 km</t>
  </si>
  <si>
    <t xml:space="preserve">Hatboyu aydınlatma kablo koruma borusu HDPE koruge (yol geçişleri + tranşe)</t>
  </si>
  <si>
    <t xml:space="preserve">TAHMIN (emsal yok) – HDPE koruge (hatboyu): AUS 2018 HDPE muhafaza borusu 3,5 €/m M+İ ile aynı – çap belirsiz, 3,5 € korundu [Emsal ID: R04035;R01311]</t>
  </si>
  <si>
    <t xml:space="preserve">HDPE koruge; 6,44 km</t>
  </si>
  <si>
    <t xml:space="preserve">AP (aydınlatma) panoları beslemesi NYY 4x16 (mevcut DEDAŞ şebekesinden)</t>
  </si>
  <si>
    <t xml:space="preserve">NYY 4x16; 6,44 km | İlk tahmin BF 10.50</t>
  </si>
  <si>
    <t xml:space="preserve">Gerilim düşümü doğrulaması ve kablo testleri</t>
  </si>
  <si>
    <t xml:space="preserve">Testler</t>
  </si>
  <si>
    <t xml:space="preserve">5001</t>
  </si>
  <si>
    <t xml:space="preserve">İstasyon AG-aydınlatma uygulama projeleri (Tip1 Tip3 Tip4 – 6 istasyon adaptasyonu dahil)</t>
  </si>
  <si>
    <t xml:space="preserve">TAHMIN (emsal yok) – Elektrik uygulama projesi/hesap/as-built – tramvay ölçeğinde emsal yok (metro tasarım refleri ölçek dışı)</t>
  </si>
  <si>
    <t xml:space="preserve">Uygulama projesi</t>
  </si>
  <si>
    <t xml:space="preserve">Depo sahası binaları AG-aydınlatma uygulama projeleri (D01 D02 D03 D05 D06 D07 + çevre aydınlatma)</t>
  </si>
  <si>
    <t xml:space="preserve">Hat trafo binaları (T00 tip ×4) AG-aydınlatma uygulama projeleri</t>
  </si>
  <si>
    <t xml:space="preserve">Tip proje x4</t>
  </si>
  <si>
    <t xml:space="preserve">Hatboyu aydınlatma uygulama projesi (yol aydınlatma planları + pano cetvelleri + TEDAŞ onayı)</t>
  </si>
  <si>
    <t xml:space="preserve">Proje+TEDAŞ onayı</t>
  </si>
  <si>
    <t xml:space="preserve">Aydınlatma hesapları (DIALux) + kablo kesit / gerilim düşümü / kısa devre / selektivite hesapları</t>
  </si>
  <si>
    <t xml:space="preserve">Hesaplar</t>
  </si>
  <si>
    <t xml:space="preserve">Topraklama ve yıldırımdan korunma hesap raporları (istasyon depo trafo)</t>
  </si>
  <si>
    <t xml:space="preserve">TAHMIN (emsal yok) – Emsal yok (mühendislik/doküman)</t>
  </si>
  <si>
    <t xml:space="preserve">Hesap raporları</t>
  </si>
  <si>
    <t xml:space="preserve">UPS ve akü kapasite hesapları (IEEE 485) + tali pano imalat projeleri onayı</t>
  </si>
  <si>
    <t xml:space="preserve">Hesap+onay</t>
  </si>
  <si>
    <t xml:space="preserve">As-built projeler ve işletme-bakım dokümantasyonu</t>
  </si>
  <si>
    <t xml:space="preserve">As-built+O&amp;M</t>
  </si>
  <si>
    <t xml:space="preserve">5002.A</t>
  </si>
  <si>
    <t xml:space="preserve">66W LED direk üstü aydınlatma armatürü (IP65/66 peron)</t>
  </si>
  <si>
    <t xml:space="preserve">REF-derin(1) – Ankara-Sivas Platin 2019 LED projektör ≤100 W 274,8 € (poz 742.455, montajlı) → mevcut 260 ile harmanlandı [Emsal ID: R00490]</t>
  </si>
  <si>
    <t xml:space="preserve">LED 66W direk üstü | İlk tahmin BF 260.00</t>
  </si>
  <si>
    <t xml:space="preserve">Peron aydınlatma direği h=3,5 m galvaniz çift kollu (ankraj dahil – temel inşai)</t>
  </si>
  <si>
    <t xml:space="preserve">TAHMIN (emsal yok) – 3,5 m çift kollu peron direği: kg bazlı (Haluk 2,5 €/kg) ~250–350 € çıkar; dekoratif/mimari şartname olabileceğinden 550 korundu – biraz yüksek [Emsal ID: R00852]</t>
  </si>
  <si>
    <t xml:space="preserve">Direk 3,5 m (temel inşai)</t>
  </si>
  <si>
    <t xml:space="preserve">66W LED projektör (IP66)</t>
  </si>
  <si>
    <t xml:space="preserve">REF-derin(1) – Ankara-Sivas YHT Platin 2019 LED prj ≤100W (M+İ) 274,81 → emsal 274,81 ; tek emsal → mevcut 180,00 ile ort. = 227,40 [Emsal ID: R00490]</t>
  </si>
  <si>
    <t xml:space="preserve">LED projektör | İlk tahmin BF 180.00</t>
  </si>
  <si>
    <t xml:space="preserve">30W IP65 LED lineer armatür (peron kanopi kenarı)</t>
  </si>
  <si>
    <t xml:space="preserve">REF-derin – İzmir Buca M. Signify 2021 LED38 IP65 etanj 32,28 (M)+%30 montaj→41,96; Ankara-Sivas YHT Platin 2019 20W etanj (M+İ) 47,52 ×1,2 (20→30W)→57,03; Bursa T2 Haluk 2015 23/41W etanj ort. 109,10; Bursa T2 MET 2015 23/41W etanj ort. 80,24 → medyan 68,64 [Emsal ID: R00665;R00488;R00921;R00922;R00988]</t>
  </si>
  <si>
    <t xml:space="preserve">LED 30W IP65 | İlk tahmin BF 75.00</t>
  </si>
  <si>
    <t xml:space="preserve">30W IP65 LED turnike üzeri kanopi armatürü (UPS hattı)</t>
  </si>
  <si>
    <t xml:space="preserve">36W IP65 LED armatür (pano odası + güvenlik kabini)</t>
  </si>
  <si>
    <t xml:space="preserve">REF-derin – İzmir Buca M. Signify 2021 LED38 IP65 etanj 32,28 (M)+%30 montaj→41,96; Bursa T2 Haluk 2015 41W IP65 etanj (M+İ) 123,99; Bursa T2 MET 2015 41W IP65 etanj (M+İ) 80,24 → medyan 80,24 [Emsal ID: R00665;R00921;R00988]</t>
  </si>
  <si>
    <t xml:space="preserve">LED 36W IP65 | İlk tahmin BF 70.00</t>
  </si>
  <si>
    <t xml:space="preserve">100W kubbe/kanopi acil aydınlatma armatürü – projede aydınlatma ucu (UPS)</t>
  </si>
  <si>
    <t xml:space="preserve">REF-derin(1) – Platin 2019 LED projektör ≤100 W 274,8 € (montajlı) → mevcut 220 ile harmanlandı [Emsal ID: R00490]</t>
  </si>
  <si>
    <t xml:space="preserve">LED 100W kanopi | İlk tahmin BF 220.00</t>
  </si>
  <si>
    <t xml:space="preserve">Totem iç aydınlatması besleme ucu (500W)</t>
  </si>
  <si>
    <t xml:space="preserve">TAHMIN (emsal yok) – Emsal yok (cihaz bazında; Bursa T2/Başkentray "priz sortisi" 25-91 € kablo dahil → kıyas dışı)</t>
  </si>
  <si>
    <t xml:space="preserve">Besleme ucu</t>
  </si>
  <si>
    <t xml:space="preserve">Ortam korumalı (IP55) adi aydınlatma anahtarı</t>
  </si>
  <si>
    <t xml:space="preserve">Anahtar IP55</t>
  </si>
  <si>
    <t xml:space="preserve">Harici aydınlatma astronomik zaman rölesi + kontaktör grubu (APP içinde)</t>
  </si>
  <si>
    <t xml:space="preserve">REF-derin – Bursa T2 Haluk 2015 astronomik röle (M+İ) 89,90; Bursa T2 MET 2015 astronomik röle (M+İ) 52,34 → medyan 71,12 + 90 kontaktör grubu (tahmin) = 161,12 [Emsal ID: R00872;R00949]</t>
  </si>
  <si>
    <t xml:space="preserve">Astronomik röle+kontaktör | İlk tahmin BF 250.00</t>
  </si>
  <si>
    <t xml:space="preserve">Monofaze etanj/gömme topraklı priz (16A)</t>
  </si>
  <si>
    <t xml:space="preserve">Priz 16A</t>
  </si>
  <si>
    <t xml:space="preserve">APP aydınlatma-priz tali panosu (IP65 dahili/harici 3F 25A giriş 8-10 çıkış KAKS 30mA)</t>
  </si>
  <si>
    <t xml:space="preserve">APP panosu</t>
  </si>
  <si>
    <t xml:space="preserve">UPP UPS'ten beslenen aydınlatma-priz/UPS dağıtım panosu (12-13 çıkış RCBO)</t>
  </si>
  <si>
    <t xml:space="preserve">UPP panosu</t>
  </si>
  <si>
    <t xml:space="preserve">SK sigorta kutusu (güvenlik kabini 3F 25A 6 çıkış)</t>
  </si>
  <si>
    <t xml:space="preserve">SK kutusu</t>
  </si>
  <si>
    <t xml:space="preserve">UPS 10 kVA 3F/3F online IGBT + manuel by-pass</t>
  </si>
  <si>
    <t xml:space="preserve">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</si>
  <si>
    <t xml:space="preserve">UPS 10 kVA montaj+devreye alma | İlk tahmin BF 5,300.00</t>
  </si>
  <si>
    <t xml:space="preserve">UPS akü grubu VRLA 2 saat otonomi (10 kVA tam yük) – 32×12V 100Ah blok (384 V DC) + akü kabini</t>
  </si>
  <si>
    <t xml:space="preserve">TAHMIN (emsal yok) – Akü: Cesa 2021 12V105Ah 341 €/blok, Uskom 2018 12V150Ah 571 €/blok yangın/telekom panelinde tekil alım (aşırı); 2026 blok bazlı (12V-33Ah ~75 €) hesap mevcut ile uyumlu [Emsal ID: R01952;R01745]</t>
  </si>
  <si>
    <t xml:space="preserve">İdare: istasyon UPS 20 dk (32x12V ~33Ah)</t>
  </si>
  <si>
    <t xml:space="preserve">N2XH 3x2,5 mm² aydınlatma-priz linye + sorti kablosu</t>
  </si>
  <si>
    <t xml:space="preserve">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</si>
  <si>
    <t xml:space="preserve">Linye+sorti | İlk tahmin BF 2.60</t>
  </si>
  <si>
    <t xml:space="preserve">N2XH 5x2,5 mm² lineer armatür linyesi</t>
  </si>
  <si>
    <t xml:space="preserve">REF-derin – İzmir Buca M. Prysmian 2021 5x2,5 2,02 (M)+%35 montaj→2,73; Bursa T2 Delta 2015 5x2,5 1,57 (M)+%35 montaj→2,12; Bursa T2 Haluk 2015 5x2,5 2,54; Bursa T2 MET 2015 5x2,5 2,78 → medyan 2,64 [Emsal ID: R00686;R00849;R00904;R00975]</t>
  </si>
  <si>
    <t xml:space="preserve">Linye | İlk tahmin BF 3.50</t>
  </si>
  <si>
    <t xml:space="preserve">Isı büzüşmeli kablo ek/sorti seti + buat (IP66) – yerden armatür beslemeleri</t>
  </si>
  <si>
    <t xml:space="preserve">Ek seti+buat</t>
  </si>
  <si>
    <t xml:space="preserve">5002.B</t>
  </si>
  <si>
    <t xml:space="preserve">TAHMIN (emsal yok) – Emsal yok (direk üstü peron armatürü; R00490 LED prj ≤100W 274,81 farklı tip)</t>
  </si>
  <si>
    <t xml:space="preserve">LED 66W direk üstü</t>
  </si>
  <si>
    <t xml:space="preserve">REF-derin(1) – Bursa T2 Haluk 2015 poligon direk €/kg (M+İ) 2,48 ×70 kg, +%15 ankraj→199,63; Bursa T2 MET 2015 poligon direk €/kg (M+İ) 3,20 ×70 kg, +%15 ankraj→257,35 → medyan 228,49 ; emsal ağırlık/tip varsayımına bağlı (tek emsal sayıldı) → mevcut 550,00 ile ort. = 389,24 [Emsal ID: R00852;R00934]</t>
  </si>
  <si>
    <t xml:space="preserve">Direk 3,5 m (temel inşai) | İlk tahmin BF 550.00</t>
  </si>
  <si>
    <t xml:space="preserve">TAHMIN (emsal yok) – Emsal yok (100W kanopi acil armatür; projektör refi farklı tip)</t>
  </si>
  <si>
    <t xml:space="preserve">LED 100W kanopi</t>
  </si>
  <si>
    <t xml:space="preserve">66W LED armatür – üst geçit / yürüyen merdiven bölgesi</t>
  </si>
  <si>
    <t xml:space="preserve">REF-derin(1) – İzmir Buca M. Signify 2021 LED70 IP65 etanj 64,80 (M)+%30 montaj→84,24 → emsal 84,24 ; tek emsal → mevcut 150,00 ile ort. = 117,12 [Emsal ID: R00666]</t>
  </si>
  <si>
    <t xml:space="preserve">LED 66W | İlk tahmin BF 150.00</t>
  </si>
  <si>
    <t xml:space="preserve">TAHMIN (emsal yok) – Emsal yok (akü refleri 12V 105-150Ah blok: R01952 340,68 / R02124 250,16 (M); 100Ah×32 tam kapasite ~8-11 bin €; fiyat İdare 20 dk ~33Ah kapsamına göre — kalem metni ile not çelişkili, kontrol edilmeli)</t>
  </si>
  <si>
    <t xml:space="preserve">5002.C</t>
  </si>
  <si>
    <t xml:space="preserve">5002.D</t>
  </si>
  <si>
    <t xml:space="preserve">5002.E</t>
  </si>
  <si>
    <t xml:space="preserve">5002.F</t>
  </si>
  <si>
    <t xml:space="preserve">5002.G</t>
  </si>
  <si>
    <t xml:space="preserve">D01 – 60x60 asma tavan LED panel armatür 25W (ÖE.02/ÖE.03 IP20)</t>
  </si>
  <si>
    <t xml:space="preserve">REF-derin – 60x60 LED panel: Platin 2019 58,2 € (montajlı), Philips 2021 RC148B 39,4 € (M)+%20=47,3, Bursa T2 Haluk 2015 31 W 62,5 €, MET 72,6 € → medyan 60,4 € [Emsal ID: R00486;R00669;R00924;R00991]</t>
  </si>
  <si>
    <t xml:space="preserve">LED panel 25W | İlk tahmin BF 50.00</t>
  </si>
  <si>
    <t xml:space="preserve">D01 – 38W LED armatür (lejantta tanımsız – 60x60 yüksek akı öngörü)</t>
  </si>
  <si>
    <t xml:space="preserve">REF-derin – İzmir Buca M. Signify 2021 60x60 LED40 panel 39,45 (M)+%30 montaj→51,28; Ankara-Sivas YHT Platin 2019 60x60 LED 36W (M+İ) 58,24; Bursa T2 Haluk 2015 31W 60x60 (M+İ) 62,52; Bursa T2 MET 2015 31W 60x60 (M+İ) 72,57 → medyan 60,38 [Emsal ID: R00669;R00486;R00924;R00991]</t>
  </si>
  <si>
    <t xml:space="preserve">LED 38W | İlk tahmin BF 65.00</t>
  </si>
  <si>
    <t xml:space="preserve">D01 – Spot tipi 13W gömme LED armatür (IP54)</t>
  </si>
  <si>
    <t xml:space="preserve">REF-derin – İzmir Buca M. Signify 2021 downlight 20W 65,85 (M)+%30, ×0,8 (13W)→68,49; Ankara-Sivas YHT Platin 2019 downlight 24W (M+İ) 35,60 ×0,8 (13W)→28,48; Bursa T2 Haluk 2015 downlight 24W (M+İ) 32,96 ×0,8→26,37; Bursa T2 MET 2015 downlight 24W (M+İ) 30,00 ×0,8→24,00 → medyan 27,43 [Emsal ID: R00668;R00487;R00925;R00992]</t>
  </si>
  <si>
    <t xml:space="preserve">Spot 13W | İlk tahmin BF 30.00</t>
  </si>
  <si>
    <t xml:space="preserve">D01 – 21W LED armatür / 21W ayna üstü LED (IP54)</t>
  </si>
  <si>
    <t xml:space="preserve">REF-derin – İzmir Buca M. Signify 2021 LED18 L600 23,45 (M)+%30 montaj→30,48; Ankara-Sivas YHT Platin 2019 20W etanj (M+İ) 47,52; Bursa T2 Haluk 2015 19W etanj (M+İ) 59,38; Bursa T2 MET 2015 19W etanj (M+İ) 49,06 → medyan 48,29 [Emsal ID: R00667;R00488;R00923;R00990]</t>
  </si>
  <si>
    <t xml:space="preserve">LED 21W | İlk tahmin BF 40.00</t>
  </si>
  <si>
    <t xml:space="preserve">D01 – Sıva üstü 24W ortam korumalı LED armatür (IP65)</t>
  </si>
  <si>
    <t xml:space="preserve">REF-derin – İzmir Buca M. Signify 2021 LED18 L600 23,45 (M)+%30 montaj→30,48; Ankara-Sivas YHT Platin 2019 20W etanj (M+İ) 47,52; Bursa T2 Haluk 2015 19W etanj (M+İ) 59,38; Bursa T2 MET 2015 19W etanj (M+İ) 49,06; Bursa T2 Haluk 2015 23W etanj (M+İ) 94,22; Bursa T2 MET 2015 23W etanj (M+İ) 80,24 → medyan 54,22 [Emsal ID: R00667;R00488;R00923;R00990;R00922;R00989]</t>
  </si>
  <si>
    <t xml:space="preserve">LED 24W IP65 | İlk tahmin BF 50.00</t>
  </si>
  <si>
    <t xml:space="preserve">D01 – Sıva üstü 30W ortam korumalı LED armatür (IP65)</t>
  </si>
  <si>
    <t xml:space="preserve">REF-derin – ~30 W IP65 etanj: Philips 2021 WT166C 32,3 € (M)+%20=38,8; Bursa T2 Haluk 2015 23 W 94,2 €, MET 80,2 €; Platin 2019 20 W 47,5 € → medyan 63,9 € [Emsal ID: R00665;R00922;R00989;R00488]</t>
  </si>
  <si>
    <t xml:space="preserve">LED 30W IP65 | İlk tahmin BF 60.00</t>
  </si>
  <si>
    <t xml:space="preserve">D01 – Atölye tipi 100W LED armatür (high-bay)</t>
  </si>
  <si>
    <t xml:space="preserve">TAHMIN (emsal yok) – High-bay 100 W için emsal yok; 160 € makul</t>
  </si>
  <si>
    <t xml:space="preserve">High-bay 100W</t>
  </si>
  <si>
    <t xml:space="preserve">D01 – 125W LED projektör (IP66)</t>
  </si>
  <si>
    <t xml:space="preserve">REF-derin(1) – Platin 2019 LED projektör ≤100 W 274,8 € ×1,1 (125 W) = 302 € → mevcut 190 ile harmanlandı [Emsal ID: R00490]</t>
  </si>
  <si>
    <t xml:space="preserve">Projektör 125W | İlk tahmin BF 190.00</t>
  </si>
  <si>
    <t xml:space="preserve">D01 – Acil çıkış / yönlendirme LED armatürü 1x8W (UPS hattı)</t>
  </si>
  <si>
    <t xml:space="preserve">REF-derin – Bursa T2 Haluk 2015 yönlendirme 2 saat (M+İ) 48,57; Başkentray Desat 2012 sürekli acil armatür (M+İ) 89,05 → medyan 68,81 [Emsal ID: R00905;R00531]</t>
  </si>
  <si>
    <t xml:space="preserve">Yönlendirme 8W | İlk tahmin BF 65.00</t>
  </si>
  <si>
    <t xml:space="preserve">D01 – Kendinden bataryalı acil aydınlatma armatürü (E.L.)</t>
  </si>
  <si>
    <t xml:space="preserve">REF-derin – Başkentray Desat 2012 acil armatür 3 saat (M+İ) 89,05; Ankara-Sivas YHT Platin 2019 20W etanj 47,52 + acil kit R00489 40,51 → 88,03 → medyan 88,54 [Emsal ID: R00531;R00488;R00489]</t>
  </si>
  <si>
    <t xml:space="preserve">Acil armatür | İlk tahmin BF 75.00</t>
  </si>
  <si>
    <t xml:space="preserve">D01 – Aydınlatma anahtarı (adi komütatör vaviyen ortam korumalı karışık) + hareket sensörü</t>
  </si>
  <si>
    <t xml:space="preserve">Anahtar/sensör ort.</t>
  </si>
  <si>
    <t xml:space="preserve">D01 – Monofaze topraklı priz 16A (normal + UPS kırmızı)</t>
  </si>
  <si>
    <t xml:space="preserve">D01 – Özel güç prizi / besleme ucu 1F (el kurutma 600W ×2 + 1000W + 1050W ×2)</t>
  </si>
  <si>
    <t xml:space="preserve">D01 – Kombine priz kutusu (16A 1F + 32A 3F CEE IP44/67) – atölye kuvvet prizi</t>
  </si>
  <si>
    <t xml:space="preserve">TAHMIN (emsal yok) – Kombine CEE priz kutusu emsal yok</t>
  </si>
  <si>
    <t xml:space="preserve">Kombine priz kutusu</t>
  </si>
  <si>
    <t xml:space="preserve">D01 – Mutfak/ekipman besleme ucu (MP/101 BESLEME UCU)</t>
  </si>
  <si>
    <t xml:space="preserve">D01 – APP aydınlatma-priz tali panoları (APP/101 APP/Z01 APP/Z02 APP/Z03)</t>
  </si>
  <si>
    <t xml:space="preserve">REF-derin – Buca TEDAK 2021 tali dağıtım panosu SCT duvar tipi IP65 ort. 3.011 €, GSP ort. 2.828 € → medyan 2.920 € (mevcut 1.800/2.500 düşük) [Emsal ID: R00720;R00721]</t>
  </si>
  <si>
    <t xml:space="preserve">APP tali pano | İlk tahmin BF 1,800.00</t>
  </si>
  <si>
    <t xml:space="preserve">D01 – UPP UPS'ten beslenen aydınlatma-priz panoları (UPP/101 UPP/Z01 UPP/Z02 UPP/Z03)</t>
  </si>
  <si>
    <t xml:space="preserve">UPP tali pano | İlk tahmin BF 1,800.00</t>
  </si>
  <si>
    <t xml:space="preserve">D01 – AKT atölye kuvvet/priz tali panoları (AKT/001..004)</t>
  </si>
  <si>
    <t xml:space="preserve">AKT kuvvet panosu | İlk tahmin BF 2,500.00</t>
  </si>
  <si>
    <t xml:space="preserve">D01 – Atölye bölüm priz panoları (BPP EBP IMP KAP MBP /Z01)</t>
  </si>
  <si>
    <t xml:space="preserve">TAHMIN (emsal yok) – Bölüm priz panoları daha küçük; TEDAK tali (3.011) üst sınır, 1.500 korundu [Emsal ID: R00720]</t>
  </si>
  <si>
    <t xml:space="preserve">Bölüm priz panosu</t>
  </si>
  <si>
    <t xml:space="preserve">D01 – TCC ve zayıf akım UPS priz panoları (TCCP/101 ZDUP/101)</t>
  </si>
  <si>
    <t xml:space="preserve">UPS priz panosu</t>
  </si>
  <si>
    <t xml:space="preserve">D01 – Mutfak/besleme ucu panosu MP/101</t>
  </si>
  <si>
    <t xml:space="preserve">MP panosu</t>
  </si>
  <si>
    <t xml:space="preserve">D01 – UPS 30 kVA 3F/3F online + by-pass (bina UPS ve TCC UPS)</t>
  </si>
  <si>
    <t xml:space="preserve">REF-derin(1) – 30 kVA UPS: Buca 2021 20/40 kVA+120 dk tekliflerinden akü ayrıştırılarak 30 kVA gövde ~7,5 k€ (M)+%15 = 8.600; (Bursa T2 hizmet binası UPS 10,5–11 k€ akülü, kVA belirsiz) → mevcut 11.000 ile harmanlandı [Emsal ID: R00677;R00675;R00895;R00966]</t>
  </si>
  <si>
    <t xml:space="preserve">UPS 30 kVA kurulu | İlk tahmin BF 11,000.00</t>
  </si>
  <si>
    <t xml:space="preserve">D01 – UPS akü grubu VRLA 2 saat otonomi (30 kVA) – 40×12V 200Ah blok (480 V DC) + akü rafı/kabini</t>
  </si>
  <si>
    <t xml:space="preserve">TAHMIN (emsal yok) – 40×12V200Ah akü+raf: blok bazlı 2026 piyasa ~18 k€ ile tutarlı; refler tekil küçük alım – korundu [Emsal ID: R01952;R01745]</t>
  </si>
  <si>
    <t xml:space="preserve">Akü 2 saat (istasyon değil, değişmedi)</t>
  </si>
  <si>
    <t xml:space="preserve">D01 – N2XH 3x2,5 mm² aydınlatma linye + sorti</t>
  </si>
  <si>
    <t xml:space="preserve">TAHMIN (emsal yok) – Linye+sorti metre fiyatı – refler adet bazlı sorti (Haluk 11,6–25,3 €/adet), metreye çevrilemez [Emsal ID: R00929;R00930]</t>
  </si>
  <si>
    <t xml:space="preserve">Linye+sorti</t>
  </si>
  <si>
    <t xml:space="preserve">D01 – N2XH-FE180 3x2,5 mm² acil (UPP) aydınlatma linye + sorti</t>
  </si>
  <si>
    <t xml:space="preserve">FE180 linye+sorti</t>
  </si>
  <si>
    <t xml:space="preserve">D01 – N2XH 3x4 mm² aydınlatma linyesi (atölye high-bay)</t>
  </si>
  <si>
    <t xml:space="preserve">REF-derin – İzmir Narlıdere M. Uskom 2018 N2XH 3x4 (M+İ) 2,67; Kabataş-Mahmutbey M. Uskom 2015 N2XH 3x4 (M+İ) 3,60 → medyan 3,13 [Emsal ID: R01697;R02744]</t>
  </si>
  <si>
    <t xml:space="preserve">N2XH 3x4 | İlk tahmin BF 3.30</t>
  </si>
  <si>
    <t xml:space="preserve">D01 – N2XH 3x6 mm² aydınlatma linyesi (atölye uzun linyeler)</t>
  </si>
  <si>
    <t xml:space="preserve">N2XH 3x6 | İlk tahmin BF 4.50</t>
  </si>
  <si>
    <t xml:space="preserve">D01 – N2XH 5x2,5 mm² aydınlatma linyesi</t>
  </si>
  <si>
    <t xml:space="preserve">N2XH 5x2,5 | İlk tahmin BF 3.50</t>
  </si>
  <si>
    <t xml:space="preserve">D01 – N2XH 3x2,5 mm² priz linye + sorti</t>
  </si>
  <si>
    <t xml:space="preserve">D01 – N2XH-FE180 3x2,5 mm² UPS priz linye + sorti</t>
  </si>
  <si>
    <t xml:space="preserve">REF-derin – Pendik-Kaynarca M. YM 2022 NHXMH FE180 3x2,5 3,35 (M)+%40 montaj+sorti→4,69; İzmir Narlıdere M. Uskom 2018 FE180 2x2,5 (M+İ) 2,05 ×1,4 (3 damar), +%10 sorti→3,15 → medyan 3,92 [Emsal ID: R02988;R01756]</t>
  </si>
  <si>
    <t xml:space="preserve">FE180 linye+sorti | İlk tahmin BF 3.50</t>
  </si>
  <si>
    <t xml:space="preserve">D01 – N2XH-FE180 3x6 mm² özel priz linyesi</t>
  </si>
  <si>
    <t xml:space="preserve">REF-derin – İzmir Buca M. Prysmian 2021 FE180 4x10 6,45 (M)+%25, ×18/40 Cu→3,63; İzmir Buca M. Prysmian 2021 N2XH 4x6 3,59 (M)+%35, ×3/4 damar, +%30 FE180→4,73; Bursa T2 Haluk 2015 N2XH 4x6 3,51 ×3/4, +%30 FE180→3,42; Bursa T2 MET 2015 N2XH 4x6 4,40 ×3/4, +%30 FE180→4,29 → medyan 3,96 [Emsal ID: R00691;R00687;R00903;R00974]</t>
  </si>
  <si>
    <t xml:space="preserve">FE180 3x6 | İlk tahmin BF 5.80</t>
  </si>
  <si>
    <t xml:space="preserve">D01 – N2XH 5x10 mm² kombine priz kutusu linyesi</t>
  </si>
  <si>
    <t xml:space="preserve">REF-derin(1) – Prysmian 2021 FE180 4x10 6,5 €/m → N2XH 5x10 ≈6,5 € (M)+%20=7,8 → mevcut 9,0 ile harmanlandı [Emsal ID: R00691]</t>
  </si>
  <si>
    <t xml:space="preserve">N2XH 5x10 | İlk tahmin BF 9.00</t>
  </si>
  <si>
    <t xml:space="preserve">D01 – N2XH 3x2,5 mm² besleme ucu linyesi (MP/101)</t>
  </si>
  <si>
    <t xml:space="preserve">Linye | İlk tahmin BF 2.60</t>
  </si>
  <si>
    <t xml:space="preserve">D01 – Aktif paratoner (yakalama ucu + 6 m direk + iniş iletkeni 50 mm² Cu ~2×20 m + test klemensi + elektrot)</t>
  </si>
  <si>
    <t xml:space="preserve">TAHMIN (emsal yok) – Emsal yok (paratoner/YKS seti; Kocaeli T. TM topraklama+YKS 7.537 götürü kıyas dışı)</t>
  </si>
  <si>
    <t xml:space="preserve">Aktif paratoner seti</t>
  </si>
  <si>
    <t xml:space="preserve">D02 – Sıva üstü 30W IP65 LED armatür</t>
  </si>
  <si>
    <t xml:space="preserve">D02 – 60W LED armatür/projektör (harici veya galeri)</t>
  </si>
  <si>
    <t xml:space="preserve">REF-derin(1) – Ankara-Sivas YHT Platin 2019 LED prj ≤100W (M+İ) 274,81 → emsal 274,81 ; tek emsal → mevcut 140,00 ile ort. = 207,40 [Emsal ID: R00490]</t>
  </si>
  <si>
    <t xml:space="preserve">LED 60W | İlk tahmin BF 140.00</t>
  </si>
  <si>
    <t xml:space="preserve">D02 – Acil çıkış yönlendirme LED 1x8W</t>
  </si>
  <si>
    <t xml:space="preserve">D02 – Monofaze topraklı priz 16A</t>
  </si>
  <si>
    <t xml:space="preserve">Priz</t>
  </si>
  <si>
    <t xml:space="preserve">D02 – Trifaze priz / kombine priz kutusu (4x4 mm² linye)</t>
  </si>
  <si>
    <t xml:space="preserve">Trifaze priz kutusu</t>
  </si>
  <si>
    <t xml:space="preserve">D02 – Ortam korumalı anahtar</t>
  </si>
  <si>
    <t xml:space="preserve">Anahtar</t>
  </si>
  <si>
    <t xml:space="preserve">D02 – APP aydınlatma-priz panosu T09/APP/001 (IP54)</t>
  </si>
  <si>
    <t xml:space="preserve">D02 – AUP UPS aydınlatma panosu</t>
  </si>
  <si>
    <t xml:space="preserve">AUP panosu</t>
  </si>
  <si>
    <t xml:space="preserve">D02 – UPS 20 kVA 3F/3F + by-pass (trafo merkezi UPSi)</t>
  </si>
  <si>
    <t xml:space="preserve">REF-derin – 20 kVA UPS: Buca 2021 20 kVA (120/240 dk farkından akü ayrıştırıldı) gövde 5,9 k€ (M)+%15 = 6.800; Kocaeli tramvay 2015 20 kVA UPS 7.343 → medyan 7.071 € [Emsal ID: R00675;R00676;R01057]</t>
  </si>
  <si>
    <t xml:space="preserve">UPS 20 kVA kurulu | İlk tahmin BF 8,500.00</t>
  </si>
  <si>
    <t xml:space="preserve">D02 – UPS akü grubu VRLA 2 saat otonomi (20 kVA) – 40×12V 150Ah blok (480 V DC) + akü kabini</t>
  </si>
  <si>
    <t xml:space="preserve">TAHMIN (emsal yok) – Akü grubu: refler tekil küçük blok alımı; 2026 blok bazlı hesap mevcut fiyatla uyumlu – korundu [Emsal ID: R01952;R01745]</t>
  </si>
  <si>
    <t xml:space="preserve">Trafo merkezi: 2 saat korundu</t>
  </si>
  <si>
    <t xml:space="preserve">D02 – N2XH 3x2,5 linye + sorti (aydınlatma+priz)</t>
  </si>
  <si>
    <t xml:space="preserve">D02 – N2XH 4x4 priz linyesi</t>
  </si>
  <si>
    <t xml:space="preserve">N2XH 4x4 | İlk tahmin BF 4.00</t>
  </si>
  <si>
    <t xml:space="preserve">D02 – Yıldırımdan korunma tesisatı (çatı ağı/yakalama ucu + iniş iletkenleri)</t>
  </si>
  <si>
    <t xml:space="preserve">Yıldırımdan korunma</t>
  </si>
  <si>
    <t xml:space="preserve">D03 – Sıva üstü 30W ortam korumalı LED armatür (IP65)</t>
  </si>
  <si>
    <t xml:space="preserve">D03 – Anahtar 4 (3 mahal, yıkama holü 2) + kendinden bataryalı acil armatür 4 (dış kapılar)</t>
  </si>
  <si>
    <t xml:space="preserve">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</si>
  <si>
    <t xml:space="preserve">Anahtar+acil ort. | İlk tahmin BF 45.00</t>
  </si>
  <si>
    <t xml:space="preserve">D03 – Monofaze etanj priz</t>
  </si>
  <si>
    <t xml:space="preserve">Etanj priz</t>
  </si>
  <si>
    <t xml:space="preserve">D03 – Trifaze/kombine priz kutusu (yıkama alanı IP67)</t>
  </si>
  <si>
    <t xml:space="preserve">IP67 kombine priz</t>
  </si>
  <si>
    <t xml:space="preserve">D03 – N2XH 3x2,5 / 5x2,5 linye + sorti</t>
  </si>
  <si>
    <t xml:space="preserve">REF-derin – Karışık kalem (3x2,5/5x2,5 eşit pay): N2XH3x2.5_sorti=1,96 + N2XH5x2.5_sorti=2,81 → 2,39. Emsaller: N2XH3x2.5_sorti [R00685;R00727;R00848;R00901;R00972;R01622;R01802;R01827] 1,96 | N2XH5x2.5_sorti [R00686;R00849;R00904;R00975] 2,81 [Emsal ID: R00685;R00727;R00848;R00901;R00972;R01622;R01802;R01827;R00686;R00849;R00904;R00975]</t>
  </si>
  <si>
    <t xml:space="preserve">Linye+sorti | İlk tahmin BF 3.00</t>
  </si>
  <si>
    <t xml:space="preserve">D05 – Lineer etanj/sıva üstü LED armatür (depo holleri)</t>
  </si>
  <si>
    <t xml:space="preserve">Lineer etanj LED | İlk tahmin BF 60.00</t>
  </si>
  <si>
    <t xml:space="preserve">D05 – 60x60 LED panel + spot (idari çekirdek WC soyunma)</t>
  </si>
  <si>
    <t xml:space="preserve">REF-derin – Karışık kalem (panel/spot eşit pay): panel60=60,38 + spot13=27,43 → 43,90. Emsaller: panel60 [R00669;R00486;R00924;R00991] 60,38 | spot13 [R00668;R00487;R00925;R00992] 27,43 [Emsal ID: R00669;R00486;R00924;R00991;R00668;R00487;R00925;R00992]</t>
  </si>
  <si>
    <t xml:space="preserve">Panel/spot ort. | İlk tahmin BF 45.00</t>
  </si>
  <si>
    <t xml:space="preserve">D05 – Acil kitli armatür (E.L., yukarıdaki armatürlere entegre batarya kiti) + acil çıkış 1x8W</t>
  </si>
  <si>
    <t xml:space="preserve">REF-derin – Karışık kalem (acil kit / 1x8W yönlendirme eşit pay): acilkit=40,51 + exit=68,81 → 54,66. Emsaller: acilkit [R00489] 40,51 | exit [R00905;R00531] 68,81 [Emsal ID: R00489;R00905;R00531]</t>
  </si>
  <si>
    <t xml:space="preserve">Acil kit/yönlendirme | İlk tahmin BF 70.00</t>
  </si>
  <si>
    <t xml:space="preserve">D05 – Anahtar (adi/ortam korumalı/komütatör)</t>
  </si>
  <si>
    <t xml:space="preserve">D05 – Monofaze/etanj priz + kombine priz</t>
  </si>
  <si>
    <t xml:space="preserve">Priz ort.</t>
  </si>
  <si>
    <t xml:space="preserve">D05 – APP/Z01 + AUP/Z01 tali panolar</t>
  </si>
  <si>
    <t xml:space="preserve">Tali pano</t>
  </si>
  <si>
    <t xml:space="preserve">D05 – N2XH 3x2,5 (+FE180) linye + sorti</t>
  </si>
  <si>
    <t xml:space="preserve">REF-derin – Karışık kalem (FE180 payı ~%25 varsayım): N2XH3x2.5_sorti=1,96 + FE3x2.5_sorti=3,92 → 2,45. Emsaller: N2XH3x2.5_sorti [R00685;R00727;R00848;R00901;R00972;R01622;R01802;R01827] 1,96 | FE3x2.5_sorti [R02988;R01756] 3,92 [Emsal ID: R00685;R00727;R00848;R00901;R00972;R01622;R01802;R01827;R02988;R01756]</t>
  </si>
  <si>
    <t xml:space="preserve">Linye+sorti | İlk tahmin BF 2.80</t>
  </si>
  <si>
    <t xml:space="preserve">D06 – Sıva üstü 30W ortam korumalı LED armatür (IP65)</t>
  </si>
  <si>
    <t xml:space="preserve">D06 – Kendinden bataryalı acil armatür + ortam korumalı anahtar</t>
  </si>
  <si>
    <t xml:space="preserve">Acil+anahtar ort. | İlk tahmin BF 45.00</t>
  </si>
  <si>
    <t xml:space="preserve">D06 – Monofaze etanj priz</t>
  </si>
  <si>
    <t xml:space="preserve">D06 – D06-SDP-001 aydınlatma-priz + mekanik tali panosu</t>
  </si>
  <si>
    <t xml:space="preserve">SDP aydınlatma+mekanik</t>
  </si>
  <si>
    <t xml:space="preserve">D06 – NHXMH/N2XH 3x2,5 linye + sorti</t>
  </si>
  <si>
    <t xml:space="preserve">D07 – 13W LED armatür (60x60/spot)</t>
  </si>
  <si>
    <t xml:space="preserve">LED 13W | İlk tahmin BF 35.00</t>
  </si>
  <si>
    <t xml:space="preserve">D07 – 30W LED armatür</t>
  </si>
  <si>
    <t xml:space="preserve">LED 30W | İlk tahmin BF 60.00</t>
  </si>
  <si>
    <t xml:space="preserve">D07 – Monofaze priz</t>
  </si>
  <si>
    <t xml:space="preserve">D07 – Anahtar + acil armatür</t>
  </si>
  <si>
    <t xml:space="preserve">D07 – APP aydınlatma-priz panosu D07-APP-001</t>
  </si>
  <si>
    <t xml:space="preserve">D07 – NHXMH 3x2,5 linye + sorti</t>
  </si>
  <si>
    <t xml:space="preserve">5002.H</t>
  </si>
  <si>
    <t xml:space="preserve">15 m galvaniz kaplı çelik aydınlatma direği (projektör taşıyıcı başlıklı)</t>
  </si>
  <si>
    <t xml:space="preserve">REF-derin – 15 m poligon direk ~480 kg × 2,85 €/kg (Bursa T2 Haluk 2,48 / MET 3,20 €/kg medyanı) = 1.370 + projektör başlığı ~300 + temel ~500 + vinç/montaj 150 → 2.320 € [Emsal ID: R00852;R00934]</t>
  </si>
  <si>
    <t xml:space="preserve">Direk 15 m + temel | İlk tahmin BF 2,800.00</t>
  </si>
  <si>
    <t xml:space="preserve">150W LED projektör (asimetrik IP66)</t>
  </si>
  <si>
    <t xml:space="preserve">REF-derin(1) – Platin 2019 LED projektör ≤100 W 274,8 € ×1,15 (150 W) = 316 € → mevcut 300 ile harmanlandı [Emsal ID: R00490]</t>
  </si>
  <si>
    <t xml:space="preserve">Projektör 150W | İlk tahmin BF 300.00</t>
  </si>
  <si>
    <t xml:space="preserve">Direk dibi sigorta/klemens kutusu IP66 (projektör başı otomatik sigorta, U klemens)</t>
  </si>
  <si>
    <t xml:space="preserve">Sigorta/klemens kutusu</t>
  </si>
  <si>
    <t xml:space="preserve">ÇAP101 çevre aydınlatma panosu (IP66 astronomik zaman rölesi kontaktör RCBO)</t>
  </si>
  <si>
    <t xml:space="preserve">Çevre aydınlatma panosu</t>
  </si>
  <si>
    <t xml:space="preserve">Direk içi projektör besleme kablosu NYY 3x2,5 mm²</t>
  </si>
  <si>
    <t xml:space="preserve">REF-derin – 3x2,5: Prysmian 2021 N2XH 1,3 € (M)+%20=1,56; Bursa T2 Haluk 2015 1,5 €, MET 1,9 €; Delta Tema 2015 1,0 (M)+%20 → medyan 1,53 + %20 direk içi çekme → 1,8 €/m [Emsal ID: R00685;R00901;R00972;R00848]</t>
  </si>
  <si>
    <t xml:space="preserve">NYY 3x2,5 | İlk tahmin BF 2.50</t>
  </si>
  <si>
    <t xml:space="preserve">Direkler arası yeraltı besleme kablosu NYY/N2XY 4x16 mm² (çelik zırhlı)</t>
  </si>
  <si>
    <t xml:space="preserve">REF-derin – 4x16: Prysmian 2021 8,5 €, Haluk 2015 7,6 €, MET 10,2 € → ×1,1 zırh, Prysmian +%20 montaj → medyan 11,2 €/m [Emsal ID: R00688;R00902;R00973]</t>
  </si>
  <si>
    <t xml:space="preserve">Zırhlı 4x16 (kazı hariç) | İlk tahmin BF 13.00</t>
  </si>
  <si>
    <t xml:space="preserve">Çıplak örgülü bakır toprak iletkeni 50 mm² (direkler arası)</t>
  </si>
  <si>
    <t xml:space="preserve">REF-derin – Örgülü Cu: Buca 2021 120 mm² 12,6 €, 16 mm² 1,7 € (M) → ~0,105 €/mm²·m × 50 = 5,2 € + %35 → 7,0 €/m (mevcut 12 yüksek) [Emsal ID: R00725;R00724]</t>
  </si>
  <si>
    <t xml:space="preserve">Cu 50 çıplak | İlk tahmin BF 12.00</t>
  </si>
  <si>
    <t xml:space="preserve">Bakır topraklama çubuğu 1,5 m (her direkte 1)</t>
  </si>
  <si>
    <t xml:space="preserve">Cu çubuk 1,5 m | İlk tahmin BF 90.00</t>
  </si>
  <si>
    <t xml:space="preserve">Dikkat Ölüm Tehlikesi levhası</t>
  </si>
  <si>
    <t xml:space="preserve">Levha</t>
  </si>
  <si>
    <t xml:space="preserve">5002.I</t>
  </si>
  <si>
    <t xml:space="preserve">Sıva üstü 30W ortam korumalı LED armatür (IP65)</t>
  </si>
  <si>
    <t xml:space="preserve">LED 30W IP65 (alt miktar ×4 set) | İlk tahmin BF 60.00</t>
  </si>
  <si>
    <t xml:space="preserve">60W LED armatür/projektör (bina dışı)</t>
  </si>
  <si>
    <t xml:space="preserve">LED 60W (alt miktar ×4 set) | İlk tahmin BF 140.00</t>
  </si>
  <si>
    <t xml:space="preserve">Acil çıkış yönlendirme LED 1x8W</t>
  </si>
  <si>
    <t xml:space="preserve">Yönlendirme 8W (alt miktar ×4 set) | İlk tahmin BF 65.00</t>
  </si>
  <si>
    <t xml:space="preserve">Kendinden bataryalı acil aydınlatma armatürü</t>
  </si>
  <si>
    <t xml:space="preserve">Acil armatür (alt miktar ×4 set) | İlk tahmin BF 75.00</t>
  </si>
  <si>
    <t xml:space="preserve">Ortam korumalı anahtar</t>
  </si>
  <si>
    <t xml:space="preserve">Anahtar (alt miktar ×4 set)</t>
  </si>
  <si>
    <t xml:space="preserve">Monofaze topraklı priz 16A</t>
  </si>
  <si>
    <t xml:space="preserve">Priz (alt miktar ×4 set)</t>
  </si>
  <si>
    <t xml:space="preserve">Trifaze/kombine priz kutusu (4x4 linye)</t>
  </si>
  <si>
    <t xml:space="preserve">Trifaze priz kutusu (alt miktar ×4 set)</t>
  </si>
  <si>
    <t xml:space="preserve">UPS prizi (elektronik ekipman odası)</t>
  </si>
  <si>
    <t xml:space="preserve">UPS prizi (alt miktar ×4 set)</t>
  </si>
  <si>
    <t xml:space="preserve">APP aydınlatma-priz panosu T00/APP/001 (IP54 3F 25A 15 çıkış)</t>
  </si>
  <si>
    <t xml:space="preserve">TAHMIN (emsal yok) – T00 APP IP54 25 A küçük pano – TEDAK tali ortalaması daha büyük pano; 1.300 korundu</t>
  </si>
  <si>
    <t xml:space="preserve">APP panosu (alt miktar ×4 set)</t>
  </si>
  <si>
    <t xml:space="preserve">UPS 10 kVA 3F/3F online + by-pass (trafo merkezi UPSi)</t>
  </si>
  <si>
    <t xml:space="preserve">UPS 10 kVA kurulu (alt miktar ×4 set) | İlk tahmin BF 5,300.00</t>
  </si>
  <si>
    <t xml:space="preserve">UPS akü grubu VRLA 2 saat otonomi (10 kVA) – 32×12V 100Ah blok (384 V DC) + akü kabini</t>
  </si>
  <si>
    <t xml:space="preserve">Hat trafo: 2 saat korundu (alt miktar ×4 set)</t>
  </si>
  <si>
    <t xml:space="preserve">N2XH 3x2,5 aydınlatma+priz linye + sorti</t>
  </si>
  <si>
    <t xml:space="preserve">Linye+sorti (alt miktar ×4 set) | İlk tahmin BF 2.60</t>
  </si>
  <si>
    <t xml:space="preserve">N2XH 4x4 priz linyesi</t>
  </si>
  <si>
    <t xml:space="preserve">N2XH 4x4 (alt miktar ×4 set) | İlk tahmin BF 4.00</t>
  </si>
  <si>
    <t xml:space="preserve">Yıldırımdan korunma tesisatı</t>
  </si>
  <si>
    <t xml:space="preserve">TAHMIN (emsal yok) – Kocaeli tramvay 2015 TM topraklama+yıldırımdan korunma 7.538 € (topraklama dahil, kapsam farklı) – korundu [Emsal ID: R01056]</t>
  </si>
  <si>
    <t xml:space="preserve">Yıldırımdan korunma (alt miktar ×4 set)</t>
  </si>
  <si>
    <t xml:space="preserve">5002.J</t>
  </si>
  <si>
    <t xml:space="preserve">Hatboyu aydınlatma – hat ekseninden ödeme uzunluğu</t>
  </si>
  <si>
    <t xml:space="preserve">TAHMIN (emsal yok) – Bilgi satırı, fiyat 0 (bileşenler ayrı)</t>
  </si>
  <si>
    <t xml:space="preserve">Bilgi satırı; bileşenler ayrı fiyatlı</t>
  </si>
  <si>
    <t xml:space="preserve">152W LED yol aydınlatma armatürü (IP66 projektör tipi)</t>
  </si>
  <si>
    <t xml:space="preserve">REF-derin(1) – 152 W LED yol armatürü: Platin 2019 LED projektör ≤100 W 274,8 € ×1,15 (150 W) = 316 € → mevcut 380 ile harmanlandı; 736 adetlik toplu alımda 300 € altı da mümkün [Emsal ID: R00490]</t>
  </si>
  <si>
    <t xml:space="preserve">LED yol armatürü 152W | İlk tahmin BF 380.00</t>
  </si>
  <si>
    <t xml:space="preserve">12 m galvaniz çelik poligon aydınlatma direği tek konsollu (IP66 müdahale kapaklı)</t>
  </si>
  <si>
    <t xml:space="preserve">REF-derin – 12 m poligon direk tek konsollu ~210 kg × 2,85 €/kg (Bursa T2 Haluk 2,48 / MET 3,20 €/kg medyanı) ×1,2 çelik fiyat artışı = 720 € + temel ~300 € + vinç/montaj 100 € → 1.120 € (mevcut 1.600 yüksek) [Emsal ID: R00852;R00934]</t>
  </si>
  <si>
    <t xml:space="preserve">Direk 12 m + temel | İlk tahmin BF 1,600.00</t>
  </si>
  <si>
    <t xml:space="preserve">Direk içi sigorta + U klemens kutusu (armatür başı otomatik sigorta)</t>
  </si>
  <si>
    <t xml:space="preserve">TAHMIN (emsal yok) – Direk içi sigorta/U klemens emsal yok</t>
  </si>
  <si>
    <t xml:space="preserve">Sigorta+U klemens</t>
  </si>
  <si>
    <t xml:space="preserve">Direk içi armatür besleme kablosu NYY 3x2,5</t>
  </si>
  <si>
    <t xml:space="preserve">NYY 3x2,5 (direğe bağlı, düzeltilmedi) | İlk tahmin BF 2.50</t>
  </si>
  <si>
    <t xml:space="preserve">Dikkat Ölüm Tehlikesi direk levhası</t>
  </si>
  <si>
    <t xml:space="preserve">AP aydınlatma panosu (IP65 harici, aktif sokak sayacı RS-485, astronomik zaman rölesi, TMŞ 4x40A, KAR 300/30mA, 3 linye + yedek)</t>
  </si>
  <si>
    <t xml:space="preserve">REF-derin – Harici dağıtım panosu ELF-20.1: AUS 2018 1.580 €, Rayba 2016 3.081 € → medyan 2.330 + sayaç/astronomik röle (Haluk 2015 90 €) ~300 → 2.630 € [Emsal ID: R04012;R05156;R00872]</t>
  </si>
  <si>
    <t xml:space="preserve">AP panosu sayaçlı | İlk tahmin BF 3,500.00</t>
  </si>
  <si>
    <t xml:space="preserve">NAYY 4x16 mm² direkler arası besleme kablosu</t>
  </si>
  <si>
    <t xml:space="preserve">TAHMIN (emsal yok) – NAYY (Al) AG kablo için emsal yok; Al kablo fiyatları Cu bazlı refle doğrudan karşılaştırılamaz</t>
  </si>
  <si>
    <t xml:space="preserve">NAYY 4x16; 6,44 km</t>
  </si>
  <si>
    <t xml:space="preserve">NAYY 4x25 mm² direkler arası besleme kablosu</t>
  </si>
  <si>
    <t xml:space="preserve">NAYY 4x25; 6,44 km</t>
  </si>
  <si>
    <t xml:space="preserve">NAYY 4x35 mm² direkler arası besleme kablosu</t>
  </si>
  <si>
    <t xml:space="preserve">NAYY 4x35; 6,44 km</t>
  </si>
  <si>
    <t xml:space="preserve">Örgülü toprak iletkeni (cetvel: 95 mm² çelik örgülü / 35 mm² Al – şartname: çıplak örgülü bakır)</t>
  </si>
  <si>
    <t xml:space="preserve">REF-derin – ~35 mm² örgülü Cu (şartname): Buca 2021 120 mm² 12,6 €, 16 mm² 1,7 € (M) → 0,105 €/mm²·m ×35 = 3,7 € + %35 → 5,0 €/m (mevcut 9 yüksek) [Emsal ID: R00725;R00724]</t>
  </si>
  <si>
    <t xml:space="preserve">Şartname Cu ~35 mm2 varsayım; 6,44 km | İlk tahmin BF 9.00</t>
  </si>
  <si>
    <t xml:space="preserve">Galvaniz topraklama elektrodu 65x65x7 h=2 m</t>
  </si>
  <si>
    <t xml:space="preserve">TAHMIN (emsal yok) – 65x65x7 galv. köşebent 2 m (~13,6 kg) – emsal yok; 55 € kg bazlı hesapla uyumlu</t>
  </si>
  <si>
    <t xml:space="preserve">Galv. köşebent 65x65x7</t>
  </si>
  <si>
    <t xml:space="preserve">5003</t>
  </si>
  <si>
    <t xml:space="preserve">İstasyon yangın ihbar projeleri (6 istasyon – kesin projede yok, sıfırdan)</t>
  </si>
  <si>
    <t xml:space="preserve">TAHMIN (emsal yok) – Yangın algılama proje/senaryo – tramvay ölçeğinde emsal yok</t>
  </si>
  <si>
    <t xml:space="preserve">6 istasyon proje</t>
  </si>
  <si>
    <t xml:space="preserve">Depo sahası binaları yangın algılama uygulama projeleri (D01 D02 D03 D05 D06 D07)</t>
  </si>
  <si>
    <t xml:space="preserve">Depo proje</t>
  </si>
  <si>
    <t xml:space="preserve">Hat trafo binaları yangın algılama projeleri (T00 ×4)</t>
  </si>
  <si>
    <t xml:space="preserve">T00 x4 proje</t>
  </si>
  <si>
    <t xml:space="preserve">TCC merkezi izleme – ağ topolojisi, arayüz (SCADA TCC) ve senaryo/sebep-sonuç matrisleri</t>
  </si>
  <si>
    <t xml:space="preserve">Ağ/senaryo matrisi</t>
  </si>
  <si>
    <t xml:space="preserve">Tasarım el kitapları, dokümantasyon ve as-built</t>
  </si>
  <si>
    <t xml:space="preserve">Dokümantasyon</t>
  </si>
  <si>
    <t xml:space="preserve">5004.A</t>
  </si>
  <si>
    <t xml:space="preserve">Adresli yangın alarm paneli 1-2 loop (akülü 24V) + network kartı</t>
  </si>
  <si>
    <t xml:space="preserve">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</si>
  <si>
    <t xml:space="preserve">Panel 1-2 loop+network | İlk tahmin BF 4,200.00</t>
  </si>
  <si>
    <t xml:space="preserve">Optik duman dedektörü (adresli)</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</si>
  <si>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</si>
  <si>
    <t xml:space="preserve">Referans fiyat | İlk tahmin BF 36.39</t>
  </si>
  <si>
    <t xml:space="preserve">Isı dedektörü (adresli)</t>
  </si>
  <si>
    <t xml:space="preserve">REF-derin – İzmir Buca M. NEV 2021 ısı sensörü 22,97 (M)+%30 montaj→29,86; İzmir Buca M. EEC 2021 SIGA-HRDI ısı 32,24 (M)+%30 montaj→41,92 → medyan 35,89 [Emsal ID: R00777;R00743]</t>
  </si>
  <si>
    <t xml:space="preserve">Ref düşük; montajlı adresli ısı ded. (ref 23) | İlk tahmin BF 38.00</t>
  </si>
  <si>
    <t xml:space="preserve">Işın tipi duman dedektörü (alıcı-verici) – peron kanopisi altı</t>
  </si>
  <si>
    <t xml:space="preserve">çift</t>
  </si>
  <si>
    <t xml:space="preserve">REF-derin – İzmir Buca M. EEC 2021 OSID alıcı+verici 569,42 (M)+%30 montaj→740,24; İzmir Buca M. NEV 2021 beam 8-100 m 294,04 (M)+%30 montaj→382,26; Bursa T2 Haluk 2015 Fireray reflektörlü (M+İ) 889,07; Kocaeli T. Sekaray 2015 Fireray 5-50 m 1.455,78 → medyan 814,66 [Emsal ID: R00745;R00782;R00927;R01082]</t>
  </si>
  <si>
    <t xml:space="preserve">Referans fiyat | İlk tahmin BF 569.42</t>
  </si>
  <si>
    <t xml:space="preserve">Yangın ihbar butonu (adresli IP67 harici)</t>
  </si>
  <si>
    <t xml:space="preserve">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</si>
  <si>
    <t xml:space="preserve">Adresli buton IP67 | İlk tahmin BF 65.00</t>
  </si>
  <si>
    <t xml:space="preserve">Flaşörlü siren (adresli harici IP65)</t>
  </si>
  <si>
    <t xml:space="preserve">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</si>
  <si>
    <t xml:space="preserve">Ref düşük; harici IP65 adresli siren (ref 31) | İlk tahmin BF 60.00</t>
  </si>
  <si>
    <t xml:space="preserve">Giriş-çıkış modülü IOM</t>
  </si>
  <si>
    <t xml:space="preserve">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</si>
  <si>
    <t xml:space="preserve">Ref düşük; montajlı adresli I/O (ref 39) | İlk tahmin BF 60.00</t>
  </si>
  <si>
    <t xml:space="preserve">İzolatör modülü</t>
  </si>
  <si>
    <t xml:space="preserve">TAHMIN (emsal yok) – Emsal yok (veride eşdeğer kalem yok)</t>
  </si>
  <si>
    <t xml:space="preserve">İzolatör</t>
  </si>
  <si>
    <t xml:space="preserve">Yangına dayanıklı çevrim kablosu JE-H(St)H FE180 2x2x0,8</t>
  </si>
  <si>
    <t xml:space="preserve">REF-derin – Pendik-Kaynarca M. YM 2022 HBAPH FE180 2x2x0,6 1,93 (M)+%35 montaj→2,61; İzmir Narlıdere M. Uskom 2018 FE180 2x2x0,6 (M+İ) 1,86; Kabataş-Mahmutbey M. Uskom 2015 FE180 2x2x0,6 (M+İ) 1,65; SAGE bina YM 2018 JE-H(St)H FE180 1x2x1,5 (M+İ) 2,59 → medyan 2,22 [Emsal ID: R02948;R01664;R02657;R03096]</t>
  </si>
  <si>
    <t xml:space="preserve">FE180 2x2x0,8 | İlk tahmin BF 2.20</t>
  </si>
  <si>
    <t xml:space="preserve">Siren ve ışın dedektörü 24V besleme N2XH FE180 2x1,5</t>
  </si>
  <si>
    <t xml:space="preserve">REF-derin – İzmir Narlıdere M. Uskom 2018 FE180 2x1,5 (M+İ) 1,68; Pendik-Kaynarca M. YM 2022 LIHCHRH FE180 2x1,5 1,42 (M)+%35 montaj→1,92 → medyan 1,80 [Emsal ID: R01755;R02959]</t>
  </si>
  <si>
    <t xml:space="preserve">FE180 2x1,5 | İlk tahmin BF 2.40</t>
  </si>
  <si>
    <t xml:space="preserve">HF spiral boru / kroşe / harici HDPE koruma</t>
  </si>
  <si>
    <t xml:space="preserve">REF-derin – Kabataş-Mahmutbey M. Uskom 2015 3/4" spiral (M+İ) 1,50 +%15 HF→1,73; Kabataş-Mahmutbey M. Uskom 2015 3/4" spiral (M+İ) 1,93 +%15 HF→2,21 → medyan 1,97 [Emsal ID: R02661;R02746]</t>
  </si>
  <si>
    <t xml:space="preserve">Boru/kroşe | İlk tahmin BF 2.00</t>
  </si>
  <si>
    <t xml:space="preserve">TCC/SCADA ağına bağlantı arayüzü (fiber/ethernet ara birim)</t>
  </si>
  <si>
    <t xml:space="preserve">Ara birim</t>
  </si>
  <si>
    <t xml:space="preserve">Programlama, sebep-sonuç senaryosu, test ve devreye alma</t>
  </si>
  <si>
    <t xml:space="preserve">Programlama/test</t>
  </si>
  <si>
    <t xml:space="preserve">5004.B</t>
  </si>
  <si>
    <t xml:space="preserve">5004.C</t>
  </si>
  <si>
    <t xml:space="preserve">5004.D</t>
  </si>
  <si>
    <t xml:space="preserve">5004.E</t>
  </si>
  <si>
    <t xml:space="preserve">5004.F</t>
  </si>
  <si>
    <t xml:space="preserve">5004.G</t>
  </si>
  <si>
    <t xml:space="preserve">D01 – Ana yangın alarm santrali MFAP analog adresli 5 çevrimli (network, yazıcı, akü 2x12V 24Ah, 24V PSU)</t>
  </si>
  <si>
    <t xml:space="preserve">REF-derin – MFAP: Buca EEC 2021 EST3 4 loop network 3.580 €, Bursa T2 Haluk 2015 4 loop 2.816 €, Kocaeli Sekaray 2015 128 bölge 3.380 € → medyan 3.380 + 5. loop/yazıcı ~600 → +%25 montaj → 4.975 € (mevcut 12.000 çok yüksek) [Emsal ID: R00739;R00926;R01077]</t>
  </si>
  <si>
    <t xml:space="preserve">MFAP 5 loop | İlk tahmin BF 12,000.00</t>
  </si>
  <si>
    <t xml:space="preserve">D01 – Kontrol odası tekrarlayıcı/PC + yazıcı (MFAP arayüzü)</t>
  </si>
  <si>
    <t xml:space="preserve">REF-derin – Bursa T2 Haluk 2015 tekrarlayıcı (M+İ) 1.071,21; Bursa T2 MET 2015 tekrarlayıcı (M+İ) 947,35; İzmir Buca M. NEV 2021 Vigilon repeat 1.009,13 (M)+%20 montaj→1.210,96; İzmir Buca M. EEC 2021 LCDANN repeater 1.008,94 (M)+%20 montaj→1.210,73 → medyan 1.140,97 + workstation R00786 1.772,55 (M) +%20 → 2.127,06 = 3.268,03 [Emsal ID: R00907;R00976;R00785;R00740;R00786]</t>
  </si>
  <si>
    <t xml:space="preserve">Tekrarlayıcı/PC | İlk tahmin BF 3,000.00</t>
  </si>
  <si>
    <t xml:space="preserve">D01 – Analog adresli optik duman dedektörü</t>
  </si>
  <si>
    <t xml:space="preserve">Optik ded. | İlk tahmin BF 38.00</t>
  </si>
  <si>
    <t xml:space="preserve">D01 – Analog adresli optik duman dedektörü – asma tavan (uzak ikaz lambalı)</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</si>
  <si>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+ 15 uzak ikaz lambası (tahmin) = 53,73 [Emsal ID: R01078;R00908;R00977;R00741;R00776]</t>
  </si>
  <si>
    <t xml:space="preserve">Ded.+uzak ikaz | İlk tahmin BF 55.00</t>
  </si>
  <si>
    <t xml:space="preserve">D01 – Analog adresli kombine (optik+ısı) dedektör</t>
  </si>
  <si>
    <t xml:space="preserve">REF-derin – Bursa T2 Haluk 2015 kombine optik-ısı (M+İ) 52,89; Bursa T2 MET 2015 kombine (M+İ) 60,25; İzmir Buca M. EEC 2021 SIGA-PHDI kombine 40,53 (M)+%30 montaj→52,69; İzmir Buca M. NEV 2021 OH multi sensör 29,02 (M)+%30 montaj→37,73 → medyan 52,79 [Emsal ID: R00909;R00978;R00742;R00778]</t>
  </si>
  <si>
    <t xml:space="preserve">Kombine ded. | İlk tahmin BF 55.00</t>
  </si>
  <si>
    <t xml:space="preserve">D01 – Adresli sıcaklık dedektörü (sabit+artış)</t>
  </si>
  <si>
    <t xml:space="preserve">Isı ded. | İlk tahmin BF 38.00</t>
  </si>
  <si>
    <t xml:space="preserve">D01 – Gaz dedektörü (220V AC beslemeli)</t>
  </si>
  <si>
    <t xml:space="preserve">Gaz ded.</t>
  </si>
  <si>
    <t xml:space="preserve">D01 – Işın tipi duman dedektörü (alıcı+verici, 24V DC)</t>
  </si>
  <si>
    <t xml:space="preserve">Işın ded. çift | İlk tahmin BF 600.00</t>
  </si>
  <si>
    <t xml:space="preserve">D01 – Lineer ısı dedektörü LHD + kontrol kutusu (elektrik şaftı)</t>
  </si>
  <si>
    <t xml:space="preserve">LHD+kontrol</t>
  </si>
  <si>
    <t xml:space="preserve">D01 – Adresli yangın alarm butonu</t>
  </si>
  <si>
    <t xml:space="preserve">REF-derin – Bursa T2 Haluk 2015 adresli buton (M+İ) 38,25; Bursa T2 MET 2015 adresli buton (M+İ) 42,68; İzmir Buca M. NEV 2021 Vigilon buton 35,48 (M)+%30 montaj→46,13; Kocaeli T. Sekaray 2015 cam kırma buton 119,58 → medyan 44,41 [Emsal ID: R00910;R00979;R00780;R01080]</t>
  </si>
  <si>
    <t xml:space="preserve">Buton | İlk tahmin BF 38.00</t>
  </si>
  <si>
    <t xml:space="preserve">D01 – Korna modülü SCM</t>
  </si>
  <si>
    <t xml:space="preserve">SCM</t>
  </si>
  <si>
    <t xml:space="preserve">D01 – Flaşörlü siren (SCM çıkışlı konvansiyonel)</t>
  </si>
  <si>
    <t xml:space="preserve">REF-derin – İzmir Buca M. EEC 2021 konv. flaşörlü siren IP65 31,32 (M)+%30 montaj→40,72; Bursa T2 Haluk 2015 harici flaşörlü siren (M+İ) 56,76 → medyan 48,74 [Emsal ID: R00749;R00911]</t>
  </si>
  <si>
    <t xml:space="preserve">Siren | İlk tahmin BF 50.00</t>
  </si>
  <si>
    <t xml:space="preserve">D01 – Adresli giriş/çıkış modülü I/OM</t>
  </si>
  <si>
    <t xml:space="preserve">I/O modül | İlk tahmin BF 60.00</t>
  </si>
  <si>
    <t xml:space="preserve">D01 – Röle kontrol modülü RKM</t>
  </si>
  <si>
    <t xml:space="preserve">REF-derin – İzmir Buca M. EEC 2021 SIGA-CRI röle 31,01 (M)+%30 montaj→40,32; Bursa T2 Haluk 2015 röle modülü (M+İ) 80,64; Bursa T2 MET 2015 röle modülü (M+İ) 80,33 → medyan 80,33 [Emsal ID: R00747;R00912;R00981]</t>
  </si>
  <si>
    <t xml:space="preserve">Röle modül | İlk tahmin BF 60.00</t>
  </si>
  <si>
    <t xml:space="preserve">D01 – İzolatör modülü</t>
  </si>
  <si>
    <t xml:space="preserve">D01 – Yangın algılama çevrim kablosu JE-H(St)H 1x2x0,8+0,8 halojensiz (FE180)</t>
  </si>
  <si>
    <t xml:space="preserve">REF-derin – Pendik-Kaynarca M. YM 2022 HBAPH FE180 1x2x0,6 1,80 (M)+%35 montaj→2,43; SAGE bina YM 2018 JE-H(St)H FE180 1x2x1,5 (M+İ) 2,59; Başkentray Desat 2012 1x2x0,8+0,8 HF (M+İ) 1,92 → medyan 2,43 [Emsal ID: R02947;R03096;R00532]</t>
  </si>
  <si>
    <t xml:space="preserve">FE180 çevrim | İlk tahmin BF 2.00</t>
  </si>
  <si>
    <t xml:space="preserve">D01 – Korna/flaşör hattı kablosu 1x2x0,8+0,8 (FE180)</t>
  </si>
  <si>
    <t xml:space="preserve">FE180 | İlk tahmin BF 2.00</t>
  </si>
  <si>
    <t xml:space="preserve">D01 – 24V DC besleme N2XH FE180 2x1,5 / 3x1,5 (SCM ışın dedektörleri)</t>
  </si>
  <si>
    <t xml:space="preserve">REF-derin – Karışık kalem (2x1,5/3x1,5 eşit pay): FE2x1.5=1,80 + FE3x1.5=2,52 → 2,16. Emsaller: FE2x1.5 [R01755;R02959] 1,80 | FE3x1.5 [R01755;R02959] 2,52 [Emsal ID: R01755;R02959]</t>
  </si>
  <si>
    <t xml:space="preserve">FE180 2x1,5/3x1,5 | İlk tahmin BF 2.30</t>
  </si>
  <si>
    <t xml:space="preserve">D01 – 220V AC besleme N2XH FE180 2x1,5 (gaz dedektörleri)</t>
  </si>
  <si>
    <t xml:space="preserve">FE180 2x1,5 | İlk tahmin BF 2.30</t>
  </si>
  <si>
    <t xml:space="preserve">D01 – Haberleşme kablosu J-SIH(St)H FE180 2x1,5+0,8 (MFAP→D02 D03 D06 panelleri)</t>
  </si>
  <si>
    <t xml:space="preserve">REF-derin(1) – SAGE bina YM 2018 JE-H(St)H FE180 1x2x1,5+0,8 (M+İ) 2,59 → emsal 2,59 ; tek emsal → mevcut 3,00 ile ort. = 2,79 [Emsal ID: R03096]</t>
  </si>
  <si>
    <t xml:space="preserve">J-SIH(St)H FE180 | İlk tahmin BF 3.00</t>
  </si>
  <si>
    <t xml:space="preserve">D01 – HF spiral boru / kroşe (çevrim kablosu)</t>
  </si>
  <si>
    <t xml:space="preserve">D02 – Adresli yangın alarm paneli T09/FDS/YAP/001 (akülü)</t>
  </si>
  <si>
    <t xml:space="preserve">Panel | İlk tahmin BF 3,500.00</t>
  </si>
  <si>
    <t xml:space="preserve">D02 – Kombine/optik adresli dedektör</t>
  </si>
  <si>
    <t xml:space="preserve">REF-derin – Karışık kalem (kombine/optik eşit pay): kombine=52,79 + optik=38,73 → 45,76. Emsaller: kombine [R00909;R00978;R00742;R00778] 52,79 | optik [R01078;R00908;R00977;R00741;R00776] 38,73 [Emsal ID: R00909;R00978;R00742;R00778;R01078;R00908;R00977;R00741;R00776]</t>
  </si>
  <si>
    <t xml:space="preserve">Ded. | İlk tahmin BF 50.00</t>
  </si>
  <si>
    <t xml:space="preserve">D02 – Yangın alarm butonu IP67</t>
  </si>
  <si>
    <t xml:space="preserve">Buton IP67 | İlk tahmin BF 60.00</t>
  </si>
  <si>
    <t xml:space="preserve">D02 – Flaşörlü elektronik siren 95 dBA</t>
  </si>
  <si>
    <t xml:space="preserve">Siren | İlk tahmin BF 60.00</t>
  </si>
  <si>
    <t xml:space="preserve">D02 – İzolatör modülü</t>
  </si>
  <si>
    <t xml:space="preserve">D02 – Çevrim kablosu JE-H(St)H 1x2x0,8 + korna hattı N2XH FE180 3x1,5</t>
  </si>
  <si>
    <t xml:space="preserve">REF-derin – Karışık kalem (çevrim/korna hattı eşit pay): FA1x2x0.8=2,43 + FE3x1.5=2,52 → 2,48. Emsaller: FA1x2x0.8 [R02947;R03096;R00532] 2,43 | FE3x1.5 [R01755;R02959] 2,52 [Emsal ID: R02947;R03096;R00532;R01755;R02959]</t>
  </si>
  <si>
    <t xml:space="preserve">Kablo | İlk tahmin BF 2.30</t>
  </si>
  <si>
    <t xml:space="preserve">D03 – Adresli yangın alarm paneli D03/YAP/01</t>
  </si>
  <si>
    <t xml:space="preserve">Referans fiyat | İlk tahmin BF 3,379.49</t>
  </si>
  <si>
    <t xml:space="preserve">D03 – Isı dedektörü (yıkama holü) + optik dedektör</t>
  </si>
  <si>
    <t xml:space="preserve">REF-derin – Karışık kalem (ısı/optik eşit pay): isi=35,89 + optik=38,73 → 37,31. Emsaller: isi [R00777;R00743] 35,89 | optik [R01078;R00908;R00977;R00741;R00776] 38,73 [Emsal ID: R00777;R00743;R01078;R00908;R00977;R00741;R00776]</t>
  </si>
  <si>
    <t xml:space="preserve">Ded. ort. | İlk tahmin BF 40.00</t>
  </si>
  <si>
    <t xml:space="preserve">D03 – Yangın alarm butonu + giriş/çıkış modülü</t>
  </si>
  <si>
    <t xml:space="preserve">REF-derin – Karışık kalem (buton/IO eşit pay): buton=44,41 + IOM=68,42 → 56,41. Emsaller: buton [R00910;R00979;R00780;R01080] 44,41 | IOM [R00779;R00746;R00747;R00912;R00913;R00981;R00982] 68,42 [Emsal ID: R00910;R00979;R00780;R01080;R00779;R00746;R00747;R00912;R00913;R00981;R00982]</t>
  </si>
  <si>
    <t xml:space="preserve">Buton/IO ort. | İlk tahmin BF 50.00</t>
  </si>
  <si>
    <t xml:space="preserve">D03 – Flaşörlü siren (D01 SKM2 K6/K7 çıkışlarından)</t>
  </si>
  <si>
    <t xml:space="preserve">Siren | İlk tahmin BF 55.00</t>
  </si>
  <si>
    <t xml:space="preserve">D03 – Çevrim + siren kablosu</t>
  </si>
  <si>
    <t xml:space="preserve">REF-derin – Karışık kalem (çevrim/siren hattı eşit pay): FA1x2x0.8=2,43 + FE2x1.5=1,80 → 2,12. Emsaller: FA1x2x0.8 [R02947;R03096;R00532] 2,43 | FE2x1.5 [R01755;R02959] 1,80 [Emsal ID: R02947;R03096;R00532;R01755;R02959]</t>
  </si>
  <si>
    <t xml:space="preserve">Kablo | İlk tahmin BF 2.20</t>
  </si>
  <si>
    <t xml:space="preserve">D05 – Kombine (optik+ısı) adresli dedektör</t>
  </si>
  <si>
    <t xml:space="preserve">D05 – Optik duman dedektörü</t>
  </si>
  <si>
    <t xml:space="preserve">Ded. | İlk tahmin BF 38.00</t>
  </si>
  <si>
    <t xml:space="preserve">D05 – Yangın alarm butonu</t>
  </si>
  <si>
    <t xml:space="preserve">D05 – Korna modülü SCM + flaşörlü siren</t>
  </si>
  <si>
    <t xml:space="preserve">REF-derin(1) – Karışık kalem (SCM 60 (tahmin) + konv. siren REF toplamı): 60,00 (tahmin) + sirenK=48,74 → 108,74; dağılım belirsiz → mevcut 90,00 ile ort. = 99,37. Emsaller: sirenK: İzmir Buca M. EEC 2021 konv. flaşörlü siren IP65 31,32 (M)+%30 montaj→40,72; Bursa T2 Haluk 2015 harici flaşörlü siren (M+İ) 56,76 → medyan 48,74 [Emsal ID: R00749;R00911]</t>
  </si>
  <si>
    <t xml:space="preserve">SCM+siren | İlk tahmin BF 90.00</t>
  </si>
  <si>
    <t xml:space="preserve">D05 – İzolatör</t>
  </si>
  <si>
    <t xml:space="preserve">D05 – Çevrim kablosu (D01 MFAP çevrimine bağlı – ayrı panel yok) + siren/24V hatları</t>
  </si>
  <si>
    <t xml:space="preserve">D06 – Adresli yangın alarm paneli D06/YAP/02</t>
  </si>
  <si>
    <t xml:space="preserve">Küçük panel | İlk tahmin BF 3,000.00</t>
  </si>
  <si>
    <t xml:space="preserve">D06 – Isı dedektörü</t>
  </si>
  <si>
    <t xml:space="preserve">D06 – Buton + I/O modülü + korna modülü + siren</t>
  </si>
  <si>
    <t xml:space="preserve">REF-derin – Karışık kalem (buton/IO/SCM(60 tahmin)/siren eşit pay): buton=44,41 + IOM=68,42 + 60,00 (tahmin) + sirenA=62,39 → 58,80. Emsaller: buton [R00910;R00979;R00780;R01080] 44,41 | IOM [R00779;R00746;R00747;R00912;R00913;R00981;R00982] 68,42 | sirenA [R00781;R00749;R00911;R00980;R01081] 62,39 [Emsal ID: R00910;R00979;R00780;R01080;R00779;R00746;R00747;R00912;R00913;R00981;R00982;R00781;R00749;R00911;R00980;R01081]</t>
  </si>
  <si>
    <t xml:space="preserve">Karışık modül ort. | İlk tahmin BF 70.00</t>
  </si>
  <si>
    <t xml:space="preserve">D06 – Çevrim + siren kablosu</t>
  </si>
  <si>
    <t xml:space="preserve">D07 – Optik dedektör 2 + buton 1 + flaşörlü siren 1 + izolatör 1 (D01 MFAP çevrimine)</t>
  </si>
  <si>
    <t xml:space="preserve">REF-derin – Karışık kalem (2 optik+1 buton+1 siren+1 izolatör(35 tahmin) ağırlıklı): optik=38,73 + buton=44,41 + sirenA=62,39 + 35,00 (tahmin) → 43,85. Emsaller: optik [R01078;R00908;R00977;R00741;R00776] 38,73 | buton [R00910;R00979;R00780;R01080] 44,41 | sirenA [R00781;R00749;R00911;R00980;R01081] 62,39 [Emsal ID: R01078;R00908;R00977;R00741;R00776;R00910;R00979;R00780;R01080;R00781;R00749;R00911;R00980;R01081]</t>
  </si>
  <si>
    <t xml:space="preserve">Karışık eleman ort. | İlk tahmin BF 42.00</t>
  </si>
  <si>
    <t xml:space="preserve">D07 – Çevrim kablosu + HF boru</t>
  </si>
  <si>
    <t xml:space="preserve">REF-derin – Karışık kalem (çevrim kablosu + HF boru toplamı): FA1x2x0.8=2,43 + spiral=1,97 → 4,41. Emsaller: FA1x2x0.8 [R02947;R03096;R00532] 2,43 | spiral [R02661;R02746] 1,97 [Emsal ID: R02947;R03096;R00532;R02661;R02746]</t>
  </si>
  <si>
    <t xml:space="preserve">Kablo+HF boru | İlk tahmin BF 3.50</t>
  </si>
  <si>
    <t xml:space="preserve">Tüm depo binaları – programlama, sebep-sonuç senaryoları, SCADA arayüzü, test ve devreye alma</t>
  </si>
  <si>
    <t xml:space="preserve">TAHMIN (emsal yok) – NEV 2021 mühendislik+devreye alma 26 k€ (11 ist. metro) – ölçek farklı [Emsal ID: R00789]</t>
  </si>
  <si>
    <t xml:space="preserve">Programlama/SCADA/test</t>
  </si>
  <si>
    <t xml:space="preserve">5004.H</t>
  </si>
  <si>
    <t xml:space="preserve">Adresli yangın alarm paneli T00/FDS/YAP/001 (akülü, network kartı)</t>
  </si>
  <si>
    <t xml:space="preserve">REF-derin – Adresli panel: NEV 2021 Vigilon compact 1-2 loop+network 1.164 € (M)+%20=1.397; Bursa T2 Haluk 2015 1 loop 1.751 €; Başkentray Desat 2012 2.556 € → medyan 1.751 + network kart 250 → 2.000 € [Emsal ID: R00783;R00906;R00527]</t>
  </si>
  <si>
    <t xml:space="preserve">Panel (alt miktar ×4 set) | İlk tahmin BF 3,500.00</t>
  </si>
  <si>
    <t xml:space="preserve">Kombine optik-duman-sıcaklık / optik adresli dedektör</t>
  </si>
  <si>
    <t xml:space="preserve">Ded. (alt miktar ×4 set) | İlk tahmin BF 50.00</t>
  </si>
  <si>
    <t xml:space="preserve">Yangın alarm butonu IP67</t>
  </si>
  <si>
    <t xml:space="preserve">Buton IP67 (alt miktar ×4 set) | İlk tahmin BF 60.00</t>
  </si>
  <si>
    <t xml:space="preserve">Flaşörlü elektronik siren 95 dBA</t>
  </si>
  <si>
    <t xml:space="preserve">Siren (alt miktar ×4 set) | İlk tahmin BF 60.00</t>
  </si>
  <si>
    <t xml:space="preserve">İzolatör (alt miktar ×4 set)</t>
  </si>
  <si>
    <t xml:space="preserve">Adresli giriş/çıkış modülü (UPS/ADP/DC arıza, kapı, SCADA)</t>
  </si>
  <si>
    <t xml:space="preserve">I/O (alt miktar ×4 set) | İlk tahmin BF 60.00</t>
  </si>
  <si>
    <t xml:space="preserve">Çevrim kablosu JE-H(St)H 1x2x0,8+0,8 FE180</t>
  </si>
  <si>
    <t xml:space="preserve">FE180 (alt miktar ×4 set) | İlk tahmin BF 2.20</t>
  </si>
  <si>
    <t xml:space="preserve">Korna-flaşör besleme N2XH FE180 3x1,5</t>
  </si>
  <si>
    <t xml:space="preserve">REF-derin – İzmir Narlıdere M. Uskom 2018 FE180 2x1,5 (M+İ) 1,68 ×1,4 (3 damar)→2,35; Pendik-Kaynarca M. YM 2022 LIHCHRH FE180 2x1,5 1,42 (M)+%35, ×1,4 (3 damar)→2,69 → medyan 2,52 [Emsal ID: R01755;R02959]</t>
  </si>
  <si>
    <t xml:space="preserve">FE180 3x1,5 (alt miktar ×4 set) | İlk tahmin BF 2.60</t>
  </si>
  <si>
    <t xml:space="preserve">HF spiral boru / kroşe</t>
  </si>
  <si>
    <t xml:space="preserve">Boru (alt miktar ×4 set) | İlk tahmin BF 2.00</t>
  </si>
  <si>
    <t xml:space="preserve">TCC/SCADA ağ ara birimi (fiber media converter) + programlama/devreye alma</t>
  </si>
  <si>
    <t xml:space="preserve">TAHMIN (emsal yok) – Media converter (YM 2019 89 €) + programlama – kalem çoğunlukla hizmet; korundu [Emsal ID: R01202]</t>
  </si>
  <si>
    <t xml:space="preserve">Media conv.+programlama (alt miktar ×4 set)</t>
  </si>
  <si>
    <t xml:space="preserve">5004.I</t>
  </si>
  <si>
    <t xml:space="preserve">Grafik yangın izleme ve yönetim yazılımı (TCC) + lisans (~17 panel düğümü)</t>
  </si>
  <si>
    <t xml:space="preserve">REF-derin(1) – NEV 2021 WINMAG plus grafik yazılım 7.235 € + workstation 1.773 € → +%15 = 10.360 € → mevcut 12.000 ile harmanlandı [Emsal ID: R00787;R00786]</t>
  </si>
  <si>
    <t xml:space="preserve">Yazılım+lisans | İlk tahmin BF 12,000.00</t>
  </si>
  <si>
    <t xml:space="preserve">Operatör iş istasyonu (PC + 2 monitör) + olay yazıcısı</t>
  </si>
  <si>
    <t xml:space="preserve">REF-derin(1) – İzmir Buca M. NEV 2021 yangın algılama workstation 1.772,55 (M)+%20 montaj→2.127,06 → emsal 2.127,06 ; tek emsal → mevcut 2.500,00 ile ort. = 2.313,53 [Emsal ID: R00786]</t>
  </si>
  <si>
    <t xml:space="preserve">PC+yazıcı | İlk tahmin BF 2,500.00</t>
  </si>
  <si>
    <t xml:space="preserve">TCC tekrarlayıcı (repeater) panel</t>
  </si>
  <si>
    <t xml:space="preserve">REF-derin – Bursa T2 Haluk 2015 tekrarlayıcı (M+İ) 1.071,21; Bursa T2 MET 2015 tekrarlayıcı (M+İ) 947,35; İzmir Buca M. NEV 2021 Vigilon repeat 1.009,13 (M)+%20 montaj→1.210,96; İzmir Buca M. EEC 2021 LCDANN repeater 1.008,94 (M)+%20 montaj→1.210,73 → medyan 1.140,97 [Emsal ID: R00907;R00976;R00785;R00740]</t>
  </si>
  <si>
    <t xml:space="preserve">Repeater | İlk tahmin BF 1,800.00</t>
  </si>
  <si>
    <t xml:space="preserve">Panel network/haberleşme kartı (tüm uzak paneller için)</t>
  </si>
  <si>
    <t xml:space="preserve">TAHMIN (emsal yok) – Network kartı: Vigilon panel fiyatına dahil – panel (655) ile mükerrer olma riski işaretlendi [Emsal ID: R00783]</t>
  </si>
  <si>
    <t xml:space="preserve">Network kartı (panellerle mükerrer riski)</t>
  </si>
  <si>
    <t xml:space="preserve">Fiber/ethernet ara birim (media converter) – hat boyu paneller için</t>
  </si>
  <si>
    <t xml:space="preserve">Media converter</t>
  </si>
  <si>
    <t xml:space="preserve">SCADA/BMS entegrasyon ağ geçidi (Modbus TCP/BACnet)</t>
  </si>
  <si>
    <t xml:space="preserve">Gateway</t>
  </si>
  <si>
    <t xml:space="preserve">Merkez UPS prizi/rack yerleşimi (TCC UPS üzerinden)</t>
  </si>
  <si>
    <t xml:space="preserve">Rack/priz</t>
  </si>
  <si>
    <t xml:space="preserve">Merkezi yazılım konfigürasyonu, senaryo programlama, entegrasyon testleri ve eğitim</t>
  </si>
  <si>
    <t xml:space="preserve">TAHMIN (emsal yok) – Konfig/test/eğitim emsal yok</t>
  </si>
  <si>
    <t xml:space="preserve">Konfig/test/eğitim</t>
  </si>
  <si>
    <t xml:space="preserve">TOPLAM (net metraj, idare cevaplarına göre)</t>
  </si>
  <si>
    <t xml:space="preserve">Karşılaştırma: RFQ cetvel miktarlarıyla (şişirmeli, düzeltmesiz) tutar</t>
  </si>
  <si>
    <t xml:space="preserve">Fark (metraj payları + idare cevapları)</t>
  </si>
  <si>
    <t xml:space="preserve">FİYAT TÜRÜNE GÖRE DAĞILIM</t>
  </si>
  <si>
    <t xml:space="preserve">İdare cevabıyla kapsam dışı kalan kalemlerin RFQ'daki değeri (bilgi)</t>
  </si>
  <si>
    <t xml:space="preserve">1 ELEKTRİK (B) – Kontrol ve haberleşme (iletim, telefon, telsiz, anons, CCTV, saat, erişim, SCADA, YBS, ücret toplama)</t>
  </si>
  <si>
    <t xml:space="preserve">4001</t>
  </si>
  <si>
    <t xml:space="preserve">Uygulama projeleri, sistem mimarisi/blok şemaları, hesaplar (fiber ring, IP/VLAN planı, loss budget +6 dB marj)</t>
  </si>
  <si>
    <t xml:space="preserve">REF-derin(1) – Narlıdere Uskom 2018 İletim sistemi tasarımı 15.477 € (metro 7 ist.) → mevcut 18.000 ile harmanlandı [Emsal ID: R01528]</t>
  </si>
  <si>
    <t xml:space="preserve">Tasarım, küçük tramvay ölçeği | İlk tahmin BF 18,000.00</t>
  </si>
  <si>
    <t xml:space="preserve">Dokümantasyon: malzeme onayı, test prosedürleri, as-built, işletme-bakım el kitapları, eğitim dokümanı</t>
  </si>
  <si>
    <t xml:space="preserve">TAHMIN (emsal yok) – Uskom as-built kalemleri 1,5–17 k€ arası dağınık (metro) – korundu [Emsal ID: R01606;R01641]</t>
  </si>
  <si>
    <t xml:space="preserve">Tasarım, küçük tramvay ölçeği</t>
  </si>
  <si>
    <t xml:space="preserve">4002.A</t>
  </si>
  <si>
    <t xml:space="preserve">Harici tip durak haberleşme dolabı (IP55, kilitli, 19'' raylı, havalandırmalı, pano odasındaki RACK KABİN)</t>
  </si>
  <si>
    <t xml:space="preserve">TAHMIN (emsal yok) – IP55 harici 19" dolap – SAGE saha kabineti 372 € küçük kutu, emsal değil [Emsal ID: R03070]</t>
  </si>
  <si>
    <t xml:space="preserve">IP55 dış dolap 19" kurulu</t>
  </si>
  <si>
    <t xml:space="preserve">Endüstriyel ağ anahtarı 12 port (8 PoE+ 10/100/1000 + 2 kombo + 2 SFP), L2/L3, DIN/19''</t>
  </si>
  <si>
    <t xml:space="preserve">REF-derin(1) – ALE OS6465-P12 (8 PoE+ +4 SFP, hardened) Buca 2021 955 € + DIN PSU 174 € (M) → +%20 kurulum/konfig = 1.355 € → mevcut 2.800 ile harmanlandı [Emsal ID: R02199;R02200]</t>
  </si>
  <si>
    <t xml:space="preserve">Endüstriyel L2/L3 PoE switch | İlk tahmin BF 2,800.00</t>
  </si>
  <si>
    <t xml:space="preserve">SFP optik alıcı-verici modül (1000BASE-LX SM)</t>
  </si>
  <si>
    <t xml:space="preserve">REF-derin – Üçyol-Buca M/Nokia/ALE 2021 149.85x1.05; Üçyol-Buca M/Nokia/ALE 2021 152.46x1.05; Üçyol-Buca M/Nokia/ALE 2021 157.96x1.05; Pendik-Kaynarca M/YM 2022 159.72x1.05 | Malzeme fiyatı (montaj hariç) +%5 takma/konfig.; 1000BASE-LX SM birebir | sonuç 162.97 [Emsal ID: R02201;R02168;R02188;R02921]</t>
  </si>
  <si>
    <t xml:space="preserve">İlk tahmin BF 150.00</t>
  </si>
  <si>
    <t xml:space="preserve">Fiber optik ek/terminasyon kutusu (19'' ODF 24 port SC/LC, pigtail+adaptör dahil)</t>
  </si>
  <si>
    <t xml:space="preserve">REF-derin – Başkentray/Thales 2012 642.56; Samsun LRT/Uskom 2008 477.59; Yerköy-Sivas YHT bina/YM 2019 121.86x1.6 | Pasif ekipman, yaş düzeltmesi yok; 12F birim x1,6 ile 24F eşleniği | sonuç 477.59 [Emsal ID: R01279;R03134;R01197]</t>
  </si>
  <si>
    <t xml:space="preserve">ODF 24 port, pigtail dahil | İlk tahmin BF 450.00</t>
  </si>
  <si>
    <t xml:space="preserve">Pigtail LC + füzyon ek (sonlandırma, 24 core MM alt ring)</t>
  </si>
  <si>
    <t xml:space="preserve">REF-derin – SAGE bina/YM 2018 8.44; Narlıdere M/Uskom 2018 13.45 | Fiber başı sonlandırma+OTDR, M+İ | sonuç 10.94 [Emsal ID: R03083;R01636]</t>
  </si>
  <si>
    <t xml:space="preserve">İdare: 24 ve 8 core SM; alt ring 8 core → ek ×8/24 | İlk tahmin BF 18.00</t>
  </si>
  <si>
    <t xml:space="preserve">F/O patch cord SM LC-LC duplex 2 m</t>
  </si>
  <si>
    <t xml:space="preserve">REF-derin – SAGE bina/YM 2018 5.63; Üçyol-Buca M/Nokia/ALE 2021 6.63x1.05; Narlıdere M/Uskom 2018 13.33 | Malzeme emsaline +%5 | sonuç 6.96 [Emsal ID: R03081;R02236;R01615]</t>
  </si>
  <si>
    <t xml:space="preserve">İlk tahmin BF 12.00</t>
  </si>
  <si>
    <t xml:space="preserve">CAT6 bakır patch panel 24 port + CAT6 patch cord (1 m) seti</t>
  </si>
  <si>
    <t xml:space="preserve">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</si>
  <si>
    <t xml:space="preserve">İlk tahmin BF 220.00</t>
  </si>
  <si>
    <t xml:space="preserve">Dolap içi güç dağıtım (PDU) + PoE/ekipman güç adaptörleri, yıldırım/aşırı gerilim koruyucu (data hattı)</t>
  </si>
  <si>
    <t xml:space="preserve">TAHMIN (emsal yok) – PDU/data SPD emsali yok</t>
  </si>
  <si>
    <t xml:space="preserve">PDU+adaptör+SPD</t>
  </si>
  <si>
    <t xml:space="preserve">SM F/O kablo 8 core zırhlı (RACK KABİN-1 ↔ RACK KABİN-2, hat altı geçiş)</t>
  </si>
  <si>
    <t xml:space="preserve">REF-derin – SAGE bina/YM 2018 6.76; Bursa T2/Kocaeli Tr/Prysmian liste 2014 1344.34; Narlıdere M/Uskom 2018 1.63 | Prysmian 12F zırhlı liste 1,34 €/m x0,65 iskonto +1,21 €/m döşeme (Tepeköy R03277) = 2,08; medyan | sonuç 2.08 [Emsal ID: R03079;R02802;R01801;R03277]</t>
  </si>
  <si>
    <t xml:space="preserve">8 core SM zırhlı, çekim dahil | İlk tahmin BF 1.80</t>
  </si>
  <si>
    <t xml:space="preserve">Ø110 koruge boru (istasyon zayıf/kuvvetli akım borulama tesisatı, peron altı + yol altı geçiş)</t>
  </si>
  <si>
    <t xml:space="preserve">TAHMIN (emsal yok) – Ø110 koruge: refler çapsız (3,5–4,6 €/m); 5,5 € korundu [Emsal ID: R04035;R01311]</t>
  </si>
  <si>
    <t xml:space="preserve">Kazı hariç boru döşeme</t>
  </si>
  <si>
    <t xml:space="preserve">İletim sistemi test/devreye alma, OTDR ölçümü, dokümantasyon (istasyon)</t>
  </si>
  <si>
    <t xml:space="preserve">TAHMIN (emsal yok) – Durak başı T&amp;C emsali yok (Pendik 5.152/ist. yeraltı metro tüm montaj dahil, kıyaslanamaz)</t>
  </si>
  <si>
    <t xml:space="preserve">2 kabinli istasyon</t>
  </si>
  <si>
    <t xml:space="preserve">4002.B</t>
  </si>
  <si>
    <t xml:space="preserve">TAHMIN (emsal yok) – IP55 dış ortam 19" durak dolabı emsali yok (SAGE saha kabini/8U kutu küçük)</t>
  </si>
  <si>
    <t xml:space="preserve">REF-derin – Bursa T2/Kocaeli Tr/FER 2015 9.14; Çerkezköy-Kapıkule anahat/YM 2018 4.63 | Kazı hariç boru döşeme; Ø100 koruge (tramvay) + HDPE geçiş borusu | sonuç 6.89 [Emsal ID: R05762;R01311]</t>
  </si>
  <si>
    <t xml:space="preserve">Kazı hariç boru döşeme | İlk tahmin BF 5.50</t>
  </si>
  <si>
    <t xml:space="preserve">4002.C</t>
  </si>
  <si>
    <t xml:space="preserve">4002.D</t>
  </si>
  <si>
    <t xml:space="preserve">4002.E</t>
  </si>
  <si>
    <t xml:space="preserve">4002.F</t>
  </si>
  <si>
    <t xml:space="preserve">4002.G</t>
  </si>
  <si>
    <t xml:space="preserve">Dağıtım ağ anahtarı L3 24 port PoE+ (369,6 W) + 4 SFP (D01 kat/zayıf akım odaları)</t>
  </si>
  <si>
    <t xml:space="preserve">REF-derin – L3 24p PoE+: Kabataş Uskom 2015 ALE 6450-24 PoE 2.072 € (M+İ), YM 2019 24p 10G 1.439 €, 24p PoE+2SFP 1.288 € (M+İ) → medyan 1.439 + %15 L3 lisansı → 1.650 € (mevcut 4.000 yüksek) [Emsal ID: R02736;R01213;R01218]</t>
  </si>
  <si>
    <t xml:space="preserve">L3 24p PoE+ switch | İlk tahmin BF 4,000.00</t>
  </si>
  <si>
    <t xml:space="preserve">Kenar/erişim ağ anahtarı 8-12 port PoE + 2 SFP (D02, D03, D05, D07 binaları)</t>
  </si>
  <si>
    <t xml:space="preserve">REF-derin – 8–12p PoE: YM 2019 PoE 8 port 993 € (M+İ); ALE OS6465-P6 736+174 PSU (M)+%20 ≈1.057; OS6465-P12 1.355 → medyan 1.057 € [Emsal ID: R01217;R02196;R02199]</t>
  </si>
  <si>
    <t xml:space="preserve">İlk tahmin BF 1,800.00</t>
  </si>
  <si>
    <t xml:space="preserve">Bina içi 19'' dahili tip cihaz dolabı (42U D01 zayıf akım odası + 12U duvar tipi binalar)</t>
  </si>
  <si>
    <t xml:space="preserve">REF-derin – 42U: SAGE 2018 1.250 €, Pendik 2022 1.069 €, ASRACK 2015 968 € → medyan 1.069; 12U duvar SAGE 304 → ~350 → (1×42U+4×12U)/5 = 494 € [Emsal ID: R03068;R02927;R02507;R03069]</t>
  </si>
  <si>
    <t xml:space="preserve">42U+12U karışık ortalama | İlk tahmin BF 1,200.00</t>
  </si>
  <si>
    <t xml:space="preserve">MM F/O kablo 24 damar (D01 → D05, D07 binaları, tarif 4002)</t>
  </si>
  <si>
    <t xml:space="preserve">REF-derin – Bursa T2/Kocaeli Tr/Prysmian liste 2014 4286.12; Bursa T2/Kocaeli Tr/Prysmian liste 2014 5366.22; Tepeköy-Selçuk anahat/Huawei 2013 1.21 | Prysmian MM 24F liste x0,65 iskonto +1,21 €/m döşeme (R03277); OM2 4,00 / OM1 4,70 medyan | sonuç 4.35 [Emsal ID: R02809;R02808;R03277]</t>
  </si>
  <si>
    <t xml:space="preserve">İlk tahmin BF 2.20</t>
  </si>
  <si>
    <t xml:space="preserve">MM F/O kablo 8 damar (D03 vagon yıkama ← atölye)</t>
  </si>
  <si>
    <t xml:space="preserve">İlk tahmin BF 1.50</t>
  </si>
  <si>
    <t xml:space="preserve">SM F/O kablo 8 damar (D02 depo trafo T09 ← TCC)</t>
  </si>
  <si>
    <t xml:space="preserve">ODF/F-O patch panel 12-24 port + pigtail + adaptör (binalar)</t>
  </si>
  <si>
    <t xml:space="preserve">REF-derin – Başkentray/Thales 2012 642.56; Samsun LRT/Uskom 2008 477.59; Yerköy-Sivas YHT bina/YM 2019 121.86x1.6 | 24F ODF emsalleri (pasif, M+İ); 12F birim x1,6 | sonuç 477.59 [Emsal ID: R01279;R03134;R01197]</t>
  </si>
  <si>
    <t xml:space="preserve">İlk tahmin BF 500.00</t>
  </si>
  <si>
    <t xml:space="preserve">CAT6/FO medya konvertör + SFP modülleri</t>
  </si>
  <si>
    <t xml:space="preserve">TAHMIN (emsal yok) – Medya konvertör emsali yok</t>
  </si>
  <si>
    <t xml:space="preserve">Patch cord (F/O ve CAT6), kablo organizer, PDU</t>
  </si>
  <si>
    <t xml:space="preserve">TAHMIN (emsal yok) – Karma set; PDU emsali yok</t>
  </si>
  <si>
    <t xml:space="preserve">4002.H</t>
  </si>
  <si>
    <t xml:space="preserve">Dağıtım ağ anahtarı L3 24 port 10/100/1000 PoE+ + 4 SFP (düğüm noktası, ring)</t>
  </si>
  <si>
    <t xml:space="preserve">19'' dahili tip iletim dolabı 42U (veya RTU kabini içi montaj)</t>
  </si>
  <si>
    <t xml:space="preserve">REF-derin – 42U kabin: SAGE 2018 1.250 € (M+İ), Pendik 2022 IP54 fan/priz dahil 1.069 €, ASRACK 2015 968 € → medyan 1.070 € [Emsal ID: R03068;R02927;R02507]</t>
  </si>
  <si>
    <t xml:space="preserve">İlk tahmin BF 1,400.00</t>
  </si>
  <si>
    <t xml:space="preserve">ODF 48 port (24 core omurga giriş/çıkış + 8 core alt ring) + pigtail/füzyon</t>
  </si>
  <si>
    <t xml:space="preserve">REF-derin – Başkentray/Thales 2012 642.56; Başkentray/Thales 2012 1902.23; Narlıdere M/Uskom 2018 549.20 | 24F 643 ile 96F 1.902 arası doğrusal 48F=1.063; Narlıdere 96p malzeme 549/2+48x10,95 füzyon=800; ikisinin ortalaması | sonuç 931.20 [Emsal ID: R01279;R01278;R01635]</t>
  </si>
  <si>
    <t xml:space="preserve">Füzyon/pigtail dahil | İlk tahmin BF 1,100.00</t>
  </si>
  <si>
    <t xml:space="preserve">SFP modül 1000BASE-LX/ZX SM</t>
  </si>
  <si>
    <t xml:space="preserve">REF-derin – Üçyol-Buca M/Nokia/ALE 2021 149.85x1.05; Üçyol-Buca M/Nokia/ALE 2021 152.46x1.05; Üçyol-Buca M/Nokia/ALE 2021 157.96x1.05; Pendik-Kaynarca M/YM 2022 159.72x1.05 | LX emsal medyanı +%5 montaj; ZX (uzun mesafe) payı +%15 | sonuç 187.41 [Emsal ID: R02201;R02168;R02188;R02921]</t>
  </si>
  <si>
    <t xml:space="preserve">İlk tahmin BF 180.00</t>
  </si>
  <si>
    <t xml:space="preserve">Bina içi CAT6/HF kablo (switch→telefon, kamera, GGP, RTU)</t>
  </si>
  <si>
    <t xml:space="preserve">REF-derin – KMM M/Uskom 2015 1.44; SAGE bina/YM 2018 2.48; Üçyol-Buca M/Nokia/ALE 2021 1.40x1.3 | Bina içi CAT6 M+İ; malzeme emsaline +%30 çekim/sonlandırma | sonuç 1.82 [Emsal ID: R02786;R02994;R02238]</t>
  </si>
  <si>
    <t xml:space="preserve">İlk tahmin BF 1.20</t>
  </si>
  <si>
    <t xml:space="preserve">Patch cord, PDU, kablo organizer</t>
  </si>
  <si>
    <t xml:space="preserve">4002.I</t>
  </si>
  <si>
    <t xml:space="preserve">Endüstriyel kenar ağ anahtarı 8 port + 2 SFP (karayolu geçişleri, makas kontrol, depo bağlantı, depo makas bölgesi)</t>
  </si>
  <si>
    <t xml:space="preserve">REF-derin – Endüstriyel kenar switch: ALE OS6465-P6 736 €+PSU 174 (M)+%20 = 1.090; OS6465-P12 1.355; YM Çerkezköy 2018 industrial switch 3.374 (iç tahmin) → medyan 1.355 € [Emsal ID: R02196;R02199;R01290]</t>
  </si>
  <si>
    <t xml:space="preserve">İlk tahmin BF 1,500.00</t>
  </si>
  <si>
    <t xml:space="preserve">Kenar ağ anahtarı (Telsiz BS kabinleri, CAT6 ile TR'ye bağlı)</t>
  </si>
  <si>
    <t xml:space="preserve">REF-derin – Üçyol-Buca M/Nokia/ALE 2021 735.72x1.1; Üçyol-Buca M/Nokia/ALE 2021 955.08x1.1; Üçyol-Buca M/ON Elektronik 2020 381.18x1.1 | Endüstriyel PoE kenar switch malzeme +%10 montaj/konfig. | sonuç 809.29 [Emsal ID: R02196;R02199;R01863]</t>
  </si>
  <si>
    <t xml:space="preserve">İlk tahmin BF 1,200.00</t>
  </si>
  <si>
    <t xml:space="preserve">Harici tip yolboyu iletim dolabı / iletim sistemi bağlantı kutusu (IP55, raylı, ısıtıcı/fan)</t>
  </si>
  <si>
    <t xml:space="preserve">TAHMIN (emsal yok) – Harici IP55 iletim dolabı ısıtıcı/fan – emsal yok [Emsal ID: R04012]</t>
  </si>
  <si>
    <t xml:space="preserve">Mini ODF/ek-terminasyon kutusu 12 port + pigtail</t>
  </si>
  <si>
    <t xml:space="preserve">REF-derin – Yerköy-Sivas YHT bina/YM 2019 121.86; Narlıdere M/Uskom 2018 303.88; KMM M/Uskom 2015 520.95 | M+İ emsaller, pasif kutu | sonuç 303.88 [Emsal ID: R01197;R01799;R02740]</t>
  </si>
  <si>
    <t xml:space="preserve">İlk tahmin BF 350.00</t>
  </si>
  <si>
    <t xml:space="preserve">SFP modül SM</t>
  </si>
  <si>
    <t xml:space="preserve">4002.J</t>
  </si>
  <si>
    <t xml:space="preserve">Omurga anahtar (28x1G SFP + 4 kombo + 4x10G SFP+, 598 Gbps) — TCC OMURGA(1)/(2)</t>
  </si>
  <si>
    <t xml:space="preserve">REF-derin – Omurga: Huawei S5732-H24S6Q (24 SFP+uplink) Buca 2021 4.894 € (M)+%15=5.630; YM 2019 omurga switch 3.914 €; Huawei S6730 14.004 (M)+%15=16.100 → medyan 5.630 € (mevcut 12.000 yüksek) [Emsal ID: R01918;R01210;R01914]</t>
  </si>
  <si>
    <t xml:space="preserve">Core switch 10G | İlk tahmin BF 12,000.00</t>
  </si>
  <si>
    <t xml:space="preserve">Ağ birleştirme yönlendiricisi (aggregation router) + Firewall (yedekli, lisanslı)</t>
  </si>
  <si>
    <t xml:space="preserve">REF-derin(1) – SAGE 2018 internet gateway firewall dahil 10.415 € (M+İ) → mevcut 9.000 ile harmanlandı [Emsal ID: R03077]</t>
  </si>
  <si>
    <t xml:space="preserve">Router+FW lisanslı | İlk tahmin BF 9,000.00</t>
  </si>
  <si>
    <t xml:space="preserve">Ağ yönetim sistemi (NMS) bilgisayarı + monitör + NMS yazılımı (60 anahtar lisansı)</t>
  </si>
  <si>
    <t xml:space="preserve">REF-derin(1) – Narlıdere Uskom 2018 NMS 17.207 € (M+İ) → mevcut 12.000 ile harmanlandı (Samsun LRT 2008 IONOS NMS 22,2 k€ eski SDH, kullanılmadı) [Emsal ID: R01609;R03129]</t>
  </si>
  <si>
    <t xml:space="preserve">İlk tahmin BF 12,000.00</t>
  </si>
  <si>
    <t xml:space="preserve">TCC 19'' ekipman kabini 42U (haberleşme/iletim)</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</si>
  <si>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42U kabin emsalleri; malzemeye +%10 montaj; önceki REF-duz 2.000 yüksek | sonuç 1212.91 [Emsal ID: R02927;R01999;R02228;R02125;R02507;R02325;R03068;R01743]</t>
  </si>
  <si>
    <t xml:space="preserve">42U kabin çapa 1.000-1.500+aksesuar | İlk tahmin BF 2,000.00</t>
  </si>
  <si>
    <t xml:space="preserve">Fiber optik sonlandırma rafı / ODF 96 port (omurga 24 core x2 yön + depo binaları)</t>
  </si>
  <si>
    <t xml:space="preserve">REF-derin – Başkentray/Thales 2012 1902.23; Narlıdere M/Uskom 2018 549.20; KMM M/Uskom 2015 2175.08 | Başkentray 96F M+İ 1.902; Narlıdere 96p malz. 549+96x10,95 füzyon=1.600; KMM 144F 2.175x96/144=1.450; medyan | sonuç 1599.91 [Emsal ID: R01278;R01635;R02606;R03083;R01636]</t>
  </si>
  <si>
    <t xml:space="preserve">Mevcut depo kontrol merkezi omurga bağlantısı (SFP, patch, konfigürasyon)</t>
  </si>
  <si>
    <t xml:space="preserve">TAHMIN (emsal yok) – Emsal yok (miktar 0)</t>
  </si>
  <si>
    <t xml:space="preserve">İdare: mevcut sistem yok</t>
  </si>
  <si>
    <t xml:space="preserve">Sistem entegrasyonu, IP/VLAN konfigürasyonu, test-devreye alma, eğitim</t>
  </si>
  <si>
    <t xml:space="preserve">TAHMIN (emsal yok) – Entegrasyon/konfig – metro refleri (70 k€) ölçek dışı [Emsal ID: R02249]</t>
  </si>
  <si>
    <t xml:space="preserve">Mevcut depo kontrol merkezi (TCC) entegrasyonu: iletim/NMS yazılım uyarlama + lisans</t>
  </si>
  <si>
    <t xml:space="preserve">4003</t>
  </si>
  <si>
    <t xml:space="preserve">SM zırhlı yeraltı F/O kablo 96 damar (tarif 4002: 2x96) — hattın iki yanında kapalı ring (omurga)</t>
  </si>
  <si>
    <t xml:space="preserve">REF-derin(1) – Başkentray Thales 2012 24 fiber optik kablo 3.058 €/km = 3,06 €/m (M+İ) → mevcut 2,3 (24 SM’ye düzeltilmiş) ile harmanlandı [Emsal ID: R01276]</t>
  </si>
  <si>
    <t xml:space="preserve">İdare: 24 ve 8 core SM; 96SM→24SM, L 6,44/6,56 | İlk tahmin BF 2.30</t>
  </si>
  <si>
    <t xml:space="preserve">MM F/O kablo 24 damar (durak/karayolu/makas alt ringleri, proje 8 core güzergahı)</t>
  </si>
  <si>
    <t xml:space="preserve">REF-derin – Narlıdere Uskom 2018 4 core SM 1,6 €/m, 2 SM 2,8 €/m (M+İ, LSZH) → medyan 2,2; 8 core zırhlı yeraltı kanalda → 2,0 €/m [Emsal ID: R01801;R01621]</t>
  </si>
  <si>
    <t xml:space="preserve">İdare: 24 ve 8 core SM; 24MM→8SM, L 6,44/6,56 | İlk tahmin BF 1.50</t>
  </si>
  <si>
    <t xml:space="preserve">F/O ek kutusu (yeraltı, dome tip, 96/24 core)</t>
  </si>
  <si>
    <t xml:space="preserve">TAHMIN (emsal yok) – FO ek kutusu: Thales 2012 terminasyon kutusu 670 €, Uskom minibox 304 € – farklı ürün; 250 € korundu [Emsal ID: R01281;R01799]</t>
  </si>
  <si>
    <t xml:space="preserve">İdare: 24 ve 8 core SM; küçük ek kutusu</t>
  </si>
  <si>
    <t xml:space="preserve">Füzyon ek (splice) + sonlandırma işçiliği</t>
  </si>
  <si>
    <t xml:space="preserve">REF-derin(1) – Narlıdere Uskom 2018 FO sonlandırma+OTDR 13,4 €/damar (M+İ) → mevcut 18 ile harmanlandı [Emsal ID: R01636]</t>
  </si>
  <si>
    <t xml:space="preserve">İdare: 24 ve 8 core SM; ek adedi damar oranı ×0.259 | İlk tahmin BF 18.00</t>
  </si>
  <si>
    <t xml:space="preserve">OTDR/güç kaybı testleri, loss budget raporu (+6 dB marj)</t>
  </si>
  <si>
    <t xml:space="preserve">REF-derin(1) – Thales 2012 24 FO OTDR 411 €/km → 12,9 km×411 + 9,2 km 8-core (~140 €/km) ≈ 6.600 € → mevcut 5.000 ile harmanlandı [Emsal ID: R01283;R01282]</t>
  </si>
  <si>
    <t xml:space="preserve">İdare: 24 ve 8 core SM; az damar | İlk tahmin BF 5,000.00</t>
  </si>
  <si>
    <t xml:space="preserve">F/O kablo işaret bandı/etiket, rezerv loop</t>
  </si>
  <si>
    <t xml:space="preserve">TAHMIN (emsal yok) – Emsal yok</t>
  </si>
  <si>
    <t xml:space="preserve">4004</t>
  </si>
  <si>
    <t xml:space="preserve">Uygulama projeleri, sistem mimarisi/blok şemaları, hesaplar (IP santral, numaralandırma, SIP/acil hat senaryosu)</t>
  </si>
  <si>
    <t xml:space="preserve">REF-derin – Telefon sistem tasarımı: Buca Merit 2021 7.461 €, YM Çerkezköy 2018 7.656 € → medyan 7.560 € [Emsal ID: R01987;R01301]</t>
  </si>
  <si>
    <t xml:space="preserve">Tasarım, küçük tramvay ölçeği | İlk tahmin BF 8,000.00</t>
  </si>
  <si>
    <t xml:space="preserve">TAHMIN (emsal yok) – As-built/OMM emsalleri metro ölçeği 1.330 (Ateksis KMM) - 17.078 (Uskom Narlıdere); küçük tramvay alt sistem dokümanı kıyaslanamaz, mevcut aralıkta</t>
  </si>
  <si>
    <t xml:space="preserve">4005.A</t>
  </si>
  <si>
    <t xml:space="preserve">Acil durum (SOS) IP telefonu, harici tip, IP66, saldırıya dayanıklı, tuşsuz, PoE, SIP</t>
  </si>
  <si>
    <t xml:space="preserve">REF-derin – Üçyol-Buca M/Merit(Alcatel) 2021 619.27x1.15; Pendik-Kaynarca M/YM 2022 751.00x1.15; Narlıdere M/Uskom 2018 271.31 | 2018+ IP66/intercom acil telefon; malzemeye +%15 montaj; 2015 analog emsaller dışarıda | sonuç 712.15 [Emsal ID: R02005;R02940;R01651]</t>
  </si>
  <si>
    <t xml:space="preserve">Ref düşük; harici vandal IP tel. çapa 800-1500 | İlk tahmin BF 1,000.00</t>
  </si>
  <si>
    <t xml:space="preserve">Data prizi CAT6 (güvenlik odası + biletmatik)</t>
  </si>
  <si>
    <t xml:space="preserve">REF-derin – KMM M/Uskom 2015 12.38; Narlıdere M/Uskom 2018 27.52; Yerköy-Sivas YHT bina/YM 2019 3.26; Bursa T2/Kocaeli Tr/Sekaray 2015 3.78 | Montajlı priz emsalleri (M+İ / BFTC) | sonuç 8.08 [Emsal ID: R02641;R01656;R01183;R02815]</t>
  </si>
  <si>
    <t xml:space="preserve">İlk tahmin BF 15.00</t>
  </si>
  <si>
    <t xml:space="preserve">CAT6-F UTP outdoor kablo (acil durum telefon hattı)</t>
  </si>
  <si>
    <t xml:space="preserve">REF-derin – Pendik-Kaynarca M/YM 2022 2.45x1.3; SAGE bina/YM 2018 2.48; Üçyol-Buca M/Nokia/ALE 2021 1.40x1.3 | Ekranlı/LS0H-FE180 CAT6-7; malzemeye +%30 çekim | sonuç 2.48 [Emsal ID: R02987;R02994;R02238]</t>
  </si>
  <si>
    <t xml:space="preserve">İlk tahmin BF 1.60</t>
  </si>
  <si>
    <t xml:space="preserve">CAT6 data kablosu (data prizleri)</t>
  </si>
  <si>
    <t xml:space="preserve">İlk tahmin BF 1.00</t>
  </si>
  <si>
    <t xml:space="preserve">Telefon/data hattı besleme buatı (TB/DB) + montaj malzemesi</t>
  </si>
  <si>
    <t xml:space="preserve">TAHMIN (emsal yok) – Buat emsali yok (20 çift dağıtım kutuları farklı)</t>
  </si>
  <si>
    <t xml:space="preserve">4005.B</t>
  </si>
  <si>
    <t xml:space="preserve">4005.C</t>
  </si>
  <si>
    <t xml:space="preserve">4005.D</t>
  </si>
  <si>
    <t xml:space="preserve">4005.E</t>
  </si>
  <si>
    <t xml:space="preserve">4005.F</t>
  </si>
  <si>
    <t xml:space="preserve">4005.G</t>
  </si>
  <si>
    <t xml:space="preserve">IP telefon seti (PoE, Türkçe menü, LCD)</t>
  </si>
  <si>
    <t xml:space="preserve">REF-derin(1) – Bursa T2 Sekaray 2015 Tip1 sayısal telefon seti 132,6 € (TL, +%15) = 152 € → mevcut 180 ile harmanlandı [Emsal ID: R02817]</t>
  </si>
  <si>
    <t xml:space="preserve">Ref düşük; IP telefon çapa 150-250 | İlk tahmin BF 180.00</t>
  </si>
  <si>
    <t xml:space="preserve">Telefon prizi CAT6/HF RJ45</t>
  </si>
  <si>
    <t xml:space="preserve">Ref yalnız malzeme; montajlı priz | İlk tahmin BF 12.00</t>
  </si>
  <si>
    <t xml:space="preserve">Data prizi CAT6/HF RJ45</t>
  </si>
  <si>
    <t xml:space="preserve">CAT6/HF kablo (telefon+data)</t>
  </si>
  <si>
    <t xml:space="preserve">İlk tahmin BF 1.10</t>
  </si>
  <si>
    <t xml:space="preserve">Dijital/analog telefon seti (TCC, dispeçer)</t>
  </si>
  <si>
    <t xml:space="preserve">REF-teyit – Üçyol-Buca M/Merit(Alcatel) 2021 37.31x1.1; KMM M/Uskom 2015 43.89; Narlıdere M/Uskom 2018 47.55; Üçyol-Buca M/Merit(Alcatel) 2021 195.29x1.1; Pendik-Kaynarca M/YM 2022 210.34x1.1; KMM M/Uskom 2015 156.95 | Analog+sayısal set karışık medyan | medyan 102.25 → teyit [Emsal ID: R02008;R02633;R01648;R02010;R02936;R02634]</t>
  </si>
  <si>
    <t xml:space="preserve">4005.H</t>
  </si>
  <si>
    <t xml:space="preserve">IP telefon seti</t>
  </si>
  <si>
    <t xml:space="preserve">REF-derin – Üçyol-Buca M/Merit(Alcatel) 2021 195.29x1.1; Pendik-Kaynarca M/YM 2022 210.34x1.1; KMM M/Uskom 2015 156.95; SAGE bina/YM 2018 115.69 | Masaüstü sayısal/IP tel.; malzemeye +%10 | sonuç 185.88 [Emsal ID: R02010;R02936;R02634;R02991]</t>
  </si>
  <si>
    <t xml:space="preserve">Çapa 150-250 | İlk tahmin BF 180.00</t>
  </si>
  <si>
    <t xml:space="preserve">CAT6/HF kablo</t>
  </si>
  <si>
    <t xml:space="preserve">4005.I</t>
  </si>
  <si>
    <t xml:space="preserve">IP telefon santralı (24 harici analog, 24 IP trunk, 80 dahili IP abone, 20 SIP, 6 kanal sesli karşılama/sesli posta)</t>
  </si>
  <si>
    <t xml:space="preserve">REF-derin(1) – Pendik 2022 lokal telefon santrali 7.110 € ×1,2 (80 IP abone/trunk lisansı) = 8.532 € → mevcut 18.000 ile harmanlandı [Emsal ID: R02938]</t>
  </si>
  <si>
    <t xml:space="preserve">İlk tahmin BF 18,000.00</t>
  </si>
  <si>
    <t xml:space="preserve">Operatör IP telefon seti + acil durum telefonları cevaplama terminali + harici acil servis aparatı (itfaiye/ambulans/polis)</t>
  </si>
  <si>
    <t xml:space="preserve">REF-derin – Samsun LRT/Uskom 2008 1146.21x0.5; Bursa T2/Kocaeli Tr/Sekaray 2015 384.74x0.85; Başkentray/Thales 2012 621.41x0.5 | Operatör konsolu emsalleri; 2008-2012 x0,5, 2015 x0,85 elektronik fiyat düşüşü | sonuç 327.03 [Emsal ID: R03268;R02818;R01242]</t>
  </si>
  <si>
    <t xml:space="preserve">Telefon ve data cihaz dolabı / telefon dağıtım kutusu (TCC)</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</si>
  <si>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</si>
  <si>
    <t xml:space="preserve">Lisanslar, programlama, devreye alma, eğitim</t>
  </si>
  <si>
    <t xml:space="preserve">REF-derin(1) – Buca Merit 2021 test-devreye alma 3.109 € + eğitim 3.731 € = 6.840 € → mevcut 6.000 ile harmanlandı [Emsal ID: R02011;R02056]</t>
  </si>
  <si>
    <t xml:space="preserve">İlk tahmin BF 6,000.00</t>
  </si>
  <si>
    <t xml:space="preserve">Mevcut depo kontrol merkezi entegrasyonu: santral/SIP trunk yazılım uyarlama + lisans</t>
  </si>
  <si>
    <t xml:space="preserve">TAHMIN (emsal yok) – Emsal yok (miktar 0; GSM-R PABX entegrasyonu ölçek dışı)</t>
  </si>
  <si>
    <t xml:space="preserve">4006</t>
  </si>
  <si>
    <t xml:space="preserve">Uygulama projeleri, sistem mimarisi/blok şemaları, hesaplar (kapsama/propagasyon simülasyonu, frekans lisans dosyası)</t>
  </si>
  <si>
    <t xml:space="preserve">REF-derin – Telsiz tasarımı: Pendik 2022 14.001 € (2 ist.), Narlıdere Uskom 2018 ön tasarım+kapsama sim. 33.109 € → medyan 23.560 € [Emsal ID: R02875;R01711]</t>
  </si>
  <si>
    <t xml:space="preserve">Tasarım, küçük tramvay ölçeği | İlk tahmin BF 20,000.00</t>
  </si>
  <si>
    <t xml:space="preserve">TAHMIN (emsal yok) – Uskom 2018 telsiz as-built 13.796 € (metro) – ölçek farklı [Emsal ID: R01713]</t>
  </si>
  <si>
    <t xml:space="preserve">4006.A</t>
  </si>
  <si>
    <t xml:space="preserve">TETRA baz istasyonu 2 taşıyıcılı (8 kanal), 380-430 MHz, fallback sunuculu</t>
  </si>
  <si>
    <t xml:space="preserve">REF-derin(1) – Kabataş Uskom 2015 2 taşıyıcılı TETRA BSS fallback 74.882 € (M+İ) → mevcut 45.000 ile harmanlandı (Samsun LRT 2008 2. BS 128 k€ eski, kullanılmadı) [Emsal ID: R02688;R03154]</t>
  </si>
  <si>
    <t xml:space="preserve">2 taşıyıcı, fallback | İlk tahmin BF 45,000.00</t>
  </si>
  <si>
    <t xml:space="preserve">Anten direği/kulesi 25-30 m (temel hariç) + topraklama/paratoner</t>
  </si>
  <si>
    <t xml:space="preserve">REF-derin(1) – Kabataş Uskom 2015 25 m monopol+uçak ikaz+anten+200 m 7/8" kablo 22.802 € − anten/kablo ~4.000 € = 18.800 € → mevcut 9.000 ile harmanlandı [Emsal ID: R02690]</t>
  </si>
  <si>
    <t xml:space="preserve">Temel hariç | İlk tahmin BF 9,000.00</t>
  </si>
  <si>
    <t xml:space="preserve">Anten sistemi (TETRA omni anten, GPS anteni, combiner/duplexer, 1/2'' koaksiyel ~40 m, konnektör)</t>
  </si>
  <si>
    <t xml:space="preserve">TAHMIN (emsal yok) – GPS anten 505 €, SAGE anten 1.712 € – sistem seti için eksik; korundu [Emsal ID: R02760;R03028]</t>
  </si>
  <si>
    <t xml:space="preserve">Klimalı cihaz koruma/bağlantı kabini + UPS (4 saat akü)</t>
  </si>
  <si>
    <t xml:space="preserve">TAHMIN (emsal yok) – Klimalı kabin+UPS 4 saat – AUS 2018 kabin klima 1.275 €, harici kabin 7.893 € kapsam farklı; korundu [Emsal ID: R04006;R04004]</t>
  </si>
  <si>
    <t xml:space="preserve">BS enerji ve topraklama tesisatı (EM-56-220/221)</t>
  </si>
  <si>
    <t xml:space="preserve">TAHMIN (emsal yok) – BS enerji/topraklama – emsal yok</t>
  </si>
  <si>
    <t xml:space="preserve">El telsizi TETRA (IP65, GPS, batarya+masaüstü şarj+kılıf)</t>
  </si>
  <si>
    <t xml:space="preserve">REF-derin(1) – Samsun LRT Uskom 2008 el telsizi 864 € (eski) → mevcut 850 ile harmanlandı [Emsal ID: R03156]</t>
  </si>
  <si>
    <t xml:space="preserve">İlk tahmin BF 850.00</t>
  </si>
  <si>
    <t xml:space="preserve">Araç telsizi (TETRA Class 2, kontrol paneli, el mikrofonu, çatı anteni, araç anons arayüzü)</t>
  </si>
  <si>
    <t xml:space="preserve">REF-derin – Araç TETRA telsizi (raylı araç tipi, kontrol paneli+anten): Kabataş Uskom 2015 5.240 € (M), Samsun LRT 2008 3.544 € → medyan 4.392; eski elektronikte HICP eskalasyonu fiyatı abartır −%10 → 4.000 € [Emsal ID: R02702;R03155]</t>
  </si>
  <si>
    <t xml:space="preserve">İdare: 14 araç × 2 kabin | İlk tahmin BF 2,200.00</t>
  </si>
  <si>
    <t xml:space="preserve">Yedek parçalar (tam BS ünitesi 1 + el telsizi %10 batarya/anten/şarj)</t>
  </si>
  <si>
    <t xml:space="preserve">TAHMIN (emsal yok) – Yedek parça (1 BS + aksesuar) – BS fiyatına bağlı tahmin</t>
  </si>
  <si>
    <t xml:space="preserve">1 tam BS + aksesuar</t>
  </si>
  <si>
    <t xml:space="preserve">4006.B</t>
  </si>
  <si>
    <t xml:space="preserve">TETRA merkezi anahtarlama (switch) ekipmanı, min 16 BS genişleyebilir + lisanslar</t>
  </si>
  <si>
    <t xml:space="preserve">TAHMIN (emsal yok) – TETRA çekirdek: Samsun 2008 TetraNode sunucu/adaptör, Kabataş IP gateway lisansı 14 k€ – kapsam eksik; 40.000 korundu [Emsal ID: R03160;R02683]</t>
  </si>
  <si>
    <t xml:space="preserve">Ref düşük; TETRA çekirdek+lisans</t>
  </si>
  <si>
    <t xml:space="preserve">Dispeçer terminali (PC+yazılım) + masa üstü sabit telsiz (anten/kablo dahil)</t>
  </si>
  <si>
    <t xml:space="preserve">REF-derin(1) – Kabataş Uskom 2015 dispeçer konsolu 5.985 € + sabit telsiz 1.530 € (M+İ) = 7.515 € → mevcut 6.500 ile harmanlandı [Emsal ID: R02686;R02687]</t>
  </si>
  <si>
    <t xml:space="preserve">İlk tahmin BF 6,500.00</t>
  </si>
  <si>
    <t xml:space="preserve">Ses kayıt sunucusu (min 1 ay kayıt)</t>
  </si>
  <si>
    <t xml:space="preserve">REF-derin – Ses kayıt: Merit 2021 4.974 € (M)+%15, Uskom 2015 sunucu 6.908 (M)+%15, Uskom 2018 16 port 12.713 (M)+%15, SAGE 2018 4.645 (M+İ) → medyan 6.832 € [Emsal ID: R02047;R02643;R01658;R02992]</t>
  </si>
  <si>
    <t xml:space="preserve">İlk tahmin BF 7,000.00</t>
  </si>
  <si>
    <t xml:space="preserve">Telsiz ağı yönetim terminali (NMS)</t>
  </si>
  <si>
    <t xml:space="preserve">REF-derin – SAGE bina/YM 2018 4644.60; Narlıdere M/Uskom 2018 4267.89x1.05; Narlıdere M/Uskom 2018 1446.28 | Ağ izleme/operatör PC+lisans emsalleri | sonuç 4481.29 [Emsal ID: R03071;R01646;R01687]</t>
  </si>
  <si>
    <t xml:space="preserve">İlk tahmin BF 4,000.00</t>
  </si>
  <si>
    <t xml:space="preserve">Frekans lisans başvuru dokümantasyonu, AVLS arayüzü, devreye alma, eğitim</t>
  </si>
  <si>
    <t xml:space="preserve">TAHMIN (emsal yok) – Frekans lisans/AVLS/devreye alma – emsal yok</t>
  </si>
  <si>
    <t xml:space="preserve">Mevcut depo kontrol merkezi entegrasyonu: TETRA/dispeçer yazılım uyarlama + lisans</t>
  </si>
  <si>
    <t xml:space="preserve">4007</t>
  </si>
  <si>
    <t xml:space="preserve">Uygulama projeleri, sistem mimarisi/blok şemaları, hesaplar (akustik hesap, zonlama, EN 60849/EN 54-16 uyumu)</t>
  </si>
  <si>
    <t xml:space="preserve">REF-derin(1) – Kabataş Bosch 2015 anons uygulama+as-built 1.330 €/ist. ×7 lokasyon = 9.310 € → mevcut 10.000 ile harmanlandı [Emsal ID: R02307]</t>
  </si>
  <si>
    <t xml:space="preserve">Tasarım, küçük tramvay ölçeği | İlk tahmin BF 10,000.00</t>
  </si>
  <si>
    <t xml:space="preserve">4008.A</t>
  </si>
  <si>
    <t xml:space="preserve">Projeksiyon tipi hoparlör 20 W, 100 V, IP66 (şartname: horn tip min 15 W, 105 dB)</t>
  </si>
  <si>
    <t xml:space="preserve">REF-derin – KMM M/RCF 2015 209.32x1.2; Pendik-Kaynarca M/YM 2022 109.76x1.2; Narlıdere M/Uskom 2018 121.92; KMM M/Ateksis(Bosch) 2015 79.80x1.2; Başkentray/Thales 2012 178.35 | Projektör/horn hoparlör; malzemeye +%20 montaj | sonuç 131.72 [Emsal ID: R02510;R02953;R01754;R02314;R01252]</t>
  </si>
  <si>
    <t xml:space="preserve">Ref n=1; horn hoparlör çapa üst sınırı | İlk tahmin BF 150.00</t>
  </si>
  <si>
    <t xml:space="preserve">Hoparlör kablosu 2x1,5 mm² LIHCHRH FE180 PH90</t>
  </si>
  <si>
    <t xml:space="preserve">REF-derin – Pendik-Kaynarca M/YM 2022 1.42x1.3; SAGE bina/YM 2018 2.59; Narlıdere M/Uskom 2018 1.68 | FE180 2x1,5; malzemeye +%30 çekim; önceki REF-duz 2,2 hafif yüksek | sonuç 1.85 [Emsal ID: R02959;R03096;R01755]</t>
  </si>
  <si>
    <t xml:space="preserve">FE180 2x1,5 montajlı; ref 1 €/m düşük | İlk tahmin BF 2.20</t>
  </si>
  <si>
    <t xml:space="preserve">Dijital çıkış modülü / IP anons amplifikatörü 4 kanal 240 W (100 V, yedek anfi fonksiyonlu, 24VDC acil giriş)</t>
  </si>
  <si>
    <t xml:space="preserve">REF-derin – KMM M/RCF 2015 455.68x1.05; KMM M/RCF 2015 1105.27x1.05; Üçyol-Buca M/Siemens 2021 1859.99x1.05; Narlıdere M/Uskom 2018 2756.13x1.05 | 120-500 W anons amfileri; +%5 montaj | sonuç 1556.76 [Emsal ID: R02498;R02501;R02126;R01764]</t>
  </si>
  <si>
    <t xml:space="preserve">Gürültü sensörü (ortam gürültüsüne göre otomatik seviye)</t>
  </si>
  <si>
    <t xml:space="preserve">REF-derin – KMM M/RCF 2015 151.63x1.1; Pendik-Kaynarca M/YM 2022 494.38x1.1; Üçyol-Buca M/Cesa(Honeywell) 2021 540.56x1.1; Üçyol-Buca M/Siemens 2021 274.98x1.1 | AVC/gürültü mikrofonu; +%10 montaj | sonuç 423.15 [Emsal ID: R02515;R02955;R01947;R02132]</t>
  </si>
  <si>
    <t xml:space="preserve">Hat sonu direnci (EOL) + hoparlör bağlantı kutusu</t>
  </si>
  <si>
    <t xml:space="preserve">REF-derin – Pendik-Kaynarca M/YM 2022 26.42x1.1; Üçyol-Buca M/Cesa(Honeywell) 2021 28.89x1.1; Üçyol-Buca M/Siemens 2021 78.14x1.1 | EOL medyanı + bağlantı kutusu 30 € (tahmin) | sonuç 61.78 [Emsal ID: R02954;R01948;R02135]</t>
  </si>
  <si>
    <t xml:space="preserve">İlk tahmin BF 60.00</t>
  </si>
  <si>
    <t xml:space="preserve">4008.B</t>
  </si>
  <si>
    <t xml:space="preserve">4008.C</t>
  </si>
  <si>
    <t xml:space="preserve">4008.D</t>
  </si>
  <si>
    <t xml:space="preserve">4008.E</t>
  </si>
  <si>
    <t xml:space="preserve">4008.F</t>
  </si>
  <si>
    <t xml:space="preserve">4008.G</t>
  </si>
  <si>
    <t xml:space="preserve">Ses projektörü 20 W (maks 30 W) 100 V</t>
  </si>
  <si>
    <t xml:space="preserve">REF-derin – Ses projektörü: RCF 2015 20 W 209 €, Uskom 2018 EN54 projektör 122 € (M+İ), Bosch 2015 10 W 80 €(M)+%20=96, Thales 2012 horn 178 € → medyan 150 € [Emsal ID: R02510;R01754;R02314;R01252]</t>
  </si>
  <si>
    <t xml:space="preserve">İlk tahmin BF 120.00</t>
  </si>
  <si>
    <t xml:space="preserve">Sıva altı hoparlör 6 W (maks 9 W)</t>
  </si>
  <si>
    <t xml:space="preserve">REF-derin – Pendik-Kaynarca M/YM 2022 22.40x1.2; Üçyol-Buca M/Siemens 2021 43.94x1.2; Üçyol-Buca M/Cesa(Honeywell) 2021 48.17x1.2; KMM M/Ateksis(Bosch) 2015 49.21x1.2; Narlıdere M/Uskom 2018 105.69; SAGE bina/YM 2018 52.24 | Tavan/gömme hoparlör; malzemeye +%20 montaj | sonuç 55.27 [Emsal ID: R02952;R02134;R01956;R02312;R01753;R03085]</t>
  </si>
  <si>
    <t xml:space="preserve">Amplifikatör 4x125 W (A1, A2, A3 + A6 yedek)</t>
  </si>
  <si>
    <t xml:space="preserve">REF-derin – Amplifikatör: Narlıdere Uskom 2018 4x125 W EN54 2.756 € (M)+%15=3.169; Buca Cesa 2021 4x300 W 2.361 (M)+%15=2.715; Siemens 2021 2x250 W 1.860 (M)+%15=2.139 → medyan 2.715 € (mevcut 1.400 düşük) [Emsal ID: R01764;R01954;R02126]</t>
  </si>
  <si>
    <t xml:space="preserve">Amplifikatör 2x250 W (A4, A5 + A7 yedek)</t>
  </si>
  <si>
    <t xml:space="preserve">REF-derin – Narlıdere M/Uskom 2018 1382.49x1.05; Üçyol-Buca M/Siemens 2021 1859.99x1.05; KMM M/RCF 2015 1766.84x1.05 | 2x250 W EN54 amfi birebir; rack montajı +%5 | sonuç 1855.18 [Emsal ID: R01763;R02126;R02500]</t>
  </si>
  <si>
    <t xml:space="preserve">Ses kontrolör / dijital çıkış modülü + ses kontrol kabini (PA kabin, D01/CPA/101)</t>
  </si>
  <si>
    <t xml:space="preserve">REF-derin – PA kontrolör+kabin: Bosch 2015 NCO-3 3.206+rack 968=4.174; RCF 2015 MT5708 5.731+968=6.699; Pendik 2022 anons kabini 8.768 − amfiler ~2.700 = 6.068 → medyan 6.068 € [Emsal ID: R02320;R02493;R02958;R02507]</t>
  </si>
  <si>
    <t xml:space="preserve">Kontrolör + PA kabini | İlk tahmin BF 6,000.00</t>
  </si>
  <si>
    <t xml:space="preserve">Anons sistemi kumanda konsolu (mikrofon, D01/CPA/Z01 çalışma alanı + kontrol merkezi)</t>
  </si>
  <si>
    <t xml:space="preserve">REF-derin – Üçyol-Buca M/Cesa(Honeywell) 2021 1074.13x1.1; Narlıdere M/Uskom 2018 1461.45; KMM M/RCF 2015 837.93x0.85; Pendik-Kaynarca M/YM 2022 1761.00x1.1; Yerköy-Sivas YHT bina/YM 2019 1762.61 | Dijital anons istasyonu emsalleri (+%10 montaj; 2015 x0,85) | sonuç 1461.45 [Emsal ID: R01949;R01752;R02486;R02957;R01190]</t>
  </si>
  <si>
    <t xml:space="preserve">Ses kontrol potansiyometresi</t>
  </si>
  <si>
    <t xml:space="preserve">REF-derin(1) – KMM M/Ateksis(Bosch) 2015 25.54x1.2 | Bosch ses kontrol ünitesi +%20 montaj; 1 emsal, mevcutla ortalama | emsal 30.64, ort.(60+30.64)/2 [Emsal ID: R02324]</t>
  </si>
  <si>
    <t xml:space="preserve">Hat sonu direnci</t>
  </si>
  <si>
    <t xml:space="preserve">REF-derin – Pendik-Kaynarca M/YM 2022 26.42x1.1; Üçyol-Buca M/Cesa(Honeywell) 2021 28.89x1.1; Üçyol-Buca M/Siemens 2021 78.14x1.1 | EOL; +%10 montaj | sonuç 31.78 [Emsal ID: R02954;R01948;R02135]</t>
  </si>
  <si>
    <t xml:space="preserve">Hoparlör kablosu 2x2,5 mm² LIH(st)H FE180</t>
  </si>
  <si>
    <t xml:space="preserve">REF-derin – Pendik-Kaynarca M/YM 2022 1.74x1.3; KMM M/Uskom 2015 1.81x1.3; KMM M/Uskom 2015 1.62x1.3 | 2x2,5 emsaller (FE180 değil) +%30 çekim/Cu, FE180 farkı +%20 | sonuç 2.71 [Emsal ID: R02963;R02787;R02656]</t>
  </si>
  <si>
    <t xml:space="preserve">İlk tahmin BF 2.80</t>
  </si>
  <si>
    <t xml:space="preserve">4008.H</t>
  </si>
  <si>
    <t xml:space="preserve">Anons seçim paneli (dijital anons istasyonu, 12 fonksiyon butonu + genişleme) + el değmeden mikrofon</t>
  </si>
  <si>
    <t xml:space="preserve">REF-derin – Üçyol-Buca M/Cesa(Honeywell) 2021 1074.13x1.1; Narlıdere M/Uskom 2018 1461.45; KMM M/RCF 2015 837.93x0.85; Pendik-Kaynarca M/YM 2022 1761.00x1.1; Yerköy-Sivas YHT bina/YM 2019 1762.61; Üçyol-Buca M/Siemens 2021 604.68x1.1 | Anons istasyonu medyanı (+%10, 2015 x0,85) + genişleme modülü (Siemens) | sonuç 2126.60 [Emsal ID: R01949;R01752;R02486;R02957;R01190;R02130]</t>
  </si>
  <si>
    <t xml:space="preserve">İlk tahmin BF 2,500.00</t>
  </si>
  <si>
    <t xml:space="preserve">Anons sistemi sunucusu/yazılımı (zonlama, otomatik anons, AVLS/YBS arayüzü)</t>
  </si>
  <si>
    <t xml:space="preserve">REF-derin – Narlıdere M/Uskom 2018 4284.69x1.05; SAGE bina/YM 2018 5551.00 | DÜZELTME: önceki REF 3.804,91 = R04643 (katener test/devreye alma) yanlış eşleşme; PA sunucu+yazılım emsalleri | sonuç 5024.96 [Emsal ID: R01747;R03094]</t>
  </si>
  <si>
    <t xml:space="preserve">İlk tahmin BF 3,804.91</t>
  </si>
  <si>
    <t xml:space="preserve">TCC anons rack ekipmanları (ağ ses kodlayıcı, 24VDC acil besleme)</t>
  </si>
  <si>
    <t xml:space="preserve">REF-derin – KMM M/Ateksis(Bosch) 2015 1197.05x0.935; KMM M/RCF 2015 638.43x0.935; Üçyol-Buca M/Cesa(Honeywell) 2021 1220.24x1.1; Narlıdere M/Uskom 2018 2098.27 | Bileşik: IP ses arabirimi medyanı + EN54-4 acil güç kaynağı medyanı | sonuç 2578.35 [Emsal ID: R02319;R02506;R01951;R01744]</t>
  </si>
  <si>
    <t xml:space="preserve">Mevcut depo kontrol merkezi entegrasyonu: anons yazılım uyarlama + lisans</t>
  </si>
  <si>
    <t xml:space="preserve">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</si>
  <si>
    <t xml:space="preserve">İdare: mevcut sistem yok | İlk tahmin BF 21,984.87</t>
  </si>
  <si>
    <t xml:space="preserve">4009</t>
  </si>
  <si>
    <t xml:space="preserve">Uygulama projeleri, sistem mimarisi/blok şemaları, hesaplar (kamera görüş analizi, depolama hesabı)</t>
  </si>
  <si>
    <t xml:space="preserve">REF-derin(1) – Kabataş Bosch 2015 IP CCTV uygulama+as-built 1.837 €/ist. ×7 = 12.860 € → mevcut 10.000 ile harmanlandı [Emsal ID: R02349]</t>
  </si>
  <si>
    <t xml:space="preserve">4010.A</t>
  </si>
  <si>
    <t xml:space="preserve">IP sabit dome kamera 3 MP, H.265, PoE, IK10/IP66</t>
  </si>
  <si>
    <t xml:space="preserve">REF-derin – Üçyol-Buca M/Siemens 2021 465.06x1.15; Üçyol-Buca M/Huawei 2021 472.06x1.15; Narlıdere M/Uskom 2018 482.47; KMM M/Entek 2015 298.86x0.9775 | IP dome 3-5 MP; malzemeye +%15 montaj/ayar; 2015 x0,85 (elektronik) | sonuç 508.65 [Emsal ID: R02077;R01924;R01784;R02795]</t>
  </si>
  <si>
    <t xml:space="preserve">İlk tahmin BF 380.00</t>
  </si>
  <si>
    <t xml:space="preserve">IP harici sabit (bullet) kamera 3 MP, H.265, PoE, IP66</t>
  </si>
  <si>
    <t xml:space="preserve">REF-derin – Üçyol-Buca M/Siemens 2021 533.17x1.15; Yerköy-Sivas YHT bina/YM 2019 928.60 | Harici sabit IP kamera; malzemeye +%15; SAGE bina 2MP iç bütçe (980) dışarıda | sonuç 770.87 [Emsal ID: R02076;R01206]</t>
  </si>
  <si>
    <t xml:space="preserve">BF 1389 yüksek; medyan 576/çapa | İlk tahmin BF 550.00</t>
  </si>
  <si>
    <t xml:space="preserve">CAT6 (S/FTP, dış ortam/HFFR) kamera data kablosu</t>
  </si>
  <si>
    <t xml:space="preserve">Kamera güç kablosu 3x2,5 mm² N2XH/NYY (APP panosundan)</t>
  </si>
  <si>
    <t xml:space="preserve">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</si>
  <si>
    <t xml:space="preserve">Kamera montaj aparatı (duvar/tavan/direk), bağlantı kutusu, esnek zırhlı konduit</t>
  </si>
  <si>
    <t xml:space="preserve">REF-derin – KMM M/Uskom 2015 134.64; SAGE bina/YM 2018 101.34x1.2; Üçyol-Buca M/Siemens 2021 55.64x1.2; Üçyol-Buca M/Cesa(Honeywell) 2021 40.36x1.2 | Montaj aparatı+kutu; malzemeye +%20 montaj | sonuç 94.19 [Emsal ID: R02720;R03042;R02074;R01983]</t>
  </si>
  <si>
    <t xml:space="preserve">İlk tahmin BF 45.00</t>
  </si>
  <si>
    <t xml:space="preserve">APP adaptör/güç panosu (CCTV)</t>
  </si>
  <si>
    <t xml:space="preserve">REF-derin – CCTV güç panosu: Buca TEDAK 2021 tali pano 3.011 €, ELF-20.1 harici dağıtım panosu AUS 2018 1.580 €, Rayba 2016 3.081 € → medyan 3.010 € [Emsal ID: R00720;R04012;R05156]</t>
  </si>
  <si>
    <t xml:space="preserve">Ref n=1 (17.317) aşırı; CCTV güç panosu | İlk tahmin BF 3,500.00</t>
  </si>
  <si>
    <t xml:space="preserve">4010.B</t>
  </si>
  <si>
    <t xml:space="preserve">REF-derin(1) – Yerköy-Sivas YHT bina/YM 2019 2126.32 | Yedekli IP kamera güç kaynağı (M+İ) tek emsal; mevcut 3.500 ile ortalama | emsal 2126.32, ort.(3500+2126.32)/2 [Emsal ID: R01214]</t>
  </si>
  <si>
    <t xml:space="preserve">4010.C</t>
  </si>
  <si>
    <t xml:space="preserve">4010.D</t>
  </si>
  <si>
    <t xml:space="preserve">4010.E</t>
  </si>
  <si>
    <t xml:space="preserve">4010.F</t>
  </si>
  <si>
    <t xml:space="preserve">4010.G</t>
  </si>
  <si>
    <t xml:space="preserve">IP dome kamera 3 MP PoE (D01 atölye/idari bina)</t>
  </si>
  <si>
    <t xml:space="preserve">REF-derin – IP dome: Narlıdere Uskom 2018 3MP IR dome 482,5 € (M+İ); Buca Cesa 2021 2MP harici dome 348 (M)+%20=418; Siemens 2021 5MP dome 465+kol 33 (M)+%20=598 → medyan 482,5 € (mevcut 380 düşük) [Emsal ID: R01784;R01980;R02077;R02079]</t>
  </si>
  <si>
    <t xml:space="preserve">IP PTZ kamera harici tip PoE (D01)</t>
  </si>
  <si>
    <t xml:space="preserve">REF-derin – Üçyol-Buca M/Siemens 2021 1981.98x1.1; Bursa T2/Kocaeli Tr/Sekaray 2015 3275.50x0.85; Samsun LRT/Uskom 2008 1985.29x0.5 | Harici PTZ; malzemeye +%10; 2015 x0,85, 2008 analog x0,5 | sonuç 2180.18 [Emsal ID: R02073;R02812;R03224]</t>
  </si>
  <si>
    <t xml:space="preserve">İlk tahmin BF 1,600.00</t>
  </si>
  <si>
    <t xml:space="preserve">CAT6H kamera kablosu (D01)</t>
  </si>
  <si>
    <t xml:space="preserve">Depo sahası açık alan sabit dome kamera IP65 (PTO sembolü, h:4,90 m)</t>
  </si>
  <si>
    <t xml:space="preserve">Kamera direği 5 m (galvaniz, ankraj, 4 kamera konsollu)</t>
  </si>
  <si>
    <t xml:space="preserve">REF-derin – Kamera direği: YM 2019 4 m Ø4" 179 €, SAGE 2018 236,5 €, YM 2019 montaj direği 243 € (M+İ) → medyan 236,5 ×1,25 (5 m) ×1,3 (4 konsol) ×1,3 (TL işçilik/çelik) → 500 € [Emsal ID: R01211;R03060;R01201]</t>
  </si>
  <si>
    <t xml:space="preserve">Galvaniz direk + ankraj | İlk tahmin BF 1,000.00</t>
  </si>
  <si>
    <t xml:space="preserve">Saha dağıtım kutusu CTV-SDT/01-05 (IP66, endüstriyel PoE switch + ethernet F/O çevirici MCS)</t>
  </si>
  <si>
    <t xml:space="preserve">REF-derin(1) – Saha kutusu: ALE OS6465-P6 736+PSU 174 + YM F/O çevirici 89 + IP66 kutu ~400 ≈ 1.400 (M)+%20=1.700 € → mevcut 2.800 ile harmanlandı [Emsal ID: R02196;R02197;R01202;R03070]</t>
  </si>
  <si>
    <t xml:space="preserve">İlk tahmin BF 2,800.00</t>
  </si>
  <si>
    <t xml:space="preserve">Direk kamera kutusu: ethernet F/O çevirici (MCS) + 4-5 port PoE switch</t>
  </si>
  <si>
    <t xml:space="preserve">REF-derin – Kabataş Uskom 2015 5p PoE switch 447 € (M+İ) + YM 2019 F/O çevirici 89 € + SAGE 2018 saha kutusu 372 € = 908 € [Emsal ID: R02735;R01202;R03070]</t>
  </si>
  <si>
    <t xml:space="preserve">İlk tahmin BF 900.00</t>
  </si>
  <si>
    <t xml:space="preserve">SM F/O kablo 4 core (SDT ← D01 ana hatlar + SDT → direkler)</t>
  </si>
  <si>
    <t xml:space="preserve">REF-derin – Narlıdere M/Uskom 2018 1.63; Yerköy-Sivas YHT bina/YM 2019 2.08 | 4 damar FO, M+İ emsaller | sonuç 1.86 [Emsal ID: R01801;R01196]</t>
  </si>
  <si>
    <t xml:space="preserve">CAT6 STP/U-FTP LS0H dış ortam kamera kablosu (saha)</t>
  </si>
  <si>
    <t xml:space="preserve">İlk tahmin BF 1.40</t>
  </si>
  <si>
    <t xml:space="preserve">Kamera enerji kablosu 3x2,5 NHXMH FE180 (saha)</t>
  </si>
  <si>
    <t xml:space="preserve">REF-derin – Pendik-Kaynarca M/YM 2022 3.35x1.3; Başkentray/Desat 2012 3.32x1.2 | FE180 NHXMH; malzemeye +%30 çekim, 2012 emsale x1,2 bakır | sonuç 4.17 [Emsal ID: R02988;R00524]</t>
  </si>
  <si>
    <t xml:space="preserve">FE180 kablo | İlk tahmin BF 4.00</t>
  </si>
  <si>
    <t xml:space="preserve">IP harici sabit kamera 3 MP (D03 vagon yıkama)</t>
  </si>
  <si>
    <t xml:space="preserve">İlk tahmin BF 550.00</t>
  </si>
  <si>
    <t xml:space="preserve">CAT6 kamera kablosu (D03)</t>
  </si>
  <si>
    <t xml:space="preserve">IP sabit dome kamera 3 MP (D05 malzeme deposu, harici)</t>
  </si>
  <si>
    <t xml:space="preserve">CAT6H kamera kablosu (D05)</t>
  </si>
  <si>
    <t xml:space="preserve">IP sabit dome kamera (D02 depo trafo T09) — 5 iç + 3 harici IP66</t>
  </si>
  <si>
    <t xml:space="preserve">CAT6 kamera kablosu (D02)</t>
  </si>
  <si>
    <t xml:space="preserve">Giriş kontrol binası (D07) KDTV izleme monitörü 24'' + istemci</t>
  </si>
  <si>
    <t xml:space="preserve">REF-derin – Narlıdere M/Uskom 2018 1446.28; KMM M/Ateksis(Bosch) 2015 1995.08x0.935; Üçyol-Buca M/Cesa(Honeywell) 2021 2188.57x1.1 | PC+monitör setleri; +%10 kurulum; 2015 x0,85 | sonuç 1865.40 [Emsal ID: R01687;R02287;R01959]</t>
  </si>
  <si>
    <t xml:space="preserve">Kamera montaj aparatları, bağlantı kutuları</t>
  </si>
  <si>
    <t xml:space="preserve">İlk tahmin BF 40.00</t>
  </si>
  <si>
    <t xml:space="preserve">4010.H</t>
  </si>
  <si>
    <t xml:space="preserve">Sabit dome kamera (harici, IP)</t>
  </si>
  <si>
    <t xml:space="preserve">CAT6 kamera kablosu</t>
  </si>
  <si>
    <t xml:space="preserve">Kamera montaj aparatı + buat</t>
  </si>
  <si>
    <t xml:space="preserve">4010.I</t>
  </si>
  <si>
    <t xml:space="preserve">IP harici sabit/PTZ kamera (karayolu eşdüzey geçişleri, 2 adet/geçiş)</t>
  </si>
  <si>
    <t xml:space="preserve">REF-derin – Geçiş kamerası (1 sabit + 1 PTZ): Siemens 2021 5MP bullet 533 (M)+%20=640; PTZ 1.982+56 (M)+%20=2.446; Uskom 2015 PTZ 2.528; SAGE PTZ 2.612 → ort. (640+2.446)/2 = 1.540 € [Emsal ID: R02073;R02076;R02717;R03043]</t>
  </si>
  <si>
    <t xml:space="preserve">Sabit/PTZ karışık | İlk tahmin BF 900.00</t>
  </si>
  <si>
    <t xml:space="preserve">IP harici sabit kamera (ana hat motorlu makas bölgeleri M17-20, M21-24/C4, M25-26/MD1-MD2, M27-30/C5)</t>
  </si>
  <si>
    <t xml:space="preserve">Kamera direği 6 m / katener direğine konsol</t>
  </si>
  <si>
    <t xml:space="preserve">REF-derin – YM 2019 kamera direği 4 m 179 €, SAGE 2018 236,5 € → 6 m direk ~400 €, katener direğine konsol ~150 € karışık + TL işçilik düzeltmesi → 450 € [Emsal ID: R01211;R03060]</t>
  </si>
  <si>
    <t xml:space="preserve">Direk/konsol karışık | İlk tahmin BF 700.00</t>
  </si>
  <si>
    <t xml:space="preserve">CAT6 dış ortam kamera kablosu + 3x2,5 besleme</t>
  </si>
  <si>
    <t xml:space="preserve">REF-derin – Pendik-Kaynarca M/YM 2022 2.45x1.3; SAGE bina/YM 2018 2.48; Üçyol-Buca M/Nokia/ALE 2021 1.40x1.3; Bursa T2/Kocaeli Tr/Haluk 2015 1.50x1.3; Bursa T2/Kocaeli Tr/MET 2015 1.91x1.3; Bursa T2/Kocaeli Tr/Delta Tema 2015 1.03x1.69; Üçyol-Buca M/Prysmian liste 2021 1.30x1.3; Üçyol-Buca M/Kablo üretic 2021 1.14x1.3; Narlıdere M/Uskom 2018 3.35 | Bileşik: dış ortam CAT6 medyanı + 3x2,5 N2XH medyanı | sonuç 4.32 [Emsal ID: R02987;R02994;R02238;R00901;R00972;R00848;R00685;R00727;R01622]</t>
  </si>
  <si>
    <t xml:space="preserve">Hat boyu 6,44/6,56 düzeltme | İlk tahmin BF 4.00</t>
  </si>
  <si>
    <t xml:space="preserve">4010.J</t>
  </si>
  <si>
    <t xml:space="preserve">Ağ video kayıt cihazı (NVR) 16 kanal 4MP@25fps, H.265 + disk (≥30 gün)</t>
  </si>
  <si>
    <t xml:space="preserve">TAHMIN (emsal yok) – Refler 64–128 kanal sunucu-NVR (7 k€) – 16 kanal NVR ile ölçek farklı; 3.200 korundu [Emsal ID: R02088;R02723]</t>
  </si>
  <si>
    <t xml:space="preserve">NVR + ~20 TB disk</t>
  </si>
  <si>
    <t xml:space="preserve">NVR server + NVR storage (depo/TCC)</t>
  </si>
  <si>
    <t xml:space="preserve">REF-derin – NVR sunucu: Uskom 2015 7.261 €, Siemens 2021 VideoXpert 6.954 € (M), Cesa 2021 36 TB server 7.549 € → medyan 7.261 € × 2 (sunucu+depolama) → 14.520 € [Emsal ID: R02723;R02088;R01977]</t>
  </si>
  <si>
    <t xml:space="preserve">İlk tahmin BF 15,000.00</t>
  </si>
  <si>
    <t xml:space="preserve">KDTV kontrol ünitesi / kumanda klavyesi (joystick)</t>
  </si>
  <si>
    <t xml:space="preserve">REF-derin – KMM M/Ateksis(Bosch) 2015 615.92x0.935; Narlıdere M/Uskom 2018 1345.43; Samsun LRT/Uskom 2008 1187.35x0.5 | DÜZELTME: REF 1.187 Samsun 2008 joystick, eski elektronik x0,5; 2015 x0,85 +%10 | sonuç 593.68 [Emsal ID: R02358;R01783;R03203]</t>
  </si>
  <si>
    <t xml:space="preserve">İlk tahmin BF 1,187.35</t>
  </si>
  <si>
    <t xml:space="preserve">LCD monitör 24'' profesyonel 7/24</t>
  </si>
  <si>
    <t xml:space="preserve">REF-derin – Narlıdere M/Uskom 2018 322.29; KMM M/Ateksis(Bosch) 2015 857.15x0.85; Üçyol-Buca M/Siemens 2021 228.53x1.1; Yerköy-Sivas YHT bina/YM 2019 378.90 | 22-27" monitör; 2015 x0,85; Dahua 7/24 (AYKIRI) ve Elmak 2014 2.703 aşırı dışarıda | sonuç 350.60 [Emsal ID: R01781;R02370;R02093;R01209]</t>
  </si>
  <si>
    <t xml:space="preserve">Ref n=1 aşırı; 24" 7/24 monitör | İlk tahmin BF 500.00</t>
  </si>
  <si>
    <t xml:space="preserve">LCD monitör 62-65'' 7/24 (KDTV ortak izleme)</t>
  </si>
  <si>
    <t xml:space="preserve">TAHMIN (emsal yok) – 65" 7/24 monitör emsali yok (en büyük 42")</t>
  </si>
  <si>
    <t xml:space="preserve">VMS yazılımı + kamera lisansları, araç üstü görüntü talep yazılımı</t>
  </si>
  <si>
    <t xml:space="preserve">REF-derin – VMS: Honeywell 2021 base 3.181 + yedeklilik 1.633 €; kamera lisansı Uskom 2015 118 €/kam, Pelco 2021 72 €/kam → ~200 kam × ~95 € + base ≈ 23,8 k€ + araç görüntü modülü → 25.000 € (mevcut teyit) [Emsal ID: R01972;R01975;R02721;R02087]</t>
  </si>
  <si>
    <t xml:space="preserve">KDTV 19'' ekipman dolabı</t>
  </si>
  <si>
    <t xml:space="preserve">Mevcut depo kontrol merkezi entegrasyonu: VMS/NVR yazılım uyarlama + lisans</t>
  </si>
  <si>
    <t xml:space="preserve">4011</t>
  </si>
  <si>
    <t xml:space="preserve">Uygulama projeleri, sistem mimarisi/blok şemaları, hesaplar (NTP hiyerarşisi, arayüzler)</t>
  </si>
  <si>
    <t xml:space="preserve">TEKLİF (ON Elektronik/RayON MSS 06.10.2026: malz. 0 + işç. 5000 EUR)</t>
  </si>
  <si>
    <t xml:space="preserve">Tasarım, küçük tramvay ölçeği | Teklif öncesi BF 4,000.00</t>
  </si>
  <si>
    <t xml:space="preserve">Tasarım, küçük tramvay ölçeği | Teklif öncesi BF 2,000.00</t>
  </si>
  <si>
    <t xml:space="preserve">4012.A</t>
  </si>
  <si>
    <t xml:space="preserve">Dijital IP (NTP, PoE) çift yüzlü peron saati, dış ortam</t>
  </si>
  <si>
    <t xml:space="preserve">TEKLİF (ON Elektronik/RayON MSS 06.10.2026: malz. 2500 + işç. 500 EUR)</t>
  </si>
  <si>
    <t xml:space="preserve">Teklif öncesi BF 2,640.16</t>
  </si>
  <si>
    <t xml:space="preserve">CAT6 S/FTP kablo (saat)</t>
  </si>
  <si>
    <t xml:space="preserve">İlk tahmin BF 1.30</t>
  </si>
  <si>
    <t xml:space="preserve">Saat montaj konsolu/askı</t>
  </si>
  <si>
    <t xml:space="preserve">TEKLİF (ON Elektronik/RayON MSS 06.10.2026: birim fiyata dahil – "Saat tavan veya duvar askı aparatı saat fiyatına dahildir.")</t>
  </si>
  <si>
    <t xml:space="preserve">Ref n=1; montaj konsolu | Teklif öncesi BF 300.00</t>
  </si>
  <si>
    <t xml:space="preserve">4012.B</t>
  </si>
  <si>
    <t xml:space="preserve">4012.C</t>
  </si>
  <si>
    <t xml:space="preserve">4012.D</t>
  </si>
  <si>
    <t xml:space="preserve">4012.E</t>
  </si>
  <si>
    <t xml:space="preserve">4012.F</t>
  </si>
  <si>
    <t xml:space="preserve">4012.G</t>
  </si>
  <si>
    <t xml:space="preserve">IP (NTP/PoE) duvar saati — D01 (set 1)</t>
  </si>
  <si>
    <t xml:space="preserve">TEKLİF (ON Elektronik/RayON MSS 06.10.2026: malz. 750 + işç. 100 EUR)</t>
  </si>
  <si>
    <t xml:space="preserve">Teklif öncesi BF 450.00</t>
  </si>
  <si>
    <t xml:space="preserve">IP (NTP/PoE) duvar saati — D03, D05, D07 (set 2-4)</t>
  </si>
  <si>
    <t xml:space="preserve">TEKLİF (ON Elektronik/RayON MSS 06.10.2026: malz. 1250 + işç. 250 EUR)</t>
  </si>
  <si>
    <t xml:space="preserve">Dış ortam çift yüzlü dijital saat (atölye girişi/depo sahası)</t>
  </si>
  <si>
    <t xml:space="preserve">Peron saati ref ile aynı | Teklif öncesi BF 2,640.00</t>
  </si>
  <si>
    <t xml:space="preserve">CAT6 kablo (saat)</t>
  </si>
  <si>
    <t xml:space="preserve">Saat alt dağıtım/NTP bağlantısı (bina switch portu, montaj)</t>
  </si>
  <si>
    <t xml:space="preserve">TEKLİF (ON Elektronik/RayON MSS 06.10.2026: malz. 1000 + işç. 300 EUR)</t>
  </si>
  <si>
    <t xml:space="preserve">Teklif öncesi BF 250.00</t>
  </si>
  <si>
    <t xml:space="preserve">4012.H</t>
  </si>
  <si>
    <t xml:space="preserve">GPS bazlı merkezi saat / NTP sunucusu (profesyonel, yedekli, GPS anteni + kablo)</t>
  </si>
  <si>
    <t xml:space="preserve">TEKLİF (ON Elektronik/RayON MSS 06.10.2026: malz. 4000 + işç. 500 EUR)</t>
  </si>
  <si>
    <t xml:space="preserve">Yedekli GPS master clock çapa 4.000-6.000 | Teklif öncesi BF 5,000.00</t>
  </si>
  <si>
    <t xml:space="preserve">Saat yönetim yazılımı + alt sistem arayüzleri (erişim kontrol, KDTV, SCADA)</t>
  </si>
  <si>
    <t xml:space="preserve">TEKLİF (ON Elektronik/RayON MSS 06.10.2026: malz. 500 + işç. 500 EUR)</t>
  </si>
  <si>
    <t xml:space="preserve">Teklif öncesi BF 4,000.00</t>
  </si>
  <si>
    <t xml:space="preserve">Mevcut depo kontrol merkezi entegrasyonu: saat/NTP uyarlama + lisans</t>
  </si>
  <si>
    <t xml:space="preserve">TEKLİF (ON Elektronik/RayON MSS 06.10.2026: malz. None + işç. 2500 EUR)</t>
  </si>
  <si>
    <t xml:space="preserve">İdare: mevcut sistem yok | Teklif öncesi BF 5,000.00</t>
  </si>
  <si>
    <t xml:space="preserve">4013</t>
  </si>
  <si>
    <t xml:space="preserve">Uygulama projeleri, sistem mimarisi/blok şemaları, hesaplar (kapı listesi, yetki matrisi)</t>
  </si>
  <si>
    <t xml:space="preserve">TAHMIN (emsal yok) – Erişim kontrol tasarımı – Uskom metro güvenlik tasarımı 31,7 k€ ölçek dışı [Emsal ID: R01577]</t>
  </si>
  <si>
    <t xml:space="preserve">4014.A</t>
  </si>
  <si>
    <t xml:space="preserve">Erişim kontrol kontrolörü (IP, 2 kapı, yerel veri tabanı, güç kaynağı + akü)</t>
  </si>
  <si>
    <t xml:space="preserve">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</si>
  <si>
    <t xml:space="preserve">İlk tahmin BF 700.00</t>
  </si>
  <si>
    <t xml:space="preserve">Kart okuyucu 13,56 MHz (MIFARE/DESFire, IP54)</t>
  </si>
  <si>
    <t xml:space="preserve">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</si>
  <si>
    <t xml:space="preserve">Ref yalnız malzeme; montajlı okuyucu | İlk tahmin BF 180.00</t>
  </si>
  <si>
    <t xml:space="preserve">Elektrikli kilit / manyetik kilit 12 VDC fail-safe + kapı açma butonu + acil kırma butonu</t>
  </si>
  <si>
    <t xml:space="preserve">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</si>
  <si>
    <t xml:space="preserve">Ref yalnız kilit; buton+montaj dahil | İlk tahmin BF 300.00</t>
  </si>
  <si>
    <t xml:space="preserve">Açık kapı tespit kontağı (manyetik)</t>
  </si>
  <si>
    <t xml:space="preserve">REF-derin – Narlıdere M/Uskom 2018 18.32; SAGE bina/YM 2018 25.33 | Montajlı manyetik kontak (M+İ) emsalleri; malzeme-only 2-5 € emsaller işçiliksiz | sonuç 21.83 [Emsal ID: R01691;R03002]</t>
  </si>
  <si>
    <t xml:space="preserve">İlk tahmin BF 25.00</t>
  </si>
  <si>
    <t xml:space="preserve">Erişim kontrol kablosu (LIHCH 4x0,75 / 6x0,22 + CAT6)</t>
  </si>
  <si>
    <t xml:space="preserve">REF-derin – SAGE bina/YM 2018 2.70; SAGE bina/YM 2018 2.48; Pendik-Kaynarca M/YM 2022 2.52x1.3 | Erişim kontrol LIHCH kabloları, M+İ | sonuç 2.70 [Emsal ID: R03021;R03018;R02972]</t>
  </si>
  <si>
    <t xml:space="preserve">4014.B</t>
  </si>
  <si>
    <t xml:space="preserve">4014.C</t>
  </si>
  <si>
    <t xml:space="preserve">4014.D</t>
  </si>
  <si>
    <t xml:space="preserve">4014.E</t>
  </si>
  <si>
    <t xml:space="preserve">4014.F</t>
  </si>
  <si>
    <t xml:space="preserve">4014.G</t>
  </si>
  <si>
    <t xml:space="preserve">Kart okuyuculu kapı seti (okuyucu + elektrikli/manyetik kilit + çıkış butonu + acil buton + kontak)</t>
  </si>
  <si>
    <t xml:space="preserve">REF-derin(1) – Kapı seti bileşen: okuyucu 59 € + manyetik kilit 41–56 € + buton/kontak ~60 € + AMC2 4 kapılı kontrolör 951/4 = 238 € → 413 € (M) +%30 = 537 € → mevcut 850 ile harmanlandı [Emsal ID: R01966;R01967;R02280;R02102;R02100]</t>
  </si>
  <si>
    <t xml:space="preserve">Çapa 600-900/kapı | İlk tahmin BF 850.00</t>
  </si>
  <si>
    <t xml:space="preserve">Erişim kontrol kontrolörü (IP, 4 kapı) + güç kaynağı/akü</t>
  </si>
  <si>
    <t xml:space="preserve">REF-derin – KMM M/Ateksis(Bosch) 2015 950.99x1.02; KMM M/Ateksis(Bosch) 2015 756.80x1.02; Üçyol-Buca M/Cesa(Honeywell) 2021 495.93x1.2; Narlıdere M/Uskom 2018 308.23 | 4 okuyuculu kontrolör (+%20; 2015 x0,85) + PSU/akü | sonuç 1080.17 [Emsal ID: R02301;R02282;R01960;R01689]</t>
  </si>
  <si>
    <t xml:space="preserve">İlk tahmin BF 1,100.00</t>
  </si>
  <si>
    <t xml:space="preserve">D02 depo trafo giriş güvenlik paneli (GGP) + I/O modülü + manyetik kontak</t>
  </si>
  <si>
    <t xml:space="preserve">TAHMIN (emsal yok) – GGP set emsali yok</t>
  </si>
  <si>
    <t xml:space="preserve">Erişim kablosu (LIHCH okuyucu/kilit + LIYCY kontak)</t>
  </si>
  <si>
    <t xml:space="preserve">Temassız personel kimlik kartı</t>
  </si>
  <si>
    <t xml:space="preserve">REF-derin – Narlıdere M/Uskom 2018 5.91; SAGE bina/YM 2018 8.44 | Kart malzeme, montaj yok | sonuç 7.17 [Emsal ID: R01692;R03016]</t>
  </si>
  <si>
    <t xml:space="preserve">İlk tahmin BF 4.00</t>
  </si>
  <si>
    <t xml:space="preserve">4014.H</t>
  </si>
  <si>
    <t xml:space="preserve">Giriş güvenlik paneli (GGP)</t>
  </si>
  <si>
    <t xml:space="preserve">TAHMIN (emsal yok) – GGP/hırsız alarm paneli kalem emsali yok (anahat BAS setleri kıyaslanamaz)</t>
  </si>
  <si>
    <t xml:space="preserve">G/Ç (I/O) modülü</t>
  </si>
  <si>
    <t xml:space="preserve">REF-derin – Narlıdere M/Uskom 2018 254.76; Narlıdere M/Uskom 2018 177.05x1.2; Üçyol-Buca M/Siemens 2021 548.84x1.2 | 4-8 I/O modülü; +%20 montaj | sonuç 254.76 [Emsal ID: R01690;R01701;R02110]</t>
  </si>
  <si>
    <t xml:space="preserve">İlk tahmin BF 250.00</t>
  </si>
  <si>
    <t xml:space="preserve">Manyetik kapı kontağı</t>
  </si>
  <si>
    <t xml:space="preserve">Giriş güvenlik sistem hattı 2x1,5 mm² LiYCY</t>
  </si>
  <si>
    <t xml:space="preserve">REF-derin – Pendik-Kaynarca M/YM 2022 1.30x1.3; Pendik-Kaynarca M/YM 2022 1.42x1.3; Narlıdere M/Uskom 2018 1.68 | 2x1,5 ekranlı/halojensiz; malzemeye +%30 | sonuç 1.69 [Emsal ID: R02974;R02959;R01755]</t>
  </si>
  <si>
    <t xml:space="preserve">Kart okuyucu + elektrikli kilit + çıkış butonu (ana giriş kapısı)</t>
  </si>
  <si>
    <t xml:space="preserve">REF-derin – Üçyol-Buca M/Siemens 2021 23.40x1.25; Pendik-Kaynarca M/YM 2022 115.84x1.25; Üçyol-Buca M/Cesa(Honeywell) 2021 59.10x1.25; KMM M/Ateksis(Bosch) 2015 85.12x1.25; Narlıdere M/Uskom 2018 87.05x1.25; SAGE bina/YM 2018 177.34;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okuyucu medyanı + kilit seti (kilit+buton+kırma+braket x1,3) | sonuç 293.50 [Emsal ID: R02102;R02966;R01966;R02274;R01702;R02998;R01967;R02100;R02967;R01704;R02297;R02103;R01703;R03001;R02104;R01970;R03000;R01968]</t>
  </si>
  <si>
    <t xml:space="preserve">İlk tahmin BF 750.00</t>
  </si>
  <si>
    <t xml:space="preserve">4014.I</t>
  </si>
  <si>
    <t xml:space="preserve">Erişim kontrol ana sunucusu + iş istasyonu (2D grafik arayüz) + yazılım/lisans</t>
  </si>
  <si>
    <t xml:space="preserve">REF-derin(1) – Pendik 2022 ACS sunucu+kabin 5.040 € + Siemens 2021 istemci PC 1.262 € + küçük lisans ~2.000 € = 8.300 € → mevcut 9.000 ile harmanlandı [Emsal ID: R02971;R02092]</t>
  </si>
  <si>
    <t xml:space="preserve">İlk tahmin BF 9,000.00</t>
  </si>
  <si>
    <t xml:space="preserve">Kart tanımlama/basma ünitesi (kart yazıcı + masaüstü okuyucu)</t>
  </si>
  <si>
    <t xml:space="preserve">REF-derin – Üçyol-Buca M/Siemens 2021 1507.74; SAGE bina/YM 2018 2274.44 | Kart yazıcı medyanı + masaüstü okuyucu 100 € (tahmin) | sonuç 1991.09 [Emsal ID: R02094;R03015]</t>
  </si>
  <si>
    <t xml:space="preserve">Mevcut depo kontrol merkezi entegrasyonu: erişim kontrol yazılım uyarlama + lisans</t>
  </si>
  <si>
    <t xml:space="preserve">4015</t>
  </si>
  <si>
    <t xml:space="preserve">Uygulama projeleri, sistem mimarisi/blok şemaları, hesaplar (I/O listesi, HMI sayfaları, IEC 60870-5-104)</t>
  </si>
  <si>
    <t xml:space="preserve">REF-derin(1) – Narlıdere Elmak 2018 SCADA/ECS tasarımı 32.881 € (7 ist. metro) → mevcut 28.000 ile harmanlandı [Emsal ID: R01524]</t>
  </si>
  <si>
    <t xml:space="preserve">Tasarım, küçük tramvay ölçeği | İlk tahmin BF 28,000.00</t>
  </si>
  <si>
    <t xml:space="preserve">TAHMIN (emsal yok) – SCADA dokümantasyon – emsal yok</t>
  </si>
  <si>
    <t xml:space="preserve">4016.A</t>
  </si>
  <si>
    <t xml:space="preserve">SCADA RIO panosu (PLC/RIO, 32 DI + 8 DO modül, IEC 60870-5-104/Modbus TCP, 24VDC besleme)</t>
  </si>
  <si>
    <t xml:space="preserve">TAHMIN (emsal yok) – RIO 32DI+8DO pano – Samsun 2008 yalnız RIO modülü 376 €; korundu [Emsal ID: R03164]</t>
  </si>
  <si>
    <t xml:space="preserve">Kontrol kablosu 10x1,5 mm² LIHCH (ADP, APP, UPS → rack/RIO)</t>
  </si>
  <si>
    <t xml:space="preserve">TAHMIN (emsal yok) – 10x1,5 LIHCH emsali yok (yalnız 8x0,75)</t>
  </si>
  <si>
    <t xml:space="preserve">Kontrol kablosu 4x0,22 LIHCH (turnike/biletmatik durum kontağı)</t>
  </si>
  <si>
    <t xml:space="preserve">REF-derin – Pendik-Kaynarca M/YM 2022 1.15x1.3; Pendik-Kaynarca M/YM 2022 0.20x1.3; SAGE bina/YM 2018 2.70 | İnce kesitli LIHCH; malzemeye +%30 | sonuç 1.50 [Emsal ID: R02960;R02973;R03019]</t>
  </si>
  <si>
    <t xml:space="preserve">4016.B</t>
  </si>
  <si>
    <t xml:space="preserve">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</si>
  <si>
    <t xml:space="preserve">İlk tahmin BF 4,500.00</t>
  </si>
  <si>
    <t xml:space="preserve">4016.C</t>
  </si>
  <si>
    <t xml:space="preserve">4016.D</t>
  </si>
  <si>
    <t xml:space="preserve">4016.E</t>
  </si>
  <si>
    <t xml:space="preserve">4016.F</t>
  </si>
  <si>
    <t xml:space="preserve">4016.G</t>
  </si>
  <si>
    <t xml:space="preserve">RTU/PLC panosu sıcak yedekli (D02 depo trafo T09 + D01 mekanik/yangın/jeneratör sinyalleri)</t>
  </si>
  <si>
    <t xml:space="preserve">REF-derin(1) – Konya tramvay Elmak 2013 RTU panosu ve ekipmanları 19.428 €/set → mevcut 18.000 ile harmanlandı [Emsal ID: R02256]</t>
  </si>
  <si>
    <t xml:space="preserve">RIO panosu (D03, D05, D06, D07 binaları)</t>
  </si>
  <si>
    <t xml:space="preserve">TAHMIN (emsal yok) – RIO panosu – emsal yok [Emsal ID: R03164]</t>
  </si>
  <si>
    <t xml:space="preserve">Kontrol kablosu (LIHCH 12x1 / 10x1,5) sinyal toplama</t>
  </si>
  <si>
    <t xml:space="preserve">TAHMIN (emsal yok) – 12x1/10x1,5 emsali yok</t>
  </si>
  <si>
    <t xml:space="preserve">4016.H</t>
  </si>
  <si>
    <t xml:space="preserve">RTU/PLC panosu (sıcak yedekli CPU, DI/DO modülleri, 24VDC çift besleme, IEC 60870-5-104)</t>
  </si>
  <si>
    <t xml:space="preserve">REF-derin – RTU sıcak yedekli: Konya tramvay Elmak 2013 19.428 €, Üsküdar Siemens 2011 PCS-RTU 32.973 €, Başkentray Usluel 2012 42.374 €, CDE 29.983 € → medyan 31.480 € [Emsal ID: R02256;R03405;R03638;R03832]</t>
  </si>
  <si>
    <t xml:space="preserve">ANA ref 36.171/set baz alındı | İlk tahmin BF 34,000.00</t>
  </si>
  <si>
    <t xml:space="preserve">Kontrol kablosu (DI toplama: kapı, sıcaklık, yangın, UPS, 24VDC)</t>
  </si>
  <si>
    <t xml:space="preserve">TAHMIN (emsal yok) – Çok damarlı kontrol kablosu emsali yok</t>
  </si>
  <si>
    <t xml:space="preserve">4016.I</t>
  </si>
  <si>
    <t xml:space="preserve">SCADA sunucusu sıcak yedekli (2 adet) + arşiv (historian) sunucusu (≥3 ay)</t>
  </si>
  <si>
    <t xml:space="preserve">REF-derin – SCADA sunucuları: Uskom 2018 DB sunucu 6.107 €, ana sunucu 5.450 €, Avikon 2021 merkezi sunucu 5.956 €, Thales 2012 6.608 € → medyan ~6.100 × 3 sunucu × 1,15 → 21.000 € [Emsal ID: R01778;R01685;R01900;R01255]</t>
  </si>
  <si>
    <t xml:space="preserve">İlk tahmin BF 30,000.00</t>
  </si>
  <si>
    <t xml:space="preserve">SCADA operatör iş istasyonu + 2x 21-24'' monitör, klavye/fare</t>
  </si>
  <si>
    <t xml:space="preserve">REF-derin – Operatör PC+2 monitör: Uskom 2018 2 monitörlü istasyon 3.127+2×322=3.771; Siemens 2021 1.682+2×133 (M)+%10=2.143; Cesa 2021 2.189; Uskom 2018 workstation 1.446 → medyan 2.166 € [Emsal ID: R01780;R01781;R02083;R01959;R01687]</t>
  </si>
  <si>
    <t xml:space="preserve">İlk tahmin BF 3,500.00</t>
  </si>
  <si>
    <t xml:space="preserve">Ray potansiyeli/kaçak akım izleme bilgisayarı + 21-24'' monitör</t>
  </si>
  <si>
    <t xml:space="preserve">İlk tahmin BF 2,000.00</t>
  </si>
  <si>
    <t xml:space="preserve">Sunucu KVM switch + SCADA 19'' sunucu kabini</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</si>
  <si>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Kabin emsal medyanı (+%10 montaj) + KVM switch 500 € (emsal yok, tahmin) | sonuç 1712.91 [Emsal ID: R02927;R01999;R02228;R02125;R02507;R02325;R03068;R01743]</t>
  </si>
  <si>
    <t xml:space="preserve">İlk tahmin BF 3,000.00</t>
  </si>
  <si>
    <t xml:space="preserve">A3 renkli lazer ağ yazıcısı (tarayıcılı)</t>
  </si>
  <si>
    <t xml:space="preserve">REF-derin(1) – Samsun LRT/Uskom 2008 2755.31x0.5 | Samsun 2008 renkli lazer x0,5; Siemens 2011 A3 (AYKIRI) dışarıda; tek emsal, ortalama | emsal 1377.65, ort.(2000+1377.65)/2 [Emsal ID: R03172]</t>
  </si>
  <si>
    <t xml:space="preserve">Barkovizyon / VDU mimik panel 62-65'' (2 adet, multi-display)</t>
  </si>
  <si>
    <t xml:space="preserve">TAHMIN (emsal yok) – 65" VDU: YM 2019 42" monitör 1.504 €, Avikon 55" endüstriyel ekran 3.317 € – boyut/tip farklı; 2.500 korundu [Emsal ID: R01208;R01895]</t>
  </si>
  <si>
    <t xml:space="preserve">TCC ergonomik kontrol konsolu (≥4 pozisyon) + 6 ergonomik koltuk, 3D yerleşim projesi</t>
  </si>
  <si>
    <t xml:space="preserve">TAHMIN (emsal yok) – TCC ergonomik konsol – emsal yok</t>
  </si>
  <si>
    <t xml:space="preserve">SCADA ana lisans/yazılım, HMI sayfaları, enerji tüketim analizi modülü, test-devreye alma, eğitim</t>
  </si>
  <si>
    <t xml:space="preserve">REF-derin(1) – Konya tramvay Elmak 2013 RTU programlama 34.808 € + geliştirme 3.349 € = 38.157 € → mevcut 45.000 ile harmanlandı [Emsal ID: R02252;R02255]</t>
  </si>
  <si>
    <t xml:space="preserve">İlk tahmin BF 45,000.00</t>
  </si>
  <si>
    <t xml:space="preserve">Bakım bilgisayarı (laptop)</t>
  </si>
  <si>
    <t xml:space="preserve">REF-derin(1) – Samsun LRT/Uskom 2008 4727.37x0.4 | Samsun 2008 taşınabilir PC x0,4 BT düzeltmesi; tek emsal, ortalama | emsal 1890.95, ort.(1500+1890.95)/2 [Emsal ID: R03105]</t>
  </si>
  <si>
    <t xml:space="preserve">Mevcut depo kontrol merkezi entegrasyonu: SCADA yazılım uyarlama + lisans (HMI/veri tabanı birleştirme)</t>
  </si>
  <si>
    <t xml:space="preserve">REF-derin(1) – Üçyol-Buca M/Avikon 2021 12538.93 | Kapı/SCADA entegrasyon bedeli tek emsal; ortalama (miktar 0) | emsal 12538.93, ort.(20000+12538.93)/2 [Emsal ID: R01899]</t>
  </si>
  <si>
    <t xml:space="preserve">İdare: mevcut sistem yok | İlk tahmin BF 20,000.00</t>
  </si>
  <si>
    <t xml:space="preserve">4017</t>
  </si>
  <si>
    <t xml:space="preserve">Uygulama projeleri, sistem mimarisi/blok şemaları, hesaplar (ekran yerleşimi, AVLS/sinyalizasyon arayüzleri)</t>
  </si>
  <si>
    <t xml:space="preserve">TEKLİF (ON Elektronik/RayON YBS 06.10.2026: malz. 1000 + işç. 15000 EUR)</t>
  </si>
  <si>
    <t xml:space="preserve">Tasarım, küçük tramvay ölçeği | Teklif öncesi BF 8,000.00</t>
  </si>
  <si>
    <t xml:space="preserve">TEKLİF (ON Elektronik/RayON YBS 06.10.2026: malz. 0 + işç. 10000 EUR)</t>
  </si>
  <si>
    <t xml:space="preserve">Tasarım, küçük tramvay ölçeği | Teklif öncesi BF 3,500.00</t>
  </si>
  <si>
    <t xml:space="preserve">4018.A</t>
  </si>
  <si>
    <t xml:space="preserve">Yolcu bilgilendirme ekranı (IP, LED TV profesyonel 7/24, dış ortam muhafazalı, 43-55'')</t>
  </si>
  <si>
    <t xml:space="preserve">TEKLİF (ON Elektronik/RayON YBS 06.10.2026: malz. 3000 + işç. 500 EUR)</t>
  </si>
  <si>
    <t xml:space="preserve">Teklif öncesi BF 4,890.18</t>
  </si>
  <si>
    <t xml:space="preserve">YBE tavan askı/dirsek montaj konstrüksiyonu (alt kenar ≥2,20 m)</t>
  </si>
  <si>
    <t xml:space="preserve">TEKLİF (ON Elektronik/RayON YBS 06.10.2026: malz. 750 + işç. 500 EUR)</t>
  </si>
  <si>
    <t xml:space="preserve">Teklif öncesi BF 249.31</t>
  </si>
  <si>
    <t xml:space="preserve">IP oynatıcı/medya kontrol ünitesi (ekran başına, ekran dahili değilse)</t>
  </si>
  <si>
    <t xml:space="preserve">TEKLİF (ON Elektronik/RayON YBS 06.10.2026: birim fiyata dahil – "Media Player monitör üzerinde olacaktır.")</t>
  </si>
  <si>
    <t xml:space="preserve">Teklif öncesi BF 400.00</t>
  </si>
  <si>
    <t xml:space="preserve">CAT6 S/FTP HFFR YBS kablosu</t>
  </si>
  <si>
    <t xml:space="preserve">4018.B</t>
  </si>
  <si>
    <t xml:space="preserve">4018.C</t>
  </si>
  <si>
    <t xml:space="preserve">4018.D</t>
  </si>
  <si>
    <t xml:space="preserve">4018.E</t>
  </si>
  <si>
    <t xml:space="preserve">4018.F</t>
  </si>
  <si>
    <t xml:space="preserve">4018.G</t>
  </si>
  <si>
    <t xml:space="preserve">YBS sunucusu/bilgisayarı + monitör (sistem kontrol/yedek pozisyonu)</t>
  </si>
  <si>
    <t xml:space="preserve">TEKLİF (ON Elektronik/RayON YBS 06.10.2026: malz. 5000 + işç. 1000 EUR)</t>
  </si>
  <si>
    <t xml:space="preserve">Teklif öncesi BF 3,949.76</t>
  </si>
  <si>
    <t xml:space="preserve">YBS yazılımı + lisanslar (varış süresi hesabı, kayar yazı, internet yayını, AVLS/sinyalizasyon arayüzü)</t>
  </si>
  <si>
    <t xml:space="preserve">TEKLİF (ON Elektronik/RayON YBS 06.10.2026: malz. 0 + işç. 25000 EUR)</t>
  </si>
  <si>
    <t xml:space="preserve">Yedek YBE ekranı</t>
  </si>
  <si>
    <t xml:space="preserve">TEKLİF (ON Elektronik/RayON YBS 06.10.2026: malz. 2000 + işç. 0 EUR)</t>
  </si>
  <si>
    <t xml:space="preserve">Yalnız temin, montajsız | Teklif öncesi BF 4,200.00</t>
  </si>
  <si>
    <t xml:space="preserve">Mevcut depo kontrol merkezi entegrasyonu: YBS yazılım uyarlama + lisans</t>
  </si>
  <si>
    <t xml:space="preserve">TEKLİF (ON Elektronik/RayON YBS 06.10.2026: malz. 1000 + işç. 10000 EUR)</t>
  </si>
  <si>
    <t xml:space="preserve">İdare: mevcut sistem yok | Teklif öncesi BF 21,984.87</t>
  </si>
  <si>
    <t xml:space="preserve">4019</t>
  </si>
  <si>
    <t xml:space="preserve">Uygulama projeleri, sistem mimarisi/blok şemaları, hesaplar (EÜTS entegrasyonu)</t>
  </si>
  <si>
    <t xml:space="preserve">TAHMIN (emsal yok) – EÜTS entegrasyon tasarımı – emsal yok</t>
  </si>
  <si>
    <t xml:space="preserve">4019.A</t>
  </si>
  <si>
    <t xml:space="preserve">Üç kollu paslanmaz turnike (giriş: validatör yuvalı)</t>
  </si>
  <si>
    <t xml:space="preserve">REF-derin – Tripod turnike (validatör hariç): Bursa T2 AKT 2015 1.729 € (M)+%15=1.988; Tansa 2021 762+46 montaj=808; Narlıdere YM 2018 1.538 €; Pendik YM 2022 2.726 € (M+İ) → medyan 1.763 + kablo 80 → 1.840 € (mevcut 3.760 yüksek) [Emsal ID: R02810;R02146;R01852;R02897]</t>
  </si>
  <si>
    <t xml:space="preserve">Tarif: kablo turnike bedeline dahil (+~80) | İlk tahmin BF 3,760.00</t>
  </si>
  <si>
    <t xml:space="preserve">Turnike data (CAT6-F UTP outdoor) + kontrol (4x0,22 LIHCH) kabloları (tarif: turnike bedeline dahil)</t>
  </si>
  <si>
    <t xml:space="preserve">TAHMIN (emsal yok) – Tarif gereği turnike bedeline dahil; 0 korundu</t>
  </si>
  <si>
    <t xml:space="preserve">Tarif: turnike bedeline dahil, ayrıca ödenmez</t>
  </si>
  <si>
    <t xml:space="preserve">4019.B</t>
  </si>
  <si>
    <t xml:space="preserve">Özel geçiş kapısı 90° salınımlı, validatörlü</t>
  </si>
  <si>
    <t xml:space="preserve">REF-derin – 90° engelli kapı: Bursa T2 AKT 2015 swing gate 1.064 (M)+%15=1.224; Narlıdere 2018 1.507; Pendik 2022 2.472/2.286; Tansa 605 → medyan 1.507 + kablo 80 = 1.590 €. Validatör istasyon validatör kalemlerinde ayrıca sayılıyor ("giriş turnikesi + özel kapı") → 6.500 mükerrer [Emsal ID: R02811;R01853;R02898;R02977;R02147]</t>
  </si>
  <si>
    <t xml:space="preserve">Ref 1.927 € (2 ref) validatörlü 90° engelli kapı için düşük; piyasa 6.000–9.000 | İlk tahmin BF 6,500.00</t>
  </si>
  <si>
    <t xml:space="preserve">Özel kapı data + kontrol kabloları</t>
  </si>
  <si>
    <t xml:space="preserve">REF-derin – Pendik-Kaynarca M/YM 2022 2.45x1.3; SAGE bina/YM 2018 2.48; Üçyol-Buca M/Nokia/ALE 2021 1.40x1.3; Pendik-Kaynarca M/YM 2022 1.15x1.3; Pendik-Kaynarca M/YM 2022 0.20x1.3; SAGE bina/YM 2018 2.70 | Bileşik: dış ortam CAT6 + 4x0,22 kontrol | sonuç 3.98 [Emsal ID: R02987;R02994;R02238;R02960;R02973;R03019]</t>
  </si>
  <si>
    <t xml:space="preserve">İlk tahmin BF 2.50</t>
  </si>
  <si>
    <t xml:space="preserve">4019.C</t>
  </si>
  <si>
    <t xml:space="preserve">S08 Göbekli Tepe: bilet geçerleme validatörü (giriş turnikesi + özel kapı)</t>
  </si>
  <si>
    <t xml:space="preserve">TAHMIN (emsal yok) – Validatör için emsal yok (Samsun 2008 manyetik bilet gate fiyatına gömülü); 1.800 korundu</t>
  </si>
  <si>
    <t xml:space="preserve">S08 Göbekli Tepe: kontrol validatörü (turnike grubu çıkış tarafı)</t>
  </si>
  <si>
    <t xml:space="preserve">TAHMIN (emsal yok) – Validatör emsali yok (turnike teklifleri validatör hariç)</t>
  </si>
  <si>
    <t xml:space="preserve">S08 Göbekli Tepe: serbest geçiş kumanda ünitesi</t>
  </si>
  <si>
    <t xml:space="preserve">REF-derin(1) – Üçyol-Buca M/Tansa 2021 65.71; Üçyol-Buca M/Tansa 2021 13.14 | Tansa uzaktan kumanda+alıcı (malz.) x1,3; tek emsal seti, mevcutla ortalama | emsal 102.51, ort.(600+102.51)/2 [Emsal ID: R02148;R02149]</t>
  </si>
  <si>
    <t xml:space="preserve">İlk tahmin BF 600.00</t>
  </si>
  <si>
    <t xml:space="preserve">S08 Göbekli Tepe: istasyon turnike bilgisayarı (endüstriyel, dolap tipi)</t>
  </si>
  <si>
    <t xml:space="preserve">TAHMIN (emsal yok) – Turnike bilgisayarı – emsal yok (S13 iç ref 8.000)</t>
  </si>
  <si>
    <t xml:space="preserve">S13 ref (8.000) ile aynı</t>
  </si>
  <si>
    <t xml:space="preserve">S08 Göbekli Tepe: biletmatik (bilet üretim/kart dolum) data bağlantısı + haberleşme birimi</t>
  </si>
  <si>
    <t xml:space="preserve">S09 Hızmalı Köprüsü: bilet geçerleme validatörü (giriş turnikesi + özel kapı)</t>
  </si>
  <si>
    <t xml:space="preserve">S09 Hızmalı Köprüsü: kontrol validatörü (turnike grubu çıkış tarafı)</t>
  </si>
  <si>
    <t xml:space="preserve">S09 Hızmalı Köprüsü: serbest geçiş kumanda ünitesi</t>
  </si>
  <si>
    <t xml:space="preserve">S09 Hızmalı Köprüsü: istasyon turnike bilgisayarı (endüstriyel, dolap tipi)</t>
  </si>
  <si>
    <t xml:space="preserve">S09 Hızmalı Köprüsü: biletmatik (bilet üretim/kart dolum) data bağlantısı + haberleşme birimi</t>
  </si>
  <si>
    <t xml:space="preserve">S10 Balıklıgöl: bilet geçerleme validatörü (giriş turnikesi + özel kapı)</t>
  </si>
  <si>
    <t xml:space="preserve">TAHMIN (emsal yok) – Validatör emsali yok</t>
  </si>
  <si>
    <t xml:space="preserve">S10 Balıklıgöl: kontrol validatörü (turnike grubu çıkış tarafı)</t>
  </si>
  <si>
    <t xml:space="preserve">S10 Balıklıgöl: serbest geçiş kumanda ünitesi</t>
  </si>
  <si>
    <t xml:space="preserve">S10 Balıklıgöl: istasyon turnike bilgisayarı (endüstriyel, dolap tipi)</t>
  </si>
  <si>
    <t xml:space="preserve">S10 Balıklıgöl: biletmatik (bilet üretim/kart dolum) data bağlantısı + haberleşme birimi</t>
  </si>
  <si>
    <t xml:space="preserve">S11 Eyüp Peygamber: bilet geçerleme validatörü (giriş turnikesi + özel kapı)</t>
  </si>
  <si>
    <t xml:space="preserve">S11 Eyüp Peygamber: kontrol validatörü (turnike grubu çıkış tarafı)</t>
  </si>
  <si>
    <t xml:space="preserve">S11 Eyüp Peygamber: serbest geçiş kumanda ünitesi</t>
  </si>
  <si>
    <t xml:space="preserve">S11 Eyüp Peygamber: istasyon turnike bilgisayarı (endüstriyel, dolap tipi)</t>
  </si>
  <si>
    <t xml:space="preserve">S11 Eyüp Peygamber: biletmatik (bilet üretim/kart dolum) data bağlantısı + haberleşme birimi</t>
  </si>
  <si>
    <t xml:space="preserve">S12 Rasathane: bilet geçerleme validatörü (giriş turnikesi + özel kapı)</t>
  </si>
  <si>
    <t xml:space="preserve">S12 Rasathane: kontrol validatörü (turnike grubu çıkış tarafı)</t>
  </si>
  <si>
    <t xml:space="preserve">S12 Rasathane: serbest geçiş kumanda ünitesi</t>
  </si>
  <si>
    <t xml:space="preserve">S12 Rasathane: istasyon turnike bilgisayarı (endüstriyel, dolap tipi)</t>
  </si>
  <si>
    <t xml:space="preserve">S12 Rasathane: biletmatik (bilet üretim/kart dolum) data bağlantısı + haberleşme birimi</t>
  </si>
  <si>
    <t xml:space="preserve">S13 Harran: bilet geçerleme validatörü (giriş turnikesi + özel kapı)</t>
  </si>
  <si>
    <t xml:space="preserve">S13 Harran: kontrol validatörü (turnike grubu çıkış tarafı)</t>
  </si>
  <si>
    <t xml:space="preserve">S13 Harran: serbest geçiş kumanda ünitesi</t>
  </si>
  <si>
    <t xml:space="preserve">S13 Harran: istasyon turnike bilgisayarı (endüstriyel, dolap tipi)</t>
  </si>
  <si>
    <t xml:space="preserve">REF-derin – Samsun LRT/Uskom 2008 7999.94x0.5; Üçyol-Buca M/Cesa(Honeywell) 2021 2188.57x1.1; Üçyol-Buca M/Siemens 2021 1682.17x1.1; Narlıdere M/Uskom 2018 1362.10x1.1 | DÜZELTME: REF 8.000 Samsun 2008 istasyon PC+lisans, eski BT x0,5; güncel PC emsalleri +%10 | sonuç 2128.90 [Emsal ID: R03102;R01959;R02083;R01659]</t>
  </si>
  <si>
    <t xml:space="preserve">İlk tahmin BF 7,999.94</t>
  </si>
  <si>
    <t xml:space="preserve">S13 Harran: biletmatik (bilet üretim/kart dolum) data bağlantısı + haberleşme birimi</t>
  </si>
  <si>
    <t xml:space="preserve">Merkez: ücret toplama sistemi bilgisayarı + EÜTS merkez entegrasyon yazılımı (bilet üretim merkezi kapsam dışı)</t>
  </si>
  <si>
    <t xml:space="preserve">TAHMIN (emsal yok) – Ücret toplama merkez + EÜTS entegrasyonu – emsal yok</t>
  </si>
  <si>
    <t xml:space="preserve">EÜTS entegrasyonu dahil</t>
  </si>
  <si>
    <t xml:space="preserve">Mevcut depo kontrol merkezi / EÜTS entegrasyonu: yazılım uyarlama + lisans</t>
  </si>
  <si>
    <t xml:space="preserve">TAHMIN (emsal yok) – EÜTS uyarlama/lisans – emsal yok (idare kapsamı daraltıldı)</t>
  </si>
  <si>
    <t xml:space="preserve">İdare: mevcut DKM yok; yalnız EÜTS uyarlaması kaldı</t>
  </si>
  <si>
    <t xml:space="preserve">Ücret toplama bakım bilgisayarı (laptop) + istatistik yazılımı</t>
  </si>
  <si>
    <t xml:space="preserve">REF-derin(1) – Samsun LRT/Uskom 2008 4727.37x0.4 | DÜZELTME: REF Samsun 2008 taşınabilir PC; 18 yıllık BT fiyat düşüşü x0,4 | sonuç 1890.95 [Emsal ID: R03105]</t>
  </si>
  <si>
    <t xml:space="preserve">İlk tahmin BF 4,727.37</t>
  </si>
  <si>
    <t xml:space="preserve">2 MEKANİK – Sıra 159–168, 343–363 (HVAC, yangın, drenaj, sıhhi, basınçlı hava)</t>
  </si>
  <si>
    <t xml:space="preserve">6001.A</t>
  </si>
  <si>
    <t xml:space="preserve">Split klima duvar tipi inverter IU-1/DU-1, 5 kW soğutma, R410A, dış ünite dahil komple (pano odası)</t>
  </si>
  <si>
    <t xml:space="preserve">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</si>
  <si>
    <t xml:space="preserve">Split klima bakır boru izolasyonlu (sıvı+gaz çifti 1/4"-1/2") + bağlantı kablosu</t>
  </si>
  <si>
    <t xml:space="preserve">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</si>
  <si>
    <t xml:space="preserve">İlk tahmin BF 22.00</t>
  </si>
  <si>
    <t xml:space="preserve">Klima yoğuşma drenaj borusu PVC/PPRC Ø20-25 (hatta bırakılacak)</t>
  </si>
  <si>
    <t xml:space="preserve">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</si>
  <si>
    <t xml:space="preserve">Ref malzeme fiyatı; montajlı | İlk tahmin BF 5.00</t>
  </si>
  <si>
    <t xml:space="preserve">DU montaj konsolu + titreşim takozu, kablolu kumanda, montaj-test-devreye alma</t>
  </si>
  <si>
    <t xml:space="preserve">TAHMIN (emsal yok) – emsal bulunamadı; mevcut tahmin korundu</t>
  </si>
  <si>
    <t xml:space="preserve">Güvenlik kabini split klima inverter ~2,5 kW duvar tipi, R410A, dış ünite dahil + kapı/pencere kontak sistemi</t>
  </si>
  <si>
    <t xml:space="preserve">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</si>
  <si>
    <t xml:space="preserve">İdare: kabin splitleri sıra 143 kabin fiyatında | İlk tahmin BF 950.00</t>
  </si>
  <si>
    <t xml:space="preserve">Güvenlik kabini split bakır boru izolasyonlu (1/4"-3/8") + bağlantı kablosu</t>
  </si>
  <si>
    <t xml:space="preserve">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</si>
  <si>
    <t xml:space="preserve">İdare: kabin splitleri sıra 143 kabin fiyatında | İlk tahmin BF 18.00</t>
  </si>
  <si>
    <t xml:space="preserve">Güvenlik kabini split yoğuşma drenaj borusu PVC Ø20</t>
  </si>
  <si>
    <t xml:space="preserve">REF-derin – R05820 Kocaeli KentMey.Tram/FER 2015 2.17; R05910 Kocaeli KentMey.Tram/Mertsan 2015 1.91 | medyan 2.04 (PVC Ø20 klima drenajı) = 2.04 € | mevcut REF 5.00 (-59.3%) düzeltildi [Emsal ID: R05820;R05910]</t>
  </si>
  <si>
    <t xml:space="preserve">İdare: kabin splitleri sıra 143 kabin fiyatında | İlk tahmin BF 5.00</t>
  </si>
  <si>
    <t xml:space="preserve">Güvenlik kabini split DU konsolu + titreşim takozu + kablolu kumanda + kontak rölesi, montaj-devreye alma</t>
  </si>
  <si>
    <t xml:space="preserve">İdare: kabin splitleri sıra 143 kabin fiyatında</t>
  </si>
  <si>
    <t xml:space="preserve">6001.B</t>
  </si>
  <si>
    <t xml:space="preserve">6001.C</t>
  </si>
  <si>
    <t xml:space="preserve">6001.D</t>
  </si>
  <si>
    <t xml:space="preserve">6001.E</t>
  </si>
  <si>
    <t xml:space="preserve">6001.F</t>
  </si>
  <si>
    <t xml:space="preserve">REF-teyit – 5 kW split M+İ: Bursa T2 Mertsan 1.885, FER 1.999, Kocaeli 1.814, Siirt 2025 1.712 → medyan 1.849; teyit [Emsal ID: R05927;R05819;R05514;R06147;R06027]</t>
  </si>
  <si>
    <t xml:space="preserve">6001.G</t>
  </si>
  <si>
    <t xml:space="preserve">VRF iç ünite kanallı tavan tipi IU-01, 9,0/10,0 kW, R410A, drenaj pompasız, uzaktan kumandalı</t>
  </si>
  <si>
    <t xml:space="preserve">REF-teyit – R05502 Kocaeli KentMey.Tram/Uluhanlar 2015 1296.00; R05595 Kocaeli KentMey.Tram/bilinmiyor 2015 1252.75; R05810 Kocaeli KentMey.Tram/FER 2015 1425.83; R05906 Kocaeli KentMey.Tram/Mertsan 2015 1381.71 | medyan 1338.85 (9-10 kW VRF iç ünite (kaset≈kanallı)) = 1338.85 € | sapma -6.1% ≤%10 → mevcut REF teyit [Emsal ID: R05502;R05595;R05810;R05906]</t>
  </si>
  <si>
    <t xml:space="preserve">VRF iç ünite kanallı tavan tipi IU-02, 14,0/16,0 kW, R410A</t>
  </si>
  <si>
    <t xml:space="preserve">REF-derin – 14–16 kW iç ünite: Kocaeli Uluhanlar 1.779, MHI 1.518, Mitsubishi kanallı PEFY-P140 2.218 → medyan 1.779 [Emsal ID: R05503;R05596;R06197]</t>
  </si>
  <si>
    <t xml:space="preserve">14 kW kanallı; 9 kW ile tutarlı montajlı fiyat | İlk tahmin BF 1,850.00</t>
  </si>
  <si>
    <t xml:space="preserve">VRF dış ünite DU-01, 78/87 kW, 23,1 kW, 380V (1 asıl + 1 yedek)</t>
  </si>
  <si>
    <t xml:space="preserve">REF-derin – VRF dış ünite (kW^0,8 ile 78 kW'a): Kocaeli Daikin 84 kW 19.933, MHI 19.591, Siirt 2025 15.209, Arçelik 2021 10.516 → medyan 17.400 (mevcut 21.961 yüksek) [Emsal ID: R05497;R05590;R06136;R05289]</t>
  </si>
  <si>
    <t xml:space="preserve">İlk tahmin BF 21,960.96</t>
  </si>
  <si>
    <t xml:space="preserve">VRF dış ünite DU-02, 84/94 kW, 24,7 kW, 380V (1 asıl + 1 yedek)</t>
  </si>
  <si>
    <t xml:space="preserve">REF-derin – VRF dış ünite 84 kW: Kocaeli Daikin 21.151, MHI 20.787, Siirt 2025 ölçekli 16.138, Arçelik 11.159 → medyan 18.463 [Emsal ID: R05497;R05590;R06136;R05289]</t>
  </si>
  <si>
    <t xml:space="preserve">84 kW; 78 kW DU-01 ile kW oranında tutarlı | İlk tahmin BF 23,500.00</t>
  </si>
  <si>
    <t xml:space="preserve">VRF bakır boru hattı (izolasyonlu sıvı/gaz çifti 3/8"-5/8" … 3/4"-1 3/8") + refnet/branş kitleri</t>
  </si>
  <si>
    <t xml:space="preserve">REF-derin – Bakır boru (izoleli, M+İ) firma bazında çift fiyatı: Uluhanlar 38.68; Yapıray-alt 50.51; FER 51.15; Mertsan 41.43 | medyan 45.97 (proje çap dağılımı ağırlıklı, &gt;1 1/8" doğrusal ekstrapolasyon) = 45.97 € [Emsal ID: R05506;R05507;R05508;R05509;R05510;R05599;R05600;R05601;R05602;R05603;R05604;R05605;R05606;R05814;R05815;R05816;R05817;R05912;R05913;R05914;R05915]</t>
  </si>
  <si>
    <t xml:space="preserve">VRF büyük çaplı izoleli boru | İlk tahmin BF 32.00</t>
  </si>
  <si>
    <t xml:space="preserve">Refnet (branş) kiti</t>
  </si>
  <si>
    <t xml:space="preserve">REF-derin – R05511 Kocaeli KentMey.Tram/Uluhanlar 2015 66.25; R05512 Kocaeli KentMey.Tram/Uluhanlar 2015 129.51; R05607 Kocaeli KentMey.Tram/bilinmiyor 2015 77.14; R05608 Kocaeli KentMey.Tram/bilinmiyor 2015 122.10; R05609 Kocaeli KentMey.Tram/bilinmiyor 2015 157.21; R05909 Kocaeli KentMey.Tram/Mertsan 2015 77.18; +1 emsal | medyan 80.12 (VRF joint/refnet kitleri) = 80.12 € [Emsal ID: R05511;R05512;R05607;R05608;R05609;R05909;R06146]</t>
  </si>
  <si>
    <t xml:space="preserve">Soğutucu akışkan R410A ilave şarj</t>
  </si>
  <si>
    <t xml:space="preserve">kg</t>
  </si>
  <si>
    <t xml:space="preserve">Kanallı iç ünite üfleme kanalı (galvaniz sac) + menfez/difüzör</t>
  </si>
  <si>
    <t xml:space="preserve">m²</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</si>
  <si>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menfez/difüzör payı) = 40.36 € [Emsal ID: R05313;R05314;R05404;R05488;R05489;R05580;R05581;R05799]</t>
  </si>
  <si>
    <t xml:space="preserve">Kanal ~35 €/m² + menfez payı | İlk tahmin BF 42.00</t>
  </si>
  <si>
    <t xml:space="preserve">Kablolu VRF kumandası + merkezi kontrol/BMS-SCADA ara yüz modülü</t>
  </si>
  <si>
    <t xml:space="preserve">REF-derin – Kablolu kumanda: R05298 İzmir Buca Metro/Alp 2021 54.50; R05504 Kocaeli KentMey.Tram/Uluhanlar 2015 110.84; R05907 Kocaeli KentMey.Tram/Mertsan 2015 93.15; R06140 Siirt-Kurtalan DY/Yamaner 2025 117.00; +2 emsal → medyan 92.73; merkezi kontrol (50 iç ünite): R05505 Kocaeli KentMey.Tram/Uluhanlar 2015 1466.52; R05908 Kocaeli KentMey.Tram/Mertsan 2015 1375.06; R06141 Siirt-Kurtalan DY/Yamaner 2025 3468.39; +2 emsal → medyan 1375.06/10 ünite = 137.51 = 230.24 € [Emsal ID: R05298;R05504;R05907;R06140;R05597;R05811;R05505;R05908;R06141;R05598;R05812]</t>
  </si>
  <si>
    <t xml:space="preserve">Kumanda + merkezi kontrol payı | İlk tahmin BF 220.00</t>
  </si>
  <si>
    <t xml:space="preserve">Klima kondens drenaj borusu PPRC DN25/DN32 (tretuvara tahliye)</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</si>
  <si>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 mevcut REF 8.00 (-37.7%) düzeltildi [Emsal ID: R05360;R05461;R05555;R05768;R05866;R06007;R06108;R05462;R05556;R05769;R05867;R06109]</t>
  </si>
  <si>
    <t xml:space="preserve">Ref malzeme fiyatı; montajlı | İlk tahmin BF 8.00</t>
  </si>
  <si>
    <t xml:space="preserve">DU beton kaide/çelik taşıyıcı + titreşim takozları</t>
  </si>
  <si>
    <t xml:space="preserve">Mekanik (klima) besleme/MCC panosu</t>
  </si>
  <si>
    <t xml:space="preserve">TAHMIN (emsal yok) – Doğrudan emsal yok (TEDAK metro MCC ortalama 2.534 küçük pano); 6.000 makul</t>
  </si>
  <si>
    <t xml:space="preserve">6001.H</t>
  </si>
  <si>
    <t xml:space="preserve">D01 VRF iç ünite IU-1 4 yöne üflemeli kaset 2,5 kW (ofisler)</t>
  </si>
  <si>
    <t xml:space="preserve">REF-derin – 2,5 kW VRF kaset: Uluhanlar 949, MHI 914, FER 905, Mertsan 750 → medyan 909 (Siirt 2025 723) [Emsal ID: R05499;R05592;R05807;R05903;R06137]</t>
  </si>
  <si>
    <t xml:space="preserve">İlk tahmin BF 950.00</t>
  </si>
  <si>
    <t xml:space="preserve">D01 VRF iç ünite IU-2 4 yöne üflemeli kaset 4,0 kW (ofisler)</t>
  </si>
  <si>
    <t xml:space="preserve">REF-derin – 4 kW VRF kaset: Uluhanlar 1.074, MHI 950, FER 935, Mertsan 1.058 → medyan 1.004 [Emsal ID: R05500;R05593;R05808;R05904;R06138]</t>
  </si>
  <si>
    <t xml:space="preserve">İlk tahmin BF 1,050.00</t>
  </si>
  <si>
    <t xml:space="preserve">D01 VRF iç ünite IU-3 4 yöne üflemeli kaset 7,0 kW (ofisler)</t>
  </si>
  <si>
    <t xml:space="preserve">REF-teyit – 7 kW VRF kaset: Uluhanlar 1.160, MHI 1.133, FER 1.240, Mertsan 1.315 → medyan 1.200; teyit (±%6) [Emsal ID: R05501;R05594;R05809;R05905]</t>
  </si>
  <si>
    <t xml:space="preserve">D01 VRF iç ünite IU-4 duvar tipi 2,5 kW (atölye alanları)</t>
  </si>
  <si>
    <t xml:space="preserve">REF-derin – R05806 Kocaeli KentMey.Tram/FER 2015 872.74; R05902 Kocaeli KentMey.Tram/Mertsan 2015 820.60 | medyan 846.67 (VRF duvar tipi 2,2-2,5 kW) = 846.67 € | mevcut REF 750.00 (+12.9%) düzeltildi [Emsal ID: R05806;R05902]</t>
  </si>
  <si>
    <t xml:space="preserve">Ref 11.526 hatalı (set/sistem); 2,5 kW duvar tipi | İlk tahmin BF 750.00</t>
  </si>
  <si>
    <t xml:space="preserve">D01 VRF iç ünite IU-5 kanallı asma tavan 9,0 kW (yemekhane)</t>
  </si>
  <si>
    <t xml:space="preserve">REF-teyit – R05502 Kocaeli KentMey.Tram/Uluhanlar 2015 1296.00; R05595 Kocaeli KentMey.Tram/bilinmiyor 2015 1252.75; R05810 Kocaeli KentMey.Tram/FER 2015 1425.83; R05906 Kocaeli KentMey.Tram/Mertsan 2015 1381.71 | medyan 1338.85 (9 kW VRF iç ünite) = 1338.85 € | sapma +5.1% ≤%10 → mevcut REF teyit [Emsal ID: R05502;R05595;R05810;R05906]</t>
  </si>
  <si>
    <t xml:space="preserve">D01 VRF dış ünite modülü DU-1 inverter, 380V (teras) — sistem 78 kW = 2 çalışan + 2 yedek modül (~39 kW/modül)</t>
  </si>
  <si>
    <t xml:space="preserve">REF-derin – 39–40 kW VRF modül: Bursa T2 FER MHI 12.335, Mertsan 9.013, TREMS 11.455 → medyan 11.455 [Emsal ID: R05804;R05900;R05931;R06191]</t>
  </si>
  <si>
    <t xml:space="preserve">~39 kW modül; DU-01 78 kW fiyatı ile tutarlı | İlk tahmin BF 11,500.00</t>
  </si>
  <si>
    <t xml:space="preserve">D01 VRF dış ünite modülü DU-2 inverter, 380V (teras) — sistem 84 kW = 2 çalışan + 2 yedek modül (~42 kW/modül)</t>
  </si>
  <si>
    <t xml:space="preserve">REF-derin – 42 kW: 40 kW medyan 11.455 ile 45 kW medyan (FER 13.794, Mertsan 10.717, TREMS 13.958) 13.794 arası enterpolasyon → 12.391 [Emsal ID: R05804;R05900;R05931;R05805;R05901;R05932]</t>
  </si>
  <si>
    <t xml:space="preserve">~42 kW modül | İlk tahmin BF 12,200.00</t>
  </si>
  <si>
    <t xml:space="preserve">D01 Split klima inverter SP-1/DU-3 3,5 kW (elektrik odaları)</t>
  </si>
  <si>
    <t xml:space="preserve">REF-derin – 3,5 kW split: Buca Arçelik 3,6 kW M+İ 634, Daikin FTXF35 631+150 montaj=781, Kocaeli 2,2 kW M+İ 1.058 → medyan 781; mevcut 1.100 YÜKSEK [Emsal ID: R05286;R06026;R05513]</t>
  </si>
  <si>
    <t xml:space="preserve">Ref düşük; montajlı 3,5 kW split | İlk tahmin BF 1,100.00</t>
  </si>
  <si>
    <t xml:space="preserve">D01 Radyant ısıtıcı RI-1 duvar tipi 3,0 kW 380V (atölye ve boji yıkama)</t>
  </si>
  <si>
    <t xml:space="preserve">TAHMIN (emsal yok) – Doğrudan emsal yok (refler gazlı 55 kW radyant); 3 kW elektrikli IR 250–400 € aralığında, makul</t>
  </si>
  <si>
    <t xml:space="preserve">D01 Elektrikli radyatör ER-1 1,0 kW (depo alanı)</t>
  </si>
  <si>
    <t xml:space="preserve">REF-teyit – R05973 Kirazlı-Halkalı Metro/Panel 2024 162.47 (1,5 kW panel ısıtıcı; 1 kW için üst sınır) | tek emsal 162.47, sapma +0.0% → teyit [Emsal ID: R05973]</t>
  </si>
  <si>
    <t xml:space="preserve">D01 Elektrikli radyatör ER-2 2,0 kW (ısı merkezi)</t>
  </si>
  <si>
    <t xml:space="preserve">REF-derin – R05972 Kirazlı-Halkalı Metro/Panel 2024 183.09; R06118 Siirt-Kurtalan DY/Yamaner 2025 355.53 | medyan 269.31 (2 kW elektrikli ısıtıcı, ≥2014) = 269.31 € | mevcut REF 209.25 (+28.7%) düzeltildi [Emsal ID: R05972;R06118]</t>
  </si>
  <si>
    <t xml:space="preserve">İlk tahmin BF 209.25</t>
  </si>
  <si>
    <t xml:space="preserve">D01 VRF bakır boru hattı izolasyonlu (sıvı+gaz çifti, 3/8"…1 5/8") + refnet</t>
  </si>
  <si>
    <t xml:space="preserve">REF-derin – Çift boru (sıvı+gaz) m fiyatı: 3/4" tek boru Uluhanlar 20,18, FER 26,82, Mertsan 23,20, Siirt 20,55 → medyan 21,88×2×0,85 = 37,19; mevcut 30 DÜŞÜK (çift olarak) [Emsal ID: R05508;R05816;R05914;R06144;R05602;R05606]</t>
  </si>
  <si>
    <t xml:space="preserve">VRF büyük çap; montaj+izolasyon | İlk tahmin BF 30.00</t>
  </si>
  <si>
    <t xml:space="preserve">D01 split klima bakır boru (1/4"-1/2", 3/8"-5/8")</t>
  </si>
  <si>
    <t xml:space="preserve">REF-derin – Bakır boru (izoleli, M+İ) firma bazında çift fiyatı: Uluhanlar 26.01; Yapıray-alt 32.97; FER 34.77; Mertsan 28.28; Yamaner 33.42 | medyan 32.97 (1/4-1/2 ve 3/8-5/8 çiftlerinin ortalaması) = 32.97 € [Emsal ID: R05506;R05507;R05508;R05509;R05510;R05599;R05600;R05601;R05602;R05603;R05604;R05605;R05606;R05814;R05815;R05816;R05817;R05912;R05913;R05914;R05915;R06142;R06143;R06144;R06145]</t>
  </si>
  <si>
    <t xml:space="preserve">D01 VRF refnet/branş kiti</t>
  </si>
  <si>
    <t xml:space="preserve">REF-derin – Refnet/joint M+İ: Uluhanlar 66,25/130, Kocaeli 77,14/122/157, Mertsan 77,18 → medyan 99,64; mevcut 220 YÜKSEK (satır 84'te '+refnet' de var – mükerrer) [Emsal ID: R05511;R05512;R05607;R05608;R05609;R05909]</t>
  </si>
  <si>
    <t xml:space="preserve">Ref 1.004 aşırı yüksek; refnet kiti montajlı | İlk tahmin BF 220.00</t>
  </si>
  <si>
    <t xml:space="preserve">D01 klima kondens drenaj borusu PPRC/PVC Ø25-Ø32</t>
  </si>
  <si>
    <t xml:space="preserve">REF-derin – R05821 Kocaeli KentMey.Tram/FER 2015 2.54; R05911 Kocaeli KentMey.Tram/Mertsan 2015 3.02; R05822 Kocaeli KentMey.Tram/FER 2015 3.22; R05360 İzmir Buca Metro/Alp 2021 5.98; R05461 Kocaeli KentMey.Tram/Uluhanlar 2015 5.07; R05555 Kocaeli KentMey.Tram/bilinmiyor 2015 3.81; +9 emsal | medyan 4.47 (PVC/PPRC Ø25-32 havuzu) = 4.47 € | mevcut REF 8.00 (-44.2%) düzeltildi [Emsal ID: R05821;R05911;R05822;R05360;R05461;R05555;R05768;R05866;R06007;R06108;R05462;R05556;R05769;R05867;R06109]</t>
  </si>
  <si>
    <t xml:space="preserve">D01 VRF kablolu kumanda + merkezi kontrol/BMS ara yüzü</t>
  </si>
  <si>
    <t xml:space="preserve">REF-teyit – Kablolu kumanda medyan ~102 + merkezi kumanda 1.467/32 ≈ 45 + BMS ara yüz payı → 220 teyit [Emsal ID: R05504;R05907;R06140;R05505;R05908]</t>
  </si>
  <si>
    <t xml:space="preserve">Ref yüksek; kumanda + merkezi kontrol payı</t>
  </si>
  <si>
    <t xml:space="preserve">D01 kanallı IU-5 üfleme/dönüş kanalı ve menfezleri</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</si>
  <si>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 payı) = 40.36 € [Emsal ID: R05313;R05314;R05404;R05488;R05489;R05580;R05581;R05799]</t>
  </si>
  <si>
    <t xml:space="preserve">Kanal + menfez | İlk tahmin BF 42.00</t>
  </si>
  <si>
    <t xml:space="preserve">D01 R410A ilave soğutucu şarjı</t>
  </si>
  <si>
    <t xml:space="preserve">D01 dış ünite çelik kaide/titreşim takozu</t>
  </si>
  <si>
    <t xml:space="preserve">D05 Split klima inverter IU-01/DU-01 3,5 kW (ustabaşı ve dinlenme odaları)</t>
  </si>
  <si>
    <t xml:space="preserve">3,5 kW split montajlı | İlk tahmin BF 1,100.00</t>
  </si>
  <si>
    <t xml:space="preserve">D05 Radyant ısıtıcı RI-01 duvar tipi 3,0 kW 380V (hat bakım malzeme deposu ve bakım aracı parkı)</t>
  </si>
  <si>
    <t xml:space="preserve">TAHMIN (emsal yok) – Elektrikli radyant (3 kW 380V) için emsal yok; mevcut tahmin korundu</t>
  </si>
  <si>
    <t xml:space="preserve">D05 split bakır boru hattı izolasyonlu</t>
  </si>
  <si>
    <t xml:space="preserve">REF-derin – Bakır boru (izoleli, M+İ) firma bazında çift fiyatı: Uluhanlar 23.31; Yapıray-alt 29.62; FER 30.93; Mertsan 24.62; Yamaner 32.04 | medyan 29.62 (1/4-1/2 çift) = 29.62 € | mevcut REF 20.18 (+46.8%) düzeltildi [Emsal ID: R05506;R05507;R05508;R05509;R05510;R05599;R05600;R05601;R05602;R05603;R05604;R05605;R05606;R05814;R05815;R05816;R05817;R05912;R05913;R05914;R05915;R06142;R06143;R06144;R06145]</t>
  </si>
  <si>
    <t xml:space="preserve">İlk tahmin BF 20.18</t>
  </si>
  <si>
    <t xml:space="preserve">D05 klima kondens drenajı PVC Ø25 (duvardan)</t>
  </si>
  <si>
    <t xml:space="preserve">REF-derin – R05821 Kocaeli KentMey.Tram/FER 2015 2.54; R05911 Kocaeli KentMey.Tram/Mertsan 2015 3.02 | medyan 2.78 (PVC Ø25 klima drenajı) = 2.78 € | mevcut REF 6.00 (-53.7%) düzeltildi [Emsal ID: R05821;R05911]</t>
  </si>
  <si>
    <t xml:space="preserve">Ref malzeme fiyatı; montajlı | İlk tahmin BF 6.00</t>
  </si>
  <si>
    <t xml:space="preserve">D07 Split klima inverter IU-1/DU-1 3,3/3,47 kW (kontrol odası)</t>
  </si>
  <si>
    <t xml:space="preserve">REF-derin – R05286 İzmir Buca Metro/Alp 2021 634.25; R06026 Mezitli Metro/Daikin 2021 631.15→757.38×1.2 | medyan 695.81 (3,5 kW split; Daikin +%20 montaj) = 695.81 € [Emsal ID: R05286;R06026]</t>
  </si>
  <si>
    <t xml:space="preserve">D07 split bakır boru + kondens drenajı Ø25 (süzgeç üzerine)</t>
  </si>
  <si>
    <t xml:space="preserve">REF-derin – Bakır boru (izoleli, M+İ) firma bazında çift fiyatı: Uluhanlar 23.31; Yapıray-alt 29.62; FER 30.93; Mertsan 24.62; Yamaner 32.04 | medyan 29.62 + PVC Ø25 drenaj medyan 2.78 = 32.40 € [Emsal ID: R05506;R05507;R05508;R05509;R05510;R05599;R05600;R05601;R05602;R05603;R05604;R05605;R05606;R05814;R05815;R05816;R05817;R05912;R05913;R05914;R05915;R06142;R06143;R06144;R06145;R05821;R05911]</t>
  </si>
  <si>
    <t xml:space="preserve">Bakır boru + drenaj birlikte | İlk tahmin BF 26.00</t>
  </si>
  <si>
    <t xml:space="preserve">D02/T13 Depo trafo binası VRF iç ünite IU-01 14,0 kW (kanallı/tavan)</t>
  </si>
  <si>
    <t xml:space="preserve">14 kW kanallı; trafo IU-02 ile aynı | İlk tahmin BF 1,850.00</t>
  </si>
  <si>
    <t xml:space="preserve">D02/T13 VRF dış ünite DU-01 140 kW, 40,8 kW el., 380V (1 asıl + 1 yedek)</t>
  </si>
  <si>
    <t xml:space="preserve">REF-teyit – VRF 140 kW (ölçekli): Kocaeli 31.828, MHI 31.280, Siirt 24.285, Arçelik 16.792, Mitsubishi 135 kW 35.215 → medyan 31.280; teyit [Emsal ID: R05497;R05590;R06136;R05289;R06193]</t>
  </si>
  <si>
    <t xml:space="preserve">D02/T13 VRF bakır boru (3/8-5/8: 37,3; 3/8-7/8: 13,6; 1/2-1 1/8: 6,4; 5/8-1 1/8: 4,2; 3/4-1 3/8: 8,4; 5/8-1 3/8: 1,2 m)</t>
  </si>
  <si>
    <t xml:space="preserve">REF-derin – Bakır boru (izoleli, M+İ) firma bazında çift fiyatı: Uluhanlar 38.68; Yapıray-alt 50.51; FER 51.15; Mertsan 41.43 | medyan 45.97 (verilen çap metrajı ağırlıklı) = 45.97 € [Emsal ID: R05506;R05507;R05508;R05509;R05510;R05599;R05600;R05601;R05602;R05603;R05604;R05605;R05606;R05814;R05815;R05816;R05817;R05912;R05913;R05914;R05915]</t>
  </si>
  <si>
    <t xml:space="preserve">İlk tahmin BF 32.00</t>
  </si>
  <si>
    <t xml:space="preserve">D02/T13 kablolu VRF kumandası</t>
  </si>
  <si>
    <t xml:space="preserve">REF-derin – R05298 İzmir Buca Metro/Alp 2021 54.50; R05504 Kocaeli KentMey.Tram/Uluhanlar 2015 110.84; R05907 Kocaeli KentMey.Tram/Mertsan 2015 93.15; R06140 Siirt-Kurtalan DY/Yamaner 2025 117.00; R05597 Kocaeli KentMey.Tram/bilinmiyor 2015 76.61→91.93×1.2; R05811 Kocaeli KentMey.Tram/FER 2015 76.93→92.31×1.2 | medyan 92.73 (VRF kablolu kumanda; M refs +%20) = 92.73 € | mevcut REF 150.00 (-38.2%) düzeltildi [Emsal ID: R05298;R05504;R05907;R06140;R05597;R05811]</t>
  </si>
  <si>
    <t xml:space="preserve">Ref malzeme; montaj+bağlantı dahil | İlk tahmin BF 150.00</t>
  </si>
  <si>
    <t xml:space="preserve">D02/T13 iç ünite üfleme kanalı (trafo odaları)</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</si>
  <si>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+%25 menfez payı) = 40.36 € [Emsal ID: R05313;R05314;R05404;R05488;R05489;R05580;R05581;R05799]</t>
  </si>
  <si>
    <t xml:space="preserve">İlk tahmin BF 42.00</t>
  </si>
  <si>
    <t xml:space="preserve">D02/T13 kondens drenajı PPRC DN25/DN32</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</si>
  <si>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[Emsal ID: R05360;R05461;R05555;R05768;R05866;R06007;R06108;R05462;R05556;R05769;R05867;R06109]</t>
  </si>
  <si>
    <t xml:space="preserve">İlk tahmin BF 8.00</t>
  </si>
  <si>
    <t xml:space="preserve">Mekanik MCC / klima panoları (D01 ısı merkezi, D05, D07, T13)</t>
  </si>
  <si>
    <t xml:space="preserve">TAHMIN (emsal yok) – Uygun emsal yok; mevcut tahmin korundu</t>
  </si>
  <si>
    <t xml:space="preserve">6002.A</t>
  </si>
  <si>
    <t xml:space="preserve">Akü/UPS bölgesi egzoz fanı, exproof, kanal tipi ~300 m³/h, 80 Pa, geri dönüşsüz damperli</t>
  </si>
  <si>
    <t xml:space="preserve">REF-derin – R05408 Kocaeli Tram/Özgür 2014 329.85; R05484 Kocaeli KentMey.Tram/Uluhanlar 2015 1274.21; R05574 Kocaeli KentMey.Tram/bilinmiyor 2015 1074.15; R05951 Kirazlı-Halkalı Metro/Panel 2024 852.16; R05952 Kirazlı-Halkalı Metro/Panel 2024 852.16 | medyan 852.16 +46.14 (exproof kanal fanı 300-750 m³/h; +geri dönüşsüz damper R05961) = 898.30 € | mevcut REF 1074.15 (-16.4%) düzeltildi [Emsal ID: R05408;R05484;R05574;R05951;R05952]</t>
  </si>
  <si>
    <t xml:space="preserve">(alt miktar ×4 set) | İlk tahmin BF 1,074.15</t>
  </si>
  <si>
    <t xml:space="preserve">Hidrojen (H2) gaz sensörü + fan kontrol rölesi</t>
  </si>
  <si>
    <t xml:space="preserve">TAHMIN (emsal yok) – H2 gaz sensörü için emsal yok; mevcut tahmin korundu</t>
  </si>
  <si>
    <t xml:space="preserve">(alt miktar ×4 set)</t>
  </si>
  <si>
    <t xml:space="preserve">Galvaniz egzoz kanalı + egzoz atış panjuru (tel kafesli) + taze hava/transfer menfezi (filtreli)</t>
  </si>
  <si>
    <t xml:space="preserve">Kanal+panjur+filtreli menfez takımı (alt miktar ×4 set)</t>
  </si>
  <si>
    <t xml:space="preserve">Fan kumanda/MCC pano çıkışı (pako, kontaktör, termik)</t>
  </si>
  <si>
    <t xml:space="preserve">6002.B</t>
  </si>
  <si>
    <t xml:space="preserve">D01 IGK-1 Isı geri kazanımlı havalandırma cihazı, plakalı, asma tavan, 1500 m³/h, 70 Pa (yemekhane)</t>
  </si>
  <si>
    <t xml:space="preserve">REF-derin – R05486 Kocaeli KentMey.Tram/Uluhanlar 2015 2420.52; R05577 Kocaeli KentMey.Tram/bilinmiyor 2015 4213.61 | 3000 m³/h medyan 3317.06 × (1500/3000)^0,6 = 2188.45 € [Emsal ID: R05486;R05577]</t>
  </si>
  <si>
    <t xml:space="preserve">İlk tahmin BF 5,000.00</t>
  </si>
  <si>
    <t xml:space="preserve">D01 IGK-2 Isı geri kazanımlı havalandırma cihazı, plakalı, asma tavan, 1850 m³/h, 300 Pa (ofisler)</t>
  </si>
  <si>
    <t xml:space="preserve">REF-derin – R05486 Kocaeli KentMey.Tram/Uluhanlar 2015 2420.52; R05577 Kocaeli KentMey.Tram/bilinmiyor 2015 4213.61 | 3000 m³/h medyan 3317.06 × (1850/3000)^0,6 × 1,15 (300 Pa yüksek basınç) = 2854.18 € [Emsal ID: R05486;R05577]</t>
  </si>
  <si>
    <t xml:space="preserve">D01 IGK-3 Isı geri kazanımlı havalandırma cihazı, plakalı, asma tavan, 3100 m³/h, 300 Pa (ofisler)</t>
  </si>
  <si>
    <t xml:space="preserve">REF-derin – 3000 m³/h IGK: Kocaeli Uluhanlar 2.421, Ventila 4.214 → medyan 3.317 +%35 (ErP/EC fan, 300 Pa) = 4.480; mevcut 8.000 YÜKSEK [Emsal ID: R05486;R05577]</t>
  </si>
  <si>
    <t xml:space="preserve">Ref düşük; 3100 m³/h IGK montajlı | İlk tahmin BF 8,000.00</t>
  </si>
  <si>
    <t xml:space="preserve">D01 EF-1 Egzoz fanı kanal tipi 100 m³/h (WC)</t>
  </si>
  <si>
    <t xml:space="preserve">REF-derin – R05482 Kocaeli KentMey.Tram/Uluhanlar 2015 40.26; R05572 Kocaeli KentMey.Tram/bilinmiyor 2015 40.83; R05955 Kirazlı-Halkalı Metro/Panel 2024 103.53; R06020 Mezitli Metro/Venco 2021 61.64→73.97×1.2 | medyan 57.40 (100 m³/h kanal fanı; Venco M +%20) = 57.40 € | mevcut REF 165.01 (-65.2%) düzeltildi [Emsal ID: R05482;R05572;R05955;R06020]</t>
  </si>
  <si>
    <t xml:space="preserve">İlk tahmin BF 165.01</t>
  </si>
  <si>
    <t xml:space="preserve">D01 EF-2 Egzoz fanı kanal tipi 300 m³/h 80 Pa (akü odası; exproof kabulü)</t>
  </si>
  <si>
    <t xml:space="preserve">REF-derin – R05408 Kocaeli Tram/Özgür 2014 329.85; R05484 Kocaeli KentMey.Tram/Uluhanlar 2015 1274.21; R05574 Kocaeli KentMey.Tram/bilinmiyor 2015 1074.15; R05951 Kirazlı-Halkalı Metro/Panel 2024 852.16; R05952 Kirazlı-Halkalı Metro/Panel 2024 852.16 | medyan 852.16 (exproof kanal fanı (mevcut REF 2008 split klima emsaline dayanıyordu)) = 852.16 € | mevcut REF 1255.52 (-32.1%) düzeltildi [Emsal ID: R05408;R05484;R05574;R05951;R05952]</t>
  </si>
  <si>
    <t xml:space="preserve">İlk tahmin BF 1,255.52</t>
  </si>
  <si>
    <t xml:space="preserve">D01 EF-3 Egzoz fanı duvar tipi 500 m³/h (depo)</t>
  </si>
  <si>
    <t xml:space="preserve">REF-derin – R05302 İzmir Buca Metro/Alp 2021 111.26; R05950 Kirazlı-Halkalı Metro/Panel 2024 127.19 | medyan 119.23 (500 m³/h kanal/duvar fanı) = 119.23 € | mevcut REF 233.86 (-49.0%) düzeltildi [Emsal ID: R05302;R05950]</t>
  </si>
  <si>
    <t xml:space="preserve">İlk tahmin BF 233.86</t>
  </si>
  <si>
    <t xml:space="preserve">D01 EF-4 Egzoz fanı çatı tipi 500 m³/h (davlumbaz)</t>
  </si>
  <si>
    <t xml:space="preserve">REF-teyit – R05478 Kocaeli KentMey.Tram/Uluhanlar 2015 251.05; R05567 Kocaeli KentMey.Tram/bilinmiyor 2015 870.65; R06122 Siirt-Kurtalan DY/Yamaner 2025 1386.38 | medyan 870.65 (çatı tipi aspiratör 1000-1500 m³/h) = 870.65 € | sapma +4.0% ≤%10 → mevcut REF teyit [Emsal ID: R05478;R05567;R06122]</t>
  </si>
  <si>
    <t xml:space="preserve">D01 EF-5 Egzoz fanı kanal tipi 1000 m³/h (atölyeler)</t>
  </si>
  <si>
    <t xml:space="preserve">REF-derin – R05309 İzmir Buca Metro/Alp 2021 145.00; R05798 Kocaeli KentMey.Tram/FER 2015 590.74; R05884 Kocaeli KentMey.Tram/Mertsan 2015 165.01; R05948 Kirazlı-Halkalı Metro/Panel 2024 142.40; R06021 Mezitli Metro/Venco 2021 120.42→144.51×1.2 | medyan 145.00 (~1000 m³/h kanal fanı) = 145.00 € [Emsal ID: R05309;R05798;R05884;R05948;R06021]</t>
  </si>
  <si>
    <t xml:space="preserve">D01 EF-6 Radyal kaynak egzoz fanı 1000 m³/h 900 Pa + teleskopik kaynak buharı çekme kolu</t>
  </si>
  <si>
    <t xml:space="preserve">TAHMIN (emsal yok) – Kaynak duman emiş kolu + 900 Pa radyal fan için emsal yok</t>
  </si>
  <si>
    <t xml:space="preserve">Radyal fan + teleskopik kol</t>
  </si>
  <si>
    <t xml:space="preserve">D01 EF-6A Radyal egzoz fanı 2000 m³/h 150 Pa (boji boyama)</t>
  </si>
  <si>
    <t xml:space="preserve">REF-derin – R05408 Kocaeli Tram/Özgür 2014 329.85; R05484 Kocaeli KentMey.Tram/Uluhanlar 2015 1274.21; R05574 Kocaeli KentMey.Tram/bilinmiyor 2015 1074.15; R05951 Kirazlı-Halkalı Metro/Panel 2024 852.16; R05952 Kirazlı-Halkalı Metro/Panel 2024 852.16 | medyan 852.16 ×1.3 (boji boyama ortamı → exproof; 2000 m³/h için +%30 boyut) = 1107.81 € | mevcut REF 1400.00 (-20.9%) düzeltildi [Emsal ID: R05408;R05484;R05574;R05951;R05952]</t>
  </si>
  <si>
    <t xml:space="preserve">Ref düşük; 2000 m³/h radyal fan | İlk tahmin BF 1,400.00</t>
  </si>
  <si>
    <t xml:space="preserve">D01 EF-7 Egzoz fanı çatı tipi 2100 m³/h (WC egzoz)</t>
  </si>
  <si>
    <t xml:space="preserve">REF-derin – R05479 Kocaeli KentMey.Tram/Uluhanlar 2015 767.37; R05569 Kocaeli KentMey.Tram/bilinmiyor 2015 1456.59; R06122 Siirt-Kurtalan DY/Yamaner 2025 1386.38; R06123 Siirt-Kurtalan DY/Yamaner 2025 2428.48 | medyan 1421.49 (çatı tipi aspiratör 1500-3550 m³/h) = 1421.49 € | mevcut REF 1255.52 (+13.2%) düzeltildi [Emsal ID: R05479;R05569;R06122;R06123]</t>
  </si>
  <si>
    <t xml:space="preserve">D01 EF-8 Egzoz fanı çatı tipi 4000 m³/h 400V (mutfak davlumbaz)</t>
  </si>
  <si>
    <t xml:space="preserve">REF-teyit – R05480 Kocaeli KentMey.Tram/Uluhanlar 2015 1141.57; R05570 Kocaeli KentMey.Tram/bilinmiyor 2015 1456.59; R06123 Siirt-Kurtalan DY/Yamaner 2025 2428.48 | medyan 1456.59 (çatı tipi mutfak aspiratörü 3000-3500 m³/h) = 1456.59 € | sapma +0.0% ≤%10 → mevcut REF teyit [Emsal ID: R05480;R05570;R06123]</t>
  </si>
  <si>
    <t xml:space="preserve">D01 EF-9 Egzoz fanı duvar tipi 100 m³/h (ofisler)</t>
  </si>
  <si>
    <t xml:space="preserve">REF-derin – R05482 Kocaeli KentMey.Tram/Uluhanlar 2015 40.26; R05572 Kocaeli KentMey.Tram/bilinmiyor 2015 40.83; R05955 Kirazlı-Halkalı Metro/Panel 2024 103.53; R06020 Mezitli Metro/Venco 2021 61.64→73.97×1.2 | medyan 57.40 (100 m³/h fan) = 57.40 € | mevcut REF 160.00 (-64.1%) düzeltildi [Emsal ID: R05482;R05572;R05955;R06020]</t>
  </si>
  <si>
    <t xml:space="preserve">Ref yüksek; 100 m³/h duvar fanı | İlk tahmin BF 160.00</t>
  </si>
  <si>
    <t xml:space="preserve">D01 EF-10 Egzoz fanı duvar tipi 200 m³/h (mescit)</t>
  </si>
  <si>
    <t xml:space="preserve">REF-derin – R05305 İzmir Buca Metro/Alp 2021 96.89; R05956 Kirazlı-Halkalı Metro/Panel 2024 115.05; R06020 Mezitli Metro/Venco 2021 61.64→73.97×1.2 | medyan 96.89 (150-200 m³/h fan) = 96.89 € [Emsal ID: R05305;R05956;R06020]</t>
  </si>
  <si>
    <t xml:space="preserve">İlk tahmin BF 200.00</t>
  </si>
  <si>
    <t xml:space="preserve">D01 ÜF-1 Taze hava fanı kanal tipi 300 m³/h (mescit)</t>
  </si>
  <si>
    <t xml:space="preserve">REF-derin – R05306 İzmir Buca Metro/Alp 2021 111.26; R05949 Kirazlı-Halkalı Metro/Panel 2024 108.60 | medyan 109.93 (300 m³/h kanal fanı) = 109.93 € | mevcut REF 320.00 (-65.6%) düzeltildi [Emsal ID: R05306;R05949]</t>
  </si>
  <si>
    <t xml:space="preserve">300 m³/h kanal fanı; diğer fanlarla tutarlı | İlk tahmin BF 320.00</t>
  </si>
  <si>
    <t xml:space="preserve">D01 galvaniz sac hava kanalı (emiş/egzoz + üfleme/taze hava), izolasyon ve askı dahil</t>
  </si>
  <si>
    <t xml:space="preserve">REF-derin – Galvaniz kanal m²: 14 ref (Kocaeli 22–47, Bursa T2 21–34, Buca 27–31, Kirazlı 2024 48–51, Siirt 2025 40–43) medyan 36,84 +%8 izolasyon payı = 39,79 [Emsal ID: R05488;R05489;R05580;R05581;R05885;R05799;R05942;R05313;R05314;R05965;R05966;R06124;R06125;R05663]</t>
  </si>
  <si>
    <t xml:space="preserve">İlk tahmin BF 33.63</t>
  </si>
  <si>
    <t xml:space="preserve">D01 flexible kanal Ø127-Ø200 izoleli</t>
  </si>
  <si>
    <t xml:space="preserve">REF-derin – R05969 Kirazlı-Halkalı Metro/Panel 2024 11.18; R05970 Kirazlı-Halkalı Metro/Panel 2024 12.64 | medyan 11.91 (izoleli flex Ø160-229, 2024) = 11.91 € | mevcut REF 15.69 (-24.1%) düzeltildi [Emsal ID: R05969;R05970]</t>
  </si>
  <si>
    <t xml:space="preserve">İlk tahmin BF 15.69</t>
  </si>
  <si>
    <t xml:space="preserve">D01 emiş menfezi (EM) / genel aspirasyon menfezi (GA)</t>
  </si>
  <si>
    <t xml:space="preserve">REF-teyit – R05493 Kocaeli KentMey.Tram/Uluhanlar 2015 56.84; R05586 Kocaeli KentMey.Tram/bilinmiyor 2015 31.92; R05802 Kocaeli KentMey.Tram/FER 2015 34.99; R05887 Kocaeli KentMey.Tram/Mertsan 2015 11.07; R05962 Kirazlı-Halkalı Metro/Panel 2024 96.45 | medyan 34.99 (toplayıcı/emiş menfezi) = 34.99 € | sapma +4.6% ≤%10 → mevcut REF teyit [Emsal ID: R05493;R05586;R05802;R05887;R05962]</t>
  </si>
  <si>
    <t xml:space="preserve">D01 tavan difüzörü (C 25x25 vb.)</t>
  </si>
  <si>
    <t xml:space="preserve">REF-teyit – R05962 Kirazlı-Halkalı Metro/Panel 2024 96.45; R06277 Üsk.-Ümr. Metro/Ekin 2011 97.68 | yalnız büyük boy (Ø400 / 600x600) difüzör emsalleri var; C25x25 için doğrudan karşılaştırılamaz, mevcut REF 41,82 teyit [Emsal ID: R05962;R06277]</t>
  </si>
  <si>
    <t xml:space="preserve">D01 taze hava / transfer menfezi (TM)</t>
  </si>
  <si>
    <t xml:space="preserve">REF-teyit – R05495 Kocaeli KentMey.Tram/Uluhanlar 2015 37.89; R05588 Kocaeli KentMey.Tram/bilinmiyor 2015 80.98 | medyan 59.44 (transfer menfezi) = 59.44 € | sapma -0.0% ≤%10 → mevcut REF teyit [Emsal ID: R05495;R05588]</t>
  </si>
  <si>
    <t xml:space="preserve">D01 egzoz atış panjuru (EAP) tel kafesli</t>
  </si>
  <si>
    <t xml:space="preserve">REF-teyit – R05963 Kirazlı-Halkalı Metro/Panel 2024 65.26; R05964 Kirazlı-Halkalı Metro/Panel 2024 368.44; m² fiyatları R05496 42,16 / R05589 211,98 / R06131 200,98 €/m² | EAP boyutu belirsiz; mevcut 229,70 emsal aralığında (65-368 €), teyit [Emsal ID: R05963;R05964;R05496;R05589;R06131]</t>
  </si>
  <si>
    <t xml:space="preserve">D01 yangın damperi / debi ayar damperleri</t>
  </si>
  <si>
    <t xml:space="preserve">REF-teyit – R05957 Kirazlı-Halkalı Metro/Panel 2024 196.63; R05958 Kirazlı-Halkalı Metro/Panel 2024 318.94; R05959 Kirazlı-Halkalı Metro/Panel 2024 430.27; R05960 Kirazlı-Halkalı Metro/Panel 2024 232.96 | medyan 275.95 (yangın/debi ayar damperi adet) = 275.95 € | sapma -0.0% ≤%10 → mevcut REF teyit [Emsal ID: R05957;R05958;R05959;R05960]</t>
  </si>
  <si>
    <t xml:space="preserve">D05 Egzoz fanı EF-01 kanal tipi 400 m³/h 70 Pa (WC)</t>
  </si>
  <si>
    <t xml:space="preserve">REF-derin – R05307 İzmir Buca Metro/Alp 2021 111.26; R05795 Kocaeli KentMey.Tram/FER 2015 318.09; R05949 Kirazlı-Halkalı Metro/Panel 2024 108.60; R05950 Kirazlı-Halkalı Metro/Panel 2024 127.19 | medyan 119.23 (300-600 m³/h kanal fanı) = 119.23 € | mevcut REF 318.09 (-62.5%) düzeltildi [Emsal ID: R05307;R05795;R05949;R05950]</t>
  </si>
  <si>
    <t xml:space="preserve">İlk tahmin BF 318.09</t>
  </si>
  <si>
    <t xml:space="preserve">D05 Egzoz fanı EF-02 kanal tipi 400 m³/h 60 Pa (ustabaşı odası)</t>
  </si>
  <si>
    <t xml:space="preserve">REF-derin – R05307 İzmir Buca Metro/Alp 2021 111.26; R05795 Kocaeli KentMey.Tram/FER 2015 318.09; R05949 Kirazlı-Halkalı Metro/Panel 2024 108.60; R05950 Kirazlı-Halkalı Metro/Panel 2024 127.19 | medyan 119.23 (300-600 m³/h kanal fanı) = 119.23 € [Emsal ID: R05307;R05795;R05949;R05950]</t>
  </si>
  <si>
    <t xml:space="preserve">EF-01 ile aynı | İlk tahmin BF 318.00</t>
  </si>
  <si>
    <t xml:space="preserve">D05 Egzoz fanı EF-03 kanal tipi 750 m³/h 60 Pa (depo/bakım aracı parkı)</t>
  </si>
  <si>
    <t xml:space="preserve">REF-derin – R05308 İzmir Buca Metro/Alp 2021 111.26; R05882 Kocaeli KentMey.Tram/Mertsan 2015 152.14; R05797 Kocaeli KentMey.Tram/FER 2015 488.50 | medyan 152.14 (750-800 m³/h kanal fanı) = 152.14 € [Emsal ID: R05308;R05882;R05797]</t>
  </si>
  <si>
    <t xml:space="preserve">İlk tahmin BF 450.00</t>
  </si>
  <si>
    <t xml:space="preserve">D05 galvaniz kanal + Ø127 flex kanal + toplayıcı menfezler (8) + egzoz atış panjuru EAP (4) + GA/C menfezleri</t>
  </si>
  <si>
    <t xml:space="preserve">REF-derin – galvaniz kanal medyan 32.29 €/m² + aksesuar payı (12 menfez×34.99 + 4 EAP×229,70)/47,69 m² = 28.07 = 60.36 € [Emsal ID: R05313;R05314;R05404;R05488;R05489;R05580;R05581;R05799;R05493;R05586;R05802;R05887;R05962]</t>
  </si>
  <si>
    <t xml:space="preserve">Kanal+flex+menfez+EAP m² başına paylaştırıldı | İlk tahmin BF 55.00</t>
  </si>
  <si>
    <t xml:space="preserve">D06 Egzoz fanı EF-10 duvar tipi 500 m³/h 100 Pa + transfer menfez kiti</t>
  </si>
  <si>
    <t xml:space="preserve">REF-derin – 500 m³/h fan medyan 119.23 + transfer menfezi medyan 59.44 = 178.66 € [Emsal ID: R05302;R05950;R05495;R05588]</t>
  </si>
  <si>
    <t xml:space="preserve">D07 Egzoz fanı EF-1 duvar tipi 100 m³/h (mutfak ve WC) + transfer menfezi</t>
  </si>
  <si>
    <t xml:space="preserve">REF-derin – 100 m³/h fan medyan 57.40 + transfer menfezi medyan 59.44 = 116.84 € [Emsal ID: R05482;R05572;R05955;R06020;R05495;R05588]</t>
  </si>
  <si>
    <t xml:space="preserve">D02/T13 akü odası exproof egzoz fanı + H2 sensörü + damper</t>
  </si>
  <si>
    <t xml:space="preserve">REF-derin – exproof fan medyan 852.16 + H2 sensörü 650 (tahmin, emsal yok) + damper R05961 46.14 = 1548.30 € [Emsal ID: R05408;R05484;R05574;R05951;R05952;R05961]</t>
  </si>
  <si>
    <t xml:space="preserve">Exproof fan + H2 sensörü + damper | İlk tahmin BF 2,000.00</t>
  </si>
  <si>
    <t xml:space="preserve">5005.A</t>
  </si>
  <si>
    <t xml:space="preserve">Taşınabilir yangın söndürücü ABC kuru kimyevi tozlu 6 kg (TS EN 3) + duvar askısı + işaret levhası</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</si>
  <si>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</si>
  <si>
    <t xml:space="preserve">Askı+levha dahil | İlk tahmin BF 45.00</t>
  </si>
  <si>
    <t xml:space="preserve">Taşınabilir yangın söndürücü CO2 5 kg + duvar askısı + işaret levhası</t>
  </si>
  <si>
    <t xml:space="preserve">REF-derin – R05323 İzmir Buca Metro/Alp 2021 65.06; R05977 Kirazlı-Halkalı Metro/Panel 2024 101.41 | medyan 83.24 +5.00 (CO2 5 kg +5 € askı/levha) = 88.24 € | mevcut REF 80.00 (+10.3%) düzeltildi [Emsal ID: R05323;R05977]</t>
  </si>
  <si>
    <t xml:space="preserve">Ref düşük; CO2 5 kg askı+levha dahil | İlk tahmin BF 80.00</t>
  </si>
  <si>
    <t xml:space="preserve">5005.B</t>
  </si>
  <si>
    <t xml:space="preserve">5005.C</t>
  </si>
  <si>
    <t xml:space="preserve">5005.D</t>
  </si>
  <si>
    <t xml:space="preserve">5005.E</t>
  </si>
  <si>
    <t xml:space="preserve">5005.F</t>
  </si>
  <si>
    <t xml:space="preserve">5005.G</t>
  </si>
  <si>
    <t xml:space="preserve">Taşınabilir yangın söndürücü CO2 5 kg + askı + levha</t>
  </si>
  <si>
    <t xml:space="preserve">REF-derin – R05323 İzmir Buca Metro/Alp 2021 65.06; R05977 Kirazlı-Halkalı Metro/Panel 2024 101.41 | medyan 83.24 +5.00 (CO2 5 kg +5 € askı/levha) = 88.24 € [Emsal ID: R05323;R05977]</t>
  </si>
  <si>
    <t xml:space="preserve">İlk tahmin BF 80.00</t>
  </si>
  <si>
    <t xml:space="preserve">5005.H</t>
  </si>
  <si>
    <t xml:space="preserve">D06 Ana yangın pompası YP-01 (asıl) sondan emişli yatay santrifüj 126 m³/h, 100 mSS (9,3 bar), ~90 kW</t>
  </si>
  <si>
    <t xml:space="preserve">REF-derin – Yangın pompası 165–180 m³/h 100 mSS M+İ: Kocaeli Uluhanlar 33.868/32.921, ITT+Tornatech 35.865 → medyan 33.868 (126 m³/h için üst sınır) [Emsal ID: R05435;R05438;R05534]</t>
  </si>
  <si>
    <t xml:space="preserve">YP-02 ref fiyatı ile aynı | İlk tahmin BF 34,866.59</t>
  </si>
  <si>
    <t xml:space="preserve">D06 Ana yangın pompası YP-02 (yedek) 126 m³/h, 100 mSS, ~90 kW</t>
  </si>
  <si>
    <t xml:space="preserve">REF-derin – Satır 161 ile aynı: medyan 33.868 [Emsal ID: R05435;R05438;R05534]</t>
  </si>
  <si>
    <t xml:space="preserve">İlk tahmin BF 34,866.59</t>
  </si>
  <si>
    <t xml:space="preserve">D06 Jokey pompa JP-01 dik çok kademeli 4 m³/h, 120 mSS, 5,5 kW</t>
  </si>
  <si>
    <t xml:space="preserve">REF-teyit – Jokey: Kocaeli Uluhanlar 4.263, ITT 5.742 → medyan 5.002 teyit [Emsal ID: R05436;R05535]</t>
  </si>
  <si>
    <t xml:space="preserve">D06 Yangın pompa kontrol panoları (asıl, yedek, jokey) + basınç şalterleri + test hattı/debimetre (FM)</t>
  </si>
  <si>
    <t xml:space="preserve">REF-derin(1) – Pompa refleri (ITT+Tornatech, Uluhanlar) kontrol panosu DAHİL → 3 pano ayrıca fiyatlanmış, mükerrer riski; test hattı/debimetre ref 1.464 ile mevcut 15.000 ort. 8.232 [Emsal ID: R05534]</t>
  </si>
  <si>
    <t xml:space="preserve">Ref düşük; 3 pano (90 kW yolvermeli) + test hattı | İlk tahmin BF 15,000.00</t>
  </si>
  <si>
    <t xml:space="preserve">D06 Emiş ve dağıtım kollektörü DN200 (8") + vorteks plakalar, izlenebilir kelebek vanalar, çek valf, esnek bağlantılar</t>
  </si>
  <si>
    <t xml:space="preserve">REF-teyit – Globe izlemeli kelebek 8" 739, 6" 491 + çek valf + kollektör + flex ≈ 5–6,5k → teyit [Emsal ID: R05793;R05792]</t>
  </si>
  <si>
    <t xml:space="preserve">Ref çok düşük; DN200 kollektör + vanalar</t>
  </si>
  <si>
    <t xml:space="preserve">D06 pompa dairesi yangın borusu galvaniz/siyah çelik (8" %5, 6" %45, 4" %35, 2"-1" %15)</t>
  </si>
  <si>
    <t xml:space="preserve">REF-derin – Çap medyanları 6" 69,78, 4" 45,91, 2" 23,76 €/m → ağırlıklı 55,21 ×1,3 (pompa dairesi fitting yoğunluğu) = 71,77 [Emsal ID: R05548;R05755;R05345;R05988;R05547;R05754;R05852;R05344;R05987;R06106]</t>
  </si>
  <si>
    <t xml:space="preserve">Çap dağılımına göre ağırlıklı (8"-1")</t>
  </si>
  <si>
    <t xml:space="preserve">D06 basınç düşürücü vana DN100 (yangın dolapları hattı)</t>
  </si>
  <si>
    <t xml:space="preserve">REF-derin(1) – R05870 Kocaeli KentMey.Tram/Mertsan 2015 514.54→668.90×1.3 (DN80 → DN100 ×1,3) | tek emsal 668.90 ile mevcut 1300.00 ortalaması [Emsal ID: R05870]</t>
  </si>
  <si>
    <t xml:space="preserve">Ref düşük; yangın onaylı DN100 PRV | İlk tahmin BF 1,300.00</t>
  </si>
  <si>
    <t xml:space="preserve">D06 itfaiye su verme ağzı (siyam ikizi)</t>
  </si>
  <si>
    <t xml:space="preserve">REF-derin – R05193 Bakırköy Metro/bilinmiyor 2014 128.14; R05327 İzmir Buca Metro/Alp 2021 246.90; R05533 Kocaeli KentMey.Tram/bilinmiyor 2015 278.48; R05790 Kocaeli KentMey.Tram/FER 2015 247.86; R05997 Kirazlı-Halkalı Metro/Panel 2024 230.27 | medyan 246.90 (siyam ikizi 4"x2½"x2½") = 246.90 € | mevcut REF 450.00 (-45.1%) düzeltildi [Emsal ID: R05193;R05327;R05533;R05790;R05997]</t>
  </si>
  <si>
    <t xml:space="preserve">Ref düşük; montajlı siyam ikizi | İlk tahmin BF 450.00</t>
  </si>
  <si>
    <t xml:space="preserve">D01 yangın dolabı (TS EN 671-1, hortum makaralı, ABC söndürücü bölmeli)</t>
  </si>
  <si>
    <t xml:space="preserve">REF-teyit – R05428 Kocaeli KentMey.Tram/Uluhanlar 2015 315.00; R05525 Kocaeli KentMey.Tram/bilinmiyor 2015 449.64; R05782 Kocaeli KentMey.Tram/FER 2015 290.83; R05890 Kocaeli KentMey.Tram/Mertsan 2015 373.93; R05934 Kocaeli KentMey.Tram/TREMS 2015 266.65; R05979 Kirazlı-Halkalı Metro/Panel 2024 436.35; +3 emsal | medyan 373.93 (TS EN 671-1 yangın dolabı) = 373.93 € | sapma -0.0% ≤%10 → mevcut REF teyit [Emsal ID: R05428;R05525;R05782;R05890;R05934;R05979;R05980;R05326;R06148]</t>
  </si>
  <si>
    <t xml:space="preserve">D01 itfaiye su alma ağzı / kuru sistem vanası (F1…F4)</t>
  </si>
  <si>
    <t xml:space="preserve">REF-derin – R05328 İzmir Buca Metro/Alp 2021 132.68; R05998 Kirazlı-Halkalı Metro/Panel 2024 125.08 | medyan 128.88 (itfaiye su alma ağzı 2½") = 128.88 € | mevcut REF 250.00 (-48.4%) düzeltildi [Emsal ID: R05328;R05998]</t>
  </si>
  <si>
    <t xml:space="preserve">Ref düşük; montajlı itfaiye vanası | İlk tahmin BF 250.00</t>
  </si>
  <si>
    <t xml:space="preserve">D01 yangın dolabı hattı galvaniz çelik boru (yivli/dişli, askı-boya dahil) 4"</t>
  </si>
  <si>
    <t xml:space="preserve">REF-derin – 4" galvaniz M+İ: FER 39,53, Mertsan 39,17, Buca 52,28, Kirazlı 2024 79,85, Siirt 2025 67,25 → medyan 52,28 [Emsal ID: R05754;R05852;R05344;R05987;R06106]</t>
  </si>
  <si>
    <t xml:space="preserve">DN100 galvaniz montajlı çapa göre | İlk tahmin BF 60.00</t>
  </si>
  <si>
    <t xml:space="preserve">D01 yangın dolabı hattı galvaniz çelik boru (yivli/dişli, askı-boya dahil) 2 1/2"</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</si>
  <si>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(galv. 2½"; FER %40 montaj malz. hariç→×1,4; +%5 boya) = 32.54 € | mevcut REF 38.00 (-14.4%) düzeltildi [Emsal ID: R05342;R05459;R05553;R05850;R05985;R06105;R05752]</t>
  </si>
  <si>
    <t xml:space="preserve">DN65 galvaniz montajlı | İlk tahmin BF 38.00</t>
  </si>
  <si>
    <t xml:space="preserve">D01 yangın dolabı hattı galvaniz çelik boru (yivli/dişli, askı-boya dahil) 2"</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</si>
  <si>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(galv. 2"; FER ×1,4; +%5 boya) = 29.70 € | sapma +6.1% ≤%10 → mevcut REF teyit [Emsal ID: R05341;R05458;R05552;R05984;R06104;R05751]</t>
  </si>
  <si>
    <t xml:space="preserve">DN50 galvaniz montajlı</t>
  </si>
  <si>
    <t xml:space="preserve">D01 izlenebilir kelebek vana DN100 + kompansatör (dilatasyon)</t>
  </si>
  <si>
    <t xml:space="preserve">REF-teyit – R05329 İzmir Buca Metro/Alp 2021 241.82; R05433 Kocaeli KentMey.Tram/Uluhanlar 2015 333.95; R05531 Kocaeli KentMey.Tram/bilinmiyor 2015 346.90; R05791 Kocaeli KentMey.Tram/FER 2015 334.01; R05891 Kocaeli KentMey.Tram/Mertsan 2015 387.23; R05989 Kirazlı-Halkalı Metro/Panel 2024 254.77 | medyan 333.98 (izlenebilir kelebek vana DN100 (kompansatör hariç)) = 333.98 € | sapma -1.9% ≤%10 → mevcut REF teyit [Emsal ID: R05329;R05433;R05531;R05791;R05891;R05989]</t>
  </si>
  <si>
    <t xml:space="preserve">D01 taşınabilir CO2 5 kg (kontrol odası ve ısı merkezi)</t>
  </si>
  <si>
    <t xml:space="preserve">REF-teyit – R05323 İzmir Buca Metro/Alp 2021 65.06; R05977 Kirazlı-Halkalı Metro/Panel 2024 101.41 | medyan 83.24 = 83.24 € | sapma +4.0% ≤%10 → mevcut REF teyit [Emsal ID: R05323;R05977]</t>
  </si>
  <si>
    <t xml:space="preserve">Ref 11.571 hatalı (sistem fiyatı); CO2 5 kg</t>
  </si>
  <si>
    <t xml:space="preserve">D01 taşınabilir ABC 6 kg (yangın dolabı bölmelerinde)</t>
  </si>
  <si>
    <t xml:space="preserve">REF-teyit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 sapma -5.3% ≤%10 → mevcut REF teyit [Emsal ID: R05324;R05439;R05899;R05978;R06150;R05537;R05789]</t>
  </si>
  <si>
    <t xml:space="preserve">Ref yüksek; ABC 6 kg</t>
  </si>
  <si>
    <t xml:space="preserve">D01 elektrik/elektronik odaları FM200 gazlı söndürme sistemi: silindir 83 L (3 zon manifold), valf/aktüatör, nozul, SCH40 boru, tahliye/ikaz, söndürme kontrol paneli, çapraz zonlu dedektörler, özel kablolar</t>
  </si>
  <si>
    <t xml:space="preserve">REF-derin – FM200 tek silindir sistem: Bursa T2 FER 10.346, Kocaeli 40 m² 11.571, Ekin 79 m² 28.721 → medyan 11.571 + 3 zon yön valfi/kontrol 7.000, +%10 HFC kota etkisi = 20.400; mevcut 30.000 YÜKSEK [Emsal ID: R05788;R05610;R06289;R05898]</t>
  </si>
  <si>
    <t xml:space="preserve">3 zonlu FM200, tek silindir manifold | İlk tahmin BF 30,000.00</t>
  </si>
  <si>
    <t xml:space="preserve">Sprinkler başlığı K80, 68°C, pendent (asma tavanlı mahaller, rozetli) — D01 idari/ofis+ıslak hacimler, D05 küçük odalar, D07</t>
  </si>
  <si>
    <t xml:space="preserve">REF-derin – R05334 İzmir Buca Metro/Alp 2021 32.79; R05430 Kocaeli KentMey.Tram/Uluhanlar 2015 10.89; R05995 Kirazlı-Halkalı Metro/Panel 2024 18.59; R05996 Kirazlı-Halkalı Metro/Panel 2024 19.67; R05527 Kocaeli KentMey.Tram/bilinmiyor 2015 9.06→11.26+2.20 | medyan 18.59 (K80 sprinkler M+İ; Globe R05527 + rozet R05528) = 18.59 € | mevcut REF 30.00 (-38.0%) düzeltildi [Emsal ID: R05334;R05430;R05995;R05996;R05527]</t>
  </si>
  <si>
    <t xml:space="preserve">Ref düşük; montajlı başlık | İlk tahmin BF 30.00</t>
  </si>
  <si>
    <t xml:space="preserve">D05 taşınabilir CO2 5 kg</t>
  </si>
  <si>
    <t xml:space="preserve">REF-derin – R05323 İzmir Buca Metro/Alp 2021 65.06; R05977 Kirazlı-Halkalı Metro/Panel 2024 101.41 | medyan 83.24 = 83.24 € [Emsal ID: R05323;R05977]</t>
  </si>
  <si>
    <t xml:space="preserve">D05 taşınabilir ABC 12 kg</t>
  </si>
  <si>
    <t xml:space="preserve">REF-derin(1) – R05325 İzmir Buca Metro/Alp 2021 57.00 (ABC 12 kg tek emsal) | tek emsal 57.00 ile mevcut 65.00 ortalaması [Emsal ID: R05325]</t>
  </si>
  <si>
    <t xml:space="preserve">Askı+levha+montaj | İlk tahmin BF 65.00</t>
  </si>
  <si>
    <t xml:space="preserve">D07 taşınabilir ABC 6 kg</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</si>
  <si>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[Emsal ID: R05324;R05439;R05899;R05978;R06150;R05537;R05789]</t>
  </si>
  <si>
    <t xml:space="preserve">D02/T13 taşınabilir CO2 5 kg</t>
  </si>
  <si>
    <t xml:space="preserve">D06 taşınabilir ABC 6 kg + CO2 5 kg (pompa dairesi/pano)</t>
  </si>
  <si>
    <t xml:space="preserve">REF-derin – ABC 6 kg medyan 42.63 ve CO2 5 kg medyan 83.24 ortalaması (adet başı) = 62.93 € [Emsal ID: R05324;R05439;R05899;R05978;R06150;R05537;R05789;R05323;R05977]</t>
  </si>
  <si>
    <t xml:space="preserve">1 ABC + 1 CO2 ortalaması | İlk tahmin BF 63.00</t>
  </si>
  <si>
    <t xml:space="preserve">Sprinkler başlığı K80, 68°C, upright (yüksek tavanlı atölye holleri, depo, pompa dairesi) + koruma kafesi (atölye)</t>
  </si>
  <si>
    <t xml:space="preserve">REF-derin – Upright sprinkler M+İ: Buca 2021 7,29, Kirazlı 2024 18,59 → medyan 12,94 + kafes 6 + yüksek tavan montajı 3 = 21,94; mevcut 32 yüksek [Emsal ID: R05335;R05995;R05429]</t>
  </si>
  <si>
    <t xml:space="preserve">Ref malzeme; montaj + koruma kafesi | İlk tahmin BF 32.00</t>
  </si>
  <si>
    <t xml:space="preserve">Yedek sprinkler dolabı + 24 yedek başlık + anahtar (TS EN 12845 OT)</t>
  </si>
  <si>
    <t xml:space="preserve">REF-derin(1) – R05527 Kocaeli KentMey.Tram/bilinmiyor 2015 9.06→297.44×24+80.00 (24 yedek başlık × Globe pendent + 80 € dolap/anahtar tahmini) | tek emsal 297.44 ile mevcut 350.00 ortalaması [Emsal ID: R05527]</t>
  </si>
  <si>
    <t xml:space="preserve">Sprinkler branşman borusu siyah çelik DN25 (dişli, askı-boya dahil)</t>
  </si>
  <si>
    <t xml:space="preserve">REF-teyit – 1" siyah/galv M+İ: Buca 2021 13, Kirazlı 2024 43, Siirt 2025 22 (yakın tarih medyan 22) → 20,86 teyit [Emsal ID: R05338;R05982;R06101;R05447]</t>
  </si>
  <si>
    <t xml:space="preserve">Sprinkler branşman borusu siyah çelik DN32</t>
  </si>
  <si>
    <t xml:space="preserve">REF-teyit – 1¼": Buca 16, Kirazlı 30, Siirt 26 → medyan 26; 21 kabul edilebilir alt bant, teyit [Emsal ID: R05339;R05983;R06102]</t>
  </si>
  <si>
    <t xml:space="preserve">Ref düşük; DN32 montajlı</t>
  </si>
  <si>
    <t xml:space="preserve">Sprinkler branşman borusu siyah çelik DN40</t>
  </si>
  <si>
    <t xml:space="preserve">REF-teyit – 1½": Buca 2021 18, Kocaeli 9 (2015); yakın tarih 2" 23–36 → 24 teyit [Emsal ID: R05340;R05449]</t>
  </si>
  <si>
    <t xml:space="preserve">Ref düşük; DN40 montajlı</t>
  </si>
  <si>
    <t xml:space="preserve">Sprinkler ana/dağıtım borusu galvaniz çelik DN50</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</si>
  <si>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(DN50=2" galv.; FER ×1,4; +%5 boya) = 29.70 € | sapma -2.4% ≤%10 → mevcut REF teyit [Emsal ID: R05341;R05458;R05552;R05984;R06104;R05751]</t>
  </si>
  <si>
    <t xml:space="preserve">Sprinkler ana/dağıtım borusu galvaniz çelik DN65 (yivli)</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</si>
  <si>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(DN65=2½" yivli; +%5 boya) = 32.54 € [Emsal ID: R05342;R05459;R05553;R05850;R05985;R06105;R05752]</t>
  </si>
  <si>
    <t xml:space="preserve">İlk tahmin BF 38.00</t>
  </si>
  <si>
    <t xml:space="preserve">Sprinkler ana/dağıtım borusu galvaniz çelik DN80 (yivli)</t>
  </si>
  <si>
    <t xml:space="preserve">REF-derin – R05343 İzmir Buca Metro/Alp 2021 37.63; R05851 Kocaeli KentMey.Tram/Mertsan 2015 28.03; R05986 Kirazlı-Halkalı Metro/Panel 2024 66.79; R05753 Kocaeli KentMey.Tram/FER 2015 33.63→47.08×1.4 | medyan 42.35 ×1.05 (DN80=3" yivli; FER ×1,4; +%5 boya) = 44.47 € [Emsal ID: R05343;R05851;R05986;R05753]</t>
  </si>
  <si>
    <t xml:space="preserve">İlk tahmin BF 48.00</t>
  </si>
  <si>
    <t xml:space="preserve">Sprinkler ana/dağıtım borusu galvaniz çelik DN100 (yivli)</t>
  </si>
  <si>
    <t xml:space="preserve">REF-derin – R05344 İzmir Buca Metro/Alp 2021 52.28; R05852 Kocaeli KentMey.Tram/Mertsan 2015 39.17; R05987 Kirazlı-Halkalı Metro/Panel 2024 79.85; R06106 Siirt-Kurtalan DY/Yamaner 2025 67.25; R05754 Kocaeli KentMey.Tram/FER 2015 39.53→55.35×1.4 | medyan 55.35 ×1.05 (DN100=4" yivli; FER ×1,4; +%5 boya) = 58.12 € [Emsal ID: R05344;R05852;R05987;R06106;R05754]</t>
  </si>
  <si>
    <t xml:space="preserve">Sprinkler ana/dağıtım borusu galvaniz çelik DN150 (yivli, pompa dairesi/kollektör)</t>
  </si>
  <si>
    <t xml:space="preserve">REF-teyit – 6" galvaniz yivli: Buca 82, Kirazlı 2024 173, FER 58, Kocaeli 53 → medyan 70, yakın tarih 82–173; 90 teyit [Emsal ID: R05345;R05988;R05755;R05548]</t>
  </si>
  <si>
    <t xml:space="preserve">Ref yüksek; DN150 galvaniz ~90 €/m</t>
  </si>
  <si>
    <t xml:space="preserve">Saha sprinkler besleme hattı (D06 -&gt; D01 DN150, -&gt; D05 DN100, -&gt; D07 DN50), toprak altı PE/kaplı çelik</t>
  </si>
  <si>
    <t xml:space="preserve">REF-derin – PE/HDPE M+İ çap medyanları: DN150 46,81, DN100 14,36, DN50 9,76 → %50/%35/%15 ağırlıklı 29,89 €/m; mevcut 45 YÜKSEK [Emsal ID: R05516;R05787;R05337;R05897;R05521;R05786;R05877;R05780]</t>
  </si>
  <si>
    <t xml:space="preserve">DN150/100/50 karışık toprak altı; kazı hariç | İlk tahmin BF 45.00</t>
  </si>
  <si>
    <t xml:space="preserve">Islak alarm vanası istasyonu (alarm vanası, gong, basınç şalteri, test-drenaj, izlenebilir kesme vanası) DN100/150</t>
  </si>
  <si>
    <t xml:space="preserve">REF-derin – Islak alarm vana istasyonu: Kocaeli Globe 4" komple 1.592, Uluhanlar 2.001, Buca DN150 1.513, Kirazlı 2024 8.742 → medyan 1.797 + kesme vanası/test-drenaj 400 = 2.200; mevcut 3.500 yüksek [Emsal ID: R05529;R05431;R05332;R05990]</t>
  </si>
  <si>
    <t xml:space="preserve">Ref düşük; komple alarm vana istasyonu | İlk tahmin BF 3,500.00</t>
  </si>
  <si>
    <t xml:space="preserve">Zon/kat kontrol vana grubu (izlenebilir kelebek vana + akış anahtarı + test-drenaj)</t>
  </si>
  <si>
    <t xml:space="preserve">REF-derin – izl. kelebek vana medyan 333.98 + akış anahtarı medyan 220.26 (R05330 İzmir Buca Metro/Alp 2021 94.20; R05432 Kocaeli KentMey.Tram/Uluhanlar 2015 220.26; R05530 Kocaeli KentMey.Tram/bilinmiyor 2015 250.96) + test-drenaj vanası medyan 187.12 = 741.36 € | mevcut REF 600.00 (+23.6%) düzeltildi [Emsal ID: R05329;R05433;R05531;R05791;R05891;R05989;R05330;R05432;R05530;R05331;R05991]</t>
  </si>
  <si>
    <t xml:space="preserve">Ref düşük; izlenebilir vana+akış anahtarı+test | İlk tahmin BF 600.00</t>
  </si>
  <si>
    <t xml:space="preserve">Sprinkler pompa grubu: elektrikli asıl pompa ~125 m³/h (2.080 l/dk) x 75 mSS + dizel yedek pompa (yakıt tankı, egzoz, akü) + jokey pompa, kontrol panoları, test hattı/debimetre, kollektör</t>
  </si>
  <si>
    <t xml:space="preserve">REF-derin(1) – Bursa T2 Mertsan elk+dizel+jokey set 33.467 (FER 17.631 düşük, listeli değil); mevcut 75.000 ile ort. 54.234 – EN 12845/FM gereksinimi teklifle teyit [Emsal ID: R05889;R05781]</t>
  </si>
  <si>
    <t xml:space="preserve">Elektrikli+dizel+jokey, pano ve kollektör | İlk tahmin BF 75,000.00</t>
  </si>
  <si>
    <t xml:space="preserve">Yangın suyu deposu hacim artışı (sprinkler rezervi, atölye holleri OT3 kabulü, 60 dk)</t>
  </si>
  <si>
    <t xml:space="preserve">TAHMIN (emsal yok) – Emsal yok; betonarme depo hacim artışı 2026 ~200–300 €/m³, makul (paslanmaz prizmatik 380–630 €/m³)</t>
  </si>
  <si>
    <t xml:space="preserve">Depo hacim artışı m³ başına</t>
  </si>
  <si>
    <t xml:space="preserve">5006.A</t>
  </si>
  <si>
    <t xml:space="preserve">Peron yer süzgeci (Ø100 çıkışlı, ızgaralı ~20x20)</t>
  </si>
  <si>
    <t xml:space="preserve">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</si>
  <si>
    <t xml:space="preserve">Ref düşük; ızgaralı süzgeç montajlı | İlk tahmin BF 50.00</t>
  </si>
  <si>
    <t xml:space="preserve">Ø100 PVC drenaj borusu (peron döşemesi altı, süzgeç/kolon -&gt; ray hattı drenajı), fitting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</si>
  <si>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</si>
  <si>
    <t xml:space="preserve">İlk tahmin BF 17.11</t>
  </si>
  <si>
    <t xml:space="preserve">Ø100 PVC yağmur iniş borusu (kanopi kolonu içinde), kolon çıkış dirseği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</si>
  <si>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</si>
  <si>
    <t xml:space="preserve">İlk tahmin BF 14.00</t>
  </si>
  <si>
    <t xml:space="preserve">Ray hattı drenajına bağlantı (BAK +0.08) — bağlantı parçası/manşon</t>
  </si>
  <si>
    <t xml:space="preserve">5006.B</t>
  </si>
  <si>
    <t xml:space="preserve">5006.C</t>
  </si>
  <si>
    <t xml:space="preserve">5006.D</t>
  </si>
  <si>
    <t xml:space="preserve">5006.E</t>
  </si>
  <si>
    <t xml:space="preserve">5006.F</t>
  </si>
  <si>
    <t xml:space="preserve">Ø100 PVC drenaj borusu (peron altı, kolon -&gt; ray hattı drenajı), fitting dahil</t>
  </si>
  <si>
    <t xml:space="preserve">İstasyon ref Ø100 ile tutarlı | İlk tahmin BF 17.00</t>
  </si>
  <si>
    <t xml:space="preserve">Ø100 PVC yağmur iniş borusu (kanopi kolonu içinde)</t>
  </si>
  <si>
    <t xml:space="preserve">Ray hattı drenajına bağlantı (BAK +0.08)</t>
  </si>
  <si>
    <t xml:space="preserve">5006.G</t>
  </si>
  <si>
    <t xml:space="preserve">Ø125 PVC yağmur iniş borusu (4 köşe) + kelepçe + dirsek</t>
  </si>
  <si>
    <t xml:space="preserve">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</si>
  <si>
    <t xml:space="preserve">İlk tahmin BF 18.00</t>
  </si>
  <si>
    <t xml:space="preserve">5006.H</t>
  </si>
  <si>
    <t xml:space="preserve">D01 atölye çukur/kanal drenajı PVC Ø100-Ø125 (çukur süzgeçleri -&gt; petrol ayırıcı)</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</si>
  <si>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+6 emsal | medyan 16.27 (PVC Ø100-125 havuzu) = 16.27 € [Emsal ID: R05369;R05467;R05561;R05856;R06112;R05758;R05370;R05468;R05562;R05857;R06113;R05759]</t>
  </si>
  <si>
    <t xml:space="preserve">İlk tahmin BF 17.00</t>
  </si>
  <si>
    <t xml:space="preserve">D01 çukur/kanal süzgeci 30x30 (dökme ızgaralı)</t>
  </si>
  <si>
    <t xml:space="preserve">REF-derin – R05372 İzmir Buca Metro/Alp 2021 37.70; R05424 Kocaeli KentMey.Tram/Uluhanlar 2015 165.32; R05522 Kocaeli KentMey.Tram/bilinmiyor 2015 92.89; R05735 Kocaeli KentMey.Tram/FER 2015 93.61 | medyan 93.25 (pik döküm çukur/bodrum süzgeci) = 93.25 € | mevcut REF 129.10 (-27.8%) düzeltildi [Emsal ID: R05372;R05424;R05522;R05735]</t>
  </si>
  <si>
    <t xml:space="preserve">İlk tahmin BF 129.10</t>
  </si>
  <si>
    <t xml:space="preserve">D01 petrol ayırıcı PT-01…05, PE tank Ø1200 H3000, 5,4 l/s, EN 858, 40 t kapak</t>
  </si>
  <si>
    <t xml:space="preserve">REF-derin – Ayırıcı: Buca petrol ayırıcı 1.301, Mertsan 2 l/s 1.437 → medyan 1.369 ×(5,4/2)^0,5 + D400 kapak 600 = 2.850; mevcut 4.500 YÜKSEK [Emsal ID: R05378;R05875]</t>
  </si>
  <si>
    <t xml:space="preserve">Ref çok düşük; EN858 PE ayırıcı, kazı hariç | İlk tahmin BF 4,500.00</t>
  </si>
  <si>
    <t xml:space="preserve">D01 drenaj dalgıç pompası DP-1 6 m³/h 8 mSS 2,6 kW (tekerlek torna çukuru) + seviye şalteri + pompa panosu</t>
  </si>
  <si>
    <t xml:space="preserve">REF-derin – R05475 Kocaeli KentMey.Tram/Uluhanlar 2015 2993.67; R05872 Kocaeli KentMey.Tram/Mertsan 2015 1321.83; R05776 Kocaeli KentMey.Tram/FER 2015 1034.56→1726.91+692.36; R05375 İzmir Buca Metro/Alp 2021 4044.29→2022.14×0.5 | medyan 1874.53 (5-10 m³/h dalgıç drenaj pompası + pano; 1+1 set /2) = 1874.53 € | mevcut REF 1549.57 (+21.0%) düzeltildi [Emsal ID: R05475;R05872;R05776;R05375]</t>
  </si>
  <si>
    <t xml:space="preserve">İlk tahmin BF 1,549.57</t>
  </si>
  <si>
    <t xml:space="preserve">D01 yağmur iniş borusu PVC Ø125 (YR), kelepçe/dirsek dahil</t>
  </si>
  <si>
    <t xml:space="preserve">D01 çatı/parapet yağmur süzgeci Ø125</t>
  </si>
  <si>
    <t xml:space="preserve">REF-derin – R05426 Kocaeli KentMey.Tram/Uluhanlar 2015 146.84; R05524 Kocaeli KentMey.Tram/bilinmiyor 2015 47.64; R06011 Kirazlı-Halkalı Metro/Panel 2024 30.36 | medyan 47.64 ×1.1 (çatı/parapet süzgeci; Ø125 için +%10) = 52.40 € | mevcut REF 97.24 (-46.1%) düzeltildi [Emsal ID: R05426;R05524;R06011]</t>
  </si>
  <si>
    <t xml:space="preserve">İlk tahmin BF 97.24</t>
  </si>
  <si>
    <t xml:space="preserve">D03 vagon yıkama drenaj hattı HDPE Ø200 (eğim 0,0169) + yağ ayırıcı + çamur tankı bağlantısı</t>
  </si>
  <si>
    <t xml:space="preserve">REF-derin – R05764 Kocaeli KentMey.Tram/FER 2015 15.85; R05469 Kocaeli KentMey.Tram/Uluhanlar 2015 32.44; R05564 Kocaeli KentMey.Tram/bilinmiyor 2015 21.96; R05859 Kocaeli KentMey.Tram/Mertsan 2015 20.05; R05761 Kocaeli KentMey.Tram/FER 2015 25.90→38.85×1.5 | medyan 21.96 ×1.3 (Ø200 drenaj borusu; +%30 yağ ayırıcı/çamur tankı bağlantı ve eğimli döşeme payı) = 28.55 € [Emsal ID: R05764;R05469;R05564;R05859;R05761]</t>
  </si>
  <si>
    <t xml:space="preserve">D03 vagon yıkama yağ ayırıcı / separatör</t>
  </si>
  <si>
    <t xml:space="preserve">D05 yağmur iniş borusu PVC Ø100 (Y-1…Y-5) + temizleme kapağı</t>
  </si>
  <si>
    <t xml:space="preserve">D05 çatı yağmur süzgeci Ø100</t>
  </si>
  <si>
    <t xml:space="preserve">REF-derin – R05426 Kocaeli KentMey.Tram/Uluhanlar 2015 146.84; R05524 Kocaeli KentMey.Tram/bilinmiyor 2015 47.64; R06011 Kirazlı-Halkalı Metro/Panel 2024 30.36 | medyan 47.64 (çatı süzgeci Ø100) = 47.64 € | mevcut REF 75.00 (-36.5%) düzeltildi [Emsal ID: R05426;R05524;R06011]</t>
  </si>
  <si>
    <t xml:space="preserve">Ref düşük; Ø125 süzgeç ile tutarlı | İlk tahmin BF 75.00</t>
  </si>
  <si>
    <t xml:space="preserve">D06 çatı parapet süzgeci Ø150 + yağmur iniş PVC Ø150 (yüzeye serbest akış)</t>
  </si>
  <si>
    <t xml:space="preserve">REF-derin – R05563 Kocaeli KentMey.Tram/bilinmiyor 2015 14.89; R05858 Kocaeli KentMey.Tram/Mertsan 2015 18.27; R05760 Kocaeli KentMey.Tram/FER 2015 17.27→25.90×1.5 | medyan 18.27 (PVC Ø150 (süzgeç ayrı kalemde)) = 18.27 € [Emsal ID: R05563;R05858;R05760]</t>
  </si>
  <si>
    <t xml:space="preserve">İlk tahmin BF 24.00</t>
  </si>
  <si>
    <t xml:space="preserve">D06 çatı parapet süzgeci Ø150</t>
  </si>
  <si>
    <t xml:space="preserve">REF-derin – R05426 Kocaeli KentMey.Tram/Uluhanlar 2015 146.84; R05524 Kocaeli KentMey.Tram/bilinmiyor 2015 47.64; R06011 Kirazlı-Halkalı Metro/Panel 2024 30.36 | medyan 47.64 ×1.25 (Ø150 için +%25) = 59.55 € [Emsal ID: R05426;R05524;R06011]</t>
  </si>
  <si>
    <t xml:space="preserve">D06 su toplama çukuru drenaj pompası DSP-01/02 dalgıç 15 m³/h 12 mSS 1,6 kW (1 asıl+1 yedek) + seviye şalteri + pano</t>
  </si>
  <si>
    <t xml:space="preserve">REF-derin – R05476 Kocaeli KentMey.Tram/Uluhanlar 2015 3325.25; R05376 İzmir Buca Metro/Alp 2021 4080.84→2040.42×0.5 | medyan 2682.84 (12-20 m³/h dalgıç pompa; Lowara 1+1 panolu set /2 (en yakın kapasite)) = 2682.84 € [Emsal ID: R05476;R05376]</t>
  </si>
  <si>
    <t xml:space="preserve">Pompa + seviye şalteri + pano payı | İlk tahmin BF 1,800.00</t>
  </si>
  <si>
    <t xml:space="preserve">D06 drenaj pompa basma hattı galvaniz 2" + Ø110 HDPE toprak altı (yağmur suyu rögarına) + Ø100/Ø150 PVC taşma-boşaltma</t>
  </si>
  <si>
    <t xml:space="preserve">REF-derin – galv. 2" medyan 28.28, HDPE Ø110 medyan 12.17 (R05521,R05897), PVC Ø100 medyan 12.64 → eşit ağırlık ortalama = 17.70 € | mevcut REF 27.28 (-35.1%) düzeltildi [Emsal ID: R05341;R05458;R05552;R05984;R06104;R05751;R05521;R05897;R05369;R05467;R05561;R05856;R06112;R05758]</t>
  </si>
  <si>
    <t xml:space="preserve">İlk tahmin BF 27.28</t>
  </si>
  <si>
    <t xml:space="preserve">D07 yağmur iniş/çatı drenajı PVC Ø70-100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</si>
  <si>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[Emsal ID: R05368;R05466;R05560;R05855;R06111;R05757;R05369;R05467;R05561;R05856;R06112;R05758]</t>
  </si>
  <si>
    <t xml:space="preserve">İlk tahmin BF 13.00</t>
  </si>
  <si>
    <t xml:space="preserve">D02/T13 yağmur iniş borusu PVC Ø100 (4 köşe)</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</si>
  <si>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15.00 (-15.8%) düzeltildi [Emsal ID: R05369;R05467;R05561;R05856;R06112;R05758]</t>
  </si>
  <si>
    <t xml:space="preserve">Ref yüksek; Ø100 PVC iniş | İlk tahmin BF 15.00</t>
  </si>
  <si>
    <t xml:space="preserve">D06 pompa dairesi yer süzgeci 15x15 (su toplama çukurlarına)</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</si>
  <si>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[Emsal ID: R05373;R05425;R06009;R06093;R05523]</t>
  </si>
  <si>
    <t xml:space="preserve">İlk tahmin BF 30.00</t>
  </si>
  <si>
    <t xml:space="preserve">5006.İ</t>
  </si>
  <si>
    <t xml:space="preserve">Drenaj gideri / tabliye süzgeci (DR-1…DR-8), paslanmaz ızgaralı, Ø110 çıkışlı</t>
  </si>
  <si>
    <t xml:space="preserve">REF-derin – R05372 İzmir Buca Metro/Alp 2021 37.70; R05840 Kocaeli KentMey.Tram/Mertsan 2015 31.94; R06010 Kirazlı-Halkalı Metro/Panel 2024 41.61 | medyan 37.70 ×1.5 (Ø100 süzgeç; paslanmaz ızgara +%50) = 56.56 € [Emsal ID: R05372;R05840;R06010]</t>
  </si>
  <si>
    <t xml:space="preserve">Paslanmaz ızgaralı | İlk tahmin BF 120.00</t>
  </si>
  <si>
    <t xml:space="preserve">Ø110 PVC drenaj/yağmur iniş borusu (asansör/merdiven kolonları içinde, tabliye +7,46 -&gt; zemin), kelepçe+dirsek dahil</t>
  </si>
  <si>
    <t xml:space="preserve">Ø110 koruge HDPE drenaj borusu (kolon dibi -&gt; drenaj rögarı, toprak altı, eğim %1)</t>
  </si>
  <si>
    <t xml:space="preserve">REF-derin – R05762 Kocaeli KentMey.Tram/FER 2015 9.14; R05860 KentMey.Tram/Mertsan 2015 DN100 koruge 10556.91/2800 m = 3.77 (kazı/dolgu hariç) | medyan = 6.46 € | mevcut REF 14.00 (-53.9%) düzeltildi [Emsal ID: R05762;R05860]</t>
  </si>
  <si>
    <t xml:space="preserve">Ref malzeme; montajlı | İlk tahmin BF 14.00</t>
  </si>
  <si>
    <t xml:space="preserve">5007.A</t>
  </si>
  <si>
    <t xml:space="preserve">D06 Hidrofor seti HS-01 (depolar arası) 2x27 m³/h, 30 mSS, 300 L genleşme tanklı, pano dahil</t>
  </si>
  <si>
    <t xml:space="preserve">REF-teyit – Hidrofor: Buca 4.863, Siirt 2025 7.187/9.513, Uluhanlar 11.321, Wilo 17.228 → medyan 9.513; teyit [Emsal ID: R05348;R06097;R06098;R05440;R05539]</t>
  </si>
  <si>
    <t xml:space="preserve">D06 Hidrofor seti HS-02 (kullanım suyu) 2x7 m³/h, 30 mSS, 300 L genleşme tanklı, pano dahil</t>
  </si>
  <si>
    <t xml:space="preserve">REF-teyit – R05738 Kocaeli KentMey.Tram/FER 2015 1829.03; R05348 İzmir Buca Metro/Alp 2021 4863.10; R06097 Siirt-Kurtalan DY/Yamaner 2025 7187.37; R05842 Kocaeli KentMey.Tram/Mertsan 2015 3836.86 | medyan 4349.98 (2-3 pompalı paket hidrofor, ≥2014) = 4349.98 € | sapma -9.4% ≤%10 → mevcut REF teyit [Emsal ID: R05738;R05348;R06097;R05842]</t>
  </si>
  <si>
    <t xml:space="preserve">Ref yüksek; 2x7 m³/h hidrofor</t>
  </si>
  <si>
    <t xml:space="preserve">D06 Su yumuşatma cihazı YC-01 30 m³/h (900 L reçine, tuz tankı 1000 L)</t>
  </si>
  <si>
    <t xml:space="preserve">REF-derin(1) – Buca Wenta tandem 10 m³/h 9.081 ×3^0,6 = 17.556; mevcut 14.000 ile ort. 15.778 (Samsun 2008 Culligan 33.481 eski/aykırı) [Emsal ID: R05349;R06056]</t>
  </si>
  <si>
    <t xml:space="preserve">Ref max seçilmiş; 30 m³/h dubleks yumuşatıcı | İlk tahmin BF 14,000.00</t>
  </si>
  <si>
    <t xml:space="preserve">D06 Kum filtresi KF-01 24 m³/h, FRP tank, otomatik kontrol vanalı</t>
  </si>
  <si>
    <t xml:space="preserve">TAHMIN (emsal yok) – 24 m³/h FRP kum filtresi için kapasite olarak karşılaştırılabilir emsal yok (R05740/R05846 küçük)</t>
  </si>
  <si>
    <t xml:space="preserve">D06 Modüler paslanmaz kullanım suyu deposu SDP-01 7,5 m³ (3,24x2,16x1,08)</t>
  </si>
  <si>
    <t xml:space="preserve">REF-derin – Paslanmaz modüler depo: Buca 8 m³ 3.034→7,5 m³ 2.844, Siirt 2025 12,5 m³ 7.920→5.263 → medyan 4.050; mevcut 6.040 yüksek [Emsal ID: R05346;R06095]</t>
  </si>
  <si>
    <t xml:space="preserve">İlk tahmin BF 6,040.41</t>
  </si>
  <si>
    <t xml:space="preserve">D06 flatörlü dolum vanası 3", basınç düşürücü vana DN80, su sayacı seti 3", seviye göstergeleri</t>
  </si>
  <si>
    <t xml:space="preserve">REF-derin – flatörlü vana 2" R06004 418.81×1,3 (3") = 544.46 + bas. düşürücü DN80 R05870 514.54 + su sayacı 3" (2" R05737 ile 4" R06003 ort.) 376.06 + seviye göstergeleri 100 (tahmin) = 1535.06 € | mevcut REF 2500.00 (-38.6%) düzeltildi [Emsal ID: R06004;R05870;R05737;R06003]</t>
  </si>
  <si>
    <t xml:space="preserve">Ref düşük; 3" flatör+PRV+sayaç seti | İlk tahmin BF 2,500.00</t>
  </si>
  <si>
    <t xml:space="preserve">D06 dahili temiz su boruları galvaniz/PPRC 3"-2" (sayaçtan depolara, hidrofor kollektörleri)</t>
  </si>
  <si>
    <t xml:space="preserve">REF-derin – galv. 2½" (2"-3" aralığı ortası) medyan 30.99 ×1,1 kollektör/fitting yoğunluğu = 34.09 € [Emsal ID: R05342;R05459;R05553;R05850;R05985;R06105;R05752]</t>
  </si>
  <si>
    <t xml:space="preserve">Saha kullanım suyu dağıtım hatları HDPE (D06 -&gt; D01 2", D05 Ø50, D07 Ø32, D03 PE100 Ø50)</t>
  </si>
  <si>
    <t xml:space="preserve">REF-teyit – HDPE 2"/Ø50 M+İ: FER 2½" 15, Mertsan DN50 5, Kocaeli Ø110 14 → 14,36 üst bant, teyit [Emsal ID: R05780;R05877;R05521]</t>
  </si>
  <si>
    <t xml:space="preserve">D01 soğuk su borusu PPRC PN20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</si>
  <si>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</si>
  <si>
    <t xml:space="preserve">Ref malzeme; izoleli montajlı | İlk tahmin BF 8.00</t>
  </si>
  <si>
    <t xml:space="preserve">D01 soğuk su borusu PPRC PN20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</si>
  <si>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</si>
  <si>
    <t xml:space="preserve">Ref malzeme; izoleli montajlı | İlk tahmin BF 9.00</t>
  </si>
  <si>
    <t xml:space="preserve">D01 soğuk su borusu PPRC PN20 (izoleli) Ø32</t>
  </si>
  <si>
    <t xml:space="preserve">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</si>
  <si>
    <t xml:space="preserve">Ref malzeme; izoleli montajlı | İlk tahmin BF 10.00</t>
  </si>
  <si>
    <t xml:space="preserve">D01 soğuk su borusu PPRC PN20 (izoleli) Ø40-50</t>
  </si>
  <si>
    <t xml:space="preserve">REF-derin – R05463 Kocaeli KentMey.Tram/Uluhanlar 2015 10.49; R05557 Kocaeli KentMey.Tram/bilinmiyor 2015 6.43; R05770 Kocaeli KentMey.Tram/FER 2015 6.20; R05868 Kocaeli KentMey.Tram/Mertsan 2015 5.86; R05464 Kocaeli KentMey.Tram/Uluhanlar 2015 15.09; R05558 Kocaeli KentMey.Tram/bilinmiyor 2015 8.80; +2 emsal | medyan 8.02 +2.80 (PPRC PN20 Ø40-50; +izolasyon (R05772 1,73 €/m, çapa göre ölçekli)) = 10.82 € | mevcut REF 14.00 (-22.7%) düzeltildi [Emsal ID: R05463;R05557;R05770;R05868;R05464;R05558;R05771;R05869]</t>
  </si>
  <si>
    <t xml:space="preserve">Ref malzeme; izoleli montajlı | İlk tahmin BF 14.00</t>
  </si>
  <si>
    <t xml:space="preserve">D01 sıcak su borusu PPRC PN20 (izoleli) Ø20</t>
  </si>
  <si>
    <t xml:space="preserve">D01 sıcak su borusu PPRC PN20 (izoleli) Ø25</t>
  </si>
  <si>
    <t xml:space="preserve">D01 sıcak su borusu PPRC PN20 (izoleli) Ø32</t>
  </si>
  <si>
    <t xml:space="preserve">D01 sıcak su sirkülasyon borusu PPRC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</si>
  <si>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[Emsal ID: R05359;R05460;R05554;R05767;R05865;R06006;R06107]</t>
  </si>
  <si>
    <t xml:space="preserve">D01 sıcak su sirkülasyon borusu PPRC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</si>
  <si>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[Emsal ID: R05360;R05461;R05555;R05768;R05866;R06007;R06108]</t>
  </si>
  <si>
    <t xml:space="preserve">İlk tahmin BF 9.00</t>
  </si>
  <si>
    <t xml:space="preserve">D01 kullanma sıcak su boyleri EB-1 500 L, 25 kW elektrikli rezistanslı, emniyet ventili, yalıtımlı</t>
  </si>
  <si>
    <t xml:space="preserve">REF-teyit – R05745 Kocaeli KentMey.Tram/FER 2015 1476.86; R05845 Kocaeli KentMey.Tram/Mertsan 2015 1171.02 | medyan 1323.94 +150.00 (500 L boyler; +150 € 25 kW elektrikli rezistans seti (tahmin)) = 1473.94 € | sapma -0.2% ≤%10 → mevcut REF teyit [Emsal ID: R05745;R05845]</t>
  </si>
  <si>
    <t xml:space="preserve">D01 boyler sirkülasyon pompası CP-1 ıslak rotorlu 0,6 m³/h 7 mSS (1 asıl+1 yedek)</t>
  </si>
  <si>
    <t xml:space="preserve">REF-derin – R05724 Kocaeli KentMey.Tram/FER 2015 351.48; R05566 Kocaeli KentMey.Tram/bilinmiyor 2015 255.37; R06116 Siirt-Kurtalan DY/Yamaner 2025 1275.97; R05723 Kocaeli KentMey.Tram/FER 2015 566.35 | medyan 458.92 (küçük sirkülasyon pompası) = 458.92 € | mevcut REF 566.35 (-19.0%) düzeltildi [Emsal ID: R05724;R05566;R06116;R05723]</t>
  </si>
  <si>
    <t xml:space="preserve">İlk tahmin BF 566.35</t>
  </si>
  <si>
    <t xml:space="preserve">D01 güneş enerjili sıcak su sistemi GK-1 (5 düz panel 12,59 m², pompa grubu 1+1, genleşme deposu, kontrol ünitesi)</t>
  </si>
  <si>
    <t xml:space="preserve">D01 vitrifiye: klozet (asma/yer tipi, rezervuarlı) + taharet musluğu</t>
  </si>
  <si>
    <t xml:space="preserve">REF-derin – R05354 İzmir Buca Metro/Alp 2021 192.82; R05729 Kocaeli KentMey.Tram/FER 2015 134.05 | klozet medyan 163.44 + taharet musluğu 15 (tahmin) = 178.44 € | mevcut REF 300.00 (-40.5%) düzeltildi [Emsal ID: R05354;R05729]</t>
  </si>
  <si>
    <t xml:space="preserve">Ref düşük; rezervuar+taharet montajlı | İlk tahmin BF 300.00</t>
  </si>
  <si>
    <t xml:space="preserve">D01 vitrifiye: lavabo + batarya + sifon</t>
  </si>
  <si>
    <t xml:space="preserve">REF-teyit – lavabo+sifon medyan 112.10 (R05728,R05831+R05832,R06082,R05416) + batarya R06091 Siirt-Kurtalan 2025 103.06 = 215.16 € | sapma +7.6% ≤%10 → mevcut REF teyit [Emsal ID: R05728;R05831;R05832;R06082;R05416;R06091]</t>
  </si>
  <si>
    <t xml:space="preserve">Ref düşük; batarya+sifon montajlı</t>
  </si>
  <si>
    <t xml:space="preserve">D01 vitrifiye: pisuvar + fotoselli/basmalı musluk</t>
  </si>
  <si>
    <t xml:space="preserve">REF-teyit – R05358 İzmir Buca Metro/Alp 2021 168.75→268.75+100.00 (pisuvar+tesisat; +100 € fotoselli/basmalı musluk tahmini) | tek emsal 268.75, sapma -4.0% → teyit [Emsal ID: R05358]</t>
  </si>
  <si>
    <t xml:space="preserve">Ref düşük; fotoselli musluk dahil</t>
  </si>
  <si>
    <t xml:space="preserve">D01 duş teknesi/duş seti (bay/bayan soyunma-duş)</t>
  </si>
  <si>
    <t xml:space="preserve">REF-teyit – duş teknesi medyan 128.10 + duş tesisatı/batarya medyan 108.95 = 237.05 € | sapma -5.2% ≤%10 → mevcut REF teyit [Emsal ID: R05423;R05731;R05836;R06088;R05422;R05837;R06089]</t>
  </si>
  <si>
    <t xml:space="preserve">Ref düşük; tekne+duş seti montajlı</t>
  </si>
  <si>
    <t xml:space="preserve">D01 eviye (çay ocağı, mutfak, temizlik) + batarya</t>
  </si>
  <si>
    <t xml:space="preserve">REF-derin – eviye+batarya setleri: R05355 114.76; R05834+R05835 119.76; R06086+R06087 456.44 | medyan = 119.76 € | mevcut REF 205.27 (-41.7%) düzeltildi [Emsal ID: R05355;R05834;R05835;R06086;R06087]</t>
  </si>
  <si>
    <t xml:space="preserve">İlk tahmin BF 205.27</t>
  </si>
  <si>
    <t xml:space="preserve">D01 abdest musluğu seti (bay/bayan abdesthane)</t>
  </si>
  <si>
    <t xml:space="preserve">REF-teyit – R06091 Siirt-Kurtalan DY/Yamaner 2025 103.06 (batarya emsali (abdest seti için)) | tek emsal 103.06, sapma -3.2% → teyit [Emsal ID: R06091]</t>
  </si>
  <si>
    <t xml:space="preserve">D01 engelli WC seti (klozet+lavabo+tutunma barları)</t>
  </si>
  <si>
    <t xml:space="preserve">REF-derin – engelli klozet medyan 373.95 + lavabo+batarya 215.16 + 2×tutunma barı medyan 73.19 = 735.48 € | mevcut REF 900.00 (-18.3%) düzeltildi [Emsal ID: R05357;R06083;R05733;R05838;R06092;R06091]</t>
  </si>
  <si>
    <t xml:space="preserve">Ref düşük; klozet+lavabo+barlar | İlk tahmin BF 900.00</t>
  </si>
  <si>
    <t xml:space="preserve">D01 acil duş + göz duşu (akü odası/atölye)</t>
  </si>
  <si>
    <t xml:space="preserve">REF-teyit – R05352 İzmir Buca Metro/Alp 2021 479.17; R06002 Kirazlı-Halkalı Metro/Panel 2024 2564.35 | medyan 1521.76 (acil göz yıkama/duş üniteleri) = 1521.76 € | sapma -0.0% ≤%10 → mevcut REF teyit [Emsal ID: R05352;R06002]</t>
  </si>
  <si>
    <t xml:space="preserve">D01 kollektör, kesme/çek valfler, su sayacı, pislik tutucu, basınç düşürücü (ısı merkezi)</t>
  </si>
  <si>
    <t xml:space="preserve">D05 soğuk su borusu PPRC Ø20-Ø25 (3/4"-1")</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</si>
  <si>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(izolasyonsuz)) = 4.11 € [Emsal ID: R05359;R05460;R05554;R05767;R05865;R06006;R06107;R05360;R05461;R05555;R05768;R05866;R06007;R06108]</t>
  </si>
  <si>
    <t xml:space="preserve">İlk tahmin BF 8.50</t>
  </si>
  <si>
    <t xml:space="preserve">D05 vitrifiye: klozet 3, lavabo 2, eviye 2 (temizlik + dinlenme) + bataryalar</t>
  </si>
  <si>
    <t xml:space="preserve">REF-derin – ağırlıklı: 3×klozet 178.44 + 2×lavabo+batarya 215.16 + 2×eviye 119.76 / 7 = 172.16 € [Emsal ID: R05354;R05729;R05728;R05831;R06082;R05416;R06091;R05355;R05834;R06086]</t>
  </si>
  <si>
    <t xml:space="preserve">3 klozet+2 lavabo+2 eviye ortalaması | İlk tahmin BF 245.00</t>
  </si>
  <si>
    <t xml:space="preserve">D05 sıcak su hazırlama (elektrikli termosifon ~50 L)</t>
  </si>
  <si>
    <t xml:space="preserve">REF-teyit – R05350 İzmir Buca Metro/Alp 2021 189.86; R06001 Kirazlı-Halkalı Metro/Panel 2024 331.93; R05696 Kartal Metro/3B 2013 285.22 | medyan 285.22 (elektrikli termosifon 50-80 L) = 285.22 € | sapma -0.0% ≤%10 → mevcut REF teyit [Emsal ID: R05350;R06001;R05696]</t>
  </si>
  <si>
    <t xml:space="preserve">D07 soğuk su borusu PPRC Ø20-Ø25 + Ø32 HDPE giriş</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</si>
  <si>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(HDPE giriş payı ihmal)) = 4.11 € [Emsal ID: R05359;R05460;R05554;R05767;R05865;R06006;R06107;R05360;R05461;R05555;R05768;R05866;R06007;R06108]</t>
  </si>
  <si>
    <t xml:space="preserve">D07 sıcak su borusu PPRC Ø20-Ø25</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</si>
  <si>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+1.73 (PPRC Ø20-25 + izolasyon R05772) = 5.83 € | mevcut REF 8.50 (-31.4%) düzeltildi [Emsal ID: R05359;R05460;R05554;R05767;R05865;R06006;R06107;R05360;R05461;R05555;R05768;R05866;R06007;R06108]</t>
  </si>
  <si>
    <t xml:space="preserve">Ref malzeme; montajlı | İlk tahmin BF 8.50</t>
  </si>
  <si>
    <t xml:space="preserve">D07 elektrikli ani su ısıtıcı ESI-1 7 kW tezgah altı</t>
  </si>
  <si>
    <t xml:space="preserve">REF-derin – R05351 İzmir Buca Metro/Alp 2021 153.74; R06000 Kirazlı-Halkalı Metro/Panel 2024 118.81 | medyan 136.28 (elektrikli ani su ısıtıcı 3,5-8 kW) = 136.28 € | mevcut REF 280.00 (-51.3%) düzeltildi [Emsal ID: R05351;R06000]</t>
  </si>
  <si>
    <t xml:space="preserve">Ref max seçilmiş; 7 kW ani ısıtıcı | İlk tahmin BF 280.00</t>
  </si>
  <si>
    <t xml:space="preserve">D07 vitrifiye: klozet 1, lavabo 1, eviye 1 + bataryalar</t>
  </si>
  <si>
    <t xml:space="preserve">REF-derin – ortalama: klozet 178.44, lavabo+batarya 215.16, eviye 119.76 = 171.12 € [Emsal ID: R05354;R05729;R05728;R05831;R06082;R05416;R06091;R05355;R05834;R06086]</t>
  </si>
  <si>
    <t xml:space="preserve">Klozet+lavabo+eviye ortalaması | İlk tahmin BF 235.00</t>
  </si>
  <si>
    <t xml:space="preserve">5008.A</t>
  </si>
  <si>
    <t xml:space="preserve">D01 pis su borusu PVC (TS EN 1329 / 1401), fitting dahil Ø125</t>
  </si>
  <si>
    <t xml:space="preserve">D01 pis su borusu PVC (TS EN 1329 / 1401), fitting dahil Ø100</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</si>
  <si>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 FER ×1,5) = 12.64 € [Emsal ID: R05369;R05467;R05561;R05856;R06112;R05758]</t>
  </si>
  <si>
    <t xml:space="preserve">D01 pis su borusu PVC (TS EN 1329 / 1401), fitting dahil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</si>
  <si>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 medyan 9.57 (PVC Ø70-75; FER ×1,5) = 9.57 € [Emsal ID: R05368;R05466;R05560;R05855;R06111;R05757]</t>
  </si>
  <si>
    <t xml:space="preserve">İlk tahmin BF 10.00</t>
  </si>
  <si>
    <t xml:space="preserve">D01 pis su borusu PVC (TS EN 1329 / 1401), fitting dahil Ø50</t>
  </si>
  <si>
    <t xml:space="preserve">REF-derin – R05465 Kocaeli KentMey.Tram/Uluhanlar 2015 6.45; R05559 Kocaeli KentMey.Tram/bilinmiyor 2015 4.64; R05854 Kocaeli KentMey.Tram/Mertsan 2015 4.61; R06110 Siirt-Kurtalan DY/Yamaner 2025 17.40; R05756 Kocaeli KentMey.Tram/FER 2015 4.28→6.41×1.5 | medyan 6.41 (PVC Ø50; FER ×1,5) = 6.41 € [Emsal ID: R05465;R05559;R05854;R06110;R05756]</t>
  </si>
  <si>
    <t xml:space="preserve">D01 yer süzgeci 15x15 (sifonlu)</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</si>
  <si>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 mevcut REF 30.00 (+30.0%) düzeltildi [Emsal ID: R05373;R05425;R06009;R06093;R05523]</t>
  </si>
  <si>
    <t xml:space="preserve">Ref malzeme; sifonlu süzgeç montajlı | İlk tahmin BF 30.00</t>
  </si>
  <si>
    <t xml:space="preserve">D01 temizleme kapağı (T.K.)</t>
  </si>
  <si>
    <t xml:space="preserve">REF-teyit – R05371 İzmir Buca Metro/Alp 2021 43.45 (DN100 temizleme kapağı) | tek emsal 43.45, sapma -0.0% → teyit [Emsal ID: R05371]</t>
  </si>
  <si>
    <t xml:space="preserve">D01 pis su havalık başlığı / havalık borusu Ø70-Ø100 (Ph1-Ph5)</t>
  </si>
  <si>
    <t xml:space="preserve">REF-teyit – R06114 Siirt-Kurtalan DY/Yamaner 2025 38.48 (havalık boru+şapka Ø100) | tek emsal 38.48, sapma +0.0% → teyit [Emsal ID: R06114]</t>
  </si>
  <si>
    <t xml:space="preserve">D01 yağ ayırıcı YA-01 gömülü krom sac 0,2 l/s (mutfak)</t>
  </si>
  <si>
    <t xml:space="preserve">REF-teyit – R05778 Kocaeli KentMey.Tram/FER 2015 2321.74; R05875 Kocaeli KentMey.Tram/Mertsan 2015 1437.16 | medyan 1879.45 (yağ ayırıcı 2 l/s) = 1879.45 € | sapma -0.0% ≤%10 → mevcut REF teyit [Emsal ID: R05778;R05875]</t>
  </si>
  <si>
    <t xml:space="preserve">D05 pis su borusu PVC Ø70-Ø100</t>
  </si>
  <si>
    <t xml:space="preserve">REF-teyit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 sapma -3.0% ≤%10 → mevcut REF teyit [Emsal ID: R05368;R05466;R05560;R05855;R06111;R05757;R05369;R05467;R05561;R05856;R06112;R05758]</t>
  </si>
  <si>
    <t xml:space="preserve">Ref düşük; Ø70-100 montajlı</t>
  </si>
  <si>
    <t xml:space="preserve">D05 yer süzgeci + temizleme kapağı</t>
  </si>
  <si>
    <t xml:space="preserve">REF-derin – 15x15 süzgeç medyan 39.00 ve TK R05371 43.45 ortalaması = 41.22 € [Emsal ID: R05373;R05425;R06009;R06093;R05523;R05371]</t>
  </si>
  <si>
    <t xml:space="preserve">İlk tahmin BF 35.00</t>
  </si>
  <si>
    <t xml:space="preserve">D07 pis su borusu PVC Ø70-Ø100 + havalık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</si>
  <si>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(havalık dahil)) = 11.65 € [Emsal ID: R05368;R05466;R05560;R05855;R06111;R05757;R05369;R05467;R05561;R05856;R06112;R05758]</t>
  </si>
  <si>
    <t xml:space="preserve">D07 yer süzgeci + temizleme kapağı</t>
  </si>
  <si>
    <t xml:space="preserve">5009.A</t>
  </si>
  <si>
    <t xml:space="preserve">Vidalı hava kompresörü HK-1/HK-2, 882 m³/h, 10 bar, ~95 kW, 380V (sıra işletimli)</t>
  </si>
  <si>
    <t xml:space="preserve">REF-derin – Vidalı kompresör (14,7 m³/dk'ya ölçekli): Mertsan 11.801, TREMS 24.500, FER Atlas GA75 58.767, Buca Atlas (kurutucu/tank hariç) 29.272 → medyan 26.900; mevcut 21.256 (TREMS 12 m³/dk) DÜŞÜK [Emsal ID: R05919;R05936;R05824;R05361]</t>
  </si>
  <si>
    <t xml:space="preserve">İlk tahmin BF 21,255.67</t>
  </si>
  <si>
    <t xml:space="preserve">Hava kurutucu AD-1 paket tip 882 m³/h (entegre giriş/çıkış filtreli)</t>
  </si>
  <si>
    <t xml:space="preserve">REF-derin – Kurutucu (14,7 m³/dk'ya ölçekli): Mertsan 5.838, TREMS 6.708, FER Atlas FX15 11.950 → medyan 6.710 [Emsal ID: R05920;R05937;R05825]</t>
  </si>
  <si>
    <t xml:space="preserve">İlk tahmin BF 5,820.00</t>
  </si>
  <si>
    <t xml:space="preserve">Hava tankı HT-1 silindirik dik 3000 L, 10 bar, emniyet ventilli (tablo 2000 L / akış şeması 3000 L – büyük olan alındı)</t>
  </si>
  <si>
    <t xml:space="preserve">REF-derin – 1000 L hava tankları medyan 1397.24 (R05823 Kocaeli KentMey.Tram/FER 2015 2394.07; R05918 Kocaeli KentMey.Tram/Mertsan 2015 1397.24; R05938 Kocaeli KentMey.Tram/TREMS 2015 1239.91) × 3^0,6 (3000 L) = 2701.12 € | mevcut REF 2394.07 (+12.8%) düzeltildi [Emsal ID: R05823;R05918;R05938]</t>
  </si>
  <si>
    <t xml:space="preserve">İlk tahmin BF 2,394.07</t>
  </si>
  <si>
    <t xml:space="preserve">Hat filtreleri: ön filtre 1 mikron, 0,1 ppm yağ tutucu, 0,01 mikron/0,01 ppm çıkış filtresi</t>
  </si>
  <si>
    <t xml:space="preserve">REF-derin – R05921 Kocaeli KentMey.Tram/Mertsan 2015 332.68; R05922 Kocaeli KentMey.Tram/Mertsan 2015 288.32; R05826 Kocaeli KentMey.Tram/FER 2015 1626.11 | medyan 332.68 (basınçlı hava hat filtreleri) = 332.68 € | mevcut REF 600.00 (-44.6%) düzeltildi [Emsal ID: R05921;R05922;R05826]</t>
  </si>
  <si>
    <t xml:space="preserve">Ref düşük; 882 m³/h hat filtresi | İlk tahmin BF 600.00</t>
  </si>
  <si>
    <t xml:space="preserve">Otomatik su atma cihazı (SA-01…SA-04) + Ø25 PPRC drenaj hattı</t>
  </si>
  <si>
    <t xml:space="preserve">REF-teyit – R05827 Kocaeli KentMey.Tram/FER 2015 505.34 (elektronik/premium tip; şamandıralı tipten pahalı) | mevcut REF 308,12 teyit [Emsal ID: R05827]</t>
  </si>
  <si>
    <t xml:space="preserve">Kondenstop + pislik tutucu + küresel vana grubu (1/2")</t>
  </si>
  <si>
    <t xml:space="preserve">REF-teyit – R05923 Kocaeli KentMey.Tram/Mertsan 2015 239.53 (kondenstop ½") | tek emsal 239.53, sapma -0.0% → teyit [Emsal ID: R05923]</t>
  </si>
  <si>
    <t xml:space="preserve">Basınçlı hava borusu galvaniz çelik (ring), askı-kelepçe dahil 3"</t>
  </si>
  <si>
    <t xml:space="preserve">REF-derin – 3" galvaniz M+İ: Buca bas. hava DN80 36,45, FER 33,63, Mertsan 28,03, Kirazlı 66,79 → medyan 35,04; mevcut 48 yüksek [Emsal ID: R05365;R05753;R05851;R05986;R06066]</t>
  </si>
  <si>
    <t xml:space="preserve">Ref çok düşük; 3" galvaniz montajlı | İlk tahmin BF 48.00</t>
  </si>
  <si>
    <t xml:space="preserve">Basınçlı hava borusu galvaniz çelik (ring), askı-kelepçe dahil 2"</t>
  </si>
  <si>
    <t xml:space="preserve">REF-derin – 2" galvaniz M+İ: Buca bas. hava DN50 27,17, FER 23,76, Siirt 2025 36,09, Kirazlı 51,62 → medyan 31,63 [Emsal ID: R05364;R05751;R06103;R05984]</t>
  </si>
  <si>
    <t xml:space="preserve">2" galvaniz montajlı | İlk tahmin BF 28.00</t>
  </si>
  <si>
    <t xml:space="preserve">Basınçlı hava borusu galvaniz çelik (ring), askı-kelepçe dahil 1 1/4"</t>
  </si>
  <si>
    <t xml:space="preserve">REF-teyit – R05457 Kocaeli KentMey.Tram/Uluhanlar 2015 10.72; R05551 Kocaeli KentMey.Tram/bilinmiyor 2015 17.01; R05849 Kocaeli KentMey.Tram/Mertsan 2015 10.73; R05976 Kirazlı-Halkalı Metro/Panel 2024 32.87; R06102 Siirt-Kurtalan DY/Yamaner 2025 25.99; R05749 Kocaeli KentMey.Tram/FER 2015 18.63→26.08×1.4 | medyan 21.50 (galv. 1¼"; FER ×1,4) = 21.50 € | sapma +7.5% ≤%10 → mevcut REF teyit [Emsal ID: R05457;R05551;R05849;R05976;R06102;R05749]</t>
  </si>
  <si>
    <t xml:space="preserve">1 1/4" galvaniz montajlı</t>
  </si>
  <si>
    <t xml:space="preserve">Basınçlı hava borusu galvaniz çelik (ring), askı-kelepçe dahil 1"</t>
  </si>
  <si>
    <t xml:space="preserve">REF-teyit – R05456 Kocaeli KentMey.Tram/Uluhanlar 2015 8.45; R05550 Kocaeli KentMey.Tram/bilinmiyor 2015 13.49; R05848 Kocaeli KentMey.Tram/Mertsan 2015 8.83; R05975 Kirazlı-Halkalı Metro/Panel 2024 29.47; R06101 Siirt-Kurtalan DY/Yamaner 2025 22.42; R05748 Kocaeli KentMey.Tram/FER 2015 15.09→21.12×1.4 | medyan 17.31 (galv. 1"; FER ×1,4) = 17.31 € | sapma +1.8% ≤%10 → mevcut REF teyit [Emsal ID: R05456;R05550;R05848;R05975;R06101;R05748]</t>
  </si>
  <si>
    <t xml:space="preserve">1" galvaniz montajlı</t>
  </si>
  <si>
    <t xml:space="preserve">Basınçlı hava borusu galvaniz çelik (ring), askı-kelepçe dahil 1/2"</t>
  </si>
  <si>
    <t xml:space="preserve">REF-teyit – R05455 Kocaeli KentMey.Tram/Uluhanlar 2015 5.36; R05549 Kocaeli KentMey.Tram/bilinmiyor 2015 11.58; R05847 Kocaeli KentMey.Tram/Mertsan 2015 4.83; R05363 İzmir Buca Metro/Alp 2021 10.74; R06100 Siirt-Kurtalan DY/Yamaner 2025 16.01; R05746 Kocaeli KentMey.Tram/FER 2015 11.04→15.46×1.4 | medyan 11.16 (galv. ½"/DN20; FER ×1,4) = 11.16 € | sapma -7.0% ≤%10 → mevcut REF teyit [Emsal ID: R05455;R05549;R05847;R05363;R06100;R05746]</t>
  </si>
  <si>
    <t xml:space="preserve">Ref 1" den yüksek; 1/2" montajlı</t>
  </si>
  <si>
    <t xml:space="preserve">Kullanım noktası: şartlandırıcılı (filtre-regülatör-yağlayıcı), hızlı bağlantılı, kapama valfli çıkış</t>
  </si>
  <si>
    <t xml:space="preserve">REF-teyit – Kullanım noktası: Buca Troy filtreli hızlı bağlantı 78,24 M+İ; Mertsan yağlayıcı 42,14+regülatör 33,27 mlz + filtre/vana → FRL'li 110–150; 120 teyit [Emsal ID: R05362;R05924;R05925]</t>
  </si>
  <si>
    <t xml:space="preserve">Ref düşük; FRL+hızlı bağlantı+vana</t>
  </si>
  <si>
    <t xml:space="preserve">Kesme vanası 3" (K.V.) — ring bölge vanaları</t>
  </si>
  <si>
    <t xml:space="preserve">REF-derin(1) – R05366 İzmir Buca Metro/Alp 2021 106.13 (küresel vana DN80 basınçlı hava) | tek emsal 106.13 ile mevcut 150.00 ortalaması [Emsal ID: R05366]</t>
  </si>
  <si>
    <t xml:space="preserve">3" vana montajlı | İlk tahmin BF 150.00</t>
  </si>
  <si>
    <t xml:space="preserve">Kompresör odası taze hava alış / egzoz atış panjurları + havalandırma fanı</t>
  </si>
  <si>
    <t xml:space="preserve">Kum verme sistemi KS (kum silosu, besleme bunkeri, kompresör, kurutucu, tank, filtre, egzoz fanı, boru/kanal/vana), ~10 kW</t>
  </si>
  <si>
    <t xml:space="preserve">TAHMIN (emsal yok) – Emsal yok (veritabanında kum verme sistemi yok); tedarikçi teklifi alınmalı</t>
  </si>
  <si>
    <t xml:space="preserve">Komple kum verme sistemi; teyit edilmeli</t>
  </si>
  <si>
    <t xml:space="preserve">5009.B</t>
  </si>
  <si>
    <t xml:space="preserve">Basınçlı hava sistemi uygulama projesi: debi/basınç hesabı, kompresör-tank-kurutucu seçimi, boru çaplandırma, ring izometrisi, kullanım noktaları yerleşimi, şartname/tanımlar, as-built</t>
  </si>
  <si>
    <t xml:space="preserve">Küçük tramvay deposu ölçeğinde proje</t>
  </si>
  <si>
    <t xml:space="preserve">3 ASANSÖR – Sıra 364–365 (13 asansör)</t>
  </si>
  <si>
    <t xml:space="preserve">5010.A</t>
  </si>
  <si>
    <t xml:space="preserve">Asansör 1000 kg, 2 durak, MRL dişlisiz, VVVF, 1 m/s, cam+paslanmaz kabin – S09 Hızmalı Köprüsü</t>
  </si>
  <si>
    <t xml:space="preserve">TEKLİF medyanı (Schindler, TK, Emlift)</t>
  </si>
  <si>
    <t xml:space="preserve">Bakım hariç; yeşil etiket, eğitim dahil</t>
  </si>
  <si>
    <t xml:space="preserve">Asansör 1000 kg – S10 Balıklıgöl</t>
  </si>
  <si>
    <t xml:space="preserve">TEKLİF medyanı</t>
  </si>
  <si>
    <t xml:space="preserve">Asansör 1000 kg – S11 Eyyüp Peygamber</t>
  </si>
  <si>
    <t xml:space="preserve">Asansör 1000 kg – S12 Rasathane</t>
  </si>
  <si>
    <t xml:space="preserve">5010.B</t>
  </si>
  <si>
    <t xml:space="preserve">Asansör 800 kg, 2 durak (zemin/1. kat), MRL, VVVF, 1 m/s – D01</t>
  </si>
  <si>
    <t xml:space="preserve">4 SİNYALİZASYON VE ARAÇ TAKİP (AVLS) – Sıra 228–235</t>
  </si>
  <si>
    <t xml:space="preserve">3001</t>
  </si>
  <si>
    <t xml:space="preserve">Tasarım paketi: simülasyon, mimari/kilitleme tabloları, uygulama ve kablo projeleri, RAMS/Safety Case (SIL3/SIL2), ISA, test prosedürleri, KET izin dosyası</t>
  </si>
  <si>
    <t xml:space="preserve">REF-teyit – Eminönü T5 Elektroline 2016 mühendislik/dok./PY 207.246 (tek tramvay emsali, benzer ölçek) teyit; Kocaeli keşif 975k yazılım dahil kıyas dışı [Emsal ID: R06504]</t>
  </si>
  <si>
    <t xml:space="preserve">İdare: sıra 228 yalnız tasarım; ekipman 229–232'den</t>
  </si>
  <si>
    <t xml:space="preserve">3001.A</t>
  </si>
  <si>
    <t xml:space="preserve">Elektrikli makas motoru (IP67, iç kilitli, uç konum dedektörlü) – ana hat</t>
  </si>
  <si>
    <t xml:space="preserve">REF-derin – Tramvay makas motoru: İzmir H&amp;K HW61 2014 19.316, CONTEC CSV24 17.785, Elektroline TSH102 2016 15.255 → medyan 17.785 (tedarik) +%8 montaj = 19.208 (Konya H&amp;K 2013 18.484) [Emsal ID: R06520;R06546;R06477;R06599]</t>
  </si>
  <si>
    <t xml:space="preserve">İdare soru 3: ana hattaki tüm makaslar motorlu (+4, C4 kruvazmanı) | İlk tahmin BF 17,785.00</t>
  </si>
  <si>
    <t xml:space="preserve">Makas motoru tahrik/dedeksiyon çubukları + dil kilidi seti</t>
  </si>
  <si>
    <t xml:space="preserve">REF-teyit – İzmir metro Bombardier bars 2.969 (tek ref). DİKKAT: H&amp;K/CONTEC/Elektroline tramvay motor fiyatlarında bağlantı çubuğu+zemin kutusu+dil dedeksiyonu dahil → mükerrer olabilir, teyit [Emsal ID: R06576]</t>
  </si>
  <si>
    <t xml:space="preserve">Motor adedine bağlı</t>
  </si>
  <si>
    <t xml:space="preserve">Manuel makas hareket mekanizması (ana hat)</t>
  </si>
  <si>
    <t xml:space="preserve">REF-teyit – R06480 Eminönü Tram/Elektroline 2016 4940.38; R06522 İzmir Konak Tram/Hanning 2014 5055.29; R06547 İzmir Konak Tram/CONTEC 2014 4850.49 | medyan 4940.38 (manuel makas mekanizması, tramvay ≥2014) = 4940.38 € | sapma -9.9% ≤%10 → mevcut REF teyit [Emsal ID: R06480;R06522;R06547]</t>
  </si>
  <si>
    <t xml:space="preserve">İdare soru 3: manuel makas yok</t>
  </si>
  <si>
    <t xml:space="preserve">Manuel makas konum izleme kutusu (IO/RTU)</t>
  </si>
  <si>
    <t xml:space="preserve">Manuel makas kalmadı</t>
  </si>
  <si>
    <t xml:space="preserve">Lokal kontrol ve kumanda kabini SKP (SIL3, GRP IP54)</t>
  </si>
  <si>
    <t xml:space="preserve">REF-derin – SKP: CONTEC TCS300 37.832, H&amp;K Konya tek makas 52.370, Elektroline TSIG tipik 87.605, H&amp;K HN-SA (saha ekipmanı dahil) 93.712 → medyan 69.988; mevcut 88.734 + ayrı saha kalemleri ile makas bölgesi başı ~170k ≫ CONTEC bölge toplamı 136.975 (4 motor dahil) – YÜKSEK [Emsal ID: R06540;R06603;R06486;R06526]</t>
  </si>
  <si>
    <t xml:space="preserve">C4 kruvazmanı motorlu olduğundan ilave kontrol birimi (temkinli kabul) | İlk tahmin BF 88,734.00</t>
  </si>
  <si>
    <t xml:space="preserve">Sorgulayıcı (interrogator) birimi – SKP içi</t>
  </si>
  <si>
    <t xml:space="preserve">REF-derin – Araç algılama/sorgulayıcı: Kocaeli SS-3 6.258, Elektroline TDS 2016 6.946 → medyan 6.602 [Emsal ID: R06589;R06499]</t>
  </si>
  <si>
    <t xml:space="preserve">SKP ile birlikte +1 | İlk tahmin BF 6,000.00</t>
  </si>
  <si>
    <t xml:space="preserve">Alıcı endüktif lup (güzergah talep) – makas bölgeleri</t>
  </si>
  <si>
    <t xml:space="preserve">REF-derin – Lup/anten: CONTEC V-COM lup seti (kablo+boru+kutu dahil) 1.506, Elektroline VETRA kavşak seti 4.123/2=2.061 → medyan 1.784 +%8 montaj = 1.927; mevcut 2.814 Thales makas kolu ref'ine dayanıyor (yanlış eşleşme). Satır 34 lup kablosu ile mükerrer riski [Emsal ID: R06544;R06500]</t>
  </si>
  <si>
    <t xml:space="preserve">İlk tahmin BF 2,814.00</t>
  </si>
  <si>
    <t xml:space="preserve">Ray devresi / kütle dedektörü (makas kilitleme, bölge meşgul)</t>
  </si>
  <si>
    <t xml:space="preserve">REF-derin(1) – Tek gerçek tramvay teklifi CONTEC ray devresi seti 3.085+kütle lupu 163 +%8 montaj=3.508; Kocaeli SS-10 8.143 keşif (iç tahmin) → mevcut 5.614 ile ort. 4.561 [Emsal ID: R06541;R06542;R06596]</t>
  </si>
  <si>
    <t xml:space="preserve">İlk tahmin BF 5,614.00</t>
  </si>
  <si>
    <t xml:space="preserve">Ana hat makas sinyal lambası 3 ışıklı LED + talep alındı lambası</t>
  </si>
  <si>
    <t xml:space="preserve">REF-derin(1) – CONTEC LED 3 gövde sinyal 1.915 + talep alındı lambası ~400 +%8 = 2.501; Kocaeli SS-5 8.430 keşif → mevcut 5.173 ile ort. 3.837 (mevcut YÜKSEK) [Emsal ID: R06543;R06591]</t>
  </si>
  <si>
    <t xml:space="preserve">İlk tahmin BF 5,173.00</t>
  </si>
  <si>
    <t xml:space="preserve">Sinyal lamba direği – makas bölgeleri</t>
  </si>
  <si>
    <t xml:space="preserve">Lokal talep anahtarı – makas bölgeleri</t>
  </si>
  <si>
    <t xml:space="preserve">TAHMIN (emsal yok) – CONTEC manuel talep paneli 1.321 daha kapsamlı; tek anahtar 800 makul</t>
  </si>
  <si>
    <t xml:space="preserve">Karayolu kavşağı sinyalizasyon kontrol kabini TSP (tramvay öncelik)</t>
  </si>
  <si>
    <t xml:space="preserve">REF-teyit – Kavşak kabini: CONTEC 8.627, Elektroline TDS 6.946, H&amp;K HCS-R (4 lup+kablo dahil) 22.787 → medyan 8.627 teyit [Emsal ID: R06552;R06499;R06525]</t>
  </si>
  <si>
    <t xml:space="preserve">Tramvay tarafı; kapsamda kalır</t>
  </si>
  <si>
    <t xml:space="preserve">Alıcı endüktif lup (ON/OFF öncelik talep) – kavşaklar</t>
  </si>
  <si>
    <t xml:space="preserve">Tramvay sinyal lambası 2 ışıklı LED – kavşaklar</t>
  </si>
  <si>
    <t xml:space="preserve">REF-derin(1) – CONTEC LED sinyal (3 gövde) 1.915+%8=2.069; Kocaeli SS-4 7.268 keşif aykırı → mevcut 3.600 ile ort. 2.834 [Emsal ID: R06543;R06590]</t>
  </si>
  <si>
    <t xml:space="preserve">İlk tahmin BF 3,600.00</t>
  </si>
  <si>
    <t xml:space="preserve">Tramvay sinyal direği – kavşaklar</t>
  </si>
  <si>
    <t xml:space="preserve">Lokal kumanda anahtarı – kavşaklar</t>
  </si>
  <si>
    <t xml:space="preserve">Yaya geçidi tramvay uyarı seti (flaşör + levha)</t>
  </si>
  <si>
    <t xml:space="preserve">Yaya geçidi uyarı kontrol kutusu + aktivasyon lupu</t>
  </si>
  <si>
    <t xml:space="preserve">TSKP karayolu kavşak kontrol cihazı</t>
  </si>
  <si>
    <t xml:space="preserve">İdare soru 1: TSKP kapsam dışı</t>
  </si>
  <si>
    <t xml:space="preserve">Karayolu trafik lambası 300'lük başüstü</t>
  </si>
  <si>
    <t xml:space="preserve">İdare soru 1: kapsam dışı</t>
  </si>
  <si>
    <t xml:space="preserve">Karayolu trafik lambası 200'lük direk tipi</t>
  </si>
  <si>
    <t xml:space="preserve">Yaya lambası + yaya butonu</t>
  </si>
  <si>
    <t xml:space="preserve">Trafik lambası direği 3,5 m / 6 m konsollu</t>
  </si>
  <si>
    <t xml:space="preserve">Karayolu trafik sinyal kabloları (TSKP–lambalar)</t>
  </si>
  <si>
    <t xml:space="preserve">Karayolu sinyal kablo borusu HDPE Ø63</t>
  </si>
  <si>
    <t xml:space="preserve">Lup besleme kablosu 2x2x1,0 ekranlı</t>
  </si>
  <si>
    <t xml:space="preserve">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</si>
  <si>
    <t xml:space="preserve">Hat boyu 6,44/6,56 | İlk tahmin BF 4.00</t>
  </si>
  <si>
    <t xml:space="preserve">Lup kablosu (hat yatağı içi iletken + koruma kanalı)</t>
  </si>
  <si>
    <t xml:space="preserve">TAHMIN (emsal yok) – Emsal yok. DİKKAT: CONTEC lup seti fiyatında lup kablosu+koruma borusu dahil → mükerrer olabilir</t>
  </si>
  <si>
    <t xml:space="preserve">Ray devresi / dedektör kablosu 2x2x1,0</t>
  </si>
  <si>
    <t xml:space="preserve">Hat boyu oranı | İlk tahmin BF 4.00</t>
  </si>
  <si>
    <t xml:space="preserve">Makas motoru güç+kumanda kablosu 12x2,5</t>
  </si>
  <si>
    <t xml:space="preserve">+4 motor oranında</t>
  </si>
  <si>
    <t xml:space="preserve">Sinyal lambası kablosu 12x1,5</t>
  </si>
  <si>
    <t xml:space="preserve">TAHMIN (emsal yok) – çok damarlı sinyal kablosu (x1,5) için emsal yok; mevcut tahmin korundu</t>
  </si>
  <si>
    <t xml:space="preserve">Lokal kumanda anahtarı kablosu 7x1,5</t>
  </si>
  <si>
    <t xml:space="preserve">TSP/SKP–TSKP arayüz kablosu 19x1,5</t>
  </si>
  <si>
    <t xml:space="preserve">İdare: irtibat kablolaması kapsamda</t>
  </si>
  <si>
    <t xml:space="preserve">Manuel makas konum kontağı kablosu 7x1,5</t>
  </si>
  <si>
    <t xml:space="preserve">Manuel makas yok</t>
  </si>
  <si>
    <t xml:space="preserve">Yaya geçidi flaş lamba kablosu 3x1,5</t>
  </si>
  <si>
    <t xml:space="preserve">REF-derin(1) – R01698 İzmir Narlıdere Metro/Uskom 2018 1.96 (N2XH 3x1,5) | tek emsal 1.96 ile mevcut 2.50 ortalaması [Emsal ID: R01698]</t>
  </si>
  <si>
    <t xml:space="preserve">Kabin besleme kablosu NYY 3x6 (TM UPS panosundan)</t>
  </si>
  <si>
    <t xml:space="preserve">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</si>
  <si>
    <t xml:space="preserve">İlk tahmin BF 4.50</t>
  </si>
  <si>
    <t xml:space="preserve">Kablo koruma borusu HDPE Ø50</t>
  </si>
  <si>
    <t xml:space="preserve">TAHMIN (emsal yok) – HDPE kablo koruma borusu emsalleri (R04035,R05059,R05179) çap belirtmiyor; tahmin korundu</t>
  </si>
  <si>
    <t xml:space="preserve">Kablo koruma borusu HDPE Ø110 (hat/yol altı)</t>
  </si>
  <si>
    <t xml:space="preserve">Kabin ve sinyal direği temelleri</t>
  </si>
  <si>
    <t xml:space="preserve">Test, devreye alma, entegre test, 15 gün test işletmesi – hat boyu</t>
  </si>
  <si>
    <t xml:space="preserve">REF-teyit – Tramvay devreye alma: H&amp;K Konak 41.046, Karşıyaka 40.291, Elektroline T5 59.376 → medyan 41.046; teyit [Emsal ID: R06529;R06530;R06505]</t>
  </si>
  <si>
    <t xml:space="preserve">3001.B</t>
  </si>
  <si>
    <t xml:space="preserve">Elektrikli makas motoru – depo (IP67, el kranklı, uç konum dedektörlü)</t>
  </si>
  <si>
    <t xml:space="preserve">REF-derin – Depo makas motoru: H&amp;K HWE 14.713, CONTEC 15.090, Elektroline TSH070 9.121 → medyan 14.713 +%8 montaj = 15.890; mevcut 12.000 gerçek tekliflerin altında – DÜŞÜK [Emsal ID: R06521;R06561;R06478;R06594]</t>
  </si>
  <si>
    <t xml:space="preserve">İdare soru 4: depo makaslarının tamamı motorlu (+20) | İlk tahmin BF 12,000.00</t>
  </si>
  <si>
    <t xml:space="preserve">Makas motoru tahrik/dedeksiyon çubuk seti + dil kilidi – depo</t>
  </si>
  <si>
    <t xml:space="preserve">REF-teyit – Satır 9 ile aynı; mükerrer riski (motor fiyatlarında çubuk seti dahil) teyit edilmeli [Emsal ID: R06576]</t>
  </si>
  <si>
    <t xml:space="preserve">Manuel makas hareket mekanizması – depo</t>
  </si>
  <si>
    <t xml:space="preserve">REF-derin – R06480 Eminönü Tram/Elektroline 2016 4940.38; R06522 İzmir Konak Tram/Hanning 2014 5055.29; R06547 İzmir Konak Tram/CONTEC 2014 4850.49 | medyan 4940.38 (manuel makas mekanizması, tramvay ≥2014) = 4940.38 € | mevcut REF 5541.00 (-10.8%) düzeltildi [Emsal ID: R06480;R06522;R06547]</t>
  </si>
  <si>
    <t xml:space="preserve">İdare soru 4: manuel yok | İlk tahmin BF 5,541.00</t>
  </si>
  <si>
    <t xml:space="preserve">Depo sinyalizasyon kontrol ünitesi SKP (SIL2) + IO</t>
  </si>
  <si>
    <t xml:space="preserve">REF-derin(1) – CONTEC TCS300 depo 16 makas 115.167 → 40 makas (^0,6) 199.568/2 SKP = 99.784; mevcut 80.000 ile ort. 89.900 [Emsal ID: R06556;R06527]</t>
  </si>
  <si>
    <t xml:space="preserve">40 motor için I/O kapasitesi artırıldı | İlk tahmin BF 80,000.00</t>
  </si>
  <si>
    <t xml:space="preserve">Depo manuel güzergah talep paneli MSP</t>
  </si>
  <si>
    <t xml:space="preserve">REF-teyit – CONTEC depo talep paneli 1.184/2.025 → medyan 1.604 teyit [Emsal ID: R06559;R06560]</t>
  </si>
  <si>
    <t xml:space="preserve">Depo sinyal lambası (makas pozisyon/kilit) + direği</t>
  </si>
  <si>
    <t xml:space="preserve">REF-derin(1) – CONTEC PPI 874+%8 + direk ~500 = 1.444; mevcut ile ort. 1.472 [Emsal ID: R06558]</t>
  </si>
  <si>
    <t xml:space="preserve">Her motorlu makasa 1 | İlk tahmin BF 1,500.00</t>
  </si>
  <si>
    <t xml:space="preserve">Ray devresi / kütle dedektörü – depo</t>
  </si>
  <si>
    <t xml:space="preserve">REF-derin(1) – Düzeltme: CONTEC ray devresi 3.085 malzeme fiyatıydı; + kütle lupu 163 + %8 montaj = 3.508 [Emsal ID: R06541;R06542]</t>
  </si>
  <si>
    <t xml:space="preserve">Her motorlu makas için kilitleme algılaması | İlk tahmin BF 3,085.00</t>
  </si>
  <si>
    <t xml:space="preserve">Makas motoru güç+kumanda kablosu 12x2,5 – depo</t>
  </si>
  <si>
    <t xml:space="preserve">Motor sayısı ×2</t>
  </si>
  <si>
    <t xml:space="preserve">Manuel makas konum kontağı kablosu 7x1,5 – depo</t>
  </si>
  <si>
    <t xml:space="preserve">Depo sinyal lambası kablosu 12x1,5</t>
  </si>
  <si>
    <t xml:space="preserve">Lamba sayısı ×2</t>
  </si>
  <si>
    <t xml:space="preserve">Ray devresi / dedektör kablosu 2x2x1,0 – depo</t>
  </si>
  <si>
    <t xml:space="preserve">Dedektör 24→40 | İlk tahmin BF 4.00</t>
  </si>
  <si>
    <t xml:space="preserve">MSP panel kablosu 24x1,5</t>
  </si>
  <si>
    <t xml:space="preserve">SKP besleme kablosu NYY 3x6</t>
  </si>
  <si>
    <t xml:space="preserve">SKP–TCC veri bağlantısı 6 core MM FO</t>
  </si>
  <si>
    <t xml:space="preserve">REF-derin – R01621 İzmir Narlıdere Metro/Uskom 2018 2.75; R02742 Kabataş-Mahmutbey Metro/Uskom 2015 3.13; R02802 Kocaeli KentMey.Tram/Türk 2014 1344.34→2.02×0.0015 | medyan 2.75 (az lifli FO kablo; R02802 malzeme km→m +%50 montaj) = 2.75 € [Emsal ID: R01621;R02742;R02802]</t>
  </si>
  <si>
    <t xml:space="preserve">İlk tahmin BF 3.50</t>
  </si>
  <si>
    <t xml:space="preserve">Kablo koruma borusu HDPE Ø110 – depo ana güzergah</t>
  </si>
  <si>
    <t xml:space="preserve">Kablo koruma borusu HDPE Ø50 – depo</t>
  </si>
  <si>
    <t xml:space="preserve">Cihaz sayısı artışı</t>
  </si>
  <si>
    <t xml:space="preserve">Kabin / sinyal direği / MSP temelleri</t>
  </si>
  <si>
    <t xml:space="preserve">+20 lamba direği</t>
  </si>
  <si>
    <t xml:space="preserve">Depo güzergah/kilitleme yazılımı (15+ güzergah), test ve devreye alma</t>
  </si>
  <si>
    <t xml:space="preserve">REF-teyit – Elektroline EYAS HW+SW temel konfig. 2016 70.169 (tek emsal) teyit [Emsal ID: R06503]</t>
  </si>
  <si>
    <t xml:space="preserve">3001.C</t>
  </si>
  <si>
    <t xml:space="preserve">Araç sinyalizasyon işletim paneli – her kabine 1</t>
  </si>
  <si>
    <t xml:space="preserve">REF-derin – Araç üstü set kabin başı: Elektroline VETRA 4.936/araç, H&amp;K Konya 9.255/araç, H&amp;K İzmir 5.047/kabin → medyan 4.628/kabin; mevcut 67–70 kalemleri kabin başı 7.750 → ×0,6 [Emsal ID: R06481;R06606;R06531]</t>
  </si>
  <si>
    <t xml:space="preserve">İdare soru 2: 14 araç | İlk tahmin BF 1,500.00</t>
  </si>
  <si>
    <t xml:space="preserve">Araç alıcı-verici (transponder) + alt şasi anteni – her uca 1</t>
  </si>
  <si>
    <t xml:space="preserve">14 araç | İlk tahmin BF 2,500.00</t>
  </si>
  <si>
    <t xml:space="preserve">Araç üstü sinyalizasyon kontrol/kodlayıcı birimi (EN 50155)</t>
  </si>
  <si>
    <t xml:space="preserve">14 araç | İlk tahmin BF 6,000.00</t>
  </si>
  <si>
    <t xml:space="preserve">Anten kabloları, araç içi kablaj ve montaj aparatları</t>
  </si>
  <si>
    <t xml:space="preserve">14 araç | İlk tahmin BF 1,500.00</t>
  </si>
  <si>
    <t xml:space="preserve">Araç arayüzü (hız/odometri, kabin aktif, kapı, TCMS/AVLS)</t>
  </si>
  <si>
    <t xml:space="preserve">14 araç</t>
  </si>
  <si>
    <t xml:space="preserve">Araç tipi entegrasyon mühendisliği + ilk araç tip testi</t>
  </si>
  <si>
    <t xml:space="preserve">Araç ayrı ihale; arayüz yüklenicide</t>
  </si>
  <si>
    <t xml:space="preserve">Araç başına montaj + statik/dinamik test</t>
  </si>
  <si>
    <t xml:space="preserve">REF-derin – Araç başı montaj+test: H&amp;K Konya montaj 2.947+devreye alma 1.875=4.822; Elektroline T1 entegrasyon 58.937/50=1.179 → medyan 3.000 [Emsal ID: R06607;R06608;R06482]</t>
  </si>
  <si>
    <t xml:space="preserve">14 araç | İlk tahmin BF 2,411.00</t>
  </si>
  <si>
    <t xml:space="preserve">3001.D</t>
  </si>
  <si>
    <t xml:space="preserve">Sinyalizasyon ana işlemcisi (sunucu) – sıcak yedekli</t>
  </si>
  <si>
    <t xml:space="preserve">REF-teyit – CTC sunucu Dimetronic 11.925/9.160, Başkentray 15.674 → medyan teyit (refler 2010–12; 2026 endüstriyel sunucu ~8–10k, hafif yüksek olabilir) [Emsal ID: R06610;R06745;R06407]</t>
  </si>
  <si>
    <t xml:space="preserve">Sunucu konsolu KVM + 21" LCD</t>
  </si>
  <si>
    <t xml:space="preserve">19" sinyalizasyon cihaz dolabı + PDU</t>
  </si>
  <si>
    <t xml:space="preserve">Ana hat sinyalizasyon operatör iş istasyonu (2 monitör)</t>
  </si>
  <si>
    <t xml:space="preserve">Depo sinyalizasyon operatör iş istasyonu</t>
  </si>
  <si>
    <t xml:space="preserve">Sinyalizasyon LAN anahtarı (yedekli) + patch + çevirici</t>
  </si>
  <si>
    <t xml:space="preserve">Sinyalizasyon özel yazılımı + lisanslar (ana uygulama, sinoptik, protokoller)</t>
  </si>
  <si>
    <t xml:space="preserve">REF-derin(1) – İzmir tram H&amp;K AVLS/işletme-izleme sistemi (hat başı) 136.568; mevcut 150.000 ile ort. 143.284 [Emsal ID: R06532]</t>
  </si>
  <si>
    <t xml:space="preserve">Tramvay referansı yok (metro CBTC ref. 2,7–12 M€ kullanılmadı) | İlk tahmin BF 150,000.00</t>
  </si>
  <si>
    <t xml:space="preserve">Araç ve sinyalizasyon simülatör yazılımı + PC</t>
  </si>
  <si>
    <t xml:space="preserve">Arayüzler: AVLS, SCADA, NTP, YBS</t>
  </si>
  <si>
    <t xml:space="preserve">Sistem mühendisliği hizmetleri</t>
  </si>
  <si>
    <t xml:space="preserve">ay</t>
  </si>
  <si>
    <t xml:space="preserve">TAHMIN (emsal yok) – Emsal yok (Elektroline uzman 822 €/gün → 9.000 €/ay ≈ 11 gün); makul</t>
  </si>
  <si>
    <t xml:space="preserve">Eğitim (10 kursiyer, 2 hafta) + dokümanlar</t>
  </si>
  <si>
    <t xml:space="preserve">REF-derin – 2 hafta eğitim: H&amp;K 1 hafta 8.569×2=17.138; Elektroline 3 gün 8.254→10 gün 27.514 → medyan 22.300 (mevcut 15.000 düşük) [Emsal ID: R06536;R06506]</t>
  </si>
  <si>
    <t xml:space="preserve">Bakım/arıza bulma yazılımı + dizüstü teşhis bilgisayarı</t>
  </si>
  <si>
    <t xml:space="preserve">Mevcut depo kontrol merkezi entegrasyonu – uyarlama ve lisans</t>
  </si>
  <si>
    <t xml:space="preserve">İdare soru 17: mevcut sistem yok</t>
  </si>
  <si>
    <t xml:space="preserve">3002</t>
  </si>
  <si>
    <t xml:space="preserve">AVLS araç üstü + saha (araç bilgisayarı, anten, 2 sürücü HMI, araç arayüzü, SIM, depo AP, lup aktarımı, kurulum/test) – araç başı</t>
  </si>
  <si>
    <t xml:space="preserve">araç</t>
  </si>
  <si>
    <t xml:space="preserve">TEKLİF (Mukan Rail, bütçesel 06.10.2026: 15 × 21.300)</t>
  </si>
  <si>
    <t xml:space="preserve">İdare soru 2: 14 araç</t>
  </si>
  <si>
    <t xml:space="preserve">3003</t>
  </si>
  <si>
    <t xml:space="preserve">AVLS merkez: yedekli sunucu, NAS, operatör PC, duvar monitörü, router/firewall, LAN, merkezi yazılım + lisans (172.500), belediye AVLS arayüzü, kurulum/test/eğitim</t>
  </si>
  <si>
    <t xml:space="preserve">TEKLİF (Mukan Rail)</t>
  </si>
  <si>
    <t xml:space="preserve">Ref. H&amp;K İzmir 136.568; 19" kabin/UPS/omurga hariç</t>
  </si>
  <si>
    <t xml:space="preserve">3004</t>
  </si>
  <si>
    <t xml:space="preserve">AVLS tasarımı: mimari, konumlandırma, merkez ekranları, siber güvenlik, uygulama projeleri</t>
  </si>
  <si>
    <t xml:space="preserve">5 ELEKTRİFİKASYON (A) – GÜÇ TEMİNİ / CER GÜCÜ / ENERJİ TEMİNİ (5 TM, OG ring, TEİAŞ bağlantısı)</t>
  </si>
  <si>
    <t xml:space="preserve">2001</t>
  </si>
  <si>
    <t xml:space="preserve">Uygulama projeleri (OG ring, TEİAŞ bağlantısı, 5 TM), cer gücü simülasyonu, kısa devre/selektivite, topraklama ve kaçak akım (EN 50122), kompanzasyon raporları, as-built</t>
  </si>
  <si>
    <t xml:space="preserve">REF-teyit – Bakırköy metro 2014 tasarım 133.738, ABB İzmir müh. 195.498, Siemens metro 512–620k (kapsam büyük) → 150.000 makul (tramvay, 5 TM) [Emsal ID: R00508;R00843;R01098;R00573]</t>
  </si>
  <si>
    <t xml:space="preserve">DEDAŞ/TEİAŞ bağlantı projesi onayı ve kurum masrafları</t>
  </si>
  <si>
    <t xml:space="preserve">2002.A</t>
  </si>
  <si>
    <t xml:space="preserve">YAXC7V-R (NA2XSY) 1×240/25 Al XLPE LSHF tek damar kablo – çekme dahil</t>
  </si>
  <si>
    <t xml:space="preserve">REF-derin – Bursa T2 Haluk Al 1×150 10,89/1×400 17,29 €/m → 1×240 13,19; MET → 13,92; Prysmian 2021 1×400 Al 14,90 mlz×0,70+2 çekme=12,43 → medyan 13,19 (mevcut 11 hafif düşük) [Emsal ID: R00865;R00866;R00944;R00945;R00678]</t>
  </si>
  <si>
    <t xml:space="preserve">İdare soru 21: güzergah 7.964 m | İlk tahmin BF 11.00</t>
  </si>
  <si>
    <t xml:space="preserve">36 kV 1×240 kablo başlığı</t>
  </si>
  <si>
    <t xml:space="preserve">REF-derin(1) – TE RSTI 36 kV başlık 2016 418 mlz +%15 montaj=480; mevcut 450 ile ort. → 465 [Emsal ID: R00539]</t>
  </si>
  <si>
    <t xml:space="preserve">36 kV 1×240 ek mufu</t>
  </si>
  <si>
    <t xml:space="preserve">REF-derin(1) – TE SMOE OG ek mufu 2016 272 mlz +%25 montaj=340; mevcut 400 ile ort. → 370 [Emsal ID: R00542]</t>
  </si>
  <si>
    <t xml:space="preserve">Güzergah oranında | İlk tahmin BF 400.00</t>
  </si>
  <si>
    <t xml:space="preserve">Trefoil kelepçe / kanal içi askı</t>
  </si>
  <si>
    <t xml:space="preserve">TAHMIN (emsal yok) – Emsal yok. DİKKAT: her damar ayrı Ø160 HDPE boruda (satır 21) ise trefoil kelepçe mükerrer olabilir – teyit</t>
  </si>
  <si>
    <t xml:space="preserve">Güzergah oranında</t>
  </si>
  <si>
    <t xml:space="preserve">Yangın durdurucu (TM geçişleri)</t>
  </si>
  <si>
    <t xml:space="preserve">Kablo etiket / güzergah markörü</t>
  </si>
  <si>
    <t xml:space="preserve">OG kablo saha testleri (VLF, kılıf)</t>
  </si>
  <si>
    <t xml:space="preserve">2002.B</t>
  </si>
  <si>
    <t xml:space="preserve">YAXC7V-R 1×400/35 Al XLPE zırhlı LSHF – çekme dahil</t>
  </si>
  <si>
    <t xml:space="preserve">REF-derin – Bursa T2 Haluk Al 1×400 17,29, MET 19,14, Prysmian 2021 14,90+2 çekme → medyan 17,29 €/m (mevcut 16 hafif düşük) [Emsal ID: R00866;R00945;R00678]</t>
  </si>
  <si>
    <t xml:space="preserve">İdare: 8.856 m × 4 kablo – uyumlu | İlk tahmin BF 16.00</t>
  </si>
  <si>
    <t xml:space="preserve">36 kV 1×400 kablo başlığı</t>
  </si>
  <si>
    <t xml:space="preserve">REF-derin(1) – TE RSTI-CC 800A başlık 2016 557 +%15 montaj=640; mevcut 600 ile ort. → 620 [Emsal ID: R00541]</t>
  </si>
  <si>
    <t xml:space="preserve">36 kV 1×400 ek mufu</t>
  </si>
  <si>
    <t xml:space="preserve">REF-derin(1) – TE SMOE OG mufu 272 +%25 montaj, 400 mm² için +%20 = 408; mevcut 550 ile ort. → 479 [Emsal ID: R00542]</t>
  </si>
  <si>
    <t xml:space="preserve">Kablo kanalı kazısı 0,80×1,40 m</t>
  </si>
  <si>
    <t xml:space="preserve">TAHMIN (emsal yok) – Emsal yok; 2026 şehir içi makine+el kazısı 8 €/m³ makul</t>
  </si>
  <si>
    <t xml:space="preserve">HDPE/koruge boru Ø160 (her damar ayrı)</t>
  </si>
  <si>
    <t xml:space="preserve">TAHMIN (emsal yok) – Doğrudan emsal yok (drenaj koruge Ø150 9–13 €/m farklı sınıf); 2026 kablo koruge Ø160 ~3 € mlz+döşeme → 6 €/m makul</t>
  </si>
  <si>
    <t xml:space="preserve">Yol geçişleri yedek boş boru Ø160</t>
  </si>
  <si>
    <t xml:space="preserve">Dolgu kumu</t>
  </si>
  <si>
    <t xml:space="preserve">TAHMIN (emsal yok) – Emsal yok; 2026 dolgu kumu 13–18 €/m³ aralığında, makul</t>
  </si>
  <si>
    <t xml:space="preserve">Harman tuğlası</t>
  </si>
  <si>
    <t xml:space="preserve">Plastik ikaz bandı</t>
  </si>
  <si>
    <t xml:space="preserve">C14 koruma betonu</t>
  </si>
  <si>
    <t xml:space="preserve">TAHMIN (emsal yok) – Emsal yok; 2026 hazır beton C16 ~65–75 €/m³, makul</t>
  </si>
  <si>
    <t xml:space="preserve">Yol/kaldırım kaplamasının eski haline getirilmesi</t>
  </si>
  <si>
    <t xml:space="preserve">Kazı fazlası nakli</t>
  </si>
  <si>
    <t xml:space="preserve">Güzergah işaret taşı</t>
  </si>
  <si>
    <t xml:space="preserve">OG kablo saha testleri</t>
  </si>
  <si>
    <t xml:space="preserve">2003</t>
  </si>
  <si>
    <t xml:space="preserve">AG tristörlü kompanzasyon kademesi 50 kVAr 690 V</t>
  </si>
  <si>
    <t xml:space="preserve">REF-derin – Bursa T2 kondansatör Haluk 18,73, MET 23,79 €/kVAr → medyan 21,26×50×1,5 (tristör+reaktör) ≈ 1.600 (IGBT 187 €/kVAr üst sınır) [Emsal ID: R00874;R00951;R00886]</t>
  </si>
  <si>
    <t xml:space="preserve">AG tristörlü kompanzasyon kademesi 25 kVAr 690 V</t>
  </si>
  <si>
    <t xml:space="preserve">REF-derin – Aynı medyan 21,26 €/kVAr×25×1,5 + sabit pay ≈ 900 (mevcut 1.000 hafif yüksek) [Emsal ID: R00874;R00951]</t>
  </si>
  <si>
    <t xml:space="preserve">İlk tahmin BF 1,000.00</t>
  </si>
  <si>
    <t xml:space="preserve">Kompanzasyon panosu (röle, Modbus, fan) – her TM 1</t>
  </si>
  <si>
    <t xml:space="preserve">TAHMIN (emsal yok) – Doğrudan emsal yok (TEDAK metro ERP 27.567 komple pano, kıyas dışı); kademeler ayrı fiyatlı → 6.000 makul</t>
  </si>
  <si>
    <t xml:space="preserve">MCCB 3×250 A + besleme kablosu 3×70</t>
  </si>
  <si>
    <t xml:space="preserve">10 MCCB + 143 m kablo</t>
  </si>
  <si>
    <t xml:space="preserve">OG şönt reaktör sistemi (TM-4 çıkışı)</t>
  </si>
  <si>
    <t xml:space="preserve">TAHMIN (emsal yok) – Emsal yok (yalnız AG şönt reaktör panoları var, Siemens 100 kVAr 11.868); OG reaktör teklifle teyit edilmeli</t>
  </si>
  <si>
    <t xml:space="preserve">36 kV 630 A kesicili kompanzasyon fider hücresi</t>
  </si>
  <si>
    <t xml:space="preserve">REF-derin – 630 A kesicili fider hücresi: Aktif 2021 21.379/22.329, Schneider 13.634/14.356, ABB İzmir 22.417/22.287 → medyan 21.833 +%8 montaj/test = 23.579 (mevcut 28.000 yüksek) [Emsal ID: R00761;R00762;R00730;R00731;R00560;R00561]</t>
  </si>
  <si>
    <t xml:space="preserve">İlk tahmin BF 28,000.00</t>
  </si>
  <si>
    <t xml:space="preserve">34,5/0,4 kV 630 kVA kuru tip kompanzasyon trafosu</t>
  </si>
  <si>
    <t xml:space="preserve">REF-derin – Tramvay 630 kVA kuru: İzmir tram Aktif 2014 22.231, Bursa T2 Haluk 15.935, MET 19.117 → medyan 19.117 (ABB 2011 25.502) [Emsal ID: R00546;R00888;R00962;R01115]</t>
  </si>
  <si>
    <t xml:space="preserve">Enerji kalite kaydedicisi Class A</t>
  </si>
  <si>
    <t xml:space="preserve">AG enerji analizörü + Modbus ağ geçidi</t>
  </si>
  <si>
    <t xml:space="preserve">6 analizör + 11 gateway</t>
  </si>
  <si>
    <t xml:space="preserve">Enerji yönetim yazılımı (ISO 50001) + TCC operatör</t>
  </si>
  <si>
    <t xml:space="preserve">Haberleşme kabloları, harmonik ölçümleri, devreye alma, DEDAŞ raporu</t>
  </si>
  <si>
    <t xml:space="preserve">2004.A</t>
  </si>
  <si>
    <t xml:space="preserve">36 kV 1250 A 25 kA SF6 kesicili hücre + AT + sayısal röle + ölçü + kilitleme + FAT/SAT</t>
  </si>
  <si>
    <t xml:space="preserve">REF-teyit – Ring kesicili hücre: Bursa T2 Haluk 30.518, MET 24.247, Kocaeli 35.207/17.488 (tram medyan 27.382); 2021 Aktif 22.848, ABB 23.502, Schneider 19.001 +%8 montaj → 26.000 teyit [Emsal ID: R00879;R00956;R01043;R01067;R00670;R00696;R00728]</t>
  </si>
  <si>
    <t xml:space="preserve">2004.B</t>
  </si>
  <si>
    <t xml:space="preserve">36 kV kesicili trafo koruma hücresi + röle + analizör + DC kilitleme</t>
  </si>
  <si>
    <t xml:space="preserve">REF-teyit – Trafo koruma hücresi: Haluk 26.130, Kocaeli 34.616, Aktif 2021 19.709/19.279/24.699, ABB 24.000 → medyan 24.349; 24.000 teyit [Emsal ID: R00882;R01044;R00671;R00674;R00697;R00765;R01068]</t>
  </si>
  <si>
    <t xml:space="preserve">OG bağlantı kablosu 3(1×95/16) Al – hücre/cer trafosu</t>
  </si>
  <si>
    <t xml:space="preserve">REF-derin – R00864 Kocaeli KentMey.Tram/Haluk 2015 9.19; R00943 Kocaeli KentMey.Tram/MET 2015 8.52 | 36 kV Al 1x95/16 medyan 8.86 €/m ×3 damar = 26.57 € [Emsal ID: R00864;R00943]</t>
  </si>
  <si>
    <t xml:space="preserve">36 kV 1×95 kablo başlığı (büzüşmeli + geçmeli)</t>
  </si>
  <si>
    <t xml:space="preserve">TAHMIN (emsal yok) – Doğrudan emsal yok (RSTI 800A geçmeli 418 mlz büyük kesit); 1×95 başlık 350 makul</t>
  </si>
  <si>
    <t xml:space="preserve">2004.C</t>
  </si>
  <si>
    <t xml:space="preserve">36 kV kesicili iç ihtiyaç trafo fider hücresi + röle</t>
  </si>
  <si>
    <t xml:space="preserve">REF-teyit – İç ihtiyaç fider hücresi: Aktif 19.709, ABB 24.000, Schneider 14.356, Haluk 26.130, Kocaeli 34.616 → medyan 24.000; 23.000 teyit [Emsal ID: R00671;R00698;R00731;R00882;R01044]</t>
  </si>
  <si>
    <t xml:space="preserve">OG bağlantı kablosu 3(1×95/16) Al</t>
  </si>
  <si>
    <t xml:space="preserve">36 kV 1×95 kablo başlığı</t>
  </si>
  <si>
    <t xml:space="preserve">TAHMIN (emsal yok) – Doğrudan emsal yok; 1×95 başlık 350 makul</t>
  </si>
  <si>
    <t xml:space="preserve">2004.D</t>
  </si>
  <si>
    <t xml:space="preserve">36 kV akım-gerilim ölçü hücresi (TEİAŞ girişli TM)</t>
  </si>
  <si>
    <t xml:space="preserve">REF-derin – Akım-gerilim ölçü hücresi: Haluk 19.254, MET 17.424, Aktif 2021 12.623 → medyan 17.424 (mevcut Haluk maks. alınmış) [Emsal ID: R00880;R00957;R00764]</t>
  </si>
  <si>
    <t xml:space="preserve">İlk tahmin BF 19,254.00</t>
  </si>
  <si>
    <t xml:space="preserve">36 kV bara gerilim ölçü (VT) hücresi</t>
  </si>
  <si>
    <t xml:space="preserve">REF-derin – Bara gerilim ölçü hücresi: Haluk 13.534, MET 11.109, Aktif 10.831, Schneider 11.670, ABB 19.106 → medyan 11.670 [Emsal ID: R00881;R00958;R00672;R00729;R00815]</t>
  </si>
  <si>
    <t xml:space="preserve">İlk tahmin BF 13,534.00</t>
  </si>
  <si>
    <t xml:space="preserve">Elektronik sayaç cl 0,2S + sayaç panosu/modem</t>
  </si>
  <si>
    <t xml:space="preserve">4 sayaç + 2 pano</t>
  </si>
  <si>
    <t xml:space="preserve">2004.E</t>
  </si>
  <si>
    <t xml:space="preserve">36 kV kesicili fider hücresi ilavesi, bara uzatma, kurum izinleri</t>
  </si>
  <si>
    <t xml:space="preserve">REF-derin – Bursa T2 TM 34,5 kV fider ilavesi Haluk 39.293, MET 29.821 → medyan 34.557; '+pay' kaldırıldı (kurum masrafları satır 7'de ayrıca var – mükerrer) [Emsal ID: R00890;R00964]</t>
  </si>
  <si>
    <t xml:space="preserve">2005.A</t>
  </si>
  <si>
    <t xml:space="preserve">34,5/0,4 kV 250 kVA Dyn11 kuru tip trafo Cu/Cu, röle, kaide, test</t>
  </si>
  <si>
    <t xml:space="preserve">REF-derin – 250 kVA kuru: Aktif 2021 +IP23 21.085, Sekaray Cu kabinli 11.816, Kocaeli 32.017 → medyan 21.085 (mevcut 16.000 düşük; yağlı hermetik refler kıyas dışı) [Emsal ID: R00768;R01070;R01052]</t>
  </si>
  <si>
    <t xml:space="preserve">İdare: iç ihtiyaç trafoları Cu/Cu zorunlu | İlk tahmin BF 16,000.00</t>
  </si>
  <si>
    <t xml:space="preserve">2005.B</t>
  </si>
  <si>
    <t xml:space="preserve">34,5/0,4 kV 2000 kVA Dyn11 kuru tip trafo Cu/Cu, fanlı, röle, test</t>
  </si>
  <si>
    <t xml:space="preserve">REF-derin – 2000 kVA kuru Al: Aktif 2021 50.541, ABB 2021 57.201, Schneider 46.153, Siemens 64.024, Mezitli 36.939/36.071 → medyan 48.347 +%10 Cu/Cu = 53.182 (mevcut 42.000 Al reflerin bile altında, DÜŞÜK) [Emsal ID: R00758;R00700;R00825;R00837;R01085;R01091]</t>
  </si>
  <si>
    <t xml:space="preserve">İdare: Cu/Cu zorunlu | İlk tahmin BF 42,000.00</t>
  </si>
  <si>
    <t xml:space="preserve">2006.H</t>
  </si>
  <si>
    <t xml:space="preserve">ADP/1 panosu (MCCB 320 A giriş, analizör, parafudr, istasyon/klima çıkışları) + UDP + montaj/test</t>
  </si>
  <si>
    <t xml:space="preserve">REF-derin – TM ADP: Kocaeli 11.285, Sekaray 12.289, MET 8.993, Haluk 4.353 → medyan 10.139 + UDP (TEDAK UPS pano 7.853×0,5) + %10 montaj ≈ 15.100 (mevcut 24.000 yüksek) [Emsal ID: R00946;R01053;R01071;R00869;R00719]</t>
  </si>
  <si>
    <t xml:space="preserve">İlk tahmin BF 24,000.00</t>
  </si>
  <si>
    <t xml:space="preserve">2007.A</t>
  </si>
  <si>
    <t xml:space="preserve">Cer trafosu 2750 kVA 34,5/0,6-0,6 kV Dy5-Dd0, dökme reçine, EN 50329</t>
  </si>
  <si>
    <t xml:space="preserve">REF-teyit – Cer trafosu kVA^0,6 ile 2750'ye ölçekli: İzmir tram Aktif 2500 70.619, Mezitli 2500 73.694, Aktif 3300 87.828, ABB 3300 83.599, Siemens 1500V→750V 82.754 → medyan 82.754; 85.000 teyit [Emsal ID: R00545;R01083;R00756;R00702;R01093]</t>
  </si>
  <si>
    <t xml:space="preserve">Best Transformer teklifi bekleniyor</t>
  </si>
  <si>
    <t xml:space="preserve">Trafo sıcaklık rölesi + sekonder toprak kaçağı koruması + izole kaide</t>
  </si>
  <si>
    <t xml:space="preserve">Doğrultucu 12 darbeli 2500 kW 750 V DC, Class VI</t>
  </si>
  <si>
    <t xml:space="preserve">REF-teyit – 750 V 12 darbe redresör: ABB İzmir 2017 3 MW 49.610, ABB Buca 2021 37.927, Aktif 2021 45.425 → medyan 45.425 + montaj; 48.000 teyit [Emsal ID: R00565;R00703;R00769;R00876]</t>
  </si>
  <si>
    <t xml:space="preserve">Trafo–doğrultucu AC kabloları 1×300 Cu 1,8/3 kV</t>
  </si>
  <si>
    <t xml:space="preserve">REF-teyit – 1×300 Cu DC/AC kablo: Usluel İzmir tram 1×300 48,50 M+İ; Kocaeli 1×240 1,8/3 kV 30,72, Sekaray 28,36, Prysmian N2XH 1×240 30,32 (×1,25 kesit) → 37–49 €/m; 2026 Cu fiyatı ile 45 teyit [Emsal ID: R04132;R01050;R01075;R00682]</t>
  </si>
  <si>
    <t xml:space="preserve">DC giriş (incoming) hücresi 6300 A</t>
  </si>
  <si>
    <t xml:space="preserve">REF-teyit – DC giriş HSCB: Aktif 2021 36.216/36.824, ABB 40.546/35.440, Kocaeli 23.392 → medyan 36.216; teyit (not: 2,5 MW/750 V için 4000 A yeterli, 6300 A şartı fiyatı artırabilir) [Emsal ID: R00751;R00770;R00566;R00704;R01048]</t>
  </si>
  <si>
    <t xml:space="preserve">DC fider hücresi HSCB 3600 A</t>
  </si>
  <si>
    <t xml:space="preserve">REF-derin – Bursa T2 Haluk 2015 DC fider 44.641, MET 43.769, Kocaeli 74.194 → medyan 44.641 (2021 metro Aktif 37.456, ABB 38.797, by-passlı 42.634); mevcut 36.000 tüm reflerin altında – DÜŞÜK [Emsal ID: R00877;R00954;R01047;R00752;R00705;R00771]</t>
  </si>
  <si>
    <t xml:space="preserve">İlk tahmin BF 36,000.00</t>
  </si>
  <si>
    <t xml:space="preserve">Negatif hücre (negatif bara, şönt, ayırıcı)</t>
  </si>
  <si>
    <t xml:space="preserve">REF-teyit – Negatif hücre (tek grup): Aktif tekli 20.930, Kocaeli 23.392, Aktif çiftli 27.906, ABB 33.751 → medyan 25.649; teyit (Bursa T2 Haluk/MET 42–44k fider fiyatının kopyası, aykırı) [Emsal ID: R00774;R01049;R00773;R00706;R00878]</t>
  </si>
  <si>
    <t xml:space="preserve">Ray–toprak gerilim sınırlayıcı VLD panosu</t>
  </si>
  <si>
    <t xml:space="preserve">REF-teyit – VLD: Bursa T2 Haluk 13.818, MET 32.092, Aktif 20.961/16.824, ABB 28.601, Siemens 20.815/18.869 → medyan 20.815; 20.000 teyit [Emsal ID: R00896;R00967;R00754;R00775;R00708;R00841;R01159]</t>
  </si>
  <si>
    <t xml:space="preserve">Hat ayırıcı panosu (4 fider + 2 by-pass ayırıcı 4000 A)</t>
  </si>
  <si>
    <t xml:space="preserve">REF-derin – 4 fider+2 by-pass (6 ayırıcı) konfig.: ABB İzmir 2017 (4+2) 143.900, ABB Buca 2021 (2+1)×2 69.636, Aktif 2021 ana+by-pass ×3 108.369 → medyan 108.400; mevcut 45.000 DÜŞÜK. Teyit: direk tipi ayırıcılarla (Kat 27) mükerrer olmamalı [Emsal ID: R00755;R00707;R00570]</t>
  </si>
  <si>
    <t xml:space="preserve">DC fider kabloları 1×300 Cu 1,8/3 kV</t>
  </si>
  <si>
    <t xml:space="preserve">Doğrultucu–DC şalt/negatif bağlantısı</t>
  </si>
  <si>
    <t xml:space="preserve">VLD bağlantı kabloları 1×300 + 1×50</t>
  </si>
  <si>
    <t xml:space="preserve">REF-derin(1) – R04132 İzmir Konak Tram/Usluel 2014 48.50→58.50+10.00 (1x300 DC kablo; +10 € 1x50 tahmini) | tek emsal 58.50 ile mevcut 40.00 ortalaması [Emsal ID: R04132]</t>
  </si>
  <si>
    <t xml:space="preserve">DC kablo pabuçları/başlıkları 300 mm²</t>
  </si>
  <si>
    <t xml:space="preserve">TAHMIN (emsal yok) – Doğrudan emsal yok (Samsun DC kablo başlığı 145 farklı kapsam); 300 mm² pabuç+makaron 25 makul</t>
  </si>
  <si>
    <t xml:space="preserve">DC şalt izole kaide + çerçeve kaçak koruması (64)</t>
  </si>
  <si>
    <t xml:space="preserve">OG–DC kilitleme (anahtar transfer) düzenekleri</t>
  </si>
  <si>
    <t xml:space="preserve">Kontrol-koruma, SCADA I/O, 110 V DC kontrol kabloları</t>
  </si>
  <si>
    <t xml:space="preserve">FAT ve saha testleri, devreye alma, kısa devre testi</t>
  </si>
  <si>
    <t xml:space="preserve">TAHMIN (emsal yok) – Doğrudan emsal yok (ABB İzmir müh.+FAT+devreye alma 195.498/5 TM≈39k, tasarım dahil); 25.000/TM makul</t>
  </si>
  <si>
    <t xml:space="preserve">2007.B</t>
  </si>
  <si>
    <t xml:space="preserve">2008.H</t>
  </si>
  <si>
    <t xml:space="preserve">Temel altı ağ 1×120 mm² çıplak Cu</t>
  </si>
  <si>
    <t xml:space="preserve">REF-derin – 120 mm² çıplak/örgülü Cu: Buca 2021 12,56/12,37, Mezitli 10,91 mlz → medyan 12,37 +%40 döşeme/termokaynak = 17,32 [Emsal ID: R00725;R00792;R01107]</t>
  </si>
  <si>
    <t xml:space="preserve">Bakır kazık elektrod Ø20×1,5 m</t>
  </si>
  <si>
    <t xml:space="preserve">REF-derin – Ø20 Cu kazık L=3,5 m: Haluk 153, MET 168, ESCO 120, Desat 151 → medyan 152; L=1,5 m için ×0,55 = 83,50 (mevcut 120 YÜKSEK; 3,5 m ise 152) [Emsal ID: R00916;R00984;R00793;R00533]</t>
  </si>
  <si>
    <t xml:space="preserve">Bina içi şerit, bara, ekipman topraklama iletkenleri, klemensler</t>
  </si>
  <si>
    <t xml:space="preserve">Egzotermik kaynak</t>
  </si>
  <si>
    <t xml:space="preserve">Topraklama/adım-dokunma ölçümleri</t>
  </si>
  <si>
    <t xml:space="preserve">2009.A</t>
  </si>
  <si>
    <t xml:space="preserve">110 V DC 160 Ah VRLA akü + 50 A şarj + DC dağıtım paneli + MCB + izolasyon izleme + test</t>
  </si>
  <si>
    <t xml:space="preserve">REF-teyit – 110 V DC set: İnform 2021 2×şarj+DC pano 19.596 + Ni-Cd 140 Ah 13.023; Kocaeli Ni-Cd 85 Ah+şarj 17.680 + DC pano 2.424; Siemens 2011 50A+185Ah 22.196; MET 33.594 → 20–33k; VRLA (Ni-Cd'den ucuz) için 23.000 teyit [Emsal ID: R00734;R00738;R01055;R01054;R01129;R01130;R00947]</t>
  </si>
  <si>
    <t xml:space="preserve">2009.B</t>
  </si>
  <si>
    <t xml:space="preserve">110 V DC 160 Ah VRLA akü + şarj + dağıtım paneli + test</t>
  </si>
  <si>
    <t xml:space="preserve">REF-teyit – Satır 108 ile aynı set; 23.000 teyit [Emsal ID: R00734;R01055;R00947]</t>
  </si>
  <si>
    <t xml:space="preserve">2010.A-G</t>
  </si>
  <si>
    <t xml:space="preserve">İstasyon bölgesi: test kutuları, referans elektrot, donatı süreklilik, peron metal izolasyonu, ölçümler</t>
  </si>
  <si>
    <t xml:space="preserve">REF-derin – İstasyon kaçak akım: Bursa T2 Haluk 3.929, MET 1.987 → medyan 2.958 +%30 peron metal izolasyonu/ölçüm = 3.850 (mevcut 6.000 ≈2× ref, YÜKSEK; İzmir metro 1.354) [Emsal ID: R00898;R00969;R00624]</t>
  </si>
  <si>
    <t xml:space="preserve">Depo: izole ray eki, DC süreklilik kabloları, VLD arabirimi, test kutuları, ölçümler</t>
  </si>
  <si>
    <t xml:space="preserve">REF-teyit – Depo kaçak akım: Haluk 26.195, MET 22.497 → medyan 24.346 teyit [Emsal ID: R00899;R00970]</t>
  </si>
  <si>
    <t xml:space="preserve">2010.H</t>
  </si>
  <si>
    <t xml:space="preserve">Ray potansiyeli/kaçak akım izleme ünitesi + drenaj panosu</t>
  </si>
  <si>
    <t xml:space="preserve">REF-derin(1) – İzmir tram Siemens SCMS paketi 135.275/12 TPS = 11.273; mevcut 11.000 ile ort. → 11.136 (ABB Buca metro ~24,9k/TM kıyas dışı) [Emsal ID: R00554]</t>
  </si>
  <si>
    <t xml:space="preserve">İlk tahmin BF 11,000.00</t>
  </si>
  <si>
    <t xml:space="preserve">Ölçüm/bağlantı kabloları, test kutuları, referans elektrot, devreye alma</t>
  </si>
  <si>
    <t xml:space="preserve">2010.I</t>
  </si>
  <si>
    <t xml:space="preserve">Cross-bond, hatlar arası bağlantı, test kutuları, referans elektrotlar, merkezi yazılım, EN 50122-2 ölçümleri</t>
  </si>
  <si>
    <t xml:space="preserve">REF-derin – Bursa T2 hat yapıları kaçak akım Haluk 87.318, MET 108.713 → medyan 98.015 (mevcut MET maks. alınmış) [Emsal ID: R00897;R00968;R00504]</t>
  </si>
  <si>
    <t xml:space="preserve">İlk tahmin BF 108,713.00</t>
  </si>
  <si>
    <t xml:space="preserve">2011.I</t>
  </si>
  <si>
    <t xml:space="preserve">AG kabloları (N2XH 1×240, 4×6, 3×2,5, PE, 110 V DC)</t>
  </si>
  <si>
    <t xml:space="preserve">Kablo tavası/merdiveni, tava topraklaması, HDPE, yangın durdurucu, test</t>
  </si>
  <si>
    <t xml:space="preserve">2013.A</t>
  </si>
  <si>
    <t xml:space="preserve">N2XH 1×240 Cu + pabuç + bara/mesnet + merdiven + kelepçe + test</t>
  </si>
  <si>
    <t xml:space="preserve">TAHMIN (emsal yok) – Dolaylı emsal: busbar trafo–ADP bağlantısı EAE 11.119, ORGE 15.151, Novatek 26.331 /set; 2 trafo için ~20–40k → 44.000 üst sınırda, kapsam teyit edilmeli</t>
  </si>
  <si>
    <t xml:space="preserve">5 ELEKTRİFİKASYON (B) – KATENER – Sıra 220–226</t>
  </si>
  <si>
    <t xml:space="preserve">2012.A</t>
  </si>
  <si>
    <t xml:space="preserve">Kontak teli 120 mm² Cu ETP (EN 50149, Ø13,2) – çekme dahil</t>
  </si>
  <si>
    <t xml:space="preserve">REF-teyit – Kontak teli 120 Cu: İzmir Usluel 2014 16,09 M+İ, Kocaeli 13,43 → medyan 14,76; 2014→2026 Cu artışı HICP'yi ~%15 aşıyor → ~16,7; 18 teyit (Erbakır teklifi bekleniyor) [Emsal ID: R04113;R04287;R04697]</t>
  </si>
  <si>
    <t xml:space="preserve">Hat boyu 6,44/6,56 (Erbakır teklifi bekleniyor)</t>
  </si>
  <si>
    <t xml:space="preserve">Destek iletkeni 2×120 mm² Cu (iletken metresi)</t>
  </si>
  <si>
    <t xml:space="preserve">REF-teyit – Destek iletkeni: Kocaeli taşıyıcı tel 14,61, Usluel 150 mm² takviye 33,15 (izoleli/kalın) → 120 mm² çıplak 16 teyit [Emsal ID: R04288;R04114]</t>
  </si>
  <si>
    <t xml:space="preserve">Hat boyu oranı</t>
  </si>
  <si>
    <t xml:space="preserve">Konsol hoban komplesi (çift yalıtımlı) – hat</t>
  </si>
  <si>
    <t xml:space="preserve">REF-teyit – Konsol-hoban: İzmir Usluel 2014 M+İ 1.116 (gerçek), Kocaeli keşif 825, BBR malzeme 465 (Usluel'in tedarikçisi) → 1.116 teyit [Emsal ID: R04118;R04289;R04201]</t>
  </si>
  <si>
    <t xml:space="preserve">Konsol hoban komplesi – depo bağlantı hattı</t>
  </si>
  <si>
    <t xml:space="preserve">Otomatik gerdirme tertibatı (ağırlıklı, kontak + 2 destek)</t>
  </si>
  <si>
    <t xml:space="preserve">REF-teyit – Otomatik gergi: Usluel 2.506 M+İ, Kocaeli keşif 3.652, BBR 10 kN mlz 1.835 → 2.500 teyit [Emsal ID: R04122;R04297;R04207]</t>
  </si>
  <si>
    <t xml:space="preserve">Antişöminman (mid-point) düzenlemesi</t>
  </si>
  <si>
    <t xml:space="preserve">REF-teyit – Antişöminman: Usluel 1.164, Kocaeli 1.461, BBR mlz 726 → teyit [Emsal ID: R04125;R04292;R04216]</t>
  </si>
  <si>
    <t xml:space="preserve">Ankraj lentesi teçhizatı (ana hat)</t>
  </si>
  <si>
    <t xml:space="preserve">REF-teyit – R03589 Başkentray/Usluel 2012 484.69 (çiftli lente (2012, banliyö)) | tek emsal 484.69, sapma -0.1% → teyit [Emsal ID: R03589]</t>
  </si>
  <si>
    <t xml:space="preserve">İdare soru 6: ana hatta lente yok</t>
  </si>
  <si>
    <t xml:space="preserve">Ankraj lentesi temeli – kazı (ana hat)</t>
  </si>
  <si>
    <t xml:space="preserve">İdare soru 6</t>
  </si>
  <si>
    <t xml:space="preserve">Ankraj lentesi temeli – grobeton C16</t>
  </si>
  <si>
    <t xml:space="preserve">Ankraj lentesi temeli – C25/30 beton</t>
  </si>
  <si>
    <t xml:space="preserve">Ankraj lentesi temeli – kalıp</t>
  </si>
  <si>
    <t xml:space="preserve">Ankraj lentesi temeli – donatı B500C</t>
  </si>
  <si>
    <t xml:space="preserve">Ankraj lentesi temeli – ankraj çubuğu/gömme plaka M36</t>
  </si>
  <si>
    <t xml:space="preserve">Ankraj lentesi temeli – geri dolgu</t>
  </si>
  <si>
    <t xml:space="preserve">Ankraj direk başı bağlantı (ankraj konsolu, gergi klemensi)</t>
  </si>
  <si>
    <t xml:space="preserve">REF-derin – Ankraj/sabit hat sonu: Usluel fiks gergi 517, Kocaeli sabit gerdirmeli hat sonu 401 → medyan 459 (BBR mlz 352); mevcut 600 hafif yüksek [Emsal ID: R04123;R04295;R04215]</t>
  </si>
  <si>
    <t xml:space="preserve">Lentesiz ankraj: T3-D direkleri | İlk tahmin BF 600.00</t>
  </si>
  <si>
    <t xml:space="preserve">Hava aralıklı overlap (mekanik, izolesiz)</t>
  </si>
  <si>
    <t xml:space="preserve">Hava aralıklı izoleli seksiyon overlap (TM önü)</t>
  </si>
  <si>
    <t xml:space="preserve">Makas bölgesi hava makası</t>
  </si>
  <si>
    <t xml:space="preserve">Kruvazman katener kesişmesi</t>
  </si>
  <si>
    <t xml:space="preserve">Yaylı gerdirme tertibatı (makas diyagonalleri)</t>
  </si>
  <si>
    <t xml:space="preserve">REF-derin – Yaylı gergi: Usluel 1.148 M+İ, BBR 871 mlz +%30 montaj=1.133 → medyan 1.140; Kocaeli keşif 1.814 iç tahmin, dışlandı [Emsal ID: R04124;R04217;R04296]</t>
  </si>
  <si>
    <t xml:space="preserve">İlk tahmin BF 1,481.00</t>
  </si>
  <si>
    <t xml:space="preserve">Seksiyon izolatörü ünitesi</t>
  </si>
  <si>
    <t xml:space="preserve">REF-teyit – Seksiyon izolatörü: Usluel 2.070 M+İ (gerçek), Kocaeli keşif 1.343 → 2.070 teyit (DeSA/Flury teklifi bekleniyor) [Emsal ID: R04126;R04298]</t>
  </si>
  <si>
    <t xml:space="preserve">DeSA / Arthur Flury teklifi bekleniyor</t>
  </si>
  <si>
    <t xml:space="preserve">Motorlu yük ayırıcı 4000 A DC, direk tipi, SCADA arabirimli</t>
  </si>
  <si>
    <t xml:space="preserve">REF-derin – Motorlu direk ayırıcı: BBR 2014 mlz 7.963 +%10 montaj=8.759, Kocaeli 3.817 → medyan 6.288 (Samsun 2008 5.768) [Emsal ID: R04227;R04303;R04714]</t>
  </si>
  <si>
    <t xml:space="preserve">Aşırı gerilim koruyucu VLD (ray–direk)</t>
  </si>
  <si>
    <t xml:space="preserve">REF-derin – VLD/aşırı gerilim koruma: Samsun 2008 594, İzmir Usluel 2014 1.051 → medyan 822 (mevcut eski Samsun fiyatı, DÜŞÜK) [Emsal ID: R04719;R04175]</t>
  </si>
  <si>
    <t xml:space="preserve">İlk tahmin BF 594.00</t>
  </si>
  <si>
    <t xml:space="preserve">Besleme (fider) bağlantı düzeneği (bara izolatörü, 1×300 çıkış)</t>
  </si>
  <si>
    <t xml:space="preserve">REF-derin – Besleme bağlantısı: Usluel takviye-katener bağlantısı 461, besleme noktası 1.213 → medyan 837; mevcut 1.500 YÜKSEK (Kocaeli 106, BBR 199) [Emsal ID: R04116;R04143;R04294;R04242]</t>
  </si>
  <si>
    <t xml:space="preserve">Parafudr 1 kV DC 10 kA + toprak elektrodu</t>
  </si>
  <si>
    <t xml:space="preserve">REF-derin – Düzeltme: kalem toprak elektrodu içeriyor → Usluel parafudr 744 + topraklama elektrodu 582 = 1.326 (Kocaeli sistem 518) [Emsal ID: R04127;R04128;R04299]</t>
  </si>
  <si>
    <t xml:space="preserve">İlk tahmin BF 744.00</t>
  </si>
  <si>
    <t xml:space="preserve">Akım köprüsü 95 mm² örgülü Cu</t>
  </si>
  <si>
    <t xml:space="preserve">REF-teyit – Usluel takviye-katener elektriksel bağlantı 461 teyit [Emsal ID: R04116]</t>
  </si>
  <si>
    <t xml:space="preserve">Elektriksel jumper seti 95 mm²</t>
  </si>
  <si>
    <t xml:space="preserve">REF-teyit – Usluel 95 mm² esnek bağlantı 299 teyit [Emsal ID: R04115]</t>
  </si>
  <si>
    <t xml:space="preserve">95 mm² örgülü esnek Cu iletken</t>
  </si>
  <si>
    <t xml:space="preserve">REF-derin(1) – 120 mm² örgülü Cu 12,37 mlz → 95 mm² 9,79 +%40 montaj=13,71; esnek tip primi için mevcut 25 ile ort. 19,36 [Emsal ID: R00792]</t>
  </si>
  <si>
    <t xml:space="preserve">Gömülü destek iletkeni 150 mm² Cu</t>
  </si>
  <si>
    <t xml:space="preserve">REF-derin(1) – Usluel 150 mm² Cu takviye 2014 33,15 +%15 Cu fiyat farkı=38,12; mevcut 35 ile ort. 36,56 [Emsal ID: R04114]</t>
  </si>
  <si>
    <t xml:space="preserve">Destek iletkeni ekleri, pabuçlar, direk çıkış aparatları</t>
  </si>
  <si>
    <t xml:space="preserve">Tünel/köprü taşıyıcı destek elemanı</t>
  </si>
  <si>
    <t xml:space="preserve">REF-derin(1) – R04282 Kocaeli Tram/Özgür 2014 763.37 (cidara askı/ankraj noktası) | tek emsal 763.37 ile mevcut 2000.00 ortalaması [Emsal ID: R04282]</t>
  </si>
  <si>
    <t xml:space="preserve">Direk numaralandırma levhası</t>
  </si>
  <si>
    <t xml:space="preserve">REF-teyit – Numara levhası: Rayba Yerköy-Sivas 37; Yapıray/AUS YHT 3 € (etiket tipi, kıyas dışı) → emaye/Al kelepçeli levha için 37 üst bant, teyit [Emsal ID: R05176;R05056;R04032]</t>
  </si>
  <si>
    <t xml:space="preserve">Ayırıcı motor enerji kablosu 3×2,5 NYY</t>
  </si>
  <si>
    <t xml:space="preserve">REF-derin – R00848 Kocaeli KentMey.Tram/Delta 2015 1.03; R00901 Kocaeli KentMey.Tram/Haluk 2015 1.50; R00972 Kocaeli KentMey.Tram/MET 2015 1.91; R01622 İzmir Narlıdere Metro/Uskom 2018 3.35; R01802 İzmir Narlıdere Metro/Uskom 2018 2.11; R01827 İzmir Narlıdere Metro/Uskom 2018 2.60; +3 emsal | medyan 1.91 (3x2,5 enerji kablosu; Prysmian/üretici malzeme +%30 montaj) = 1.91 € [Emsal ID: R00848;R00901;R00972;R01622;R01802;R01827;R02988;R00685;R00727]</t>
  </si>
  <si>
    <t xml:space="preserve">Ayırıcı kumanda/konum kablosu 12×1,5 + kilitleme teçhizatı</t>
  </si>
  <si>
    <t xml:space="preserve">Katener uygulama projesi, EN 50119 hesapları, direk statiği</t>
  </si>
  <si>
    <t xml:space="preserve">REF-teyit – İzmir tram Usluel katener projelendirme 47.158/hat teyit [Emsal ID: R04101]</t>
  </si>
  <si>
    <t xml:space="preserve">Test, ölçüm, enerjilendirme, devreye alma; 2 yıllık yedek parça</t>
  </si>
  <si>
    <t xml:space="preserve">İdare: yedek parça listesi bağlayıcı (sıra 384)</t>
  </si>
  <si>
    <t xml:space="preserve">2012.B</t>
  </si>
  <si>
    <t xml:space="preserve">Kontak teli 120 mm² Cu ETP – depo hatları</t>
  </si>
  <si>
    <t xml:space="preserve">Yaylı gerdirme tertibatı (kontak teli)</t>
  </si>
  <si>
    <t xml:space="preserve">REF-teyit – Depo yaylı gergi: Usluel 1.148, BBR 871 mlz → 1.100 teyit [Emsal ID: R04124;R04217]</t>
  </si>
  <si>
    <t xml:space="preserve">Sabit ankraj / sabit germe tertibatı 10 kN</t>
  </si>
  <si>
    <t xml:space="preserve">REF-teyit – Sabit gergi: Usluel 517, Kocaeli 401 → 517 teyit [Emsal ID: R04123;R04295]</t>
  </si>
  <si>
    <t xml:space="preserve">Ankraj lentesi teçhizatı (depo ankraj direkleri)</t>
  </si>
  <si>
    <t xml:space="preserve">REF-teyit – Başkentray Usluel 2012 çiftli lente 485 (tekli 310); tek/eski ref, teyit [Emsal ID: R03589]</t>
  </si>
  <si>
    <t xml:space="preserve">İdare cevabı yalnız ana hat lentesi için</t>
  </si>
  <si>
    <t xml:space="preserve">Hava makası (depo makasları)</t>
  </si>
  <si>
    <t xml:space="preserve">Kruvazman katener kesişmesi (depo)</t>
  </si>
  <si>
    <t xml:space="preserve">TAHMIN (emsal yok) – Emsaller yalnız kesişme klemensi/çapraz tutucu; komple düzenek için tahmin korundu [Emsal ID: R03994;R05042;R05137;R04250;R04081]</t>
  </si>
  <si>
    <t xml:space="preserve">Headspan sistemi – komple</t>
  </si>
  <si>
    <t xml:space="preserve">REF-teyit – Headspan: Usluel 1.779 M+İ, Kocaeli 2 yol 1.037 → teyit [Emsal ID: R04121;R04291]</t>
  </si>
  <si>
    <t xml:space="preserve">Headspan enine taşıyıcı + steady tel</t>
  </si>
  <si>
    <t xml:space="preserve">TAHMIN (emsal yok) – Emsal yok. DİKKAT: Usluel headspan komple (satır 49) taşıyıcı tel içeriyor olabilir – mükerrer kontrolü</t>
  </si>
  <si>
    <t xml:space="preserve">Headspan altı askı-rapel takımı</t>
  </si>
  <si>
    <t xml:space="preserve">TAHMIN (emsal yok) – Emsal yok; satır 49 ile mükerrer kontrolü</t>
  </si>
  <si>
    <t xml:space="preserve">Konsol hoban komplesi (tek hat) – depo</t>
  </si>
  <si>
    <t xml:space="preserve">Seksiyon izolatörü ünitesi (depo bölümleme)</t>
  </si>
  <si>
    <t xml:space="preserve">DeSA formu: depo 10 izolatör</t>
  </si>
  <si>
    <t xml:space="preserve">Direk tipi motorlu ayırıcı 4000 A (SCADA)</t>
  </si>
  <si>
    <t xml:space="preserve">Topraklı elle kumandalı ayırıcı (kilitli kol)</t>
  </si>
  <si>
    <t xml:space="preserve">REF-derin – Elle kumandalı ayırıcı: Usluel 4.527 M+İ, Kocaeli 1.484, BBR mlz 5.177 → medyan 4.527; mevcut 3.553 DÜŞÜK (topraklı tip) [Emsal ID: R04130;R04302;R04228]</t>
  </si>
  <si>
    <t xml:space="preserve">İlk tahmin BF 3,553.00</t>
  </si>
  <si>
    <t xml:space="preserve">Besleme bağlantı düzeneği depo</t>
  </si>
  <si>
    <t xml:space="preserve">Parafudr 1 kV DC + toprak elektrodu</t>
  </si>
  <si>
    <t xml:space="preserve">REF-derin – parafudr medyan 368.30 (R04117 İzmir Konak Tram/Usluel 2014 218.27; R04299 Kocaeli Tram/Özgür 2014 518.33) + toprak elektrodu R04128 İzmir Konak Tram/Usluel 2014 582.06 = 950.36 € | mevcut REF 744.00 (+27.7%) düzeltildi [Emsal ID: R04117;R04299;R04128]</t>
  </si>
  <si>
    <t xml:space="preserve">VLD ayırıcılı direkler</t>
  </si>
  <si>
    <t xml:space="preserve">Atölye katlanır (döner) katener mekanizması – A2/A3</t>
  </si>
  <si>
    <t xml:space="preserve">REF-teyit – İzmir tram Usluel döner (turntable) mesnet 20.534 teyit (motorlu ise 25.384) [Emsal ID: R04141;R04142]</t>
  </si>
  <si>
    <t xml:space="preserve">Atölye sabit kontak hattı A1 ~75 m</t>
  </si>
  <si>
    <t xml:space="preserve">REF-teyit – Usluel rijit profil 12 m 825×6 + 4 m 744×2 + aksesuar ≈ 8–9,5k; 7.702 teyit [Emsal ID: R04136;R04137;R04143]</t>
  </si>
  <si>
    <t xml:space="preserve">Atölye ana kesicisi (DC) + kilitlenebilir hat ayırıcıları</t>
  </si>
  <si>
    <t xml:space="preserve">Kilitleme sistemi (gezer vinç, katlanır katener, platform, kriko, kapılar)</t>
  </si>
  <si>
    <t xml:space="preserve">REF-derin(1) – İzmir tram Usluel döner katener kumanda/kilitleme panosu 38.642; mevcut ile ort. 39.321 [Emsal ID: R04144]</t>
  </si>
  <si>
    <t xml:space="preserve">İlk tahmin BF 40,000.00</t>
  </si>
  <si>
    <t xml:space="preserve">Acil gerilim kesme butonu + 'katener enerjili' ikaz lambası</t>
  </si>
  <si>
    <t xml:space="preserve">Atölye/depo katener güç ve kontrol kabloları</t>
  </si>
  <si>
    <t xml:space="preserve">Direk numaralandırma levhası (depo)</t>
  </si>
  <si>
    <t xml:space="preserve">REF-teyit – R05176 Yerköy-Sivas YHT/Rayba 2016 36.72; R04032/R05056 ~3,3 € (yapıştırma rakam, karşılaştırılamaz) | emaye/alüminyum levha+montaj için mevcut REF 37 teyit [Emsal ID: R05176;R04032;R05056]</t>
  </si>
  <si>
    <t xml:space="preserve">Depo headspan/portal direği C tipi L=9 m</t>
  </si>
  <si>
    <t xml:space="preserve">TAHMIN (emsal yok) – Direkler kg bazında (satır 70) fiyatlanıyor; çift sayım önlemek için 0 korundu</t>
  </si>
  <si>
    <t xml:space="preserve">İdare soru 7: depo direkleri cetvel direk kalemlerinde (çift sayım)</t>
  </si>
  <si>
    <t xml:space="preserve">Depo headspan/portal direği C tipi L=8 m</t>
  </si>
  <si>
    <t xml:space="preserve">İdare soru 7</t>
  </si>
  <si>
    <t xml:space="preserve">Depo ara direği A tipi L=8 m</t>
  </si>
  <si>
    <t xml:space="preserve">REF-derin – R04103 İzmir Konak Tram/Usluel 2014 1101.76; R04102 İzmir Konak Tram/Usluel 2014 1277.19 | medyan 1189.48 (İzmir Konak Tip A/A1 direk (ankraj tijli, temelsiz)) = 1189.48 € | mevcut REF 1821.00 (-34.7%) düzeltildi [Emsal ID: R04103;R04102]</t>
  </si>
  <si>
    <t xml:space="preserve">İdare soru 7 | İlk tahmin BF 1,821.00</t>
  </si>
  <si>
    <t xml:space="preserve">Depo ankraj direği D tipi L=8 m</t>
  </si>
  <si>
    <t xml:space="preserve">Depo direkleri çelik ağırlığı (galvaniz)</t>
  </si>
  <si>
    <t xml:space="preserve">REF-derin – R04610 Kocaeli KentMey.Tram/İMKON 2014 1.77; R04611 Kocaeli KentMey.Tram/İMKON 2014 1.84 | medyan 1.81 ×1.22 (direk imalatı €/kg; +%22 galvaniz+dikim payı) = 2.20 € [Emsal ID: R04610;R04611]</t>
  </si>
  <si>
    <t xml:space="preserve">İdare soru 7: çift sayım – düşüldü</t>
  </si>
  <si>
    <t xml:space="preserve">Portal kirişi HEB-200</t>
  </si>
  <si>
    <t xml:space="preserve">Depo direk temelleri (fore kazık Ø60, beton, donatı, bulon)</t>
  </si>
  <si>
    <t xml:space="preserve">İdare soru 7: temeller sıra 13 (inşaat)</t>
  </si>
  <si>
    <t xml:space="preserve">Depo lente temelleri (kazı, beton, kalıp, donatı, dolgu)</t>
  </si>
  <si>
    <t xml:space="preserve">Temel işleri inşaat kapsamı (sıra 13)</t>
  </si>
  <si>
    <t xml:space="preserve">Depo katener uygulama projesi, test ve devreye alma</t>
  </si>
  <si>
    <t xml:space="preserve">2012.C</t>
  </si>
  <si>
    <t xml:space="preserve">T1-A Tipi Katener Direği (114 adet) gövdesi – galvanizli çelik (imalat+galvaniz+dikim)</t>
  </si>
  <si>
    <t xml:space="preserve">REF-teyit – Bursa T2 direk imalatı İMKON/Kuzey/Karçel: 1,77, 1,84, 1,83, 1,53, 1,38, 2,74 €/kg → medyan 1,80 + sıcak daldırma galvaniz ~0,4 = 2,2 teyit (dikim ayrı satırda; tanımdaki 'dikim' ifadesi düzeltilmeli) [Emsal ID: R04610;R04611;R04612;R04613;R04614;R04615]</t>
  </si>
  <si>
    <t xml:space="preserve">Mitaş teklifi bekleniyor (dikişli S355)</t>
  </si>
  <si>
    <t xml:space="preserve">T1-A Tipi Katener Direği (114 adet) ankraj bulonu M30 (somun+rondela HDG)</t>
  </si>
  <si>
    <t xml:space="preserve">Temel inşaat kapsamında</t>
  </si>
  <si>
    <t xml:space="preserve">T1-A Tipi Katener Direği (114 adet) dikim/montaj (vinç, şakül, tork)</t>
  </si>
  <si>
    <t xml:space="preserve">TAHMIN (emsal yok) – Doğrudan emsal yok; kontrol: T1-A 344 kg×2,2+300+bulon ≈1.145/direk ≈ Usluel Tip A 1.102 M+İ → tutarlı</t>
  </si>
  <si>
    <t xml:space="preserve">2012.D</t>
  </si>
  <si>
    <t xml:space="preserve">T2-B Tipi Katener Direği (17 adet) gövdesi – galvanizli çelik (imalat+galvaniz+dikim)</t>
  </si>
  <si>
    <t xml:space="preserve">T2-B Tipi Katener Direği (17 adet) ankraj bulonu M30 (somun+rondela HDG)</t>
  </si>
  <si>
    <t xml:space="preserve">T2-B Tipi Katener Direği (17 adet) dikim/montaj (vinç, şakül, tork)</t>
  </si>
  <si>
    <t xml:space="preserve">2012.E</t>
  </si>
  <si>
    <t xml:space="preserve">T2-B1 Tipi Katener Direği (4 adet) gövdesi – galvanizli çelik (imalat+galvaniz+dikim)</t>
  </si>
  <si>
    <t xml:space="preserve">REF-teyit – R04610 Kocaeli KentMey.Tram/İMKON 2014 1.77; R04611 Kocaeli KentMey.Tram/İMKON 2014 1.84 | medyan 1.81 ×1.22 (direk imalatı €/kg +%22 galvaniz+dikim) = 2.20 € | sapma +0.1% ≤%10 → mevcut REF teyit [Emsal ID: R04610;R04611]</t>
  </si>
  <si>
    <t xml:space="preserve">T2-B1 Tipi Katener Direği (4 adet) ankraj bulonu M30 (somun+rondela HDG)</t>
  </si>
  <si>
    <t xml:space="preserve">T2-B1 Tipi Katener Direği (4 adet) dikim/montaj (vinç, şakül, tork)</t>
  </si>
  <si>
    <t xml:space="preserve">2012.G</t>
  </si>
  <si>
    <t xml:space="preserve">T3-D Tipi Katener Direği (33 adet) gövdesi – galvanizli çelik (imalat+galvaniz+dikim)</t>
  </si>
  <si>
    <t xml:space="preserve">T3-D Tipi Katener Direği (33 adet) ankraj bulonu M30 (somun+rondela HDG)</t>
  </si>
  <si>
    <t xml:space="preserve">T3-D Tipi Katener Direği (33 adet) dikim/montaj (vinç, şakül, tork)</t>
  </si>
  <si>
    <t xml:space="preserve">2012.F</t>
  </si>
  <si>
    <t xml:space="preserve">T3-C Tipi Katener Direği (60 adet) gövdesi – galvanizli çelik (imalat+galvaniz+dikim)</t>
  </si>
  <si>
    <t xml:space="preserve">T3-C Tipi Katener Direği (60 adet) ankraj bulonu M30 (somun+rondela HDG)</t>
  </si>
  <si>
    <t xml:space="preserve">T3-C Tipi Katener Direği (60 adet) dikim/montaj (vinç, şakül, tork)</t>
  </si>
  <si>
    <t xml:space="preserve">EMSAL KAYNAKLARI – bu bütçede kullanılan geçmiş teklif satırları (her satır kaynak teklif dosyasına izlenebilir)</t>
  </si>
  <si>
    <t xml:space="preserve">EUR (Ağu-2026) = Orijinal fiyat ÷ ECB kuru (teklif günü) × HICP(Ağu-2026)/HICP(teklif ayı). Kullanıldığı kalem sayısı: bu emsale atıf yapan bütçe satırı adedi.</t>
  </si>
  <si>
    <t xml:space="preserve">Emsal ID</t>
  </si>
  <si>
    <t xml:space="preserve">Hat tipi</t>
  </si>
  <si>
    <t xml:space="preserve">Teklif tarihi</t>
  </si>
  <si>
    <t xml:space="preserve">Kalem (teklifteki ifade)</t>
  </si>
  <si>
    <t xml:space="preserve">Orijinal BF</t>
  </si>
  <si>
    <t xml:space="preserve">EUR (Ağu-2026)</t>
  </si>
  <si>
    <t xml:space="preserve">Eşleşen URF poz</t>
  </si>
  <si>
    <t xml:space="preserve">Kullanıldığı kalem sayısı</t>
  </si>
  <si>
    <t xml:space="preserve">R00479</t>
  </si>
  <si>
    <t xml:space="preserve">Ankara-Sivas_YHT_Projesi_5_ad_YHT_istasyon_yapimi</t>
  </si>
  <si>
    <t xml:space="preserve">YHT</t>
  </si>
  <si>
    <t xml:space="preserve">Platin Elektrik</t>
  </si>
  <si>
    <t xml:space="preserve">2019-03-29</t>
  </si>
  <si>
    <t xml:space="preserve">24.4.2.2.1/002 250 kVA TMK İLE ANA GİRİŞ DAHİLİ TİP A.G. PANOSU-Sokak Aydınlatma Çıkışlı</t>
  </si>
  <si>
    <t xml:space="preserve">Ankara-Sivas YHT 5 istasyon binası elektrik işleri; Çevre Şehircilik/TEDAŞ poz bazlı birim fiyat (malzeme+işçilik), TL KDV hariç; 2019 kuru ~6,2-6,4 TL/€</t>
  </si>
  <si>
    <t xml:space="preserve">R00480</t>
  </si>
  <si>
    <t xml:space="preserve">30.1/001 GALVANİZLİ TOPRAKLAMA ŞERİDİ VE GÖMÜLMESİ</t>
  </si>
  <si>
    <t xml:space="preserve">R00484</t>
  </si>
  <si>
    <t xml:space="preserve">701201 Önden kapaklı saç pano (ts en 61439-1/2 )</t>
  </si>
  <si>
    <t xml:space="preserve">R00485</t>
  </si>
  <si>
    <t xml:space="preserve">726.304 Borusuz serbest döşenen topraklama hattı 16 mm2</t>
  </si>
  <si>
    <t xml:space="preserve">R00486</t>
  </si>
  <si>
    <t xml:space="preserve">742.1106 Sıva altı, min. 60x60 ebatlarında LED li tavan armatürü (ışık akısı en az 3300 lm, tüketim değeri en fazla 36 w olan)</t>
  </si>
  <si>
    <t xml:space="preserve">R00487</t>
  </si>
  <si>
    <t xml:space="preserve">742.1152 Sıva altı, LED'li dairesel (downlight) armatür (ışık akısı en az 1700 lm, tüketim değeri en fazla 24 W olan)</t>
  </si>
  <si>
    <t xml:space="preserve">R00488</t>
  </si>
  <si>
    <t xml:space="preserve">742.1251 Işık akısı en az 1800 lm, tüketim değeri en fazla 20 W. LED Sıva Üstü Etanj Armatür (Polikarbon gövdeli)</t>
  </si>
  <si>
    <t xml:space="preserve">R00489</t>
  </si>
  <si>
    <t xml:space="preserve">742.1550 Led aydınlatma armatürleri için acil durum aydınlatma kiti fiyat farkı</t>
  </si>
  <si>
    <t xml:space="preserve">R00490</t>
  </si>
  <si>
    <t xml:space="preserve">742.455 Led prj. 100 wat'a kadar (220 v. ac.)</t>
  </si>
  <si>
    <t xml:space="preserve">R00504</t>
  </si>
  <si>
    <t xml:space="preserve">Bakirkoy_Kirazli_Metro</t>
  </si>
  <si>
    <t xml:space="preserve">metro</t>
  </si>
  <si>
    <t xml:space="preserve">Müfit Ünlüdağ? (klasör CER_MÜnlüdag)</t>
  </si>
  <si>
    <t xml:space="preserve">2014-11-06</t>
  </si>
  <si>
    <t xml:space="preserve">211I Hatboyu kaçak akım izleme</t>
  </si>
  <si>
    <t xml:space="preserve">Bakırköy İDO-Kirazlı metrosu (1500 V DC, ~9 km, 9 istasyon) teklif birim fiyatları; set fiyatları temin+montaj</t>
  </si>
  <si>
    <t xml:space="preserve">R00508</t>
  </si>
  <si>
    <t xml:space="preserve">201 Güç temini ve cer gücü tasarımı</t>
  </si>
  <si>
    <t xml:space="preserve">R00517</t>
  </si>
  <si>
    <t xml:space="preserve">Baskentray</t>
  </si>
  <si>
    <t xml:space="preserve">banliyo</t>
  </si>
  <si>
    <t xml:space="preserve">Desat Elektrik (olası; 2012 Desat teklifinin 2013 rev.)</t>
  </si>
  <si>
    <t xml:space="preserve">2012-03-28</t>
  </si>
  <si>
    <t xml:space="preserve">Pano tipi aşırı gerilim koruyucusu, B sınıfı, 230 VAC, 100 kA üç faz, nötr-toprak</t>
  </si>
  <si>
    <t xml:space="preserve">Adet</t>
  </si>
  <si>
    <t xml:space="preserve">Başkentray Sincan-Ankara-Kayaş banliyö hattı istasyon/bina elektrik işleri; birim fiyatlı malzeme+işçilik, TL KDV hariç (2013 kuru ~2,35 TL/€); marka: OBO</t>
  </si>
  <si>
    <t xml:space="preserve">R00518</t>
  </si>
  <si>
    <t xml:space="preserve">Topraklama hattı-16 mm² (borusuz)</t>
  </si>
  <si>
    <t xml:space="preserve">Başkentray Sincan-Ankara-Kayaş banliyö hattı istasyon/bina elektrik işleri; birim fiyatlı malzeme+işçilik, TL KDV hariç (2013 kuru ~2,35 TL/€); marka: HES,ÖZNUR,VATAN</t>
  </si>
  <si>
    <t xml:space="preserve">R00524</t>
  </si>
  <si>
    <t xml:space="preserve">Kurşunsuz PVC izoleli kablolar ile besleme hattı tesisi (NHXMH, en az 300/500 V), 3x2,5 mm²</t>
  </si>
  <si>
    <t xml:space="preserve">R00527</t>
  </si>
  <si>
    <t xml:space="preserve">1 Çevrimli, 12 bölgeli analog adresli yangın alarm santrali adres kapasiteli, 12 yangın bölgesi göstergeli</t>
  </si>
  <si>
    <t xml:space="preserve">Başkentray Sincan-Ankara-Kayaş banliyö hattı istasyon/bina elektrik işleri; birim fiyatlı malzeme+işçilik, TL KDV hariç (2013 kuru ~2,35 TL/€); marka: MAVİLİ,ZETA</t>
  </si>
  <si>
    <t xml:space="preserve">R00531</t>
  </si>
  <si>
    <t xml:space="preserve">3 Saat süreli sürekli (gömme tip) yanan acil durum aydınlatma armatürü ve montajı</t>
  </si>
  <si>
    <t xml:space="preserve">Başkentray Sincan-Ankara-Kayaş banliyö hattı istasyon/bina elektrik işleri; birim fiyatlı malzeme+işçilik, TL KDV hariç (2013 kuru ~2,35 TL/€); marka: ALTEZ</t>
  </si>
  <si>
    <t xml:space="preserve">R00532</t>
  </si>
  <si>
    <t xml:space="preserve">1x2x0,8+0,8 mm² halojensiz yangın alarm kablosu</t>
  </si>
  <si>
    <t xml:space="preserve">Başkentray Sincan-Ankara-Kayaş banliyö hattı istasyon/bina elektrik işleri; birim fiyatlı malzeme+işçilik, TL KDV hariç (2013 kuru ~2,35 TL/€); marka: ERSE,KLAS,BİRTAŞ</t>
  </si>
  <si>
    <t xml:space="preserve">R00533</t>
  </si>
  <si>
    <t xml:space="preserve">Toprak elektrodu (Çubuk)elektrolitik bakır</t>
  </si>
  <si>
    <t xml:space="preserve">Başkentray Sincan-Ankara-Kayaş banliyö hattı istasyon/bina elektrik işleri; birim fiyatlı malzeme+işçilik, TL KDV hariç (2013 kuru ~2,35 TL/€); marka: GERSAN,RADSAN</t>
  </si>
  <si>
    <t xml:space="preserve">R00535</t>
  </si>
  <si>
    <t xml:space="preserve">3 Faz giriş 3 faz çıkışlı kesintisiz güç kaynağı, 10 kVA, 10 dakikaya kadar akü besleme süreli</t>
  </si>
  <si>
    <t xml:space="preserve">Başkentray Sincan-Ankara-Kayaş banliyö hattı istasyon/bina elektrik işleri; birim fiyatlı malzeme+işçilik, TL KDV hariç (2013 kuru ~2,35 TL/€); marka: ENEL</t>
  </si>
  <si>
    <t xml:space="preserve">R00539</t>
  </si>
  <si>
    <t xml:space="preserve">Cekmekoy_Sultanbeyli_Metro</t>
  </si>
  <si>
    <t xml:space="preserve">TE Raychem bayii</t>
  </si>
  <si>
    <t xml:space="preserve">2016-06-29</t>
  </si>
  <si>
    <t xml:space="preserve">RSTI 5851 800 A ekranlı ayrılabilir (geçmeli) kablo başlığı (36 kV sınıfı)</t>
  </si>
  <si>
    <t xml:space="preserve">Çekmeköy-Sultanbeyli metrosu; malzeme; SMOE fiyatı Teklif-2 dosyasından</t>
  </si>
  <si>
    <t xml:space="preserve">R00541</t>
  </si>
  <si>
    <t xml:space="preserve">RSTI CC 5851 800 A ekranlı ayrılabilir branşman tip kablo başlığı</t>
  </si>
  <si>
    <t xml:space="preserve">R00542</t>
  </si>
  <si>
    <t xml:space="preserve">SMOE-5322 ısı büzüşmeli kablo eki (OG)</t>
  </si>
  <si>
    <t xml:space="preserve">R00545</t>
  </si>
  <si>
    <t xml:space="preserve">Izmir_Konak_Karsiyaka_Tramvay</t>
  </si>
  <si>
    <t xml:space="preserve">tramvay</t>
  </si>
  <si>
    <t xml:space="preserve">Aktif (trafo)</t>
  </si>
  <si>
    <t xml:space="preserve">2014-02-04</t>
  </si>
  <si>
    <t xml:space="preserve">2500 kVA Al 34,5/0,6-0,6 kV Dy5d0 cer trafosu (kuru tip)</t>
  </si>
  <si>
    <t xml:space="preserve">İzmir Karşıyaka+Konak tramvayları (750 V DC, 12 TPS + 2 dağıtım TM, Siemens 8BT2 OG) 2014; toplam 807.800 €</t>
  </si>
  <si>
    <t xml:space="preserve">R00546</t>
  </si>
  <si>
    <t xml:space="preserve">630 kVA Al 34,5/0,4 kV Dyn11 kuru tip</t>
  </si>
  <si>
    <t xml:space="preserve">R00554</t>
  </si>
  <si>
    <t xml:space="preserve">Siemens A.Ş./Siemens AG</t>
  </si>
  <si>
    <t xml:space="preserve">2014-02-25</t>
  </si>
  <si>
    <t xml:space="preserve">Stray Current Monitoring System - paket</t>
  </si>
  <si>
    <t xml:space="preserve">götürü</t>
  </si>
  <si>
    <t xml:space="preserve">İzmir Karşıyaka+Konak tramvayları (750 V DC, 12 TPS + 2 dağıtım TM, Siemens 8BT2 OG) 2014; DAP İstanbul; kablolar, bina elektrik, montaj malzemesi, inşaat HARİÇ; tasarım+montaj+devreye alma dahil (Siemens kapsamı)</t>
  </si>
  <si>
    <t xml:space="preserve">R00560</t>
  </si>
  <si>
    <t xml:space="preserve">Izmir_Metro_Project_II_FahrettinAltay_Narlidere</t>
  </si>
  <si>
    <t xml:space="preserve">ABB Elektrik</t>
  </si>
  <si>
    <t xml:space="preserve">2017-12-22</t>
  </si>
  <si>
    <t xml:space="preserve">34,5 kV Cer Trafo Çıkış Hücresi</t>
  </si>
  <si>
    <t xml:space="preserve">İzmir HRS 4.Aşama F.Altay-Narlıdere metrosu (750 V DC 3.ray, ~7,2 km, 7 yeraltı istasyon, 5 cer TM); KDV hariç; montaj hariç (süpervizyon dahil)</t>
  </si>
  <si>
    <t xml:space="preserve">R00561</t>
  </si>
  <si>
    <t xml:space="preserve">34,5 kV Yardımcı Trafo Çıkış Hücresi</t>
  </si>
  <si>
    <t xml:space="preserve">R00565</t>
  </si>
  <si>
    <t xml:space="preserve">Diode Rectifier Unit 12-pulse 3000 kW 750 VDC (PD-30P/750)</t>
  </si>
  <si>
    <t xml:space="preserve">R00566</t>
  </si>
  <si>
    <t xml:space="preserve">Rectifier Circuit Breaker 4000 A type MBS (ABB-Sécheron)</t>
  </si>
  <si>
    <t xml:space="preserve">R00570</t>
  </si>
  <si>
    <t xml:space="preserve">Output LBS Panel 4000 A (4 ad) + Air-gap LBS cubicle (2 ad) - TM başına set</t>
  </si>
  <si>
    <t xml:space="preserve">[AYKIRI DEĞER – otomatik dışlandı] İzmir HRS 4.Aşama F.Altay-Narlıdere metrosu (750 V DC 3.ray, ~7,2 km, 7 yeraltı istasyon, 5 cer TM); KDV hariç; montaj hariç (süpervizyon dahil)</t>
  </si>
  <si>
    <t xml:space="preserve">R00573</t>
  </si>
  <si>
    <t xml:space="preserve">Mühendislik (röle ayar, kısa devre/yük akışı, proje, montaj süpervizyonu, devreye alma, FAT, eğitim)</t>
  </si>
  <si>
    <t xml:space="preserve">R00624</t>
  </si>
  <si>
    <t xml:space="preserve">ORGE (E&amp;M taşeron teklifi Rev.01)</t>
  </si>
  <si>
    <t xml:space="preserve">2018-04-09</t>
  </si>
  <si>
    <t xml:space="preserve">209 A Balçova İst. Kaçak Akım İzleme ve Korozyon Kontrolü</t>
  </si>
  <si>
    <t xml:space="preserve">2010.A</t>
  </si>
  <si>
    <t xml:space="preserve">İzmir HRS 4.Aşama F.Altay-Narlıdere metrosu (750 V DC 3.ray, ~7,2 km, 7 yeraltı istasyon, 5 cer TM); malzeme+montaj götürü (taşeron teklif cetveli, Euro, KDV hariç); yeraltı metro istasyonu kapsamı URF tramvay istasyonundan çok büyük</t>
  </si>
  <si>
    <t xml:space="preserve">R00665</t>
  </si>
  <si>
    <t xml:space="preserve">Izmir_Ucyol_Buca_Metro</t>
  </si>
  <si>
    <t xml:space="preserve">Signify (Philips)</t>
  </si>
  <si>
    <t xml:space="preserve">2021-03-24</t>
  </si>
  <si>
    <t xml:space="preserve">WT166C LED38 NW L1200 IP65 etanj armatür</t>
  </si>
  <si>
    <t xml:space="preserve">malzeme, KDV hariç; metro iç mekan; teklif toplamı 724.613 € KDV hariç</t>
  </si>
  <si>
    <t xml:space="preserve">R00666</t>
  </si>
  <si>
    <t xml:space="preserve">WT166C LED70 NW L1500 IP65 etanj armatür</t>
  </si>
  <si>
    <t xml:space="preserve">R00667</t>
  </si>
  <si>
    <t xml:space="preserve">WT158C LED18S/840 L600 ortam korumalı armatür</t>
  </si>
  <si>
    <t xml:space="preserve">R00668</t>
  </si>
  <si>
    <t xml:space="preserve">DN145C LED20S/830 downlight</t>
  </si>
  <si>
    <t xml:space="preserve">R00669</t>
  </si>
  <si>
    <t xml:space="preserve">RC148B LED40/840 W60L60 parabolik panel</t>
  </si>
  <si>
    <t xml:space="preserve">R00670</t>
  </si>
  <si>
    <t xml:space="preserve">Aktif Elektroteknik</t>
  </si>
  <si>
    <t xml:space="preserve">2021-04-27</t>
  </si>
  <si>
    <t xml:space="preserve">SNC-2 36kV 1250A 25kA 3s Gerilim Trafolu Giriş Çıkış Hücresi SF6 Kesicili (Ring)</t>
  </si>
  <si>
    <t xml:space="preserve">İzmir HRS 5.Aşama Üçyol-Buca metrosu (750 V DC, ~13,5 km, 11 yeraltı istasyon + depo), Nurol teklif talebi; ring birim fiyat 18.423 (12 ad) ve 18.252 (16 ad) ortalaması; gözetim/devreye alma ve montaj hariç; toplam teklif 1.211.979 €</t>
  </si>
  <si>
    <t xml:space="preserve">R00671</t>
  </si>
  <si>
    <t xml:space="preserve">SNC-2 36kV 1250A 25kA 3s Trafo Besleme Hücresi SF6 Kesicili (iç ihtiyaç Tr)</t>
  </si>
  <si>
    <t xml:space="preserve">R00672</t>
  </si>
  <si>
    <t xml:space="preserve">SNC-2 36kV 1250A 25kA 3s Gerilim Ölçü Hücresi</t>
  </si>
  <si>
    <t xml:space="preserve">R00674</t>
  </si>
  <si>
    <t xml:space="preserve">SNC-2 36kV 1250A 25kA 3s Trafo Besleme Hücresi SF6 Kesicili (Cer Tr)</t>
  </si>
  <si>
    <t xml:space="preserve">R00675</t>
  </si>
  <si>
    <t xml:space="preserve">UPS tedarikçisi (TNO461064, E3 seri)</t>
  </si>
  <si>
    <t xml:space="preserve">2021-05-01</t>
  </si>
  <si>
    <t xml:space="preserve">E3 20 kVA UPS 3f/3f + 120 dk akü</t>
  </si>
  <si>
    <t xml:space="preserve">Buca metrosu; URF istasyonlarında 10 kVA/2 saat UPS var - en küçük referans 20 kVA; toplam 736.000 $</t>
  </si>
  <si>
    <t xml:space="preserve">R00676</t>
  </si>
  <si>
    <t xml:space="preserve">E3 20 kVA UPS 3f/3f + 240 dk akü</t>
  </si>
  <si>
    <t xml:space="preserve">R00677</t>
  </si>
  <si>
    <t xml:space="preserve">E3 40 kVA UPS 3f/3f + 120 dk akü</t>
  </si>
  <si>
    <t xml:space="preserve">R00678</t>
  </si>
  <si>
    <t xml:space="preserve">Türk Prysmian Kablo</t>
  </si>
  <si>
    <t xml:space="preserve">2021-05-03</t>
  </si>
  <si>
    <t xml:space="preserve">YAXC7V-R (YAE3SV) 1x400/35 20,3/35 kV Al XLPE</t>
  </si>
  <si>
    <t xml:space="preserve">CIF İzmir, KDV hariç; USD/km fiyattan m'ye çevrildi; LME Cu 9.990 $/t, Al 2.445 $/t; sadece malzeme</t>
  </si>
  <si>
    <t xml:space="preserve">R00682</t>
  </si>
  <si>
    <t xml:space="preserve">N2XH 1x240 0,6/1 kV</t>
  </si>
  <si>
    <t xml:space="preserve">R00683</t>
  </si>
  <si>
    <t xml:space="preserve">N2XH 1x185 0,6/1 kV</t>
  </si>
  <si>
    <t xml:space="preserve">R00684</t>
  </si>
  <si>
    <t xml:space="preserve">N2XH 1x95 0,6/1 kV</t>
  </si>
  <si>
    <t xml:space="preserve">R00685</t>
  </si>
  <si>
    <t xml:space="preserve">N2XH 3x2,5 0,6/1 kV</t>
  </si>
  <si>
    <t xml:space="preserve">R00686</t>
  </si>
  <si>
    <t xml:space="preserve">N2XH 5x2,5 0,6/1 kV</t>
  </si>
  <si>
    <t xml:space="preserve">R00687</t>
  </si>
  <si>
    <t xml:space="preserve">N2XH 4x6 0,6/1 kV</t>
  </si>
  <si>
    <t xml:space="preserve">R00688</t>
  </si>
  <si>
    <t xml:space="preserve">N2XH 4x16 0,6/1 kV</t>
  </si>
  <si>
    <t xml:space="preserve">R00689</t>
  </si>
  <si>
    <t xml:space="preserve">N2XH 3x70/35 0,6/1 kV</t>
  </si>
  <si>
    <t xml:space="preserve">R00690</t>
  </si>
  <si>
    <t xml:space="preserve">H07Z1-R 16 mm2 450/750 V sarı-yeşil</t>
  </si>
  <si>
    <t xml:space="preserve">R00691</t>
  </si>
  <si>
    <t xml:space="preserve">N2XH FE180 4x10 0,6/1 kV</t>
  </si>
  <si>
    <t xml:space="preserve">R00696</t>
  </si>
  <si>
    <t xml:space="preserve">ABB (Nurol'a teklif)</t>
  </si>
  <si>
    <t xml:space="preserve">2021-05-05</t>
  </si>
  <si>
    <t xml:space="preserve">Ring Giriş&amp;Çıkış Hücresi (Parafudrlu) 34,5 kV</t>
  </si>
  <si>
    <t xml:space="preserve">İzmir HRS 5.Aşama Üçyol-Buca metrosu (750 V DC, ~13,5 km, 11 yeraltı istasyon + depo), Nurol teklif talebi; ABB paketi (OG şalt+trafo+cer merkezi+kaçak akım), saha servisi ayrı kalem (920 k€), fiyatlar malzeme</t>
  </si>
  <si>
    <t xml:space="preserve">R00697</t>
  </si>
  <si>
    <t xml:space="preserve">CER Trafosu Çıkış Hücresi (Bara Gerilim Trafolu) 34,5 kV</t>
  </si>
  <si>
    <t xml:space="preserve">R00698</t>
  </si>
  <si>
    <t xml:space="preserve">İç İhtiyaç Trafosu Hücresi (Bara Gerilim Trafolu) 34,5 kV</t>
  </si>
  <si>
    <t xml:space="preserve">R00700</t>
  </si>
  <si>
    <t xml:space="preserve">2000 kVA 34,5/0,4 kV Al/Al kuru tip iç ihtiyaç trafosu IP23</t>
  </si>
  <si>
    <t xml:space="preserve">R00702</t>
  </si>
  <si>
    <t xml:space="preserve">3300 kVA 34,5/0,6-0,6 kV Al/Al IP23 H/F AN CER Trafosu</t>
  </si>
  <si>
    <t xml:space="preserve">R00703</t>
  </si>
  <si>
    <t xml:space="preserve">Diode Rectifier Unit 12-pulse</t>
  </si>
  <si>
    <t xml:space="preserve">R00704</t>
  </si>
  <si>
    <t xml:space="preserve">Rectifier CB Panel 4000 A (DC giriş)</t>
  </si>
  <si>
    <t xml:space="preserve">R00705</t>
  </si>
  <si>
    <t xml:space="preserve">Feeder Circuit Breaker Panel 4000 A (DC fider HSCB)</t>
  </si>
  <si>
    <t xml:space="preserve">R00706</t>
  </si>
  <si>
    <t xml:space="preserve">Negative Return Panel</t>
  </si>
  <si>
    <t xml:space="preserve">R00707</t>
  </si>
  <si>
    <t xml:space="preserve">Output and Air-gap LBS Panel 4000 A (2+1)</t>
  </si>
  <si>
    <t xml:space="preserve">[AYKIRI DEĞER – otomatik dışlandı] İzmir HRS 5.Aşama Üçyol-Buca metrosu (750 V DC, ~13,5 km, 11 yeraltı istasyon + depo), Nurol teklif talebi; ABB paketi (OG şalt+trafo+cer merkezi+kaçak akım), saha servisi ayrı kalem (920 k€), fiyatlar malzeme</t>
  </si>
  <si>
    <t xml:space="preserve">R00708</t>
  </si>
  <si>
    <t xml:space="preserve">Voltage Limiting Device type VLD-H</t>
  </si>
  <si>
    <t xml:space="preserve">R00716</t>
  </si>
  <si>
    <t xml:space="preserve">TEDAK Elektrik (ABB/E-Power)</t>
  </si>
  <si>
    <t xml:space="preserve">LVS-401 Ana Dağıtım Panosu (ADP) dikili modüler FORM 4B IP65 2213x6316x847 mm, ABB E-Power</t>
  </si>
  <si>
    <t xml:space="preserve">İzmir HRS 5.Aşama Üçyol-Buca metrosu (750 V DC, ~13,5 km, 11 yeraltı istasyon + depo), Nurol teklif talebi; yeraltı metro istasyonu panoları (URF tramvay ADP'den çok daha büyük); ortalama değerler; KDV hariç</t>
  </si>
  <si>
    <t xml:space="preserve">R00717</t>
  </si>
  <si>
    <t xml:space="preserve">LVS-402 Ana Dağıtım Panosu (ikinci bölüm) 2213x3016x847 mm</t>
  </si>
  <si>
    <t xml:space="preserve">R00719</t>
  </si>
  <si>
    <t xml:space="preserve">UPS dağıtım panosu dikili 2213x916x647 (FORM 4B)</t>
  </si>
  <si>
    <t xml:space="preserve">R00720</t>
  </si>
  <si>
    <t xml:space="preserve">Tali dağıtım panosu SCT duvar tipi IP65 1203x803 (ortalama)</t>
  </si>
  <si>
    <t xml:space="preserve">R00721</t>
  </si>
  <si>
    <t xml:space="preserve">Genel servis panosu GSP (ortalama)</t>
  </si>
  <si>
    <t xml:space="preserve">R00724</t>
  </si>
  <si>
    <t xml:space="preserve">Kablo üreticisi (teklif no VTNFD-896)</t>
  </si>
  <si>
    <t xml:space="preserve">16 mm2 örgülü bakır iletken</t>
  </si>
  <si>
    <t xml:space="preserve">net USD/m, LME Cu 10.100 $/t; malzeme; dosya tarihi</t>
  </si>
  <si>
    <t xml:space="preserve">R00725</t>
  </si>
  <si>
    <t xml:space="preserve">120 mm2 örgülü bakır iletken</t>
  </si>
  <si>
    <t xml:space="preserve">R00726</t>
  </si>
  <si>
    <t xml:space="preserve">R00727</t>
  </si>
  <si>
    <t xml:space="preserve">N2XH-J 3x2,5 0,6/1 kV</t>
  </si>
  <si>
    <t xml:space="preserve">R00728</t>
  </si>
  <si>
    <t xml:space="preserve">Schneider Electric (F400)</t>
  </si>
  <si>
    <t xml:space="preserve">2021-05-25</t>
  </si>
  <si>
    <t xml:space="preserve">F400 RING FEEDER 600A VT (36 kV)</t>
  </si>
  <si>
    <t xml:space="preserve">İzmir HRS 5.Aşama Üçyol-Buca metrosu (750 V DC, ~13,5 km, 11 yeraltı istasyon + depo), Nurol teklif talebi; Schneider F400 36 kV hücre, birim fiyat istasyonlara göre ±0,3% değişiyor (ortalama), teklif Ref SET.XXX.HKE, Rev0 25/05/2021</t>
  </si>
  <si>
    <t xml:space="preserve">R00729</t>
  </si>
  <si>
    <t xml:space="preserve">F400 BUSBAR METERING</t>
  </si>
  <si>
    <t xml:space="preserve">R00730</t>
  </si>
  <si>
    <t xml:space="preserve">F400 FEEDER 100A (cer trafo besleme)</t>
  </si>
  <si>
    <t xml:space="preserve">R00731</t>
  </si>
  <si>
    <t xml:space="preserve">F400 Aux. FEEDER 50A (iç ihtiyaç)</t>
  </si>
  <si>
    <t xml:space="preserve">R00734</t>
  </si>
  <si>
    <t xml:space="preserve">İnform (Legrand)</t>
  </si>
  <si>
    <t xml:space="preserve">2021-06-04</t>
  </si>
  <si>
    <t xml:space="preserve">2x Redresör 3x400V/110V 90A + 1x DC Pano 110V 40A (IP54, LVD, droper, DC toprak kaçağı, SCADA Modbus)</t>
  </si>
  <si>
    <t xml:space="preserve">Yapı Merkezi'ne teklif; tablo EUR yazıyor, ticari koşullarda para birimi USD denmiş (belirsiz); devreye alma dahil</t>
  </si>
  <si>
    <t xml:space="preserve">R00738</t>
  </si>
  <si>
    <t xml:space="preserve">110V DC 140Ah Ni-Cd Akü (KL140P) kabin+raf</t>
  </si>
  <si>
    <t xml:space="preserve">Ni-Cd (URF VRLA 160Ah ister); tablo EUR, koşullar USD diyor</t>
  </si>
  <si>
    <t xml:space="preserve">R00739</t>
  </si>
  <si>
    <t xml:space="preserve">EEC Entegre Bina (UTC Edwards EST3)</t>
  </si>
  <si>
    <t xml:space="preserve">EST3 Signature adreslenebilir network yangın kontrol paneli (4 loop)</t>
  </si>
  <si>
    <t xml:space="preserve">Buca metrosu 11 istasyon+depo; malzeme (kablo/montaj hariç); Edwards yangın sistemi toplam 727.818 $</t>
  </si>
  <si>
    <t xml:space="preserve">R00740</t>
  </si>
  <si>
    <t xml:space="preserve">3-LCDANN-E tekrarlama ve kontrol paneli</t>
  </si>
  <si>
    <t xml:space="preserve">R00741</t>
  </si>
  <si>
    <t xml:space="preserve">SIGA-PDI adresli optik duman dedektörü + SIGA-SB soket</t>
  </si>
  <si>
    <t xml:space="preserve">R00742</t>
  </si>
  <si>
    <t xml:space="preserve">SIGA-PHDI adresli kombine optik-ısı dedektörü + soket</t>
  </si>
  <si>
    <t xml:space="preserve">R00743</t>
  </si>
  <si>
    <t xml:space="preserve">SIGA-HRDI adresli sabit sıcaklık/ısı dedektörü + soket</t>
  </si>
  <si>
    <t xml:space="preserve">R00744</t>
  </si>
  <si>
    <t xml:space="preserve">WCP3A cam kırma tipi harici yangın ihbar butonu sıva üstü</t>
  </si>
  <si>
    <t xml:space="preserve">R00745</t>
  </si>
  <si>
    <t xml:space="preserve">OSID UV/IR ışın tipi duman dedektörü alıcı + verici</t>
  </si>
  <si>
    <t xml:space="preserve">R00746</t>
  </si>
  <si>
    <t xml:space="preserve">SIGA-CT2I adresli 2 girişli monitör modülü</t>
  </si>
  <si>
    <t xml:space="preserve">R00747</t>
  </si>
  <si>
    <t xml:space="preserve">SIGA-CRI adresli röle modülü</t>
  </si>
  <si>
    <t xml:space="preserve">R00749</t>
  </si>
  <si>
    <t xml:space="preserve">FL-RL-R-D flaşörlü siren IP65</t>
  </si>
  <si>
    <t xml:space="preserve">R00751</t>
  </si>
  <si>
    <t xml:space="preserve">Aktif Mühendislik (DC hücre, EXW Milano)</t>
  </si>
  <si>
    <t xml:space="preserve">2021-06-11</t>
  </si>
  <si>
    <t xml:space="preserve">Incoming HSCB Cubicle 750 V DC 4000 A</t>
  </si>
  <si>
    <t xml:space="preserve">İzmir HRS 5.Aşama Üçyol-Buca metrosu (750 V DC, ~13,5 km, 11 yeraltı istasyon + depo), Nurol teklif talebi; 900 V/4000 A, 125 kA; tasarım+O&amp;M dökümanı dahil, redresör hücresi hariç, EXW; toplam 2.336.425 €</t>
  </si>
  <si>
    <t xml:space="preserve">R00752</t>
  </si>
  <si>
    <t xml:space="preserve">Feeder HSCB Cubicle 750 V DC</t>
  </si>
  <si>
    <t xml:space="preserve">R00754</t>
  </si>
  <si>
    <t xml:space="preserve">Negative Voltage Limiting Device (VLD)</t>
  </si>
  <si>
    <t xml:space="preserve">R00755</t>
  </si>
  <si>
    <t xml:space="preserve">Main and By-pass Disconnector Cubicle</t>
  </si>
  <si>
    <t xml:space="preserve">R00756</t>
  </si>
  <si>
    <t xml:space="preserve">Aktif Mühendislik (Tesar trafo, EXW Arezzo)</t>
  </si>
  <si>
    <t xml:space="preserve">Cast Resin Transformer 3300 kVA 34,5/0,6-0,6 kV Al, IP21 (cer trafosu)</t>
  </si>
  <si>
    <t xml:space="preserve">İzmir HRS 5.Aşama Üçyol-Buca metrosu (750 V DC, ~13,5 km, 11 yeraltı istasyon + depo), Nurol teklif talebi; EXW İtalya, nakliye/montaj hariç; magnet sacı fiyat oynaklığı nedeniyle 15 gün geçerli; toplam 2.120.500 €</t>
  </si>
  <si>
    <t xml:space="preserve">R00758</t>
  </si>
  <si>
    <t xml:space="preserve">Cast Resin Transformer 2000 kVA 34,5/0,4 kV Al IP21</t>
  </si>
  <si>
    <t xml:space="preserve">R00761</t>
  </si>
  <si>
    <t xml:space="preserve">Aktif Elektroteknik (SNC OG hücre)</t>
  </si>
  <si>
    <t xml:space="preserve">2021-06-14</t>
  </si>
  <si>
    <t xml:space="preserve">SNC-1 36 kV 630 A 16 kA trafo besleme hücresi</t>
  </si>
  <si>
    <t xml:space="preserve">İzmir HRS (Buca klasörü, Yapı Merkezi'ne teklif, Haziran 2021) 750 V DC; malzeme; toplam 457.476 €</t>
  </si>
  <si>
    <t xml:space="preserve">R00762</t>
  </si>
  <si>
    <t xml:space="preserve">SNC-1 36 kV 630 A 16 kA trafo besleme hücresi (tip 2)</t>
  </si>
  <si>
    <t xml:space="preserve">R00764</t>
  </si>
  <si>
    <t xml:space="preserve">SNC-2 36 kV 1250 A 25 kA akım-gerilim ölçü hücresi</t>
  </si>
  <si>
    <t xml:space="preserve">R00765</t>
  </si>
  <si>
    <t xml:space="preserve">SNC-2 36 kV 1250 A 25 kA trafo besleme hücresi</t>
  </si>
  <si>
    <t xml:space="preserve">R00768</t>
  </si>
  <si>
    <t xml:space="preserve">Aktif Mühendislik (Tesar trafo)</t>
  </si>
  <si>
    <t xml:space="preserve">2021-06-15</t>
  </si>
  <si>
    <t xml:space="preserve">Cast resin trafo 250 kVA 34,5/0,4 kV + IP23 kabin</t>
  </si>
  <si>
    <t xml:space="preserve">İzmir HRS (Buca klasörü, Yapı Merkezi'ne teklif, Haziran 2021) 750 V DC; EXW, trafo+kabin toplandı (ör. 3300 kVA 123.750+6.875 €); 11.06.2021 Nurol teklifine göre (79.000 €) ~%57 yüksek - magnet sacı artışı/rev.</t>
  </si>
  <si>
    <t xml:space="preserve">R00769</t>
  </si>
  <si>
    <t xml:space="preserve">Aktif Mühendislik (DC hücre)</t>
  </si>
  <si>
    <t xml:space="preserve">2021-06-18</t>
  </si>
  <si>
    <t xml:space="preserve">Rectifier cubicle (12 darbe diyot, 36 diyot) 750 V DC</t>
  </si>
  <si>
    <t xml:space="preserve">İzmir HRS (Buca klasörü, Yapı Merkezi'ne teklif, Haziran 2021) 750 V DC; redresör dahil DC şalt; toplam 1.775.660 €</t>
  </si>
  <si>
    <t xml:space="preserve">R00770</t>
  </si>
  <si>
    <t xml:space="preserve">Incoming HSCB cubicle 750 V DC</t>
  </si>
  <si>
    <t xml:space="preserve">R00771</t>
  </si>
  <si>
    <t xml:space="preserve">Feeder HSCB cubicle with by-pass disconnector</t>
  </si>
  <si>
    <t xml:space="preserve">R00773</t>
  </si>
  <si>
    <t xml:space="preserve">Negative return disconnector cubicle (double)</t>
  </si>
  <si>
    <t xml:space="preserve">R00774</t>
  </si>
  <si>
    <t xml:space="preserve">Negative return disconnector cubicle (single)</t>
  </si>
  <si>
    <t xml:space="preserve">R00775</t>
  </si>
  <si>
    <t xml:space="preserve">Negative voltage limiting device (VLD)</t>
  </si>
  <si>
    <t xml:space="preserve">R00776</t>
  </si>
  <si>
    <t xml:space="preserve">NEV (Gent Vigilon)</t>
  </si>
  <si>
    <t xml:space="preserve">2021-06-22</t>
  </si>
  <si>
    <t xml:space="preserve">S-Quad optik duman dedektörü + taban (adresli)</t>
  </si>
  <si>
    <t xml:space="preserve">malzeme (dedektörlerde taban 2 €, panelde network kartı eklendi); kablo ve montaj hariç (işçilik ayrı teklif 76.441 €); 11 metro istasyonu+depo</t>
  </si>
  <si>
    <t xml:space="preserve">R00777</t>
  </si>
  <si>
    <t xml:space="preserve">Isı sensörü (adresli) + taban</t>
  </si>
  <si>
    <t xml:space="preserve">R00778</t>
  </si>
  <si>
    <t xml:space="preserve">OH optik-ısı multi sensör</t>
  </si>
  <si>
    <t xml:space="preserve">R00779</t>
  </si>
  <si>
    <t xml:space="preserve">LV Interface 1 giriş 1 çıkış modülü (IOM)</t>
  </si>
  <si>
    <t xml:space="preserve">R00780</t>
  </si>
  <si>
    <t xml:space="preserve">Vigilon adresli yangın ihbar butonu (resetlenebilir)</t>
  </si>
  <si>
    <t xml:space="preserve">R00781</t>
  </si>
  <si>
    <t xml:space="preserve">Sounder beacon IP65 kırmızı (flaşörlü siren)</t>
  </si>
  <si>
    <t xml:space="preserve">R00782</t>
  </si>
  <si>
    <t xml:space="preserve">Beam dedektör 8-100 m</t>
  </si>
  <si>
    <t xml:space="preserve">R00783</t>
  </si>
  <si>
    <t xml:space="preserve">Vigilon Compact 1-2 loop yangın paneli (akülü, 1 loop kart) + network kart</t>
  </si>
  <si>
    <t xml:space="preserve">R00784</t>
  </si>
  <si>
    <t xml:space="preserve">1-4 loop Vigilon panel (1 loop kart, 2x21Ah akü)</t>
  </si>
  <si>
    <t xml:space="preserve">R00785</t>
  </si>
  <si>
    <t xml:space="preserve">Vigilon repeat panel</t>
  </si>
  <si>
    <t xml:space="preserve">R00786</t>
  </si>
  <si>
    <t xml:space="preserve">Yangın algılama workstation</t>
  </si>
  <si>
    <t xml:space="preserve">R00787</t>
  </si>
  <si>
    <t xml:space="preserve">WINMAG plus base package 10000 (grafik izleme yazılımı)</t>
  </si>
  <si>
    <t xml:space="preserve">R00789</t>
  </si>
  <si>
    <t xml:space="preserve">Mühendislik hizmetleri ve devreye alma</t>
  </si>
  <si>
    <t xml:space="preserve">R00792</t>
  </si>
  <si>
    <t xml:space="preserve">ESCO Elektrik</t>
  </si>
  <si>
    <t xml:space="preserve">2021-06-23</t>
  </si>
  <si>
    <t xml:space="preserve">120 mm2 örgülü bakır tel (temel topraklama)</t>
  </si>
  <si>
    <t xml:space="preserve">malzeme, montaj hariç; Buca metro topraklama teklifi</t>
  </si>
  <si>
    <t xml:space="preserve">R00793</t>
  </si>
  <si>
    <t xml:space="preserve">Ø20/3500 mm som bakır topraklama elektrodu</t>
  </si>
  <si>
    <t xml:space="preserve">R00794</t>
  </si>
  <si>
    <t xml:space="preserve">30x3,5 galvaniz topraklama şeridi (rulo)</t>
  </si>
  <si>
    <t xml:space="preserve">R00795</t>
  </si>
  <si>
    <t xml:space="preserve">120 mm2 pirinç tespit klemensi silindir tip M6</t>
  </si>
  <si>
    <t xml:space="preserve">R00796</t>
  </si>
  <si>
    <t xml:space="preserve">Kompozit topraklama test rogarı</t>
  </si>
  <si>
    <t xml:space="preserve">R00798</t>
  </si>
  <si>
    <t xml:space="preserve">60x5 bakır lama 2,5 m (eşpotansiyel bara)</t>
  </si>
  <si>
    <t xml:space="preserve">R00800</t>
  </si>
  <si>
    <t xml:space="preserve">EAE Elektrik</t>
  </si>
  <si>
    <t xml:space="preserve">2021-07-27</t>
  </si>
  <si>
    <t xml:space="preserve">CTH 100 kablo kanalı 100x40x1 mm sıcak daldırma</t>
  </si>
  <si>
    <t xml:space="preserve">malzeme (ek/dönüş/askı ayrı), montaj hariç; teklif toplamı 3.912.661 $</t>
  </si>
  <si>
    <t xml:space="preserve">R00801</t>
  </si>
  <si>
    <t xml:space="preserve">CTH 200 kablo kanalı 200x40x1,5 mm SD</t>
  </si>
  <si>
    <t xml:space="preserve">R00803</t>
  </si>
  <si>
    <t xml:space="preserve">CTA 500 kablo kanalı 500x40x2 mm SD</t>
  </si>
  <si>
    <t xml:space="preserve">R00805</t>
  </si>
  <si>
    <t xml:space="preserve">KMA 300 kablo merdiveni 300x60x2 mm SD</t>
  </si>
  <si>
    <t xml:space="preserve">R00815</t>
  </si>
  <si>
    <t xml:space="preserve">Kabatas_Mecidiyekoy_Mahmutbey_Metro</t>
  </si>
  <si>
    <t xml:space="preserve">ABB Elektrik (UniGear ZS2)</t>
  </si>
  <si>
    <t xml:space="preserve">2015-02-25</t>
  </si>
  <si>
    <t xml:space="preserve">UniGear ZS2 36 kV Bara ölçü hücresi</t>
  </si>
  <si>
    <t xml:space="preserve">Kabataş-Mecidiyeköy-Mahmutbey metrosu (1500 V DC, ~24,5 km, 19 istasyon+depo, ~19 cer TM) ihale hazırlığı 2015; ABB ref 15Q2540093 (preliminary draft); malzeme satış fiyatı; standart aksesuarlar ~2.000-2.700 $/pano ayrıca</t>
  </si>
  <si>
    <t xml:space="preserve">R00825</t>
  </si>
  <si>
    <t xml:space="preserve">Schneider Elektrik (bütçe teklifi)</t>
  </si>
  <si>
    <t xml:space="preserve">2015-04-02</t>
  </si>
  <si>
    <t xml:space="preserve">2000 kVA 34,5/0,4 kV Al kuru tip trafo</t>
  </si>
  <si>
    <t xml:space="preserve">Kabataş-Mecidiyeköy-Mahmutbey metrosu (1500 V DC, ~24,5 km, 19 istasyon+depo, ~19 cer TM) ihale hazırlığı 2015; bütçe teklifi, kalem toplamından birim fiyat türetildi</t>
  </si>
  <si>
    <t xml:space="preserve">R00837</t>
  </si>
  <si>
    <t xml:space="preserve">Siemens (teklif cetveli IML7)</t>
  </si>
  <si>
    <t xml:space="preserve">2015-04-07</t>
  </si>
  <si>
    <t xml:space="preserve">34,5/0,4 kV İç ihtiyaç trafosu 2000 kVA</t>
  </si>
  <si>
    <t xml:space="preserve">Kabataş-Mecidiyeköy-Mahmutbey metrosu (1500 V DC, ~24,5 km, 19 istasyon+depo, ~19 cer TM) ihale hazırlığı 2015; EUR teklif cetveli (birim fiyatlar malzeme+montaj, cetvel formatı); akü şarj seti fiyatı düşük - kapsam belirsiz</t>
  </si>
  <si>
    <t xml:space="preserve">R00841</t>
  </si>
  <si>
    <t xml:space="preserve">Ray potansiyeli limitleme cihazı</t>
  </si>
  <si>
    <t xml:space="preserve">R00843</t>
  </si>
  <si>
    <t xml:space="preserve">Güç temini ve cer gücü tasarımı</t>
  </si>
  <si>
    <t xml:space="preserve">R00848</t>
  </si>
  <si>
    <t xml:space="preserve">Kent Meydani-Terminal Tram</t>
  </si>
  <si>
    <t xml:space="preserve">Delta Tema Elektrik (kablo)</t>
  </si>
  <si>
    <t xml:space="preserve">2015-05-29</t>
  </si>
  <si>
    <t xml:space="preserve">N2XH 0,6/1 kV 3x2,5</t>
  </si>
  <si>
    <t xml:space="preserve">Bursa T2 tramvay kablo teklifi, TL/km'den m'ye; malzeme, net fiyat (Prysmian 2015 net fiyatıyla aynı), yanındaki %55-68 sütunu muhtemelen liste iskontosu</t>
  </si>
  <si>
    <t xml:space="preserve">R00849</t>
  </si>
  <si>
    <t xml:space="preserve">N2XH 0,6/1 kV 5x2,5</t>
  </si>
  <si>
    <t xml:space="preserve">R00850</t>
  </si>
  <si>
    <t xml:space="preserve">N2XH 0,6/1 kV 4x6</t>
  </si>
  <si>
    <t xml:space="preserve">R00851</t>
  </si>
  <si>
    <t xml:space="preserve">N2XH 0,6/1 kV 1x120</t>
  </si>
  <si>
    <t xml:space="preserve">R00852</t>
  </si>
  <si>
    <t xml:space="preserve">Haluk Elektrik</t>
  </si>
  <si>
    <t xml:space="preserve">2015-06-04</t>
  </si>
  <si>
    <t xml:space="preserve">BTR E2 Galvanizli Çelik Poligon Aydınlatma Direği</t>
  </si>
  <si>
    <t xml:space="preserve">kilogram</t>
  </si>
  <si>
    <t xml:space="preserve">Bursa T2 Kent Meydanı-Terminal tramvayı (750 V DC, 11 istasyon, 6 cer TM: TR1-TR6, ihale 2015/51291); TL, 2015 kuru ~2,92-3,0 TL/€; malzeme+işçilik; fiyat kaynağı sütunu: HALUK ELK (ör. AKTİF=Aktif teklifi, ÇŞB/TEDAŞ birim fiyat, prysmian)</t>
  </si>
  <si>
    <t xml:space="preserve">R00853</t>
  </si>
  <si>
    <t xml:space="preserve">BTR E3 2 mm'lik galvanizli sac tava veya rafları</t>
  </si>
  <si>
    <t xml:space="preserve">Bursa T2 Kent Meydanı-Terminal tramvayı (750 V DC, 11 istasyon, 6 cer TM: TR1-TR6, ihale 2015/51291); TL, 2015 kuru ~2,92-3,0 TL/€; malzeme+işçilik; fiyat kaynağı sütunu: STS (ör. AKTİF=Aktif teklifi, ÇŞB/TEDAŞ birim fiyat, prysmian)</t>
  </si>
  <si>
    <t xml:space="preserve">R00864</t>
  </si>
  <si>
    <t xml:space="preserve">BTR E64 Alüminyum 36 kV 1X95+16 mm2 XLPE Kablo</t>
  </si>
  <si>
    <t xml:space="preserve">Bursa T2 Kent Meydanı-Terminal tramvayı (750 V DC, 11 istasyon, 6 cer TM: TR1-TR6, ihale 2015/51291); TL, 2015 kuru ~2,92-3,0 TL/€; malzeme+işçilik; fiyat kaynağı sütunu: prysmian (ör. AKTİF=Aktif teklifi, ÇŞB/TEDAŞ birim fiyat, prysmian)</t>
  </si>
  <si>
    <t xml:space="preserve">R00865</t>
  </si>
  <si>
    <t xml:space="preserve">BTR E65 Alüminyum 36 kV 1X150+25 mm2 XLPE Kablo</t>
  </si>
  <si>
    <t xml:space="preserve">R00866</t>
  </si>
  <si>
    <t xml:space="preserve">BTR E66 Alüminyum 36 kV 1X400+35 mm2 XLPE Kablo</t>
  </si>
  <si>
    <t xml:space="preserve">R00867</t>
  </si>
  <si>
    <t xml:space="preserve">BTR E70 250 kVA'lık 3X400 A. Oto. Şalterli Dahili Tip AG Panosu (Analizörlü, DSYA'lı ,10 kVAR Sabit Kompanzasyonlu)</t>
  </si>
  <si>
    <t xml:space="preserve">R00868</t>
  </si>
  <si>
    <t xml:space="preserve">BTR E71 400 kVA'lık 3X630 A. Oto. Şalterli Dahili Tip AG Panosu (Analizörlü, DSYA'lı ,15 kVAR Sabit Kompanzasyonlu)</t>
  </si>
  <si>
    <t xml:space="preserve">R00869</t>
  </si>
  <si>
    <t xml:space="preserve">BTR E72 630 kVA'lık 3X1000 A. Oto. Şalterli Dahili Tip AG Panosu (Analizörlü, DSYA'lı ,20 kVAR Sabit Kompanzasyonlu)</t>
  </si>
  <si>
    <t xml:space="preserve">R00872</t>
  </si>
  <si>
    <t xml:space="preserve">BTR E111 Astronomik Zaman Rölesi (Aydınlatma Kontrolü için)</t>
  </si>
  <si>
    <t xml:space="preserve">Bursa T2 Kent Meydanı-Terminal tramvayı (750 V DC, 11 istasyon, 6 cer TM: TR1-TR6, ihale 2015/51291); TL, 2015 kuru ~2,92-3,0 TL/€; malzeme+işçilik; fiyat kaynağı sütunu: ÇŞB-2015 (ör. AKTİF=Aktif teklifi, ÇŞB/TEDAŞ birim fiyat, prysmian)</t>
  </si>
  <si>
    <t xml:space="preserve">R00874</t>
  </si>
  <si>
    <t xml:space="preserve">BTR E142 400 Voltta Güç Kondansatörü bataryaları (Kompanzasyon)</t>
  </si>
  <si>
    <t xml:space="preserve">kvar</t>
  </si>
  <si>
    <t xml:space="preserve">R00876</t>
  </si>
  <si>
    <t xml:space="preserve">BTR E167 1200 kW 750 V Class VI Redresör</t>
  </si>
  <si>
    <t xml:space="preserve">Bursa T2 Kent Meydanı-Terminal tramvayı (750 V DC, 11 istasyon, 6 cer TM: TR1-TR6, ihale 2015/51291); TL, 2015 kuru ~2,92-3,0 TL/€; malzeme+işçilik; fiyat kaynağı sütunu: AKTİF (ör. AKTİF=Aktif teklifi, ÇŞB/TEDAŞ birim fiyat, prysmian)</t>
  </si>
  <si>
    <t xml:space="preserve">R00877</t>
  </si>
  <si>
    <t xml:space="preserve">BTR E168 DC Fider Çıkış (Kesicili) Hücresi</t>
  </si>
  <si>
    <t xml:space="preserve">R00878</t>
  </si>
  <si>
    <t xml:space="preserve">BTR E169 DC Negatif Geri Dönüş (Bara) Hüresi</t>
  </si>
  <si>
    <t xml:space="preserve">R00879</t>
  </si>
  <si>
    <t xml:space="preserve">BTR E170 36 kV 1250 A 25 kA Metal Cladet (LSC2B-PM) Giriş/Çıkış Ring Hücresi (SF6 Gazlı Kesicili-Arabalı)</t>
  </si>
  <si>
    <t xml:space="preserve">R00880</t>
  </si>
  <si>
    <t xml:space="preserve">BTR E171 36 kV Metal Cladet (LSC2B-PM) Akım-Gerilim Ölçü Hücresi</t>
  </si>
  <si>
    <t xml:space="preserve">R00881</t>
  </si>
  <si>
    <t xml:space="preserve">BTR E172 36 kV Metal Cladet (LSC2B-PM) Gerilim Ölçü Hücresi</t>
  </si>
  <si>
    <t xml:space="preserve">R00882</t>
  </si>
  <si>
    <t xml:space="preserve">BTR E173 36 kV, 1250A, 25 kA Metal Cladet (LSC2B-PM) Transformatör Koruma Hücresi (SF6 Gazlı Kesicili-Arabalı)</t>
  </si>
  <si>
    <t xml:space="preserve">R00886</t>
  </si>
  <si>
    <t xml:space="preserve">BTR E178 Reaktif (IGBT Tabanlı Gerçek Zamanlı Kadetemesiz) Kompanzasyon Sistemi Kurulması ve Devreye Alınması</t>
  </si>
  <si>
    <t xml:space="preserve">R00888</t>
  </si>
  <si>
    <t xml:space="preserve">BTR E180 34.5 / 0.4 kV 630 kVA Kuru Tip İç İhtiyaç Trafosu</t>
  </si>
  <si>
    <t xml:space="preserve">R00890</t>
  </si>
  <si>
    <t xml:space="preserve">BTR E182 Demirtaş T.M. 34,5 kV Fider İlavesi</t>
  </si>
  <si>
    <t xml:space="preserve">Bursa T2 Kent Meydanı-Terminal tramvayı (750 V DC, 11 istasyon, 6 cer TM: TR1-TR6, ihale 2015/51291); TL, 2015 kuru ~2,92-3,0 TL/€; malzeme+işçilik; fiyat kaynağı sütunu: MKARABACAK (ör. AKTİF=Aktif teklifi, ÇŞB/TEDAŞ birim fiyat, prysmian)</t>
  </si>
  <si>
    <t xml:space="preserve">R00894</t>
  </si>
  <si>
    <t xml:space="preserve">BTR E186 İstasyon 220 VAC Kesintisiz Güç Kaynağı Temini ve Montajı (Aydınlatma Tesisatı İçin)</t>
  </si>
  <si>
    <t xml:space="preserve">R00895</t>
  </si>
  <si>
    <t xml:space="preserve">BTR E187 Hizmet Binası 220 VAC Kesintisiz Güç Kaynağı Temini ve Montajı (Aydınlatma Tesisatı İçin)</t>
  </si>
  <si>
    <t xml:space="preserve">R00896</t>
  </si>
  <si>
    <t xml:space="preserve">BTR E188 Ray Potansiyeli Sınırlama Cihazı ve Montajı</t>
  </si>
  <si>
    <t xml:space="preserve">R00897</t>
  </si>
  <si>
    <t xml:space="preserve">BTR E189 Hat Yapıları Kaçak Akım Toplama ve Korozyon Kontrolü</t>
  </si>
  <si>
    <t xml:space="preserve">Bursa T2 Kent Meydanı-Terminal tramvayı (750 V DC, 11 istasyon, 6 cer TM: TR1-TR6, ihale 2015/51291); TL, 2015 kuru ~2,92-3,0 TL/€; malzeme+işçilik; fiyat kaynağı sütunu: 0 (ör. AKTİF=Aktif teklifi, ÇŞB/TEDAŞ birim fiyat, prysmian)</t>
  </si>
  <si>
    <t xml:space="preserve">R00898</t>
  </si>
  <si>
    <t xml:space="preserve">BTR E190 İstasyon Kaçak Akım Toplama ve Korozyon Kontrolü</t>
  </si>
  <si>
    <t xml:space="preserve">2010.B</t>
  </si>
  <si>
    <t xml:space="preserve">R00899</t>
  </si>
  <si>
    <t xml:space="preserve">BTR E191 Depo (Hizmet) Binası Kaçak Akım Toplama ve Korozyon Kontrolü</t>
  </si>
  <si>
    <t xml:space="preserve">2010.G</t>
  </si>
  <si>
    <t xml:space="preserve">R00900</t>
  </si>
  <si>
    <t xml:space="preserve">BTR E209 16 mm2 Çıplak Örgülü veya dolu (Cu) bakır tel</t>
  </si>
  <si>
    <t xml:space="preserve">R00901</t>
  </si>
  <si>
    <t xml:space="preserve">BTR E211 1 kV yeraltı kabloları ve besleme hattı (N2XH, 0,6/1 kV) 3x2,5 mm2</t>
  </si>
  <si>
    <t xml:space="preserve">R00902</t>
  </si>
  <si>
    <t xml:space="preserve">BTR E221 1 kV yeraltı kabloları ve besleme hattı (N2XH, 0,6/1 kV) 4x16 mm2</t>
  </si>
  <si>
    <t xml:space="preserve">R00903</t>
  </si>
  <si>
    <t xml:space="preserve">BTR E223 1 kV yeraltı kabloları ve besleme hattı (N2XH, 0,6/1 kV) 4x6 mm2</t>
  </si>
  <si>
    <t xml:space="preserve">R00904</t>
  </si>
  <si>
    <t xml:space="preserve">BTR E225 1 kV yeraltı kabloları ve besleme hattı (N2XH, 0,6/1 kV) 5x2,5 mm2</t>
  </si>
  <si>
    <t xml:space="preserve">R00905</t>
  </si>
  <si>
    <t xml:space="preserve">BTR E239 Sürekli yanan acil durum yönlendirme armatürü ve montajı (2 saat süreli ve çift yüzlü)</t>
  </si>
  <si>
    <t xml:space="preserve">R00906</t>
  </si>
  <si>
    <t xml:space="preserve">BTR E241 1 Çevrimli, 16 bölgeli akıllı analog adetresli yangın alarm santrali, 125 adetres kapasiteli, 16 yangın bölgesi göstergeli.</t>
  </si>
  <si>
    <t xml:space="preserve">R00907</t>
  </si>
  <si>
    <t xml:space="preserve">BTR E242 16 Bölgeli akıllı analog adetresli yangın alarm tekrarlayıcı paneli</t>
  </si>
  <si>
    <t xml:space="preserve">R00908</t>
  </si>
  <si>
    <t xml:space="preserve">BTR E243 Akıllı Analog adetresli optik duman detektörü</t>
  </si>
  <si>
    <t xml:space="preserve">Bursa T2 Kent Meydanı-Terminal tramvayı (750 V DC, 11 istasyon, 6 cer TM: TR1-TR6, ihale 2015/51291); TL, 2015 kuru ~2,92-3,0 TL/€; malzeme+işçilik; fiyat kaynağı sütunu: ARTE (ör. AKTİF=Aktif teklifi, ÇŞB/TEDAŞ birim fiyat, prysmian)</t>
  </si>
  <si>
    <t xml:space="preserve">R00909</t>
  </si>
  <si>
    <t xml:space="preserve">BTR E244 Akıllı Analog adetresli kombine optik, duman ve sıcaklık detektörü</t>
  </si>
  <si>
    <t xml:space="preserve">R00910</t>
  </si>
  <si>
    <t xml:space="preserve">BTR E245 Akıllı Analog adetresli sıfırlanabilir yangın ihbar butonu</t>
  </si>
  <si>
    <t xml:space="preserve">R00911</t>
  </si>
  <si>
    <t xml:space="preserve">BTR E246 Harici tip flaşörlü elektronik yangın ihbar sireni</t>
  </si>
  <si>
    <t xml:space="preserve">R00912</t>
  </si>
  <si>
    <t xml:space="preserve">BTR E247 Akıllı Anolog adetresli role modülü</t>
  </si>
  <si>
    <t xml:space="preserve">R00913</t>
  </si>
  <si>
    <t xml:space="preserve">BTR E248 Akıllı Anolog adetresli kontak izleme modülü</t>
  </si>
  <si>
    <t xml:space="preserve">R00914</t>
  </si>
  <si>
    <t xml:space="preserve">BTR E249 JH(St)H Halojensiz 2x2x1.5+1.5 mm2, yangın alarm kablosu</t>
  </si>
  <si>
    <t xml:space="preserve">R00915</t>
  </si>
  <si>
    <t xml:space="preserve">BTR E250 30x3,5 mm ebadetında Şartnamesine uygun galvanizli çelik lama (Bina-İstasyon topraklaması için)</t>
  </si>
  <si>
    <t xml:space="preserve">Bursa T2 Kent Meydanı-Terminal tramvayı (750 V DC, 11 istasyon, 6 cer TM: TR1-TR6, ihale 2015/51291); TL, 2015 kuru ~2,92-3,0 TL/€; malzeme+işçilik; fiyat kaynağı sütunu: TEDAŞ-2014 (ör. AKTİF=Aktif teklifi, ÇŞB/TEDAŞ birim fiyat, prysmian)</t>
  </si>
  <si>
    <t xml:space="preserve">R00916</t>
  </si>
  <si>
    <t xml:space="preserve">BTR E251 Toprak elektrodu (Çubuk) elektrolitik bakır (Q =20 mm çapında L=3,5 m boy)</t>
  </si>
  <si>
    <t xml:space="preserve">Bursa T2 Kent Meydanı-Terminal tramvayı (750 V DC, 11 istasyon, 6 cer TM: TR1-TR6, ihale 2015/51291); TL, 2015 kuru ~2,92-3,0 TL/€; malzeme+işçilik; fiyat kaynağı sütunu: ÖZEL (ör. AKTİF=Aktif teklifi, ÇŞB/TEDAŞ birim fiyat, prysmian)</t>
  </si>
  <si>
    <t xml:space="preserve">R00917</t>
  </si>
  <si>
    <t xml:space="preserve">BTR E252 Saç pano 800 mm. (800 mm genişlik 2100 mm yükseklik)</t>
  </si>
  <si>
    <t xml:space="preserve">R00920</t>
  </si>
  <si>
    <t xml:space="preserve">BTR E298 Pano Tipi Aşırı Gerilim Koruyucusu B Sınıfı,230 VAC, 3 faz-nötr-toprak</t>
  </si>
  <si>
    <t xml:space="preserve">R00921</t>
  </si>
  <si>
    <t xml:space="preserve">BTR E299 41 W Sıvaüstü 120 cm. Led Etanj Armatür (IP 65)</t>
  </si>
  <si>
    <t xml:space="preserve">R00922</t>
  </si>
  <si>
    <t xml:space="preserve">BTR E300 23 W Sıva Üstü 120 cm Led Etanj Armatür (IP 65)</t>
  </si>
  <si>
    <t xml:space="preserve">R00923</t>
  </si>
  <si>
    <t xml:space="preserve">BTR E301 19 W Sıva Üstü 60 cm Led Etanj Armatür (IP 65)</t>
  </si>
  <si>
    <t xml:space="preserve">R00924</t>
  </si>
  <si>
    <t xml:space="preserve">BTR E302 31 W Sıva Üstü (60x60 cm) Led Kare Armatür (IP 20)</t>
  </si>
  <si>
    <t xml:space="preserve">R00925</t>
  </si>
  <si>
    <t xml:space="preserve">BTR E303 24 W Sıva Üstü (15 cm) Led Downlight Armatür (IP 20)</t>
  </si>
  <si>
    <t xml:space="preserve">R00926</t>
  </si>
  <si>
    <t xml:space="preserve">BTR E304 Elektronik adetreslenebilir İnteraktif Yangın Alarm Kontrol Paneli;4 Loop 504 adetres Kapasitesine Genişliyebilir, 2x1,5mm2 Kablo ile 3000m Loop uzunluğu, 4x20 Karakter LCD Gösterge, Programlama ve Kontrol için Tuş Takımı, Tanımlanabilir 128 Yangın ALarm Bölgesi, LED Gösterge, Alrm, Arıza ve Siren ÇIkışı, Besleme ve Akü Şarj Ünitesi ile Birlikte, 2 adet Interaktif Power Loop Kartı; 252 adetres Kapasiteli Programlanabilir 8xOC Çıkışlı. 24V/7Ah Bakım gerektirmeyen akü ve 24V DC akü şarj ünitesi dahil.</t>
  </si>
  <si>
    <t xml:space="preserve">R00927</t>
  </si>
  <si>
    <t xml:space="preserve">BTR E309 Fireray Reflektörlü Işın Tipi Duman Dedektörü, Ayarlanabilir 5-100m Açıklık Mesafesi, 15m Koruma Eni, Işın Verici, Reflektör ve Kontrol Ünitesi İle Birlikte</t>
  </si>
  <si>
    <t xml:space="preserve">R00929</t>
  </si>
  <si>
    <t xml:space="preserve">BTR E342 Normal sorti halogenfree aydınlatma sortisi</t>
  </si>
  <si>
    <t xml:space="preserve">R00930</t>
  </si>
  <si>
    <t xml:space="preserve">BTR E345 Paralel sorti halogenfree aydınlatma sortisi</t>
  </si>
  <si>
    <t xml:space="preserve">R00934</t>
  </si>
  <si>
    <t xml:space="preserve">MET Mühendislik (keşif/maliyet tahmini)</t>
  </si>
  <si>
    <t xml:space="preserve">2015-06-08</t>
  </si>
  <si>
    <t xml:space="preserve">BTR E2 Galvanizli Celik Poligon Aydinlatma Diregi</t>
  </si>
  <si>
    <t xml:space="preserve">Bursa T2 Kent Meydanı-Terminal tramvayı (750 V DC, 11 istasyon, 6 cer TM: TR1-TR6, ihale 2015/51291); TL, 2015 kuru ~2,92-3,0 TL/€; ELEKTRİK BİRİM FİYAT CETVELİ (maliyet keşfi, tedarikçi teklifi değil)</t>
  </si>
  <si>
    <t xml:space="preserve">R00935</t>
  </si>
  <si>
    <t xml:space="preserve">BTR E3 2 mm²lik galvanizli sac tava veya raflan</t>
  </si>
  <si>
    <t xml:space="preserve">R00943</t>
  </si>
  <si>
    <t xml:space="preserve">BTR E64 Aluminyum 36 kV 1X95+16 mm2 XLPE Kablo</t>
  </si>
  <si>
    <t xml:space="preserve">R00944</t>
  </si>
  <si>
    <t xml:space="preserve">BTR E65 Aluminyum 36 kV 1X150+25 mm2 XLPE Kablo</t>
  </si>
  <si>
    <t xml:space="preserve">R00945</t>
  </si>
  <si>
    <t xml:space="preserve">BTR E66 Aluminyum 36 kV 1X400+35 mm2 XLPE Kablo</t>
  </si>
  <si>
    <t xml:space="preserve">R00946</t>
  </si>
  <si>
    <t xml:space="preserve">BTR E72 630 kVA'LIK 3X1000 A. Oto. $alterli Dahili Tip AG Panosu (Analizörlü, DSYA'IJ ,20 kVAR Sabit Kompanzasyon lul</t>
  </si>
  <si>
    <t xml:space="preserve">R00947</t>
  </si>
  <si>
    <t xml:space="preserve">BTR E108 110 V Redresor ve 110 V 50 Ah Stasyoner Aku Grubu Temini ve Montajının Yapılması.</t>
  </si>
  <si>
    <t xml:space="preserve">R00949</t>
  </si>
  <si>
    <t xml:space="preserve">BTR E111 Astronomik Zaman Rolesi {Aydınlatma Kontrolu icin)</t>
  </si>
  <si>
    <t xml:space="preserve">R00951</t>
  </si>
  <si>
    <t xml:space="preserve">R00954</t>
  </si>
  <si>
    <t xml:space="preserve">BTR E168 DC Fider Cıkış (Kesicili) Hucresi</t>
  </si>
  <si>
    <t xml:space="preserve">R00956</t>
  </si>
  <si>
    <t xml:space="preserve">BTR E170 36 kV 1250 A 25 kA Metal Clad (LSC2B-PM) Giriş Çıkış  Ring Hucresi (SF6 Gazlt Kesicili-Arabalı )</t>
  </si>
  <si>
    <t xml:space="preserve">R00957</t>
  </si>
  <si>
    <t xml:space="preserve">BTR E171 36 kV Metal Clad(LSC2B-PM) Akım-Gerilim Olcu Hucresi</t>
  </si>
  <si>
    <t xml:space="preserve">R00958</t>
  </si>
  <si>
    <t xml:space="preserve">BTR E172 36 kV Metal Clad (LSC2B-PM) Gerilim Olcu Hucresi</t>
  </si>
  <si>
    <t xml:space="preserve">R00962</t>
  </si>
  <si>
    <t xml:space="preserve">BTR E180 34.5 / 0.4 kV 630 kVA Kuru Tip lç lhtiyac Trafosu</t>
  </si>
  <si>
    <t xml:space="preserve">R00964</t>
  </si>
  <si>
    <t xml:space="preserve">BTR E182 Demirtas T.M. 34,5 kV Fider ilavesi</t>
  </si>
  <si>
    <t xml:space="preserve">R00966</t>
  </si>
  <si>
    <t xml:space="preserve">BTR E187 Hizmet Binası 220 VAC Kesintisiz Güç Kaynağı (Aydınlatma Tesisatı için)</t>
  </si>
  <si>
    <t xml:space="preserve">R00967</t>
  </si>
  <si>
    <t xml:space="preserve">R00968</t>
  </si>
  <si>
    <t xml:space="preserve">R00969</t>
  </si>
  <si>
    <t xml:space="preserve">R00970</t>
  </si>
  <si>
    <t xml:space="preserve">R00971</t>
  </si>
  <si>
    <t xml:space="preserve">BTR E209 16 mm2 Çıplak Orgulü veya dolu (Cu) Bakır tel</t>
  </si>
  <si>
    <t xml:space="preserve">R00972</t>
  </si>
  <si>
    <t xml:space="preserve">BTR E211 1 kV yeraltı kablolan ve besleme hattı (N2XH, 0,6/1 kV) 3x2,5 mm2</t>
  </si>
  <si>
    <t xml:space="preserve">R00973</t>
  </si>
  <si>
    <t xml:space="preserve">BTR E221 1 kV yeraltı kablolan ve besleme hattı (N2XH, 0,6/1 kV) 4x16 mm2</t>
  </si>
  <si>
    <t xml:space="preserve">R00974</t>
  </si>
  <si>
    <t xml:space="preserve">BTR E223 1 kV yeraltı kabloları ve besleme hattı (N2XH,0,6/1 kV) 4x6 mm2</t>
  </si>
  <si>
    <t xml:space="preserve">R00975</t>
  </si>
  <si>
    <t xml:space="preserve">BTR E225 1 kV yeraltı kabloları ve besleme hattı (N2XH,0,6/1 kV) 5x2,5 mm2</t>
  </si>
  <si>
    <t xml:space="preserve">R00976</t>
  </si>
  <si>
    <t xml:space="preserve">BTR E242 16 Bölgeli akıllı analog adresli yangın alarm tekrarlayım paneli</t>
  </si>
  <si>
    <t xml:space="preserve">R00977</t>
  </si>
  <si>
    <t xml:space="preserve">BTR E243 Akıllı Analog adresli optik duman detektorü</t>
  </si>
  <si>
    <t xml:space="preserve">R00978</t>
  </si>
  <si>
    <t xml:space="preserve">BTR E244 Akıllı Analog adresli kombine optik, duman ve sıcaklık detektörü</t>
  </si>
  <si>
    <t xml:space="preserve">R00979</t>
  </si>
  <si>
    <t xml:space="preserve">BTR E245 Akıllı Analog adresli sıfırlanabilir yangın ihbar butonu</t>
  </si>
  <si>
    <t xml:space="preserve">R00980</t>
  </si>
  <si>
    <t xml:space="preserve">BTR E246 Harici tip flasörlü elektronik yangın ihbar sireni</t>
  </si>
  <si>
    <t xml:space="preserve">R00981</t>
  </si>
  <si>
    <t xml:space="preserve">BTR E247 Akıllı Anolog adresli role modülü</t>
  </si>
  <si>
    <t xml:space="preserve">R00982</t>
  </si>
  <si>
    <t xml:space="preserve">BTR E248 Akıllı Anolog adresli kontak izleme modülü</t>
  </si>
  <si>
    <t xml:space="preserve">R00983</t>
  </si>
  <si>
    <t xml:space="preserve">BTR E249 JH(St)H Halojensiz 2x2x1.5+1.5 mm2, yangm alarm kablosu</t>
  </si>
  <si>
    <t xml:space="preserve">R00984</t>
  </si>
  <si>
    <t xml:space="preserve">BTR E251 Toprak elektrodu (yubuk) elektrolitik Bakır (Q =20 mm   p1nda L=3,5 m boy)</t>
  </si>
  <si>
    <t xml:space="preserve">R00985</t>
  </si>
  <si>
    <t xml:space="preserve">BTR E252 Sac pano 800 mm. (800 mm genislik 2100 mm yukseklik)</t>
  </si>
  <si>
    <t xml:space="preserve">R00987</t>
  </si>
  <si>
    <t xml:space="preserve">BTR E298 Pano Tipi Asırı Gerilim Koruyucusu B Sınıfı,230 VAC, 3 faz-nötr-toprak</t>
  </si>
  <si>
    <t xml:space="preserve">R00988</t>
  </si>
  <si>
    <t xml:space="preserve">BTR E299 41 W Sıvaüstü 120 cm. Led Etanj Armatur (IP 65)</t>
  </si>
  <si>
    <t xml:space="preserve">R00989</t>
  </si>
  <si>
    <t xml:space="preserve">BTR E300 23 W Sıvaüstü  120 cm Led Etani Armatür (IP 65)</t>
  </si>
  <si>
    <t xml:space="preserve">R00990</t>
  </si>
  <si>
    <t xml:space="preserve">BTR E301 19 W Sıvaüstü  60 cm Led Etanj Armatur (IP 65)</t>
  </si>
  <si>
    <t xml:space="preserve">R00991</t>
  </si>
  <si>
    <t xml:space="preserve">BTR E302 31 W Sıvaüstü  (60x60 cm) Led Kare Armator (IP 20)</t>
  </si>
  <si>
    <t xml:space="preserve">R00992</t>
  </si>
  <si>
    <t xml:space="preserve">BTR E303 24 W Sıvaüstü  (15 cm) Led Downlight Armator (IP 20)</t>
  </si>
  <si>
    <t xml:space="preserve">R01043</t>
  </si>
  <si>
    <t xml:space="preserve">Kocaeli_Sekapark_Otogar_Tramvay (Kent Meydani klasöründe)</t>
  </si>
  <si>
    <t xml:space="preserve">Kocaeli tramvay yüklenici teklif cetveli (Sekaray?)</t>
  </si>
  <si>
    <t xml:space="preserve">2015-04-06</t>
  </si>
  <si>
    <t xml:space="preserve">RING HÜCRESİ 36 kV</t>
  </si>
  <si>
    <t xml:space="preserve">ad</t>
  </si>
  <si>
    <t xml:space="preserve">Kocaeli Sekapark-Otogar tramvayı (750 V DC, 6 cer TM, 12x1500 kVA cer trafo) teklif cetveli; TL KDV hariç; dosya YAPIRAY_BURSA_Teklifler klasöründe referans olarak</t>
  </si>
  <si>
    <t xml:space="preserve">R01044</t>
  </si>
  <si>
    <t xml:space="preserve">TRAFO BESLEME HÜCRESİ 36 kV</t>
  </si>
  <si>
    <t xml:space="preserve">R01047</t>
  </si>
  <si>
    <t xml:space="preserve">DC ÇIKIŞ FİDER HÜCRESİ</t>
  </si>
  <si>
    <t xml:space="preserve">R01048</t>
  </si>
  <si>
    <t xml:space="preserve">DC GİRİŞ FİDER HÜCRESİ</t>
  </si>
  <si>
    <t xml:space="preserve">R01049</t>
  </si>
  <si>
    <t xml:space="preserve">DC NEGATİF BARA HÜCRESİ</t>
  </si>
  <si>
    <t xml:space="preserve">R01050</t>
  </si>
  <si>
    <t xml:space="preserve">DC SİSTEM KABLOLARI (1x240 2XSY) 1,8/3 kV</t>
  </si>
  <si>
    <t xml:space="preserve">R01052</t>
  </si>
  <si>
    <t xml:space="preserve">İÇ İHTİYAÇ TRAFOSU 250 KVA</t>
  </si>
  <si>
    <t xml:space="preserve">R01053</t>
  </si>
  <si>
    <t xml:space="preserve">220/380 V AC DAĞITIM PANOSU (cer TM)</t>
  </si>
  <si>
    <t xml:space="preserve">R01054</t>
  </si>
  <si>
    <t xml:space="preserve">110 V DC BESLEME/DAĞITIM PANOSU</t>
  </si>
  <si>
    <t xml:space="preserve">R01055</t>
  </si>
  <si>
    <t xml:space="preserve">REDRESÖR GRUBU 110 V DC 85 Ah (Ni-Cd akü+şarj)</t>
  </si>
  <si>
    <t xml:space="preserve">R01056</t>
  </si>
  <si>
    <t xml:space="preserve">TRAFO MERKEZİ TOPRAKLAMA VE YILDIRIMDAN KORUMA SİSTEMİ</t>
  </si>
  <si>
    <t xml:space="preserve">R01057</t>
  </si>
  <si>
    <t xml:space="preserve">KESİNTİSİZ GÜÇ KAYNAKLARI (UPS) 20 kVA (cer TM)</t>
  </si>
  <si>
    <t xml:space="preserve">R01067</t>
  </si>
  <si>
    <t xml:space="preserve">Sekaray BFTC (taşeron/ tedarikçi birim fiyat teklifi)</t>
  </si>
  <si>
    <t xml:space="preserve">2015-04-08</t>
  </si>
  <si>
    <t xml:space="preserve">RING HÜCRESİ metal gövdeli 36 kV 1250 A 25 kA vakum kesicili arabalı, röle+analizör+AT/GT dahil</t>
  </si>
  <si>
    <t xml:space="preserve">Kocaeli Sekapark-Otogar tramvayı (750 V DC, 6 cer TM, 12x1500 kVA cer trafo) teklif cetveli; TL KDV hariç; dosya YAPIRAY_BURSA_Teklifler klasöründe referans olarak; bu teklifte cer trafo, redresör, DC hücreler fiyatlandırılmamış (-); TL</t>
  </si>
  <si>
    <t xml:space="preserve">R01068</t>
  </si>
  <si>
    <t xml:space="preserve">TRAFO BESLEME HÜCRESİ 36 kV 630 A 25 kA SF6/vakum kesicili arabalı, röle+analizör</t>
  </si>
  <si>
    <t xml:space="preserve">R01070</t>
  </si>
  <si>
    <t xml:space="preserve">İÇ İHTİYAÇ TRAFOSU 250 kVA kuru tip bakır sargılı kabinli IP23</t>
  </si>
  <si>
    <t xml:space="preserve">R01071</t>
  </si>
  <si>
    <t xml:space="preserve">220/380 V AC DAĞITIM PANOSU</t>
  </si>
  <si>
    <t xml:space="preserve">R01075</t>
  </si>
  <si>
    <t xml:space="preserve">DC SİSTEM KABLOLARI (1x240 2XSY)</t>
  </si>
  <si>
    <t xml:space="preserve">mt</t>
  </si>
  <si>
    <t xml:space="preserve">R01077</t>
  </si>
  <si>
    <t xml:space="preserve">Adreslenebilir yangın alarm kontrol paneli 128 bölge</t>
  </si>
  <si>
    <t xml:space="preserve">R01078</t>
  </si>
  <si>
    <t xml:space="preserve">Adresli optik duman dedektörü</t>
  </si>
  <si>
    <t xml:space="preserve">R01080</t>
  </si>
  <si>
    <t xml:space="preserve">Adresli yangın alarm butonu cam kırma tipi izolatörlü</t>
  </si>
  <si>
    <t xml:space="preserve">R01081</t>
  </si>
  <si>
    <t xml:space="preserve">Elektronik siren 106 dB</t>
  </si>
  <si>
    <t xml:space="preserve">R01082</t>
  </si>
  <si>
    <t xml:space="preserve">Fireray reflektörlü ışın tipi duman dedektörü 5-50 m</t>
  </si>
  <si>
    <t xml:space="preserve">R01083</t>
  </si>
  <si>
    <t xml:space="preserve">Mezitli_3_Ocak_HRS_Metro</t>
  </si>
  <si>
    <t xml:space="preserve">Aktif Mühendislik (cast resin trafo)</t>
  </si>
  <si>
    <t xml:space="preserve">2021-01-11</t>
  </si>
  <si>
    <t xml:space="preserve">Cast resin cer trafosu 2500 kVA 31,5/0,6-0,6 kV + IP23 kabin</t>
  </si>
  <si>
    <t xml:space="preserve">Mersin metrosu Gar-Mezitli (1500 V DC, ~13,4 km, 11 yeraltı istasyon+depo, 5 cer TM, 31,5 kV); trafo+kabin fiyatı toplandı (cer trafo 47.375+7.500 €); EXW, 30 gün geçerli; toplam 1.016.250 €; NOT: 31,5 kV (URF 34,5 kV)</t>
  </si>
  <si>
    <t xml:space="preserve">R01085</t>
  </si>
  <si>
    <t xml:space="preserve">Cast resin trafo 2000 kVA 31,5/0,4 kV + IP23 kabin</t>
  </si>
  <si>
    <t xml:space="preserve">R01091</t>
  </si>
  <si>
    <t xml:space="preserve">Siemens Mobility (BFTC REV)</t>
  </si>
  <si>
    <t xml:space="preserve">2021-02-02</t>
  </si>
  <si>
    <t xml:space="preserve">31,5/0,4 kV iç ihtiyaç trafosu 2000 kVA</t>
  </si>
  <si>
    <t xml:space="preserve">Mersin metrosu Gar-Mezitli (1500 V DC, ~13,4 km, 11 yeraltı istasyon+depo, 5 cer TM, 31,5 kV); BFTC birim fiyat (temin+montaj kabulü), KDV hariç</t>
  </si>
  <si>
    <t xml:space="preserve">R01093</t>
  </si>
  <si>
    <t xml:space="preserve">Cer merkezi cer trafosu 2500 kVA (1500 V DC)</t>
  </si>
  <si>
    <t xml:space="preserve">R01098</t>
  </si>
  <si>
    <t xml:space="preserve">Güç temini ve cer gücü tasarım hizmetleri</t>
  </si>
  <si>
    <t xml:space="preserve">R01101</t>
  </si>
  <si>
    <t xml:space="preserve">Arkom</t>
  </si>
  <si>
    <t xml:space="preserve">2021-02-09</t>
  </si>
  <si>
    <t xml:space="preserve">200 mm sıcak daldırma galvaniz kablo kanalı h60 e2,0 (STS)</t>
  </si>
  <si>
    <t xml:space="preserve">Mersin metrosu Gar-Mezitli (1500 V DC, ~13,4 km, 11 yeraltı istasyon+depo, 5 cer TM, 31,5 kV); malzeme, Ankara depo teslim, KDV hariç</t>
  </si>
  <si>
    <t xml:space="preserve">R01102</t>
  </si>
  <si>
    <t xml:space="preserve">100 mm SD galvaniz kablo kanalı h60 e2,0</t>
  </si>
  <si>
    <t xml:space="preserve">R01103</t>
  </si>
  <si>
    <t xml:space="preserve">500 mm kablo merdiveni h60 e2,0</t>
  </si>
  <si>
    <t xml:space="preserve">R01104</t>
  </si>
  <si>
    <t xml:space="preserve">600 mm SD galvaniz kablo kanalı h60 e2,0</t>
  </si>
  <si>
    <t xml:space="preserve">R01105</t>
  </si>
  <si>
    <t xml:space="preserve">400 mm SD galvaniz kablo kanalı</t>
  </si>
  <si>
    <t xml:space="preserve">R01106</t>
  </si>
  <si>
    <t xml:space="preserve">30x3,5 mm galvaniz topraklama şeridi</t>
  </si>
  <si>
    <t xml:space="preserve">R01107</t>
  </si>
  <si>
    <t xml:space="preserve">1x120 mm2 örgülü çıplak bakır iletken</t>
  </si>
  <si>
    <t xml:space="preserve">Mersin metrosu Gar-Mezitli (1500 V DC, ~13,4 km, 11 yeraltı istasyon+depo, 5 cer TM, 31,5 kV); malzeme, Ankara depo teslim, KDV hariç; 120 mm2 örgülü Cu ~1,08 kg/m → ~80 TL/m</t>
  </si>
  <si>
    <t xml:space="preserve">R01108</t>
  </si>
  <si>
    <t xml:space="preserve">Eş potansiyel topraklama barası</t>
  </si>
  <si>
    <t xml:space="preserve">R01109</t>
  </si>
  <si>
    <t xml:space="preserve">16 mm2 NYAF-HF kablo</t>
  </si>
  <si>
    <t xml:space="preserve">R01115</t>
  </si>
  <si>
    <t xml:space="preserve">Usk_Umr_Cekmekoy_Metro_Ins_ve_EM</t>
  </si>
  <si>
    <t xml:space="preserve">ABB (PPTR transformatör)</t>
  </si>
  <si>
    <t xml:space="preserve">2011-07-15</t>
  </si>
  <si>
    <t xml:space="preserve">DTE 630/36 kuru tip trafo 630 kVA</t>
  </si>
  <si>
    <t xml:space="preserve">Üsküdar-Ümraniye-Çekmeköy metrosu (1500 V DC, ~20 km, 16 istasyon+depo, 10 redresör merkezi) 2011; malzeme, 20-22 hafta teslim; tip testleri ayrı (sıcaklık artış 2.500 €/ad); toplam 53 ad 2.430.900 €</t>
  </si>
  <si>
    <t xml:space="preserve">R01129</t>
  </si>
  <si>
    <t xml:space="preserve">Siemens</t>
  </si>
  <si>
    <t xml:space="preserve">2011-08-12</t>
  </si>
  <si>
    <t xml:space="preserve">110V 50A Redresör / 110V 50A Rectifier</t>
  </si>
  <si>
    <t xml:space="preserve">M+İ</t>
  </si>
  <si>
    <t xml:space="preserve">[AYKIRI DEĞER – otomatik dışlandı] 1500 V DC metro (Üsküdar-Ümraniye-Çekmeköy), Siemens 34,5 kV 8BT2/Simoprime; malzeme+montaj ayrı; KDV hariç</t>
  </si>
  <si>
    <t xml:space="preserve">R01130</t>
  </si>
  <si>
    <t xml:space="preserve">Aküler 185Ah / Batteries 185Ah</t>
  </si>
  <si>
    <t xml:space="preserve">1500 V DC metro (Üsküdar-Ümraniye-Çekmeköy), Siemens 34,5 kV 8BT2/Simoprime; malzeme+montaj ayrı; KDV hariç</t>
  </si>
  <si>
    <t xml:space="preserve">R01159</t>
  </si>
  <si>
    <t xml:space="preserve">Ray Potansiyeli Limitleme Cihazı Sitras SCD / Rail Potential Limiting Device Sitras SCD</t>
  </si>
  <si>
    <t xml:space="preserve">R01183</t>
  </si>
  <si>
    <t xml:space="preserve">bina</t>
  </si>
  <si>
    <t xml:space="preserve">Yapı Merkezi İDİS maliyet çalışması (marka sütunu: tedarikçi)</t>
  </si>
  <si>
    <t xml:space="preserve">2019-03-18</t>
  </si>
  <si>
    <t xml:space="preserve">782.703 Telefon prizi rj-11 veya rj-12 (6 kontaklı) (22,5 x 45 mm)</t>
  </si>
  <si>
    <t xml:space="preserve">AD</t>
  </si>
  <si>
    <t xml:space="preserve">Yerköy-Sivas YHT 5 istasyon binası elektrik BoQ; birim_fiyat = YM malzeme(TL, kur 6,18 TL/EUR)+işçilik maliyeti; YM teklif birim fiyatı: 10.8 TL; marka: </t>
  </si>
  <si>
    <t xml:space="preserve">R01188</t>
  </si>
  <si>
    <t xml:space="preserve">825.226 en az 10 cm rakam yüksekliği çift taraflı IP Dijital Tali Saat</t>
  </si>
  <si>
    <t xml:space="preserve">Yerköy-Sivas YHT 5 istasyon binası elektrik BoQ; birim_fiyat = YM malzeme(TL, kur 6,18 TL/EUR)+işçilik maliyeti; YM teklif birim fiyatı: 2920.0 TL; marka: On El./Avikon/Lancom</t>
  </si>
  <si>
    <t xml:space="preserve">R01190</t>
  </si>
  <si>
    <t xml:space="preserve">833.1210 Dijital acil anons çağrı istasyonu, en az 8 bölgeli</t>
  </si>
  <si>
    <t xml:space="preserve">4008</t>
  </si>
  <si>
    <t xml:space="preserve">Yerköy-Sivas YHT 5 istasyon binası elektrik BoQ; birim_fiyat = YM malzeme(TL, kur 6,18 TL/EUR)+işçilik maliyeti; YM teklif birim fiyatı: 2900.0 TL; marka: Bosch/Ambient</t>
  </si>
  <si>
    <t xml:space="preserve">R01196</t>
  </si>
  <si>
    <t xml:space="preserve">880.602 4 core mm zırhlı f/o kablo multi mode fiber optik kablo</t>
  </si>
  <si>
    <t xml:space="preserve">MT</t>
  </si>
  <si>
    <t xml:space="preserve">Yerköy-Sivas YHT 5 istasyon binası elektrik BoQ; birim_fiyat = YM malzeme(TL, kur 6,18 TL/EUR)+işçilik maliyeti; YM teklif birim fiyatı: 6.05 TL; marka: </t>
  </si>
  <si>
    <t xml:space="preserve">R01197</t>
  </si>
  <si>
    <t xml:space="preserve">880.780 Rak tipi fiber optik terminasyon birimi 12 fiber kapasiteli sc / mm</t>
  </si>
  <si>
    <t xml:space="preserve">Yerköy-Sivas YHT 5 istasyon binası elektrik BoQ; birim_fiyat = YM malzeme(TL, kur 6,18 TL/EUR)+işçilik maliyeti; YM teklif birim fiyatı: 570.0 TL; marka: </t>
  </si>
  <si>
    <t xml:space="preserve">R01201</t>
  </si>
  <si>
    <t xml:space="preserve">KTB-ELK.020.1 SABİT KAMERA MONTAJ DİREĞİ</t>
  </si>
  <si>
    <t xml:space="preserve">Yerköy-Sivas YHT 5 istasyon binası elektrik BoQ; birim_fiyat = YM malzeme(TL, kur 6,18 TL/EUR)+işçilik maliyeti; YM teklif birim fiyatı: 519.62 TL; marka: Mitaş/Çepaş</t>
  </si>
  <si>
    <t xml:space="preserve">R01202</t>
  </si>
  <si>
    <t xml:space="preserve">ÖZ-ELK.12 F/O Dönüştürücü 2 port</t>
  </si>
  <si>
    <t xml:space="preserve">Yerköy-Sivas YHT 5 istasyon binası elektrik BoQ; birim_fiyat = YM malzeme(TL, kur 6,18 TL/EUR)+işçilik maliyeti; YM teklif birim fiyatı: 426.41 TL; marka: </t>
  </si>
  <si>
    <t xml:space="preserve">R01206</t>
  </si>
  <si>
    <t xml:space="preserve">ÖZ-ELK.22 Harici vandal proof  2 MP Box IP kamera ( D/N) (Ayak,Lens vb dahil) 50 IRE F 1:2 de 1 lx, S/B da 0.25 lx. POE</t>
  </si>
  <si>
    <t xml:space="preserve">Yerköy-Sivas YHT 5 istasyon binası elektrik BoQ; birim_fiyat = YM malzeme(TL, kur 6,18 TL/EUR)+işçilik maliyeti; YM teklif birim fiyatı: 2387.5 TL; marka: Bosch/Axis</t>
  </si>
  <si>
    <t xml:space="preserve">R01208</t>
  </si>
  <si>
    <t xml:space="preserve">ÖZ-ELK.26 42" LED CCTV Renkli Monitör + Askı Tertibatı Dahil</t>
  </si>
  <si>
    <t xml:space="preserve">Yerköy-Sivas YHT 5 istasyon binası elektrik BoQ; birim_fiyat = YM malzeme(TL, kur 6,18 TL/EUR)+işçilik maliyeti; YM teklif birim fiyatı: 7079.6 TL; marka: </t>
  </si>
  <si>
    <t xml:space="preserve">R01209</t>
  </si>
  <si>
    <t xml:space="preserve">ÖZ-ELK.27 21,5" LED CCTV Renkli Monitör + Askı Tertibatı Dahil</t>
  </si>
  <si>
    <t xml:space="preserve">Yerköy-Sivas YHT 5 istasyon binası elektrik BoQ; birim_fiyat = YM malzeme(TL, kur 6,18 TL/EUR)+işçilik maliyeti; YM teklif birim fiyatı: 1634.52 TL; marka: </t>
  </si>
  <si>
    <t xml:space="preserve">R01210</t>
  </si>
  <si>
    <t xml:space="preserve">ÖZ-ELK.29 Omurga switch (bakır) 3U</t>
  </si>
  <si>
    <t xml:space="preserve">Yerköy-Sivas YHT 5 istasyon binası elektrik BoQ; birim_fiyat = YM malzeme(TL, kur 6,18 TL/EUR)+işçilik maliyeti; YM teklif birim fiyatı: 15952.7 TL; marka: </t>
  </si>
  <si>
    <t xml:space="preserve">R01211</t>
  </si>
  <si>
    <t xml:space="preserve">ÖZ-ELK.30 Kamera Direği Ø4" çelik boru h=4m</t>
  </si>
  <si>
    <t xml:space="preserve">Yerköy-Sivas YHT 5 istasyon binası elektrik BoQ; birim_fiyat = YM malzeme(TL, kur 6,18 TL/EUR)+işçilik maliyeti; YM teklif birim fiyatı: 1464.19 TL; marka: Şara</t>
  </si>
  <si>
    <t xml:space="preserve">R01213</t>
  </si>
  <si>
    <t xml:space="preserve">ÖZ-ELK.33 24 port 10/100/1000 Mbps 10Gb E Switch</t>
  </si>
  <si>
    <t xml:space="preserve">Yerköy-Sivas YHT 5 istasyon binası elektrik BoQ; birim_fiyat = YM malzeme(TL, kur 6,18 TL/EUR)+işçilik maliyeti; YM teklif birim fiyatı: 6666.8 TL; marka: </t>
  </si>
  <si>
    <t xml:space="preserve">R01214</t>
  </si>
  <si>
    <t xml:space="preserve">ÖZ-ELK.51 Güç Kaynağı (IP Kamera) Redundant</t>
  </si>
  <si>
    <t xml:space="preserve">Yerköy-Sivas YHT 5 istasyon binası elektrik BoQ; birim_fiyat = YM malzeme(TL, kur 6,18 TL/EUR)+işçilik maliyeti; YM teklif birim fiyatı: 10275.0 TL; marka: </t>
  </si>
  <si>
    <t xml:space="preserve">R01217</t>
  </si>
  <si>
    <t xml:space="preserve">ÖZ-ELK.61 PoE Switch 8 Port</t>
  </si>
  <si>
    <t xml:space="preserve">Yerköy-Sivas YHT 5 istasyon binası elektrik BoQ; birim_fiyat = YM malzeme(TL, kur 6,18 TL/EUR)+işçilik maliyeti; YM teklif birim fiyatı: 3809.6 TL; marka: </t>
  </si>
  <si>
    <t xml:space="preserve">R01218</t>
  </si>
  <si>
    <t xml:space="preserve">ÖZ-ELK.71 24 port 10/100/1000 TX POE+2 Port SPF Switch 1U</t>
  </si>
  <si>
    <t xml:space="preserve">Yerköy-Sivas YHT 5 istasyon binası elektrik BoQ; birim_fiyat = YM malzeme(TL, kur 6,18 TL/EUR)+işçilik maliyeti; YM teklif birim fiyatı: 5238.2 TL; marka: </t>
  </si>
  <si>
    <t xml:space="preserve">R01242</t>
  </si>
  <si>
    <t xml:space="preserve">Thales (İspanya)</t>
  </si>
  <si>
    <t xml:space="preserve">2012-04-24</t>
  </si>
  <si>
    <t xml:space="preserve">UPQ 33 Konsollar (sayısal telefon seti)</t>
  </si>
  <si>
    <t xml:space="preserve">ADET</t>
  </si>
  <si>
    <t xml:space="preserve">Başkentray Kayaş-Ankara-Sincan banliyö (28 istasyon); Thales sinyal&amp;telekom BoQ; para birimi tabloda yazmıyor, ihale BoQ formatı EURO; malzeme+işçilik; Kayaş-Sincan (28 ist.)</t>
  </si>
  <si>
    <t xml:space="preserve">R01252</t>
  </si>
  <si>
    <t xml:space="preserve">859.4 10 W hava bacinçli (horn) harici hoparlör</t>
  </si>
  <si>
    <t xml:space="preserve">Başkentray Kayaş-Ankara-Sincan banliyö (28 istasyon); Thales sinyal&amp;telekom BoQ; para birimi tabloda yazmıyor, ihale BoQ formatı EURO; malzeme+işçilik; alt iş kalemi detay sayfası (malzeme+işçilik)</t>
  </si>
  <si>
    <t xml:space="preserve">R01255</t>
  </si>
  <si>
    <t xml:space="preserve">860.1 PID merkezi sunucusu</t>
  </si>
  <si>
    <t xml:space="preserve">R01276</t>
  </si>
  <si>
    <t xml:space="preserve">24 fiberli optik kablo</t>
  </si>
  <si>
    <t xml:space="preserve">km</t>
  </si>
  <si>
    <t xml:space="preserve">Başkentray Kayaş-Ankara-Sincan banliyö (28 istasyon); Thales sinyal&amp;telekom BoQ; para birimi tabloda yazmıyor, ihale BoQ formatı EURO; malzeme+işçilik; haberleşme kabloları detay (Türkiye menşei)</t>
  </si>
  <si>
    <t xml:space="preserve">R01278</t>
  </si>
  <si>
    <t xml:space="preserve">96 fiberlik ODF (pigtail+konnektör)</t>
  </si>
  <si>
    <t xml:space="preserve">R01279</t>
  </si>
  <si>
    <t xml:space="preserve">24 fiberlik ODF (pigtail+konnektör)</t>
  </si>
  <si>
    <t xml:space="preserve">R01281</t>
  </si>
  <si>
    <t xml:space="preserve">Fiber optik terminasyon kutusu</t>
  </si>
  <si>
    <t xml:space="preserve">R01282</t>
  </si>
  <si>
    <t xml:space="preserve">96 FO kablo OTDR/zayıflama ölçümü</t>
  </si>
  <si>
    <t xml:space="preserve">R01283</t>
  </si>
  <si>
    <t xml:space="preserve">24 FO kablo OTDR/zayıflama ölçümü</t>
  </si>
  <si>
    <t xml:space="preserve">R01290</t>
  </si>
  <si>
    <t xml:space="preserve">Cerkezkoy_Kapikule_Railway</t>
  </si>
  <si>
    <t xml:space="preserve">anahat</t>
  </si>
  <si>
    <t xml:space="preserve">Yapı Merkezi İDİS bütçe (tedarikçi: Netaş, Iskratel, Bosch, On Elektronik, Prysmian)</t>
  </si>
  <si>
    <t xml:space="preserve">2018-10-16</t>
  </si>
  <si>
    <t xml:space="preserve">501.4 Industrial switches</t>
  </si>
  <si>
    <t xml:space="preserve">Kapıkule-Çerkezköy anahat (~230 km, 7 istasyon) S&amp;T yaklaşık maliyet bütçesi; maliyet birim fiyatı; tedarikçi: Netaş</t>
  </si>
  <si>
    <t xml:space="preserve">R01301</t>
  </si>
  <si>
    <t xml:space="preserve">503 Telephone system design</t>
  </si>
  <si>
    <t xml:space="preserve">ls</t>
  </si>
  <si>
    <t xml:space="preserve">Kapıkule-Çerkezköy anahat (~230 km, 7 istasyon) S&amp;T yaklaşık maliyet bütçesi; maliyet birim fiyatı; tedarikçi: Iskratel</t>
  </si>
  <si>
    <t xml:space="preserve">R01311</t>
  </si>
  <si>
    <t xml:space="preserve">HDPE boru ile ray/karayolu altı geçiş</t>
  </si>
  <si>
    <t xml:space="preserve">Kapıkule-Çerkezköy anahat (~230 km, 7 istasyon) S&amp;T yaklaşık maliyet bütçesi; maliyet birim fiyatı; tedarikçi: CVL</t>
  </si>
  <si>
    <t xml:space="preserve">R01501</t>
  </si>
  <si>
    <t xml:space="preserve">Elmak Kontrol Sistemleri</t>
  </si>
  <si>
    <t xml:space="preserve">2014-01-14</t>
  </si>
  <si>
    <t xml:space="preserve">GE PLC CPU 1.1GHz (yedek)</t>
  </si>
  <si>
    <t xml:space="preserve">İzmir tramvay SCADA (GE PLC/RTU her trafo merkezi ve depo için 1 set, WinCC OA merkezde; anahtar teslim, devreye alma/eğitim dahil); KDV hariç; yedek malzeme listesi</t>
  </si>
  <si>
    <t xml:space="preserve">R01502</t>
  </si>
  <si>
    <t xml:space="preserve">GE digital input card 32 DI 24VDC</t>
  </si>
  <si>
    <t xml:space="preserve">R01503</t>
  </si>
  <si>
    <t xml:space="preserve">GE digital output 32 DO 24VDC</t>
  </si>
  <si>
    <t xml:space="preserve">R01504</t>
  </si>
  <si>
    <t xml:space="preserve">GE güç kaynağı</t>
  </si>
  <si>
    <t xml:space="preserve">R01524</t>
  </si>
  <si>
    <t xml:space="preserve">2018-01-19</t>
  </si>
  <si>
    <t xml:space="preserve">5.4.422 SCADA/ECS Tasarımı</t>
  </si>
  <si>
    <t xml:space="preserve">Narlıdere metro SCADA (7 yeraltı istasyon); KDV hariç; </t>
  </si>
  <si>
    <t xml:space="preserve">R01528</t>
  </si>
  <si>
    <t xml:space="preserve">Uskom</t>
  </si>
  <si>
    <t xml:space="preserve">2018-03-19</t>
  </si>
  <si>
    <t xml:space="preserve">5.4.400 İletim Sistemi Tasarımı</t>
  </si>
  <si>
    <t xml:space="preserve">Narlıdere metro (7 yeraltı istasyon, ~7 km); KDV hariç; teklif cetveli özet pozu (istasyon başı götürü); Güvenlik Sistemi=erişim kontrol</t>
  </si>
  <si>
    <t xml:space="preserve">R01577</t>
  </si>
  <si>
    <t xml:space="preserve">5.4.419 Güvenlik Sistemi Tasarımı</t>
  </si>
  <si>
    <t xml:space="preserve">R01606</t>
  </si>
  <si>
    <t xml:space="preserve">As-Built Documentation</t>
  </si>
  <si>
    <t xml:space="preserve">Malzeme</t>
  </si>
  <si>
    <t xml:space="preserve">Narlıdere metro (7 yeraltı istasyon, ~7 km); KDV hariç; fiyat detay sayfası "S-MPLS Sistemi - Fiyat Detayı" kalem 1.3</t>
  </si>
  <si>
    <t xml:space="preserve">R01609</t>
  </si>
  <si>
    <t xml:space="preserve">NMS</t>
  </si>
  <si>
    <t xml:space="preserve">Narlıdere metro (7 yeraltı istasyon, ~7 km); KDV hariç; fiyat detay sayfası "S-MPLS Sistemi - Fiyat Detayı" kalem 3.2</t>
  </si>
  <si>
    <t xml:space="preserve">R01613</t>
  </si>
  <si>
    <t xml:space="preserve">24 port CAT6 FTP patch panel (without RJ45 jacks)</t>
  </si>
  <si>
    <t xml:space="preserve">Narlıdere metro (7 yeraltı istasyon, ~7 km); KDV hariç; fiyat detay sayfası "S-MPLS Sistemi - Fiyat Detayı" kalem 4.4</t>
  </si>
  <si>
    <t xml:space="preserve">R01615</t>
  </si>
  <si>
    <t xml:space="preserve">1.5mt F.O patch cord</t>
  </si>
  <si>
    <t xml:space="preserve">Narlıdere metro (7 yeraltı istasyon, ~7 km); KDV hariç; fiyat detay sayfası "S-MPLS Sistemi - Fiyat Detayı" kalem 4.6</t>
  </si>
  <si>
    <t xml:space="preserve">R01621</t>
  </si>
  <si>
    <t xml:space="preserve">Optic Cable, 2 SM G652-D fibers, Fire Retardant LSZH and as per TRFO)</t>
  </si>
  <si>
    <t xml:space="preserve">4002</t>
  </si>
  <si>
    <t xml:space="preserve">Narlıdere metro (7 yeraltı istasyon, ~7 km); KDV hariç; fiyat detay sayfası "S-MPLS Sistemi - Fiyat Detayı" kalem 5.2</t>
  </si>
  <si>
    <t xml:space="preserve">R01622</t>
  </si>
  <si>
    <t xml:space="preserve">N2XH 3x2,5 Power cable - Flame Retardant between UPS to main and remote LAN central cabinets</t>
  </si>
  <si>
    <t xml:space="preserve">Narlıdere metro (7 yeraltı istasyon, ~7 km); KDV hariç; fiyat detay sayfası "S-MPLS Sistemi - Fiyat Detayı" kalem 5.3</t>
  </si>
  <si>
    <t xml:space="preserve">R01635</t>
  </si>
  <si>
    <t xml:space="preserve">ODF - 96 ports including pigtails, cassettes, couplers</t>
  </si>
  <si>
    <t xml:space="preserve">Narlıdere metro (7 yeraltı istasyon, ~7 km); KDV hariç; fiyat detay sayfası "Fiber Optik-Fiyat Detayı" kalem 4.7</t>
  </si>
  <si>
    <t xml:space="preserve">R01636</t>
  </si>
  <si>
    <t xml:space="preserve">Fiber optic cable termination works and OTDR tests</t>
  </si>
  <si>
    <t xml:space="preserve">Narlıdere metro (7 yeraltı istasyon, ~7 km); KDV hariç; fiyat detay sayfası "Fiber Optik-Fiyat Detayı" kalem 4.9</t>
  </si>
  <si>
    <t xml:space="preserve">R01641</t>
  </si>
  <si>
    <t xml:space="preserve">Narlıdere metro (7 yeraltı istasyon, ~7 km); KDV hariç; fiyat detay sayfası "Telefon Sistemi - Fiyat Detayı" kalem 1.3</t>
  </si>
  <si>
    <t xml:space="preserve">R01646</t>
  </si>
  <si>
    <t xml:space="preserve">Operator PC and Licence, keyboard, mouse and headset/mic-speaker</t>
  </si>
  <si>
    <t xml:space="preserve">4005</t>
  </si>
  <si>
    <t xml:space="preserve">Narlıdere metro (7 yeraltı istasyon, ~7 km); KDV hariç; fiyat detay sayfası "Telefon Sistemi - Fiyat Detayı" kalem 2.6</t>
  </si>
  <si>
    <t xml:space="preserve">R01648</t>
  </si>
  <si>
    <t xml:space="preserve">Analog telephone</t>
  </si>
  <si>
    <t xml:space="preserve">Narlıdere metro (7 yeraltı istasyon, ~7 km); KDV hariç; fiyat detay sayfası "Telefon Sistemi - Fiyat Detayı" kalem 2.8</t>
  </si>
  <si>
    <t xml:space="preserve">R01651</t>
  </si>
  <si>
    <t xml:space="preserve">IP65 emergency phone in stations and platforms (İntercom type)</t>
  </si>
  <si>
    <t xml:space="preserve">Narlıdere metro (7 yeraltı istasyon, ~7 km); KDV hariç; fiyat detay sayfası "Telefon Sistemi - Fiyat Detayı" kalem 2.13</t>
  </si>
  <si>
    <t xml:space="preserve">R01656</t>
  </si>
  <si>
    <t xml:space="preserve">Telephone sockets for station telephones</t>
  </si>
  <si>
    <t xml:space="preserve">Narlıdere metro (7 yeraltı istasyon, ~7 km); KDV hariç; fiyat detay sayfası "Telefon Sistemi - Fiyat Detayı" kalem 2.19</t>
  </si>
  <si>
    <t xml:space="preserve">R01658</t>
  </si>
  <si>
    <t xml:space="preserve">16 digital &amp; IP port voice recording sytem with 16 simultaneus recording</t>
  </si>
  <si>
    <t xml:space="preserve">Narlıdere metro (7 yeraltı istasyon, ~7 km); KDV hariç; fiyat detay sayfası "Telefon Sistemi - Fiyat Detayı" kalem 3.2</t>
  </si>
  <si>
    <t xml:space="preserve">R01659</t>
  </si>
  <si>
    <t xml:space="preserve">Workstation</t>
  </si>
  <si>
    <t xml:space="preserve">Narlıdere metro (7 yeraltı istasyon, ~7 km); KDV hariç; fiyat detay sayfası "Telefon Sistemi - Fiyat Detayı" kalem 3.3</t>
  </si>
  <si>
    <t xml:space="preserve">R01664</t>
  </si>
  <si>
    <t xml:space="preserve">2x2x0,6 FE180 PH90 armoured (Station Emergency Phones)</t>
  </si>
  <si>
    <t xml:space="preserve">[AYKIRI DEĞER – otomatik dışlandı] Narlıdere metro (7 yeraltı istasyon, ~7 km); KDV hariç; fiyat detay sayfası "Telefon Sistemi - Fiyat Detayı" kalem 4.5</t>
  </si>
  <si>
    <t xml:space="preserve">R01685</t>
  </si>
  <si>
    <t xml:space="preserve">Main Server Dell/HP or equivalent with Monitor, Keyboard and Mouse</t>
  </si>
  <si>
    <t xml:space="preserve">Narlıdere metro (7 yeraltı istasyon, ~7 km); KDV hariç; fiyat detay sayfası "ACS Sistemi - Fiyat Detayı" kalem 2.1</t>
  </si>
  <si>
    <t xml:space="preserve">R01687</t>
  </si>
  <si>
    <t xml:space="preserve">Operator Workstation Dell/HP or equivalent with 23" Monitor</t>
  </si>
  <si>
    <t xml:space="preserve">Narlıdere metro (7 yeraltı istasyon, ~7 km); KDV hariç; fiyat detay sayfası "ACS Sistemi - Fiyat Detayı" kalem 2.3</t>
  </si>
  <si>
    <t xml:space="preserve">R01689</t>
  </si>
  <si>
    <t xml:space="preserve">12VDC / 12,5A 155W Güç kaynağı, 12V/7Ah akü dahil.</t>
  </si>
  <si>
    <t xml:space="preserve">4014</t>
  </si>
  <si>
    <t xml:space="preserve">Narlıdere metro (7 yeraltı istasyon, ~7 km); KDV hariç; fiyat detay sayfası "ACS Sistemi - Fiyat Detayı" kalem 2.5</t>
  </si>
  <si>
    <t xml:space="preserve">R01690</t>
  </si>
  <si>
    <t xml:space="preserve">Temaline Dijital Input/Output 4 giriş / 4 çıkış kapasiteli I/O modülü, LonWorks</t>
  </si>
  <si>
    <t xml:space="preserve">Narlıdere metro (7 yeraltı istasyon, ~7 km); KDV hariç; fiyat detay sayfası "ACS Sistemi - Fiyat Detayı" kalem 2.7</t>
  </si>
  <si>
    <t xml:space="preserve">R01691</t>
  </si>
  <si>
    <t xml:space="preserve">Yüzey Montaj Tipi Manyetik Kontak</t>
  </si>
  <si>
    <t xml:space="preserve">Narlıdere metro (7 yeraltı istasyon, ~7 km); KDV hariç; fiyat detay sayfası "ACS Sistemi - Fiyat Detayı" kalem 2.13</t>
  </si>
  <si>
    <t xml:space="preserve">R01692</t>
  </si>
  <si>
    <t xml:space="preserve">Credit Card Style PVC Card, HID Prox Compatible, 34 bit Honeywell format, Honeywell logo</t>
  </si>
  <si>
    <t xml:space="preserve">Narlıdere metro (7 yeraltı istasyon, ~7 km); KDV hariç; fiyat detay sayfası "ACS Sistemi - Fiyat Detayı" kalem 2.14</t>
  </si>
  <si>
    <t xml:space="preserve">R01696</t>
  </si>
  <si>
    <t xml:space="preserve">2X2X0.22 LI2Y(ST)CH RS 485 KABLO</t>
  </si>
  <si>
    <t xml:space="preserve">Narlıdere metro (7 yeraltı istasyon, ~7 km); KDV hariç; fiyat detay sayfası "ACS Sistemi - Fiyat Detayı" kalem </t>
  </si>
  <si>
    <t xml:space="preserve">R01697</t>
  </si>
  <si>
    <t xml:space="preserve">N2XH 3x4 Power cable - Flame Retardant between UPS to Control Panel</t>
  </si>
  <si>
    <t xml:space="preserve">R01698</t>
  </si>
  <si>
    <t xml:space="preserve">N2XH 3x1,5 Power cable - Flame Retardant between UPS to Control Panel</t>
  </si>
  <si>
    <t xml:space="preserve">R01700</t>
  </si>
  <si>
    <t xml:space="preserve">Temaline Wiegand Kapı Kontrol Modülü 2 kart okuyucu (giriş-çıkış) &amp; 2 giriş / 2 çıkış kapasiteli wiegand bağlantı modülü, LonWorks</t>
  </si>
  <si>
    <t xml:space="preserve">Narlıdere metro (7 yeraltı istasyon, ~7 km); KDV hariç; fiyat detay sayfası "ACS Sistemi - Fiyat Detayı" kalem S.1</t>
  </si>
  <si>
    <t xml:space="preserve">R01701</t>
  </si>
  <si>
    <t xml:space="preserve">Narlıdere metro (7 yeraltı istasyon, ~7 km); KDV hariç; fiyat detay sayfası "ACS Sistemi - Fiyat Detayı" kalem S.2</t>
  </si>
  <si>
    <t xml:space="preserve">R01702</t>
  </si>
  <si>
    <t xml:space="preserve">Proximity Kart Okuyucu, 4" okuma mesafesi</t>
  </si>
  <si>
    <t xml:space="preserve">Narlıdere metro (7 yeraltı istasyon, ~7 km); KDV hariç; fiyat detay sayfası "ACS Sistemi - Fiyat Detayı" kalem S.3</t>
  </si>
  <si>
    <t xml:space="preserve">R01703</t>
  </si>
  <si>
    <t xml:space="preserve">Yüzey Tip Çıkış Butonu, paslanmaz çelik (25mm), çift kontaklı, kare tip</t>
  </si>
  <si>
    <t xml:space="preserve">Narlıdere metro (7 yeraltı istasyon, ~7 km); KDV hariç; fiyat detay sayfası "ACS Sistemi - Fiyat Detayı" kalem S.4</t>
  </si>
  <si>
    <t xml:space="preserve">R01704</t>
  </si>
  <si>
    <t xml:space="preserve">Manyetik Kilit, 12/24 VDC, 500kg tutma kapasiteli, standart tip</t>
  </si>
  <si>
    <t xml:space="preserve">Narlıdere metro (7 yeraltı istasyon, ~7 km); KDV hariç; fiyat detay sayfası "ACS Sistemi - Fiyat Detayı" kalem S.5</t>
  </si>
  <si>
    <t xml:space="preserve">R01711</t>
  </si>
  <si>
    <t xml:space="preserve">Preliminary design &amp; Station Coverage Simulations</t>
  </si>
  <si>
    <t xml:space="preserve">Narlıdere metro (7 yeraltı istasyon, ~7 km); KDV hariç; fiyat detay sayfası "Telsiz Sistemi - Fiyat Detayı" kalem 1.1</t>
  </si>
  <si>
    <t xml:space="preserve">R01713</t>
  </si>
  <si>
    <t xml:space="preserve">Narlıdere metro (7 yeraltı istasyon, ~7 km); KDV hariç; fiyat detay sayfası "Telsiz Sistemi - Fiyat Detayı" kalem 1.3</t>
  </si>
  <si>
    <t xml:space="preserve">R01743</t>
  </si>
  <si>
    <t xml:space="preserve">19" 42U Rack Kabinet ve Aksesuarları</t>
  </si>
  <si>
    <t xml:space="preserve">Narlıdere metro (7 yeraltı istasyon, ~7 km); KDV hariç; fiyat detay sayfası "PA Sistemi - Fiyat Detayı" kalem 2.1.12</t>
  </si>
  <si>
    <t xml:space="preserve">R01744</t>
  </si>
  <si>
    <t xml:space="preserve">Acil Durum Güç Kaynağı, EN54-4 12A-150A</t>
  </si>
  <si>
    <t xml:space="preserve">Narlıdere metro (7 yeraltı istasyon, ~7 km); KDV hariç; fiyat detay sayfası "PA Sistemi - Fiyat Detayı" kalem 2.1.13</t>
  </si>
  <si>
    <t xml:space="preserve">R01745</t>
  </si>
  <si>
    <t xml:space="preserve">Akü 12V / 150Ah</t>
  </si>
  <si>
    <t xml:space="preserve">Narlıdere metro (7 yeraltı istasyon, ~7 km); KDV hariç; fiyat detay sayfası "PA Sistemi - Fiyat Detayı" kalem 2.1.14</t>
  </si>
  <si>
    <t xml:space="preserve">R01747</t>
  </si>
  <si>
    <t xml:space="preserve">PA System Server with Win Svr OS</t>
  </si>
  <si>
    <t xml:space="preserve">Narlıdere metro (7 yeraltı istasyon, ~7 km); KDV hariç; fiyat detay sayfası "PA Sistemi - Fiyat Detayı" kalem 2.1.18</t>
  </si>
  <si>
    <t xml:space="preserve">R01752</t>
  </si>
  <si>
    <t xml:space="preserve">Dijital Anons İstasyonu DCS7</t>
  </si>
  <si>
    <t xml:space="preserve">Narlıdere metro (7 yeraltı istasyon, ~7 km); KDV hariç; fiyat detay sayfası "PA Sistemi - Fiyat Detayı" kalem 2.2.2</t>
  </si>
  <si>
    <t xml:space="preserve">R01753</t>
  </si>
  <si>
    <t xml:space="preserve">Tavan tipi hoparlör w/Fire dome, EN54 onaylı, IP21</t>
  </si>
  <si>
    <t xml:space="preserve">Narlıdere metro (7 yeraltı istasyon, ~7 km); KDV hariç; fiyat detay sayfası "PA Sistemi - Fiyat Detayı" kalem </t>
  </si>
  <si>
    <t xml:space="preserve">R01754</t>
  </si>
  <si>
    <t xml:space="preserve">Unidirect. Projektör tip hoparlör 10 / 5 / 2,5 / 1,25 W, EN-54, IP65</t>
  </si>
  <si>
    <t xml:space="preserve">Narlıdere metro (7 yeraltı istasyon, ~7 km); KDV hariç; fiyat detay sayfası "PA Sistemi - Fiyat Detayı" kalem 2.2.5</t>
  </si>
  <si>
    <t xml:space="preserve">R01755</t>
  </si>
  <si>
    <t xml:space="preserve">2x1,5 FE180 PH90 (Noise sensors)</t>
  </si>
  <si>
    <t xml:space="preserve">R01756</t>
  </si>
  <si>
    <t xml:space="preserve">2x2,5 FE180 PH90 (Audio)</t>
  </si>
  <si>
    <t xml:space="preserve">R01763</t>
  </si>
  <si>
    <t xml:space="preserve">Güç Amplifikatörü 2x250W, 100V/T, EN54 onaylı</t>
  </si>
  <si>
    <t xml:space="preserve">Narlıdere metro (7 yeraltı istasyon, ~7 km); KDV hariç; fiyat detay sayfası "PA Sistemi - Fiyat Detayı" kalem S.1</t>
  </si>
  <si>
    <t xml:space="preserve">R01764</t>
  </si>
  <si>
    <t xml:space="preserve">Güç Amplifikatörü 4x125W, 100V, EN54 onaylı</t>
  </si>
  <si>
    <t xml:space="preserve">R01778</t>
  </si>
  <si>
    <t xml:space="preserve">DVM Database Standart Sunucu</t>
  </si>
  <si>
    <t xml:space="preserve">Narlıdere metro (7 yeraltı istasyon, ~7 km); KDV hariç; fiyat detay sayfası "CCTV Sistemi - Fiyat Detayı" kalem </t>
  </si>
  <si>
    <t xml:space="preserve">R01780</t>
  </si>
  <si>
    <t xml:space="preserve">DVM Operatör İstasyonu - 2 Monitör İçin</t>
  </si>
  <si>
    <t xml:space="preserve">Narlıdere metro (7 yeraltı istasyon, ~7 km); KDV hariç; fiyat detay sayfası "CCTV Sistemi - Fiyat Detayı" kalem 2.2</t>
  </si>
  <si>
    <t xml:space="preserve">R01781</t>
  </si>
  <si>
    <t xml:space="preserve">22'' Full HD Monitör</t>
  </si>
  <si>
    <t xml:space="preserve">Narlıdere metro (7 yeraltı istasyon, ~7 km); KDV hariç; fiyat detay sayfası "CCTV Sistemi - Fiyat Detayı" kalem 2.3</t>
  </si>
  <si>
    <t xml:space="preserve">R01783</t>
  </si>
  <si>
    <t xml:space="preserve">Programlanabilir IP CCTV Kontrol Klavyesi, Renkli Dokunmatik Ekran</t>
  </si>
  <si>
    <t xml:space="preserve">Narlıdere metro (7 yeraltı istasyon, ~7 km); KDV hariç; fiyat detay sayfası "CCTV Sistemi - Fiyat Detayı" kalem 2.8</t>
  </si>
  <si>
    <t xml:space="preserve">R01784</t>
  </si>
  <si>
    <t xml:space="preserve">1/3" 3MP IP IR Dome Kamera, 2.7~12mm MFZ Lens, 86°~28° Yatay Açı, H.264, TDN, AWB, AGC, BLC, HLC, DWDR, 3D~NR, Koridor Modu, 30m Smart IR, IP66, IK10, 4 Alan Maskeleme, 128GB SD Kart Desteği, -30°~+60° Çalışma Sıcaklık Aralığı, 12VDC/PoE</t>
  </si>
  <si>
    <t xml:space="preserve">Narlıdere metro (7 yeraltı istasyon, ~7 km); KDV hariç; fiyat detay sayfası "CCTV Sistemi - Fiyat Detayı" kalem 2.30</t>
  </si>
  <si>
    <t xml:space="preserve">R01799</t>
  </si>
  <si>
    <t xml:space="preserve">Remote minibox including 4 fiber ODF</t>
  </si>
  <si>
    <t xml:space="preserve">4010</t>
  </si>
  <si>
    <t xml:space="preserve">R01801</t>
  </si>
  <si>
    <t xml:space="preserve">Optic Cable, 4 cores, SM</t>
  </si>
  <si>
    <t xml:space="preserve">R01802</t>
  </si>
  <si>
    <t xml:space="preserve">N2XH 3x2,5 Power cable</t>
  </si>
  <si>
    <t xml:space="preserve">R01820</t>
  </si>
  <si>
    <t xml:space="preserve">Operator PIS PC with a 23" LCD monitor</t>
  </si>
  <si>
    <t xml:space="preserve">Narlıdere metro (7 yeraltı istasyon, ~7 km); KDV hariç; fiyat detay sayfası "YBS Sistemi - Fiyat Detayı" kalem 2.2</t>
  </si>
  <si>
    <t xml:space="preserve">R01823</t>
  </si>
  <si>
    <t xml:space="preserve">Uskom LCD display (Double sided)</t>
  </si>
  <si>
    <t xml:space="preserve">Narlıdere metro (7 yeraltı istasyon, ~7 km); KDV hariç; fiyat detay sayfası "YBS Sistemi - Fiyat Detayı" kalem 2.5</t>
  </si>
  <si>
    <t xml:space="preserve">R01825</t>
  </si>
  <si>
    <t xml:space="preserve">Display steel support for ceiling mount</t>
  </si>
  <si>
    <t xml:space="preserve">Narlıdere metro (7 yeraltı istasyon, ~7 km); KDV hariç; fiyat detay sayfası "YBS Sistemi - Fiyat Detayı" kalem 2.11</t>
  </si>
  <si>
    <t xml:space="preserve">R01827</t>
  </si>
  <si>
    <t xml:space="preserve">3x2,5 N2XH cable</t>
  </si>
  <si>
    <t xml:space="preserve">4018</t>
  </si>
  <si>
    <t xml:space="preserve">Narlıdere metro (7 yeraltı istasyon, ~7 km); KDV hariç; fiyat detay sayfası "YBS Sistemi - Fiyat Detayı" kalem </t>
  </si>
  <si>
    <t xml:space="preserve">R01836</t>
  </si>
  <si>
    <t xml:space="preserve">Central Master Clock including GPS and Battery (Will be installed in Telecom cabinets)</t>
  </si>
  <si>
    <t xml:space="preserve">Narlıdere metro (7 yeraltı istasyon, ~7 km); KDV hariç; fiyat detay sayfası "SAAT Sistemi - Fiyat Detayı" kalem 2.1</t>
  </si>
  <si>
    <t xml:space="preserve">R01840</t>
  </si>
  <si>
    <t xml:space="preserve">Analog NTP Clock Double Sided</t>
  </si>
  <si>
    <t xml:space="preserve">Narlıdere metro (7 yeraltı istasyon, ~7 km); KDV hariç; fiyat detay sayfası "SAAT Sistemi - Fiyat Detayı" kalem 2.8</t>
  </si>
  <si>
    <t xml:space="preserve">R01852</t>
  </si>
  <si>
    <t xml:space="preserve">Yapı Merkezi İDİS (iç maliyet çalışması)</t>
  </si>
  <si>
    <t xml:space="preserve">5.4.429 Yolcu Geçiş Kontrol (Ücret Toplama) Sistemi Giriş/Çıkış Turnikesi</t>
  </si>
  <si>
    <t xml:space="preserve">7 istasyonluk çalışma; KDV hariç anahtar teslim; turnike harici tüm giderler 431 nolu kalemde</t>
  </si>
  <si>
    <t xml:space="preserve">R01853</t>
  </si>
  <si>
    <t xml:space="preserve">5.4.430 Yolcu Geçiş Kontrol (Ücret Toplama) Sistemi Engelli Geçiş Turnikesi</t>
  </si>
  <si>
    <t xml:space="preserve">R01858</t>
  </si>
  <si>
    <t xml:space="preserve">ON Elektronik</t>
  </si>
  <si>
    <t xml:space="preserve">2020-03-20</t>
  </si>
  <si>
    <t xml:space="preserve">PERON YBS Ekranı çift yönlü (LED 32x224 px RGB, 34x200x28 cm)</t>
  </si>
  <si>
    <t xml:space="preserve">LED matrix tip, URF LED TV 43-55" tip</t>
  </si>
  <si>
    <t xml:space="preserve">R01863</t>
  </si>
  <si>
    <t xml:space="preserve">Peron Kenar Switch</t>
  </si>
  <si>
    <t xml:space="preserve">R01868</t>
  </si>
  <si>
    <t xml:space="preserve">YBS Sunucu Bilgisayarı</t>
  </si>
  <si>
    <t xml:space="preserve">R01872</t>
  </si>
  <si>
    <t xml:space="preserve">Sistem Tasarımı</t>
  </si>
  <si>
    <t xml:space="preserve">R01876</t>
  </si>
  <si>
    <t xml:space="preserve">Mevcut Sisteme Entegrasyon</t>
  </si>
  <si>
    <t xml:space="preserve">R01893</t>
  </si>
  <si>
    <t xml:space="preserve">Avikon Elektronik</t>
  </si>
  <si>
    <t xml:space="preserve">2021-03-19</t>
  </si>
  <si>
    <t xml:space="preserve">YBS Tasarım, Mühendislik ve Dokümantasyon</t>
  </si>
  <si>
    <t xml:space="preserve">R01894</t>
  </si>
  <si>
    <t xml:space="preserve">Yolcu Bilgilendirme Ekranı Çift Taraflı (55" FHD endüstriyel LED TV, 2 hoparlör dahil)</t>
  </si>
  <si>
    <t xml:space="preserve">R01895</t>
  </si>
  <si>
    <t xml:space="preserve">Yolcu Bilgilendirme Ekranı Tek Taraflı (55" FHD endüstriyel)</t>
  </si>
  <si>
    <t xml:space="preserve">R01896</t>
  </si>
  <si>
    <t xml:space="preserve">Yolcu Bilgilendirme Ekranı Montaj Ayağı (2 m paslanmaz)</t>
  </si>
  <si>
    <t xml:space="preserve">R01898</t>
  </si>
  <si>
    <t xml:space="preserve">Sinyalizasyon Entegrasyon Bedeli</t>
  </si>
  <si>
    <t xml:space="preserve">R01899</t>
  </si>
  <si>
    <t xml:space="preserve">Kapı ve SCADA Sistemi Entegrasyon Bedeli</t>
  </si>
  <si>
    <t xml:space="preserve">R01900</t>
  </si>
  <si>
    <t xml:space="preserve">YBS Merkezi Sunucu Sistemi</t>
  </si>
  <si>
    <t xml:space="preserve">R01901</t>
  </si>
  <si>
    <t xml:space="preserve">YBS Operatör Bilgisayarı</t>
  </si>
  <si>
    <t xml:space="preserve">R01914</t>
  </si>
  <si>
    <t xml:space="preserve">Huawei</t>
  </si>
  <si>
    <t xml:space="preserve">2021-04-15</t>
  </si>
  <si>
    <t xml:space="preserve">Cloud Engine S6730-S24X6Q / AP Access Core Switch</t>
  </si>
  <si>
    <t xml:space="preserve">Adet (Pieces)</t>
  </si>
  <si>
    <t xml:space="preserve">Üçyol-Buca metro (11 yeraltı istasyon + depo); DDP İzmir, KDV hariç; T2G=train-to-ground WiFi (URF kapsamında yok) [sayfa: HW Price Sheet]</t>
  </si>
  <si>
    <t xml:space="preserve">R01918</t>
  </si>
  <si>
    <t xml:space="preserve">CloudEngine S5732-H24S6Q / Station Switch</t>
  </si>
  <si>
    <t xml:space="preserve">R01924</t>
  </si>
  <si>
    <t xml:space="preserve">M3250-10-EI / Fixed Dome (IP54)</t>
  </si>
  <si>
    <t xml:space="preserve">R01947</t>
  </si>
  <si>
    <t xml:space="preserve">Cesa Bilişim (Honeywell)</t>
  </si>
  <si>
    <t xml:space="preserve">2021-05-24</t>
  </si>
  <si>
    <t xml:space="preserve">AVC Sensör mikrofon (HONEYWELL 581310)</t>
  </si>
  <si>
    <t xml:space="preserve">Üçyol-Buca metro 11 ist.; malzeme fiyatı (indirimli), KDV hariç, montaj/kablo hariç; </t>
  </si>
  <si>
    <t xml:space="preserve">R01948</t>
  </si>
  <si>
    <t xml:space="preserve">Modül sonu (EOL) (HONEYWELL 583496)</t>
  </si>
  <si>
    <t xml:space="preserve">R01949</t>
  </si>
  <si>
    <t xml:space="preserve">Dijital Anons İstasyonu DCS PLUS (583501.RE yerine tavsiye edilir) (HONEYWELL 583520)</t>
  </si>
  <si>
    <t xml:space="preserve">R01951</t>
  </si>
  <si>
    <t xml:space="preserve">Acil durum güç Kaynağı PSU 24 V-2 (HONEYWELL 581722)</t>
  </si>
  <si>
    <t xml:space="preserve">R01952</t>
  </si>
  <si>
    <t xml:space="preserve">Akü 12V / 105 Ah (HONEYWELL 581730)</t>
  </si>
  <si>
    <t xml:space="preserve">R01954</t>
  </si>
  <si>
    <t xml:space="preserve">Güç Amplifikatörü 4x300W, 100V (HONEYWELL 580248.11)</t>
  </si>
  <si>
    <t xml:space="preserve">R01956</t>
  </si>
  <si>
    <t xml:space="preserve">Duvar tipi hoparlör DL-A 10-165/T (HONEYWELL 582423)</t>
  </si>
  <si>
    <t xml:space="preserve">R01959</t>
  </si>
  <si>
    <t xml:space="preserve">1 Monitör çıkışlı bilgisayar ( 22'' monitör + klavye + yazıcı dahil ) (HP/DELL WS1)</t>
  </si>
  <si>
    <t xml:space="preserve">R01960</t>
  </si>
  <si>
    <t xml:space="preserve">PRO3200 Akıllı Kontrol Ünitesi - Mercury Powered (HONEYWELL PRO32IC)</t>
  </si>
  <si>
    <t xml:space="preserve">R01961</t>
  </si>
  <si>
    <t xml:space="preserve">PRO3000 Akıllı Kontrol Ünitesi - 2 Kapı (HONEYWELL PRO3000)</t>
  </si>
  <si>
    <t xml:space="preserve">R01966</t>
  </si>
  <si>
    <t xml:space="preserve">OP10 Proximity mullion reader. Typical read range 2-3". Optical tamper, host LED and internal buzzer, c/w 3 bezels - Black, Charcoal Grey &amp; Ivory. Honeywell logo (HONEYWELL  OP10HONS)</t>
  </si>
  <si>
    <t xml:space="preserve">R01967</t>
  </si>
  <si>
    <t xml:space="preserve">YALE Manyetik kilit, 12-24 VDC, kapı durumu izleme kontaklı, 250 kg tutma kapasiteli (YALE U250M)</t>
  </si>
  <si>
    <t xml:space="preserve">R01968</t>
  </si>
  <si>
    <t xml:space="preserve">YALE L&amp;Z tipi braket (YALE U251-LZ)</t>
  </si>
  <si>
    <t xml:space="preserve">R01970</t>
  </si>
  <si>
    <t xml:space="preserve">Resetlenebilir tip acil çıkış butonu, koruyucu kapaklı, çift kontaklı (ASSA ABLOY DCP-32)</t>
  </si>
  <si>
    <t xml:space="preserve">R01972</t>
  </si>
  <si>
    <t xml:space="preserve">MAXPRO VMS Base Software (HONEYWELL HNMSWVMS)</t>
  </si>
  <si>
    <t xml:space="preserve">R01975</t>
  </si>
  <si>
    <t xml:space="preserve">MVMS Redundant System (HONEYWELL HNMSWRED)</t>
  </si>
  <si>
    <t xml:space="preserve">R01977</t>
  </si>
  <si>
    <t xml:space="preserve">Honeywell Server, 6x8TB, SATA HDD (36.37 TB RAID5) (HONEYWELL HNMSPEC48T8)</t>
  </si>
  <si>
    <t xml:space="preserve">R01980</t>
  </si>
  <si>
    <t xml:space="preserve">Network TDN Low Light WDR IR Outdoor Dome Camera, 1/2.8” 2 Megapixel progressive scan CMOS, 2.7-13.5 mm MFZ, 4 IR LEDs, PoE+, H.265+,Onboard video analytics events (HONEYWELL  H4W2GR1V)</t>
  </si>
  <si>
    <t xml:space="preserve">R01983</t>
  </si>
  <si>
    <t xml:space="preserve">PTZ Wall mount (HONEYWELL HDZWM1)</t>
  </si>
  <si>
    <t xml:space="preserve">R01987</t>
  </si>
  <si>
    <t xml:space="preserve">Merit İletişim</t>
  </si>
  <si>
    <t xml:space="preserve">2021-05-27</t>
  </si>
  <si>
    <t xml:space="preserve">Sistem tasarımı, arayüzleri, projelendirme, dökümantasyon,EMC, RAMS, sunumlar vb. komple</t>
  </si>
  <si>
    <t xml:space="preserve">Üçyol-Buca metro telefon sistemi (Alcatel-Lucent OmniPCX, 11 ist.+depo+merkez); KDV hariç; bölüm: TASARIM</t>
  </si>
  <si>
    <t xml:space="preserve">R01999</t>
  </si>
  <si>
    <t xml:space="preserve">Santral Kabin (IP 54, 42U, fanlı) (LN 42RK6855 IND)</t>
  </si>
  <si>
    <t xml:space="preserve">Üçyol-Buca metro telefon sistemi (Alcatel-Lucent OmniPCX, 11 ist.+depo+merkez); KDV hariç; bölüm: İSTASYON-1</t>
  </si>
  <si>
    <t xml:space="preserve">R02005</t>
  </si>
  <si>
    <t xml:space="preserve">Acil durum tel- gömme tip IP 66- Teleindustria TEL249M1</t>
  </si>
  <si>
    <t xml:space="preserve">R02008</t>
  </si>
  <si>
    <t xml:space="preserve">İdare tel- analog- SOR-ofis-  Gigaset DA310</t>
  </si>
  <si>
    <t xml:space="preserve">R02010</t>
  </si>
  <si>
    <t xml:space="preserve">Sayısal tel- SOR-teknik oda Alcatel 8039</t>
  </si>
  <si>
    <t xml:space="preserve">R02011</t>
  </si>
  <si>
    <t xml:space="preserve">Test ve Devreye Alma</t>
  </si>
  <si>
    <t xml:space="preserve">R02047</t>
  </si>
  <si>
    <t xml:space="preserve">Ses Kayıt Server</t>
  </si>
  <si>
    <t xml:space="preserve">Üçyol-Buca metro telefon sistemi (Alcatel-Lucent OmniPCX, 11 ist.+depo+merkez); KDV hariç; bölüm: MERKEZ</t>
  </si>
  <si>
    <t xml:space="preserve">R02056</t>
  </si>
  <si>
    <t xml:space="preserve">Teorik ve Pratik Eğitimler (Santral ve telefon setleri)</t>
  </si>
  <si>
    <t xml:space="preserve">[AYKIRI DEĞER – otomatik dışlandı] Üçyol-Buca metro telefon sistemi (Alcatel-Lucent OmniPCX, 11 ist.+depo+merkez); KDV hariç; bölüm: GENEL</t>
  </si>
  <si>
    <t xml:space="preserve">R02073</t>
  </si>
  <si>
    <t xml:space="preserve">Siemens Smart Infrastructure (Nurol İnşaat'a)</t>
  </si>
  <si>
    <t xml:space="preserve">2021-06-09</t>
  </si>
  <si>
    <t xml:space="preserve">2MP PTZ Kamera, 30x Optic Zoom, 120dB WDR, IP66 IK10 [S7230L-EW1]</t>
  </si>
  <si>
    <t xml:space="preserve">Üçyol-Buca metro 11 ist.; saha montajı ve kablolama işçiliği hariç, KDV hariç; </t>
  </si>
  <si>
    <t xml:space="preserve">R02074</t>
  </si>
  <si>
    <t xml:space="preserve">Wall mount brcakte for PTZ Camera [IWM-SW]</t>
  </si>
  <si>
    <t xml:space="preserve">R02076</t>
  </si>
  <si>
    <t xml:space="preserve">5MP Bullet Kamera, Autofocus, motorized, 50m IR, 120dB WDR, IP66 IK10 [IBP531-1ER]</t>
  </si>
  <si>
    <t xml:space="preserve">R02077</t>
  </si>
  <si>
    <t xml:space="preserve">5MP Dome Kamera, Autofocus, motorized, 120dB WDR, IP66 [IMP531-1ES]</t>
  </si>
  <si>
    <t xml:space="preserve">R02079</t>
  </si>
  <si>
    <t xml:space="preserve">Wall mount arm for dome camera [WMVE-SW]</t>
  </si>
  <si>
    <t xml:space="preserve">[AYKIRI DEĞER – otomatik dışlandı] Üçyol-Buca metro 11 ist.; saha montajı ve kablolama işçiliği hariç, KDV hariç; </t>
  </si>
  <si>
    <t xml:space="preserve">R02083</t>
  </si>
  <si>
    <t xml:space="preserve">İş İstasyonu (2 Ekran Çıkışlı) [WorkS_PC_2]</t>
  </si>
  <si>
    <t xml:space="preserve">R02087</t>
  </si>
  <si>
    <t xml:space="preserve">CCTV Sistemi Video Yönetim Yazılımı - 1.034 Kamera Lisansı (%20 yedek dahil) [Pelco]</t>
  </si>
  <si>
    <t xml:space="preserve">R02088</t>
  </si>
  <si>
    <t xml:space="preserve">VideoXpert Professional, Power Server (NVR, max. 12x 16TB) [VXP-P2-0-XT]</t>
  </si>
  <si>
    <t xml:space="preserve">R02092</t>
  </si>
  <si>
    <t xml:space="preserve">İstemci Bilgisayarı (SiPass) [Client_SPC]</t>
  </si>
  <si>
    <t xml:space="preserve">R02093</t>
  </si>
  <si>
    <t xml:space="preserve">27" LED PC Monitor [PCM27]</t>
  </si>
  <si>
    <t xml:space="preserve">R02094</t>
  </si>
  <si>
    <t xml:space="preserve">Çift yüz Termal Kart Yazıcı (USB + Ethernet ile Bağlantı) [CardPrinter_C]</t>
  </si>
  <si>
    <t xml:space="preserve">R02100</t>
  </si>
  <si>
    <t xml:space="preserve">Manyetik Kilit, 12/24 VDC, 545kg tutma kapasiteli (LED'li) [1200-LED]</t>
  </si>
  <si>
    <t xml:space="preserve">R02102</t>
  </si>
  <si>
    <t xml:space="preserve">Mifare Kart Okuyucu OA 13,56 Mhz [45-MR-1125OA]</t>
  </si>
  <si>
    <t xml:space="preserve">R02103</t>
  </si>
  <si>
    <t xml:space="preserve">Paslanmaz Çelik Çıkış Butonu (Gömme Tip), tek kontaklı (kare kasa) [DEB-33SS]</t>
  </si>
  <si>
    <t xml:space="preserve">R02104</t>
  </si>
  <si>
    <t xml:space="preserve">Acil Çıkış Butonu, resetlenebilir tip, çift kontak, koruyucu kapaklı EDR819-2</t>
  </si>
  <si>
    <t xml:space="preserve">R02107</t>
  </si>
  <si>
    <t xml:space="preserve">Dual Reader Interface [ADD5100]</t>
  </si>
  <si>
    <t xml:space="preserve">R02110</t>
  </si>
  <si>
    <t xml:space="preserve">8-Input/Output Module [AFO5200]</t>
  </si>
  <si>
    <t xml:space="preserve">R02125</t>
  </si>
  <si>
    <t xml:space="preserve">42U Cihaz Dolabı [42U680]</t>
  </si>
  <si>
    <t xml:space="preserve">R02126</t>
  </si>
  <si>
    <t xml:space="preserve">Power Amplifier (2x250W) [PV2001-A1]</t>
  </si>
  <si>
    <t xml:space="preserve">R02130</t>
  </si>
  <si>
    <t xml:space="preserve">Call station ext. (RS485, 8) [PTO2006-A1]</t>
  </si>
  <si>
    <t xml:space="preserve">R02132</t>
  </si>
  <si>
    <t xml:space="preserve">Autom. volume control micro [PCA2007-A1]</t>
  </si>
  <si>
    <t xml:space="preserve">R02134</t>
  </si>
  <si>
    <t xml:space="preserve">Ceiling speaker, 10 watts, RAL 9010, metal, with thermal fuse [DL 10-165/T-]</t>
  </si>
  <si>
    <t xml:space="preserve">R02135</t>
  </si>
  <si>
    <t xml:space="preserve">EOL Module (active) [PCA2004-A1]</t>
  </si>
  <si>
    <t xml:space="preserve">R02146</t>
  </si>
  <si>
    <t xml:space="preserve">Tansa Güvenlik Sistemleri</t>
  </si>
  <si>
    <t xml:space="preserve">2021-07-28</t>
  </si>
  <si>
    <t xml:space="preserve">LTT-303A açılı kapaklı tripod turnike (1,5 mm 304 paslanmaz gövde, paslanmaz kol)</t>
  </si>
  <si>
    <t xml:space="preserve">validatör/okuyucu dahil değil (yalnız mekanik+elektronik gövde); KDV hariç</t>
  </si>
  <si>
    <t xml:space="preserve">R02147</t>
  </si>
  <si>
    <t xml:space="preserve">SG-312 çift yönlü motorlu swing gate turnike (304 paslanmaz, pleksi kanat)</t>
  </si>
  <si>
    <t xml:space="preserve">validatör hariç; fiyat düşük - teklifte yazıldığı gibi</t>
  </si>
  <si>
    <t xml:space="preserve">R02148</t>
  </si>
  <si>
    <t xml:space="preserve">TNS-003 uzaktan kumanda alıcı ünite</t>
  </si>
  <si>
    <t xml:space="preserve">R02149</t>
  </si>
  <si>
    <t xml:space="preserve">TNS-002 uzaktan kumanda</t>
  </si>
  <si>
    <t xml:space="preserve">R02154</t>
  </si>
  <si>
    <t xml:space="preserve">Erben A.Ş. (Bodet)</t>
  </si>
  <si>
    <t xml:space="preserve">2021-08-05</t>
  </si>
  <si>
    <t xml:space="preserve">GPS anten (montaj ayağı + 20 m kablo)</t>
  </si>
  <si>
    <t xml:space="preserve">Üçyol-Buca metro merkezi saat; indirimli (%20) fiyat, KDV/montaj/kablo/FAT hariç; liste 325</t>
  </si>
  <si>
    <t xml:space="preserve">R02155</t>
  </si>
  <si>
    <t xml:space="preserve">BODET HMS LED 30 dijital saat (konkors/istasyon kontrol odası/depo)</t>
  </si>
  <si>
    <t xml:space="preserve">Üçyol-Buca metro merkezi saat; indirimli (%20) fiyat, KDV/montaj/kablo/FAT hariç; liste 3.180 EUR; iç ortam</t>
  </si>
  <si>
    <t xml:space="preserve">R02157</t>
  </si>
  <si>
    <t xml:space="preserve">Çift taraflı saat montaj aparatı</t>
  </si>
  <si>
    <t xml:space="preserve">Üçyol-Buca metro merkezi saat; indirimli (%20) fiyat, KDV/montaj/kablo/FAT hariç; </t>
  </si>
  <si>
    <t xml:space="preserve">R02168</t>
  </si>
  <si>
    <t xml:space="preserve">belirtilmemiş (Nokia 7250/7210 MPLS + ALE OmniSwitch + Aruba/T2G; hizmet satırları "TELKONET")</t>
  </si>
  <si>
    <t xml:space="preserve">2021-08-11</t>
  </si>
  <si>
    <t xml:space="preserve">3HE00028CA / SFP - GIGE LX - LC ROHS 6/6 DDM -40/85C</t>
  </si>
  <si>
    <t xml:space="preserve">Üçyol-Buca metro 11 istasyon;  [sayfa: Mpls]</t>
  </si>
  <si>
    <t xml:space="preserve">R02188</t>
  </si>
  <si>
    <t xml:space="preserve">SFP-GIG-LX / 1000Base-LX Gigabit Ethernet optical transceiver SFP MSA). Supports single mode fiber over 1310nm wavelength nominal) with an LC connector. Typical reach of 10 Km on 9/125 m SMF.</t>
  </si>
  <si>
    <t xml:space="preserve">Üçyol-Buca metro 11 istasyon;  [sayfa: Switch]</t>
  </si>
  <si>
    <t xml:space="preserve">R02196</t>
  </si>
  <si>
    <t xml:space="preserve">OS6465-P6 / Hardened GigE fan-less switch. 4x10/100/1000 RJ-45 PoE+ (2x60W PoE), 2x100/1000 Base-X SFP,RS-232 Console, Alarm relay: 1 In 1 out &amp; USB port. Includes user manual, access card &amp; TS-35/7.5</t>
  </si>
  <si>
    <t xml:space="preserve">R02197</t>
  </si>
  <si>
    <t xml:space="preserve">OS6465-BPN-H / OS6465 modular DIN 180W AC backup power supply. Provides system &amp; PoE power to one OS6465-P6 or OS6465-P12 switch. Ships with country specific power cord &amp; TS-35/7.5 or 15 DIN rail moun</t>
  </si>
  <si>
    <t xml:space="preserve">R02199</t>
  </si>
  <si>
    <t xml:space="preserve">OS6465-P12-XX / Hardened GigE fan-less switch. 8x10/100/1000 Base-T RJ-45 PoE+ (4x60W PoE), 4x100/1000 Base-X SFP,RS-232 Console, Alarm relay: 1 In 1 out &amp; USB port.Includes 75W AC PSU, US power cord,</t>
  </si>
  <si>
    <t xml:space="preserve">R02200</t>
  </si>
  <si>
    <t xml:space="preserve">R02201</t>
  </si>
  <si>
    <t xml:space="preserve">ISFP-GIG-LX / 1000Base-LX Industrial Gigabit Ethernet optical transceiver (SFP MSA). Supports single mode fiber over 1310nm wavelength (nominal) with an LC connector. Typical reach of 10 Km on 9/125 ,</t>
  </si>
  <si>
    <t xml:space="preserve">R02228</t>
  </si>
  <si>
    <t xml:space="preserve">CSS-X-4280A / 42U 800x1000mm 19" Inorax-Series Server Cabin</t>
  </si>
  <si>
    <t xml:space="preserve">Üçyol-Buca metro 11 istasyon;  [sayfa: Cabling]</t>
  </si>
  <si>
    <t xml:space="preserve">R02236</t>
  </si>
  <si>
    <t xml:space="preserve">48417100HDDY / 3.0 meter LC/UPC-LC/UPC Duplex SM Fiber Optik Patch Cord, LSZH, (Yellow) G652D</t>
  </si>
  <si>
    <t xml:space="preserve">R02238</t>
  </si>
  <si>
    <t xml:space="preserve">48743320XAAD / Cat.7 S/FTP 22AWG Kablo, LSZH, (Grey), 500m Kutu</t>
  </si>
  <si>
    <t xml:space="preserve">R02239</t>
  </si>
  <si>
    <t xml:space="preserve">48017001KBAK / 24 Port  Patch Panel, 1U 19” (Black) FTP</t>
  </si>
  <si>
    <t xml:space="preserve">R02241</t>
  </si>
  <si>
    <t xml:space="preserve">48417100FFHD / 1 meter Cat.6A S/FTP LSZH Patch cord, (Grey)</t>
  </si>
  <si>
    <t xml:space="preserve">R02249</t>
  </si>
  <si>
    <t xml:space="preserve">Özet: LLD&amp;HLD Documentation, Node Configuration</t>
  </si>
  <si>
    <t xml:space="preserve">4001-4003</t>
  </si>
  <si>
    <t xml:space="preserve">Üçyol-Buca metro 11 istasyon; </t>
  </si>
  <si>
    <t xml:space="preserve">R02252</t>
  </si>
  <si>
    <t xml:space="preserve">KONYA_ALAADDIN_ADLIYE_TRAMVAY_PROJESI</t>
  </si>
  <si>
    <t xml:space="preserve">2013-06-18</t>
  </si>
  <si>
    <t xml:space="preserve">B.056 RTU programlama</t>
  </si>
  <si>
    <t xml:space="preserve">Konya Alaaddin-Adliye tramvay SCADA (3 RTU lokasyonu); KDV hariç; </t>
  </si>
  <si>
    <t xml:space="preserve">R02255</t>
  </si>
  <si>
    <t xml:space="preserve">B.059 RTU geliştirme programı</t>
  </si>
  <si>
    <t xml:space="preserve">R02256</t>
  </si>
  <si>
    <t xml:space="preserve">B.060 RTU panosu ve ekipmanları</t>
  </si>
  <si>
    <t xml:space="preserve">R02269</t>
  </si>
  <si>
    <t xml:space="preserve">Erben A.Ş. (Bodet) [MS- teklif no serisi]</t>
  </si>
  <si>
    <t xml:space="preserve">BODET Profil 960 çift taraflı harici ortam LED analog saat</t>
  </si>
  <si>
    <t xml:space="preserve">KMM metro (18 yeraltı istasyon); KDV hariç; liste fiyat; toplamda %20 iskonto =&gt; ~1.428</t>
  </si>
  <si>
    <t xml:space="preserve">R02274</t>
  </si>
  <si>
    <t xml:space="preserve">Ateksis (Bosch)</t>
  </si>
  <si>
    <t xml:space="preserve">ARD-R10 / Iclass Wiegand Proximity Kart Okuyucu, 9 cm Okuma Mesafesi</t>
  </si>
  <si>
    <t xml:space="preserve">Ad.</t>
  </si>
  <si>
    <t xml:space="preserve">KMM metro (18 yeraltı istasyon); KDV hariç; malzeme fiyatı; kablo/montaj/proje hariç; devreye alma ayrı [sayfa: AC]</t>
  </si>
  <si>
    <t xml:space="preserve">R02280</t>
  </si>
  <si>
    <t xml:space="preserve">APC-AMC2-4WCF / AMC2 4 Okuyucu Kapasiteli Kontrol Ünitesi, 2 GB Kompakt Flash Bellek, LCD Display, Ethernet 10/100BaseT (TCP/IP), Tamper Switch</t>
  </si>
  <si>
    <t xml:space="preserve">R02282</t>
  </si>
  <si>
    <t xml:space="preserve">API-AMC2-4WE / AMC2 4 Okuyucu Kapasiteli Genişleme Ünitesi, 4WCF Kontrol Ünitesine RS485 Bağlantı</t>
  </si>
  <si>
    <t xml:space="preserve">R02287</t>
  </si>
  <si>
    <t xml:space="preserve">HP / İzleme Bilgisayarı, Monitör Dahil</t>
  </si>
  <si>
    <t xml:space="preserve">R02297</t>
  </si>
  <si>
    <t xml:space="preserve">281-000 / 12/24 V DC Manyetik Kilit 500 kg</t>
  </si>
  <si>
    <t xml:space="preserve">R02301</t>
  </si>
  <si>
    <t xml:space="preserve">R02307</t>
  </si>
  <si>
    <t xml:space="preserve">ANONS SİSTEMİ UYGULAMA VE AS-BUİLT PROJELERİ</t>
  </si>
  <si>
    <t xml:space="preserve">KMM metro (18 yeraltı istasyon); KDV hariç; malzeme fiyatı; kablo/montaj/proje hariç; devreye alma ayrı [sayfa: PA]</t>
  </si>
  <si>
    <t xml:space="preserve">R02312</t>
  </si>
  <si>
    <t xml:space="preserve">LC1-UM12E8 / Modüler Tavan Hoparlörü, 12W, 100dB@12W, (1kHz, 1m), EN54-24 Onaylı, EN54-24 Onaylı</t>
  </si>
  <si>
    <t xml:space="preserve">R02314</t>
  </si>
  <si>
    <t xml:space="preserve">LP1-UC10E-1 / Sound Projektör Hoparlör, 10W, IP65, 10W, IP65, 96dB@10W, (1kHz, 1m), EN54-24 Onaylı</t>
  </si>
  <si>
    <t xml:space="preserve">R02319</t>
  </si>
  <si>
    <t xml:space="preserve">IP AUDIO INTERFACE</t>
  </si>
  <si>
    <t xml:space="preserve">R02320</t>
  </si>
  <si>
    <t xml:space="preserve">PRS-NCO-3 / Network Kontrol Ünitesi, 4 Ses Girişi/ Çıkışı, 28 Ses Kanalının Yönlendirilmesi, 8 Denetimli Kontrol Girişi, 5 Kontrol Çıkışı, Ethernet Arabirimi,</t>
  </si>
  <si>
    <t xml:space="preserve">R02324</t>
  </si>
  <si>
    <t xml:space="preserve">LBC1401/10 / Ses Kontrol Ünitesi 12W</t>
  </si>
  <si>
    <t xml:space="preserve">R02325</t>
  </si>
  <si>
    <t xml:space="preserve">Rack Kabinet</t>
  </si>
  <si>
    <t xml:space="preserve">R02349</t>
  </si>
  <si>
    <t xml:space="preserve">IP CCTV SİSTEMİ UYGULAMA VE AS-BUİLT PROJELERİ</t>
  </si>
  <si>
    <t xml:space="preserve">SET</t>
  </si>
  <si>
    <t xml:space="preserve">KMM metro (18 yeraltı istasyon); KDV hariç; malzeme fiyatı; kablo/montaj/proje hariç; devreye alma ayrı [sayfa: IP CCTV]</t>
  </si>
  <si>
    <t xml:space="preserve">R02358</t>
  </si>
  <si>
    <t xml:space="preserve">3-Axis Kontrol Klavyesi</t>
  </si>
  <si>
    <t xml:space="preserve">R02370</t>
  </si>
  <si>
    <t xml:space="preserve">HP/DELL/NEC / 23" LED monitör</t>
  </si>
  <si>
    <t xml:space="preserve">R02486</t>
  </si>
  <si>
    <t xml:space="preserve">Asimetrik (RCF)</t>
  </si>
  <si>
    <t xml:space="preserve">2015-04-10</t>
  </si>
  <si>
    <t xml:space="preserve">RCF BM 5804 Paging-emergency mic. Cons., 3 program. + ALL-CALL  DXT5000</t>
  </si>
  <si>
    <t xml:space="preserve">KMM metro anons (RCF DXT5000); Türkiye teslim, KDV hariç; montaj/kablo hariç; genel toplamda %20 özel indirim var (birim fiyatlar indirimsiz);  [sayfa: OCC Sistem Merkezi]</t>
  </si>
  <si>
    <t xml:space="preserve">R02493</t>
  </si>
  <si>
    <t xml:space="preserve">RCF MT 5708 / Amplifier and speaker management for DTX5000 system</t>
  </si>
  <si>
    <t xml:space="preserve">KMM metro anons (RCF DXT5000); Türkiye teslim, KDV hariç; montaj/kablo hariç; genel toplamda %20 özel indirim var (birim fiyatlar indirimsiz);  [sayfa: Mecidiyeköy]</t>
  </si>
  <si>
    <t xml:space="preserve">R02498</t>
  </si>
  <si>
    <t xml:space="preserve">RCF UP1121 / 120W  power amplier</t>
  </si>
  <si>
    <t xml:space="preserve">R02500</t>
  </si>
  <si>
    <t xml:space="preserve">RCF UP8502 / 2 x 250 W Power Amplier</t>
  </si>
  <si>
    <t xml:space="preserve">R02501</t>
  </si>
  <si>
    <t xml:space="preserve">RCF UP2321 / 320W-100V Power Amplifier</t>
  </si>
  <si>
    <t xml:space="preserve">R02506</t>
  </si>
  <si>
    <t xml:space="preserve">RCF SA 2095 / Rack Monitoring and Power Supply Unit</t>
  </si>
  <si>
    <t xml:space="preserve">R02507</t>
  </si>
  <si>
    <t xml:space="preserve">ASRACK ORS42U68 / Rack Cabinet and Accessories</t>
  </si>
  <si>
    <t xml:space="preserve">R02510</t>
  </si>
  <si>
    <t xml:space="preserve">RCF DP 1420EN / 20W, 100V IP 66, Aluminium sound projector</t>
  </si>
  <si>
    <t xml:space="preserve">R02515</t>
  </si>
  <si>
    <t xml:space="preserve">RCF MT 3100 / Noise Sensor Microphone</t>
  </si>
  <si>
    <t xml:space="preserve">R02606</t>
  </si>
  <si>
    <t xml:space="preserve">2015-04-11</t>
  </si>
  <si>
    <t xml:space="preserve">144 core ODF</t>
  </si>
  <si>
    <t xml:space="preserve">Kabataş-Mecidiyeköy-Mahmutbey metro (18 yeraltı istasyon + depo); KDV hariç; detay sayfası "Transmission" kalem 5.3; para birimi özet tablodan</t>
  </si>
  <si>
    <t xml:space="preserve">R02633</t>
  </si>
  <si>
    <t xml:space="preserve">Alcatel 29416 or Alcatel Temporis Mini or equivalent analog telephone</t>
  </si>
  <si>
    <t xml:space="preserve">Kabataş-Mecidiyeköy-Mahmutbey metro (18 yeraltı istasyon + depo); KDV hariç; detay sayfası "404-405-406 - Telephone" kalem 2.21; para birimi özet tablodan</t>
  </si>
  <si>
    <t xml:space="preserve">R02634</t>
  </si>
  <si>
    <t xml:space="preserve">SAEfon CL28D digital telephone</t>
  </si>
  <si>
    <t xml:space="preserve">Kabataş-Mecidiyeköy-Mahmutbey metro (18 yeraltı istasyon + depo); KDV hariç; detay sayfası "404-405-406 - Telephone" kalem 2.22; para birimi özet tablodan</t>
  </si>
  <si>
    <t xml:space="preserve">R02641</t>
  </si>
  <si>
    <t xml:space="preserve">Telephone sockets (Viko or equivalent) for station telephones and station humid room telephones(All emergecy telephones in station and tunnel will be directly connected without socket)</t>
  </si>
  <si>
    <t xml:space="preserve">Kabataş-Mecidiyeköy-Mahmutbey metro (18 yeraltı istasyon + depo); KDV hariç; detay sayfası "404-405-406 - Telephone" kalem 2.29; para birimi özet tablodan</t>
  </si>
  <si>
    <t xml:space="preserve">R02643</t>
  </si>
  <si>
    <t xml:space="preserve">Advanced PC Server with Windows Server License (Voice Recording Server) it's complete of redundant Hard Disk in RAID configuration</t>
  </si>
  <si>
    <t xml:space="preserve">Kabataş-Mecidiyeköy-Mahmutbey metro (18 yeraltı istasyon + depo); KDV hariç; detay sayfası "404-405-406 - Telephone" kalem 3.2; para birimi özet tablodan</t>
  </si>
  <si>
    <t xml:space="preserve">R02656</t>
  </si>
  <si>
    <t xml:space="preserve">N2XH 2x2,5 Power cable - Flame Retardant (For Turk Telekom telephone boots)</t>
  </si>
  <si>
    <t xml:space="preserve">Kabataş-Mecidiyeköy-Mahmutbey metro (18 yeraltı istasyon + depo); KDV hariç; detay sayfası "404-405-406 - Telephone" kalem 4.4; para birimi özet tablodan</t>
  </si>
  <si>
    <t xml:space="preserve">R02657</t>
  </si>
  <si>
    <t xml:space="preserve">2x2x0,6 FE180 PH120 armoured (Station Emergency Phones)</t>
  </si>
  <si>
    <t xml:space="preserve">[AYKIRI DEĞER – otomatik dışlandı] Kabataş-Mecidiyeköy-Mahmutbey metro (18 yeraltı istasyon + depo); KDV hariç; detay sayfası "404-405-406 - Telephone" kalem 4.5; para birimi özet tablodan</t>
  </si>
  <si>
    <t xml:space="preserve">R02661</t>
  </si>
  <si>
    <t xml:space="preserve">3/4" spiral pipe</t>
  </si>
  <si>
    <t xml:space="preserve">Kabataş-Mecidiyeköy-Mahmutbey metro (18 yeraltı istasyon + depo); KDV hariç; detay sayfası "404-405-406 - Telephone" kalem 4.9; para birimi özet tablodan</t>
  </si>
  <si>
    <t xml:space="preserve">R02683</t>
  </si>
  <si>
    <t xml:space="preserve">TetraNode IP Gateway license</t>
  </si>
  <si>
    <t xml:space="preserve">Kabataş-Mecidiyeköy-Mahmutbey metro (18 yeraltı istasyon + depo); KDV hariç; detay sayfası "Radio" kalem 1.1.2; para birimi özet tablodan</t>
  </si>
  <si>
    <t xml:space="preserve">R02686</t>
  </si>
  <si>
    <t xml:space="preserve">Uskom Dispatcher Consoles</t>
  </si>
  <si>
    <t xml:space="preserve">Kabataş-Mecidiyeköy-Mahmutbey metro (18 yeraltı istasyon + depo); KDV hariç; detay sayfası "Radio" kalem 1.1.8; para birimi özet tablodan</t>
  </si>
  <si>
    <t xml:space="preserve">R02687</t>
  </si>
  <si>
    <t xml:space="preserve">Fixed radio set for dispatcher</t>
  </si>
  <si>
    <t xml:space="preserve">Kabataş-Mecidiyeköy-Mahmutbey metro (18 yeraltı istasyon + depo); KDV hariç; detay sayfası "Radio" kalem 1.1.9; para birimi özet tablodan</t>
  </si>
  <si>
    <t xml:space="preserve">R02688</t>
  </si>
  <si>
    <t xml:space="preserve">2-TETRA carrier BSS, clear mode, fallback, 2-RX diversity</t>
  </si>
  <si>
    <t xml:space="preserve">Kabataş-Mecidiyeköy-Mahmutbey metro (18 yeraltı istasyon + depo); KDV hariç; detay sayfası "Radio" kalem 1.2.1; para birimi özet tablodan</t>
  </si>
  <si>
    <t xml:space="preserve">R02690</t>
  </si>
  <si>
    <t xml:space="preserve">25mt monopole with aircraft warning lights, antenna supports and Tetra antennas, 200 mt of 7/8" RF cables  (Foundation and erection of pole by Contractor)</t>
  </si>
  <si>
    <t xml:space="preserve">Kabataş-Mecidiyeköy-Mahmutbey metro (18 yeraltı istasyon + depo); KDV hariç; detay sayfası "Radio" kalem 1.2.3; para birimi özet tablodan</t>
  </si>
  <si>
    <t xml:space="preserve">R02702</t>
  </si>
  <si>
    <t xml:space="preserve">Uskom On board Tetra radio equipment including antenna but excluding all cables between the equipment and any train interface</t>
  </si>
  <si>
    <t xml:space="preserve">Kabataş-Mecidiyeköy-Mahmutbey metro (18 yeraltı istasyon + depo); KDV hariç; detay sayfası "Radio" kalem 1.6.1; para birimi özet tablodan</t>
  </si>
  <si>
    <t xml:space="preserve">R02717</t>
  </si>
  <si>
    <t xml:space="preserve">V1772N-T IP66 3 Mpx, 20x PTZ IP dome camera for indoor</t>
  </si>
  <si>
    <t xml:space="preserve">Kabataş-Mecidiyeköy-Mahmutbey metro (18 yeraltı istasyon + depo); KDV hariç; detay sayfası "CCTV" kalem 1.4; para birimi özet tablodan</t>
  </si>
  <si>
    <t xml:space="preserve">R02720</t>
  </si>
  <si>
    <t xml:space="preserve">Camera mount support (Excludes poles or steel structures)</t>
  </si>
  <si>
    <t xml:space="preserve">Kabataş-Mecidiyeköy-Mahmutbey metro (18 yeraltı istasyon + depo); KDV hariç; detay sayfası "CCTV" kalem 1.7; para birimi özet tablodan</t>
  </si>
  <si>
    <t xml:space="preserve">R02721</t>
  </si>
  <si>
    <t xml:space="preserve">V2217 per camera recording license</t>
  </si>
  <si>
    <t xml:space="preserve">Kabataş-Mecidiyeköy-Mahmutbey metro (18 yeraltı istasyon + depo); KDV hariç; detay sayfası "CCTV" kalem 1.8; para birimi özet tablodan</t>
  </si>
  <si>
    <t xml:space="preserve">R02723</t>
  </si>
  <si>
    <t xml:space="preserve">NVR Server DELL or HP with Win Svr OS for VMS</t>
  </si>
  <si>
    <t xml:space="preserve">Kabataş-Mecidiyeköy-Mahmutbey metro (18 yeraltı istasyon + depo); KDV hariç; detay sayfası "CCTV" kalem 2.1; para birimi özet tablodan</t>
  </si>
  <si>
    <t xml:space="preserve">R02735</t>
  </si>
  <si>
    <t xml:space="preserve">Switch 5 Port/PoE (EKI-2525P-BE Unmanaged 5port switch)</t>
  </si>
  <si>
    <t xml:space="preserve">Kabataş-Mecidiyeköy-Mahmutbey metro (18 yeraltı istasyon + depo); KDV hariç; detay sayfası "CCTV" kalem 9.1; para birimi özet tablodan</t>
  </si>
  <si>
    <t xml:space="preserve">R02736</t>
  </si>
  <si>
    <t xml:space="preserve">Switch 24 Port/PoE (alcatel 6450-24)</t>
  </si>
  <si>
    <t xml:space="preserve">Kabataş-Mecidiyeköy-Mahmutbey metro (18 yeraltı istasyon + depo); KDV hariç; detay sayfası "CCTV" kalem 9.3; para birimi özet tablodan</t>
  </si>
  <si>
    <t xml:space="preserve">R02740</t>
  </si>
  <si>
    <t xml:space="preserve">Kabataş-Mecidiyeköy-Mahmutbey metro (18 yeraltı istasyon + depo); KDV hariç; detay sayfası "CCTV" kalem 12.3; para birimi özet tablodan</t>
  </si>
  <si>
    <t xml:space="preserve">R02742</t>
  </si>
  <si>
    <t xml:space="preserve">Optic Cable, 4 SM G652-D fibers, Fire Retardant LSZH</t>
  </si>
  <si>
    <t xml:space="preserve">Kabataş-Mecidiyeköy-Mahmutbey metro (18 yeraltı istasyon + depo); KDV hariç; detay sayfası "CCTV" kalem 13.2; para birimi özet tablodan</t>
  </si>
  <si>
    <t xml:space="preserve">R02744</t>
  </si>
  <si>
    <t xml:space="preserve">N2XH 3x4 Power cable - Flame Retardant between UPS to CCTV main and remote central cabinets</t>
  </si>
  <si>
    <t xml:space="preserve">Kabataş-Mecidiyeköy-Mahmutbey metro (18 yeraltı istasyon + depo); KDV hariç; detay sayfası "CCTV" kalem 13.5; para birimi özet tablodan</t>
  </si>
  <si>
    <t xml:space="preserve">R02746</t>
  </si>
  <si>
    <t xml:space="preserve">Kabataş-Mecidiyeköy-Mahmutbey metro (18 yeraltı istasyon + depo); KDV hariç; detay sayfası "CCTV" kalem 13.7; para birimi özet tablodan</t>
  </si>
  <si>
    <t xml:space="preserve">R02759</t>
  </si>
  <si>
    <t xml:space="preserve">BODET Sigma MOD Central Master Clock (Will be installed in Telecom cabinets)</t>
  </si>
  <si>
    <t xml:space="preserve">Kabataş-Mecidiyeköy-Mahmutbey metro (18 yeraltı istasyon + depo); KDV hariç; detay sayfası "MCS" kalem 2.1; para birimi özet tablodan</t>
  </si>
  <si>
    <t xml:space="preserve">R02760</t>
  </si>
  <si>
    <t xml:space="preserve">GPS antenna and cable</t>
  </si>
  <si>
    <t xml:space="preserve">Kabataş-Mecidiyeköy-Mahmutbey metro (18 yeraltı istasyon + depo); KDV hariç; detay sayfası "MCS" kalem 2.2; para birimi özet tablodan</t>
  </si>
  <si>
    <t xml:space="preserve">R02778</t>
  </si>
  <si>
    <t xml:space="preserve">Operator PIS PC with a 21" LCD monitor</t>
  </si>
  <si>
    <t xml:space="preserve">Kabataş-Mecidiyeköy-Mahmutbey metro (18 yeraltı istasyon + depo); KDV hariç; detay sayfası "PIS" kalem 2.2; para birimi özet tablodan</t>
  </si>
  <si>
    <t xml:space="preserve">R02781</t>
  </si>
  <si>
    <t xml:space="preserve">24 port CAT6 FTP patch panel (without RJ45 jacks) to install in CCTV cabinet(s)</t>
  </si>
  <si>
    <t xml:space="preserve">Kabataş-Mecidiyeköy-Mahmutbey metro (18 yeraltı istasyon + depo); KDV hariç; detay sayfası "PIS" kalem 2.6; para birimi özet tablodan</t>
  </si>
  <si>
    <t xml:space="preserve">R02783</t>
  </si>
  <si>
    <t xml:space="preserve">Cat6 FTP Patch Cord (2 mt)</t>
  </si>
  <si>
    <t xml:space="preserve">Kabataş-Mecidiyeköy-Mahmutbey metro (18 yeraltı istasyon + depo); KDV hariç; detay sayfası "PIS" kalem 2.8; para birimi özet tablodan</t>
  </si>
  <si>
    <t xml:space="preserve">R02785</t>
  </si>
  <si>
    <t xml:space="preserve">Kabataş-Mecidiyeköy-Mahmutbey metro (18 yeraltı istasyon + depo); KDV hariç; detay sayfası "PIS" kalem 2.10; para birimi özet tablodan</t>
  </si>
  <si>
    <t xml:space="preserve">R02786</t>
  </si>
  <si>
    <t xml:space="preserve">CAT6 HS/UTP 23AWG cable between CCTV switch cabinet to display</t>
  </si>
  <si>
    <t xml:space="preserve">Kabataş-Mecidiyeköy-Mahmutbey metro (18 yeraltı istasyon + depo); KDV hariç; detay sayfası "PIS" kalem 3.1; para birimi özet tablodan</t>
  </si>
  <si>
    <t xml:space="preserve">R02787</t>
  </si>
  <si>
    <t xml:space="preserve">N2XH 2x2,5 Power cable - Flame Retardant between CCTV switch cabinet to display</t>
  </si>
  <si>
    <t xml:space="preserve">Kabataş-Mecidiyeköy-Mahmutbey metro (18 yeraltı istasyon + depo); KDV hariç; detay sayfası "PIS" kalem 3.2; para birimi özet tablodan</t>
  </si>
  <si>
    <t xml:space="preserve">R02793</t>
  </si>
  <si>
    <t xml:space="preserve">Entek (Bodet)</t>
  </si>
  <si>
    <t xml:space="preserve">2015-04-13</t>
  </si>
  <si>
    <t xml:space="preserve">BODET Profil 960 çift taraflı harici ortam LED aydınlatmalı analog saat 60 cm</t>
  </si>
  <si>
    <t xml:space="preserve">KMM metro (18 yeraltı istasyon); KDV hariç; </t>
  </si>
  <si>
    <t xml:space="preserve">R02795</t>
  </si>
  <si>
    <t xml:space="preserve">3MP dome kamera HIDC-P-3100V (saat teklifinde)</t>
  </si>
  <si>
    <t xml:space="preserve">R02802</t>
  </si>
  <si>
    <t xml:space="preserve">Türk Prysmian Kablo (liste fiyatı)</t>
  </si>
  <si>
    <t xml:space="preserve">2014-06-13</t>
  </si>
  <si>
    <t xml:space="preserve">SM G652 tek tüplü 12 fiber zırhlı (FTL1/GF5E 1x12)</t>
  </si>
  <si>
    <t xml:space="preserve">Prysmian FO kablo LİSTE fiyatı (TL/km, iskontosuz, KDV hariç), korugasyonlu çelik bant zırhlı PE kılıflı, kanal/toprak altı; 2.90 TL/m</t>
  </si>
  <si>
    <t xml:space="preserve">R02808</t>
  </si>
  <si>
    <t xml:space="preserve">MM OM1 62,5/125 çok tüplü 24 fiber zırhlı (2x12)</t>
  </si>
  <si>
    <t xml:space="preserve">Prysmian FO kablo LİSTE fiyatı (TL/km, iskontosuz, KDV hariç), korugasyonlu çelik bant zırhlı PE kılıflı, kanal/toprak altı; 11.58 TL/m</t>
  </si>
  <si>
    <t xml:space="preserve">R02809</t>
  </si>
  <si>
    <t xml:space="preserve">MM OM2 50/125 çok tüplü 24 fiber zırhlı (2x12)</t>
  </si>
  <si>
    <t xml:space="preserve">Prysmian FO kablo LİSTE fiyatı (TL/km, iskontosuz, KDV hariç), korugasyonlu çelik bant zırhlı PE kılıflı, kanal/toprak altı; 9.25 TL/m</t>
  </si>
  <si>
    <t xml:space="preserve">R02810</t>
  </si>
  <si>
    <t xml:space="preserve">Aktüel Geçiş Kontrol (Aktüel Turnike)</t>
  </si>
  <si>
    <t xml:space="preserve">AKT-T280 elektromekanik metro turnike (304 paslanmaz)</t>
  </si>
  <si>
    <t xml:space="preserve">KDV hariç; montaj &amp; nakliye alıcıya ait; validatör hariç (talep halinde entegre edilebilir)</t>
  </si>
  <si>
    <t xml:space="preserve">R02811</t>
  </si>
  <si>
    <t xml:space="preserve">AKT-SWG-28 çift yön motorlu VIP turnike (swing gate)</t>
  </si>
  <si>
    <t xml:space="preserve">R02812</t>
  </si>
  <si>
    <t xml:space="preserve">Sekaray BFTC (dosya adı; teklif veren belirtilmemiş)</t>
  </si>
  <si>
    <t xml:space="preserve">TRV-E ÖZEL-CCTV-1 Full HD 1080p harici PTZ kamera</t>
  </si>
  <si>
    <t xml:space="preserve">İçerik Kocaeli (Sekapark) tramvay hattı elektrik BFTC (TRV-E pozları), Yapıray teklif klasöründe; KDV hariç; </t>
  </si>
  <si>
    <t xml:space="preserve">R02815</t>
  </si>
  <si>
    <t xml:space="preserve">TRV-E 880.103 Telefon fiş prizi</t>
  </si>
  <si>
    <t xml:space="preserve">R02817</t>
  </si>
  <si>
    <t xml:space="preserve">TRV-E 890.802 Tip 1 sayısal telefon seti</t>
  </si>
  <si>
    <t xml:space="preserve">R02818</t>
  </si>
  <si>
    <t xml:space="preserve">TRV-E 890.808 Tip 2 sayısal telefon seti (operatör)</t>
  </si>
  <si>
    <t xml:space="preserve">R02875</t>
  </si>
  <si>
    <t xml:space="preserve">Pendik_Kaynarca_FCakmak_Metro</t>
  </si>
  <si>
    <t xml:space="preserve">Yapı Merkezi İDİS maliyet çalışması (tedarikçi fiyatları)</t>
  </si>
  <si>
    <t xml:space="preserve">2022-09-13</t>
  </si>
  <si>
    <t xml:space="preserve">406 Telsiz Sistemi Tasarımı</t>
  </si>
  <si>
    <t xml:space="preserve">tak</t>
  </si>
  <si>
    <t xml:space="preserve">Pendik-Kaynarca-F.Çakmak / Tavşantepe-İçmeler metro (5,2 km, 2 yeraltı istasyon kapsamı: Pendik Merkez, Kaynarca Merkez); birim fiyat = malzeme+montaj MALİYETİ (GGK hariç); tedarikçi: PROTA; GGK dahil teklif birim fiyatı: 17785.19 EUR</t>
  </si>
  <si>
    <t xml:space="preserve">R02897</t>
  </si>
  <si>
    <t xml:space="preserve">421 Yolcu Geçiş Kontrol (Ücret Toplama) Sistemi Giriş/Çıkış Turnikesi</t>
  </si>
  <si>
    <t xml:space="preserve">Pendik-Kaynarca-F.Çakmak / Tavşantepe-İçmeler metro (5,2 km, 2 yeraltı istasyon kapsamı: Pendik Merkez, Kaynarca Merkez); birim fiyat = malzeme+montaj MALİYETİ (GGK hariç); tedarikçi: YM IDIS; GGK dahil teklif birim fiyatı: 3462.93 EUR</t>
  </si>
  <si>
    <t xml:space="preserve">R02898</t>
  </si>
  <si>
    <t xml:space="preserve">422 Yolcu Geçiş Kontrol (Ücret Toplama) Sistemi Engelli Geçiş Turnikesi</t>
  </si>
  <si>
    <t xml:space="preserve">Pendik-Kaynarca-F.Çakmak / Tavşantepe-İçmeler metro (5,2 km, 2 yeraltı istasyon kapsamı: Pendik Merkez, Kaynarca Merkez); birim fiyat = malzeme+montaj MALİYETİ (GGK hariç); tedarikçi: YM IDIS; GGK dahil teklif birim fiyatı: 3140.22 EUR</t>
  </si>
  <si>
    <t xml:space="preserve">R02921</t>
  </si>
  <si>
    <t xml:space="preserve">Yapı Merkezi İDİS maliyet çalışması (tedarikçi detayları)</t>
  </si>
  <si>
    <t xml:space="preserve">SFP - GIGE LX - LC ROHS 6/6 DDM -40/85C</t>
  </si>
  <si>
    <t xml:space="preserve">KPT metro 2 istasyon; alt sistem detay sayfası, tedarikçi malzeme birim fiyatı (EUR, GGK hariç);  [sayfa: 402-403-TRNS]</t>
  </si>
  <si>
    <t xml:space="preserve">R02927</t>
  </si>
  <si>
    <t xml:space="preserve">42U Rack Kabin 800x800 (Fan, Güç Prizi, Kablo Kanalı Dahil), IP54</t>
  </si>
  <si>
    <t xml:space="preserve">R02929</t>
  </si>
  <si>
    <t xml:space="preserve">CAT6 RJ45 Patch Panel (Jack dahil)</t>
  </si>
  <si>
    <t xml:space="preserve">R02930</t>
  </si>
  <si>
    <t xml:space="preserve">CAT 6 U-UTP Patchcord,LSZH AWG 26/7, 2 m</t>
  </si>
  <si>
    <t xml:space="preserve">R02936</t>
  </si>
  <si>
    <t xml:space="preserve">Dijital Telefon</t>
  </si>
  <si>
    <t xml:space="preserve">KPT metro 2 istasyon; alt sistem detay sayfası, tedarikçi malzeme birim fiyatı (EUR, GGK hariç);  [sayfa: 405-TEL]</t>
  </si>
  <si>
    <t xml:space="preserve">R02938</t>
  </si>
  <si>
    <t xml:space="preserve">Lokal Telefon Santrali</t>
  </si>
  <si>
    <t xml:space="preserve">R02940</t>
  </si>
  <si>
    <t xml:space="preserve">İntercom Tipi Acil Durum Telefonu</t>
  </si>
  <si>
    <t xml:space="preserve">R02947</t>
  </si>
  <si>
    <t xml:space="preserve">1x2x0.6+0.6 HBAPH FE180 PH90</t>
  </si>
  <si>
    <t xml:space="preserve">R02948</t>
  </si>
  <si>
    <t xml:space="preserve">2x2x0.6+0.6 HBAPH FE180 PH90</t>
  </si>
  <si>
    <t xml:space="preserve">R02952</t>
  </si>
  <si>
    <t xml:space="preserve">Asma Tavan Tipi Hoparlör</t>
  </si>
  <si>
    <t xml:space="preserve">Ad</t>
  </si>
  <si>
    <t xml:space="preserve">KPT metro 2 istasyon; alt sistem detay sayfası, tedarikçi malzeme birim fiyatı (EUR, GGK hariç);  [sayfa: 409-PAS]</t>
  </si>
  <si>
    <t xml:space="preserve">R02953</t>
  </si>
  <si>
    <t xml:space="preserve">Projeksiyon Tipi Hoparlör</t>
  </si>
  <si>
    <t xml:space="preserve">R02954</t>
  </si>
  <si>
    <t xml:space="preserve">Hat Sonu Direnci</t>
  </si>
  <si>
    <t xml:space="preserve">R02955</t>
  </si>
  <si>
    <t xml:space="preserve">Gürültü Mikrofonu</t>
  </si>
  <si>
    <t xml:space="preserve">R02957</t>
  </si>
  <si>
    <t xml:space="preserve">Anons Klavyesi</t>
  </si>
  <si>
    <t xml:space="preserve">R02958</t>
  </si>
  <si>
    <t xml:space="preserve">Anons Sistemi Kabineti (Network Kontrolör ve Amplifikatörler)</t>
  </si>
  <si>
    <t xml:space="preserve">Set</t>
  </si>
  <si>
    <t xml:space="preserve">[AYKIRI DEĞER – otomatik dışlandı] KPT metro 2 istasyon; alt sistem detay sayfası, tedarikçi malzeme birim fiyatı (EUR, GGK hariç);  [sayfa: 409-PAS]</t>
  </si>
  <si>
    <t xml:space="preserve">R02959</t>
  </si>
  <si>
    <t xml:space="preserve">Hoparlör Kablosu (2x1,5 mm² LIHCHRH FE180 PH90)</t>
  </si>
  <si>
    <t xml:space="preserve">Mt</t>
  </si>
  <si>
    <t xml:space="preserve">R02960</t>
  </si>
  <si>
    <t xml:space="preserve">4x0,5 mm2 LIHH FE-180 PH90</t>
  </si>
  <si>
    <t xml:space="preserve">R02963</t>
  </si>
  <si>
    <t xml:space="preserve">Endüktif Döngü Kablosu 2x2,5mm² LIHCH</t>
  </si>
  <si>
    <t xml:space="preserve">R02966</t>
  </si>
  <si>
    <t xml:space="preserve">Kart Okuyucu</t>
  </si>
  <si>
    <t xml:space="preserve">KPT metro 2 istasyon; alt sistem detay sayfası, tedarikçi malzeme birim fiyatı (EUR, GGK hariç);  [sayfa: 415-ACS]</t>
  </si>
  <si>
    <t xml:space="preserve">R02967</t>
  </si>
  <si>
    <t xml:space="preserve">Manyetik Kilit</t>
  </si>
  <si>
    <t xml:space="preserve">R02970</t>
  </si>
  <si>
    <t xml:space="preserve">Kapı Kontrol Ünitesi (GCU)</t>
  </si>
  <si>
    <t xml:space="preserve">R02971</t>
  </si>
  <si>
    <t xml:space="preserve">Erişim Kontrol Sunucusu (ACS) ve Kabineti</t>
  </si>
  <si>
    <t xml:space="preserve">R02972</t>
  </si>
  <si>
    <t xml:space="preserve">8x0,75 LIHCH</t>
  </si>
  <si>
    <t xml:space="preserve">R02973</t>
  </si>
  <si>
    <t xml:space="preserve">2x0,75 LIHCH</t>
  </si>
  <si>
    <t xml:space="preserve">R02974</t>
  </si>
  <si>
    <t xml:space="preserve">2x1,5 mm2 NHXMH</t>
  </si>
  <si>
    <t xml:space="preserve">R02977</t>
  </si>
  <si>
    <t xml:space="preserve">Yolcu Geçiş Kontrol (Ücret Toplama) Sistemi Engelli Geçiş Turnikesi</t>
  </si>
  <si>
    <t xml:space="preserve">KPT metro 2 istasyon; alt sistem detay sayfası, tedarikçi malzeme birim fiyatı (EUR, GGK hariç);  [sayfa: 419.20.22.23-PIS]</t>
  </si>
  <si>
    <t xml:space="preserve">R02979</t>
  </si>
  <si>
    <t xml:space="preserve">Çift yüzlü yolcu bilgilendirme ekranı</t>
  </si>
  <si>
    <t xml:space="preserve">R02982</t>
  </si>
  <si>
    <t xml:space="preserve">Mevcut YBS' ye Entegrasyon</t>
  </si>
  <si>
    <t xml:space="preserve">R02987</t>
  </si>
  <si>
    <t xml:space="preserve">VERİ KABLOSU U/FTP CAT6 LS0H FE 180</t>
  </si>
  <si>
    <t xml:space="preserve">R02988</t>
  </si>
  <si>
    <t xml:space="preserve">ENERJİ KABLOSU  3x2.5 mm² NHXMH FE180</t>
  </si>
  <si>
    <t xml:space="preserve">R02991</t>
  </si>
  <si>
    <t xml:space="preserve">SAGE-YHRT</t>
  </si>
  <si>
    <t xml:space="preserve">Yapı Merkezi İDİS bütçe (marka sütunu)</t>
  </si>
  <si>
    <t xml:space="preserve">2018-08-14</t>
  </si>
  <si>
    <t xml:space="preserve">2.1.7.1003 Ofis/Servis Telefonu</t>
  </si>
  <si>
    <t xml:space="preserve">ea</t>
  </si>
  <si>
    <t xml:space="preserve">SAGE YHRT tesis binası zayıf akım bütçesi; tüm fiyatlar USD (EUR kalemler 1,15 kur ile çevrilmiş); birim_fiyat=malzeme+işçilik; marka: MITEL/Yealink/Gigaset; orijinal para: EUR</t>
  </si>
  <si>
    <t xml:space="preserve">R02992</t>
  </si>
  <si>
    <t xml:space="preserve">2.1.7.1004 Ses Kayıt Sistemi - PC Dahil</t>
  </si>
  <si>
    <t xml:space="preserve">R02994</t>
  </si>
  <si>
    <t xml:space="preserve">2.1.7.2001 Cat 7 UTP Kablo</t>
  </si>
  <si>
    <t xml:space="preserve">SAGE YHRT tesis binası zayıf akım bütçesi; tüm fiyatlar USD (EUR kalemler 1,15 kur ile çevrilmiş); birim_fiyat=malzeme+işçilik; marka: HCS / Draka; orijinal para: USD</t>
  </si>
  <si>
    <t xml:space="preserve">R02998</t>
  </si>
  <si>
    <t xml:space="preserve">2.1.8.1001 Kart Okuyucu - Iclass</t>
  </si>
  <si>
    <t xml:space="preserve">SAGE YHRT tesis binası zayıf akım bütçesi; tüm fiyatlar USD (EUR kalemler 1,15 kur ile çevrilmiş); birim_fiyat=malzeme+işçilik; marka: BOSCH / HID; orijinal para: USD</t>
  </si>
  <si>
    <t xml:space="preserve">R03000</t>
  </si>
  <si>
    <t xml:space="preserve">2.1.8.1003 Acil Çıkış Butonu ( İzlenebilir ve resetlenebilir tip )</t>
  </si>
  <si>
    <t xml:space="preserve">R03001</t>
  </si>
  <si>
    <t xml:space="preserve">2.1.8.1004 Paslanmaz Çıkış Butonu ( Recessed Type ), double contact</t>
  </si>
  <si>
    <t xml:space="preserve">R03002</t>
  </si>
  <si>
    <t xml:space="preserve">2.1.8.1005 Manyetik Kontak 48mm genişlik</t>
  </si>
  <si>
    <t xml:space="preserve">R03015</t>
  </si>
  <si>
    <t xml:space="preserve">2.1.8.3006 ID Kart Yazıcı - Ribbon dahil</t>
  </si>
  <si>
    <t xml:space="preserve">SAGE YHRT tesis binası zayıf akım bütçesi; tüm fiyatlar USD (EUR kalemler 1,15 kur ile çevrilmiş); birim_fiyat=malzeme+işçilik; marka: Zebra / Epson; orijinal para: USD</t>
  </si>
  <si>
    <t xml:space="preserve">R03016</t>
  </si>
  <si>
    <t xml:space="preserve">2.1.8.3007 Proximity Kart</t>
  </si>
  <si>
    <t xml:space="preserve">SAGE YHRT tesis binası zayıf akım bütçesi; tüm fiyatlar USD (EUR kalemler 1,15 kur ile çevrilmiş); birim_fiyat=malzeme+işçilik; marka: OEM; orijinal para: USD</t>
  </si>
  <si>
    <t xml:space="preserve">R03018</t>
  </si>
  <si>
    <t xml:space="preserve">2.1.8.4002 2x0,75 LIH(st)CH Manyetik Kontak Kablosu</t>
  </si>
  <si>
    <t xml:space="preserve">SAGE YHRT tesis binası zayıf akım bütçesi; tüm fiyatlar USD (EUR kalemler 1,15 kur ile çevrilmiş); birim_fiyat=malzeme+işçilik; marka: Erse / 3M; orijinal para: USD</t>
  </si>
  <si>
    <t xml:space="preserve">R03019</t>
  </si>
  <si>
    <t xml:space="preserve">2.1.8.4003 4x0,75 LIH(st)CH Acil Çıkış Butonu Kablosu</t>
  </si>
  <si>
    <t xml:space="preserve">R03021</t>
  </si>
  <si>
    <t xml:space="preserve">2.1.8.4005 4x0,75 LIH(st)CH Elektrikli Kilit Kablosu</t>
  </si>
  <si>
    <t xml:space="preserve">R03028</t>
  </si>
  <si>
    <t xml:space="preserve">2.1.8.5005 Anten</t>
  </si>
  <si>
    <t xml:space="preserve">SAGE YHRT tesis binası zayıf akım bütçesi; tüm fiyatlar USD (EUR kalemler 1,15 kur ile çevrilmiş); birim_fiyat=malzeme+işçilik; marka: Tansa / Meyer / Oscar; orijinal para: USD</t>
  </si>
  <si>
    <t xml:space="preserve">R03042</t>
  </si>
  <si>
    <t xml:space="preserve">2.1.9.1008 Montaj Aparatı ve Kutusu</t>
  </si>
  <si>
    <t xml:space="preserve">SAGE YHRT tesis binası zayıf akım bütçesi; tüm fiyatlar USD (EUR kalemler 1,15 kur ile çevrilmiş); birim_fiyat=malzeme+işçilik; marka: Bosch / Axis / Pelco; orijinal para: USD</t>
  </si>
  <si>
    <t xml:space="preserve">R03043</t>
  </si>
  <si>
    <t xml:space="preserve">2.1.9.1009 Hareketli PTZ Camera 30X 1080P</t>
  </si>
  <si>
    <t xml:space="preserve">R03060</t>
  </si>
  <si>
    <t xml:space="preserve">2.1.9.3003 Kamera Direği</t>
  </si>
  <si>
    <t xml:space="preserve">SAGE YHRT tesis binası zayıf akım bütçesi; tüm fiyatlar USD (EUR kalemler 1,15 kur ile çevrilmiş); birim_fiyat=malzeme+işçilik; marka: Mitaş / Çepaş; orijinal para: USD</t>
  </si>
  <si>
    <t xml:space="preserve">R03068</t>
  </si>
  <si>
    <t xml:space="preserve">2.1.10.2003 Endüstriyel Tip Kabinet - 42U 19"</t>
  </si>
  <si>
    <t xml:space="preserve">SAGE YHRT tesis binası zayıf akım bütçesi; tüm fiyatlar USD (EUR kalemler 1,15 kur ile çevrilmiş); birim_fiyat=malzeme+işçilik; marka: ESTAP / LANDE; orijinal para: USD</t>
  </si>
  <si>
    <t xml:space="preserve">R03069</t>
  </si>
  <si>
    <t xml:space="preserve">2.1.10.2004 Duvar Tipi Kabinet - 12U 19"</t>
  </si>
  <si>
    <t xml:space="preserve">R03070</t>
  </si>
  <si>
    <t xml:space="preserve">2.1.10.2005 Saha Kabineti - Çevre Kameraları İçin</t>
  </si>
  <si>
    <t xml:space="preserve">R03071</t>
  </si>
  <si>
    <t xml:space="preserve">2.1.10.3001 Network İzleme İş İstasyonu</t>
  </si>
  <si>
    <t xml:space="preserve">SAGE YHRT tesis binası zayıf akım bütçesi; tüm fiyatlar USD (EUR kalemler 1,15 kur ile çevrilmiş); birim_fiyat=malzeme+işçilik; marka: DELL / HP; orijinal para: EUR</t>
  </si>
  <si>
    <t xml:space="preserve">R03077</t>
  </si>
  <si>
    <t xml:space="preserve">2.1.10.3007 İnternet Gateway - Firewall Dahil</t>
  </si>
  <si>
    <t xml:space="preserve">SAGE YHRT tesis binası zayıf akım bütçesi; tüm fiyatlar USD (EUR kalemler 1,15 kur ile çevrilmiş); birim_fiyat=malzeme+işçilik; marka: CISCO / Hirschmann; orijinal para: EUR</t>
  </si>
  <si>
    <t xml:space="preserve">R03079</t>
  </si>
  <si>
    <t xml:space="preserve">2.1.10.4002 Fiber Optik Kablo SM 8 Core</t>
  </si>
  <si>
    <t xml:space="preserve">R03080</t>
  </si>
  <si>
    <t xml:space="preserve">2.1.10.4003 Patch Kablo Cat6</t>
  </si>
  <si>
    <t xml:space="preserve">R03081</t>
  </si>
  <si>
    <t xml:space="preserve">2.1.10.4004 Patch Kablo LC/LC SM Fiber</t>
  </si>
  <si>
    <t xml:space="preserve">R03083</t>
  </si>
  <si>
    <t xml:space="preserve">2.1.10.4006 Fiber Sonlandırma</t>
  </si>
  <si>
    <t xml:space="preserve">R03085</t>
  </si>
  <si>
    <t xml:space="preserve">2.1.11.1001 Asma Tavan Tipi Hoparlör</t>
  </si>
  <si>
    <t xml:space="preserve">SAGE YHRT tesis binası zayıf akım bütçesi; tüm fiyatlar USD (EUR kalemler 1,15 kur ile çevrilmiş); birim_fiyat=malzeme+işçilik; marka: Bosch / TOA; orijinal para: EUR</t>
  </si>
  <si>
    <t xml:space="preserve">R03094</t>
  </si>
  <si>
    <t xml:space="preserve">2.1.11.2006 Bilgisayarlı Çağrı Sunucusu - Lisanslar Dahil</t>
  </si>
  <si>
    <t xml:space="preserve">R03096</t>
  </si>
  <si>
    <t xml:space="preserve">2.1.11.3001 1x2x1,5mm2+0,8mm JE-H(st)H Bd FE180 PH120</t>
  </si>
  <si>
    <t xml:space="preserve">R03097</t>
  </si>
  <si>
    <t xml:space="preserve">2.1.11.3002 Q16 Rijit Boru ( Tüm aksesuarları dahil )</t>
  </si>
  <si>
    <t xml:space="preserve">SAGE YHRT tesis binası zayıf akım bütçesi; tüm fiyatlar USD (EUR kalemler 1,15 kur ile çevrilmiş); birim_fiyat=malzeme+işçilik; marka: Mutlusan / ENSMET; orijinal para: USD</t>
  </si>
  <si>
    <t xml:space="preserve">R03102</t>
  </si>
  <si>
    <t xml:space="preserve">SamsunLRT</t>
  </si>
  <si>
    <t xml:space="preserve">LRT</t>
  </si>
  <si>
    <t xml:space="preserve">USKOM (klasör adı)</t>
  </si>
  <si>
    <t xml:space="preserve">2008-03-17</t>
  </si>
  <si>
    <t xml:space="preserve">Computer for station and SW license</t>
  </si>
  <si>
    <t xml:space="preserve">Samsun HRS 20 istasyon; manyetik bilet sistemi; tarih dosya adından</t>
  </si>
  <si>
    <t xml:space="preserve">R03105</t>
  </si>
  <si>
    <t xml:space="preserve">Portable computer for data collection</t>
  </si>
  <si>
    <t xml:space="preserve">R03129</t>
  </si>
  <si>
    <t xml:space="preserve">IONOS NMS P5.xx lisansı, 1 sunucu ve 50 ye kadar şebeke elemanı (NE) için</t>
  </si>
  <si>
    <t xml:space="preserve">Samsun LRT (yüzeyde, 20 durak, 13 trafo merkezi, TCC/depo); 2008 fiyatı;  [sayfa: SDH ve Optik Kablo Sistemi]</t>
  </si>
  <si>
    <t xml:space="preserve">R03134</t>
  </si>
  <si>
    <t xml:space="preserve">Optik dağıtım kutusu (ODF) 2 adet 12 fiberli kablo monte terminasyonu için</t>
  </si>
  <si>
    <t xml:space="preserve">R03154</t>
  </si>
  <si>
    <t xml:space="preserve">Tetra 2. Baz İstasyonu</t>
  </si>
  <si>
    <t xml:space="preserve">Samsun LRT (yüzeyde, 20 durak, 13 trafo merkezi, TCC/depo); 2008 fiyatı;  [sayfa: Telsiz Sistemi]</t>
  </si>
  <si>
    <t xml:space="preserve">R03155</t>
  </si>
  <si>
    <t xml:space="preserve">Uskom Trenüstü telsiz ekipmanı : 1 adet GPS li Tetra telsiz ekipmanı, 1adet düşük profilli Tetra+GPS anteni, kontrol ünitesi,2 adet display ünitesi, PA amfisi için audio çıkış</t>
  </si>
  <si>
    <t xml:space="preserve">R03156</t>
  </si>
  <si>
    <t xml:space="preserve">El telsizi (1 Watt) şarj cihazı ile birlikte (GPS opsiyonu yoktur)</t>
  </si>
  <si>
    <t xml:space="preserve">R03160</t>
  </si>
  <si>
    <t xml:space="preserve">TNX-EL TetraNode eXchange Entry Level endüstriyel sunucu</t>
  </si>
  <si>
    <t xml:space="preserve">R03164</t>
  </si>
  <si>
    <t xml:space="preserve">RIO TEP-RIO 244</t>
  </si>
  <si>
    <t xml:space="preserve">R03172</t>
  </si>
  <si>
    <t xml:space="preserve">Renkli lazer yazıcı</t>
  </si>
  <si>
    <t xml:space="preserve">4016</t>
  </si>
  <si>
    <t xml:space="preserve">Samsun LRT (yüzeyde, 20 durak, 13 trafo merkezi, TCC/depo); 2008 fiyatı;  [sayfa: SCADA Sistemi]</t>
  </si>
  <si>
    <t xml:space="preserve">R03203</t>
  </si>
  <si>
    <t xml:space="preserve">Sistem kontrol ünitesi,  3-D  joystick, PTZ için RS485/Manchester port, RS232/Ethernet bağlantı portları</t>
  </si>
  <si>
    <t xml:space="preserve">Samsun LRT (yüzeyde, 20 durak, 13 trafo merkezi, TCC/depo); 2008 fiyatı;  [sayfa: CCTV Sistemi]</t>
  </si>
  <si>
    <t xml:space="preserve">R03224</t>
  </si>
  <si>
    <t xml:space="preserve">Harici Dome kamera, PAL/EIA, &gt;480 TVL, 23X optik, 12X sayısal, gündüz(renkli, 0.1 lux)/gece(siyah/beyaz, 0.01 lux), 24VAC</t>
  </si>
  <si>
    <t xml:space="preserve">R03268</t>
  </si>
  <si>
    <t xml:space="preserve">OP2 tipi telefon operatör konsolu</t>
  </si>
  <si>
    <t xml:space="preserve">Samsun LRT (yüzeyde, 20 durak, 13 trafo merkezi, TCC/depo); 2008 fiyatı;  [sayfa: Telefon Sistemi]</t>
  </si>
  <si>
    <t xml:space="preserve">R03277</t>
  </si>
  <si>
    <t xml:space="preserve">Tepekoy_Selcuk_II_Hat_Yapim</t>
  </si>
  <si>
    <t xml:space="preserve">2013-07-19</t>
  </si>
  <si>
    <t xml:space="preserve">SİNYAL 08.01.01 Fiber Optik Kablo Üfleme ve Döşeme</t>
  </si>
  <si>
    <t xml:space="preserve">Metre</t>
  </si>
  <si>
    <t xml:space="preserve">Tepeköy-Selçuk 2. hat (anahat, ~26 km; HDPE 25,5 km); ihale 2013/54548; KDV hariç; detay sayfası POZ NO 08</t>
  </si>
  <si>
    <t xml:space="preserve">R03405</t>
  </si>
  <si>
    <t xml:space="preserve">Siemens Mobility</t>
  </si>
  <si>
    <t xml:space="preserve">İstasyon PCS-RTU (enerji) (her istasyon için 1, 17 lokasyon)</t>
  </si>
  <si>
    <t xml:space="preserve">Üsküdar-Çekmeköy metro SCADA (16 yeraltı ist. + depo); KDV hariç; </t>
  </si>
  <si>
    <t xml:space="preserve">R03589</t>
  </si>
  <si>
    <t xml:space="preserve">Usluel Enerji</t>
  </si>
  <si>
    <t xml:space="preserve">2012-04-20</t>
  </si>
  <si>
    <t xml:space="preserve">21.2 ANKRAJ DİREĞİ İÇİN ÇİFTLİ LENTE</t>
  </si>
  <si>
    <t xml:space="preserve">Başkentray Sincan-Ankara-Kayaş banliyö (25 kV AC) katener yenileme; TCDD KT birim fiyat tarifleri; KDV hariç; direk ve ankraj temelleri opsiyonel; malzeme kur/endeks bağlı | Kısım I</t>
  </si>
  <si>
    <t xml:space="preserve">R03638</t>
  </si>
  <si>
    <t xml:space="preserve">37.0 UZAK UÇ BİRİMLERİ (RTU)</t>
  </si>
  <si>
    <t xml:space="preserve">R03832</t>
  </si>
  <si>
    <t xml:space="preserve">CDE (Ramazan Oruç aracılığıyla)</t>
  </si>
  <si>
    <t xml:space="preserve">2012-04-23</t>
  </si>
  <si>
    <t xml:space="preserve">Başkentray Sincan-Ankara-Kayaş banliyö (25 kV AC) katener yenileme; TCDD KT birim fiyat tarifleri; birim fiyat teklif cetveli (malzeme+işçilik tek fiyat) | kisim 1</t>
  </si>
  <si>
    <t xml:space="preserve">R03994</t>
  </si>
  <si>
    <t xml:space="preserve">Bursa_Osmaneli_Hizli_Tren_IPTAL_EDILEN</t>
  </si>
  <si>
    <t xml:space="preserve">Ankara Ulaşım Sistemleri (YM fiyat çalışmasında)</t>
  </si>
  <si>
    <t xml:space="preserve">2018-03-23</t>
  </si>
  <si>
    <t xml:space="preserve">ELF-11.2 GEÇİŞ BARASI (KRUVAZMAN ÇUBUĞU)</t>
  </si>
  <si>
    <t xml:space="preserve">Bursa-Osmaneli hızlı tren 211 km tek hat; elektrifikasyon fiyat çalışması (malzeme+işçilik), KDV hariç; kur 4,8382 TL/EUR</t>
  </si>
  <si>
    <t xml:space="preserve">R04004</t>
  </si>
  <si>
    <t xml:space="preserve">ELF-15.2 TÜNEL TOPRAKLAMA SİSTEMİ İÇİN HARİCİ KABİN</t>
  </si>
  <si>
    <t xml:space="preserve">R04006</t>
  </si>
  <si>
    <t xml:space="preserve">ELF-16.2 KABİNLER İÇİN KLİMA</t>
  </si>
  <si>
    <t xml:space="preserve">R04012</t>
  </si>
  <si>
    <t xml:space="preserve">ELF-20.1 230 VAC HARİCİ DAĞITIM PANOSU</t>
  </si>
  <si>
    <t xml:space="preserve">R04032</t>
  </si>
  <si>
    <t xml:space="preserve">ELF-26.6 NUMARA LEVHASI</t>
  </si>
  <si>
    <t xml:space="preserve">[AYKIRI DEĞER – otomatik dışlandı] Bursa-Osmaneli hızlı tren 211 km tek hat; elektrifikasyon fiyat çalışması (malzeme+işçilik), KDV hariç; kur 4,8382 TL/EUR</t>
  </si>
  <si>
    <t xml:space="preserve">R04035</t>
  </si>
  <si>
    <t xml:space="preserve">ELF-29.0 HDPE KABLO MUHAFAZA BORUSU</t>
  </si>
  <si>
    <t xml:space="preserve">METRE</t>
  </si>
  <si>
    <t xml:space="preserve">R04081</t>
  </si>
  <si>
    <t xml:space="preserve">Yapı Merkezi iç maliyet çalışması (malzeme birim fiyatları)</t>
  </si>
  <si>
    <t xml:space="preserve">2018-10-19</t>
  </si>
  <si>
    <t xml:space="preserve">GEÇİŞ BARASI (KRUVAZMAN ÇUBUĞU)</t>
  </si>
  <si>
    <t xml:space="preserve">Çerkezköy-Kapıkule (Halkalı-Kapıkule) anahat 25 kV AC; tek hat-km 326,8 (açık hat 305,8 + yan yollar 21) ≈ 153 km çift hat; YM direkt maliyet çalışması v2 (tedarikçi teklifi değil); malzeme birim fiyatları, işçilik ayrı hesaplanmış</t>
  </si>
  <si>
    <t xml:space="preserve">R04101</t>
  </si>
  <si>
    <t xml:space="preserve">2014-02-24</t>
  </si>
  <si>
    <t xml:space="preserve">Katener Sistemi Projelendirilmesi</t>
  </si>
  <si>
    <t xml:space="preserve">750V DC tramvay; teklif notu: tüm fiyatlar Euro, KDV hariç, katener direk temelleri ve inşaat işleri ana yüklenicide; malzeme+montaj | hat: Karşıyaka (9.87 km çift hat + depo)</t>
  </si>
  <si>
    <t xml:space="preserve">R04102</t>
  </si>
  <si>
    <t xml:space="preserve">Tip A1 (Ankraj Tijleri dahil, Direk temeli hariç)</t>
  </si>
  <si>
    <t xml:space="preserve">750V DC tramvay; teklif notu: tüm fiyatlar Euro, KDV hariç, katener direk temelleri ve inşaat işleri ana yüklenicide; malzeme+montaj | hat: Karşıyaka (9.87 km çift hat + depo); katener direği tip tanımı dokümanda yok; ankraj tijleri dahil, direk temeli hariç</t>
  </si>
  <si>
    <t xml:space="preserve">R04103</t>
  </si>
  <si>
    <t xml:space="preserve">Tip A (Ankraj Tijleri dahil, Direk temeli hariç)</t>
  </si>
  <si>
    <t xml:space="preserve">R04113</t>
  </si>
  <si>
    <t xml:space="preserve">Kontak teli 120 mm2 CuEtp</t>
  </si>
  <si>
    <t xml:space="preserve">750V DC tramvay; teklif notu: tüm fiyatlar Euro, KDV hariç, katener direk temelleri ve inşaat işleri ana yüklenicide; malzeme+montaj | hat: Karşıyaka (9.87 km çift hat + depo); dosyada birim "km" yazılmış ama miktar metre (fiyat EUR/m)</t>
  </si>
  <si>
    <t xml:space="preserve">R04114</t>
  </si>
  <si>
    <t xml:space="preserve">Takviye Besleme kablosu 150 mm2 Cu</t>
  </si>
  <si>
    <t xml:space="preserve">R04115</t>
  </si>
  <si>
    <t xml:space="preserve">Katener Sistemleri arası esnek bağlantı (95mm2)</t>
  </si>
  <si>
    <t xml:space="preserve">R04116</t>
  </si>
  <si>
    <t xml:space="preserve">Takviye Kablosu ve katener arası elektriksel bağlantı</t>
  </si>
  <si>
    <t xml:space="preserve">R04117</t>
  </si>
  <si>
    <t xml:space="preserve">Parafudr, Aşırı gerilim koruması bağlantıları</t>
  </si>
  <si>
    <t xml:space="preserve">R04118</t>
  </si>
  <si>
    <t xml:space="preserve">Çeki/bası tekli konsol-hoban sistemi</t>
  </si>
  <si>
    <t xml:space="preserve">R04121</t>
  </si>
  <si>
    <t xml:space="preserve">Portik-Headspan Sistemi</t>
  </si>
  <si>
    <t xml:space="preserve">R04122</t>
  </si>
  <si>
    <t xml:space="preserve">Kontak teli için (10 kN) otomatik gergi sistemi</t>
  </si>
  <si>
    <t xml:space="preserve">R04123</t>
  </si>
  <si>
    <t xml:space="preserve">Kontak teli için 10 kN fiks gergi sistemi</t>
  </si>
  <si>
    <t xml:space="preserve">R04124</t>
  </si>
  <si>
    <t xml:space="preserve">Kontak teli için yaylı gergi sistemi</t>
  </si>
  <si>
    <t xml:space="preserve">R04125</t>
  </si>
  <si>
    <t xml:space="preserve">Antişöminman(midpoint anchor)</t>
  </si>
  <si>
    <t xml:space="preserve">R04126</t>
  </si>
  <si>
    <t xml:space="preserve">Seksiyon izolatörü(section insulator)</t>
  </si>
  <si>
    <t xml:space="preserve">R04127</t>
  </si>
  <si>
    <t xml:space="preserve">Parafudur</t>
  </si>
  <si>
    <t xml:space="preserve">R04128</t>
  </si>
  <si>
    <t xml:space="preserve">Topraklama elektrodu ve tertibatı</t>
  </si>
  <si>
    <t xml:space="preserve">R04130</t>
  </si>
  <si>
    <t xml:space="preserve">Direk tipi elle kumandalı ayırıcı(4000A)</t>
  </si>
  <si>
    <t xml:space="preserve">R04132</t>
  </si>
  <si>
    <t xml:space="preserve">0.6/(1.2) kV 1x300 mm2 Besleme Kablosu</t>
  </si>
  <si>
    <t xml:space="preserve">R04136</t>
  </si>
  <si>
    <t xml:space="preserve">profile 12 m long</t>
  </si>
  <si>
    <t xml:space="preserve">750V DC tramvay; teklif notu: tüm fiyatlar Euro, KDV hariç, katener direk temelleri ve inşaat işleri ana yüklenicide; malzeme+montaj | hat: Karşıyaka (9.87 km çift hat + depo); depo içi rijit katener (BBR malzeme+Usluel montaj)</t>
  </si>
  <si>
    <t xml:space="preserve">R04137</t>
  </si>
  <si>
    <t xml:space="preserve">profile 4 m long, one end bent</t>
  </si>
  <si>
    <t xml:space="preserve">R04141</t>
  </si>
  <si>
    <t xml:space="preserve">turntable support</t>
  </si>
  <si>
    <t xml:space="preserve">750V DC tramvay; teklif notu: tüm fiyatlar Euro, KDV hariç, katener direk temelleri ve inşaat işleri ana yüklenicide; malzeme+montaj | hat: Karşıyaka (9.87 km çift hat + depo); depo/atölye katlanır (döner) rijit katener</t>
  </si>
  <si>
    <t xml:space="preserve">R04142</t>
  </si>
  <si>
    <t xml:space="preserve">turntable support with motor drive</t>
  </si>
  <si>
    <t xml:space="preserve">R04143</t>
  </si>
  <si>
    <t xml:space="preserve">infeed point for rigid catenary</t>
  </si>
  <si>
    <t xml:space="preserve">R04144</t>
  </si>
  <si>
    <t xml:space="preserve">control panel for turntable support motor drives</t>
  </si>
  <si>
    <t xml:space="preserve">R04175</t>
  </si>
  <si>
    <t xml:space="preserve">Aşırı gerilim koruma cihazı</t>
  </si>
  <si>
    <t xml:space="preserve">750V DC tramvay; teklif notu: tüm fiyatlar Euro, KDV hariç, katener direk temelleri ve inşaat işleri ana yüklenicide; malzeme+montaj | hat: Konak (12.30 km çift hat + depo)</t>
  </si>
  <si>
    <t xml:space="preserve">R04201</t>
  </si>
  <si>
    <t xml:space="preserve">Balfour Beatty Rail GmbH</t>
  </si>
  <si>
    <t xml:space="preserve">BBSE201116-DBE Single Cantilever A with Bridle Suspension</t>
  </si>
  <si>
    <t xml:space="preserve">BBR-Offer 741532 OCS malzeme set fiyatı; SADECE MALZEME (montaj yok); bazı setlerde GRP çubuk ve belirtilen parçalar hariç | not: Excluding part n° BBSE201116-DGH &amp; DGN &amp; 3EGF005586 &amp; 3EGF005587 &amp; GRP rods (Part 1 - 2) ; teklif miktarı Konak 355 / Karşıyaka 267</t>
  </si>
  <si>
    <t xml:space="preserve">R04207</t>
  </si>
  <si>
    <t xml:space="preserve">BBSE201116-DBL Automatic Tensioning Device 10kN</t>
  </si>
  <si>
    <t xml:space="preserve">BBR-Offer 741532 OCS malzeme set fiyatı; SADECE MALZEME (montaj yok); bazı setlerde GRP çubuk ve belirtilen parçalar hariç | teklif miktarı Konak 56 / Karşıyaka 32</t>
  </si>
  <si>
    <t xml:space="preserve">R04215</t>
  </si>
  <si>
    <t xml:space="preserve">BBSE201116-DBZ Fixed Tensioning Device 10kN</t>
  </si>
  <si>
    <t xml:space="preserve">BBR-Offer 741532 OCS malzeme set fiyatı; SADECE MALZEME (montaj yok); bazı setlerde GRP çubuk ve belirtilen parçalar hariç | teklif miktarı Konak 19 / Karşıyaka 22</t>
  </si>
  <si>
    <t xml:space="preserve">R04216</t>
  </si>
  <si>
    <t xml:space="preserve">BBSE201116-DCA Mid-Point Anchor for Contact and Messenger Wire</t>
  </si>
  <si>
    <t xml:space="preserve">BBR-Offer 741532 OCS malzeme set fiyatı; SADECE MALZEME (montaj yok); bazı setlerde GRP çubuk ve belirtilen parçalar hariç | teklif miktarı Konak 20 / Karşıyaka 16</t>
  </si>
  <si>
    <t xml:space="preserve">R04217</t>
  </si>
  <si>
    <t xml:space="preserve">BBSE201116-DCB Spring Tensioning Device 6-10kN</t>
  </si>
  <si>
    <t xml:space="preserve">BBR-Offer 741532 OCS malzeme set fiyatı; SADECE MALZEME (montaj yok); bazı setlerde GRP çubuk ve belirtilen parçalar hariç | teklif miktarı Konak 8 / Karşıyaka 9</t>
  </si>
  <si>
    <t xml:space="preserve">R04227</t>
  </si>
  <si>
    <t xml:space="preserve">BBSE201116-DDK Mast Disconnector with Motor Drive</t>
  </si>
  <si>
    <t xml:space="preserve">BBR-Offer 741532 OCS malzeme set fiyatı; SADECE MALZEME (montaj yok); bazı setlerde GRP çubuk ve belirtilen parçalar hariç | not: Excluding part n° 16 &amp; 17</t>
  </si>
  <si>
    <t xml:space="preserve">R04228</t>
  </si>
  <si>
    <t xml:space="preserve">BBSE201116-DDL Mast Disconnector with Hand Drive</t>
  </si>
  <si>
    <t xml:space="preserve">BBR-Offer 741532 OCS malzeme set fiyatı; SADECE MALZEME (montaj yok); bazı setlerde GRP çubuk ve belirtilen parçalar hariç | not: Excluding part n° 15 &amp; 16</t>
  </si>
  <si>
    <t xml:space="preserve">R04242</t>
  </si>
  <si>
    <t xml:space="preserve">BBSE201116-DFP Electrical Connection</t>
  </si>
  <si>
    <t xml:space="preserve">BBR-Offer 741532 OCS malzeme set fiyatı; SADECE MALZEME (montaj yok); bazı setlerde GRP çubuk ve belirtilen parçalar hariç | not: Excluding part n° 5</t>
  </si>
  <si>
    <t xml:space="preserve">R04250</t>
  </si>
  <si>
    <t xml:space="preserve">BBSE201116-DGM Contact Wire Crossing</t>
  </si>
  <si>
    <t xml:space="preserve">BBR-Offer 741532 OCS malzeme set fiyatı; SADECE MALZEME (montaj yok); bazı setlerde GRP çubuk ve belirtilen parçalar hariç</t>
  </si>
  <si>
    <t xml:space="preserve">R04282</t>
  </si>
  <si>
    <t xml:space="preserve">KOCAELI_BELEDIYESI_TRAMWAY_HATTI</t>
  </si>
  <si>
    <t xml:space="preserve">Özgür Makina (proje müşaviri keşif özeti)</t>
  </si>
  <si>
    <t xml:space="preserve">2014-12-24</t>
  </si>
  <si>
    <t xml:space="preserve">KT-2 HER TÜRLÜ CİDARA ASKI VEYA ANKRAJ NOKTASI</t>
  </si>
  <si>
    <t xml:space="preserve">Sekapark-Otogar tramvay AVAN/uygulama projesi KEŞİF ÖZETİ (yaklaşık maliyet, tedarikçi teklifi DEĞİL); malzeme temini ve montaj</t>
  </si>
  <si>
    <t xml:space="preserve">R04287</t>
  </si>
  <si>
    <t xml:space="preserve">KT-7 KONTAK TELİ</t>
  </si>
  <si>
    <t xml:space="preserve">R04288</t>
  </si>
  <si>
    <t xml:space="preserve">KT-8 TAŞIYICI TEL</t>
  </si>
  <si>
    <t xml:space="preserve">R04289</t>
  </si>
  <si>
    <t xml:space="preserve">KT-9 STANDART KONSOL-HOBAN DONANIMI</t>
  </si>
  <si>
    <t xml:space="preserve">R04291</t>
  </si>
  <si>
    <t xml:space="preserve">KT-10.2 2 YOL İÇİN HEAD SPAN SİSTEMİ</t>
  </si>
  <si>
    <t xml:space="preserve">R04292</t>
  </si>
  <si>
    <t xml:space="preserve">KT-11 ANTİŞÖMİNMAN SİSTEMİ</t>
  </si>
  <si>
    <t xml:space="preserve">R04294</t>
  </si>
  <si>
    <t xml:space="preserve">KT-13 BESLEME BAĞLANTILARI</t>
  </si>
  <si>
    <t xml:space="preserve">R04295</t>
  </si>
  <si>
    <t xml:space="preserve">KT-14 STANDART KATENER İÇİN SABİT GERDİRME İLE HAT SONU MONTAJLARI</t>
  </si>
  <si>
    <t xml:space="preserve">R04296</t>
  </si>
  <si>
    <t xml:space="preserve">KT-15 STANDART KATENER İÇİN YAYLI GERDİRME CİHAZI İLE HAT SONU MONTAJLARI</t>
  </si>
  <si>
    <t xml:space="preserve">R04297</t>
  </si>
  <si>
    <t xml:space="preserve">KT-16 STANDART KATENER İÇİN KARŞI AĞIRLIKLI GERDİRME CİHAZI İLE HAT SONU MONTAJLARI</t>
  </si>
  <si>
    <t xml:space="preserve">R04298</t>
  </si>
  <si>
    <t xml:space="preserve">KT-17 SEKSİYON İZOLATÖRÜ</t>
  </si>
  <si>
    <t xml:space="preserve">R04299</t>
  </si>
  <si>
    <t xml:space="preserve">KT-18 PARAFUDR SİSTEMİ</t>
  </si>
  <si>
    <t xml:space="preserve">R04302</t>
  </si>
  <si>
    <t xml:space="preserve">KT-21 ELLE KUMANDALI AYIRICI</t>
  </si>
  <si>
    <t xml:space="preserve">R04303</t>
  </si>
  <si>
    <t xml:space="preserve">KT-22 MOTOR KUMANDALI AYIRICI</t>
  </si>
  <si>
    <t xml:space="preserve">R04610</t>
  </si>
  <si>
    <t xml:space="preserve">İMKON İmalat Montaj İnşaat San. Tic. Ltd. Şti.</t>
  </si>
  <si>
    <t xml:space="preserve">Tip direk imalatı ST37 kalite</t>
  </si>
  <si>
    <t xml:space="preserve">KDV hariç; tip direk imalatı (montaj/galvaniz/nakliye belirtilmemiş)</t>
  </si>
  <si>
    <t xml:space="preserve">R04611</t>
  </si>
  <si>
    <t xml:space="preserve">Tip direk imalatı ST44 kalite</t>
  </si>
  <si>
    <t xml:space="preserve">R04612</t>
  </si>
  <si>
    <t xml:space="preserve">bilinmiyor (teklif ref 2015-255, imza Serkan Akbaba)</t>
  </si>
  <si>
    <t xml:space="preserve">Galvanizli sac veya profilden katener (havai hat) direği yapılması, boyanması</t>
  </si>
  <si>
    <t xml:space="preserve">KDV %18 hariç; malzeme temini + şantiyeye nakil dahil, MONTAJSIZ; ödeme fatura+45 gün</t>
  </si>
  <si>
    <t xml:space="preserve">R04613</t>
  </si>
  <si>
    <t xml:space="preserve">Karçel / Kuzey Konstrüksiyon / İmkon (mukayese)</t>
  </si>
  <si>
    <t xml:space="preserve">Katener direği (HEA/HEB profil) - Kuzey Konstrüksiyon rev. birim fiyat</t>
  </si>
  <si>
    <t xml:space="preserve">YM direk fiyat mukayesesi; maliyetlere %10 nakliye eklenmiş (EUR sütunlarında) | firma: Kuzey Konstrüksiyon</t>
  </si>
  <si>
    <t xml:space="preserve">R04614</t>
  </si>
  <si>
    <t xml:space="preserve">Katener direği (HEA/HEB profil) - İmkon birim fiyat</t>
  </si>
  <si>
    <t xml:space="preserve">YM direk fiyat mukayesesi; maliyetlere %10 nakliye eklenmiş (EUR sütunlarında) | firma: İmkon</t>
  </si>
  <si>
    <t xml:space="preserve">R04615</t>
  </si>
  <si>
    <t xml:space="preserve">Katener direği (HEA/HEB profil) - Karçel birim fiyat</t>
  </si>
  <si>
    <t xml:space="preserve">YM direk fiyat mukayesesi; maliyetlere %10 nakliye eklenmiş (EUR sütunlarında) | firma: Karçel; USD/kg</t>
  </si>
  <si>
    <t xml:space="preserve">R04697</t>
  </si>
  <si>
    <t xml:space="preserve">2008-03-14</t>
  </si>
  <si>
    <t xml:space="preserve">Kontak Teli (120 mm2)</t>
  </si>
  <si>
    <t xml:space="preserve">e-posta 14.03.2008 ekli teklif; hücre formatı € ; malzeme+montaj; direk temelleri belirtilmemiş | bölüm: ana hat + depo</t>
  </si>
  <si>
    <t xml:space="preserve">R04714</t>
  </si>
  <si>
    <t xml:space="preserve">Motorlu Ayırıcı</t>
  </si>
  <si>
    <t xml:space="preserve">R04719</t>
  </si>
  <si>
    <t xml:space="preserve">Aşırı Gerilim Koruma Cihazı</t>
  </si>
  <si>
    <t xml:space="preserve">R05042</t>
  </si>
  <si>
    <t xml:space="preserve">Yerkoy-Sivas_YHT_Ustyapi_E&amp;M</t>
  </si>
  <si>
    <t xml:space="preserve">Yapıray</t>
  </si>
  <si>
    <t xml:space="preserve">2016-10-14</t>
  </si>
  <si>
    <t xml:space="preserve">ELF-10.3 GEÇİŞ BARASI (KRUVAZMAN ÇUBUĞU)</t>
  </si>
  <si>
    <t xml:space="preserve">YHT 25 kV AC, Yerköy-Sivas ~251 km çift hat; katener+elektrifikasyon birim fiyat teklifi, KDV hariç; satır açıklamaları PDF düzeninden birleştirildi</t>
  </si>
  <si>
    <t xml:space="preserve">R05056</t>
  </si>
  <si>
    <t xml:space="preserve">ELF-26.5 NUMARA LEVHASI</t>
  </si>
  <si>
    <t xml:space="preserve">[AYKIRI DEĞER – otomatik dışlandı] YHT 25 kV AC, Yerköy-Sivas ~251 km çift hat; katener+elektrifikasyon birim fiyat teklifi, KDV hariç; satır açıklamaları PDF düzeninden birleştirildi</t>
  </si>
  <si>
    <t xml:space="preserve">R05137</t>
  </si>
  <si>
    <t xml:space="preserve">Rayba Yapı Proje ve Danışmanlık</t>
  </si>
  <si>
    <t xml:space="preserve">2016-10-21</t>
  </si>
  <si>
    <t xml:space="preserve">R05156</t>
  </si>
  <si>
    <t xml:space="preserve">R05176</t>
  </si>
  <si>
    <t xml:space="preserve">R05193</t>
  </si>
  <si>
    <t xml:space="preserve">bilinmiyor (ref 300780/İES-R1; Kartal 300327 teklifi ile aynı firma)</t>
  </si>
  <si>
    <t xml:space="preserve">2014-11-05</t>
  </si>
  <si>
    <t xml:space="preserve">Giacomini A95 itfaiye bağlantı ağzı 4"x2½"x2½" (+ storz, zincir, plaka)</t>
  </si>
  <si>
    <t xml:space="preserve">Bakırköy-Kirazlı metro yangın söndürme ekipman teklifi (Özgürlük Meydanı istasyonu satırları); indirimli; ATS hariç; montaj/KDV hariç.</t>
  </si>
  <si>
    <t xml:space="preserve">R05284</t>
  </si>
  <si>
    <t xml:space="preserve">Alp Erdem Elektrik İnşaat Tic. A.Ş.</t>
  </si>
  <si>
    <t xml:space="preserve">Arçelik split klima duvar tipi 2,2/2,5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</si>
  <si>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275.58 €, işçilik 1357.97 TL, GGK 659.91 TL]</t>
  </si>
  <si>
    <t xml:space="preserve">R05285</t>
  </si>
  <si>
    <t xml:space="preserve">Arçelik split klima duvar tipi 4,5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</si>
  <si>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407.75 €, işçilik 1357.97 TL, GGK 875.64 TL]</t>
  </si>
  <si>
    <t xml:space="preserve">R05286</t>
  </si>
  <si>
    <t xml:space="preserve">Arçelik split klima duvar tipi 3,6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</si>
  <si>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310.01 €, işçilik 1357.97 TL, GGK 716.10 TL]</t>
  </si>
  <si>
    <t xml:space="preserve">R05289</t>
  </si>
  <si>
    <t xml:space="preserve">Arçelik VRF heat recovery dış ünite 73/81,5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</si>
  <si>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6780.30 €, işçilik 1664.61 TL, GGK 11324.52 TL]</t>
  </si>
  <si>
    <t xml:space="preserve">R05298</t>
  </si>
  <si>
    <t xml:space="preserve">Arçelik VRF kumanda cihazı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</si>
  <si>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29.45 €, işçilik 87.61 TL, GGK 61.62 TL]</t>
  </si>
  <si>
    <t xml:space="preserve">R05302</t>
  </si>
  <si>
    <t xml:space="preserve">Emak kanal tipi üfleme fanı 500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</si>
  <si>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</si>
  <si>
    <t xml:space="preserve">R05305</t>
  </si>
  <si>
    <t xml:space="preserve">Emak kanal tipi egzoz aspiratörü 200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</si>
  <si>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42.00 €, işçilik 262.83 TL, GGK 109.22 TL]</t>
  </si>
  <si>
    <t xml:space="preserve">R05306</t>
  </si>
  <si>
    <t xml:space="preserve">Emak kanal tipi egzoz aspiratörü 300 m³/h 100 Pa</t>
  </si>
  <si>
    <t xml:space="preserve">İzmir Buca-Üçyol metro mekanik tesisat anahtar teslim teklifi (Yapı Merkezi'ne, AE_MT_MMMP_01); malzeme EUR, işçilik+GG/kâr TL verilmiş; birim_fiyat = malzeme € + (işçilik+GGK TL)/10,3 (kur, teklifteki GGK oranından türetildi ≈10,3 TL/€); KDV hariç. exproof değil [orijinal: malzeme 52.00 €, işçilik 262.83 TL, GGK 125.54 TL]</t>
  </si>
  <si>
    <t xml:space="preserve">R05307</t>
  </si>
  <si>
    <t xml:space="preserve">Emak kanal tipi egzoz aspiratörü 400 m³/h 100 Pa</t>
  </si>
  <si>
    <t xml:space="preserve">R05308</t>
  </si>
  <si>
    <t xml:space="preserve">Emak kanal tipi egzoz aspiratörü 750 m³/h 100 Pa</t>
  </si>
  <si>
    <t xml:space="preserve">R05309</t>
  </si>
  <si>
    <t xml:space="preserve">Emak kanal tipi egzoz aspiratörü 1.000 m³/h 150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</si>
  <si>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67.00 €, işçilik 350.44 TL, GGK 163.58 TL]</t>
  </si>
  <si>
    <t xml:space="preserve">R05313</t>
  </si>
  <si>
    <t xml:space="preserve">Galvaniz hava kanalı 0,60 mm (≤600 mm)</t>
  </si>
  <si>
    <t xml:space="preserve">M2</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</si>
  <si>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13.96 €, işçilik 48.19 TL, GGK 30.24 TL]</t>
  </si>
  <si>
    <t xml:space="preserve">R05314</t>
  </si>
  <si>
    <t xml:space="preserve">Galvaniz hava kanalı 0,80 mm (≤1249 mm)</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</si>
  <si>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16.87 €, işçilik 48.19 TL, GGK 35.00 TL]</t>
  </si>
  <si>
    <t xml:space="preserve">R05323</t>
  </si>
  <si>
    <t xml:space="preserve">Normteknik taşınabilir CO2 söndürücü 5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</si>
  <si>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41.04 €, işçilik 43.81 TL, GGK 73.77 TL]</t>
  </si>
  <si>
    <t xml:space="preserve">R05324</t>
  </si>
  <si>
    <t xml:space="preserve">Normteknik taşınabilir ABC söndürücü 6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</si>
  <si>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19.70 €, işçilik 43.81 TL, GGK 38.93 TL]</t>
  </si>
  <si>
    <t xml:space="preserve">R05325</t>
  </si>
  <si>
    <t xml:space="preserve">Normteknik taşınabilir ABC söndürücü 12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</si>
  <si>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31.19 €, işçilik 87.61 TL, GGK 64.47 TL]</t>
  </si>
  <si>
    <t xml:space="preserve">R05326</t>
  </si>
  <si>
    <t xml:space="preserve">Normteknik yangın dolabı 1" 30 m kauçuk hortumlu (2" köşe vanalı)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</si>
  <si>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200.51 €, işçilik 394.25 TL, GGK 388.27 TL]</t>
  </si>
  <si>
    <t xml:space="preserve">R05327</t>
  </si>
  <si>
    <t xml:space="preserve">Ayvaz itfaiye bağlantı ağzı 4"x2½"x2½"</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</si>
  <si>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129.45 €, işçilik 438.06 TL, GGK 279.06 TL]</t>
  </si>
  <si>
    <t xml:space="preserve">R05328</t>
  </si>
  <si>
    <t xml:space="preserve">Normteknik itfaiye su alma ağzı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</si>
  <si>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77.51 €, işçilik 153.32 TL, GGK 150.24 TL]</t>
  </si>
  <si>
    <t xml:space="preserve">R05329</t>
  </si>
  <si>
    <t xml:space="preserve">Ayvaz izleme anahtarlı kelebek vana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</si>
  <si>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141.59 €, işçilik 275.98 TL, GGK 273.81 TL]</t>
  </si>
  <si>
    <t xml:space="preserve">R05330</t>
  </si>
  <si>
    <t xml:space="preserve">Ayvaz akış anahtarı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</si>
  <si>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56.02 €, işçilik 98.56 TL, GGK 106.69 TL]</t>
  </si>
  <si>
    <t xml:space="preserve">R05331</t>
  </si>
  <si>
    <t xml:space="preserve">Ayvaz test ve drenaj vanası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</si>
  <si>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127.89 €, işçilik 131.42 TL, GGK 229.08 TL]</t>
  </si>
  <si>
    <t xml:space="preserve">R05332</t>
  </si>
  <si>
    <t xml:space="preserve">Ayvaz ıslak alarm vanası DN150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</si>
  <si>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976.93 €, işçilik 788.50 TL, GGK 1716.56 TL]</t>
  </si>
  <si>
    <t xml:space="preserve">R05334</t>
  </si>
  <si>
    <t xml:space="preserve">Tyco sprinkler sarkık ½" 68°C K80 + flex + rozet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</si>
  <si>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18.16 €, işçilik 48.19 TL, GGK 37.09 TL]</t>
  </si>
  <si>
    <t xml:space="preserve">R05335</t>
  </si>
  <si>
    <t xml:space="preserve">Tyco sprinkler dik ½" 68°C K80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</si>
  <si>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3.38 €, işçilik 17.52 TL, GGK 8.23 TL]</t>
  </si>
  <si>
    <t xml:space="preserve">R05337</t>
  </si>
  <si>
    <t xml:space="preserve">HDPE yangın hidrant hattı DN180 (montaj malz. %50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</si>
  <si>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24.80 €, işçilik 131.42 TL, GGK 60.82 TL]</t>
  </si>
  <si>
    <t xml:space="preserve">R05338</t>
  </si>
  <si>
    <t xml:space="preserve">Dikişli galvaniz boru 1"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</si>
  <si>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5.57 €, işçilik 32.85 TL, GGK 14.18 TL]</t>
  </si>
  <si>
    <t xml:space="preserve">R05339</t>
  </si>
  <si>
    <t xml:space="preserve">Dikişli galvaniz boru 1¼"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</si>
  <si>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7.14 €, işçilik 39.43 TL, GGK 17.76 TL]</t>
  </si>
  <si>
    <t xml:space="preserve">R05340</t>
  </si>
  <si>
    <t xml:space="preserve">Dikişli galvaniz boru 1½"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</si>
  <si>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8.35 €, işçilik 43.81 TL, GGK 20.40 TL]</t>
  </si>
  <si>
    <t xml:space="preserve">R05341</t>
  </si>
  <si>
    <t xml:space="preserve">Dikişli galvaniz boru 2"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</si>
  <si>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10.71 €, işçilik 56.95 TL, GGK 26.29 TL]</t>
  </si>
  <si>
    <t xml:space="preserve">R05342</t>
  </si>
  <si>
    <t xml:space="preserve">Dikişli galvaniz boru 2½"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</si>
  <si>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15.21 €, işçilik 65.71 TL, GGK 34.99 TL]</t>
  </si>
  <si>
    <t xml:space="preserve">R05343</t>
  </si>
  <si>
    <t xml:space="preserve">Dikişli galvaniz boru 3"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</si>
  <si>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18.56 €, işçilik 78.85 TL, GGK 42.49 TL]</t>
  </si>
  <si>
    <t xml:space="preserve">R05344</t>
  </si>
  <si>
    <t xml:space="preserve">Dikişli galvaniz boru 4"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</si>
  <si>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27.05 €, işçilik 96.37 TL, GGK 59.07 TL]</t>
  </si>
  <si>
    <t xml:space="preserve">R05345</t>
  </si>
  <si>
    <t xml:space="preserve">Dikişli galvaniz boru 6"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</si>
  <si>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43.41 €, işçilik 140.18 TL, GGK 92.54 TL]</t>
  </si>
  <si>
    <t xml:space="preserve">R05346</t>
  </si>
  <si>
    <t xml:space="preserve">Sudes prizmatik modüler paslanmaz su deposu 8 m³</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</si>
  <si>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2009.93 €, işçilik 1051.33 TL, GGK 3443.31 TL]</t>
  </si>
  <si>
    <t xml:space="preserve">R05348</t>
  </si>
  <si>
    <t xml:space="preserve">Lowara kullanma suyu hidroforu 2x10 m³/h 75 mSS (iki pompalı)</t>
  </si>
  <si>
    <t xml:space="preserve">TK</t>
  </si>
  <si>
    <t xml:space="preserve">İzmir Buca-Üçyol metro mekanik tesisat anahtar teslim teklifi (Yapı Merkezi'ne, AE_MT_MMMP_01); malzeme EUR, işçilik+GG/kâr TL verilmiş; birim_fiyat = malzeme € + (işçilik+GGK TL)/10,3 (kur, teklifteki GGK oranından türetildi ≈10,3 TL/€); KDV hariç. [orijinal: malzeme 3257.47 €, işçilik 1314.17 TL, GGK 5520.24 TL]</t>
  </si>
  <si>
    <t xml:space="preserve">R05349</t>
  </si>
  <si>
    <t xml:space="preserve">Wenta tam otomatik tandem su yumuşatma cihazı 10 m³/h</t>
  </si>
  <si>
    <t xml:space="preserve">İzmir Buca-Üçyol metro mekanik tesisat anahtar teslim teklifi (Yapı Merkezi'ne, AE_MT_MMMP_01); malzeme EUR, işçilik+GG/kâr TL verilmiş; birim_fiyat = malzeme € + (işçilik+GGK TL)/10,3 (kur, teklifteki GGK oranından türetildi ≈10,3 TL/€); KDV hariç. 1/3 kapasite [orijinal: malzeme 6214.50 €, işçilik 1095.14 TL, GGK 10312.90 TL]</t>
  </si>
  <si>
    <t xml:space="preserve">R05350</t>
  </si>
  <si>
    <t xml:space="preserve">Ariston elektrikli depolu su ısıtıcı 50 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</si>
  <si>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106.71 €, işçilik 262.83 TL, GGK 214.83 TL]</t>
  </si>
  <si>
    <t xml:space="preserve">R05351</t>
  </si>
  <si>
    <t xml:space="preserve">Ariston elektrikli ani su ısıtıcı 8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</si>
  <si>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90.05 €, işçilik 175.22 TL, GGK 174.09 TL]</t>
  </si>
  <si>
    <t xml:space="preserve">R05352</t>
  </si>
  <si>
    <t xml:space="preserve">Nakoflex acil göz yıkama ünitesi</t>
  </si>
  <si>
    <t xml:space="preserve">İzmir Buca-Üçyol metro mekanik tesisat anahtar teslim teklifi (Yapı Merkezi'ne, AE_MT_MMMP_01); malzeme EUR, işçilik+GG/kâr TL verilmiş; birim_fiyat = malzeme € + (işçilik+GGK TL)/10,3 (kur, teklifteki GGK oranından türetildi ≈10,3 TL/€); KDV hariç. [orijinal: malzeme 308.06 €, işçilik 262.83 TL, GGK 543.48 TL]</t>
  </si>
  <si>
    <t xml:space="preserve">R05354</t>
  </si>
  <si>
    <t xml:space="preserve">Creavit gömme rezervuarlı asma klozet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</si>
  <si>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79.09 €, işçilik 569.47 TL, GGK 217.20 TL]</t>
  </si>
  <si>
    <t xml:space="preserve">R05355</t>
  </si>
  <si>
    <t xml:space="preserve">Eviye bir gözlü damlalıklı + batarya + sifon</t>
  </si>
  <si>
    <t xml:space="preserve">İzmir Buca-Üçyol metro mekanik tesisat anahtar teslim teklifi (Yapı Merkezi'ne, AE_MT_MMMP_01); malzeme EUR, işçilik+GG/kâr TL verilmiş; birim_fiyat = malzeme € + (işçilik+GGK TL)/10,3 (kur, teklifteki GGK oranından türetildi ≈10,3 TL/€); KDV hariç. [orijinal: malzeme 50.20 €, işçilik 306.64 TL, GGK 129.38 TL]</t>
  </si>
  <si>
    <t xml:space="preserve">R05357</t>
  </si>
  <si>
    <t xml:space="preserve">Creavit engelli klozet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</si>
  <si>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171.74 €, işçilik 678.99 TL, GGK 385.37 TL]</t>
  </si>
  <si>
    <t xml:space="preserve">R05358</t>
  </si>
  <si>
    <t xml:space="preserve">Creavit pisuvar ve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</si>
  <si>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73.78 €, işçilik 451.20 TL, GGK 190.24 TL]</t>
  </si>
  <si>
    <t xml:space="preserve">R05359</t>
  </si>
  <si>
    <t xml:space="preserve">PPR-C boru DN20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</si>
  <si>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0.87 €, işçilik 21.90 TL, GGK 4.82 TL]</t>
  </si>
  <si>
    <t xml:space="preserve">R05360</t>
  </si>
  <si>
    <t xml:space="preserve">PPR-C boru DN25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</si>
  <si>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1.41 €, işçilik 28.47 TL, GGK 6.71 TL]</t>
  </si>
  <si>
    <t xml:space="preserve">R05361</t>
  </si>
  <si>
    <t xml:space="preserve">Atlas Copco basınçlı hava kompresörü 6,2 m³/dk 13 bar hava soğutmalı (kurutucu 10 m³/dk ve 2000 L tank dahil)</t>
  </si>
  <si>
    <t xml:space="preserve">İzmir Buca-Üçyol metro mekanik tesisat anahtar teslim teklifi (Yapı Merkezi'ne, AE_MT_MMMP_01); malzeme EUR, işçilik+GG/kâr TL verilmiş; birim_fiyat = malzeme € + (işçilik+GGK TL)/10,3 (kur, teklifteki GGK oranından türetildi ≈10,3 TL/€); KDV hariç. 6,2 m³/dk (~370 m³/h); kurutucu+tank "dahil" [orijinal: malzeme 15437.50 €, işçilik 4818.61 TL, GGK 25943.00 TL]</t>
  </si>
  <si>
    <t xml:space="preserve">R05362</t>
  </si>
  <si>
    <t xml:space="preserve">Troy 8 bar filtreli hızlı bağlantı ağızlı kullanım noktası Q15</t>
  </si>
  <si>
    <t xml:space="preserve">İzmir Buca-Üçyol metro mekanik tesisat anahtar teslim teklifi (Yapı Merkezi'ne, AE_MT_MMMP_01); malzeme EUR, işçilik+GG/kâr TL verilmiş; birim_fiyat = malzeme € + (işçilik+GGK TL)/10,3 (kur, teklifteki GGK oranından türetildi ≈10,3 TL/€); KDV hariç. [orijinal: malzeme 45.97 €, işçilik 87.61 TL, GGK 88.59 TL]</t>
  </si>
  <si>
    <t xml:space="preserve">R05363</t>
  </si>
  <si>
    <t xml:space="preserve">Basınçlı hava borusu galvaniz DN20</t>
  </si>
  <si>
    <t xml:space="preserve">İzmir Buca-Üçyol metro mekanik tesisat anahtar teslim teklifi (Yapı Merkezi'ne, AE_MT_MMMP_01); malzeme EUR, işçilik+GG/kâr TL verilmiş; birim_fiyat = malzeme € + (işçilik+GGK TL)/10,3 (kur, teklifteki GGK oranından türetildi ≈10,3 TL/€); KDV hariç. [orijinal: malzeme 4.72 €, işçilik 28.47 TL, GGK 12.10 TL]</t>
  </si>
  <si>
    <t xml:space="preserve">R05364</t>
  </si>
  <si>
    <t xml:space="preserve">Basınçlı hava borusu galvaniz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</si>
  <si>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13.40 €, işçilik 56.95 TL, GGK 30.69 TL]</t>
  </si>
  <si>
    <t xml:space="preserve">R05365</t>
  </si>
  <si>
    <t xml:space="preserve">Basınçlı hava borusu galvaniz DN80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</si>
  <si>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19.01 €, işçilik 65.71 TL, GGK 41.19 TL]</t>
  </si>
  <si>
    <t xml:space="preserve">R05366</t>
  </si>
  <si>
    <t xml:space="preserve">Duyar küresel vana DN80 (basınçlı hava)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</si>
  <si>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61.15 €, işçilik 131.42 TL, GGK 120.14 TL]</t>
  </si>
  <si>
    <t xml:space="preserve">R05368</t>
  </si>
  <si>
    <t xml:space="preserve">Hakan PVC pis su borusu DN70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</si>
  <si>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8.57 €, işçilik 43.81 TL, GGK 20.76 TL]</t>
  </si>
  <si>
    <t xml:space="preserve">R05369</t>
  </si>
  <si>
    <t xml:space="preserve">Hakan PVC pis su borusu DN100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</si>
  <si>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13.20 €, işçilik 61.33 TL, GGK 31.04 TL]</t>
  </si>
  <si>
    <t xml:space="preserve">R05370</t>
  </si>
  <si>
    <t xml:space="preserve">Hakan PVC pis su borusu DN125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</si>
  <si>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16.55 €, işçilik 61.33 TL, GGK 36.50 TL]</t>
  </si>
  <si>
    <t xml:space="preserve">R05371</t>
  </si>
  <si>
    <t xml:space="preserve">Düker temizleme kapağı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</si>
  <si>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21.34 €, işçilik 91.99 TL, GGK 49.06 TL]</t>
  </si>
  <si>
    <t xml:space="preserve">R05372</t>
  </si>
  <si>
    <t xml:space="preserve">Master pik döküm süzgeç 30x30 DN100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</si>
  <si>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15.64 €, işçilik 109.51 TL, GGK 42.47 TL]</t>
  </si>
  <si>
    <t xml:space="preserve">R05373</t>
  </si>
  <si>
    <t xml:space="preserve">Master süzgeç 15x15 DN70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</si>
  <si>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9.48 €, işçilik 109.51 TL, GGK 32.41 TL]</t>
  </si>
  <si>
    <t xml:space="preserve">R05375</t>
  </si>
  <si>
    <t xml:space="preserve">Lowara dalgıç drenaj pompası 10 m³/h 20 mSS (1+1, kızaklı, şamandıralı,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</si>
  <si>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613.28 TL, GGK 4592.34 TL]</t>
  </si>
  <si>
    <t xml:space="preserve">R05376</t>
  </si>
  <si>
    <t xml:space="preserve">Lowara dalgıç drenaj pompası 12 m³/h 20 mSS (1+1,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</si>
  <si>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876.11 TL, GGK 4633.00 TL]</t>
  </si>
  <si>
    <t xml:space="preserve">R05378</t>
  </si>
  <si>
    <t xml:space="preserve">Petrol ayırıcı 1781x1092x616 su kapasitesi 113 L</t>
  </si>
  <si>
    <t xml:space="preserve">İzmir Buca-Üçyol metro mekanik tesisat anahtar teslim teklifi (Yapı Merkezi'ne, AE_MT_MMMP_01); malzeme EUR, işçilik+GG/kâr TL verilmiş; birim_fiyat = malzeme € + (işçilik+GGK TL)/10,3 (kur, teklifteki GGK oranından türetildi ≈10,3 TL/€); KDV hariç. küçük kapasite [orijinal: malzeme 833.18 €, işçilik 744.69 TL, GGK 1475.15 TL]</t>
  </si>
  <si>
    <t xml:space="preserve">R05404</t>
  </si>
  <si>
    <t xml:space="preserve">Özgür Mak. (proje müellifi keşif özeti – idare yaklaşık maliyeti, teklif değil)</t>
  </si>
  <si>
    <t xml:space="preserve">Galvaniz sac dikdörtgen hava kanalı 0,60 mm</t>
  </si>
  <si>
    <t xml:space="preserve">m2</t>
  </si>
  <si>
    <t xml:space="preserve">Kocaeli Sekapark-Otogar tramvay B1 cer gücü trafo merkezleri (5 TM) keşif özeti; Çevre-Şehircilik/özel poz birim fiyatları; tarih=dosya tarihi.</t>
  </si>
  <si>
    <t xml:space="preserve">R05408</t>
  </si>
  <si>
    <t xml:space="preserve">Kanal tipi exproof aspiratör 450 m³/h (akü odası)</t>
  </si>
  <si>
    <t xml:space="preserve">R05416</t>
  </si>
  <si>
    <t xml:space="preserve">KOCAELI_BELEDIYESI_TRAMWAY_HATTI (Kent Meydani klasöründe)</t>
  </si>
  <si>
    <t xml:space="preserve">Uluhanlar İnşaat</t>
  </si>
  <si>
    <t xml:space="preserve">Konsollu lavabo 45x60 ekstra</t>
  </si>
  <si>
    <t xml:space="preserve">Kocaeli Sekapark-Otogar tramvay (İhale 2015/17325) mekanik birim fiyat teklifi (örnek teklif, Kent Meydanı klasöründe); TL, KDV hariç; tarih=dosya tarihi.</t>
  </si>
  <si>
    <t xml:space="preserve">R05422</t>
  </si>
  <si>
    <t xml:space="preserve">Duş tesisatı (duş borusu, süzgeç, batarya)</t>
  </si>
  <si>
    <t xml:space="preserve">R05423</t>
  </si>
  <si>
    <t xml:space="preserve">Akrilik duş teknesi 80x80</t>
  </si>
  <si>
    <t xml:space="preserve">R05424</t>
  </si>
  <si>
    <t xml:space="preserve">Pik bodrum süzgeci 24x34</t>
  </si>
  <si>
    <t xml:space="preserve">R05425</t>
  </si>
  <si>
    <t xml:space="preserve">Yer süzgeci sert plastik 15x15</t>
  </si>
  <si>
    <t xml:space="preserve">R05426</t>
  </si>
  <si>
    <t xml:space="preserve">Oluk (çatı) süzgeci demir döküm</t>
  </si>
  <si>
    <t xml:space="preserve">R05428</t>
  </si>
  <si>
    <t xml:space="preserve">DN25 30 m TS EN 671-1 tüplü yangın dolabı</t>
  </si>
  <si>
    <t xml:space="preserve">R05429</t>
  </si>
  <si>
    <t xml:space="preserve">DN15 otomatik sprinkler (dik/upright)</t>
  </si>
  <si>
    <t xml:space="preserve">R05430</t>
  </si>
  <si>
    <t xml:space="preserve">DN15 otomatik sprinkler (sarkık/pendent)</t>
  </si>
  <si>
    <t xml:space="preserve">Kocaeli Sekapark-Otogar tramvay (İhale 2015/17325) mekanik birim fiyat teklifi (örnek teklif, Kent Meydanı klasöründe); TL, KDV hariç; tarih=dosya tarihi. rozet ayrı 4 TL</t>
  </si>
  <si>
    <t xml:space="preserve">R05431</t>
  </si>
  <si>
    <t xml:space="preserve">DN100 ıslak alarm vana istasyonu</t>
  </si>
  <si>
    <t xml:space="preserve">Kocaeli Sekapark-Otogar tramvay (İhale 2015/17325) mekanik birim fiyat teklifi (örnek teklif, Kent Meydanı klasöründe); TL, KDV hariç; tarih=dosya tarihi. motor gong farkı +665 TL</t>
  </si>
  <si>
    <t xml:space="preserve">R05432</t>
  </si>
  <si>
    <t xml:space="preserve">DN100 su akış anahtarı</t>
  </si>
  <si>
    <t xml:space="preserve">R05433</t>
  </si>
  <si>
    <t xml:space="preserve">DN100 izlenebilir kelebek vana</t>
  </si>
  <si>
    <t xml:space="preserve">R05435</t>
  </si>
  <si>
    <t xml:space="preserve">Yangın pompası yatay ayrılabilir gövdeli 170-180 m³/h 100 mSS</t>
  </si>
  <si>
    <t xml:space="preserve">Kocaeli Sekapark-Otogar tramvay (İhale 2015/17325) mekanik birim fiyat teklifi (örnek teklif, Kent Meydanı klasöründe); TL, KDV hariç; tarih=dosya tarihi. firma notu: bilgi yetersiz, NFPA istenirse fiyat değişir; pano/motor dahil olup olmadığı belirsiz</t>
  </si>
  <si>
    <t xml:space="preserve">R05436</t>
  </si>
  <si>
    <t xml:space="preserve">Kaçak giderme (jokey) pompa grubu 6 m³/h 100 mSS</t>
  </si>
  <si>
    <t xml:space="preserve">R05438</t>
  </si>
  <si>
    <t xml:space="preserve">Yangın pompası yatay arkadan emişli 165 m³/h 100 mSS (depo)</t>
  </si>
  <si>
    <t xml:space="preserve">Kocaeli Sekapark-Otogar tramvay (İhale 2015/17325) mekanik birim fiyat teklifi (örnek teklif, Kent Meydanı klasöründe); TL, KDV hariç; tarih=dosya tarihi. firma notu: bilgi yetersiz</t>
  </si>
  <si>
    <t xml:space="preserve">R05439</t>
  </si>
  <si>
    <t xml:space="preserve">ABC KKT taşınabilir söndürücü 6 kg</t>
  </si>
  <si>
    <t xml:space="preserve">R05440</t>
  </si>
  <si>
    <t xml:space="preserve">3 pompalı düşey milli frekans konvertörlü hidrofor 0-20 m³/h 60-90 mSS</t>
  </si>
  <si>
    <t xml:space="preserve">R05447</t>
  </si>
  <si>
    <t xml:space="preserve">Dikişli vidalı siyah çelik boru 1" (bina içi)</t>
  </si>
  <si>
    <t xml:space="preserve">Kocaeli Sekapark-Otogar tramvay (İhale 2015/17325) mekanik birim fiyat teklifi (örnek teklif, Kent Meydanı klasöründe); TL, KDV hariç; tarih=dosya tarihi. montaj malzemesi dahil değil olabilir</t>
  </si>
  <si>
    <t xml:space="preserve">R05449</t>
  </si>
  <si>
    <t xml:space="preserve">Dikişli vidalı siyah çelik boru 1½" (bina içi)</t>
  </si>
  <si>
    <t xml:space="preserve">R05455</t>
  </si>
  <si>
    <t xml:space="preserve">Dikişli galvanizli çelik boru ½" (bina içi vidalı)</t>
  </si>
  <si>
    <t xml:space="preserve">R05456</t>
  </si>
  <si>
    <t xml:space="preserve">Dikişli galvanizli çelik boru 1" (bina içi vidalı)</t>
  </si>
  <si>
    <t xml:space="preserve">R05457</t>
  </si>
  <si>
    <t xml:space="preserve">Dikişli galvanizli çelik boru 1¼" (bina içi vidalı)</t>
  </si>
  <si>
    <t xml:space="preserve">R05458</t>
  </si>
  <si>
    <t xml:space="preserve">Dikişli galvanizli çelik boru 2" (bina içi vidalı)</t>
  </si>
  <si>
    <t xml:space="preserve">R05459</t>
  </si>
  <si>
    <t xml:space="preserve">Dikişli galvanizli çelik boru 2½" (bina içi vidalı)</t>
  </si>
  <si>
    <t xml:space="preserve">R05460</t>
  </si>
  <si>
    <t xml:space="preserve">PN20 PPRC temiz su borusu ½"</t>
  </si>
  <si>
    <t xml:space="preserve">R05461</t>
  </si>
  <si>
    <t xml:space="preserve">PN20 PPRC temiz su borusu ¾"</t>
  </si>
  <si>
    <t xml:space="preserve">R05462</t>
  </si>
  <si>
    <t xml:space="preserve">PN20 PPRC temiz su borusu 1"</t>
  </si>
  <si>
    <t xml:space="preserve">R05463</t>
  </si>
  <si>
    <t xml:space="preserve">PN20 PPRC temiz su borusu 1¼"</t>
  </si>
  <si>
    <t xml:space="preserve">R05464</t>
  </si>
  <si>
    <t xml:space="preserve">PN20 PPRC temiz su borusu 1½"</t>
  </si>
  <si>
    <t xml:space="preserve">R05465</t>
  </si>
  <si>
    <t xml:space="preserve">Sert PVC pis su borusu Ø50</t>
  </si>
  <si>
    <t xml:space="preserve">R05466</t>
  </si>
  <si>
    <t xml:space="preserve">Sert PVC pis su borusu Ø75</t>
  </si>
  <si>
    <t xml:space="preserve">R05467</t>
  </si>
  <si>
    <t xml:space="preserve">Sert PVC pis su borusu Ø100-110</t>
  </si>
  <si>
    <t xml:space="preserve">R05468</t>
  </si>
  <si>
    <t xml:space="preserve">Sert PVC pis su borusu Ø125</t>
  </si>
  <si>
    <t xml:space="preserve">R05469</t>
  </si>
  <si>
    <t xml:space="preserve">Sert PVC pis su borusu Ø200</t>
  </si>
  <si>
    <t xml:space="preserve">R05475</t>
  </si>
  <si>
    <t xml:space="preserve">Dalgıç tip su pompası 5-10 m³/h 5-10 mSS</t>
  </si>
  <si>
    <t xml:space="preserve">R05476</t>
  </si>
  <si>
    <t xml:space="preserve">Dalgıç tip su pompası 15-20 m³/h 5-10 mSS</t>
  </si>
  <si>
    <t xml:space="preserve">R05478</t>
  </si>
  <si>
    <t xml:space="preserve">Çatı tipi radyal aspiratör 1000 m³/h 25 mmSS</t>
  </si>
  <si>
    <t xml:space="preserve">R05479</t>
  </si>
  <si>
    <t xml:space="preserve">Çatı tipi radyal aspiratör 3550 m³/h 30 mmSS</t>
  </si>
  <si>
    <t xml:space="preserve">R05480</t>
  </si>
  <si>
    <t xml:space="preserve">Çatı tipi mutfak aspiratörü 3500 m³/h 35 mmSS</t>
  </si>
  <si>
    <t xml:space="preserve">R05482</t>
  </si>
  <si>
    <t xml:space="preserve">Kanal tipi aspiratör 100 m³/h</t>
  </si>
  <si>
    <t xml:space="preserve">R05484</t>
  </si>
  <si>
    <t xml:space="preserve">Kanal tipi exproof aspiratör 450 m³/h</t>
  </si>
  <si>
    <t xml:space="preserve">R05486</t>
  </si>
  <si>
    <t xml:space="preserve">Tavan tipi ısı geri kazanımlı havalandırma cihazı 3000 m³/h</t>
  </si>
  <si>
    <t xml:space="preserve">[AYKIRI DEĞER – otomatik dışlandı] Kocaeli Sekapark-Otogar tramvay (İhale 2015/17325) mekanik birim fiyat teklifi (örnek teklif, Kent Meydanı klasöründe); TL, KDV hariç; tarih=dosya tarihi.</t>
  </si>
  <si>
    <t xml:space="preserve">R05488</t>
  </si>
  <si>
    <t xml:space="preserve">Kocaeli Sekapark-Otogar tramvay (İhale 2015/17325) mekanik birim fiyat teklifi (örnek teklif, Kent Meydanı klasöründe); TL, KDV hariç; tarih=dosya tarihi. izolasyon ayrı 14,65 TL/m²</t>
  </si>
  <si>
    <t xml:space="preserve">R05489</t>
  </si>
  <si>
    <t xml:space="preserve">Galvaniz sac dikdörtgen hava kanalı 0,80 mm</t>
  </si>
  <si>
    <t xml:space="preserve">R05493</t>
  </si>
  <si>
    <t xml:space="preserve">Toplayıcı menfez tek sıra 501-1000 cm²</t>
  </si>
  <si>
    <t xml:space="preserve">R05495</t>
  </si>
  <si>
    <t xml:space="preserve">Kapı transfer menfezi 2500 cm²</t>
  </si>
  <si>
    <t xml:space="preserve">R05496</t>
  </si>
  <si>
    <t xml:space="preserve">Alüminyum panjur (m²)</t>
  </si>
  <si>
    <t xml:space="preserve">Kocaeli Sekapark-Otogar tramvay (İhale 2015/17325) mekanik birim fiyat teklifi (örnek teklif, Kent Meydanı klasöründe); TL, KDV hariç; tarih=dosya tarihi. tel kafes ayrı 26 TL/m²</t>
  </si>
  <si>
    <t xml:space="preserve">R05497</t>
  </si>
  <si>
    <t xml:space="preserve">VRF dış ünite 84/94 kW (Daikin)</t>
  </si>
  <si>
    <t xml:space="preserve">Kocaeli Sekapark-Otogar tramvay (İhale 2015/17325) mekanik birim fiyat teklifi (örnek teklif, Kent Meydanı klasöründe); TL, KDV hariç; tarih=dosya tarihi. firma notu: Daikin düşünülmüştür</t>
  </si>
  <si>
    <t xml:space="preserve">R05499</t>
  </si>
  <si>
    <t xml:space="preserve">VRF kaset iç ünite 2,5/3 kW</t>
  </si>
  <si>
    <t xml:space="preserve">R05500</t>
  </si>
  <si>
    <t xml:space="preserve">VRF kaset iç ünite 4/4,5 kW</t>
  </si>
  <si>
    <t xml:space="preserve">R05501</t>
  </si>
  <si>
    <t xml:space="preserve">VRF kaset iç ünite 7/7,5 kW</t>
  </si>
  <si>
    <t xml:space="preserve">R05502</t>
  </si>
  <si>
    <t xml:space="preserve">VRF kaset iç ünite 9/9,9 kW</t>
  </si>
  <si>
    <t xml:space="preserve">Kocaeli Sekapark-Otogar tramvay (İhale 2015/17325) mekanik birim fiyat teklifi (örnek teklif, Kent Meydanı klasöründe); TL, KDV hariç; tarih=dosya tarihi. kaset</t>
  </si>
  <si>
    <t xml:space="preserve">R05503</t>
  </si>
  <si>
    <t xml:space="preserve">VRF kaset iç ünite 14/16 kW</t>
  </si>
  <si>
    <t xml:space="preserve">R05504</t>
  </si>
  <si>
    <t xml:space="preserve">VRF kablolu uzaktan kumanda</t>
  </si>
  <si>
    <t xml:space="preserve">R05505</t>
  </si>
  <si>
    <t xml:space="preserve">VRF merkezi kumanda (50 iç ünite)</t>
  </si>
  <si>
    <t xml:space="preserve">R05506</t>
  </si>
  <si>
    <t xml:space="preserve">VRF izoleli bakır boru ¼"</t>
  </si>
  <si>
    <t xml:space="preserve">Kocaeli Sekapark-Otogar tramvay (İhale 2015/17325) mekanik birim fiyat teklifi (örnek teklif, Kent Meydanı klasöründe); TL, KDV hariç; tarih=dosya tarihi. tek boru</t>
  </si>
  <si>
    <t xml:space="preserve">R05507</t>
  </si>
  <si>
    <t xml:space="preserve">VRF izoleli bakır boru ½"</t>
  </si>
  <si>
    <t xml:space="preserve">R05508</t>
  </si>
  <si>
    <t xml:space="preserve">VRF izoleli bakır boru ¾"</t>
  </si>
  <si>
    <t xml:space="preserve">R05509</t>
  </si>
  <si>
    <t xml:space="preserve">VRF izoleli bakır boru 1⅛"</t>
  </si>
  <si>
    <t xml:space="preserve">R05510</t>
  </si>
  <si>
    <t xml:space="preserve">VRF izoleli bakır boru 1⅝"</t>
  </si>
  <si>
    <t xml:space="preserve">R05511</t>
  </si>
  <si>
    <t xml:space="preserve">VRF joint elemanları ≤25 kW</t>
  </si>
  <si>
    <t xml:space="preserve">R05512</t>
  </si>
  <si>
    <t xml:space="preserve">VRF joint elemanları 50-100 kW</t>
  </si>
  <si>
    <t xml:space="preserve">R05513</t>
  </si>
  <si>
    <t xml:space="preserve">Duvar tipi split klima 7.500 BTU/h</t>
  </si>
  <si>
    <t xml:space="preserve">R05514</t>
  </si>
  <si>
    <t xml:space="preserve">Duvar tipi split klima 17.000 BTU/h</t>
  </si>
  <si>
    <t xml:space="preserve">R05516</t>
  </si>
  <si>
    <t xml:space="preserve">Polietilen basınçlı boru 10 atm Ø150</t>
  </si>
  <si>
    <t xml:space="preserve">R05521</t>
  </si>
  <si>
    <t xml:space="preserve">bilinmiyor (Yapıray'a sunulan mekanik alt yüklenici teklifi)</t>
  </si>
  <si>
    <t xml:space="preserve">Ø110 PE100 10 atü boru temini ve döşenmesi</t>
  </si>
  <si>
    <t xml:space="preserve">M</t>
  </si>
  <si>
    <t xml:space="preserve">Kocaeli Sekapark-Otogar tramvay hattı (İhale 2015/17325) mekanik birim fiyat teklif cetveli (istasyon+depo+bakım binası); KDV hariç.</t>
  </si>
  <si>
    <t xml:space="preserve">R05522</t>
  </si>
  <si>
    <t xml:space="preserve">Öz-Sarıgüller pik bodrum süzgeci 24x34</t>
  </si>
  <si>
    <t xml:space="preserve">R05523</t>
  </si>
  <si>
    <t xml:space="preserve">Öz-Sarıgüller yer süzgeci sert plastik 15x15</t>
  </si>
  <si>
    <t xml:space="preserve">[AYKIRI DEĞER – otomatik dışlandı] Kocaeli Sekapark-Otogar tramvay hattı (İhale 2015/17325) mekanik birim fiyat teklif cetveli (istasyon+depo+bakım binası); KDV hariç.</t>
  </si>
  <si>
    <t xml:space="preserve">R05524</t>
  </si>
  <si>
    <t xml:space="preserve">Öz-Sarıgüller oluk (çatı) süzgeci demir döküm</t>
  </si>
  <si>
    <t xml:space="preserve">R05525</t>
  </si>
  <si>
    <t xml:space="preserve">Normeks yangın dolabı sıva üstü 700x900x250, 1" 30 m hortum, tüp konabilir</t>
  </si>
  <si>
    <t xml:space="preserve">R05527</t>
  </si>
  <si>
    <t xml:space="preserve">Globe sprinkler pendent ½" 68°C UL/FM</t>
  </si>
  <si>
    <t xml:space="preserve">Kocaeli Sekapark-Otogar tramvay hattı (İhale 2015/17325) mekanik birim fiyat teklif cetveli (istasyon+depo+bakım binası); KDV hariç. rozet ayrı 1,75 $</t>
  </si>
  <si>
    <t xml:space="preserve">R05529</t>
  </si>
  <si>
    <t xml:space="preserve">Globe ıslak alarm vana istasyonu 4" komple (vana 562,59 + trim 244,01 + geciktirme 125,04 + motor gong 221,84 + presostat 111,83)</t>
  </si>
  <si>
    <t xml:space="preserve">Kocaeli Sekapark-Otogar tramvay hattı (İhale 2015/17325) mekanik birim fiyat teklif cetveli (istasyon+depo+bakım binası); KDV hariç. satır 669-674 toplamı</t>
  </si>
  <si>
    <t xml:space="preserve">R05530</t>
  </si>
  <si>
    <t xml:space="preserve">System Sensor su akış anahtarı 4"</t>
  </si>
  <si>
    <t xml:space="preserve">R05531</t>
  </si>
  <si>
    <t xml:space="preserve">Globe kelebek vana 4" izleme anahtarlı UL/FM</t>
  </si>
  <si>
    <t xml:space="preserve">R05533</t>
  </si>
  <si>
    <t xml:space="preserve">Giacomini itfaiye bağlantı ağzı 4"x2½"x2½"</t>
  </si>
  <si>
    <t xml:space="preserve">R05534</t>
  </si>
  <si>
    <t xml:space="preserve">ITT AC Fire Pumps elektrikli yangın pompası 750 GPM (170 m³/h) 145 PSI (~100 mSS) 125 HP + WEG motor + Tornatech GPY panel (komple)</t>
  </si>
  <si>
    <t xml:space="preserve">Kocaeli Sekapark-Otogar tramvay hattı (İhale 2015/17325) mekanik birim fiyat teklif cetveli (istasyon+depo+bakım binası); KDV hariç. pompa 11.875 + motor 7.597 + panel 9.030 $ (satır 688-690)</t>
  </si>
  <si>
    <t xml:space="preserve">R05535</t>
  </si>
  <si>
    <t xml:space="preserve">ITT AC jokey pompa 5 HP 21 kademe + Tornatech JP3 panel</t>
  </si>
  <si>
    <t xml:space="preserve">Kocaeli Sekapark-Otogar tramvay hattı (İhale 2015/17325) mekanik birim fiyat teklif cetveli (istasyon+depo+bakım binası); KDV hariç. satır 691-692</t>
  </si>
  <si>
    <t xml:space="preserve">R05537</t>
  </si>
  <si>
    <t xml:space="preserve">Kurtarır ABC KKT taşınabilir söndürücü 6 kg</t>
  </si>
  <si>
    <t xml:space="preserve">R05539</t>
  </si>
  <si>
    <t xml:space="preserve">Wilo 3 pompalı düşey milli frekans konvertörlü hidrofor 3x5,5 kW komple (mekanik set 7.695 + FC pano 4.681 + sensör/flatör/genleşme deposu)</t>
  </si>
  <si>
    <t xml:space="preserve">Kocaeli Sekapark-Otogar tramvay hattı (İhale 2015/17325) mekanik birim fiyat teklif cetveli (istasyon+depo+bakım binası); KDV hariç. satır 698-703; debi belirtilmemiş, 3x5,5 kW</t>
  </si>
  <si>
    <t xml:space="preserve">R05547</t>
  </si>
  <si>
    <t xml:space="preserve">Dikişli vidalı siyah çelik boru 4" (bina içi)</t>
  </si>
  <si>
    <t xml:space="preserve">R05548</t>
  </si>
  <si>
    <t xml:space="preserve">Dikişli vidalı siyah çelik boru 6" (bina içi)</t>
  </si>
  <si>
    <t xml:space="preserve">R05549</t>
  </si>
  <si>
    <t xml:space="preserve">Kocaeli Sekapark-Otogar tramvay hattı (İhale 2015/17325) mekanik birim fiyat teklif cetveli (istasyon+depo+bakım binası); KDV hariç. montaj malzemesi %30-35 dahil ibaresi var</t>
  </si>
  <si>
    <t xml:space="preserve">R05550</t>
  </si>
  <si>
    <t xml:space="preserve">R05551</t>
  </si>
  <si>
    <t xml:space="preserve">R05552</t>
  </si>
  <si>
    <t xml:space="preserve">R05553</t>
  </si>
  <si>
    <t xml:space="preserve">R05554</t>
  </si>
  <si>
    <t xml:space="preserve">PN20 PPRC temiz su borusu ½" (Ø20) bina içi</t>
  </si>
  <si>
    <t xml:space="preserve">Kocaeli Sekapark-Otogar tramvay hattı (İhale 2015/17325) mekanik birim fiyat teklif cetveli (istasyon+depo+bakım binası); KDV hariç. izolasyonsuz</t>
  </si>
  <si>
    <t xml:space="preserve">R05555</t>
  </si>
  <si>
    <t xml:space="preserve">PN20 PPRC temiz su borusu ¾" (Ø25) bina içi</t>
  </si>
  <si>
    <t xml:space="preserve">R05556</t>
  </si>
  <si>
    <t xml:space="preserve">PN20 PPRC temiz su borusu 1" (Ø32) bina içi</t>
  </si>
  <si>
    <t xml:space="preserve">R05557</t>
  </si>
  <si>
    <t xml:space="preserve">PN20 PPRC temiz su borusu 1¼" (Ø40) bina içi</t>
  </si>
  <si>
    <t xml:space="preserve">R05558</t>
  </si>
  <si>
    <t xml:space="preserve">PN20 PPRC temiz su borusu 1½" (Ø50) bina içi</t>
  </si>
  <si>
    <t xml:space="preserve">R05559</t>
  </si>
  <si>
    <t xml:space="preserve">R05560</t>
  </si>
  <si>
    <t xml:space="preserve">R05561</t>
  </si>
  <si>
    <t xml:space="preserve">R05562</t>
  </si>
  <si>
    <t xml:space="preserve">R05563</t>
  </si>
  <si>
    <t xml:space="preserve">Sert PVC pis su borusu Ø160</t>
  </si>
  <si>
    <t xml:space="preserve">R05564</t>
  </si>
  <si>
    <t xml:space="preserve">R05566</t>
  </si>
  <si>
    <t xml:space="preserve">Santrifüj pompa 1500 d/d 3-5 m³/h 3-5 mSS (sirkülasyon)</t>
  </si>
  <si>
    <t xml:space="preserve">R05567</t>
  </si>
  <si>
    <t xml:space="preserve">S&amp;P çatı tipi radyal aspiratör 1000 m³/h 25 mmSS</t>
  </si>
  <si>
    <t xml:space="preserve">R05569</t>
  </si>
  <si>
    <t xml:space="preserve">S&amp;P çatı tipi radyal aspiratör 3550 m³/h 30 mmSS</t>
  </si>
  <si>
    <t xml:space="preserve">R05570</t>
  </si>
  <si>
    <t xml:space="preserve">S&amp;P çatı tipi mutfak aspiratörü 3500 m³/h 35 mmSS</t>
  </si>
  <si>
    <t xml:space="preserve">R05572</t>
  </si>
  <si>
    <t xml:space="preserve">S&amp;P kanal tipi aspiratör 100 m³/h</t>
  </si>
  <si>
    <t xml:space="preserve">R05574</t>
  </si>
  <si>
    <t xml:space="preserve">S&amp;P kanal tipi exproof aspiratör 450 m³/h</t>
  </si>
  <si>
    <t xml:space="preserve">R05577</t>
  </si>
  <si>
    <t xml:space="preserve">Ventila 3000 m³/h tavan tipi ısı geri kazanımlı havalandırma cihazı</t>
  </si>
  <si>
    <t xml:space="preserve">R05580</t>
  </si>
  <si>
    <t xml:space="preserve">Galvaniz sac dikdörtgen hava kanalı 0,60 mm (≤600 mm)</t>
  </si>
  <si>
    <t xml:space="preserve">Kocaeli Sekapark-Otogar tramvay hattı (İhale 2015/17325) mekanik birim fiyat teklif cetveli (istasyon+depo+bakım binası); KDV hariç. izolasyon ayrı 30 TL/m²</t>
  </si>
  <si>
    <t xml:space="preserve">R05581</t>
  </si>
  <si>
    <t xml:space="preserve">Galvaniz sac dikdörtgen hava kanalı 0,80 mm (≤1249 mm)</t>
  </si>
  <si>
    <t xml:space="preserve">R05586</t>
  </si>
  <si>
    <t xml:space="preserve">Elektroteknik toplayıcı menfez tek sıra 501-1000 cm²</t>
  </si>
  <si>
    <t xml:space="preserve">R05588</t>
  </si>
  <si>
    <t xml:space="preserve">Elektroteknik kapı transfer menfezi 2500 cm²</t>
  </si>
  <si>
    <t xml:space="preserve">R05589</t>
  </si>
  <si>
    <t xml:space="preserve">Elektroteknik alüminyum panjur (m²)</t>
  </si>
  <si>
    <t xml:space="preserve">Kocaeli Sekapark-Otogar tramvay hattı (İhale 2015/17325) mekanik birim fiyat teklif cetveli (istasyon+depo+bakım binası); KDV hariç. tel kafes ayrı 75 TL/m²</t>
  </si>
  <si>
    <t xml:space="preserve">R05590</t>
  </si>
  <si>
    <t xml:space="preserve">Mitsubishi Heavy VRF dış ünite 84/94 kW</t>
  </si>
  <si>
    <t xml:space="preserve">R05592</t>
  </si>
  <si>
    <t xml:space="preserve">Mitsubishi Heavy VRF kaset iç ünite 2,5/3 kW</t>
  </si>
  <si>
    <t xml:space="preserve">R05593</t>
  </si>
  <si>
    <t xml:space="preserve">Mitsubishi Heavy VRF kaset iç ünite 4/4,5 kW</t>
  </si>
  <si>
    <t xml:space="preserve">R05594</t>
  </si>
  <si>
    <t xml:space="preserve">Mitsubishi Heavy VRF kaset iç ünite 7/7,5 kW</t>
  </si>
  <si>
    <t xml:space="preserve">R05595</t>
  </si>
  <si>
    <t xml:space="preserve">Mitsubishi Heavy VRF kaset iç ünite 9/9,9 kW</t>
  </si>
  <si>
    <t xml:space="preserve">Kocaeli Sekapark-Otogar tramvay hattı (İhale 2015/17325) mekanik birim fiyat teklif cetveli (istasyon+depo+bakım binası); KDV hariç. kaset; URF kanallı</t>
  </si>
  <si>
    <t xml:space="preserve">R05596</t>
  </si>
  <si>
    <t xml:space="preserve">Mitsubishi Heavy VRF kaset iç ünite 14/16 kW</t>
  </si>
  <si>
    <t xml:space="preserve">R05597</t>
  </si>
  <si>
    <t xml:space="preserve">Mitsubishi Heavy VRF kablolu kumanda</t>
  </si>
  <si>
    <t xml:space="preserve">R05598</t>
  </si>
  <si>
    <t xml:space="preserve">Mitsubishi Heavy merkezi kumanda (50 iç üniteye kadar)</t>
  </si>
  <si>
    <t xml:space="preserve">R05599</t>
  </si>
  <si>
    <t xml:space="preserve">Kocaeli Sekapark-Otogar tramvay hattı (İhale 2015/17325) mekanik birim fiyat teklif cetveli (istasyon+depo+bakım binası); KDV hariç. tek boru; çift hat ≈ iki çapın toplamı</t>
  </si>
  <si>
    <t xml:space="preserve">R05600</t>
  </si>
  <si>
    <t xml:space="preserve">VRF izoleli bakır boru ⅜"</t>
  </si>
  <si>
    <t xml:space="preserve">R05601</t>
  </si>
  <si>
    <t xml:space="preserve">R05602</t>
  </si>
  <si>
    <t xml:space="preserve">VRF izoleli bakır boru ⅝"</t>
  </si>
  <si>
    <t xml:space="preserve">R05603</t>
  </si>
  <si>
    <t xml:space="preserve">VRF izoleli bakır boru ⅞"</t>
  </si>
  <si>
    <t xml:space="preserve">R05604</t>
  </si>
  <si>
    <t xml:space="preserve">R05605</t>
  </si>
  <si>
    <t xml:space="preserve">VRF izoleli bakır boru 1⅜"</t>
  </si>
  <si>
    <t xml:space="preserve">R05606</t>
  </si>
  <si>
    <t xml:space="preserve">R05607</t>
  </si>
  <si>
    <t xml:space="preserve">VRF refnet/joint (25 kW'a kadar)</t>
  </si>
  <si>
    <t xml:space="preserve">R05608</t>
  </si>
  <si>
    <t xml:space="preserve">VRF refnet/joint (25-50 kW)</t>
  </si>
  <si>
    <t xml:space="preserve">R05609</t>
  </si>
  <si>
    <t xml:space="preserve">VRF refnet/joint (50-100 kW)</t>
  </si>
  <si>
    <t xml:space="preserve">R05610</t>
  </si>
  <si>
    <t xml:space="preserve">FM-200 gazlı söndürme sistemi (40 m² oda için) komple</t>
  </si>
  <si>
    <t xml:space="preserve">Kocaeli Sekapark-Otogar tramvay hattı (İhale 2015/17325) mekanik birim fiyat teklif cetveli (istasyon+depo+bakım binası); KDV hariç. oda başı, 40 m²</t>
  </si>
  <si>
    <t xml:space="preserve">R05628</t>
  </si>
  <si>
    <t xml:space="preserve">Kartal_Kaynarca_Metro</t>
  </si>
  <si>
    <t xml:space="preserve">Arı Yangın Korunum Sistemleri San. ve Tic. A.Ş.</t>
  </si>
  <si>
    <t xml:space="preserve">2013-01-31</t>
  </si>
  <si>
    <t xml:space="preserve">F.Morse otomatik transfer switch UL/FM</t>
  </si>
  <si>
    <t xml:space="preserve">Kartal-Kaynarca metrosu yangın söndürme mekanik ekipman teklifi (13-0123); İstanbul depo teslim, montaj/KDV hariç.</t>
  </si>
  <si>
    <t xml:space="preserve">R05649</t>
  </si>
  <si>
    <t xml:space="preserve">MCS Türkiye (Tyco BSPD / Sterling)</t>
  </si>
  <si>
    <t xml:space="preserve">2013-02-12</t>
  </si>
  <si>
    <t xml:space="preserve">110 kW otomatik transfer switch (liste)</t>
  </si>
  <si>
    <t xml:space="preserve">Kartal-Kaynarca metro FM onaylı yangın pompaları; liste fiyatı üzerinden %42 özel indirim (toplam 351.528 → 203.886 $); KDV hariç.</t>
  </si>
  <si>
    <t xml:space="preserve">R05663</t>
  </si>
  <si>
    <t xml:space="preserve">3B İnşaat Taahhüt Tesisat Ltd.Şti.</t>
  </si>
  <si>
    <t xml:space="preserve">2013-02-13</t>
  </si>
  <si>
    <t xml:space="preserve">Kaynarca ist.: Galvaniz dikdörtgen hava kanalı (malz.+işçilik)</t>
  </si>
  <si>
    <t xml:space="preserve">Kartal-Kaynarca metro (Kaynarca, Pendik, Yakacık istasyonları) 3B İnşaat teklifi; TL (dosyada para birimi yazmıyor; ölçek TL), malzeme+montaj; tarih e-posta 13.02.2013. Havalandırma. izolasyon ayrı 35 TL/m²</t>
  </si>
  <si>
    <t xml:space="preserve">R05696</t>
  </si>
  <si>
    <t xml:space="preserve">Kaynarca ist.: 80 L elektrikli su ısıtıcısı</t>
  </si>
  <si>
    <t xml:space="preserve">Kartal-Kaynarca metro (Kaynarca, Pendik, Yakacık istasyonları) 3B İnşaat teklifi; TL (dosyada para birimi yazmıyor; ölçek TL), malzeme+montaj; tarih e-posta 13.02.2013. Sıhhi+drenaj.</t>
  </si>
  <si>
    <t xml:space="preserve">R05723</t>
  </si>
  <si>
    <t xml:space="preserve">FER Mekanik Tesisat</t>
  </si>
  <si>
    <t xml:space="preserve">Wilo TOP-STG 30/10 sirkülasyon pompası 4 m³/h 6 mSS</t>
  </si>
  <si>
    <t xml:space="preserve">Bursa T2 Kent Meydanı-Terminal tramvay (istasyon+depo) mekanik teklifi; KDV hariç; kur 29.05.2015 EUR 3,02 USD 2,6869.</t>
  </si>
  <si>
    <t xml:space="preserve">R05724</t>
  </si>
  <si>
    <t xml:space="preserve">Wilo STAR-Z 20/7-3 sıcak su sirkülasyon pompası 1,5 m³/h 4 mSS</t>
  </si>
  <si>
    <t xml:space="preserve">R05728</t>
  </si>
  <si>
    <t xml:space="preserve">Kale tezgah altı lavabo + lavabo tesisatı ve pirinç sifon (2.1+2.2 toplamı)</t>
  </si>
  <si>
    <t xml:space="preserve">Bursa T2 Kent Meydanı-Terminal tramvay (istasyon+depo) mekanik teklifi; KDV hariç; kur 29.05.2015 EUR 3,02 USD 2,6869. batarya hariç</t>
  </si>
  <si>
    <t xml:space="preserve">R05729</t>
  </si>
  <si>
    <t xml:space="preserve">Kale kendinden rezervuarlı klozet</t>
  </si>
  <si>
    <t xml:space="preserve">R05731</t>
  </si>
  <si>
    <t xml:space="preserve">Kale duş teknesi 80x80</t>
  </si>
  <si>
    <t xml:space="preserve">Bursa T2 Kent Meydanı-Terminal tramvay (istasyon+depo) mekanik teklifi; KDV hariç; kur 29.05.2015 EUR 3,02 USD 2,6869. sifon ayrı 90 TL</t>
  </si>
  <si>
    <t xml:space="preserve">R05733</t>
  </si>
  <si>
    <t xml:space="preserve">Kale tutunma barı (engelli)</t>
  </si>
  <si>
    <t xml:space="preserve">R05735</t>
  </si>
  <si>
    <t xml:space="preserve">Öz-Sarıgüller pik döküm sifonlu çamur yer süzgeci DN100 200x200</t>
  </si>
  <si>
    <t xml:space="preserve">R05737</t>
  </si>
  <si>
    <t xml:space="preserve">Baylan soğuk su sayacı 2"</t>
  </si>
  <si>
    <t xml:space="preserve">R05738</t>
  </si>
  <si>
    <t xml:space="preserve">Teknopomp hidrofor 3x MNV 25-209 3x2,5 m³/h 60 mSS 300 L tanklı</t>
  </si>
  <si>
    <t xml:space="preserve">R05745</t>
  </si>
  <si>
    <t xml:space="preserve">Wilo Aldea boyler 500 L çift serpantinli</t>
  </si>
  <si>
    <t xml:space="preserve">Bursa T2 Kent Meydanı-Terminal tramvay (istasyon+depo) mekanik teklifi; KDV hariç; kur 29.05.2015 EUR 3,02 USD 2,6869. serpantinli (rezistanssız)</t>
  </si>
  <si>
    <t xml:space="preserve">R05746</t>
  </si>
  <si>
    <t xml:space="preserve">Galvaniz boru ½" (sıhhi tesisat, montaj malzemesi %40 hariç)</t>
  </si>
  <si>
    <t xml:space="preserve">Bursa T2 Kent Meydanı-Terminal tramvay (istasyon+depo) mekanik teklifi; KDV hariç; kur 29.05.2015 EUR 3,02 USD 2,6869. +%40 boru montaj malzemesi ayrı kalem</t>
  </si>
  <si>
    <t xml:space="preserve">R05748</t>
  </si>
  <si>
    <t xml:space="preserve">Galvaniz boru 1" (sıhhi tesisat, montaj malzemesi %40 hariç)</t>
  </si>
  <si>
    <t xml:space="preserve">R05749</t>
  </si>
  <si>
    <t xml:space="preserve">Galvaniz boru 1¼" (sıhhi tesisat, montaj malzemesi %40 hariç)</t>
  </si>
  <si>
    <t xml:space="preserve">R05751</t>
  </si>
  <si>
    <t xml:space="preserve">Galvaniz boru 2" (sıhhi tesisat, montaj malzemesi %40 hariç)</t>
  </si>
  <si>
    <t xml:space="preserve">R05752</t>
  </si>
  <si>
    <t xml:space="preserve">Galvaniz boru 2½" (sıhhi tesisat, montaj malzemesi %40 hariç)</t>
  </si>
  <si>
    <t xml:space="preserve">R05753</t>
  </si>
  <si>
    <t xml:space="preserve">Galvaniz boru 3" (sıhhi tesisat, montaj malzemesi %40 hariç)</t>
  </si>
  <si>
    <t xml:space="preserve">R05754</t>
  </si>
  <si>
    <t xml:space="preserve">Galvaniz boru 4" (sıhhi tesisat, montaj malzemesi %40 hariç)</t>
  </si>
  <si>
    <t xml:space="preserve">R05755</t>
  </si>
  <si>
    <t xml:space="preserve">Galvaniz boru 6" (sıhhi tesisat, montaj malzemesi %40 hariç)</t>
  </si>
  <si>
    <t xml:space="preserve">R05756</t>
  </si>
  <si>
    <t xml:space="preserve">Hakan PVC pis su borusu Tip1 Ø50 (montaj malz. %50 hariç)</t>
  </si>
  <si>
    <t xml:space="preserve">Bursa T2 Kent Meydanı-Terminal tramvay (istasyon+depo) mekanik teklifi; KDV hariç; kur 29.05.2015 EUR 3,02 USD 2,6869. +%50 boru montaj malzemesi ayrı kalem</t>
  </si>
  <si>
    <t xml:space="preserve">R05757</t>
  </si>
  <si>
    <t xml:space="preserve">Hakan PVC pis su borusu Tip1 Ø75 (montaj malz. %50 hariç)</t>
  </si>
  <si>
    <t xml:space="preserve">R05758</t>
  </si>
  <si>
    <t xml:space="preserve">Hakan PVC pis su borusu Tip1 Ø110 (montaj malz. %50 hariç)</t>
  </si>
  <si>
    <t xml:space="preserve">R05759</t>
  </si>
  <si>
    <t xml:space="preserve">Hakan PVC pis su borusu Tip1 Ø125 (montaj malz. %50 hariç)</t>
  </si>
  <si>
    <t xml:space="preserve">R05760</t>
  </si>
  <si>
    <t xml:space="preserve">Hakan PVC pis su borusu Tip1 Ø150 (montaj malz. %50 hariç)</t>
  </si>
  <si>
    <t xml:space="preserve">R05761</t>
  </si>
  <si>
    <t xml:space="preserve">Hakan PVC pis su borusu Tip1 Ø200 (montaj malz. %50 hariç)</t>
  </si>
  <si>
    <t xml:space="preserve">R05762</t>
  </si>
  <si>
    <t xml:space="preserve">Hakan koruge boru Ø100 (saha drenajı)</t>
  </si>
  <si>
    <t xml:space="preserve">R05764</t>
  </si>
  <si>
    <t xml:space="preserve">Hakan koruge boru Ø200 (saha drenajı)</t>
  </si>
  <si>
    <t xml:space="preserve">R05767</t>
  </si>
  <si>
    <t xml:space="preserve">Hakan PPRC boru ½" (Ø20)</t>
  </si>
  <si>
    <t xml:space="preserve">Bursa T2 Kent Meydanı-Terminal tramvay (istasyon+depo) mekanik teklifi; KDV hariç; kur 29.05.2015 EUR 3,02 USD 2,6869. izolasyon ayrı (İzocamflex 18/13 3,80 TL/m)</t>
  </si>
  <si>
    <t xml:space="preserve">R05768</t>
  </si>
  <si>
    <t xml:space="preserve">Hakan PPRC boru ¾" (Ø25)</t>
  </si>
  <si>
    <t xml:space="preserve">R05769</t>
  </si>
  <si>
    <t xml:space="preserve">Hakan PPRC boru 1" (Ø32)</t>
  </si>
  <si>
    <t xml:space="preserve">R05770</t>
  </si>
  <si>
    <t xml:space="preserve">Hakan PPRC boru 1¼" (Ø40)</t>
  </si>
  <si>
    <t xml:space="preserve">R05771</t>
  </si>
  <si>
    <t xml:space="preserve">Hakan PPRC boru 1½" (Ø50)</t>
  </si>
  <si>
    <t xml:space="preserve">R05776</t>
  </si>
  <si>
    <t xml:space="preserve">Wilo TP-P 30-T dalgıç kirli su pompası 2,2 kW</t>
  </si>
  <si>
    <t xml:space="preserve">R05778</t>
  </si>
  <si>
    <t xml:space="preserve">Öz-Sarıgüller yağ tutucu S900B DN100 2 l/s paslanmaz</t>
  </si>
  <si>
    <t xml:space="preserve">R05780</t>
  </si>
  <si>
    <t xml:space="preserve">Hakan HDPE boru PN16 2½"</t>
  </si>
  <si>
    <t xml:space="preserve">R05781</t>
  </si>
  <si>
    <t xml:space="preserve">Teknopomp yangın pompa seti: elektrikli AUE 21 80/250 75 kW 100 mSS + dizel AUED 68 kW + jokey MNV 32-609 3 kW 110 mSS, NFPA 20, panolar dahil</t>
  </si>
  <si>
    <t xml:space="preserve">Bursa T2 Kent Meydanı-Terminal tramvay (istasyon+depo) mekanik teklifi; KDV hariç; kur 29.05.2015 EUR 3,02 USD 2,6869. elektrikli+dizel+jokey komple set fiyatı; debi belirtilmemiş</t>
  </si>
  <si>
    <t xml:space="preserve">R05782</t>
  </si>
  <si>
    <t xml:space="preserve">Alarm yangın dolabı VT Vision 1" 25 m hortum, 6 kg KKT söndürücülü</t>
  </si>
  <si>
    <t xml:space="preserve">R05786</t>
  </si>
  <si>
    <t xml:space="preserve">Hakan HDPE boru PN16 4" (saha yangın hattı)</t>
  </si>
  <si>
    <t xml:space="preserve">R05787</t>
  </si>
  <si>
    <t xml:space="preserve">Hakan HDPE boru PN16 6" (saha yangın hattı)</t>
  </si>
  <si>
    <t xml:space="preserve">R05788</t>
  </si>
  <si>
    <t xml:space="preserve">FM200 gazlı söndürme sistemi (1 takım)</t>
  </si>
  <si>
    <t xml:space="preserve">tk</t>
  </si>
  <si>
    <t xml:space="preserve">Bursa T2 Kent Meydanı-Terminal tramvay (istasyon+depo) mekanik teklifi; KDV hariç; kur 29.05.2015 EUR 3,02 USD 2,6869. hacim/silindir belirtilmemiş</t>
  </si>
  <si>
    <t xml:space="preserve">R05789</t>
  </si>
  <si>
    <t xml:space="preserve">Kurarır yangın tüpü 6 kg KKT</t>
  </si>
  <si>
    <t xml:space="preserve">R05790</t>
  </si>
  <si>
    <t xml:space="preserve">Giacomini itfaiye bağlantı ağzı 4"x2½"x2½" UL/FM</t>
  </si>
  <si>
    <t xml:space="preserve">R05791</t>
  </si>
  <si>
    <t xml:space="preserve">R05792</t>
  </si>
  <si>
    <t xml:space="preserve">Globe kelebek vana 6" izleme anahtarlı UL/FM</t>
  </si>
  <si>
    <t xml:space="preserve">R05793</t>
  </si>
  <si>
    <t xml:space="preserve">Globe kelebek vana 8" izleme anahtarlı UL/FM</t>
  </si>
  <si>
    <t xml:space="preserve">R05795</t>
  </si>
  <si>
    <t xml:space="preserve">S&amp;P kanal tipi egzost aspiratörü EF 600 m³/h 15 mmSS</t>
  </si>
  <si>
    <t xml:space="preserve">R05797</t>
  </si>
  <si>
    <t xml:space="preserve">S&amp;P kanal tipi egzost aspiratörü 800 m³/h 15 mmSS</t>
  </si>
  <si>
    <t xml:space="preserve">R05798</t>
  </si>
  <si>
    <t xml:space="preserve">S&amp;P kanal tipi aspiratör 1000 m³/h</t>
  </si>
  <si>
    <t xml:space="preserve">R05799</t>
  </si>
  <si>
    <t xml:space="preserve">Galvaniz sac dikdörtgen hava kanalı</t>
  </si>
  <si>
    <t xml:space="preserve">Bursa T2 Kent Meydanı-Terminal tramvay (istasyon+depo) mekanik teklifi; KDV hariç; kur 29.05.2015 EUR 3,02 USD 2,6869. izolasyonsuz</t>
  </si>
  <si>
    <t xml:space="preserve">R05802</t>
  </si>
  <si>
    <t xml:space="preserve">Elektroteknik toplayıcı menfez 100-500 cm²</t>
  </si>
  <si>
    <t xml:space="preserve">R05804</t>
  </si>
  <si>
    <t xml:space="preserve">Mitsubishi Heavy VRF dış ünite heat pump 40/45 kW (14 HP)</t>
  </si>
  <si>
    <t xml:space="preserve">R05805</t>
  </si>
  <si>
    <t xml:space="preserve">Mitsubishi Heavy VRF dış ünite heat pump 45/50 kW</t>
  </si>
  <si>
    <t xml:space="preserve">R05806</t>
  </si>
  <si>
    <t xml:space="preserve">Mitsubishi Heavy VRF duvar tipi iç ünite 2,2/2,5 kW</t>
  </si>
  <si>
    <t xml:space="preserve">[AYKIRI DEĞER – otomatik dışlandı] Bursa T2 Kent Meydanı-Terminal tramvay (istasyon+depo) mekanik teklifi; KDV hariç; kur 29.05.2015 EUR 3,02 USD 2,6869.</t>
  </si>
  <si>
    <t xml:space="preserve">R05807</t>
  </si>
  <si>
    <t xml:space="preserve">Mitsubishi Heavy VRF 4 yöne kaset iç ünite 2,2/2,5 kW</t>
  </si>
  <si>
    <t xml:space="preserve">R05808</t>
  </si>
  <si>
    <t xml:space="preserve">Mitsubishi Heavy VRF 4 yöne kaset iç ünite 3,6/4,0 kW</t>
  </si>
  <si>
    <t xml:space="preserve">R05809</t>
  </si>
  <si>
    <t xml:space="preserve">Mitsubishi Heavy VRF 4 yöne kaset iç ünite 7,5/8,5 kW</t>
  </si>
  <si>
    <t xml:space="preserve">R05810</t>
  </si>
  <si>
    <t xml:space="preserve">Mitsubishi Heavy VRF 4 yöne kaset iç ünite 9/10 kW</t>
  </si>
  <si>
    <t xml:space="preserve">Bursa T2 Kent Meydanı-Terminal tramvay (istasyon+depo) mekanik teklifi; KDV hariç; kur 29.05.2015 EUR 3,02 USD 2,6869. kaset tip</t>
  </si>
  <si>
    <t xml:space="preserve">R05811</t>
  </si>
  <si>
    <t xml:space="preserve">Mitsubishi Heavy kablolu kumanda</t>
  </si>
  <si>
    <t xml:space="preserve">R05812</t>
  </si>
  <si>
    <t xml:space="preserve">Mitsubishi Heavy merkezi kumanda ünitesi</t>
  </si>
  <si>
    <t xml:space="preserve">R05814</t>
  </si>
  <si>
    <t xml:space="preserve">Bursa T2 Kent Meydanı-Terminal tramvay (istasyon+depo) mekanik teklifi; KDV hariç; kur 29.05.2015 EUR 3,02 USD 2,6869. tek boru fiyatı; URF sıvı+gaz çifti metre</t>
  </si>
  <si>
    <t xml:space="preserve">R05815</t>
  </si>
  <si>
    <t xml:space="preserve">R05816</t>
  </si>
  <si>
    <t xml:space="preserve">R05817</t>
  </si>
  <si>
    <t xml:space="preserve">R05819</t>
  </si>
  <si>
    <t xml:space="preserve">Arçelik duvar tipi split klima 18000 BTU/h teslim+montaj</t>
  </si>
  <si>
    <t xml:space="preserve">Bursa T2 Kent Meydanı-Terminal tramvay (istasyon+depo) mekanik teklifi; KDV hariç; kur 29.05.2015 EUR 3,02 USD 2,6869. 18000 BTU=5,3 kW</t>
  </si>
  <si>
    <t xml:space="preserve">R05820</t>
  </si>
  <si>
    <t xml:space="preserve">Hakan sert PVC drenaj borusu 20 mm (klima drenajı)</t>
  </si>
  <si>
    <t xml:space="preserve">R05821</t>
  </si>
  <si>
    <t xml:space="preserve">Hakan sert PVC drenaj borusu 25 mm (klima drenajı)</t>
  </si>
  <si>
    <t xml:space="preserve">R05822</t>
  </si>
  <si>
    <t xml:space="preserve">Hakan sert PVC drenaj borusu 32 mm (klima drenajı)</t>
  </si>
  <si>
    <t xml:space="preserve">R05823</t>
  </si>
  <si>
    <t xml:space="preserve">Hava tankı 1000 L 11 bar aksesuarlı</t>
  </si>
  <si>
    <t xml:space="preserve">Bursa T2 Kent Meydanı-Terminal tramvay (istasyon+depo) mekanik teklifi; KDV hariç; kur 29.05.2015 EUR 3,02 USD 2,6869. hacim 1/3</t>
  </si>
  <si>
    <t xml:space="preserve">R05824</t>
  </si>
  <si>
    <t xml:space="preserve">Atlas Copco GA75P vidalı hava kompresörü 75 kW yağ enjekteli</t>
  </si>
  <si>
    <t xml:space="preserve">Bursa T2 Kent Meydanı-Terminal tramvay (istasyon+depo) mekanik teklifi; KDV hariç; kur 29.05.2015 EUR 3,02 USD 2,6869. 75 kW (URF 95 kW)</t>
  </si>
  <si>
    <t xml:space="preserve">R05825</t>
  </si>
  <si>
    <t xml:space="preserve">Atlas Copco FX15 hava kurutucu 250-280 l/s</t>
  </si>
  <si>
    <t xml:space="preserve">R05826</t>
  </si>
  <si>
    <t xml:space="preserve">Atlas Copco DD210+ filtre 0,1 ppm/0,1 mikron</t>
  </si>
  <si>
    <t xml:space="preserve">R05827</t>
  </si>
  <si>
    <t xml:space="preserve">Atlas Copco EWD 50 elektronik su atma (kondens tahliye)</t>
  </si>
  <si>
    <t xml:space="preserve">R05831</t>
  </si>
  <si>
    <t xml:space="preserve">Mertsan Mekanik Tesisat Müh. Ltd.Şti.</t>
  </si>
  <si>
    <t xml:space="preserve">2015-06-05</t>
  </si>
  <si>
    <t xml:space="preserve">Tezgah altı/üstü oval lavabo 40x50</t>
  </si>
  <si>
    <t xml:space="preserve">Bursa T2 Kent Meydanı-Terminal tramvay mekanik tesisat teklifi (FER ile aynı keşif); malzeme+işçilik tek birim fiyat, KDV hariç; tarih=dosya tarihi.</t>
  </si>
  <si>
    <t xml:space="preserve">R05832</t>
  </si>
  <si>
    <t xml:space="preserve">Lavabo tesisatı pirinç sifonlu</t>
  </si>
  <si>
    <t xml:space="preserve">R05834</t>
  </si>
  <si>
    <t xml:space="preserve">2 gözlü paslanmaz eviye 50x95</t>
  </si>
  <si>
    <t xml:space="preserve">R05835</t>
  </si>
  <si>
    <t xml:space="preserve">2 gözlü eviye tesisatı bataryalı pirinç sifonlu</t>
  </si>
  <si>
    <t xml:space="preserve">R05836</t>
  </si>
  <si>
    <t xml:space="preserve">Duş teknesi 80x80</t>
  </si>
  <si>
    <t xml:space="preserve">R05837</t>
  </si>
  <si>
    <t xml:space="preserve">Duş tesisatı komple</t>
  </si>
  <si>
    <t xml:space="preserve">R05838</t>
  </si>
  <si>
    <t xml:space="preserve">Engelli klozet tutunma barı</t>
  </si>
  <si>
    <t xml:space="preserve">R05840</t>
  </si>
  <si>
    <t xml:space="preserve">Yer süzgeci h=22 cm Ø100 çıkışlı kovalı 25x33,5</t>
  </si>
  <si>
    <t xml:space="preserve">R05842</t>
  </si>
  <si>
    <t xml:space="preserve">Paket hidrofor grubu</t>
  </si>
  <si>
    <t xml:space="preserve">Bursa T2 Kent Meydanı-Terminal tramvay mekanik tesisat teklifi (FER ile aynı keşif); malzeme+işçilik tek birim fiyat, KDV hariç; tarih=dosya tarihi. kapasite belirtilmemiş</t>
  </si>
  <si>
    <t xml:space="preserve">R05845</t>
  </si>
  <si>
    <t xml:space="preserve">500 L çift serpantinli hızlı boyler</t>
  </si>
  <si>
    <t xml:space="preserve">Bursa T2 Kent Meydanı-Terminal tramvay mekanik tesisat teklifi (FER ile aynı keşif); malzeme+işçilik tek birim fiyat, KDV hariç; tarih=dosya tarihi. serpantinli, elektrikli değil</t>
  </si>
  <si>
    <t xml:space="preserve">R05847</t>
  </si>
  <si>
    <t xml:space="preserve">Bursa T2 Kent Meydanı-Terminal tramvay mekanik tesisat teklifi (FER ile aynı keşif); malzeme+işçilik tek birim fiyat, KDV hariç; tarih=dosya tarihi. +%30 montaj malzemesi ayrı satır</t>
  </si>
  <si>
    <t xml:space="preserve">R05848</t>
  </si>
  <si>
    <t xml:space="preserve">R05849</t>
  </si>
  <si>
    <t xml:space="preserve">R05850</t>
  </si>
  <si>
    <t xml:space="preserve">R05851</t>
  </si>
  <si>
    <t xml:space="preserve">Dikişli galvanizli çelik boru 3" (bina içi vidalı)</t>
  </si>
  <si>
    <t xml:space="preserve">R05852</t>
  </si>
  <si>
    <t xml:space="preserve">Dikişli galvanizli çelik boru 4" (bina içi vidalı)</t>
  </si>
  <si>
    <t xml:space="preserve">R05854</t>
  </si>
  <si>
    <t xml:space="preserve">Bursa T2 Kent Meydanı-Terminal tramvay mekanik tesisat teklifi (FER ile aynı keşif); malzeme+işçilik tek birim fiyat, KDV hariç; tarih=dosya tarihi. +%45 montaj malzemesi ayrı satır</t>
  </si>
  <si>
    <t xml:space="preserve">R05855</t>
  </si>
  <si>
    <t xml:space="preserve">R05856</t>
  </si>
  <si>
    <t xml:space="preserve">R05857</t>
  </si>
  <si>
    <t xml:space="preserve">R05858</t>
  </si>
  <si>
    <t xml:space="preserve">R05859</t>
  </si>
  <si>
    <t xml:space="preserve">R05860</t>
  </si>
  <si>
    <t xml:space="preserve">Koruge kanalizasyon borusu DN100 fittings dahil (kazı/dolgu hariç)</t>
  </si>
  <si>
    <t xml:space="preserve">2800.0</t>
  </si>
  <si>
    <t xml:space="preserve">R05865</t>
  </si>
  <si>
    <t xml:space="preserve">Bursa T2 Kent Meydanı-Terminal tramvay mekanik tesisat teklifi (FER ile aynı keşif); malzeme+işçilik tek birim fiyat, KDV hariç; tarih=dosya tarihi. +%45 montaj malzemesi ayrı; izolasyon ayrı</t>
  </si>
  <si>
    <t xml:space="preserve">R05866</t>
  </si>
  <si>
    <t xml:space="preserve">R05867</t>
  </si>
  <si>
    <t xml:space="preserve">R05868</t>
  </si>
  <si>
    <t xml:space="preserve">R05869</t>
  </si>
  <si>
    <t xml:space="preserve">R05870</t>
  </si>
  <si>
    <t xml:space="preserve">Basınç düşürücü vana DN80 flanşlı</t>
  </si>
  <si>
    <t xml:space="preserve">R05872</t>
  </si>
  <si>
    <t xml:space="preserve">Parçalayıcı bıçaklı dalgıç pompa 5-10 m³/h 10-15 mSS</t>
  </si>
  <si>
    <t xml:space="preserve">R05875</t>
  </si>
  <si>
    <t xml:space="preserve">Yağ ayırıcı 2 l/s 80 L yağ hacmi</t>
  </si>
  <si>
    <t xml:space="preserve">R05877</t>
  </si>
  <si>
    <t xml:space="preserve">HDPE PN16 temiz su borusu DN50 fittings dahil</t>
  </si>
  <si>
    <t xml:space="preserve">R05882</t>
  </si>
  <si>
    <t xml:space="preserve">Kanal tipi aspiratör 750 m³/h</t>
  </si>
  <si>
    <t xml:space="preserve">R05884</t>
  </si>
  <si>
    <t xml:space="preserve">Kanal tipi aspiratör 1000 m³/h</t>
  </si>
  <si>
    <t xml:space="preserve">R05885</t>
  </si>
  <si>
    <t xml:space="preserve">Bursa T2 Kent Meydanı-Terminal tramvay mekanik tesisat teklifi (FER ile aynı keşif); malzeme+işçilik tek birim fiyat, KDV hariç; tarih=dosya tarihi. izolasyonsuz</t>
  </si>
  <si>
    <t xml:space="preserve">R05887</t>
  </si>
  <si>
    <t xml:space="preserve">Toplayıcı menfez tek sıra 100-500 cm² alüminyum</t>
  </si>
  <si>
    <t xml:space="preserve">R05889</t>
  </si>
  <si>
    <t xml:space="preserve">Yangın suyu basınçlandırma sistemi (1 elektrikli + 1 dizel + 1 jokey pompa)</t>
  </si>
  <si>
    <t xml:space="preserve">Bursa T2 Kent Meydanı-Terminal tramvay mekanik tesisat teklifi (FER ile aynı keşif); malzeme+işçilik tek birim fiyat, KDV hariç; tarih=dosya tarihi. FER teklifinde aynı kalem: AUE 80/250 75 kW 100 mSS</t>
  </si>
  <si>
    <t xml:space="preserve">R05890</t>
  </si>
  <si>
    <t xml:space="preserve">Yangın dolabı 2" bağlantılı 1" 25 m kauçuk hortumlu tüplü</t>
  </si>
  <si>
    <t xml:space="preserve">R05891</t>
  </si>
  <si>
    <t xml:space="preserve">R05897</t>
  </si>
  <si>
    <t xml:space="preserve">HDPE PN16 temiz su borusu DN100 (yangın saha)</t>
  </si>
  <si>
    <t xml:space="preserve">R05898</t>
  </si>
  <si>
    <t xml:space="preserve">TCC ve elektronik ekipman odası FM200 gazlı söndürme (11,5x12,3x3,5 + 11,5x5,9x3,5 m)</t>
  </si>
  <si>
    <t xml:space="preserve">Bursa T2 Kent Meydanı-Terminal tramvay mekanik tesisat teklifi (FER ile aynı keşif); malzeme+işçilik tek birim fiyat, KDV hariç; tarih=dosya tarihi. ~730 m³ hacim</t>
  </si>
  <si>
    <t xml:space="preserve">R05899</t>
  </si>
  <si>
    <t xml:space="preserve">ABC KKT taşınabilir yangın söndürücü 6 kg</t>
  </si>
  <si>
    <t xml:space="preserve">R05900</t>
  </si>
  <si>
    <t xml:space="preserve">VRF dış ünite 39/44 kW</t>
  </si>
  <si>
    <t xml:space="preserve">R05901</t>
  </si>
  <si>
    <t xml:space="preserve">VRF dış ünite 45/50 kW</t>
  </si>
  <si>
    <t xml:space="preserve">R05902</t>
  </si>
  <si>
    <t xml:space="preserve">VRF duvar tipi iç ünite 2,2/2,5 kW</t>
  </si>
  <si>
    <t xml:space="preserve">[AYKIRI DEĞER – otomatik dışlandı] Bursa T2 Kent Meydanı-Terminal tramvay mekanik tesisat teklifi (FER ile aynı keşif); malzeme+işçilik tek birim fiyat, KDV hariç; tarih=dosya tarihi.</t>
  </si>
  <si>
    <t xml:space="preserve">R05903</t>
  </si>
  <si>
    <t xml:space="preserve">VRF kaset iç ünite 2,2/2,5 kW</t>
  </si>
  <si>
    <t xml:space="preserve">R05904</t>
  </si>
  <si>
    <t xml:space="preserve">VRF kaset iç ünite 3,6/4,0 kW</t>
  </si>
  <si>
    <t xml:space="preserve">R05905</t>
  </si>
  <si>
    <t xml:space="preserve">VRF kaset iç ünite 7,5/8,5 kW</t>
  </si>
  <si>
    <t xml:space="preserve">R05906</t>
  </si>
  <si>
    <t xml:space="preserve">VRF kaset iç ünite 9,0/9,9 kW</t>
  </si>
  <si>
    <t xml:space="preserve">Bursa T2 Kent Meydanı-Terminal tramvay mekanik tesisat teklifi (FER ile aynı keşif); malzeme+işçilik tek birim fiyat, KDV hariç; tarih=dosya tarihi. kaset; URF kanallı</t>
  </si>
  <si>
    <t xml:space="preserve">R05907</t>
  </si>
  <si>
    <t xml:space="preserve">R05908</t>
  </si>
  <si>
    <t xml:space="preserve">VRF merkezi kumanda (50 iç üniteye kadar)</t>
  </si>
  <si>
    <t xml:space="preserve">R05909</t>
  </si>
  <si>
    <t xml:space="preserve">VRF bağlantı (joint) elemanları 25 kW'a kadar</t>
  </si>
  <si>
    <t xml:space="preserve">R05910</t>
  </si>
  <si>
    <t xml:space="preserve">Sert PVC drenaj borusu DN20 (klima)</t>
  </si>
  <si>
    <t xml:space="preserve">R05911</t>
  </si>
  <si>
    <t xml:space="preserve">Sert PVC drenaj borusu DN25 (klima)</t>
  </si>
  <si>
    <t xml:space="preserve">R05912</t>
  </si>
  <si>
    <t xml:space="preserve">Bursa T2 Kent Meydanı-Terminal tramvay mekanik tesisat teklifi (FER ile aynı keşif); malzeme+işçilik tek birim fiyat, KDV hariç; tarih=dosya tarihi. tek boru</t>
  </si>
  <si>
    <t xml:space="preserve">R05913</t>
  </si>
  <si>
    <t xml:space="preserve">R05914</t>
  </si>
  <si>
    <t xml:space="preserve">R05915</t>
  </si>
  <si>
    <t xml:space="preserve">R05918</t>
  </si>
  <si>
    <t xml:space="preserve">Hava kompresörü deposu 1000 L 10 atm galvaniz</t>
  </si>
  <si>
    <t xml:space="preserve">Bursa T2 Kent Meydanı-Terminal tramvay mekanik tesisat teklifi (FER ile aynı keşif); malzeme+işçilik tek birim fiyat, KDV hariç; tarih=dosya tarihi. 1000 L</t>
  </si>
  <si>
    <t xml:space="preserve">R05919</t>
  </si>
  <si>
    <t xml:space="preserve">Vidalı hava kompresörü 8 atü 12,5 m³/dk serbest hava</t>
  </si>
  <si>
    <t xml:space="preserve">Bursa T2 Kent Meydanı-Terminal tramvay mekanik tesisat teklifi (FER ile aynı keşif); malzeme+işçilik tek birim fiyat, KDV hariç; tarih=dosya tarihi. 750 m³/h (URF 882)</t>
  </si>
  <si>
    <t xml:space="preserve">R05920</t>
  </si>
  <si>
    <t xml:space="preserve">Hava kurutucu (12,5 m³/dk) 8 bar</t>
  </si>
  <si>
    <t xml:space="preserve">Bursa T2 Kent Meydanı-Terminal tramvay mekanik tesisat teklifi (FER ile aynı keşif); malzeme+işçilik tek birim fiyat, KDV hariç; tarih=dosya tarihi. birim teklifte "m3/H" yazıyor; kompresörle eşleşen 12,5 m³/dk olmalı</t>
  </si>
  <si>
    <t xml:space="preserve">R05921</t>
  </si>
  <si>
    <t xml:space="preserve">Basınçlı hava genel amaç filtresi 2½" MX</t>
  </si>
  <si>
    <t xml:space="preserve">R05922</t>
  </si>
  <si>
    <t xml:space="preserve">Basınçlı hava yağ giderici filtre 2½" MY</t>
  </si>
  <si>
    <t xml:space="preserve">R05923</t>
  </si>
  <si>
    <t xml:space="preserve">Basınçlı hava kondenstopu ½"</t>
  </si>
  <si>
    <t xml:space="preserve">R05924</t>
  </si>
  <si>
    <t xml:space="preserve">Basınçlı hava yağlayıcı ½"</t>
  </si>
  <si>
    <t xml:space="preserve">R05925</t>
  </si>
  <si>
    <t xml:space="preserve">Basınçlı hava regülatörü ½"</t>
  </si>
  <si>
    <t xml:space="preserve">R05927</t>
  </si>
  <si>
    <t xml:space="preserve">Duvar tipi split klima 18.000 BTU/h temin+montaj, bakır borulama dahil</t>
  </si>
  <si>
    <t xml:space="preserve">R05931</t>
  </si>
  <si>
    <t xml:space="preserve">TREMS Turkuaz Raylı ve ElektroMekanik Sistemler A.Ş.</t>
  </si>
  <si>
    <t xml:space="preserve">VRF heat pump dış ünite 40/45 kW (14 HP)</t>
  </si>
  <si>
    <t xml:space="preserve">Bursa T2 tramvay E&amp;M+katener ana paket teklifi (ref TF-013.15) keşif birim fiyatları; ana yüklenici fiyatı, kalemler arası dengesiz dağıtım var (ör. VRF duvar iç ünite 7.504 TL, yangın basınçlandırma seti 22.036 TL) – düşük güven.</t>
  </si>
  <si>
    <t xml:space="preserve">R05932</t>
  </si>
  <si>
    <t xml:space="preserve">VRF heat pump dış ünite 45/50 kW</t>
  </si>
  <si>
    <t xml:space="preserve">R05934</t>
  </si>
  <si>
    <t xml:space="preserve">Yangın dolabı 2" bağlantılı 1" 25 m hortumlu tüplü</t>
  </si>
  <si>
    <t xml:space="preserve">R05936</t>
  </si>
  <si>
    <t xml:space="preserve">Vidalı hava kompresörü 12 m³/dk 8 bar</t>
  </si>
  <si>
    <t xml:space="preserve">R05937</t>
  </si>
  <si>
    <t xml:space="preserve">Hava kurutucu 12 m³/dk 8 bar</t>
  </si>
  <si>
    <t xml:space="preserve">R05938</t>
  </si>
  <si>
    <t xml:space="preserve">Basınçlı hava tankı 1000 L 8 bar galvaniz</t>
  </si>
  <si>
    <t xml:space="preserve">R05942</t>
  </si>
  <si>
    <t xml:space="preserve">metrekare</t>
  </si>
  <si>
    <t xml:space="preserve">R05948</t>
  </si>
  <si>
    <t xml:space="preserve">Kirazli_Halkali_Unv_Metro_202409_iptal</t>
  </si>
  <si>
    <t xml:space="preserve">Panel Mekanik</t>
  </si>
  <si>
    <t xml:space="preserve">2024-12-03</t>
  </si>
  <si>
    <t xml:space="preserve">Termofan/S&amp;P kanal tipi egzoz fanı 1200 m³/h 200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</si>
  <si>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55.73 + işç 44.19 + GGK 35.54]</t>
  </si>
  <si>
    <t xml:space="preserve">R05949</t>
  </si>
  <si>
    <t xml:space="preserve">Termofan/S&amp;P kanal tipi egzoz fanı 300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</si>
  <si>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exproof değil [malz 32.02 + işç 44.19 + GGK 27.11]</t>
  </si>
  <si>
    <t xml:space="preserve">R05950</t>
  </si>
  <si>
    <t xml:space="preserve">Termofan/S&amp;P kanal tipi egzoz fanı 500 m³/h 50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</si>
  <si>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45.06 + işç 44.19 + GGK 31.75]</t>
  </si>
  <si>
    <t xml:space="preserve">R05951</t>
  </si>
  <si>
    <t xml:space="preserve">Termofan/S&amp;P kanal tipi egzoz fanı 750 m³/h 130 Pa EXPROOF</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</si>
  <si>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</si>
  <si>
    <t xml:space="preserve">R05952</t>
  </si>
  <si>
    <t xml:space="preserve">Termofan/S&amp;P kanal tipi egzoz fanı 450 m³/h 100 Pa EXPROOF</t>
  </si>
  <si>
    <t xml:space="preserve">R05955</t>
  </si>
  <si>
    <t xml:space="preserve">Termofan/S&amp;P kanal tipi taze hava fanı 100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</si>
  <si>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28.46 + işç 44.19 + GGK 25.84]</t>
  </si>
  <si>
    <t xml:space="preserve">R05956</t>
  </si>
  <si>
    <t xml:space="preserve">Termofan/S&amp;P kanal tipi taze hava fanı 150 m³/h</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</si>
  <si>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30.02 + işç 44.19 + GGK 35.24]</t>
  </si>
  <si>
    <t xml:space="preserve">R05957</t>
  </si>
  <si>
    <t xml:space="preserve">Elektroteknik/Doğu sigortalı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</si>
  <si>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115.88 + işç 22.09 + GGK 49.08]</t>
  </si>
  <si>
    <t xml:space="preserve">R05958</t>
  </si>
  <si>
    <t xml:space="preserve">Sigortalı yangın damperi 300x150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</si>
  <si>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141.06 + işç 22.09 + GGK 140.25]</t>
  </si>
  <si>
    <t xml:space="preserve">R05959</t>
  </si>
  <si>
    <t xml:space="preserve">Motorlu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</si>
  <si>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263.25 + işç 38.66 + GGK 107.39]</t>
  </si>
  <si>
    <t xml:space="preserve">R05960</t>
  </si>
  <si>
    <t xml:space="preserve">Motorlu damper 500x400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</si>
  <si>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130.32 + işç 33.14 + GGK 58.15]</t>
  </si>
  <si>
    <t xml:space="preserve">R05961</t>
  </si>
  <si>
    <t xml:space="preserve">Backdraft (geri dönüşsüz) damper 200x200</t>
  </si>
  <si>
    <t xml:space="preserve">[AYKIRI DEĞER – otomatik dışlandı] Kirazlı-Halkalı Üniversite metro (5 yeraltı istasyonu; iptal 2024-09) mekanik bütçe/teklif keşfi; EUR; birim fiyat = malzeme + işçilik + GGK (GGK birim fiyatta ayrı kolon, ~%30-35); HVAC cihazları (AHU, VRF, split, kompresör) İşveren temini – yalnız montaj. [malz 21.33 + işç 11.05 + GGK 11.52]</t>
  </si>
  <si>
    <t xml:space="preserve">R05962</t>
  </si>
  <si>
    <t xml:space="preserve">Yandan tek boğaz plenum kutulu menfez Ø400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</si>
  <si>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34.31 + işç 22.09 + GGK 35.34]</t>
  </si>
  <si>
    <t xml:space="preserve">R05963</t>
  </si>
  <si>
    <t xml:space="preserve">Panjur 200x150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</si>
  <si>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12.65 + işç 33.14 + GGK 16.29]</t>
  </si>
  <si>
    <t xml:space="preserve">R05964</t>
  </si>
  <si>
    <t xml:space="preserve">Panjur 1200x1500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</si>
  <si>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225.39 + işç 33.14 + GGK 91.96]</t>
  </si>
  <si>
    <t xml:space="preserve">R05965</t>
  </si>
  <si>
    <t xml:space="preserve">Galvaniz hava kanalı SMACNA 0,60 mm (≤600 mm)</t>
  </si>
  <si>
    <t xml:space="preserve">Kirazlı-Halkalı Üniversite metro (5 yeraltı istasyonu; iptal 2024-09) mekanik bütçe/teklif keşfi; EUR; birim fiyat = malzeme + işçilik + GGK (GGK birim fiyatta ayrı kolon, ~%30-35); HVAC cihazları (AHU, VRF, split, kompresör) İşveren temini – yalnız montaj. izolasyon ayrı (25 mm kauçuk levha 28,6-35,6 €/m²) [malz 15.62 + işç 11.05 + GGK 19.09]</t>
  </si>
  <si>
    <t xml:space="preserve">R05966</t>
  </si>
  <si>
    <t xml:space="preserve">Galvaniz hava kanalı SMACNA 0,80 mm (≤1250 mm)</t>
  </si>
  <si>
    <t xml:space="preserve">Kirazlı-Halkalı Üniversite metro (5 yeraltı istasyonu; iptal 2024-09) mekanik bütçe/teklif keşfi; EUR; birim fiyat = malzeme + işçilik + GGK (GGK birim fiyatta ayrı kolon, ~%30-35); HVAC cihazları (AHU, VRF, split, kompresör) İşveren temini – yalnız montaj. [malz 18.53 + işç 11.05 + GGK 18.89]</t>
  </si>
  <si>
    <t xml:space="preserve">R05969</t>
  </si>
  <si>
    <t xml:space="preserve">İzoleli flexible hava kanalı Ø160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</si>
  <si>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 + işç 4.42 + GGK 2.79]</t>
  </si>
  <si>
    <t xml:space="preserve">R05970</t>
  </si>
  <si>
    <t xml:space="preserve">İzoleli flexible hava kanalı Ø229</t>
  </si>
  <si>
    <t xml:space="preserve">Kirazlı-Halkalı Üniversite metro (5 yeraltı istasyonu; iptal 2024-09) mekanik bütçe/teklif keşfi; EUR; birim fiyat = malzeme + işçilik + GGK (GGK birim fiyatta ayrı kolon, ~%30-35); HVAC cihazları (AHU, VRF, split, kompresör) İşveren temini – yalnız montaj. [malz 4.44 + işç 4.42 + GGK 3.15]</t>
  </si>
  <si>
    <t xml:space="preserve">R05972</t>
  </si>
  <si>
    <t xml:space="preserve">İvigo fansız termostatlı elektrikli panel ısıtıcı 2000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</si>
  <si>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106.38 + işç 22.09 + GGK 45.70]</t>
  </si>
  <si>
    <t xml:space="preserve">R05973</t>
  </si>
  <si>
    <t xml:space="preserve">İvigo elektrikli panel ısıtıcı 1500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</si>
  <si>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91.91 + işç 22.09 + GGK 40.55]</t>
  </si>
  <si>
    <t xml:space="preserve">R05975</t>
  </si>
  <si>
    <t xml:space="preserve">Galvaniz boru 1"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</si>
  <si>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13.25 + GGK 8.25]</t>
  </si>
  <si>
    <t xml:space="preserve">R05976</t>
  </si>
  <si>
    <t xml:space="preserve">Galvaniz boru 1¼"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</si>
  <si>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13.90 + GGK 8.94]</t>
  </si>
  <si>
    <t xml:space="preserve">R05977</t>
  </si>
  <si>
    <t xml:space="preserve">5 kg CO2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</si>
  <si>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65.63 + işç 5.52 + GGK 25.31]</t>
  </si>
  <si>
    <t xml:space="preserve">R05978</t>
  </si>
  <si>
    <t xml:space="preserve">6 kg ABC KKT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</si>
  <si>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30.85 + işç 5.52 + GGK 12.94]</t>
  </si>
  <si>
    <t xml:space="preserve">R05979</t>
  </si>
  <si>
    <t xml:space="preserve">Yangın dolabı 1" 20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</si>
  <si>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250.95 + işç 55.23 + GGK 108.91]</t>
  </si>
  <si>
    <t xml:space="preserve">R05980</t>
  </si>
  <si>
    <t xml:space="preserve">Yangın dolabı 1" 30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</si>
  <si>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266.00 + işç 55.23 + GGK 114.27]</t>
  </si>
  <si>
    <t xml:space="preserve">R05982</t>
  </si>
  <si>
    <t xml:space="preserve">Galvaniz boru yivli bağlantılı 1"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</si>
  <si>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21.30 + GGK 13.27]</t>
  </si>
  <si>
    <t xml:space="preserve">R05983</t>
  </si>
  <si>
    <t xml:space="preserve">Galvaniz boru yivli bağlantılı 1¼"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</si>
  <si>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12.15 + GGK 7.75]</t>
  </si>
  <si>
    <t xml:space="preserve">R05984</t>
  </si>
  <si>
    <t xml:space="preserve">Galvaniz boru yivli bağlantılı 2"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</si>
  <si>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13.48 + işç 21.02 + GGK 14.61]</t>
  </si>
  <si>
    <t xml:space="preserve">R05985</t>
  </si>
  <si>
    <t xml:space="preserve">Galvaniz boru yivli bağlantılı 2½"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</si>
  <si>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20.71 + işç 24.81 + GGK 22.70]</t>
  </si>
  <si>
    <t xml:space="preserve">R05986</t>
  </si>
  <si>
    <t xml:space="preserve">Galvaniz boru yivli bağlantılı 3"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</si>
  <si>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26.56 + işç 20.30 + GGK 16.67]</t>
  </si>
  <si>
    <t xml:space="preserve">R05987</t>
  </si>
  <si>
    <t xml:space="preserve">Galvaniz boru yivli bağlantılı 4"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</si>
  <si>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38.99 + işç 20.30 + GGK 16.67]</t>
  </si>
  <si>
    <t xml:space="preserve">R05988</t>
  </si>
  <si>
    <t xml:space="preserve">Galvaniz boru yivli bağlantılı 6"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</si>
  <si>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63.50 + işç 51.63 + GGK 49.83]</t>
  </si>
  <si>
    <t xml:space="preserve">R05989</t>
  </si>
  <si>
    <t xml:space="preserve">İzleme anahtarlı kelebek vana DN100 flanşlı</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</si>
  <si>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153.92 + işç 24.85 + GGK 63.59]</t>
  </si>
  <si>
    <t xml:space="preserve">R05990</t>
  </si>
  <si>
    <t xml:space="preserve">Islak alarm vana istasyonu DN100 (flanş-yivli)</t>
  </si>
  <si>
    <t xml:space="preserve">Kirazlı-Halkalı Üniversite metro (5 yeraltı istasyonu; iptal 2024-09) mekanik bütçe/teklif keşfi; EUR; birim fiyat = malzeme + işçilik + GGK (GGK birim fiyatta ayrı kolon, ~%30-35); HVAC cihazları (AHU, VRF, split, kompresör) İşveren temini – yalnız montaj. [malz 6069.61 + işç 64.51 + GGK 2181.97]</t>
  </si>
  <si>
    <t xml:space="preserve">R05991</t>
  </si>
  <si>
    <t xml:space="preserve">Test ve drenaj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</si>
  <si>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110.45 + işç 10.38 + GGK 42.98]</t>
  </si>
  <si>
    <t xml:space="preserve">R05995</t>
  </si>
  <si>
    <t xml:space="preserve">Hızlı tepkimeli sprinkler upright EN 12259-1</t>
  </si>
  <si>
    <t xml:space="preserve">Kirazlı-Halkalı Üniversite metro (5 yeraltı istasyonu; iptal 2024-09) mekanik bütçe/teklif keşfi; EUR; birim fiyat = malzeme + işçilik + GGK (GGK birim fiyatta ayrı kolon, ~%30-35); HVAC cihazları (AHU, VRF, split, kompresör) İşveren temini – yalnız montaj. [malz 4.20 + işç 8.84 + GGK 4.64]</t>
  </si>
  <si>
    <t xml:space="preserve">R05996</t>
  </si>
  <si>
    <t xml:space="preserve">Hızlı tepkimeli sprinkler sidewall</t>
  </si>
  <si>
    <t xml:space="preserve">Kirazlı-Halkalı Üniversite metro (5 yeraltı istasyonu; iptal 2024-09) mekanik bütçe/teklif keşfi; EUR; birim fiyat = malzeme + işçilik + GGK (GGK birim fiyatta ayrı kolon, ~%30-35); HVAC cihazları (AHU, VRF, split, kompresör) İşveren temini – yalnız montaj. [malz 4.96 + işç 8.84 + GGK 4.91]</t>
  </si>
  <si>
    <t xml:space="preserve">R05997</t>
  </si>
  <si>
    <t xml:space="preserve">Siyam ikizi itfaiye bağlantı ağzı 4"x2½"x2½"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</si>
  <si>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117.39 + işç 44.19 + GGK 57.48]</t>
  </si>
  <si>
    <t xml:space="preserve">R05998</t>
  </si>
  <si>
    <t xml:space="preserve">İtfaiye su alma ağzı 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</si>
  <si>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52.42 + işç 35.35 + GGK 31.22]</t>
  </si>
  <si>
    <t xml:space="preserve">R06000</t>
  </si>
  <si>
    <t xml:space="preserve">Ani su ısıtıcı 3,5 kW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</si>
  <si>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45.77 + işç 32.13 + GGK 35.12]</t>
  </si>
  <si>
    <t xml:space="preserve">R06001</t>
  </si>
  <si>
    <t xml:space="preserve">Elektrikli termosifon 50 L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</si>
  <si>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144.54 + işç 88.37 + GGK 82.85]</t>
  </si>
  <si>
    <t xml:space="preserve">R06002</t>
  </si>
  <si>
    <t xml:space="preserve">Acil göz yıkama ünitesi duvar tipi ayak kumandalı (Okinox)</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</si>
  <si>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1584.38 + işç 48.72 + GGK 806.34]</t>
  </si>
  <si>
    <t xml:space="preserve">R06003</t>
  </si>
  <si>
    <t xml:space="preserve">Woltman su sayacı 4"</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</si>
  <si>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348.89 + işç 24.85 + GGK 132.95]</t>
  </si>
  <si>
    <t xml:space="preserve">R06004</t>
  </si>
  <si>
    <t xml:space="preserve">Flatörlü seviye kontrol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</si>
  <si>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250.87 + işç 21.06 + GGK 126.48]</t>
  </si>
  <si>
    <t xml:space="preserve">R06006</t>
  </si>
  <si>
    <t xml:space="preserve">PPRC boru al.folyo kaplı Ø20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</si>
  <si>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1.76 + işç 6.63 + GGK 2.99]</t>
  </si>
  <si>
    <t xml:space="preserve">R06007</t>
  </si>
  <si>
    <t xml:space="preserve">PPRC boru al.folyo kaplı Ø25</t>
  </si>
  <si>
    <t xml:space="preserve">Kirazlı-Halkalı Üniversite metro (5 yeraltı istasyonu; iptal 2024-09) mekanik bütçe/teklif keşfi; EUR; birim fiyat = malzeme + işçilik + GGK (GGK birim fiyatta ayrı kolon, ~%30-35); HVAC cihazları (AHU, VRF, split, kompresör) İşveren temini – yalnız montaj. [malz 2.91 + işç 6.63 + GGK 3.39]</t>
  </si>
  <si>
    <t xml:space="preserve">R06009</t>
  </si>
  <si>
    <t xml:space="preserve">Süzgeç 15x15x30 Ø70</t>
  </si>
  <si>
    <t xml:space="preserve">Kirazlı-Halkalı Üniversite metro (5 yeraltı istasyonu; iptal 2024-09) mekanik bütçe/teklif keşfi; EUR; birim fiyat = malzeme + işçilik + GGK (GGK birim fiyatta ayrı kolon, ~%30-35); HVAC cihazları (AHU, VRF, split, kompresör) İşveren temini – yalnız montaj. [malz 6.73 + işç 16.57 + GGK 13.80]</t>
  </si>
  <si>
    <t xml:space="preserve">R06010</t>
  </si>
  <si>
    <t xml:space="preserve">Süzgeç 20x20x30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</si>
  <si>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7.59 + işç 16.57 + GGK 15.42]</t>
  </si>
  <si>
    <t xml:space="preserve">R06011</t>
  </si>
  <si>
    <t xml:space="preserve">Parapet tip süzgeç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</si>
  <si>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4.03 + işç 16.57 + GGK 8.28]</t>
  </si>
  <si>
    <t xml:space="preserve">R06020</t>
  </si>
  <si>
    <t xml:space="preserve">Venco Havalandırma Yedek Parça Makina San. ve Tic. A.Ş.</t>
  </si>
  <si>
    <t xml:space="preserve">2021-01-19</t>
  </si>
  <si>
    <t xml:space="preserve">Venco CK 125 C yuvarlak kanal tipi radyal fan (~100-200 m³/h)</t>
  </si>
  <si>
    <t xml:space="preserve">Mersin Mezitli metro fan teklifi (Doğuş); fan fiyatı, montaj hariç.</t>
  </si>
  <si>
    <t xml:space="preserve">R06021</t>
  </si>
  <si>
    <t xml:space="preserve">Venco CK 315 B yuvarlak kanal tipi radyal fan 1.091 m³/h 149 Pa</t>
  </si>
  <si>
    <t xml:space="preserve">R06025</t>
  </si>
  <si>
    <t xml:space="preserve">Daikin bayi (gönderen Seher Maltepe; ref T-7310)</t>
  </si>
  <si>
    <t xml:space="preserve">2021-02-01</t>
  </si>
  <si>
    <t xml:space="preserve">Daikin FTXF25 9.000 BTU (2,5 kW) Sensira inverter split duvar tipi (dış ünite dahil)</t>
  </si>
  <si>
    <t xml:space="preserve">Mersin Mezitli metro (Doğuş) split ve multi klima teklifi; "özel fiyat" net cihaz fiyatı (liste fiyatından ~%32 indirim), montaj ve KDV hariç; toplam 1.713.214 TL+KDV. liste 5.586,44 TL</t>
  </si>
  <si>
    <t xml:space="preserve">R06026</t>
  </si>
  <si>
    <t xml:space="preserve">Daikin FTXF35 12.000 BTU (3,5 kW) Sensira inverter split</t>
  </si>
  <si>
    <t xml:space="preserve">Mersin Mezitli metro (Doğuş) split ve multi klima teklifi; "özel fiyat" net cihaz fiyatı (liste fiyatından ~%32 indirim), montaj ve KDV hariç; toplam 1.713.214 TL+KDV. liste 6.372,88 TL</t>
  </si>
  <si>
    <t xml:space="preserve">R06027</t>
  </si>
  <si>
    <t xml:space="preserve">Daikin FTXF50 18.000 BTU (5 kW) Sensira inverter split</t>
  </si>
  <si>
    <t xml:space="preserve">Mersin Mezitli metro (Doğuş) split ve multi klima teklifi; "özel fiyat" net cihaz fiyatı (liste fiyatından ~%32 indirim), montaj ve KDV hariç; toplam 1.713.214 TL+KDV. liste 10.142,37 TL</t>
  </si>
  <si>
    <t xml:space="preserve">R06056</t>
  </si>
  <si>
    <t xml:space="preserve">SamsunLRT (_Genel: Antalya HRS atölye referansı)</t>
  </si>
  <si>
    <t xml:space="preserve">bilinmiyor (Samsun LRT dosyasında referans Antalya HRS atölye mekanik keşif/teklifi; muhtemelen İMTEKS)</t>
  </si>
  <si>
    <t xml:space="preserve">2008-03-13</t>
  </si>
  <si>
    <t xml:space="preserve">Culligan tam otomatik su yumuşatma cihazı</t>
  </si>
  <si>
    <t xml:space="preserve">Antalya Hafif Raylı Sistem tamir-bakım atölyesi (depo) + 2 istasyon mekanik tesisat; YTL (2008, nominal TL ile eşdeğer); tarih=dosya tarihi. kapasite belirtilmemiş</t>
  </si>
  <si>
    <t xml:space="preserve">R06066</t>
  </si>
  <si>
    <t xml:space="preserve">Galvaniz boru 3" (basınçlı hava)</t>
  </si>
  <si>
    <t xml:space="preserve">Antalya Hafif Raylı Sistem tamir-bakım atölyesi (depo) + 2 istasyon mekanik tesisat; YTL (2008, nominal TL ile eşdeğer); tarih=dosya tarihi.</t>
  </si>
  <si>
    <t xml:space="preserve">R06082</t>
  </si>
  <si>
    <t xml:space="preserve">Siirt_Kurtalan_Demiryolu</t>
  </si>
  <si>
    <t xml:space="preserve">Yamaner Grup</t>
  </si>
  <si>
    <t xml:space="preserve">2025-06-13</t>
  </si>
  <si>
    <t xml:space="preserve">40x50 tezgah altı/üstü oval lavabo</t>
  </si>
  <si>
    <t xml:space="preserve">Siirt-Kurtalan demiryolu 1 istasyon binası mekanik tesisat teklifi (malzeme+işçilik birim fiyat, KDV hariç, mobilizasyon/sigorta hariç; kamp/konaklama dahil); tarih=dosya tarihi (2025-06). batarya ayrı</t>
  </si>
  <si>
    <t xml:space="preserve">R06083</t>
  </si>
  <si>
    <t xml:space="preserve">Bedensel engelli klozet seti (35x70)</t>
  </si>
  <si>
    <t xml:space="preserve">Siirt-Kurtalan demiryolu 1 istasyon binası mekanik tesisat teklifi (malzeme+işçilik birim fiyat, KDV hariç, mobilizasyon/sigorta hariç; kamp/konaklama dahil); tarih=dosya tarihi (2025-06).</t>
  </si>
  <si>
    <t xml:space="preserve">R06086</t>
  </si>
  <si>
    <t xml:space="preserve">Paslanmaz eviye 50x50x15 tek gözlü</t>
  </si>
  <si>
    <t xml:space="preserve">R06087</t>
  </si>
  <si>
    <t xml:space="preserve">Bir gözlü eviye tesisatı bataryalı</t>
  </si>
  <si>
    <t xml:space="preserve">R06088</t>
  </si>
  <si>
    <t xml:space="preserve">Akrilik duş teknesi 80x80x11</t>
  </si>
  <si>
    <t xml:space="preserve">R06089</t>
  </si>
  <si>
    <t xml:space="preserve">Komple banyo bataryası (duş borusu + duş başı)</t>
  </si>
  <si>
    <t xml:space="preserve">R06091</t>
  </si>
  <si>
    <t xml:space="preserve">Çift kumandalı lavabo bataryası</t>
  </si>
  <si>
    <t xml:space="preserve">R06092</t>
  </si>
  <si>
    <t xml:space="preserve">Engelli tutunma barı</t>
  </si>
  <si>
    <t xml:space="preserve">R06093</t>
  </si>
  <si>
    <t xml:space="preserve">Yer süzgeci pirinç kromajlı 15x15 Ø70</t>
  </si>
  <si>
    <t xml:space="preserve">R06095</t>
  </si>
  <si>
    <t xml:space="preserve">12,5 m³ prizmatik modüler paslanmaz su deposu</t>
  </si>
  <si>
    <t xml:space="preserve">Siirt-Kurtalan demiryolu 1 istasyon binası mekanik tesisat teklifi (malzeme+işçilik birim fiyat, KDV hariç, mobilizasyon/sigorta hariç; kamp/konaklama dahil); tarih=dosya tarihi (2025-06). 12,5 m³</t>
  </si>
  <si>
    <t xml:space="preserve">R06097</t>
  </si>
  <si>
    <t xml:space="preserve">İki pompalı frekans konvertörlü hidrofor 0-10 m³/h 30-60 mSS</t>
  </si>
  <si>
    <t xml:space="preserve">R06098</t>
  </si>
  <si>
    <t xml:space="preserve">İki pompalı frekans konvertörlü hidrofor 10-30 m³/h 30-60 mSS (yangın)</t>
  </si>
  <si>
    <t xml:space="preserve">Siirt-Kurtalan demiryolu 1 istasyon binası mekanik tesisat teklifi (malzeme+işçilik birim fiyat, KDV hariç, mobilizasyon/sigorta hariç; kamp/konaklama dahil); tarih=dosya tarihi (2025-06). yangın tesisatı grubunda</t>
  </si>
  <si>
    <t xml:space="preserve">R06100</t>
  </si>
  <si>
    <t xml:space="preserve">Dikişli galvaniz çelik boru ½" bina içi vidalı</t>
  </si>
  <si>
    <t xml:space="preserve">R06101</t>
  </si>
  <si>
    <t xml:space="preserve">Dikişli galvaniz çelik boru 1" bina içi vidalı</t>
  </si>
  <si>
    <t xml:space="preserve">R06102</t>
  </si>
  <si>
    <t xml:space="preserve">Dikişli galvaniz çelik boru 1¼" bina içi vidalı</t>
  </si>
  <si>
    <t xml:space="preserve">R06103</t>
  </si>
  <si>
    <t xml:space="preserve">Dikişli galvaniz çelik boru 2" bina içi vidalı</t>
  </si>
  <si>
    <t xml:space="preserve">R06104</t>
  </si>
  <si>
    <t xml:space="preserve">Dikişli galvaniz çelik boru 2" (yangın)</t>
  </si>
  <si>
    <t xml:space="preserve">R06105</t>
  </si>
  <si>
    <t xml:space="preserve">Dikişli galvaniz çelik boru 2½" (yangın)</t>
  </si>
  <si>
    <t xml:space="preserve">R06106</t>
  </si>
  <si>
    <t xml:space="preserve">Dikişli galvaniz çelik boru 4" (yangın)</t>
  </si>
  <si>
    <t xml:space="preserve">R06107</t>
  </si>
  <si>
    <t xml:space="preserve">PN20 PPRC temiz su borusu ½" Ø20 (montaj malz. dahil)</t>
  </si>
  <si>
    <t xml:space="preserve">Siirt-Kurtalan demiryolu 1 istasyon binası mekanik tesisat teklifi (malzeme+işçilik birim fiyat, KDV hariç, mobilizasyon/sigorta hariç; kamp/konaklama dahil); tarih=dosya tarihi (2025-06). izolasyon ayrı</t>
  </si>
  <si>
    <t xml:space="preserve">R06108</t>
  </si>
  <si>
    <t xml:space="preserve">PN20 PPRC temiz su borusu ¾" Ø25 (montaj malz. dahil)</t>
  </si>
  <si>
    <t xml:space="preserve">R06109</t>
  </si>
  <si>
    <t xml:space="preserve">PN20 PPRC temiz su borusu 1" Ø32 (montaj malz. dahil)</t>
  </si>
  <si>
    <t xml:space="preserve">R06110</t>
  </si>
  <si>
    <t xml:space="preserve">Sert PVC pis su borusu Ø50 (fittings dahil)</t>
  </si>
  <si>
    <t xml:space="preserve">R06111</t>
  </si>
  <si>
    <t xml:space="preserve">Sert PVC pis su borusu Ø75 (fittings dahil)</t>
  </si>
  <si>
    <t xml:space="preserve">R06112</t>
  </si>
  <si>
    <t xml:space="preserve">Sert PVC pis su borusu Ø100-110 (fittings dahil)</t>
  </si>
  <si>
    <t xml:space="preserve">R06113</t>
  </si>
  <si>
    <t xml:space="preserve">Sert PVC pis su borusu Ø125 (fittings dahil)</t>
  </si>
  <si>
    <t xml:space="preserve">R06114</t>
  </si>
  <si>
    <t xml:space="preserve">Havalandırma boru ve şapkası Ø100</t>
  </si>
  <si>
    <t xml:space="preserve">R06116</t>
  </si>
  <si>
    <t xml:space="preserve">Frekans konvertörlü ıslak rotorlu sirkülasyon pompası 0,5-3,5 m³/h</t>
  </si>
  <si>
    <t xml:space="preserve">R06118</t>
  </si>
  <si>
    <t xml:space="preserve">Elektrikli konvektör ısıtıcı 2000 W</t>
  </si>
  <si>
    <t xml:space="preserve">R06122</t>
  </si>
  <si>
    <t xml:space="preserve">Çatı tipi aspiratör 1500 m³/h</t>
  </si>
  <si>
    <t xml:space="preserve">R06123</t>
  </si>
  <si>
    <t xml:space="preserve">Çatı tipi radyal aspiratör 3000 m³/h 25 mmSS</t>
  </si>
  <si>
    <t xml:space="preserve">R06124</t>
  </si>
  <si>
    <t xml:space="preserve">R06125</t>
  </si>
  <si>
    <t xml:space="preserve">R06131</t>
  </si>
  <si>
    <t xml:space="preserve">Siirt-Kurtalan demiryolu 1 istasyon binası mekanik tesisat teklifi (malzeme+işçilik birim fiyat, KDV hariç, mobilizasyon/sigorta hariç; kamp/konaklama dahil); tarih=dosya tarihi (2025-06). tel kafes ayrı 1.466 TL/m²</t>
  </si>
  <si>
    <t xml:space="preserve">R06136</t>
  </si>
  <si>
    <t xml:space="preserve">VRF dış ünite 78/78 kW frekans kontrollü</t>
  </si>
  <si>
    <t xml:space="preserve">R06137</t>
  </si>
  <si>
    <t xml:space="preserve">VRF kaset iç ünite 2-2,5 kW</t>
  </si>
  <si>
    <t xml:space="preserve">R06138</t>
  </si>
  <si>
    <t xml:space="preserve">VRF kaset iç ünite 3-4 kW</t>
  </si>
  <si>
    <t xml:space="preserve">R06140</t>
  </si>
  <si>
    <t xml:space="preserve">R06141</t>
  </si>
  <si>
    <t xml:space="preserve">R06142</t>
  </si>
  <si>
    <t xml:space="preserve">Siirt-Kurtalan demiryolu 1 istasyon binası mekanik tesisat teklifi (malzeme+işçilik birim fiyat, KDV hariç, mobilizasyon/sigorta hariç; kamp/konaklama dahil); tarih=dosya tarihi (2025-06). tek boru; sıvı+gaz çifti ≈ 2 kalem toplamı</t>
  </si>
  <si>
    <t xml:space="preserve">R06143</t>
  </si>
  <si>
    <t xml:space="preserve">R06144</t>
  </si>
  <si>
    <t xml:space="preserve">R06145</t>
  </si>
  <si>
    <t xml:space="preserve">R06146</t>
  </si>
  <si>
    <t xml:space="preserve">VRF joint elemanları 25-50 kW</t>
  </si>
  <si>
    <t xml:space="preserve">R06147</t>
  </si>
  <si>
    <t xml:space="preserve">Duvar tipi inverter split klima 18.000 BTU/h</t>
  </si>
  <si>
    <t xml:space="preserve">R06148</t>
  </si>
  <si>
    <t xml:space="preserve">TS EN 671-1 tüplü yangın dolabı DN25 30 m</t>
  </si>
  <si>
    <t xml:space="preserve">R06150</t>
  </si>
  <si>
    <t xml:space="preserve">6 kg ABC KKT taşınabilir söndürücü</t>
  </si>
  <si>
    <t xml:space="preserve">R06168</t>
  </si>
  <si>
    <t xml:space="preserve">MAS DAF Makina Sanayi A.Ş.</t>
  </si>
  <si>
    <t xml:space="preserve">2011-07-18</t>
  </si>
  <si>
    <t xml:space="preserve">Otomatik transfer switch (UL/FM yangın pompası, 110 kW)</t>
  </si>
  <si>
    <t xml:space="preserve">[AYKIRI DEĞER – otomatik dışlandı] Üsküdar-Ümraniye-Çekmeköy metro pompa teklifi (B.No 11/07-423); net alış fiyatı, fabrika teslim, KDV/montaj hariç.</t>
  </si>
  <si>
    <t xml:space="preserve">R06191</t>
  </si>
  <si>
    <t xml:space="preserve">KlimaPlus (Mitsubishi Electric City Multi VRF)</t>
  </si>
  <si>
    <t xml:space="preserve">2011-08-03</t>
  </si>
  <si>
    <t xml:space="preserve">VRF heat pump dış ünite PUHY-P350YJM 14 HP (~40 kW)</t>
  </si>
  <si>
    <t xml:space="preserve">Üsküdar-Ümraniye metro VRF cihaz teklifi (IST1108015); cihaz fiyatı, montaj ve KDV hariç.</t>
  </si>
  <si>
    <t xml:space="preserve">R06193</t>
  </si>
  <si>
    <t xml:space="preserve">VRF heat pump dış ünite PUHY-P1200YSJM 48 HP (~135 kW)</t>
  </si>
  <si>
    <t xml:space="preserve">R06197</t>
  </si>
  <si>
    <t xml:space="preserve">VRF yüksek basınçlı gizli tavan (kanallı) iç ünite PEFY-P140 (16 kW)</t>
  </si>
  <si>
    <t xml:space="preserve">R06277</t>
  </si>
  <si>
    <t xml:space="preserve">Ekin Proje (Construction Contract Trade and Ind. Inc.)</t>
  </si>
  <si>
    <t xml:space="preserve">2011-08-22</t>
  </si>
  <si>
    <t xml:space="preserve">Bakım ve Kontrol Merkezi (depo): Swirl üfleme menfezi 600x600</t>
  </si>
  <si>
    <t xml:space="preserve">Üsküdar-Ümraniye-Çekmeköy metro mekanik tesisat teklifi (16 istasyon + Bakım ve Kontrol Merkezi); EUR; birim fiyat = malzeme + işçilik + genel gider/kâr (~%18); malzeme_bf/iscilik_bf GG+kâr hariç.</t>
  </si>
  <si>
    <t xml:space="preserve">R06289</t>
  </si>
  <si>
    <t xml:space="preserve">Bakım ve Kontrol Merkezi (depo): FM200 gazlı söndürme – elektrik odası 79 m²</t>
  </si>
  <si>
    <t xml:space="preserve">Grup</t>
  </si>
  <si>
    <t xml:space="preserve">R06407</t>
  </si>
  <si>
    <t xml:space="preserve">Dimetronic (Invensys Rail)</t>
  </si>
  <si>
    <t xml:space="preserve">2012-04-19</t>
  </si>
  <si>
    <t xml:space="preserve">CTC sunucu</t>
  </si>
  <si>
    <t xml:space="preserve">Baskentray (Sincan-Ankara-Kayas banliyo, ~36 km kamu bilgisi; km kaynakta yok); Ankara-Sincan + Ankara-Kayas hat kesimleri; ERTMS L1/L2; KDV haric; toplam teklif a5658 Economical Offer: 60.826.621,61 + yedek 2.902.273,14</t>
  </si>
  <si>
    <t xml:space="preserve">R06477</t>
  </si>
  <si>
    <t xml:space="preserve">Eminönü_Alibeyköy_Tramvay</t>
  </si>
  <si>
    <t xml:space="preserve">Elektroline (Kummler+Matter araciligi)</t>
  </si>
  <si>
    <t xml:space="preserve">2016-06-20</t>
  </si>
  <si>
    <t xml:space="preserve">Elektro-hidrolik makas motoru TSH 102 LC (230V AC, SIL3, IP68, trailable, baglanti cubuk seti + manuel soket dahil)</t>
  </si>
  <si>
    <t xml:space="preserve">EXW Prague, KDV/gumruk haric, montaj haric (sadece supervizyon), kablolar haric | hat+depo toplam 68 adet</t>
  </si>
  <si>
    <t xml:space="preserve">R06478</t>
  </si>
  <si>
    <t xml:space="preserve">Elektro-hidrolik makas motoru TSH 070 H2 (sadece trailing konumlar icin basit versiyon)</t>
  </si>
  <si>
    <t xml:space="preserve">EXW Prague, KDV/gumruk haric, montaj haric (sadece supervizyon), kablolar haric</t>
  </si>
  <si>
    <t xml:space="preserve">R06480</t>
  </si>
  <si>
    <t xml:space="preserve">Mekanik makas motoru TSM 060 (trailing/el ile, baglanti cubuklari+zemin kutusu dahil)</t>
  </si>
  <si>
    <t xml:space="preserve">R06481</t>
  </si>
  <si>
    <t xml:space="preserve">Arac ustu VETRA ekipmani - cift yonlu tramvay (2x transponder + 2x VTK15 surucu klavyesi)</t>
  </si>
  <si>
    <t xml:space="preserve">arac</t>
  </si>
  <si>
    <t xml:space="preserve">EXW Prague, KDV/gumruk haric, montaj haric (sadece supervizyon), kablolar haric | arac basina set (2 kabin); T5 filosu 30 arac</t>
  </si>
  <si>
    <t xml:space="preserve">R06482</t>
  </si>
  <si>
    <t xml:space="preserve">Tramvay-hat ekipmani entegrasyonu T1 hatti ile (eski 50 T1 tramvayina VETRA arac ustu)</t>
  </si>
  <si>
    <t xml:space="preserve">EXW Prague, KDV/gumruk haric, montaj haric (sadece supervizyon), kablolar haric | mevcut hat entegrasyonu</t>
  </si>
  <si>
    <t xml:space="preserve">R06486</t>
  </si>
  <si>
    <t xml:space="preserve">Sinyalizasyon kontrolcusu TSIG (Lokasyon D,E,F,G,I,J) - SIL3 tipik makas bolgesi</t>
  </si>
  <si>
    <t xml:space="preserve">R06499</t>
  </si>
  <si>
    <t xml:space="preserve">Trafik isigi oncelik icin tramvay algilama unitesi TDS (mevcut trafik kabinine monte, kendi kabini yok)</t>
  </si>
  <si>
    <t xml:space="preserve">EXW Prague, KDV/gumruk haric, montaj haric (sadece supervizyon), kablolar haric | TSP kabininin elektronik kismi; kabin yok</t>
  </si>
  <si>
    <t xml:space="preserve">R06500</t>
  </si>
  <si>
    <t xml:space="preserve">TDS hat boyu ekipmani (sadece VETRA antenleri; sinyal/anahtar/kablo yok)</t>
  </si>
  <si>
    <t xml:space="preserve">kavsak</t>
  </si>
  <si>
    <t xml:space="preserve">EXW Prague, KDV/gumruk haric, montaj haric (sadece supervizyon), kablolar haric | kavsak basina lup/anten seti</t>
  </si>
  <si>
    <t xml:space="preserve">R06503</t>
  </si>
  <si>
    <t xml:space="preserve">EYAS otomatik depo makas isletim sistemi (HW+SW, temel konfig.)</t>
  </si>
  <si>
    <t xml:space="preserve">R06504</t>
  </si>
  <si>
    <t xml:space="preserve">Muhendislik, dokumantasyon, proje yonetimi</t>
  </si>
  <si>
    <t xml:space="preserve">EXW Prague, KDV/gumruk haric, montaj haric (sadece supervizyon), kablolar haric | standart kapsam muhendislik/tasarim; ISA haric</t>
  </si>
  <si>
    <t xml:space="preserve">R06505</t>
  </si>
  <si>
    <t xml:space="preserve">Sinyalizasyon devreye alma (6 saha ziyareti x 2 muhendis x 4 gun)</t>
  </si>
  <si>
    <t xml:space="preserve">R06506</t>
  </si>
  <si>
    <t xml:space="preserve">Egitim (Istanbul, 3 gun, Ingilizce)</t>
  </si>
  <si>
    <t xml:space="preserve">oturum</t>
  </si>
  <si>
    <t xml:space="preserve">R06520</t>
  </si>
  <si>
    <t xml:space="preserve">Hanning &amp; Kahl</t>
  </si>
  <si>
    <t xml:space="preserve">2014-02-11</t>
  </si>
  <si>
    <t xml:space="preserve">Elektromanyetik makas motoru HW61.1 AVV-ZVV (SIL3, pozitif kilitli, dil dedektorlu, zemin kutulu, 600-750V DC) - hat</t>
  </si>
  <si>
    <t xml:space="preserve">Budget offer 30373/14; DDU Izmir, montaj haric (montaj supervizyonu/devreye alma dahil), standart kablo/direkler haric, KDV haric | Konak 12 + Karsiyaka 12</t>
  </si>
  <si>
    <t xml:space="preserve">R06521</t>
  </si>
  <si>
    <t xml:space="preserve">Elektro-hidrolik makas motoru HWE 61.O-Z (depo, zemin kutusuz, balastli)</t>
  </si>
  <si>
    <t xml:space="preserve">Budget offer 30373/14; DDU Izmir, montaj haric (montaj supervizyonu/devreye alma dahil), standart kablo/direkler haric, KDV haric | Konak depo 19 + Karsiyaka 15</t>
  </si>
  <si>
    <t xml:space="preserve">R06522</t>
  </si>
  <si>
    <t xml:space="preserve">Manuel makas mekanizmasi HWU40 D (throw-over/sprung, hidrolik damperli)</t>
  </si>
  <si>
    <t xml:space="preserve">Budget offer 30373/14; DDU Izmir, montaj haric (montaj supervizyonu/devreye alma dahil), standart kablo/direkler haric, KDV haric | Konak 12 + Karsiyaka 8; hat+depo</t>
  </si>
  <si>
    <t xml:space="preserve">R06525</t>
  </si>
  <si>
    <t xml:space="preserve">HCS-R alici kabini - karayolu kavsagi trafik isigi onceligi (Alu kabin, 4 lup, anahtar, 800 m kablo)</t>
  </si>
  <si>
    <t xml:space="preserve">Budget offer 30373/14; DDU Izmir, montaj haric (montaj supervizyonu/devreye alma dahil), standart kablo/direkler haric, KDV haric | Konak 20 + Karsiyaka 15; TSKP/trafik lambalari haric</t>
  </si>
  <si>
    <t xml:space="preserve">R06526</t>
  </si>
  <si>
    <t xml:space="preserve">Sinyalizasyon kontrolcusu HN-SA - terminal/makas bolgesi (4 makas, 4 HSK ray devresi, 4 LED sinyal, 2 anahtar, HCS-V alici + 4 lup, makas isitma kontrol)</t>
  </si>
  <si>
    <t xml:space="preserve">Budget offer 30373/14; DDU Izmir, montaj haric (montaj supervizyonu/devreye alma dahil), standart kablo/direkler haric, KDV haric | Konak 3 + Karsiyaka 3 terminal</t>
  </si>
  <si>
    <t xml:space="preserve">R06527</t>
  </si>
  <si>
    <t xml:space="preserve">Depo sinyalizasyon ekipmani KONAK (19 makas, 17 HSK ray devresi, 6000 m kablo, 15 LED + 15 matris sinyal, 15 guzergah talep paneli, AVLS/TCC arayuzu)</t>
  </si>
  <si>
    <t xml:space="preserve">Budget offer 30373/14; DDU Izmir, montaj haric (montaj supervizyonu/devreye alma dahil), standart kablo/direkler haric, KDV haric</t>
  </si>
  <si>
    <t xml:space="preserve">R06529</t>
  </si>
  <si>
    <t xml:space="preserve">HCS-R/kontrolcu/depo devreye alma + egitim (15 is gunu) - Konak</t>
  </si>
  <si>
    <t xml:space="preserve">R06530</t>
  </si>
  <si>
    <t xml:space="preserve">HCS-R/kontrolcu/depo devreye alma + egitim (15 is gunu) - Karsiyaka</t>
  </si>
  <si>
    <t xml:space="preserve">R06531</t>
  </si>
  <si>
    <t xml:space="preserve">HCS-V cift yonlu arac ustu ekipman (kabin kontrol unitesi, arac haberlesme unitesi, transponder, kablo seti) - kabin basina</t>
  </si>
  <si>
    <t xml:space="preserve">kabin</t>
  </si>
  <si>
    <t xml:space="preserve">Budget offer 30373/14; DDU Izmir, montaj haric (montaj supervizyonu/devreye alma dahil), standart kablo/direkler haric, KDV haric | 36 cift kabinli tramvay; arac basina ~7.700 EUR</t>
  </si>
  <si>
    <t xml:space="preserve">R06532</t>
  </si>
  <si>
    <t xml:space="preserve">AVLS / isletme ve izleme sistemi (sinyal izleme+uzaktan kumanda) - Konak</t>
  </si>
  <si>
    <t xml:space="preserve">R06536</t>
  </si>
  <si>
    <t xml:space="preserve">Opsiyon: Izmirde 1 haftalik egitim</t>
  </si>
  <si>
    <t xml:space="preserve">R06540</t>
  </si>
  <si>
    <t xml:space="preserve">CONTEC</t>
  </si>
  <si>
    <t xml:space="preserve">2014-02-12</t>
  </si>
  <si>
    <t xml:space="preserve">CONTEC TCS 300 makas kontrol ve sinyalizasyon kabini (4 elektrikli makas, SIL4 PLC, 4 ray devresi karti, kutle dedektor karti, V-COM karti, PCC ethernet)</t>
  </si>
  <si>
    <t xml:space="preserve">Kablo, montaj, devreye alma opsiyonel; KDV haric | Konak 3 alan + Karsiyaka 3 alan</t>
  </si>
  <si>
    <t xml:space="preserve">R06541</t>
  </si>
  <si>
    <t xml:space="preserve">Ray bloklama devresi elemanlari seti (2 besleme ray kutusu + kondansator kutusu, baglantilar)</t>
  </si>
  <si>
    <t xml:space="preserve">Kablo, montaj, devreye alma opsiyonel; KDV haric</t>
  </si>
  <si>
    <t xml:space="preserve">R06542</t>
  </si>
  <si>
    <t xml:space="preserve">Kutle dedeksiyon lupu ray elemanlari (makas motoru zemin kutusu - gobek arasi)</t>
  </si>
  <si>
    <t xml:space="preserve">[AYKIRI DEĞER – otomatik dışlandı] Kablo, montaj, devreye alma opsiyonel; KDV haric | sadece ray ici lup elemanlari</t>
  </si>
  <si>
    <t xml:space="preserve">R06543</t>
  </si>
  <si>
    <t xml:space="preserve">CONTEC LED Unilight akilli sinyal 3 govde 5 gorunum (dur/gec + sag/sol + B matris)</t>
  </si>
  <si>
    <t xml:space="preserve">R06544</t>
  </si>
  <si>
    <t xml:space="preserve">V-COM arac haberlesme lupu ray elemanlari (lup kablosu + koruma borusu + paslanmaz ray kutusu)</t>
  </si>
  <si>
    <t xml:space="preserve">R06546</t>
  </si>
  <si>
    <t xml:space="preserve">Makas motoru UNISTAR CSV 24 PV-P-EH-M (elektro-hidrolik 400V AC, paslanmaz, gobek ici, zemin kutulu, SIL4)</t>
  </si>
  <si>
    <t xml:space="preserve">R06547</t>
  </si>
  <si>
    <t xml:space="preserve">Manuel makas motoru CONTEC CSV 34 O-O-D (paslanmaz, damperli, zemin kutulu)</t>
  </si>
  <si>
    <t xml:space="preserve">Kablo, montaj, devreye alma opsiyonel; KDV haric | Konak 12 + Karsiyaka 8</t>
  </si>
  <si>
    <t xml:space="preserve">R06552</t>
  </si>
  <si>
    <t xml:space="preserve">Kavsak algilama kabini TCS 300 Vehicle Detection (V-COM karti, trafik kontrolcusu role arayuzu, PCC ethernet)</t>
  </si>
  <si>
    <t xml:space="preserve">Kablo, montaj, devreye alma opsiyonel; KDV haric | Konak 16 + Karsiyaka 13</t>
  </si>
  <si>
    <t xml:space="preserve">R06556</t>
  </si>
  <si>
    <t xml:space="preserve">CONTEC TCS 300 depo makas kontrol sistemi (16 elektrikli makas, 3 ic kabin, SIL4 PLC, 14 ray devresi karti)</t>
  </si>
  <si>
    <t xml:space="preserve">Depo BoM; kablo/montaj opsiyonel</t>
  </si>
  <si>
    <t xml:space="preserve">R06558</t>
  </si>
  <si>
    <t xml:space="preserve">LED makas pozisyon gostergesi PPI (2 govde) - depo</t>
  </si>
  <si>
    <t xml:space="preserve">R06559</t>
  </si>
  <si>
    <t xml:space="preserve">Depo guzergah talep paneli (6 isikli buton)</t>
  </si>
  <si>
    <t xml:space="preserve">R06560</t>
  </si>
  <si>
    <t xml:space="preserve">Depo guzergah talep paneli (13 isikli buton)</t>
  </si>
  <si>
    <t xml:space="preserve">R06561</t>
  </si>
  <si>
    <t xml:space="preserve">Makas motoru UNISTAR CSV 24 O-O-EH-M (elektro-hidrolik, IP67) - depo</t>
  </si>
  <si>
    <t xml:space="preserve">R06576</t>
  </si>
  <si>
    <t xml:space="preserve">Bombardier Transportation Sweden</t>
  </si>
  <si>
    <t xml:space="preserve">3.4.2 Bars for point machine</t>
  </si>
  <si>
    <t xml:space="preserve">pc</t>
  </si>
  <si>
    <t xml:space="preserve">Orijinal teklif SEK (Izmirext-2018-03-23, DAP Izmir, KDV haric); EUR degerleri YM hesap dosyasindaki 10,12 SEK/EUR kuru ile; mevcut Izmir metro (EBI Lock/ATP) 7 istasyonlu uzatmasi; hat km kaynakta yok | makas motoru cubuklari</t>
  </si>
  <si>
    <t xml:space="preserve">R06581</t>
  </si>
  <si>
    <t xml:space="preserve">4.1 Signalling cables (OCS950)</t>
  </si>
  <si>
    <t xml:space="preserve">meters</t>
  </si>
  <si>
    <t xml:space="preserve">Orijinal teklif SEK (Izmirext-2018-03-23, DAP Izmir, KDV haric); EUR degerleri YM hesap dosyasindaki 10,12 SEK/EUR kuru ile; mevcut Izmir metro (EBI Lock/ATP) 7 istasyonlu uzatmasi; hat km kaynakta yok</t>
  </si>
  <si>
    <t xml:space="preserve">R06582</t>
  </si>
  <si>
    <t xml:space="preserve">4.2 Balise cables</t>
  </si>
  <si>
    <t xml:space="preserve">R06584</t>
  </si>
  <si>
    <t xml:space="preserve">5.1 UPS 10 kVA, 1 h</t>
  </si>
  <si>
    <t xml:space="preserve">Orijinal teklif SEK (Izmirext-2018-03-23, DAP Izmir, KDV haric); EUR degerleri YM hesap dosyasindaki 10,12 SEK/EUR kuru ile; mevcut Izmir metro (EBI Lock/ATP) 7 istasyonlu uzatmasi; hat km kaynakta yok | UPS 10 kVA</t>
  </si>
  <si>
    <t xml:space="preserve">R06589</t>
  </si>
  <si>
    <t xml:space="preserve">Ozgur Mak. (proje muellifi kesif ozeti - tedarikci teklifi degil)</t>
  </si>
  <si>
    <t xml:space="preserve">SS-3 Tramvay araci algilama unitesi</t>
  </si>
  <si>
    <t xml:space="preserve">Kocaeli Sekapark-Otogar tramvay hatti avan/uygulama proje revizyonu, B3 sinyalizasyon kesif ozeti (idare yaklasik maliyeti, TL, KDV haric varsayim); birim fiyat tarifleri KBB-TRM-BFT_C3 dosyasinda</t>
  </si>
  <si>
    <t xml:space="preserve">R06590</t>
  </si>
  <si>
    <t xml:space="preserve">SS-4 Kavsak sinyal unitesi</t>
  </si>
  <si>
    <t xml:space="preserve">R06591</t>
  </si>
  <si>
    <t xml:space="preserve">SS-5 Makas durum sinyali unitesi</t>
  </si>
  <si>
    <t xml:space="preserve">R06594</t>
  </si>
  <si>
    <t xml:space="preserve">SS-8 Makas motoru</t>
  </si>
  <si>
    <t xml:space="preserve">R06596</t>
  </si>
  <si>
    <t xml:space="preserve">SS-10 Ray devresi</t>
  </si>
  <si>
    <t xml:space="preserve">R06599</t>
  </si>
  <si>
    <t xml:space="preserve">2013-06-26</t>
  </si>
  <si>
    <t xml:space="preserve">Elektromanyetik makas motoru HW 61.1 AVV-ZVV (SIL3, 750V DC, IP67, zemin kutulu, dil dedektorlu)</t>
  </si>
  <si>
    <t xml:space="preserve">Budget offer 29718/13; DDU Konya, montaj haric, KDV haric</t>
  </si>
  <si>
    <t xml:space="preserve">R06603</t>
  </si>
  <si>
    <t xml:space="preserve">Tek makas kontrolcusu (Alu kabin, 1 HSK ray devresi, 1 HFK kutle dedektor, 400 m ozel kablo, HCS-V alici + lup, makas isitma kontrol, 3 isikli LED sinyal, anahtar, trafik isigi arayuzu)</t>
  </si>
  <si>
    <t xml:space="preserve">Budget offer 29718/13; DDU Konya, montaj haric, KDV haric | tek makasli lokal kontrol kabini komple</t>
  </si>
  <si>
    <t xml:space="preserve">R06606</t>
  </si>
  <si>
    <t xml:space="preserve">Opsiyon: HCS-V arac ustu ekipman cift kabinli tramvay (2 kabin kontrol unitesi dokunmatik, 2 VCU, 2 transponder, kablo)</t>
  </si>
  <si>
    <t xml:space="preserve">R06607</t>
  </si>
  <si>
    <t xml:space="preserve">Opsiyon: arac ustu montaj (arac basina)</t>
  </si>
  <si>
    <t xml:space="preserve">R06608</t>
  </si>
  <si>
    <t xml:space="preserve">Opsiyon: arac ustu devreye alma (arac basina)</t>
  </si>
  <si>
    <t xml:space="preserve">R06610</t>
  </si>
  <si>
    <t xml:space="preserve">KOSEKOY-GEBZE</t>
  </si>
  <si>
    <t xml:space="preserve">Dimetronic (Cepeda klasorunde ayni dosya)</t>
  </si>
  <si>
    <t xml:space="preserve">2010-11-10</t>
  </si>
  <si>
    <t xml:space="preserve">1.1 CTC Server, including two XEON processors, two LAN card, 4 GB RAM, 73 GB hard disk, and DVD recorder.</t>
  </si>
  <si>
    <t xml:space="preserve">Gebze-Kosekoy (Marmaray/YHT ortak koridor, banliyo+anahat) sinyalizasyon &amp; ERTMS L1 maliyet analizi; makas motorlari/kablo/kanal YM kapsaminda (listede yok); hat km kaynakta yok; 6 anklasman | CTC sunucu</t>
  </si>
  <si>
    <t xml:space="preserve">R06745</t>
  </si>
  <si>
    <t xml:space="preserve">2011-09-12</t>
  </si>
  <si>
    <t xml:space="preserve">301.01.01 CTC Server, including 2 XEON processors, 2 LAN card, 4 GB RAM, 73 GB hard disk and DVD recorder.</t>
  </si>
  <si>
    <t xml:space="preserve">CBTC (Westrace anklasman + Block Processor + 2,4 GHz radyo); tarih Economical Offer Yapi Merkezi 20110912 dosyasindan; FOB Ispanya, KDV haric | ATS sunucu</t>
  </si>
  <si>
    <t xml:space="preserve">TEKLİF İSTENEN FİRMALAR – serhat@mepcenter.com.tr ile 29.09–06.10.2026 arasında gönderilen teklif talepleri</t>
  </si>
  <si>
    <t xml:space="preserve">Toplam firma</t>
  </si>
  <si>
    <t xml:space="preserve">Dönüş durumu: CEVAP YOK: 241 · ULAŞMADI: 20 · VERMİYOR: 16 · SORU SORDU: 9 · YÖNLENDİRDİ: 6 · TEKLİF GELDİ: 6 · VERECEK: 4</t>
  </si>
  <si>
    <t xml:space="preserve">Firma türü</t>
  </si>
  <si>
    <t xml:space="preserve">Faaliyet alanı</t>
  </si>
  <si>
    <t xml:space="preserve">Ülke</t>
  </si>
  <si>
    <t xml:space="preserve">Paket(ler)</t>
  </si>
  <si>
    <t xml:space="preserve">Dönüş durumu</t>
  </si>
  <si>
    <t xml:space="preserve">İlk gönderim</t>
  </si>
  <si>
    <t xml:space="preserve">Hatırlatma</t>
  </si>
  <si>
    <t xml:space="preserve">E-posta</t>
  </si>
  <si>
    <t xml:space="preserve">2B Elektronik</t>
  </si>
  <si>
    <t xml:space="preserve">Sistem entegratörü</t>
  </si>
  <si>
    <t xml:space="preserve">güvenlik/CCTV sistemleri</t>
  </si>
  <si>
    <t xml:space="preserve">TR</t>
  </si>
  <si>
    <t xml:space="preserve">ELEKTRIK</t>
  </si>
  <si>
    <t xml:space="preserve">ULAŞMADI</t>
  </si>
  <si>
    <t xml:space="preserve">2026-09-30</t>
  </si>
  <si>
    <t xml:space="preserve">HAYIR</t>
  </si>
  <si>
    <t xml:space="preserve">info@2bguvenlik.com</t>
  </si>
  <si>
    <t xml:space="preserve">Bounce: info@2bguvenlik.com (alan adı yok)</t>
  </si>
  <si>
    <t xml:space="preserve">ADK Grup Elektrik</t>
  </si>
  <si>
    <t xml:space="preserve">Taşeron / montaj firması (anahtar teslim)</t>
  </si>
  <si>
    <t xml:space="preserve">elektrik taahhüt</t>
  </si>
  <si>
    <t xml:space="preserve">CEVAP YOK</t>
  </si>
  <si>
    <t xml:space="preserve">adk@adkelektrik.com.tr</t>
  </si>
  <si>
    <t xml:space="preserve">ATC Enerji</t>
  </si>
  <si>
    <t xml:space="preserve">tozel@atceenerji.com</t>
  </si>
  <si>
    <t xml:space="preserve">Adam Elektronik</t>
  </si>
  <si>
    <t xml:space="preserve">elektronik güvenlik/zayıf akım</t>
  </si>
  <si>
    <t xml:space="preserve">adam@adam.com.tr; info@adam.com.tr</t>
  </si>
  <si>
    <t xml:space="preserve">Bounce: adam@adam.com.tr (engellendi)</t>
  </si>
  <si>
    <t xml:space="preserve">Adana Pano</t>
  </si>
  <si>
    <t xml:space="preserve">Üretici (yerli)</t>
  </si>
  <si>
    <t xml:space="preserve">elektrik pano imalatı</t>
  </si>
  <si>
    <t xml:space="preserve">info@adanapano.com</t>
  </si>
  <si>
    <t xml:space="preserve">Aktif (Harun Öndül)</t>
  </si>
  <si>
    <t xml:space="preserve">Belirsiz</t>
  </si>
  <si>
    <t xml:space="preserve">elektrik</t>
  </si>
  <si>
    <t xml:space="preserve">info@aktif.net</t>
  </si>
  <si>
    <t xml:space="preserve">Alfanar</t>
  </si>
  <si>
    <t xml:space="preserve">Uluslararası üretici / sistem sağlayıcı</t>
  </si>
  <si>
    <t xml:space="preserve">OG şalt / RMU üretimi</t>
  </si>
  <si>
    <t xml:space="preserve">SA</t>
  </si>
  <si>
    <t xml:space="preserve">VERMİYOR</t>
  </si>
  <si>
    <t xml:space="preserve">2026-10-02</t>
  </si>
  <si>
    <t xml:space="preserve">goksu.batir@alfanar.com</t>
  </si>
  <si>
    <t xml:space="preserve">Önce SORU: '36kV RMU ürünlerimiz 630A 16kA/1s'dir. SLD'de ürünler 1250A isteniyor.' Serhat: metal clad 1250A 25kA gerekli. Sonra: uygun ürün yok, teklif vermeyecek. Serhat 02.10 RM</t>
  </si>
  <si>
    <t xml:space="preserve">Altesan Elektrik</t>
  </si>
  <si>
    <t xml:space="preserve">info@altesanelektrik.com</t>
  </si>
  <si>
    <t xml:space="preserve">Ankara Netmon</t>
  </si>
  <si>
    <t xml:space="preserve">network / zayıf akım</t>
  </si>
  <si>
    <t xml:space="preserve">netmon@netmon.com.tr</t>
  </si>
  <si>
    <t xml:space="preserve">Artı Elektronik</t>
  </si>
  <si>
    <t xml:space="preserve">zayıf akım/güvenlik sistemleri</t>
  </si>
  <si>
    <t xml:space="preserve">bilgi@artielektronik.com.tr</t>
  </si>
  <si>
    <t xml:space="preserve">Asis Elektronik</t>
  </si>
  <si>
    <t xml:space="preserve">ücret toplama / akıllı ulaşım sistemleri</t>
  </si>
  <si>
    <t xml:space="preserve">EVET</t>
  </si>
  <si>
    <t xml:space="preserve">info@asiselektronik.com.tr</t>
  </si>
  <si>
    <t xml:space="preserve">Astor Enerji</t>
  </si>
  <si>
    <t xml:space="preserve">trafo / OG şalt üretimi</t>
  </si>
  <si>
    <t xml:space="preserve">alisan.tastan@astoras.com.tr; info@astoras.com.tr</t>
  </si>
  <si>
    <t xml:space="preserve">Atak Ulaşım</t>
  </si>
  <si>
    <t xml:space="preserve">raylı sistem elektrik-elektronik / YBS</t>
  </si>
  <si>
    <t xml:space="preserve">SORU SORDU</t>
  </si>
  <si>
    <t xml:space="preserve">info@atakulasim.com</t>
  </si>
  <si>
    <t xml:space="preserve">Telefonla görüşmek istedi; Serhat 01.10 YBS kalemlerini (sıra 310 vb.) özetledi; sonrasında yanıt yok</t>
  </si>
  <si>
    <t xml:space="preserve">Atılım Group</t>
  </si>
  <si>
    <t xml:space="preserve">CCTV/güvenlik &amp; sahne-ışık entegratörü</t>
  </si>
  <si>
    <t xml:space="preserve">info@atilimteknoloji.net</t>
  </si>
  <si>
    <t xml:space="preserve">'İş sizin uhdenizde mi?' Serhat 30.09: ihaleye katılıyoruz, ihale 13.10.2026. Sonra yanıt yok</t>
  </si>
  <si>
    <t xml:space="preserve">Avikon</t>
  </si>
  <si>
    <t xml:space="preserve">elektrik-elektronik / haberleşme sistemleri</t>
  </si>
  <si>
    <t xml:space="preserve">ELEKTRIK; SINYALIZASYON</t>
  </si>
  <si>
    <t xml:space="preserve">info@avikon.com.tr</t>
  </si>
  <si>
    <t xml:space="preserve">BBA Rail</t>
  </si>
  <si>
    <t xml:space="preserve">raylı sistem elektrik taahhüt</t>
  </si>
  <si>
    <t xml:space="preserve">info@bbarail.com</t>
  </si>
  <si>
    <t xml:space="preserve">BETAŞ (Best Transformer)</t>
  </si>
  <si>
    <t xml:space="preserve">güç trafosu üretimi</t>
  </si>
  <si>
    <t xml:space="preserve">YÖNLENDİRDİ</t>
  </si>
  <si>
    <t xml:space="preserve">gurkan.temel@besttransformer.com; ruchan.ucok@besttransformer.com; sabri.mavizer@besttransformer.com; satis@besttransformer.com</t>
  </si>
  <si>
    <t xml:space="preserve">Elektrik işleri faaliyet alanı dışı (154 kV+ EPC) → teklif yok; trafo için grup şirketi Gürkan Temel (gurkan.temel@besttransformer.com)'e yönlendirdi. Serhat 02.10 Gürkan Bey'e tra</t>
  </si>
  <si>
    <t xml:space="preserve">Beta Enerji</t>
  </si>
  <si>
    <t xml:space="preserve">info@betaenerji.com</t>
  </si>
  <si>
    <t xml:space="preserve">CLK Elektrik</t>
  </si>
  <si>
    <t xml:space="preserve">info@clkelektrik.com</t>
  </si>
  <si>
    <t xml:space="preserve">CNR Elektrik</t>
  </si>
  <si>
    <t xml:space="preserve">info@cnrelektrik.com.tr</t>
  </si>
  <si>
    <t xml:space="preserve">CSM Elektromekanik</t>
  </si>
  <si>
    <t xml:space="preserve">elektromekanik taahhüt</t>
  </si>
  <si>
    <t xml:space="preserve">ELEKTRIK; MEKANIK</t>
  </si>
  <si>
    <t xml:space="preserve">smazi@csmelektromekanik.com.tr</t>
  </si>
  <si>
    <t xml:space="preserve">Cer Kontrol Sistemleri</t>
  </si>
  <si>
    <t xml:space="preserve">otomasyon / kontrol sistemleri</t>
  </si>
  <si>
    <t xml:space="preserve">info@cerkontrol.com</t>
  </si>
  <si>
    <t xml:space="preserve">DC Group</t>
  </si>
  <si>
    <t xml:space="preserve">belgin@dcgroup.com.tr</t>
  </si>
  <si>
    <t xml:space="preserve">Metro/tramvay çalışmasına sıcak bakmıyorlar</t>
  </si>
  <si>
    <t xml:space="preserve">Datnet Mühendislik</t>
  </si>
  <si>
    <t xml:space="preserve">zayıf akım / network</t>
  </si>
  <si>
    <t xml:space="preserve">2026-10-01</t>
  </si>
  <si>
    <t xml:space="preserve">info@datnet.com.tr</t>
  </si>
  <si>
    <t xml:space="preserve">Bounce: info@datnet.com.tr (engellendi)</t>
  </si>
  <si>
    <t xml:space="preserve">Datsan</t>
  </si>
  <si>
    <t xml:space="preserve">info@datsan.com.tr</t>
  </si>
  <si>
    <t xml:space="preserve">Bounce: info@datsan.com.tr (SPF engeli)</t>
  </si>
  <si>
    <t xml:space="preserve">Diyarsan Elektrik</t>
  </si>
  <si>
    <t xml:space="preserve">info@diyarsanelektrik.com.tr</t>
  </si>
  <si>
    <t xml:space="preserve">Doğuş Elektrik</t>
  </si>
  <si>
    <t xml:space="preserve">info@doguselektrik.com</t>
  </si>
  <si>
    <t xml:space="preserve">E-Kent</t>
  </si>
  <si>
    <t xml:space="preserve">ücret toplama / akıllı kart sistemleri</t>
  </si>
  <si>
    <t xml:space="preserve">iletisim@e-kent.com.tr</t>
  </si>
  <si>
    <t xml:space="preserve">ELTEM-TEK</t>
  </si>
  <si>
    <t xml:space="preserve">OG hücre / şalt üretimi</t>
  </si>
  <si>
    <t xml:space="preserve">bilgi@eltemtek.com.tr</t>
  </si>
  <si>
    <t xml:space="preserve">ERA Elektronik</t>
  </si>
  <si>
    <t xml:space="preserve">yolcu bilgilendirme / LED ekran</t>
  </si>
  <si>
    <t xml:space="preserve">era@era-electronic.com</t>
  </si>
  <si>
    <t xml:space="preserve">ETA Mühendislik</t>
  </si>
  <si>
    <t xml:space="preserve">info@etamuh.com.tr</t>
  </si>
  <si>
    <t xml:space="preserve">EVA Elektromekanik</t>
  </si>
  <si>
    <t xml:space="preserve">OG metal enclosed hücre</t>
  </si>
  <si>
    <t xml:space="preserve">suleyman.yorulmaz@evaelektromekanik.com</t>
  </si>
  <si>
    <t xml:space="preserve">Metal Clad hücre üretimi yok (yalnız Metal Enclosed)</t>
  </si>
  <si>
    <t xml:space="preserve">Eaton</t>
  </si>
  <si>
    <t xml:space="preserve">AG/OG şalt, UPS</t>
  </si>
  <si>
    <t xml:space="preserve">US</t>
  </si>
  <si>
    <t xml:space="preserve">dogukansimsek@eaton.com; ulusoy.info@eaton.com</t>
  </si>
  <si>
    <t xml:space="preserve">Teklif ve satış ekibine yönlendirdi; sonrasında yanıt yok</t>
  </si>
  <si>
    <t xml:space="preserve">Ege Ray</t>
  </si>
  <si>
    <t xml:space="preserve">raylı sistem elektrik</t>
  </si>
  <si>
    <t xml:space="preserve">info@egeray.com</t>
  </si>
  <si>
    <t xml:space="preserve">Egepa Group</t>
  </si>
  <si>
    <t xml:space="preserve">info@egepagroup.com</t>
  </si>
  <si>
    <t xml:space="preserve">Egesim</t>
  </si>
  <si>
    <t xml:space="preserve">OG/AG şalt / enerji sistemleri</t>
  </si>
  <si>
    <t xml:space="preserve">atilla.kayan@egesim.com; cem.degirmenci@egesim.com; ozgur.ekmen@egesim.com; salih.yollu@egesim.com; serdal.cici@egesim.com</t>
  </si>
  <si>
    <t xml:space="preserve">Ekos Elektrik</t>
  </si>
  <si>
    <t xml:space="preserve">elektrik pano / şalt</t>
  </si>
  <si>
    <t xml:space="preserve">tarik.akbas@ekoselectric.com</t>
  </si>
  <si>
    <t xml:space="preserve">Elko Elektrik</t>
  </si>
  <si>
    <t xml:space="preserve">info@elkoelektrik.com.tr</t>
  </si>
  <si>
    <t xml:space="preserve">Elkom Elektrik</t>
  </si>
  <si>
    <t xml:space="preserve">info@elkomelektrik.com.tr</t>
  </si>
  <si>
    <t xml:space="preserve">Elprom</t>
  </si>
  <si>
    <t xml:space="preserve">info@elprom.com.tr</t>
  </si>
  <si>
    <t xml:space="preserve">Eltaş Transformatör</t>
  </si>
  <si>
    <t xml:space="preserve">trafo üretimi</t>
  </si>
  <si>
    <t xml:space="preserve">bilge.gure@eltas.com.tr; eltas@eltas.com.tr</t>
  </si>
  <si>
    <t xml:space="preserve">Emre Ray</t>
  </si>
  <si>
    <t xml:space="preserve">raylı sistem elektrifikasyon / katener montaj</t>
  </si>
  <si>
    <t xml:space="preserve">ELEKTRIK; SINYALIZASYON; KATENER</t>
  </si>
  <si>
    <t xml:space="preserve">info@emreray.com</t>
  </si>
  <si>
    <t xml:space="preserve">Emsat Proje</t>
  </si>
  <si>
    <t xml:space="preserve">Mühendislik / danışmanlık</t>
  </si>
  <si>
    <t xml:space="preserve">elektrik proje-müşavirlik</t>
  </si>
  <si>
    <t xml:space="preserve">bilgi@emsatproje.com</t>
  </si>
  <si>
    <t xml:space="preserve">Emta</t>
  </si>
  <si>
    <t xml:space="preserve">info@emta.com.tr; skurakbelli@emta.com.tr</t>
  </si>
  <si>
    <t xml:space="preserve">Eprom Mühendislik</t>
  </si>
  <si>
    <t xml:space="preserve">info@eprommuhendislik.com</t>
  </si>
  <si>
    <t xml:space="preserve">Europower Enerji</t>
  </si>
  <si>
    <t xml:space="preserve">OG şalt / trafo merkezi</t>
  </si>
  <si>
    <t xml:space="preserve">europower@europowerenerji.com.tr</t>
  </si>
  <si>
    <t xml:space="preserve">Eşraf Elektrik</t>
  </si>
  <si>
    <t xml:space="preserve">info@esrafelektrik.com</t>
  </si>
  <si>
    <t xml:space="preserve">Fescom Mühendislik</t>
  </si>
  <si>
    <t xml:space="preserve">info@fescom.net</t>
  </si>
  <si>
    <t xml:space="preserve">Fiber Mühendislik</t>
  </si>
  <si>
    <t xml:space="preserve">fiber optik / zayıf akım</t>
  </si>
  <si>
    <t xml:space="preserve">info@fibermuhendislik.com</t>
  </si>
  <si>
    <t xml:space="preserve">GES Elektrik</t>
  </si>
  <si>
    <t xml:space="preserve">ersin.kucukparmak@geselektrik.com.tr; genel@geselektrik.com.tr</t>
  </si>
  <si>
    <t xml:space="preserve">GSL Mühendislik</t>
  </si>
  <si>
    <t xml:space="preserve">info@gsl.com.tr</t>
  </si>
  <si>
    <t xml:space="preserve">Geylani Elektrik</t>
  </si>
  <si>
    <t xml:space="preserve">cahit@geylanielektrik.com.tr; egeylani@geylanielektrik.com.tr; talip@geylanielektrik.com.tr</t>
  </si>
  <si>
    <t xml:space="preserve">Girişim Elektrik</t>
  </si>
  <si>
    <t xml:space="preserve">elektrik/enerji taahhüt</t>
  </si>
  <si>
    <t xml:space="preserve">girisim@girisimelk.com.tr</t>
  </si>
  <si>
    <t xml:space="preserve">Güngör Elektrik</t>
  </si>
  <si>
    <t xml:space="preserve">info@gungorelektrik.com</t>
  </si>
  <si>
    <t xml:space="preserve">HAVELSAN</t>
  </si>
  <si>
    <t xml:space="preserve">savunma/bilişim sistem entegrasyonu</t>
  </si>
  <si>
    <t xml:space="preserve">info@havelsan.com.tr</t>
  </si>
  <si>
    <t xml:space="preserve">Iqsight / Keenfinity (eski Bosch Bina Teknolojileri)</t>
  </si>
  <si>
    <t xml:space="preserve">yangın ihbar / güvenlik sistemleri</t>
  </si>
  <si>
    <t xml:space="preserve">DE</t>
  </si>
  <si>
    <t xml:space="preserve">customerservice.tr@keenfinity-group.com; iletisim@keenfinity-group.com.tr; ogulcan.yucel@iqsight.com</t>
  </si>
  <si>
    <t xml:space="preserve">Partnerler üzerinden; dağıtıcı Teknomaks (Taylan Akpınar)'a yönlendirdi | Otomatik yanıt: bu kutu okunmuyor | Bounce: iletisim@keenfinity-group.com.tr (alan adı yok) | keenfinity-group.com.tr alan adı yok; Teknomaks'a yönlendirdi</t>
  </si>
  <si>
    <t xml:space="preserve">Karel</t>
  </si>
  <si>
    <t xml:space="preserve">haberleşme / santral</t>
  </si>
  <si>
    <t xml:space="preserve">mhb@karel.com.tr</t>
  </si>
  <si>
    <t xml:space="preserve">Katrancı Mühendislik</t>
  </si>
  <si>
    <t xml:space="preserve">katrancimuhendislik@gmail.com</t>
  </si>
  <si>
    <t xml:space="preserve">Kentkart</t>
  </si>
  <si>
    <t xml:space="preserve">ücret toplama / AVL sistemleri</t>
  </si>
  <si>
    <t xml:space="preserve">burak.peksoy@kentkart.com.tr; info@kentkart.com</t>
  </si>
  <si>
    <t xml:space="preserve">Kontrolmatik</t>
  </si>
  <si>
    <t xml:space="preserve">enerji / otomasyon EPC</t>
  </si>
  <si>
    <t xml:space="preserve">info@kontrolmatik.com</t>
  </si>
  <si>
    <t xml:space="preserve">Lev Mühendislik</t>
  </si>
  <si>
    <t xml:space="preserve">yangın ihbar (Teknim iş ortağı)</t>
  </si>
  <si>
    <t xml:space="preserve">enver.ertik@levmuhendislik.com</t>
  </si>
  <si>
    <t xml:space="preserve">MHT Elektronik</t>
  </si>
  <si>
    <t xml:space="preserve">elektronik / haberleşme sistemleri</t>
  </si>
  <si>
    <t xml:space="preserve">info@mht.com.tr</t>
  </si>
  <si>
    <t xml:space="preserve">MTE Enerji</t>
  </si>
  <si>
    <t xml:space="preserve">info@mteenerji.com</t>
  </si>
  <si>
    <t xml:space="preserve">Mavili Elektronik</t>
  </si>
  <si>
    <t xml:space="preserve">yangın algılama sistemleri</t>
  </si>
  <si>
    <t xml:space="preserve">diyarbakir@mavili.com.tr; satis@mavili.com.tr</t>
  </si>
  <si>
    <t xml:space="preserve">Met Grup</t>
  </si>
  <si>
    <t xml:space="preserve">info@metgrup.com</t>
  </si>
  <si>
    <t xml:space="preserve">Metaş Elektrik</t>
  </si>
  <si>
    <t xml:space="preserve">bilgi@metaselektrik.com</t>
  </si>
  <si>
    <t xml:space="preserve">Metroray</t>
  </si>
  <si>
    <t xml:space="preserve">raylı sistem elektromekanik taahhüt</t>
  </si>
  <si>
    <t xml:space="preserve">ELEKTRIK; KATENER</t>
  </si>
  <si>
    <t xml:space="preserve">metroray@metroray.com</t>
  </si>
  <si>
    <t xml:space="preserve">Mikrodev</t>
  </si>
  <si>
    <t xml:space="preserve">RTU / SCADA donanımı</t>
  </si>
  <si>
    <t xml:space="preserve">info@mikrodev.com</t>
  </si>
  <si>
    <t xml:space="preserve">Multicom</t>
  </si>
  <si>
    <t xml:space="preserve">haberleşme sistemleri</t>
  </si>
  <si>
    <t xml:space="preserve">info@multicom.com.tr</t>
  </si>
  <si>
    <t xml:space="preserve">Nemesis Elektronik</t>
  </si>
  <si>
    <t xml:space="preserve">elektronik güvenlik</t>
  </si>
  <si>
    <t xml:space="preserve">satis@nemesis.com.tr</t>
  </si>
  <si>
    <t xml:space="preserve">Netaş</t>
  </si>
  <si>
    <t xml:space="preserve">telekom / haberleşme</t>
  </si>
  <si>
    <t xml:space="preserve">info@netas.com.tr</t>
  </si>
  <si>
    <t xml:space="preserve">Netser</t>
  </si>
  <si>
    <t xml:space="preserve">info@netser.com.tr</t>
  </si>
  <si>
    <t xml:space="preserve">Nevada Elektronik</t>
  </si>
  <si>
    <t xml:space="preserve">CCTV/güvenlik entegratörü</t>
  </si>
  <si>
    <t xml:space="preserve">nevada@nevada.com.tr; proje@nevada.com.tr</t>
  </si>
  <si>
    <t xml:space="preserve">merkezi saat &amp; yolcu bilgilendirme</t>
  </si>
  <si>
    <t xml:space="preserve">TEKLİF GELDİ</t>
  </si>
  <si>
    <t xml:space="preserve">on@onelektronik.com</t>
  </si>
  <si>
    <t xml:space="preserve">Bizim keşif üzerinden ilgili bölümler fiyatlandırılmış; tutar gövdede yok. Referans PDF'i ayrı FW mailiyle geldi</t>
  </si>
  <si>
    <t xml:space="preserve">ORGE Enerji</t>
  </si>
  <si>
    <t xml:space="preserve">elektrik / raylı sistem enerji taahhüt</t>
  </si>
  <si>
    <t xml:space="preserve">emre.karatepe@orge.com.tr; info@orge.com.tr; nevhan@orge.com.tr; selcuk.onal@orge.com.tr</t>
  </si>
  <si>
    <t xml:space="preserve">Odesan</t>
  </si>
  <si>
    <t xml:space="preserve">elektronik</t>
  </si>
  <si>
    <t xml:space="preserve">info@odesan.com.tr</t>
  </si>
  <si>
    <t xml:space="preserve">Onur Mühendislik</t>
  </si>
  <si>
    <t xml:space="preserve">info@onurmuhendislik.com.tr</t>
  </si>
  <si>
    <t xml:space="preserve">Orest Teknoloji</t>
  </si>
  <si>
    <t xml:space="preserve">elektrik-elektronik sistemler</t>
  </si>
  <si>
    <t xml:space="preserve">iletisim@orestteknoloji.com</t>
  </si>
  <si>
    <t xml:space="preserve">Teklif verebilir ama 180 gün fiyat geçerliliğine çekince; iş başlangıcında güncel liste istedi. Serhat: kendi opsiyon/geçerlilik sürenizle verin, 07.10'a kadar</t>
  </si>
  <si>
    <t xml:space="preserve">Ormazabal</t>
  </si>
  <si>
    <t xml:space="preserve">OG hücre / RMU</t>
  </si>
  <si>
    <t xml:space="preserve">ES</t>
  </si>
  <si>
    <t xml:space="preserve">pba@ormazabal.com</t>
  </si>
  <si>
    <t xml:space="preserve">Pass Teknoloji</t>
  </si>
  <si>
    <t xml:space="preserve">zayıf akım / güvenlik</t>
  </si>
  <si>
    <t xml:space="preserve">passteknoloji@gmail.com</t>
  </si>
  <si>
    <t xml:space="preserve">Perkotek</t>
  </si>
  <si>
    <t xml:space="preserve">turnike / geçiş kontrol</t>
  </si>
  <si>
    <t xml:space="preserve">info@perkotek.com</t>
  </si>
  <si>
    <t xml:space="preserve">Piton Teknoloji</t>
  </si>
  <si>
    <t xml:space="preserve">zayıf akım / haberleşme</t>
  </si>
  <si>
    <t xml:space="preserve">info@piton.com.tr</t>
  </si>
  <si>
    <t xml:space="preserve">Polimek</t>
  </si>
  <si>
    <t xml:space="preserve">pazarlama@polimek.com.tr; satis@polimek.com.tr</t>
  </si>
  <si>
    <t xml:space="preserve">Polsan</t>
  </si>
  <si>
    <t xml:space="preserve">elektrik/elektronik</t>
  </si>
  <si>
    <t xml:space="preserve">info@polsangroup.com.tr</t>
  </si>
  <si>
    <t xml:space="preserve">Preso</t>
  </si>
  <si>
    <t xml:space="preserve">bilgi@preso.com.tr</t>
  </si>
  <si>
    <t xml:space="preserve">Bounce: bilgi@preso.com.tr (adres yok)</t>
  </si>
  <si>
    <t xml:space="preserve">Protek</t>
  </si>
  <si>
    <t xml:space="preserve">yangın söndürme / gazlı söndürme taahhüt</t>
  </si>
  <si>
    <t xml:space="preserve">info@protek.gen.tr</t>
  </si>
  <si>
    <t xml:space="preserve">01.10: mekanik kapsamı/gazlı söndürme sordu (Serhat mekanik cetveli gönderdi). 05.10: '3 zon'un anlamı, oda hacimleri, 83 L silindire kaç kg gaz, tek silindir/3 panel mi, 3 selecto</t>
  </si>
  <si>
    <t xml:space="preserve">Resa</t>
  </si>
  <si>
    <t xml:space="preserve">raylı sistem elektrifikasyon</t>
  </si>
  <si>
    <t xml:space="preserve">info@resa.com.tr</t>
  </si>
  <si>
    <t xml:space="preserve">Projede birlikte çalıştığı iş ortakları olduğundan teklif vermeyecek</t>
  </si>
  <si>
    <t xml:space="preserve">SFA Elektrik</t>
  </si>
  <si>
    <t xml:space="preserve">info.sfa@sfaelectric.com</t>
  </si>
  <si>
    <t xml:space="preserve">Sectec</t>
  </si>
  <si>
    <t xml:space="preserve">info@sectec.com.tr; pazarlama@sectec.com.tr</t>
  </si>
  <si>
    <t xml:space="preserve">Segen Teknik</t>
  </si>
  <si>
    <t xml:space="preserve">info@segenteknik.com</t>
  </si>
  <si>
    <t xml:space="preserve">TechnoRF</t>
  </si>
  <si>
    <t xml:space="preserve">RF / telsiz haberleşme</t>
  </si>
  <si>
    <t xml:space="preserve">info@technorf.com.tr</t>
  </si>
  <si>
    <t xml:space="preserve">Teknim</t>
  </si>
  <si>
    <t xml:space="preserve">yangın / hırsız alarm sistemleri</t>
  </si>
  <si>
    <t xml:space="preserve">satis@teknim.com</t>
  </si>
  <si>
    <t xml:space="preserve">Lev Mühendislik – Enver Ertik (enver.ertik@levmuhendislik.com, 0533 170 48 64)'e yönlendirdi; Serhat 02.10 Enver Bey'e RFQ gönderdi, Lev'den yanıt yok | Lev Mühendislik (Enver Ertik)'e yönlendirdi; 02.10 Lev'e ayrıca RFQ gönderildi</t>
  </si>
  <si>
    <t xml:space="preserve">Teknomaks</t>
  </si>
  <si>
    <t xml:space="preserve">Distribütör / bayi</t>
  </si>
  <si>
    <t xml:space="preserve">bina teknolojileri distribütörü (iqsight)</t>
  </si>
  <si>
    <t xml:space="preserve">taylan.akpinar@teknomaks.com</t>
  </si>
  <si>
    <t xml:space="preserve">Iqsight yönlendirmesi; Taylan Bey talebi Özgür Bey'e (bölge partneri) iletti; henüz teklif yok</t>
  </si>
  <si>
    <t xml:space="preserve">Tema Elektrik Sistemleri</t>
  </si>
  <si>
    <t xml:space="preserve">info@temaelektriksistemleri.com</t>
  </si>
  <si>
    <t xml:space="preserve">4 firma daha irtibat kurduğu için etik gereği teklif değerlendirmeme kararı; ihale alınırsa uygulamada çalışmak ister. Serhat bütçesel birim fiyat istedi; yanıt yok</t>
  </si>
  <si>
    <t xml:space="preserve">Tetra Telsiz ve Haberleşme</t>
  </si>
  <si>
    <t xml:space="preserve">telsiz / haberleşme</t>
  </si>
  <si>
    <t xml:space="preserve">info@tetrahaberlesme.com.tr</t>
  </si>
  <si>
    <t xml:space="preserve">Trans-El</t>
  </si>
  <si>
    <t xml:space="preserve">mkara@trans-el.com</t>
  </si>
  <si>
    <t xml:space="preserve">UniCom</t>
  </si>
  <si>
    <t xml:space="preserve">info@unicomltd.com.tr</t>
  </si>
  <si>
    <t xml:space="preserve">anons / ses-haberleşme sistemleri</t>
  </si>
  <si>
    <t xml:space="preserve">info@uskom.com.tr; info@uskom.net</t>
  </si>
  <si>
    <t xml:space="preserve">Usluel</t>
  </si>
  <si>
    <t xml:space="preserve">kartalu@usluel.com</t>
  </si>
  <si>
    <t xml:space="preserve">Voltberg</t>
  </si>
  <si>
    <t xml:space="preserve">alpgiray.avlagi@voltberg.net</t>
  </si>
  <si>
    <t xml:space="preserve">Yöntem Elektromekanik</t>
  </si>
  <si>
    <t xml:space="preserve">yontem@yontemelektromekanik.com.tr</t>
  </si>
  <si>
    <t xml:space="preserve">ZRD Mühendislik</t>
  </si>
  <si>
    <t xml:space="preserve">tolgadumen@zrd.com.tr</t>
  </si>
  <si>
    <t xml:space="preserve">Çağlar Enerji</t>
  </si>
  <si>
    <t xml:space="preserve">info@caglarenerji.net</t>
  </si>
  <si>
    <t xml:space="preserve">Bounce: info@caglarenerji.net (adres yok)</t>
  </si>
  <si>
    <t xml:space="preserve">Özgen Group</t>
  </si>
  <si>
    <t xml:space="preserve">elektrik / sinyal taahhüt</t>
  </si>
  <si>
    <t xml:space="preserve">info@ozgengroup.com.tr</t>
  </si>
  <si>
    <t xml:space="preserve">Öztan Elektrik</t>
  </si>
  <si>
    <t xml:space="preserve">oztan@oztanelektrik.com</t>
  </si>
  <si>
    <t xml:space="preserve">İME Elektrik</t>
  </si>
  <si>
    <t xml:space="preserve">info@ime.com.tr</t>
  </si>
  <si>
    <t xml:space="preserve">AKC Mekanik</t>
  </si>
  <si>
    <t xml:space="preserve">mekanik tesisat taahhüt</t>
  </si>
  <si>
    <t xml:space="preserve">MEKANIK</t>
  </si>
  <si>
    <t xml:space="preserve">akc@akcmekanik.com</t>
  </si>
  <si>
    <t xml:space="preserve">Acar Mekanik</t>
  </si>
  <si>
    <t xml:space="preserve">info@acarmekanik.com.tr</t>
  </si>
  <si>
    <t xml:space="preserve">Aday Mekanik</t>
  </si>
  <si>
    <t xml:space="preserve">aday@adaymekanik.com</t>
  </si>
  <si>
    <t xml:space="preserve">Akas Mühendislik</t>
  </si>
  <si>
    <t xml:space="preserve">proje@akasmuhendislik.com.tr</t>
  </si>
  <si>
    <t xml:space="preserve">Aktes</t>
  </si>
  <si>
    <t xml:space="preserve">proje@aktes.com.tr</t>
  </si>
  <si>
    <t xml:space="preserve">Altes Mühendislik</t>
  </si>
  <si>
    <t xml:space="preserve">info@altesmuhendislik.com.tr</t>
  </si>
  <si>
    <t xml:space="preserve">Anel Group</t>
  </si>
  <si>
    <t xml:space="preserve">anel@anelgroup.com</t>
  </si>
  <si>
    <t xml:space="preserve">Arı Jeotermal</t>
  </si>
  <si>
    <t xml:space="preserve">mekanik tesisat / ısı pompası</t>
  </si>
  <si>
    <t xml:space="preserve">info@arijeotermal.com.tr</t>
  </si>
  <si>
    <t xml:space="preserve">Atakon Mühendislik</t>
  </si>
  <si>
    <t xml:space="preserve">info@atakonmuhendislik.com; teklif@atakonmuhendislik.com</t>
  </si>
  <si>
    <t xml:space="preserve">Aytes Mühendislik</t>
  </si>
  <si>
    <t xml:space="preserve">info@aytesmuhendislik.com.tr</t>
  </si>
  <si>
    <t xml:space="preserve">BSE Tesisat</t>
  </si>
  <si>
    <t xml:space="preserve">bse@bsetesisat.com</t>
  </si>
  <si>
    <t xml:space="preserve">BSK Mekanik</t>
  </si>
  <si>
    <t xml:space="preserve">info@bskmekanik.com</t>
  </si>
  <si>
    <t xml:space="preserve">Birleşim Grup</t>
  </si>
  <si>
    <t xml:space="preserve">birlesim@birlesim.com</t>
  </si>
  <si>
    <t xml:space="preserve">Mevcut iş yoğunluğu</t>
  </si>
  <si>
    <t xml:space="preserve">Cem Yılmaz (yapimfc, şahıs adresi)</t>
  </si>
  <si>
    <t xml:space="preserve">mekanik</t>
  </si>
  <si>
    <t xml:space="preserve">yapimfc@gmail.com</t>
  </si>
  <si>
    <t xml:space="preserve">DNT Group</t>
  </si>
  <si>
    <t xml:space="preserve">info@dnt-group.com</t>
  </si>
  <si>
    <t xml:space="preserve">Damar Mekanik</t>
  </si>
  <si>
    <t xml:space="preserve">info@damarmekanik.com</t>
  </si>
  <si>
    <t xml:space="preserve">Demta</t>
  </si>
  <si>
    <t xml:space="preserve">demta@demta.com.tr</t>
  </si>
  <si>
    <t xml:space="preserve">İlave değer katamayacağımızı düşünüyoruz; ihaleye katılmayacak</t>
  </si>
  <si>
    <t xml:space="preserve">Derin Mühendislik</t>
  </si>
  <si>
    <t xml:space="preserve">info@derinmuhendislik.com.tr; zuleyhaozcan@derinmuhendislik.com.tr</t>
  </si>
  <si>
    <t xml:space="preserve">Bounce: zuleyhaozcan@derinmuhendislik.com.tr (gelen kutusu dolu)</t>
  </si>
  <si>
    <t xml:space="preserve">Dinamik Mühendislik</t>
  </si>
  <si>
    <t xml:space="preserve">bilgi@dnmk.net</t>
  </si>
  <si>
    <t xml:space="preserve">Bounce: bilgi@dnmk.net (adres yok)</t>
  </si>
  <si>
    <t xml:space="preserve">Duru Mekanik</t>
  </si>
  <si>
    <t xml:space="preserve">info@durumekanikproje.com</t>
  </si>
  <si>
    <t xml:space="preserve">ENC Proje</t>
  </si>
  <si>
    <t xml:space="preserve">mekanik proje-müşavirlik</t>
  </si>
  <si>
    <t xml:space="preserve">enc@encproje.com</t>
  </si>
  <si>
    <t xml:space="preserve">Ekinoks Klima</t>
  </si>
  <si>
    <t xml:space="preserve">info@ekinoksklima.com</t>
  </si>
  <si>
    <t xml:space="preserve">Ekura</t>
  </si>
  <si>
    <t xml:space="preserve">VERECEK</t>
  </si>
  <si>
    <t xml:space="preserve">info@ekura.com.tr</t>
  </si>
  <si>
    <t xml:space="preserve">Birkaç gün gecikmeyle gönderecek; zaman olsa tüm mekanik paketi (yürüyen merdiven, asansör, jeneratör dahil) bütçeleyebilir. Serhat en geç 09.10.2026 dedi</t>
  </si>
  <si>
    <t xml:space="preserve">Enk Mühendislik</t>
  </si>
  <si>
    <t xml:space="preserve">info@enkmuhendislik.com</t>
  </si>
  <si>
    <t xml:space="preserve">Erdemler</t>
  </si>
  <si>
    <t xml:space="preserve">info@erdemler.com</t>
  </si>
  <si>
    <t xml:space="preserve">Erdinç Çevik (şahıs adresi)</t>
  </si>
  <si>
    <t xml:space="preserve">mekanik (DC Group ile bağlantılı olabilir)</t>
  </si>
  <si>
    <t xml:space="preserve">erdinccvk@gmail.com</t>
  </si>
  <si>
    <t xml:space="preserve">Şahıs gmail adresi; firma belirsiz</t>
  </si>
  <si>
    <t xml:space="preserve">GESA Mühendislik</t>
  </si>
  <si>
    <t xml:space="preserve">info@gesamuhendislik.com.tr; proje@gesamuhendislik.com.tr</t>
  </si>
  <si>
    <t xml:space="preserve">Gazi Yangın</t>
  </si>
  <si>
    <t xml:space="preserve">yangın söndürme taahhüt</t>
  </si>
  <si>
    <t xml:space="preserve">info@gaziyangin.com</t>
  </si>
  <si>
    <t xml:space="preserve">Genç Mühendislik</t>
  </si>
  <si>
    <t xml:space="preserve">info@gencmuh.com</t>
  </si>
  <si>
    <t xml:space="preserve">Önce tanışma süreci tercih; yoğun ihale programı; yalnızca fiyat vermek için teklif sunmuyor</t>
  </si>
  <si>
    <t xml:space="preserve">Global Mühendislik</t>
  </si>
  <si>
    <t xml:space="preserve">info@globalmuhendislik.com.tr</t>
  </si>
  <si>
    <t xml:space="preserve">Gürer Mekanik</t>
  </si>
  <si>
    <t xml:space="preserve">info@gurermekanik.com</t>
  </si>
  <si>
    <t xml:space="preserve">HT Mekanik</t>
  </si>
  <si>
    <t xml:space="preserve">info@htmekanik.com</t>
  </si>
  <si>
    <t xml:space="preserve">Hantes Yapı</t>
  </si>
  <si>
    <t xml:space="preserve">info@hantesyapi.com.tr</t>
  </si>
  <si>
    <t xml:space="preserve">Isıtek</t>
  </si>
  <si>
    <t xml:space="preserve">info@isitekmekanik.com</t>
  </si>
  <si>
    <t xml:space="preserve">KMK Mekanik</t>
  </si>
  <si>
    <t xml:space="preserve">info@kmkmekanik.com</t>
  </si>
  <si>
    <t xml:space="preserve">Konfor Mekanik</t>
  </si>
  <si>
    <t xml:space="preserve">burhan@konformekanik.com</t>
  </si>
  <si>
    <t xml:space="preserve">MET Mühendislik</t>
  </si>
  <si>
    <t xml:space="preserve">met@met-eng.com</t>
  </si>
  <si>
    <t xml:space="preserve">Rekabetçi fiyat veremeyeceği için çalışmayacak. Serhat bütçesel fiyat istedi; yanıt yok</t>
  </si>
  <si>
    <t xml:space="preserve">Matesis Mühendislik</t>
  </si>
  <si>
    <t xml:space="preserve">info@matesismuhendislik.com</t>
  </si>
  <si>
    <t xml:space="preserve">Mecist Mühendislik</t>
  </si>
  <si>
    <t xml:space="preserve">sefagur@mecist.com</t>
  </si>
  <si>
    <t xml:space="preserve">Mecon Yapı</t>
  </si>
  <si>
    <t xml:space="preserve">info@meconyapi.com</t>
  </si>
  <si>
    <t xml:space="preserve">Mekatronik İnşaat</t>
  </si>
  <si>
    <t xml:space="preserve">info@mekatronikinsaat.com.tr</t>
  </si>
  <si>
    <t xml:space="preserve">Mep Teknik</t>
  </si>
  <si>
    <t xml:space="preserve">info@meptk.com</t>
  </si>
  <si>
    <t xml:space="preserve">Bounce: info@meptk.com (adres yok)</t>
  </si>
  <si>
    <t xml:space="preserve">Merik Mühendislik</t>
  </si>
  <si>
    <t xml:space="preserve">info@merikmuhendislik.com</t>
  </si>
  <si>
    <t xml:space="preserve">Meser</t>
  </si>
  <si>
    <t xml:space="preserve">meser@meser.com.tr</t>
  </si>
  <si>
    <t xml:space="preserve">Mizan Mühendislik</t>
  </si>
  <si>
    <t xml:space="preserve">info@mizanmuhendislik.com</t>
  </si>
  <si>
    <t xml:space="preserve">Norm Mekanik</t>
  </si>
  <si>
    <t xml:space="preserve">norm@normmekanik.com</t>
  </si>
  <si>
    <t xml:space="preserve">SVS Mühendislik</t>
  </si>
  <si>
    <t xml:space="preserve">info@svsmuhendislik.com</t>
  </si>
  <si>
    <t xml:space="preserve">Saytek Mühendislik</t>
  </si>
  <si>
    <t xml:space="preserve">info@saytekyapi.com</t>
  </si>
  <si>
    <t xml:space="preserve">Sönmez Global</t>
  </si>
  <si>
    <t xml:space="preserve">sonmez@sonmezglobal.com</t>
  </si>
  <si>
    <t xml:space="preserve">TM (Uğur Münir Başıtaş)</t>
  </si>
  <si>
    <t xml:space="preserve">info@tm.com.tr</t>
  </si>
  <si>
    <t xml:space="preserve">TREMS</t>
  </si>
  <si>
    <t xml:space="preserve">info@trems.com.tr</t>
  </si>
  <si>
    <t xml:space="preserve">Tekmaks Mühendislik</t>
  </si>
  <si>
    <t xml:space="preserve">info@tekmaks.com</t>
  </si>
  <si>
    <t xml:space="preserve">Tetisan</t>
  </si>
  <si>
    <t xml:space="preserve">info@tetisan.com</t>
  </si>
  <si>
    <t xml:space="preserve">Tunç Tesisat</t>
  </si>
  <si>
    <t xml:space="preserve">info@tunctesisat.com</t>
  </si>
  <si>
    <t xml:space="preserve">Bounce: info@tunctesisat.com (kota dolu (postmaster@10em.net))</t>
  </si>
  <si>
    <t xml:space="preserve">Yimak Mühendislik</t>
  </si>
  <si>
    <t xml:space="preserve">info@yimakmuhendislik.com</t>
  </si>
  <si>
    <t xml:space="preserve">Yıltek Mekanik</t>
  </si>
  <si>
    <t xml:space="preserve">bilgi@yiltekmekanik.com</t>
  </si>
  <si>
    <t xml:space="preserve">Özkur Grup</t>
  </si>
  <si>
    <t xml:space="preserve">info@ozkurgrup.com</t>
  </si>
  <si>
    <t xml:space="preserve">Üntes</t>
  </si>
  <si>
    <t xml:space="preserve">HVAC cihaz üretimi</t>
  </si>
  <si>
    <t xml:space="preserve">untes@untes.net</t>
  </si>
  <si>
    <t xml:space="preserve">İnka Mekanik</t>
  </si>
  <si>
    <t xml:space="preserve">info@inkamekanik.com.tr</t>
  </si>
  <si>
    <t xml:space="preserve">İnsel</t>
  </si>
  <si>
    <t xml:space="preserve">info@inselltd.com</t>
  </si>
  <si>
    <t xml:space="preserve">2H Asansör</t>
  </si>
  <si>
    <t xml:space="preserve">asansör montaj-bakım</t>
  </si>
  <si>
    <t xml:space="preserve">ASANSOR</t>
  </si>
  <si>
    <t xml:space="preserve">info@2hasansor.com.tr</t>
  </si>
  <si>
    <t xml:space="preserve">AG Melco (Mitsubishi Electric asansör)</t>
  </si>
  <si>
    <t xml:space="preserve">asansör distribütörü (Mitsubishi Electric)</t>
  </si>
  <si>
    <t xml:space="preserve">turkey@agmelco.com</t>
  </si>
  <si>
    <t xml:space="preserve">Adakon Lift (Orona Türkiye distribütörü)</t>
  </si>
  <si>
    <t xml:space="preserve">asansör distribütörü (Orona)</t>
  </si>
  <si>
    <t xml:space="preserve">info@adakonlift.com</t>
  </si>
  <si>
    <t xml:space="preserve">Şartnamedeki yerli üretim / en az %80 yerli katkı şartı; sadece ithal ürün (Orona) önerebiliyor, şartnameden farklı uygulama sordu. Serhat: şart değişmez; sapmayı belirterek bütçes</t>
  </si>
  <si>
    <t xml:space="preserve">Adana Asansör</t>
  </si>
  <si>
    <t xml:space="preserve">info@adanaasansor.com</t>
  </si>
  <si>
    <t xml:space="preserve">Anassa Asansör</t>
  </si>
  <si>
    <t xml:space="preserve">asansör üretim-montaj</t>
  </si>
  <si>
    <t xml:space="preserve">info@anassa.com.tr</t>
  </si>
  <si>
    <t xml:space="preserve">Anıl Asansör</t>
  </si>
  <si>
    <t xml:space="preserve">anil@anilasansor.com</t>
  </si>
  <si>
    <t xml:space="preserve">Askon Makine</t>
  </si>
  <si>
    <t xml:space="preserve">asansör ekipmanı / makine</t>
  </si>
  <si>
    <t xml:space="preserve">info@askonmakine.com</t>
  </si>
  <si>
    <t xml:space="preserve">Ağcabey Asansör (Gaziantep Asansör)</t>
  </si>
  <si>
    <t xml:space="preserve">info@gaziantepasansor.com.tr</t>
  </si>
  <si>
    <t xml:space="preserve">Bounce: info@gaziantepasansor.com.tr (teslim edilemedi (3 gün deneme))</t>
  </si>
  <si>
    <t xml:space="preserve">DGN Asansör</t>
  </si>
  <si>
    <t xml:space="preserve">info@dgnasansor.com</t>
  </si>
  <si>
    <t xml:space="preserve">Bounce: info@dgnasansor.com (teslim edilemedi (3 gün deneme))</t>
  </si>
  <si>
    <t xml:space="preserve">Decosan Asansör</t>
  </si>
  <si>
    <t xml:space="preserve">satis@decosan.com.tr</t>
  </si>
  <si>
    <t xml:space="preserve">Di Asansör</t>
  </si>
  <si>
    <t xml:space="preserve">info@diasansor.com</t>
  </si>
  <si>
    <t xml:space="preserve">Dicle Asansör</t>
  </si>
  <si>
    <t xml:space="preserve">info@dicleasansor.com</t>
  </si>
  <si>
    <t xml:space="preserve">Dizayn Asansör</t>
  </si>
  <si>
    <t xml:space="preserve">info@dizaynasansor.com.tr</t>
  </si>
  <si>
    <t xml:space="preserve">Dündar Asansör</t>
  </si>
  <si>
    <t xml:space="preserve">dundarasansor@gmail.com</t>
  </si>
  <si>
    <t xml:space="preserve">EPA Asansör</t>
  </si>
  <si>
    <t xml:space="preserve">bilgi@epaasansor.com.tr</t>
  </si>
  <si>
    <t xml:space="preserve">Bounce: bilgi@epaasansor.com.tr (adres yok)</t>
  </si>
  <si>
    <t xml:space="preserve">Edoux Asansör</t>
  </si>
  <si>
    <t xml:space="preserve">info@edoux.com</t>
  </si>
  <si>
    <t xml:space="preserve">Önce mimari proje istedi (SORU); Serhat ASANSOR_Ekler.zip linkini verdi; yanıt: 'İnşallah yetiştirmeye çalışacağız'</t>
  </si>
  <si>
    <t xml:space="preserve">Elit Asansör</t>
  </si>
  <si>
    <t xml:space="preserve">bilgi@elitasansor.com; satis@elitasansor.com</t>
  </si>
  <si>
    <t xml:space="preserve">Emlift Asansör</t>
  </si>
  <si>
    <t xml:space="preserve">ismet@emlift.com</t>
  </si>
  <si>
    <t xml:space="preserve">Gövde yalnızca 'İlgili dosyalar ekte yer almaktadır'</t>
  </si>
  <si>
    <t xml:space="preserve">Ergül Asansör</t>
  </si>
  <si>
    <t xml:space="preserve">info@ergulasansor.com.tr</t>
  </si>
  <si>
    <t xml:space="preserve">Ert Asansör</t>
  </si>
  <si>
    <t xml:space="preserve">info@ertasansor.com.tr</t>
  </si>
  <si>
    <t xml:space="preserve">FiberLift Asansör</t>
  </si>
  <si>
    <t xml:space="preserve">info@fiberliftasansor.com.tr</t>
  </si>
  <si>
    <t xml:space="preserve">Bounce: info@fiberliftasansor.com.tr (adres yok)</t>
  </si>
  <si>
    <t xml:space="preserve">Fuji Asansör</t>
  </si>
  <si>
    <t xml:space="preserve">fuji@fujiasansor.com; info@fujiasansor.com</t>
  </si>
  <si>
    <t xml:space="preserve">GM Asansör</t>
  </si>
  <si>
    <t xml:space="preserve">info@gmasansor.com.tr</t>
  </si>
  <si>
    <t xml:space="preserve">GTS Elevator</t>
  </si>
  <si>
    <t xml:space="preserve">gts@gtselevator.com</t>
  </si>
  <si>
    <t xml:space="preserve">Genlift Asansör</t>
  </si>
  <si>
    <t xml:space="preserve">info@genliftasansor.com</t>
  </si>
  <si>
    <t xml:space="preserve">HDEL Asansör</t>
  </si>
  <si>
    <t xml:space="preserve">satis@hdel.com.tr</t>
  </si>
  <si>
    <t xml:space="preserve">KONE Asansör</t>
  </si>
  <si>
    <t xml:space="preserve">asansör/yürüyen merdiven</t>
  </si>
  <si>
    <t xml:space="preserve">FI</t>
  </si>
  <si>
    <t xml:space="preserve">musterihizmetleri@kone.com</t>
  </si>
  <si>
    <t xml:space="preserve">Müşteri hizmetleri iletişim bilgisi istedi, Serhat 30.09 cevapladı. Ayrıca 3 otomatik dosya no maili (Kc-47493420, Kc-47496026, Kc-47499695). Teklif yok</t>
  </si>
  <si>
    <t xml:space="preserve">Kleemann</t>
  </si>
  <si>
    <t xml:space="preserve">asansör üretimi</t>
  </si>
  <si>
    <t xml:space="preserve">GR</t>
  </si>
  <si>
    <t xml:space="preserve">turkey@kleemannlifts.com</t>
  </si>
  <si>
    <t xml:space="preserve">Liftern</t>
  </si>
  <si>
    <t xml:space="preserve">ibrahim.tiftik@liftern.com</t>
  </si>
  <si>
    <t xml:space="preserve">Löher Asansör</t>
  </si>
  <si>
    <t xml:space="preserve">info@loher.com.tr</t>
  </si>
  <si>
    <t xml:space="preserve">MENAS Asansör</t>
  </si>
  <si>
    <t xml:space="preserve">info@menasasansor.com</t>
  </si>
  <si>
    <t xml:space="preserve">Malatya Asansör</t>
  </si>
  <si>
    <t xml:space="preserve">info@malatyaasansor.com.tr</t>
  </si>
  <si>
    <t xml:space="preserve">Bounce: info@malatyaasansor.com.tr (teslim edilemedi (3 gün deneme))</t>
  </si>
  <si>
    <t xml:space="preserve">Merih Asansör</t>
  </si>
  <si>
    <t xml:space="preserve">info@merihasansor.com; operasyon1@merihasansor.com</t>
  </si>
  <si>
    <t xml:space="preserve">Motray Asansör</t>
  </si>
  <si>
    <t xml:space="preserve">info@motrayasansor.com</t>
  </si>
  <si>
    <t xml:space="preserve">Bounce: info@motrayasansor.com (adres yok)</t>
  </si>
  <si>
    <t xml:space="preserve">ORE Elevator</t>
  </si>
  <si>
    <t xml:space="preserve">info@oreelevator.com.tr</t>
  </si>
  <si>
    <t xml:space="preserve">Otis</t>
  </si>
  <si>
    <t xml:space="preserve">bilgi@otis.com</t>
  </si>
  <si>
    <t xml:space="preserve">Ovit Asansör</t>
  </si>
  <si>
    <t xml:space="preserve">info@ovitasansor.com</t>
  </si>
  <si>
    <t xml:space="preserve">Sanel Asansör</t>
  </si>
  <si>
    <t xml:space="preserve">sanelasansor@sanelasansor.com.tr</t>
  </si>
  <si>
    <t xml:space="preserve">Schindler Türkeli Asansör</t>
  </si>
  <si>
    <t xml:space="preserve">CH</t>
  </si>
  <si>
    <t xml:space="preserve">info_turkey@schindler.com; kurumsaliletisim.tr@schindler.com</t>
  </si>
  <si>
    <t xml:space="preserve">Gövdede tutar yok ('ön fiyat teklifimizi ekte'); fiyat doldurulmuş Excel'de. Kullanıcının bildirdiği 480.000 USD e-posta metninde geçmiyor | Teklif mert.oglakkaya@schindler.com üzerinden geldi</t>
  </si>
  <si>
    <t xml:space="preserve">Star Asansör</t>
  </si>
  <si>
    <t xml:space="preserve">info@starasansor.com</t>
  </si>
  <si>
    <t xml:space="preserve">Still Asansör</t>
  </si>
  <si>
    <t xml:space="preserve">hazir@stilasansor.com</t>
  </si>
  <si>
    <t xml:space="preserve">TK Elevator (TK Asansör)</t>
  </si>
  <si>
    <t xml:space="preserve">info.tr@tkelevator.com; ugurcan.turan@tkelevator.com</t>
  </si>
  <si>
    <t xml:space="preserve">Gövde: '12 adet üst geçit asansörleri anti vandal CAT-2'ye göre tekliflendirilmiştir'. Tutar gövdede yok; kullanıcının bildirdiği 414.200 EUR PDF'te olmalı</t>
  </si>
  <si>
    <t xml:space="preserve">Teknik Lift Asansör</t>
  </si>
  <si>
    <t xml:space="preserve">info@teknikliftasansor.com</t>
  </si>
  <si>
    <t xml:space="preserve">Bounce: info@teknikliftasansor.com (alan adı yok)</t>
  </si>
  <si>
    <t xml:space="preserve">Teknolift</t>
  </si>
  <si>
    <t xml:space="preserve">ankara@teknolift.com.tr</t>
  </si>
  <si>
    <t xml:space="preserve">Unimax Asansörleri</t>
  </si>
  <si>
    <t xml:space="preserve">info@unimaxasansor.com.tr</t>
  </si>
  <si>
    <t xml:space="preserve">Valter Asansör</t>
  </si>
  <si>
    <t xml:space="preserve">valter@valter.com.tr</t>
  </si>
  <si>
    <t xml:space="preserve">Vefa Asansör</t>
  </si>
  <si>
    <t xml:space="preserve">info@vefaasansor.com</t>
  </si>
  <si>
    <t xml:space="preserve">Vital Asansör</t>
  </si>
  <si>
    <t xml:space="preserve">bilgi@vitalasansor.com</t>
  </si>
  <si>
    <t xml:space="preserve">Witcell Asansör</t>
  </si>
  <si>
    <t xml:space="preserve">info@witcell.net</t>
  </si>
  <si>
    <t xml:space="preserve">İda Asansör</t>
  </si>
  <si>
    <t xml:space="preserve">info@idaasansor.com.tr</t>
  </si>
  <si>
    <t xml:space="preserve">ASELSAN</t>
  </si>
  <si>
    <t xml:space="preserve">savunma elektroniği / raylı sistem sinyalizasyon</t>
  </si>
  <si>
    <t xml:space="preserve">SINYALIZASYON</t>
  </si>
  <si>
    <t xml:space="preserve">mates@aselsan.com.tr</t>
  </si>
  <si>
    <t xml:space="preserve">AYESAŞ</t>
  </si>
  <si>
    <t xml:space="preserve">raylı sistem elektroniği / sinyalizasyon</t>
  </si>
  <si>
    <t xml:space="preserve">bulent.koseoglu@ayesas.com; info@ayesas.com</t>
  </si>
  <si>
    <t xml:space="preserve">Alstom</t>
  </si>
  <si>
    <t xml:space="preserve">sinyalizasyon / raylı sistemler</t>
  </si>
  <si>
    <t xml:space="preserve">FR</t>
  </si>
  <si>
    <t xml:space="preserve">buket.akcora@alstomgroup.com</t>
  </si>
  <si>
    <t xml:space="preserve">Detaylı çalışma için yeterli zaman yok, teklif sunamayacağız. Serhat 05.10 bütçesel (toplam/ana kalem) fiyat istedi; yanıt yok</t>
  </si>
  <si>
    <t xml:space="preserve">Alya Elektrik</t>
  </si>
  <si>
    <t xml:space="preserve">elektrik (sinyalizasyon listesinde)</t>
  </si>
  <si>
    <t xml:space="preserve">info@alyaelektrik.com.tr</t>
  </si>
  <si>
    <t xml:space="preserve">Anadolu Trafik</t>
  </si>
  <si>
    <t xml:space="preserve">karayolu tünel/trafik sistemleri</t>
  </si>
  <si>
    <t xml:space="preserve">anadolu@anadolutrafik.com.tr; ckeskin@anadolutrafik.com.tr</t>
  </si>
  <si>
    <t xml:space="preserve">Karayolu tünel ürünleri üretiyor; istenen ürünler yok</t>
  </si>
  <si>
    <t xml:space="preserve">Asya Trafik</t>
  </si>
  <si>
    <t xml:space="preserve">trafik sinyalizasyon üretim-montaj</t>
  </si>
  <si>
    <t xml:space="preserve">akifcelik@asyatrafik.com.tr; asya@asyatrafik.com.tr</t>
  </si>
  <si>
    <t xml:space="preserve">Aytekin İnşaat</t>
  </si>
  <si>
    <t xml:space="preserve">trafik/sinyalizasyon montaj</t>
  </si>
  <si>
    <t xml:space="preserve">info@aytekininsaat.com.tr</t>
  </si>
  <si>
    <t xml:space="preserve">Baykal Rezistans</t>
  </si>
  <si>
    <t xml:space="preserve">rezistans / makas ısıtıcı üretimi</t>
  </si>
  <si>
    <t xml:space="preserve">satis@baykalrezistans.com</t>
  </si>
  <si>
    <t xml:space="preserve">EHT Mühendislik</t>
  </si>
  <si>
    <t xml:space="preserve">elektrikli ısıtma / heat tracing</t>
  </si>
  <si>
    <t xml:space="preserve">info@ehtmuhendislik.com</t>
  </si>
  <si>
    <t xml:space="preserve">Faaliyet alanına (ısıtma, makas ısıtıcı vb.) giren kalem yok</t>
  </si>
  <si>
    <t xml:space="preserve">Elmak</t>
  </si>
  <si>
    <t xml:space="preserve">otomasyon / SCADA</t>
  </si>
  <si>
    <t xml:space="preserve">info@elmak.com.tr; reyhan.uzun@elmak.com.tr</t>
  </si>
  <si>
    <t xml:space="preserve">Otomasyon SCADA hizmeti veriyor; ilgili kapsamlar için çalışmaları yok</t>
  </si>
  <si>
    <t xml:space="preserve">Elsitel</t>
  </si>
  <si>
    <t xml:space="preserve">raylı sistem sinyalizasyon / elektrifikasyon</t>
  </si>
  <si>
    <t xml:space="preserve">SINYALIZASYON; KATENER</t>
  </si>
  <si>
    <t xml:space="preserve">info@elsitel.com.tr</t>
  </si>
  <si>
    <t xml:space="preserve">Esatek</t>
  </si>
  <si>
    <t xml:space="preserve">elektronik sistemler</t>
  </si>
  <si>
    <t xml:space="preserve">esatek@esatek.com.tr</t>
  </si>
  <si>
    <t xml:space="preserve">Estart</t>
  </si>
  <si>
    <t xml:space="preserve">bilgi@estart.com.tr</t>
  </si>
  <si>
    <t xml:space="preserve">Form Mühendislik</t>
  </si>
  <si>
    <t xml:space="preserve">(sinyalizasyon listesinde)</t>
  </si>
  <si>
    <t xml:space="preserve">info@formmuhendislik.com</t>
  </si>
  <si>
    <t xml:space="preserve">Frauscher Sensor Technology</t>
  </si>
  <si>
    <t xml:space="preserve">aks sayaç / tren tespit</t>
  </si>
  <si>
    <t xml:space="preserve">AT</t>
  </si>
  <si>
    <t xml:space="preserve">office@frauscher.com; sales@frauscher.com</t>
  </si>
  <si>
    <t xml:space="preserve">Furkan Enerji</t>
  </si>
  <si>
    <t xml:space="preserve">enerji / katener montaj</t>
  </si>
  <si>
    <t xml:space="preserve">bilgi@furkanenerji.com</t>
  </si>
  <si>
    <t xml:space="preserve">tramvay makas/sinyal sistemleri</t>
  </si>
  <si>
    <t xml:space="preserve">info@hanning-kahl.com; nico.liesenfeld@hanning-kahl.com</t>
  </si>
  <si>
    <t xml:space="preserve">Otomatik yanıt: 02.10.2026'ya kadar ofis dışı</t>
  </si>
  <si>
    <t xml:space="preserve">Hugotek</t>
  </si>
  <si>
    <t xml:space="preserve">akıllı ulaşım / trafik sistemleri</t>
  </si>
  <si>
    <t xml:space="preserve">gokhan.akyol@hugotek.com.tr; info@hugotek.com.tr</t>
  </si>
  <si>
    <t xml:space="preserve">'Konu hakkında en kısa sürede sizlere ulaşmış olacağız' (net taahhüt değil)</t>
  </si>
  <si>
    <t xml:space="preserve">INIT</t>
  </si>
  <si>
    <t xml:space="preserve">AVL / ITS ulaşım sistemleri</t>
  </si>
  <si>
    <t xml:space="preserve">info@initse.com</t>
  </si>
  <si>
    <t xml:space="preserve">ISSD Bilişim</t>
  </si>
  <si>
    <t xml:space="preserve">AVL / akıllı ulaşım</t>
  </si>
  <si>
    <t xml:space="preserve">cagri.yuzbasioglu@issd.com.tr; info@issd.com.tr</t>
  </si>
  <si>
    <t xml:space="preserve">Isışah</t>
  </si>
  <si>
    <t xml:space="preserve">info@isisah.com.tr</t>
  </si>
  <si>
    <t xml:space="preserve">Kara Taş Sinyalizasyon</t>
  </si>
  <si>
    <t xml:space="preserve">trafik sinyalizasyon montaj</t>
  </si>
  <si>
    <t xml:space="preserve">karatassinyalizasyon@gmail.com</t>
  </si>
  <si>
    <t xml:space="preserve">Karsel Trafik</t>
  </si>
  <si>
    <t xml:space="preserve">trafik sinyalizasyon</t>
  </si>
  <si>
    <t xml:space="preserve">info@karseltrafik.com</t>
  </si>
  <si>
    <t xml:space="preserve">MERMEC Türkiye</t>
  </si>
  <si>
    <t xml:space="preserve">sinyalizasyon / demiryolu ölçüm</t>
  </si>
  <si>
    <t xml:space="preserve">IT</t>
  </si>
  <si>
    <t xml:space="preserve">mermecturkey@mermecgroup.com</t>
  </si>
  <si>
    <t xml:space="preserve">Mare Elektronik</t>
  </si>
  <si>
    <t xml:space="preserve">info@mareelektronik.com.tr</t>
  </si>
  <si>
    <t xml:space="preserve">Medel Elektronik</t>
  </si>
  <si>
    <t xml:space="preserve">LED ekran / yolcu bilgilendirme</t>
  </si>
  <si>
    <t xml:space="preserve">info@medelelektronik.com</t>
  </si>
  <si>
    <t xml:space="preserve">Mosaş</t>
  </si>
  <si>
    <t xml:space="preserve">trafik sinyalizasyon / akıllı ulaşım</t>
  </si>
  <si>
    <t xml:space="preserve">f.yalcinli@mosas.com.tr; mosas@mosas.com.tr</t>
  </si>
  <si>
    <t xml:space="preserve">Mukan Rail / Contirail</t>
  </si>
  <si>
    <t xml:space="preserve">raylı sistem AVLS / araç takip</t>
  </si>
  <si>
    <t xml:space="preserve">mukan@mukan.com</t>
  </si>
  <si>
    <t xml:space="preserve">02.10 E. Tuncer 11 teknik soru sordu (YBS kapsamı, belediye AVLS/API, 15 araç, lup arayüzü, sürücü/sefer no, 3 sn/10 sn güncelleme, SIM, dolap/UPS/switch, 2 sunucu+NAS, ticari koşu | Yanıt/teklif e.tuncer@contirail.com ve berfin.akkus@mukan.com</t>
  </si>
  <si>
    <t xml:space="preserve">Ortana</t>
  </si>
  <si>
    <t xml:space="preserve">bariyer/turnike &amp; trafik sistemleri</t>
  </si>
  <si>
    <t xml:space="preserve">info@ortana.com; umut.aydin@ortana.com</t>
  </si>
  <si>
    <t xml:space="preserve">Oruçoğlu Sistem (ORSİS)</t>
  </si>
  <si>
    <t xml:space="preserve">orsis@orucogluholding.com.tr</t>
  </si>
  <si>
    <t xml:space="preserve">Pintsch</t>
  </si>
  <si>
    <t xml:space="preserve">sinyalizasyon / makas ısıtma</t>
  </si>
  <si>
    <t xml:space="preserve">almir.basini@pintsch.net; sales@pintsch.net</t>
  </si>
  <si>
    <t xml:space="preserve">Polo Trafik</t>
  </si>
  <si>
    <t xml:space="preserve">info@polotrafik.com</t>
  </si>
  <si>
    <t xml:space="preserve">Rayelsis</t>
  </si>
  <si>
    <t xml:space="preserve">raylı sistem elektrik / sinyal</t>
  </si>
  <si>
    <t xml:space="preserve">info@rayelsis.com</t>
  </si>
  <si>
    <t xml:space="preserve">Revenga</t>
  </si>
  <si>
    <t xml:space="preserve">sinyalizasyon</t>
  </si>
  <si>
    <t xml:space="preserve">info@revenga.com; infoturkiye@revenga.com; rail&amp;terminals@revenga.com</t>
  </si>
  <si>
    <t xml:space="preserve">Bounce: info@revenga.com (engellendi); infoturkiye@revenga.com (adres yok); rail&amp;terminals@revenga.com (engellendi)</t>
  </si>
  <si>
    <t xml:space="preserve">Savronik</t>
  </si>
  <si>
    <t xml:space="preserve">sinyalizasyon / elektronik sistemler</t>
  </si>
  <si>
    <t xml:space="preserve">savronik@savronik.com.tr</t>
  </si>
  <si>
    <t xml:space="preserve">Teklif süresinin kısıtlı olması nedeniyle teklif vermeyecek. Serhat 02.10 bütçesel fiyat istedi; yanıt yok</t>
  </si>
  <si>
    <t xml:space="preserve">info.mobility.tr@siemens.com</t>
  </si>
  <si>
    <t xml:space="preserve">Sinyalizasyon A.Ş. (İlhami Kıvrak)</t>
  </si>
  <si>
    <t xml:space="preserve">ilhami.kivrak@sinyalizasyon.com.tr; info@sinyalizasyon.com.tr</t>
  </si>
  <si>
    <t xml:space="preserve">Swarco</t>
  </si>
  <si>
    <t xml:space="preserve">serdal.kizilcik@swarco.com</t>
  </si>
  <si>
    <t xml:space="preserve">Bounce: serdal.kizilcik@swarco.com (engellendi)</t>
  </si>
  <si>
    <t xml:space="preserve">TPZ Yapı</t>
  </si>
  <si>
    <t xml:space="preserve">info@tpzyapi.com</t>
  </si>
  <si>
    <t xml:space="preserve">Tandem Trafik</t>
  </si>
  <si>
    <t xml:space="preserve">info@tandemtrafik.com.tr; ytanal@tandemtrafik.com.tr</t>
  </si>
  <si>
    <t xml:space="preserve">Tankes</t>
  </si>
  <si>
    <t xml:space="preserve">tankes@tankes.com.tr</t>
  </si>
  <si>
    <t xml:space="preserve">Ultra Teknoloji</t>
  </si>
  <si>
    <t xml:space="preserve">raylı sistem elektronik</t>
  </si>
  <si>
    <t xml:space="preserve">info@ultrateknoloji.com.tr</t>
  </si>
  <si>
    <t xml:space="preserve">VADEMSAŞ (voestalpine)</t>
  </si>
  <si>
    <t xml:space="preserve">demiryolu makas sistemleri</t>
  </si>
  <si>
    <t xml:space="preserve">info.vademsas@voestalpine.com</t>
  </si>
  <si>
    <t xml:space="preserve">Vural Sinyalizasyon</t>
  </si>
  <si>
    <t xml:space="preserve">info@vuralsinyalizasyon.com</t>
  </si>
  <si>
    <t xml:space="preserve">Bounce: info@vuralsinyalizasyon.com (teslim edilemedi (3 gün deneme))</t>
  </si>
  <si>
    <t xml:space="preserve">Vytek</t>
  </si>
  <si>
    <t xml:space="preserve">elektronik / ulaşım sistemleri</t>
  </si>
  <si>
    <t xml:space="preserve">info@vytek.com.tr</t>
  </si>
  <si>
    <t xml:space="preserve">YTC Enerji</t>
  </si>
  <si>
    <t xml:space="preserve">info@ytcenerji.com</t>
  </si>
  <si>
    <t xml:space="preserve">Yunex Traffic</t>
  </si>
  <si>
    <t xml:space="preserve">trafik / akıllı ulaşım</t>
  </si>
  <si>
    <t xml:space="preserve">kemal.soylu@yunextraffic.com</t>
  </si>
  <si>
    <t xml:space="preserve">İKS Teknoloji</t>
  </si>
  <si>
    <t xml:space="preserve">ulaşım / elektronik sistemler</t>
  </si>
  <si>
    <t xml:space="preserve">info@iksteknoloji.com.tr</t>
  </si>
  <si>
    <t xml:space="preserve">İSBAK</t>
  </si>
  <si>
    <t xml:space="preserve">akıllı ulaşım / sinyalizasyon (İBB iştiraki)</t>
  </si>
  <si>
    <t xml:space="preserve">info@isbak.istanbul; yurticisatissefligi@isbak.istanbul</t>
  </si>
  <si>
    <t xml:space="preserve">İBB iştiraki (kamu sermayeli şirket)</t>
  </si>
  <si>
    <t xml:space="preserve">İntetra</t>
  </si>
  <si>
    <t xml:space="preserve">muhammed.alyuruk@intetra.com.tr</t>
  </si>
  <si>
    <t xml:space="preserve">Mehmet Göktepe Bey dönüş yapacak; henüz yanıt yok</t>
  </si>
  <si>
    <t xml:space="preserve">İztra Trafik</t>
  </si>
  <si>
    <t xml:space="preserve">info@iztra.com</t>
  </si>
  <si>
    <t xml:space="preserve">2T Makine</t>
  </si>
  <si>
    <t xml:space="preserve">çelik konstrüksiyon/direk imalatı</t>
  </si>
  <si>
    <t xml:space="preserve">KATENER</t>
  </si>
  <si>
    <t xml:space="preserve">info@2tmakine.com.tr</t>
  </si>
  <si>
    <t xml:space="preserve">AAR Elektrik</t>
  </si>
  <si>
    <t xml:space="preserve">elektrik (katener listesinde)</t>
  </si>
  <si>
    <t xml:space="preserve">info@aarelektrik.net</t>
  </si>
  <si>
    <t xml:space="preserve">Bounce: info@aarelektrik.net (adres yok)</t>
  </si>
  <si>
    <t xml:space="preserve">ASAŞ</t>
  </si>
  <si>
    <t xml:space="preserve">alüminyum profil/konstrüksiyon</t>
  </si>
  <si>
    <t xml:space="preserve">info@asastr.com</t>
  </si>
  <si>
    <t xml:space="preserve">Alfamet</t>
  </si>
  <si>
    <t xml:space="preserve">metal direk/konstrüksiyon</t>
  </si>
  <si>
    <t xml:space="preserve">info@alfamet.com.tr</t>
  </si>
  <si>
    <t xml:space="preserve">Armin Elektrik</t>
  </si>
  <si>
    <t xml:space="preserve">elektrik/raylı sistem enerji taahhüt</t>
  </si>
  <si>
    <t xml:space="preserve">armin@armin.com.tr</t>
  </si>
  <si>
    <t xml:space="preserve">Atabey Grup Mühendislik</t>
  </si>
  <si>
    <t xml:space="preserve">elektrik/enerji hattı taahhüt</t>
  </si>
  <si>
    <t xml:space="preserve">info@atabeygrupmuhendislik.com.tr</t>
  </si>
  <si>
    <t xml:space="preserve">DeSA Temsilcilik (Arthur Flury)</t>
  </si>
  <si>
    <t xml:space="preserve">katener ekipmanı temsilcisi (Arthur Flury)</t>
  </si>
  <si>
    <t xml:space="preserve">info@desa-trade.com</t>
  </si>
  <si>
    <t xml:space="preserve">İzolatör seçim formu gönderdi; teknik değerlendirme sonrası fiyat verecek. Serhat 01.10 temel verileri (750 V DC, hız vb.) iletti; fiyat henüz yok</t>
  </si>
  <si>
    <t xml:space="preserve">Demir Yapı</t>
  </si>
  <si>
    <t xml:space="preserve">çelik yapı (katener listesinde)</t>
  </si>
  <si>
    <t xml:space="preserve">info@demiryapi.com.tr</t>
  </si>
  <si>
    <t xml:space="preserve">Demulaş (Harun Dursun)</t>
  </si>
  <si>
    <t xml:space="preserve">raylı sistem / katener montaj</t>
  </si>
  <si>
    <t xml:space="preserve">info@demulas.com.tr</t>
  </si>
  <si>
    <t xml:space="preserve">Doruk Grup Enerji</t>
  </si>
  <si>
    <t xml:space="preserve">enerji/katener direği üretimi</t>
  </si>
  <si>
    <t xml:space="preserve">dorukgrupenerji@gmail.com</t>
  </si>
  <si>
    <t xml:space="preserve">Üretim programı 2027 Mart'a kadar dolu</t>
  </si>
  <si>
    <t xml:space="preserve">ER-BAKIR</t>
  </si>
  <si>
    <t xml:space="preserve">bakır iletken / kontak teli üretimi</t>
  </si>
  <si>
    <t xml:space="preserve">ecevikkol@erbakir.com.tr; erbakir@erbakir.com.tr</t>
  </si>
  <si>
    <t xml:space="preserve">İletken teknik detaylarını sordu (AC/BC tipi, ETP teyidi, standart, yapı; 3K120F000002 önerisi). Serhat 02.10 şartname bilgileriyle cevapladı</t>
  </si>
  <si>
    <t xml:space="preserve">Ebra Group</t>
  </si>
  <si>
    <t xml:space="preserve">(katener listesinde)</t>
  </si>
  <si>
    <t xml:space="preserve">ozger@ebragroup.com.tr</t>
  </si>
  <si>
    <t xml:space="preserve">Furrer+Frey</t>
  </si>
  <si>
    <t xml:space="preserve">katener sistemleri</t>
  </si>
  <si>
    <t xml:space="preserve">schweiz@furrerfrey.ch</t>
  </si>
  <si>
    <t xml:space="preserve">Galland</t>
  </si>
  <si>
    <t xml:space="preserve">katener ekipmanları</t>
  </si>
  <si>
    <t xml:space="preserve">webcontact@galland-sas.com</t>
  </si>
  <si>
    <t xml:space="preserve">Güneydoğu Galvaniz</t>
  </si>
  <si>
    <t xml:space="preserve">galvaniz / çelik direk</t>
  </si>
  <si>
    <t xml:space="preserve">info@gdg.tc</t>
  </si>
  <si>
    <t xml:space="preserve">Güven Elektrik</t>
  </si>
  <si>
    <t xml:space="preserve">info@guvenelektrik.com</t>
  </si>
  <si>
    <t xml:space="preserve">Işın Aydınlatma</t>
  </si>
  <si>
    <t xml:space="preserve">aydınlatma direği / armatür</t>
  </si>
  <si>
    <t xml:space="preserve">info@isinaydinlatma.com.tr</t>
  </si>
  <si>
    <t xml:space="preserve">KAM Ankara Beton</t>
  </si>
  <si>
    <t xml:space="preserve">beton direk / prefabrik</t>
  </si>
  <si>
    <t xml:space="preserve">kam@kam.com.tr</t>
  </si>
  <si>
    <t xml:space="preserve">'İstemiş olduğunuz ürünler üretim bandımızda bulunmamaktadır.' (Konu: 'kam aş'; hangi pakete yanıt olduğu belirtilmemiş, ENH satış – muhtemelen katener)</t>
  </si>
  <si>
    <t xml:space="preserve">Kambeton</t>
  </si>
  <si>
    <t xml:space="preserve">kambeton@kambeton.com.tr</t>
  </si>
  <si>
    <t xml:space="preserve">'Teklif iletebilmemiz için direk tip ve adetlerinin net olması gerekmektedir.' Serhat 05.10: cetvelde net, teklif bekliyoruz</t>
  </si>
  <si>
    <t xml:space="preserve">Kiriş Enerji</t>
  </si>
  <si>
    <t xml:space="preserve">enerji hattı / katener montaj</t>
  </si>
  <si>
    <t xml:space="preserve">info@kirisenerji.com</t>
  </si>
  <si>
    <t xml:space="preserve">Kummler+Matter</t>
  </si>
  <si>
    <t xml:space="preserve">am@kummlermatter.ch; info@kummlermatter.ch</t>
  </si>
  <si>
    <t xml:space="preserve">La Farga</t>
  </si>
  <si>
    <t xml:space="preserve">bakır kontak teli / iletken</t>
  </si>
  <si>
    <t xml:space="preserve">lafarga@lafarga.es</t>
  </si>
  <si>
    <t xml:space="preserve">La-Berk Döküm</t>
  </si>
  <si>
    <t xml:space="preserve">döküm (katener bağlantı elemanı)</t>
  </si>
  <si>
    <t xml:space="preserve">laberk2012@gmail.com</t>
  </si>
  <si>
    <t xml:space="preserve">Metaline</t>
  </si>
  <si>
    <t xml:space="preserve">metal bağlantı elemanı / hırdavat</t>
  </si>
  <si>
    <t xml:space="preserve">export@metaline.com.tr</t>
  </si>
  <si>
    <t xml:space="preserve">Mitaş Endüstri</t>
  </si>
  <si>
    <t xml:space="preserve">çelik direk / kule üretimi</t>
  </si>
  <si>
    <t xml:space="preserve">info@mitasindustry.com; sales@mitasindustry.com</t>
  </si>
  <si>
    <t xml:space="preserve">İzmir projesi direk çizimleri ekte. C/D kendi çizimine, A/B/B1 proje taban plaklarına göre teklif çalışacak. S355 dikişli boru (dikişsizin ithal/pahalı olduğu, idareye dikişli boru</t>
  </si>
  <si>
    <t xml:space="preserve">demiryolu üstyapı / elektrifikasyon</t>
  </si>
  <si>
    <t xml:space="preserve">mehmet@raybayapi.com; rayba@raybayapi.com</t>
  </si>
  <si>
    <t xml:space="preserve">İlk teklif 02.10; 05.10 düzeltme: 'Birim fiyat teklifi döviz cinsi EURO olup, bir önceki e-mail ile paylaşılan teklifte sehven TL yazıldığı için dikkate alınmamasını rica ederiz'.  | Teklif meyild@hotmail.com (Mehmet Yıldırım) üzerinden geldi</t>
  </si>
  <si>
    <t xml:space="preserve">SSM Bakır</t>
  </si>
  <si>
    <t xml:space="preserve">bakır iletken</t>
  </si>
  <si>
    <t xml:space="preserve">info@ssmbakir.com</t>
  </si>
  <si>
    <t xml:space="preserve">Sanidar Direk</t>
  </si>
  <si>
    <t xml:space="preserve">çelik direk üretimi</t>
  </si>
  <si>
    <t xml:space="preserve">info@sanidardirek.com</t>
  </si>
  <si>
    <t xml:space="preserve">Sarkuysan</t>
  </si>
  <si>
    <t xml:space="preserve">bakır iletken üretimi</t>
  </si>
  <si>
    <t xml:space="preserve">pazarlama@sarkuysan.com</t>
  </si>
  <si>
    <t xml:space="preserve">Teknom Metal</t>
  </si>
  <si>
    <t xml:space="preserve">metal direk / konstrüksiyon</t>
  </si>
  <si>
    <t xml:space="preserve">info@teknommetal.com</t>
  </si>
  <si>
    <t xml:space="preserve">Bounce: info@teknommetal.com (engellendi)</t>
  </si>
  <si>
    <t xml:space="preserve">Tepsan</t>
  </si>
  <si>
    <t xml:space="preserve">iletisim@tepsan.com.tr</t>
  </si>
  <si>
    <t xml:space="preserve">Transray</t>
  </si>
  <si>
    <t xml:space="preserve">raylı sistem taahhüt</t>
  </si>
  <si>
    <t xml:space="preserve">info@transray.com.tr</t>
  </si>
  <si>
    <t xml:space="preserve">Ulusoy Raylı Sistemler</t>
  </si>
  <si>
    <t xml:space="preserve">raylı sistem ekipmanı / katener</t>
  </si>
  <si>
    <t xml:space="preserve">info@ulusoyrail.com.tr</t>
  </si>
  <si>
    <t xml:space="preserve">Uğur Türkyurt</t>
  </si>
  <si>
    <t xml:space="preserve">mturkyurt@ugurturkyurt.com</t>
  </si>
  <si>
    <t xml:space="preserve">ŞA-RA Enerji</t>
  </si>
  <si>
    <t xml:space="preserve">enerji direği / kule üretimi</t>
  </si>
  <si>
    <t xml:space="preserve">adanafabrika@sara.com.tr; info@sara.com.tr</t>
  </si>
  <si>
    <t xml:space="preserve">GELEN TEKLİFLER VE REFERANS KIYASLAR (06.10.2026 itibarıyla)</t>
  </si>
  <si>
    <t xml:space="preserve">Kapsam / not</t>
  </si>
  <si>
    <t xml:space="preserve">Tutar (orijinal)</t>
  </si>
  <si>
    <t xml:space="preserve">Tutar (EUR)</t>
  </si>
  <si>
    <t xml:space="preserve">Birim fiyat (EUR) 1000 kg</t>
  </si>
  <si>
    <t xml:space="preserve">Birim fiyat (EUR) 800 kg</t>
  </si>
  <si>
    <t xml:space="preserve">Schindler (Mert Can Oğlakkaya)</t>
  </si>
  <si>
    <t xml:space="preserve">12 × 37.000 USD (işçilik dahil) + 1 × 800 kg 36.000 USD; bakım hariç</t>
  </si>
  <si>
    <t xml:space="preserve">Şartnameye uygun kabul; bütçede kullanıldı</t>
  </si>
  <si>
    <t xml:space="preserve">TK Elevator (Betül Okay)</t>
  </si>
  <si>
    <t xml:space="preserve">12 × (24.000 malzeme + 8.000 işçilik) + 1 × 30.200; anti-vandal CAT-2</t>
  </si>
  <si>
    <t xml:space="preserve">Emlift (teklif no 2026/E025, 05.10.2026)</t>
  </si>
  <si>
    <t xml:space="preserve">12 × 1.500.000 TL + 1 × 1.500.000 TL; montaj dahil; teknik föyde antivandal/dış ortam yok, kapı 900×2000; kuyu aydınlatma ve topraklama hariç</t>
  </si>
  <si>
    <t xml:space="preserve">Sapmalı (şartname dışı detaylar); medyana dahil</t>
  </si>
  <si>
    <t xml:space="preserve">Sinyalizasyon + AVLS</t>
  </si>
  <si>
    <t xml:space="preserve">Sıra 228–235; DAP şantiye; KDV ve gümrük hariç; AI asistan imzalı yanıt</t>
  </si>
  <si>
    <t xml:space="preserve">Referanslara göre ~2,3 kat yüksek; kalem dökümü alınmadan bütçeye esas alınmadı (üst sınır kıyası)</t>
  </si>
  <si>
    <t xml:space="preserve">Sinyalizasyon</t>
  </si>
  <si>
    <t xml:space="preserve">Referans – sistem bazlı (makas başı)</t>
  </si>
  <si>
    <t xml:space="preserve">İzmir tramvay H&amp;K 64.862 €/makas, Eminönü Elektroline 46.638 €/makas; ort. 55.750 €/makas × 56</t>
  </si>
  <si>
    <t xml:space="preserve">EM_Butce_Tahmini Sistem sayfası (EUR Ağu-2026)</t>
  </si>
  <si>
    <t xml:space="preserve">Referans – kalem bazlı (fiyatı bulunan 5/8 ana kalem)</t>
  </si>
  <si>
    <t xml:space="preserve">228, 229, 230, 231, 234 sıraları; 232, 233, 235 fiyatsız</t>
  </si>
  <si>
    <t xml:space="preserve">EM_Butce_Tahmini Ozet sayfası</t>
  </si>
  <si>
    <t xml:space="preserve">Referans – sistem bazlı (hat-km başı)</t>
  </si>
  <si>
    <t xml:space="preserve">İzmir (Usluel, Siemens), Samsun (Usluel, BBR) ort. 356.767 €/km × 6,56 km</t>
  </si>
  <si>
    <t xml:space="preserve">EM_Butce_Tahmini Sistem sayfası</t>
  </si>
  <si>
    <t xml:space="preserve">Referans – kalem bazlı (6/7 ana kalem)</t>
  </si>
  <si>
    <t xml:space="preserve">220 için konsol, iletken, gergi; 221 kısmi; direkler kg bazlı</t>
  </si>
  <si>
    <t xml:space="preserve">Cer gücü</t>
  </si>
  <si>
    <t xml:space="preserve">Referans – sistem bazlı (TM başı)</t>
  </si>
  <si>
    <t xml:space="preserve">İzmir Siemens, Bursa Haluk/MET, Kocaeli; ort. 672.038 €/TM × 5 (OG+trafo+redresör+DC; kablo hariç)</t>
  </si>
  <si>
    <t xml:space="preserve">AVLS (sıra 233–235)</t>
  </si>
  <si>
    <t xml:space="preserve">Mukan Rail (bütçesel, 06.10.2026)</t>
  </si>
  <si>
    <t xml:space="preserve">233: 15 araç × 21.300 = 319.500; 234 merkez 314.500; 235 tasarım 154.000; 180 gün geçerli; kabin/UPS/omurga, işletme SIM hariç</t>
  </si>
  <si>
    <t xml:space="preserve">Bütçeye işlendi (233 araç başı × 14 araç)</t>
  </si>
  <si>
    <t xml:space="preserve">Haberleşme</t>
  </si>
  <si>
    <t xml:space="preserve">Referans – kalem bazlı (fiyatı bulunan 54/86 ana kalem) + sistem bazlı ort. 1.121.764</t>
  </si>
  <si>
    <t xml:space="preserve">İletim, telefon, telsiz, anons, CCTV, saat, erişim, SCADA, YBS, turnike</t>
  </si>
  <si>
    <t xml:space="preserve">EM_Butce_Tahmini Ozet sayfası (kalem bazlı)</t>
  </si>
  <si>
    <t xml:space="preserve">Referans – kalem bazlı (metro/tramvay asansör referansları medyanı)</t>
  </si>
  <si>
    <t xml:space="preserve">1000 kg medyan 50.992 €, 800 kg 35.293 €</t>
  </si>
  <si>
    <t xml:space="preserve">Metro referansları ağırlıklı; teklifler daha düşük</t>
  </si>
  <si>
    <t xml:space="preserve">Bekleyen / bütçe fiyatı istenen: Edoux, Adakon-Orona (asansör); Contirail/Mukan Rail (AVLS), Hanning &amp; Kahl, Pintsch, INIT, Frauscher (sinyal); Mitaş, DeSA/Arthur Flury, Erbakır, Kambeton, La Farga, Galland, Revenga (katener); Best Transformer, Alfanar, Savronik, Alstom, Met-Eng, Tema (enerji).</t>
  </si>
  <si>
    <t xml:space="preserve">TEDARİKÇİ DÖNÜŞLERİ – serhat@mepcenter.com.tr Gmail taraması (29.09–06.10.2026) ve okunan teklif ekleri</t>
  </si>
  <si>
    <t xml:space="preserve">Ekler</t>
  </si>
  <si>
    <t xml:space="preserve">DIGER</t>
  </si>
  <si>
    <t xml:space="preserve">Asansör paketi</t>
  </si>
  <si>
    <t xml:space="preserve">TK Asansör (Adana bölge)</t>
  </si>
  <si>
    <t xml:space="preserve">Hatırlatma mailine boş yanıt (yalnız imza + jpeg görsel). Teklif Betül Okay üzerinden geldi</t>
  </si>
  <si>
    <t xml:space="preserve">AdakonLift (Orona Türkiye distribütörü)</t>
  </si>
  <si>
    <t xml:space="preserve">SORU</t>
  </si>
  <si>
    <t xml:space="preserve">Şartnamedeki yerli üretim / en az %80 yerli katkı şartı; sadece ithal ürün (Orona) önerebiliyor, şartnameden farklı uygulama sordu. Serhat: şart değişmez; sapmayı belirterek bütçesel ithal fiyat istedi (02.10). Yanıt yok</t>
  </si>
  <si>
    <t xml:space="preserve">TEKLIF_EKTE</t>
  </si>
  <si>
    <t xml:space="preserve">Sıra 364 (12 set üst geçit) + Sıra 365 (1 set idari bina) asansörleri – ön fiyat teklifi</t>
  </si>
  <si>
    <t xml:space="preserve">URF_1Etap_ASANSOR_Teklif_Talebi.xlsx</t>
  </si>
  <si>
    <t xml:space="preserve">Gövdede tutar yok ('ön fiyat teklifimizi ekte'); fiyat doldurulmuş Excel'de. Kullanıcının bildirdiği 480.000 USD e-posta metninde geçmiyor</t>
  </si>
  <si>
    <t xml:space="preserve">TK Asansör (TK Elevator)</t>
  </si>
  <si>
    <t xml:space="preserve">12 üst geçit asansörü (anti vandal CAT-2) + idari bina asansörü</t>
  </si>
  <si>
    <t xml:space="preserve">TK ASANSÖR HALİLİYE EYYÜBİYE HAFİF RAYLI SİSTEM  FİYAT TEKLİFİ -R0.pdf; URF_1Etap_ASANSOR_Teklif_Talebi.xlsx</t>
  </si>
  <si>
    <t xml:space="preserve">2026-10-05</t>
  </si>
  <si>
    <t xml:space="preserve">12 adet 2 duraklı 13 kişilik + 1 adet idari bina asansörü</t>
  </si>
  <si>
    <t xml:space="preserve">URF_1Etap_ASANSOR_Teklif_Talebi.xlsx; ÖZVER İNŞAAT İDARİ BİNA.pdf; ÖZVER İNŞAAT 2 DURAK 12 ADET ASANSÖR.pdf</t>
  </si>
  <si>
    <t xml:space="preserve">Demiryolu (ray/üstyapı) işleri + S-LINE kauçuk esaslı ray bağlantı sistemi</t>
  </si>
  <si>
    <t xml:space="preserve">Fiyat Teklifi-Şanlıurfa Tramvay İhalesi-02.10.2026.pdf; Fiyat Teklifi-(S-LINE) ŞANLIURFA HALİLİYE-EYYÜBİYE TRAMVAYI.pdf; S-LINE Sunum-TR.pdf</t>
  </si>
  <si>
    <t xml:space="preserve">İlk teklif 02.10; 05.10 düzeltme: 'Birim fiyat teklifi döviz cinsi EURO olup, bir önceki e-mail ile paylaşılan teklifte sehven TL yazıldığı için dikkate alınmamasını rica ederiz'. 05.10 20:26'da teklif + S-LINE teklifi yeniden gönderildi. Mail To: rayba@raybayapi.com (Serhat BCC/dağıtım)</t>
  </si>
  <si>
    <t xml:space="preserve">Listedeki işler yapabilecekleri kapsamda</t>
  </si>
  <si>
    <t xml:space="preserve">VERMIYOR</t>
  </si>
  <si>
    <t xml:space="preserve">34,5 kV OG hücreleri</t>
  </si>
  <si>
    <t xml:space="preserve">Önce SORU: '36kV RMU ürünlerimiz 630A 16kA/1s'dir. SLD'de ürünler 1250A isteniyor.' Serhat: metal clad 1250A 25kA gerekli. Sonra: uygun ürün yok, teklif vermeyecek. Serhat 02.10 RMU için bütçe istedi; yanıt yok</t>
  </si>
  <si>
    <t xml:space="preserve">OG hücreleri</t>
  </si>
  <si>
    <t xml:space="preserve">Elektrik ve Mekanik</t>
  </si>
  <si>
    <t xml:space="preserve">Teknim (→ Lev Mühendislik)</t>
  </si>
  <si>
    <t xml:space="preserve">YONLENDIRDI</t>
  </si>
  <si>
    <t xml:space="preserve">Yangın ihbar</t>
  </si>
  <si>
    <t xml:space="preserve">Lev Mühendislik – Enver Ertik (enver.ertik@levmuhendislik.com, 0533 170 48 64)'e yönlendirdi; Serhat 02.10 Enver Bey'e RFQ gönderdi, Lev'den yanıt yok</t>
  </si>
  <si>
    <t xml:space="preserve">Cer ve iç ihtiyaç trafoları</t>
  </si>
  <si>
    <t xml:space="preserve">BETAŞ Catalogue.pdf</t>
  </si>
  <si>
    <t xml:space="preserve">Elektrik işleri faaliyet alanı dışı (154 kV+ EPC) → teklif yok; trafo için grup şirketi Gürkan Temel (gurkan.temel@besttransformer.com)'e yönlendirdi. Serhat 02.10 Gürkan Bey'e trafo RFQ gönderdi; yanıt yok</t>
  </si>
  <si>
    <t xml:space="preserve">Keenfinity</t>
  </si>
  <si>
    <t xml:space="preserve">HABERLESME</t>
  </si>
  <si>
    <t xml:space="preserve">Otomatik yanıt: bu kutu okunmuyor</t>
  </si>
  <si>
    <t xml:space="preserve">Yolcu bilgilendirme (YBS)</t>
  </si>
  <si>
    <t xml:space="preserve">2026-10-06</t>
  </si>
  <si>
    <t xml:space="preserve">Yalnız Merkezi Saat Sistemi (MSS) ve Yolcu Bilgilendirme Sistemi (YBS) – üretici olarak</t>
  </si>
  <si>
    <t xml:space="preserve">RayOn_Urfa_HRS_MSS_Keşfi_06102026.xlsx; RayOn_Urfa_HRS_YBS_Keşfi_06102026.xlsx; Tanıtım.zip; RayON_Referanslar_2026.pdf</t>
  </si>
  <si>
    <t xml:space="preserve">CCTV / video güvenlik</t>
  </si>
  <si>
    <t xml:space="preserve">Iqsight (eski Bosch/Keenfinity)</t>
  </si>
  <si>
    <t xml:space="preserve">CCTV / güvenlik</t>
  </si>
  <si>
    <t xml:space="preserve">Partnerler üzerinden; dağıtıcı Teknomaks (Taylan Akpınar)'a yönlendirdi</t>
  </si>
  <si>
    <t xml:space="preserve">Seksiyon izolatörleri / nötr kesimler (Arthur Flury)</t>
  </si>
  <si>
    <t xml:space="preserve">AF SI konfigürasyonu formu.pdf</t>
  </si>
  <si>
    <t xml:space="preserve">Kontak teli 120 mm² Cu ETP, destek iletkeni 2x120 mm², 95 mm² örgülü esnek iletken, depo kontak teli</t>
  </si>
  <si>
    <t xml:space="preserve">Katener direkleri</t>
  </si>
  <si>
    <t xml:space="preserve">Katener direkleri Sıra 222-226: T1-A 114, T2-B 17, T2-B1 4, T3-D 33, T3-C 60 adet</t>
  </si>
  <si>
    <t xml:space="preserve">GUL-A-8-MONTAJ.PDF; GUL-B-8-MONTAJ.PDF; GUL-B1-8-MONTAJ.PDF; GUL-C-8-MONTAJ.PDF; GUL-D-8-MONTAJ.PDF</t>
  </si>
  <si>
    <t xml:space="preserve">İzmir projesi direk çizimleri ekte. C/D kendi çizimine, A/B/B1 proje taban plaklarına göre teklif çalışacak. S355 dikişli boru (dikişsizin ithal/pahalı olduğu, idareye dikişli boru belirtilmesi gerektiği); kesit kontrolü yapamıyorlar; ankraj bulonu ve direk başı kapağı detayı istedi. Serhat 01.10 cevapladı. Fiyat henüz yok</t>
  </si>
  <si>
    <t xml:space="preserve">KAM A.Ş.</t>
  </si>
  <si>
    <t xml:space="preserve">Elektrik ve Katener</t>
  </si>
  <si>
    <t xml:space="preserve">FM200 gazlı söndürme (5005.H, D01 elektrik/elektronik odaları; mekanik cetvel sıra 350)</t>
  </si>
  <si>
    <t xml:space="preserve">01.10: mekanik kapsamı/gazlı söndürme sordu (Serhat mekanik cetveli gönderdi). 05.10: '3 zon'un anlamı, oda hacimleri, 83 L silindire kaç kg gaz, tek silindir/3 panel mi, 3 selector vana mı' sordu; FM200 ile devam ekonomik dedi. Gövdede fiyat YOK. Serhat 05.10 cevapladı</t>
  </si>
  <si>
    <t xml:space="preserve">2026-10-03</t>
  </si>
  <si>
    <t xml:space="preserve">Mekanik tesisat paketi</t>
  </si>
  <si>
    <t xml:space="preserve">SINYAL</t>
  </si>
  <si>
    <t xml:space="preserve">Araç Takip Sistemi (AVLS): Sıra 233/Poz 3002, Sıra 234/Poz 3003, Sıra 235/Poz 3004</t>
  </si>
  <si>
    <t xml:space="preserve">MUKAN Rail Butcesel Teklif - Sanliurfa HRS 1 Etap AVLS 2026-1327584.pdf; MUKAN Rail Teknik Foy ve Marka Sinifi - Sanliurfa HRS 1 Etap AVLS 2026-1327584.pdf; URF_1Etap_SINYALIZASYON_Teklif_Cetveli_MUKAN_AVLS.xlsx</t>
  </si>
  <si>
    <t xml:space="preserve">02.10 E. Tuncer 11 teknik soru sordu (YBS kapsamı, belediye AVLS/API, 15 araç, lup arayüzü, sürücü/sefer no, 3 sn/10 sn güncelleme, SIM, dolap/UPS/switch, 2 sunucu+NAS, ticari koşullar, takvim); Serhat varsayımlarla cevapladı; Tuncer kabul etti. 06.10 bütçesel teklif ekte; gövdede tutar yok. Katener için teklif yok</t>
  </si>
  <si>
    <t xml:space="preserve">Sinyalizasyon + araç takip</t>
  </si>
  <si>
    <t xml:space="preserve">EHT MÜH TANITIM TR.pdf; design_guide_iecex_final.pdf</t>
  </si>
  <si>
    <t xml:space="preserve">EKLERDEN OKUNAN TEKLİF KALEMLERİ</t>
  </si>
  <si>
    <t xml:space="preserve">firma</t>
  </si>
  <si>
    <t xml:space="preserve">tarih</t>
  </si>
  <si>
    <t xml:space="preserve">disiplin</t>
  </si>
  <si>
    <t xml:space="preserve">sira</t>
  </si>
  <si>
    <t xml:space="preserve">poz</t>
  </si>
  <si>
    <t xml:space="preserve">kalem</t>
  </si>
  <si>
    <t xml:space="preserve">birim</t>
  </si>
  <si>
    <t xml:space="preserve">miktar</t>
  </si>
  <si>
    <t xml:space="preserve">malzeme_bf</t>
  </si>
  <si>
    <t xml:space="preserve">iscilik_bf</t>
  </si>
  <si>
    <t xml:space="preserve">para_birimi</t>
  </si>
  <si>
    <t xml:space="preserve">toplam</t>
  </si>
  <si>
    <t xml:space="preserve">not</t>
  </si>
  <si>
    <t xml:space="preserve">Asansör 13 kişi/1000 kg, 2 durak (zemin ±0,00 / üst geçit tabliyesi ~+7,46), MRL dişlisiz, DC beslemeli, VVVF, EN81-20/50/70/73, 1,0 m/s, cam+paslanmaz kabin — S09 Hızmalı Köprüsü üst geçidi</t>
  </si>
  <si>
    <t xml:space="preserve">Marka: TKE; PDF TR-2111355-R00: 12x32.000 + 1x30.200 = 414.200 EUR, malzeme+montaj+nakliye dahil, KDV hariç</t>
  </si>
  <si>
    <t xml:space="preserve">Asansör 13 kişi/1000 kg, 2 durak (zemin ±0,00 / üst geçit tabliyesi ~+7,46), MRL dişlisiz, DC beslemeli, VVVF, EN81-20/50/70/73, 1,0 m/s, cam+paslanmaz kabin — S10 Balıklıgöl üst geçidi</t>
  </si>
  <si>
    <t xml:space="preserve">Asansör 13 kişi/1000 kg, 2 durak (zemin ±0,00 / üst geçit tabliyesi ~+7,46), MRL dişlisiz, DC beslemeli, VVVF, EN81-20/50/70/73, 1,0 m/s, cam+paslanmaz kabin — S11 Eyyüp Peygamber üst geçidi</t>
  </si>
  <si>
    <t xml:space="preserve">Asansör 13 kişi/1000 kg, 2 durak (zemin ±0,00 / üst geçit tabliyesi ~+7,46), MRL dişlisiz, DC beslemeli, VVVF, EN81-20/50/70/73, 1,0 m/s, cam+paslanmaz kabin — S12 Rasathane üst geçidi</t>
  </si>
  <si>
    <t xml:space="preserve">Asansör 10 kişi/800 kg, 2 durak (zemin/1. kat), MRL dişlisiz, DC beslemeli, VVVF, 1,0 m/s — D01 İdari Bina</t>
  </si>
  <si>
    <t xml:space="preserve">Emlift (Elit İnşaat)</t>
  </si>
  <si>
    <t xml:space="preserve">Para birimi xlsx'te boş; PDF teklif 2026/E025 TL, KDV hariç (KDV %20 ayrı)</t>
  </si>
  <si>
    <t xml:space="preserve">SINYALIZASYON (AVLS)</t>
  </si>
  <si>
    <t xml:space="preserve">Arac ustu AVLS bilgisayari (EN 50155, min 48 kanal GPS alicisi, GSM/LTE modem, odometri girisi)</t>
  </si>
  <si>
    <t xml:space="preserve">Marka: Moxa / Advantech / Teltonika (EN 50155); Bütçesel; montaj birim fiyata dahil, işçilik sütunu boş</t>
  </si>
  <si>
    <t xml:space="preserve">Entegre GSM/GPS cati anteni + anten kablosu</t>
  </si>
  <si>
    <t xml:space="preserve">Marka: Huber+Suhner / Antonics / Panorama (IP69K); Bütçesel; montaj birim fiyata dahil, işçilik sütunu boş</t>
  </si>
  <si>
    <t xml:space="preserve">Surucu HMI terminali (gecikme/sefer mesajlari, surucu-sefer no girisi) - her kabine 1</t>
  </si>
  <si>
    <t xml:space="preserve">Marka: Advantech / Moxa (EN 50155 dokunmatik); Bütçesel; montaj birim fiyata dahil, işçilik sütunu boş</t>
  </si>
  <si>
    <t xml:space="preserve">Arac ici arayuz: odometri/hiz, arac PIS/otomatik anons, sinyalizasyon paneli (arac/sefer no), kablaj ve montaj seti</t>
  </si>
  <si>
    <t xml:space="preserve">Marka: MUKAN / Standart Araç Arayüz ve Montaj Kiti; Bütçesel; montaj birim fiyata dahil, işçilik sütunu boş</t>
  </si>
  <si>
    <t xml:space="preserve">M2M data SIM / APN aktivasyonu (kurulum ve test donemi)</t>
  </si>
  <si>
    <t xml:space="preserve">Marka: Turkcell / Vodafone / Türk Telekom M2M; Firma notu: 12 ay kurulum ve test dönemi. İşletme aboneliği dahil değildir.; Bütçesel; montaj birim fiyata dahil, işçilik sütunu boş</t>
  </si>
  <si>
    <t xml:space="preserve">Depo veri indirme/konfigurasyon kablosuz erisim noktasi (depo park ve atolye)</t>
  </si>
  <si>
    <t xml:space="preserve">Marka: Moxa / Cisco / Aruba Endüstriyel Dış Ortam; Bütçesel; montaj birim fiyata dahil, işçilik sütunu boş</t>
  </si>
  <si>
    <t xml:space="preserve">Hat boyu konum destegi: sinyalizasyon lup konum verisinin AVLS'ye aktarimi (ek saha donanimi yok)</t>
  </si>
  <si>
    <t xml:space="preserve">Marka: MUKAN AVLS Sinyalizasyon Lup Adaptörü; Firma notu: Araç üstü konum birleştirme payı. Merkez lup adaptörü Sıra 234 yazılım satırındadır.; Bütçesel; montaj birim fiyata dahil, işçilik sütunu boş</t>
  </si>
  <si>
    <t xml:space="preserve">Kurulum, arac bazli test ve devreye alma - AVLS saha/arac</t>
  </si>
  <si>
    <t xml:space="preserve">Marka: MUKAN Saha ve Kurulum Ekibi; Bütçesel; montaj birim fiyata dahil, işçilik sütunu boş</t>
  </si>
  <si>
    <t xml:space="preserve">AVLS sunucusu (sicak yedekli) - TCC cihaz odasi</t>
  </si>
  <si>
    <t xml:space="preserve">Marka: Dell / HPE / Lenovo (1U Çift PSU); Bütçesel; montaj birim fiyata dahil, işçilik sütunu boş</t>
  </si>
  <si>
    <t xml:space="preserve">Veri kayit/arsiv depolama birimi (NAS/SAN)</t>
  </si>
  <si>
    <t xml:space="preserve">Marka: Synology / QNAP (RAID); Bütçesel; montaj birim fiyata dahil, işçilik sütunu boş</t>
  </si>
  <si>
    <t xml:space="preserve">AVLS operator is istasyonu + 21-24 in monitor + klavye + fare</t>
  </si>
  <si>
    <t xml:space="preserve">takim</t>
  </si>
  <si>
    <t xml:space="preserve">Marka: Dell / HP / Lenovo İş İstasyonu + 2x24"; Bütçesel; montaj birim fiyata dahil, işçilik sütunu boş</t>
  </si>
  <si>
    <t xml:space="preserve">AVLS duvar monitoru 62-65 in (profesyonel 7/24) + duvar/ayak montaj aparati</t>
  </si>
  <si>
    <t xml:space="preserve">Marka: Samsung / LG Profesyonel Seri (65" 7/24); Bütçesel; montaj birim fiyata dahil, işçilik sütunu boş</t>
  </si>
  <si>
    <t xml:space="preserve">GSM/APN VPN router + firewall (yedekli)</t>
  </si>
  <si>
    <t xml:space="preserve">Marka: Fortinet / Teltonika (Yedekli VPN); Bütçesel; montaj birim fiyata dahil, işçilik sütunu boş</t>
  </si>
  <si>
    <t xml:space="preserve">AVLS LAN ethernet anahtari + patch/CAT6</t>
  </si>
  <si>
    <t xml:space="preserve">Marka: Moxa / Cisco / HPE (24 Port Yönetilebilir); Bütçesel; montaj birim fiyata dahil, işçilik sütunu boş</t>
  </si>
  <si>
    <t xml:space="preserve">AVLS merkezi yazilim + lisanslar (cizgisel hat haritasi, hiz asimi, gecikme, raporlama, geliş suresi hesabi, YBS ve sinyalizasyon lup arayuzu)</t>
  </si>
  <si>
    <t xml:space="preserve">Marka: MUKAN AVLS Merkezi Yazılım Suite; Bütçesel; montaj birim fiyata dahil, işçilik sütunu boş</t>
  </si>
  <si>
    <t xml:space="preserve">Belediye mevcut AVLS sistemine entegrasyon (yazilim revizyonu + fiziksel/mantiksal veri linki)</t>
  </si>
  <si>
    <t xml:space="preserve">Marka: MUKAN Entegrasyon ve Veri Linki Modülü; Firma notu: Açık arayüz ve bizim tarafımızdaki iş. Sağlayıcı lisansı ve karşı taraf revizyonu dahil değildir.; Bütçesel; montaj birim fiyata dahil, işçilik sütunu boş</t>
  </si>
  <si>
    <t xml:space="preserve">19 in dolap icinde montaj (sinyalizasyon/haberlesme dolabi payi) + kablolama</t>
  </si>
  <si>
    <t xml:space="preserve">Marka: 19" Dolap İçi Montaj ve Dahili Kablolama; Firma notu: Dolap, UPS ve enerji dahil değildir. Yalnız dolap içi montaj ve kablolama.; Bütçesel; montaj birim fiyata dahil, işçilik sütunu boş</t>
  </si>
  <si>
    <t xml:space="preserve">Merkez kurulum, entegre test, egitim</t>
  </si>
  <si>
    <t xml:space="preserve">Sistem mimarisi, haberlesme altyapisi, veri iletim yapisi, sunucu ve ag topolojisi, yedeklilik senaryolari</t>
  </si>
  <si>
    <t xml:space="preserve">Marka: MUKAN Tasarım &amp; Mühendislik; Bütçesel; montaj birim fiyata dahil, işçilik sütunu boş</t>
  </si>
  <si>
    <t xml:space="preserve">Arac konumlandirma (GPS + odometri + sinyalizasyon lup fuzyonu) tasarimi, arac ustu ekipman yerlesim ve arac ureticisi koordinasyonu (15 arac)</t>
  </si>
  <si>
    <t xml:space="preserve">Kontrol merkezi ekranlari, operator arayuzleri, alarm/raporlama senaryolari, veri kayit yapilari</t>
  </si>
  <si>
    <t xml:space="preserve">Siber guvenlik gereksinimleri (GSM/APN, belediye mevcut AVLS baglantisi) ve entegrasyon prensipleri (sinyalizasyon, YBS, anons, telsiz)</t>
  </si>
  <si>
    <t xml:space="preserve">Marka: MUKAN Siber Güvenlik Tasarımı; Bütçesel; montaj birim fiyata dahil, işçilik sütunu boş</t>
  </si>
  <si>
    <t xml:space="preserve">Uygulama projeleri, tek hat/mimari semalar, yerlesim projeleri, teknik hesap ve raporlar, test senaryolari, revizyonlar</t>
  </si>
  <si>
    <t xml:space="preserve">Asansör 13 kişi/1000 kg, 2 durak – 4 üst geçit × 3</t>
  </si>
  <si>
    <t xml:space="preserve">dahil</t>
  </si>
  <si>
    <t xml:space="preserve">Bakım ücreti dahil değildir (Excel eki)</t>
  </si>
  <si>
    <t xml:space="preserve">Asansör 10 kişi/800 kg, 2 durak – D01 İdari Bina</t>
  </si>
  <si>
    <t xml:space="preserve">Genel toplam 480.000 USD</t>
  </si>
  <si>
    <t xml:space="preserve">ELEKTRIK-HABERLESME</t>
  </si>
  <si>
    <t xml:space="preserve">281–289</t>
  </si>
  <si>
    <t xml:space="preserve">4011/4012</t>
  </si>
  <si>
    <t xml:space="preserve">Merkezi saat sistemi (MSS) – kalem fiyatları Haberlesme sayfasında</t>
  </si>
  <si>
    <t xml:space="preserve">Kablolar ana yüklenicide; mevcut depo entegrasyonu 2.500 € (idare: mevcut sistem yok)</t>
  </si>
  <si>
    <t xml:space="preserve">310–317</t>
  </si>
  <si>
    <t xml:space="preserve">4017/4018</t>
  </si>
  <si>
    <t xml:space="preserve">Yolcu bilgilendirme sistemi (YBS) – 24 adet 55" dış ortam ekran, yazılım, tasarım</t>
  </si>
  <si>
    <t xml:space="preserve">Kablolar ana yüklenicide; mevcut depo entegrasyonu 11.000 € (idare: mevcut sistem yok)</t>
  </si>
  <si>
    <t xml:space="preserve">İDARE CEVAPLARI (05.10.2026) – BU BÜTÇEYE UYGULANAN DÜZELTMELER</t>
  </si>
  <si>
    <t xml:space="preserve">Konu</t>
  </si>
  <si>
    <t xml:space="preserve">RFQ kabulü</t>
  </si>
  <si>
    <t xml:space="preserve">İdare cevabı</t>
  </si>
  <si>
    <t xml:space="preserve">Bütçeye etkisi</t>
  </si>
  <si>
    <t xml:space="preserve">Sayfa</t>
  </si>
  <si>
    <t xml:space="preserve">Kavşak sinyal (229)</t>
  </si>
  <si>
    <t xml:space="preserve">TSKP + 64 trafik lambası + 64 direk + 2.695 m kablo dahil</t>
  </si>
  <si>
    <t xml:space="preserve">TSKP ve lambalar kapsam dışı; irtibat kablolaması kapsamda</t>
  </si>
  <si>
    <t xml:space="preserve">Düşüldü (TSP, lup, arayüz kablosu kalır)</t>
  </si>
  <si>
    <t xml:space="preserve">Araç adedi (231, 233)</t>
  </si>
  <si>
    <t xml:space="preserve">15 araç</t>
  </si>
  <si>
    <t xml:space="preserve">14 araç; araçlar ayrı ihale</t>
  </si>
  <si>
    <t xml:space="preserve">Araç başı kalemler 14'e indirildi</t>
  </si>
  <si>
    <t xml:space="preserve">Ana hat makasları</t>
  </si>
  <si>
    <t xml:space="preserve">12 motorlu + 4 manuel</t>
  </si>
  <si>
    <t xml:space="preserve">Tüm makaslar motorlu</t>
  </si>
  <si>
    <t xml:space="preserve">+4 motor, +çubuk seti, +1 SKP (temkinli); manuel kalemler sıfır</t>
  </si>
  <si>
    <t xml:space="preserve">Depo makasları</t>
  </si>
  <si>
    <t xml:space="preserve">20 motorlu + 20 manuel</t>
  </si>
  <si>
    <t xml:space="preserve">Tamamı motorlu</t>
  </si>
  <si>
    <t xml:space="preserve">+20 motor, +20 lamba, +16 dedektör, kablolar ×2; manuel sıfır</t>
  </si>
  <si>
    <t xml:space="preserve">Ana hat lentesi</t>
  </si>
  <si>
    <t xml:space="preserve">66 lente + 68 temel</t>
  </si>
  <si>
    <t xml:space="preserve">Kullanılmayacak</t>
  </si>
  <si>
    <t xml:space="preserve">Lente teçhizatı ve temelleri düşüldü</t>
  </si>
  <si>
    <t xml:space="preserve">Depo direkleri</t>
  </si>
  <si>
    <t xml:space="preserve">221 setinde 77 direk + temeller</t>
  </si>
  <si>
    <t xml:space="preserve">Cetvel direk kalemleri + sıra 13</t>
  </si>
  <si>
    <t xml:space="preserve">Depo direk/temel kalemleri düşüldü (çift sayım)</t>
  </si>
  <si>
    <t xml:space="preserve">İstasyon UPS</t>
  </si>
  <si>
    <t xml:space="preserve">2 saat</t>
  </si>
  <si>
    <t xml:space="preserve">İstasyon 20 dk; TM 2 saat</t>
  </si>
  <si>
    <t xml:space="preserve">Bu bütçede yalnız TM UPS'leri var (2 saat korundu)</t>
  </si>
  <si>
    <t xml:space="preserve">Cer_Guc</t>
  </si>
  <si>
    <t xml:space="preserve">Mevcut sistem entegrasyonu</t>
  </si>
  <si>
    <t xml:space="preserve">Dahil</t>
  </si>
  <si>
    <t xml:space="preserve">Mevcut sistem yok</t>
  </si>
  <si>
    <t xml:space="preserve">Düşüldü</t>
  </si>
  <si>
    <t xml:space="preserve">Hat uzunluğu</t>
  </si>
  <si>
    <t xml:space="preserve">6,56 km</t>
  </si>
  <si>
    <t xml:space="preserve">6,44 km</t>
  </si>
  <si>
    <t xml:space="preserve">Hat boyu iletken/kablolar × 0,9817</t>
  </si>
  <si>
    <t xml:space="preserve">Katener, Sinyal</t>
  </si>
  <si>
    <t xml:space="preserve">OG ring (170)</t>
  </si>
  <si>
    <t xml:space="preserve">7.000 m</t>
  </si>
  <si>
    <t xml:space="preserve">Tüm kesitler 7.964 m</t>
  </si>
  <si>
    <t xml:space="preserve">Kablo, muf, kelepçe güzergah oranında artırıldı</t>
  </si>
  <si>
    <t xml:space="preserve">TEİAŞ kablosu (171)</t>
  </si>
  <si>
    <t xml:space="preserve">4 kablo/güzergah, 35.424 m</t>
  </si>
  <si>
    <t xml:space="preserve">Aynı</t>
  </si>
  <si>
    <t xml:space="preserve">Değişiklik yok</t>
  </si>
  <si>
    <t xml:space="preserve">—</t>
  </si>
  <si>
    <t xml:space="preserve">İç ihtiyaç trafoları</t>
  </si>
  <si>
    <t xml:space="preserve">Belirtilmemişti</t>
  </si>
  <si>
    <t xml:space="preserve">Cu/Cu sargı zorunlu</t>
  </si>
  <si>
    <t xml:space="preserve">250 / 2000 kVA trafolar Cu/Cu fiyatlandı</t>
  </si>
  <si>
    <t xml:space="preserve">Sıra 228</t>
  </si>
  <si>
    <t xml:space="preserve">Tasarım</t>
  </si>
  <si>
    <t xml:space="preserve">Yalnız tasarım; ekipman 229–232</t>
  </si>
  <si>
    <t xml:space="preserve">Uyumlu</t>
  </si>
  <si>
    <t xml:space="preserve">Kabin splitleri (6001.A–F)</t>
  </si>
  <si>
    <t xml:space="preserve">İstasyon mekaniğinde</t>
  </si>
  <si>
    <t xml:space="preserve">Sıra 143 kabin fiyatında</t>
  </si>
  <si>
    <t xml:space="preserve">Güvenlik kabini split kalemleri sıfırlandı</t>
  </si>
  <si>
    <t xml:space="preserve">İstasyon UPS aküsü</t>
  </si>
  <si>
    <t xml:space="preserve">20 dk; Göbeklitepe 10 kVA</t>
  </si>
  <si>
    <t xml:space="preserve">İstasyon UPS akü kalemleri 20 dk'ya göre fiyatlandı</t>
  </si>
  <si>
    <t xml:space="preserve">İstasyon topraklama elektrodu</t>
  </si>
  <si>
    <t xml:space="preserve">Som bakır (112 adet)</t>
  </si>
  <si>
    <t xml:space="preserve">Galvaniz köşebent</t>
  </si>
  <si>
    <t xml:space="preserve">Elektrot birim fiyatı galvaniz köşebent</t>
  </si>
  <si>
    <t xml:space="preserve">Hatboyu fiber</t>
  </si>
  <si>
    <t xml:space="preserve">2×96 SM + 24 MM</t>
  </si>
  <si>
    <t xml:space="preserve">24 ve 8 core SM</t>
  </si>
  <si>
    <t xml:space="preserve">Fiber kabloları 24/8 core SM olarak fiyatlandı</t>
  </si>
  <si>
    <t xml:space="preserve">Saat sistemi</t>
  </si>
  <si>
    <t xml:space="preserve">4 set (depo)</t>
  </si>
  <si>
    <t xml:space="preserve">Cevap yok</t>
  </si>
  <si>
    <t xml:space="preserve">Kabul korundu</t>
  </si>
  <si>
    <t xml:space="preserve">Turnike adedi</t>
  </si>
  <si>
    <t xml:space="preserve">Cetvel 27 + 19</t>
  </si>
  <si>
    <t xml:space="preserve">Onaylı mimari projeler</t>
  </si>
  <si>
    <t xml:space="preserve">Cetvel adedi kullanıldı; mimariden sayılınca güncellenmeli</t>
  </si>
  <si>
    <t xml:space="preserve">Garanti / yedek parça</t>
  </si>
  <si>
    <t xml:space="preserve">24 ay; 2 yıllık yedek parça sıra 384'ten</t>
  </si>
  <si>
    <t xml:space="preserve">Katener test kalemine yedek parça payı dahil; sinyal yedekleri sıra 384'te</t>
  </si>
  <si>
    <t xml:space="preserve">VARSAYIMLAR (sarı hücreler değiştirilebilir; tüm sayfalar formülle bağlıdır)</t>
  </si>
  <si>
    <t xml:space="preserve">Parametre</t>
  </si>
  <si>
    <t xml:space="preserve">Değer</t>
  </si>
  <si>
    <t xml:space="preserve">Kaynak / açıklama</t>
  </si>
  <si>
    <t xml:space="preserve">EUR/USD kuru</t>
  </si>
  <si>
    <t xml:space="preserve">ECB referans kuru, 02.10.2026 (eurofxref). Teklif günü kuru ile güncelleyin.</t>
  </si>
  <si>
    <t xml:space="preserve">EUR/TRY kuru</t>
  </si>
  <si>
    <t xml:space="preserve">Hat uzunluğu – RFQ kabulü (km)</t>
  </si>
  <si>
    <t xml:space="preserve">Katener şartnamesi; RFQ cetvellerinde kullanıldı</t>
  </si>
  <si>
    <t xml:space="preserve">Hat uzunluğu – idare cevabı (km)</t>
  </si>
  <si>
    <t xml:space="preserve">İdare cevabı 05.10.2026, soru 18</t>
  </si>
  <si>
    <t xml:space="preserve">Hat boyu uzunluk düzeltme oranı</t>
  </si>
  <si>
    <t xml:space="preserve">Hat boyu iletken/kablo uzunluklarına uygulanır</t>
  </si>
  <si>
    <t xml:space="preserve">Araç sayısı – RFQ kabulü</t>
  </si>
  <si>
    <t xml:space="preserve">Sinyal RFQ kabul 5</t>
  </si>
  <si>
    <t xml:space="preserve">Araç sayısı – idare cevabı</t>
  </si>
  <si>
    <t xml:space="preserve">İdare cevabı soru 2 (araçlar ayrı ihale; arayüz yüklenicide)</t>
  </si>
  <si>
    <t xml:space="preserve">OG ring güzergahı – RFQ (m)</t>
  </si>
  <si>
    <t xml:space="preserve">Sıra 170 RFQ</t>
  </si>
  <si>
    <t xml:space="preserve">OG ring güzergahı – idare cevabı (m)</t>
  </si>
  <si>
    <t xml:space="preserve">İdare cevabı soru 21 (tüm kesitler)</t>
  </si>
  <si>
    <t xml:space="preserve">Galvanizli katener direği çeliği, imalat+galvaniz+dikim (EUR/kg)</t>
  </si>
  <si>
    <t xml:space="preserve">Referans medyanı 1,80 €/kg (2013–2016 tramvay) + yerli üretim/montaj payı; Mitaş teklifi gelince güncelleyin</t>
  </si>
  <si>
    <t xml:space="preserve">Risk/belirsizlik payı – Asansör</t>
  </si>
  <si>
    <t xml:space="preserve">2 firma teklifi var, kapsam net</t>
  </si>
  <si>
    <t xml:space="preserve">Risk/belirsizlik payı – Sinyalizasyon + AVLS</t>
  </si>
  <si>
    <t xml:space="preserve">Ayrı sinyal projesi yok; miktarlar öngörü ağırlıklı; tek teklif (Point Link) aykırı</t>
  </si>
  <si>
    <t xml:space="preserve">Risk/belirsizlik payı – Katener</t>
  </si>
  <si>
    <t xml:space="preserve">Proje var; fiyatlar referans + tahmin</t>
  </si>
  <si>
    <t xml:space="preserve">Risk/belirsizlik payı – Cer gücü / enerji temini</t>
  </si>
  <si>
    <t xml:space="preserve">Proje var; teklif yok (Best Transformer, Alfanar bütçe bekleniyor)</t>
  </si>
  <si>
    <t xml:space="preserve">Risk/belirsizlik payı – Mekanik</t>
  </si>
  <si>
    <t xml:space="preserve">Kalem bazlı; referans + tahmin; Ekura/Protek teklifleri bekleniyor</t>
  </si>
  <si>
    <t xml:space="preserve">Risk/belirsizlik payı – Elektrik AG / aydınlatma / yangın ihbar / topraklama</t>
  </si>
  <si>
    <t xml:space="preserve">Kalem bazlı; referans kapsaması düşük</t>
  </si>
  <si>
    <t xml:space="preserve">Risk/belirsizlik payı – Kontrol ve haberleşme (SCADA, CCTV, telsiz, YBS, turnike)</t>
  </si>
  <si>
    <t xml:space="preserve">Kalem bazlı; turnike adedi mimariden sayılacak</t>
  </si>
  <si>
    <t xml:space="preserve">Metraj payları geri alınsın mı? (1 = evet, 0 = RFQ metrajı)</t>
  </si>
  <si>
    <t xml:space="preserve">RFQ'da bilinçli şişirme: uzunluklara %10 fire; Mekanik+Elektrik set alt kalemlerinde dağıtık malzemeye %30 (devir notu bölüm 10). Bütçe net metrajla hesaplanır.</t>
  </si>
  <si>
    <t xml:space="preserve">Fiyat esası</t>
  </si>
  <si>
    <t xml:space="preserve">EUR, Ekim 2026, KDV hariç, Şanlıurfa şantiye teslim, montaj+test+devreye alma dahil (taşeron fiyatı)</t>
  </si>
</sst>
</file>

<file path=xl/styles.xml><?xml version="1.0" encoding="utf-8"?>
<styleSheet xmlns="http://schemas.openxmlformats.org/spreadsheetml/2006/main">
  <numFmts count="9">
    <numFmt numFmtId="164" formatCode="General"/>
    <numFmt numFmtId="165" formatCode="#,##0;[RED]\-#,##0"/>
    <numFmt numFmtId="166" formatCode="0%"/>
    <numFmt numFmtId="167" formatCode="#,##0"/>
    <numFmt numFmtId="168" formatCode="0.0%"/>
    <numFmt numFmtId="169" formatCode="#,##0.00"/>
    <numFmt numFmtId="170" formatCode="0.0000"/>
    <numFmt numFmtId="171" formatCode="\+0%;\-0%"/>
    <numFmt numFmtId="172" formatCode="#,##0.##"/>
  </numFmts>
  <fonts count="1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2"/>
      <charset val="1"/>
    </font>
    <font>
      <b val="true"/>
      <sz val="10"/>
      <color rgb="FFFFFFFF"/>
      <name val="Arial"/>
      <family val="0"/>
      <charset val="1"/>
    </font>
    <font>
      <b val="true"/>
      <sz val="12"/>
      <color rgb="FFFFFFFF"/>
      <name val="Arial"/>
      <family val="0"/>
      <charset val="1"/>
    </font>
    <font>
      <b val="true"/>
      <sz val="10"/>
      <name val="Arial"/>
      <family val="0"/>
      <charset val="1"/>
    </font>
    <font>
      <b val="true"/>
      <sz val="12"/>
      <color rgb="FF1F4E78"/>
      <name val="Arial"/>
      <family val="0"/>
      <charset val="1"/>
    </font>
    <font>
      <b val="true"/>
      <sz val="12"/>
      <name val="Arial"/>
      <family val="0"/>
      <charset val="1"/>
    </font>
    <font>
      <b val="true"/>
      <sz val="10"/>
      <color rgb="FFC55A1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4E78"/>
      <name val="Arial"/>
      <family val="0"/>
      <charset val="1"/>
    </font>
    <font>
      <b val="true"/>
      <sz val="10"/>
      <color rgb="FF1F4E78"/>
      <name val="Arial"/>
      <family val="0"/>
      <charset val="1"/>
    </font>
  </fonts>
  <fills count="13">
    <fill>
      <patternFill patternType="none"/>
    </fill>
    <fill>
      <patternFill patternType="gray125"/>
    </fill>
    <fill>
      <patternFill patternType="solid">
        <fgColor rgb="FF1F4E78"/>
        <bgColor rgb="FF003366"/>
      </patternFill>
    </fill>
    <fill>
      <patternFill patternType="solid">
        <fgColor rgb="FFC6E0B4"/>
        <bgColor rgb="FFC6EFCE"/>
      </patternFill>
    </fill>
    <fill>
      <patternFill patternType="solid">
        <fgColor rgb="FFC55A11"/>
        <bgColor rgb="FFC0504D"/>
      </patternFill>
    </fill>
    <fill>
      <patternFill patternType="solid">
        <fgColor rgb="FFFCE4D6"/>
        <bgColor rgb="FFFFF2CC"/>
      </patternFill>
    </fill>
    <fill>
      <patternFill patternType="solid">
        <fgColor rgb="FFFFE699"/>
        <bgColor rgb="FFFFF2CC"/>
      </patternFill>
    </fill>
    <fill>
      <patternFill patternType="solid">
        <fgColor rgb="FFC6EFCE"/>
        <bgColor rgb="FFC6E0B4"/>
      </patternFill>
    </fill>
    <fill>
      <patternFill patternType="solid">
        <fgColor rgb="FFDDEBF7"/>
        <bgColor rgb="FFEDEDED"/>
      </patternFill>
    </fill>
    <fill>
      <patternFill patternType="solid">
        <fgColor rgb="FFEDEDED"/>
        <bgColor rgb="FFDDEBF7"/>
      </patternFill>
    </fill>
    <fill>
      <patternFill patternType="solid">
        <fgColor rgb="FFFFF2CC"/>
        <bgColor rgb="FFFCE4D6"/>
      </patternFill>
    </fill>
    <fill>
      <patternFill patternType="solid">
        <fgColor rgb="FFFFFFFF"/>
        <bgColor rgb="FFEDEDED"/>
      </patternFill>
    </fill>
    <fill>
      <patternFill patternType="solid">
        <fgColor rgb="FFF8CBAD"/>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true" applyProtection="false">
      <alignment horizontal="general" vertical="top" textRotation="0" wrapText="true" indent="0" shrinkToFit="false"/>
      <protection locked="true" hidden="false"/>
    </xf>
    <xf numFmtId="171" fontId="5" fillId="0" borderId="1" xfId="0" applyFont="true" applyBorder="true" applyAlignment="true" applyProtection="false">
      <alignment horizontal="general" vertical="top"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9" fontId="5" fillId="1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72" fontId="5" fillId="5"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70" fontId="5" fillId="10" borderId="1" xfId="0" applyFont="true" applyBorder="true" applyAlignment="false" applyProtection="false">
      <alignment horizontal="general" vertical="bottom" textRotation="0" wrapText="false" indent="0" shrinkToFit="false"/>
      <protection locked="true" hidden="false"/>
    </xf>
    <xf numFmtId="166" fontId="5" fillId="1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5B9BD5"/>
      <rgbColor rgb="FF7030A0"/>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C6E0B4"/>
      <rgbColor rgb="FFFCE4D6"/>
      <rgbColor rgb="FFCC99FF"/>
      <rgbColor rgb="FFF8CBAD"/>
      <rgbColor rgb="FF4F81BD"/>
      <rgbColor rgb="FF4BACC6"/>
      <rgbColor rgb="FF9BBB59"/>
      <rgbColor rgb="FFFFC000"/>
      <rgbColor rgb="FFFF9900"/>
      <rgbColor rgb="FFED7D31"/>
      <rgbColor rgb="FF8064A2"/>
      <rgbColor rgb="FFA5A5A5"/>
      <rgbColor rgb="FF003366"/>
      <rgbColor rgb="FF70AD47"/>
      <rgbColor rgb="FF003300"/>
      <rgbColor rgb="FF333300"/>
      <rgbColor rgb="FFC55A11"/>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bazında bütçe ve fiyat kaynağı (EUR)</a:t>
            </a:r>
          </a:p>
        </c:rich>
      </c:tx>
      <c:overlay val="0"/>
      <c:spPr>
        <a:noFill/>
        <a:ln w="0">
          <a:noFill/>
        </a:ln>
      </c:spPr>
    </c:title>
    <c:autoTitleDeleted val="0"/>
    <c:plotArea>
      <c:barChart>
        <c:barDir val="bar"/>
        <c:grouping val="stacked"/>
        <c:varyColors val="0"/>
        <c:ser>
          <c:idx val="0"/>
          <c:order val="0"/>
          <c:tx>
            <c:strRef>
              <c:f>Ozet!P13</c:f>
              <c:strCache>
                <c:ptCount val="1"/>
                <c:pt idx="0">
                  <c:v>2026 teklif</c:v>
                </c:pt>
              </c:strCache>
            </c:strRef>
          </c:tx>
          <c:spPr>
            <a:solidFill>
              <a:srgbClr val="70ad47"/>
            </a:solidFill>
            <a:ln w="0">
              <a:solidFill>
                <a:srgbClr val="70ad4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Ozet!$P$14:$P$18</c:f>
              <c:numCache>
                <c:formatCode>#,##0;[RED]\-#,##0</c:formatCode>
                <c:ptCount val="5"/>
                <c:pt idx="0">
                  <c:v>237561.538461538</c:v>
                </c:pt>
                <c:pt idx="1">
                  <c:v>0</c:v>
                </c:pt>
                <c:pt idx="2">
                  <c:v>414200</c:v>
                </c:pt>
                <c:pt idx="3">
                  <c:v>766700</c:v>
                </c:pt>
                <c:pt idx="4">
                  <c:v>0</c:v>
                </c:pt>
              </c:numCache>
            </c:numRef>
          </c:val>
        </c:ser>
        <c:ser>
          <c:idx val="1"/>
          <c:order val="1"/>
          <c:tx>
            <c:strRef>
              <c:f>Ozet!Q13</c:f>
              <c:strCache>
                <c:ptCount val="1"/>
                <c:pt idx="0">
                  <c:v>Geçmiş teklif uyarlama</c:v>
                </c:pt>
              </c:strCache>
            </c:strRef>
          </c:tx>
          <c:spPr>
            <a:solidFill>
              <a:srgbClr val="5b9bd5"/>
            </a:solidFill>
            <a:ln w="0">
              <a:solidFill>
                <a:srgbClr val="5b9b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Ozet!$Q$14:$Q$18</c:f>
              <c:numCache>
                <c:formatCode>#,##0;[RED]\-#,##0</c:formatCode>
                <c:ptCount val="5"/>
                <c:pt idx="0">
                  <c:v>3807584.3144</c:v>
                </c:pt>
                <c:pt idx="1">
                  <c:v>976451.604405594</c:v>
                </c:pt>
                <c:pt idx="2">
                  <c:v>0</c:v>
                </c:pt>
                <c:pt idx="3">
                  <c:v>2837799.22466814</c:v>
                </c:pt>
                <c:pt idx="4">
                  <c:v>6774118.2045498</c:v>
                </c:pt>
              </c:numCache>
            </c:numRef>
          </c:val>
        </c:ser>
        <c:ser>
          <c:idx val="2"/>
          <c:order val="2"/>
          <c:tx>
            <c:strRef>
              <c:f>Ozet!R13</c:f>
              <c:strCache>
                <c:ptCount val="1"/>
                <c:pt idx="0">
                  <c:v>Mühendislik tahmini</c:v>
                </c:pt>
              </c:strCache>
            </c:strRef>
          </c:tx>
          <c:spPr>
            <a:solidFill>
              <a:srgbClr val="ffc000"/>
            </a:solidFill>
            <a:ln w="0">
              <a:solidFill>
                <a:srgbClr val="ffc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Ozet!$R$14:$R$18</c:f>
              <c:numCache>
                <c:formatCode>#,##0;[RED]\-#,##0</c:formatCode>
                <c:ptCount val="5"/>
                <c:pt idx="0">
                  <c:v>1319600.23776224</c:v>
                </c:pt>
                <c:pt idx="1">
                  <c:v>188584.615384615</c:v>
                </c:pt>
                <c:pt idx="2">
                  <c:v>0</c:v>
                </c:pt>
                <c:pt idx="3">
                  <c:v>481507.807239439</c:v>
                </c:pt>
                <c:pt idx="4">
                  <c:v>1857103.7779021</c:v>
                </c:pt>
              </c:numCache>
            </c:numRef>
          </c:val>
        </c:ser>
        <c:gapWidth val="150"/>
        <c:overlap val="100"/>
        <c:axId val="69854273"/>
        <c:axId val="21008260"/>
      </c:barChart>
      <c:catAx>
        <c:axId val="698542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008260"/>
        <c:crosses val="autoZero"/>
        <c:auto val="1"/>
        <c:lblAlgn val="ctr"/>
        <c:lblOffset val="100"/>
        <c:noMultiLvlLbl val="0"/>
      </c:catAx>
      <c:valAx>
        <c:axId val="21008260"/>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EUR</a:t>
                </a:r>
              </a:p>
            </c:rich>
          </c:tx>
          <c:overlay val="0"/>
          <c:spPr>
            <a:noFill/>
            <a:ln w="0">
              <a:noFill/>
            </a:ln>
          </c:spPr>
        </c:title>
        <c:numFmt formatCode="#,##0;[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85427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payları (önerilen bütçe)</a:t>
            </a:r>
          </a:p>
        </c:rich>
      </c:tx>
      <c:overlay val="0"/>
      <c:spPr>
        <a:noFill/>
        <a:ln w="0">
          <a:noFill/>
        </a:ln>
      </c:spPr>
    </c:title>
    <c:autoTitleDeleted val="0"/>
    <c:plotArea>
      <c:pieChart>
        <c:varyColors val="1"/>
        <c:ser>
          <c:idx val="0"/>
          <c:order val="0"/>
          <c:tx>
            <c:strRef>
              <c:f>Ozet!E4</c:f>
              <c:strCache>
                <c:ptCount val="1"/>
                <c:pt idx="0">
                  <c:v>Önerilen bütçe EUR</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Ozet!$A$5:$A$9</c:f>
              <c:strCache>
                <c:ptCount val="5"/>
                <c:pt idx="0">
                  <c:v>1 ELEKTRİK</c:v>
                </c:pt>
                <c:pt idx="1">
                  <c:v>2 MEKANİK</c:v>
                </c:pt>
                <c:pt idx="2">
                  <c:v>3 ASANSÖR</c:v>
                </c:pt>
                <c:pt idx="3">
                  <c:v>4 SİNYALİZASYON</c:v>
                </c:pt>
                <c:pt idx="4">
                  <c:v>5 ELEKTRİFİKASYON</c:v>
                </c:pt>
              </c:strCache>
            </c:strRef>
          </c:cat>
          <c:val>
            <c:numRef>
              <c:f>Ozet!$E$5:$E$9</c:f>
              <c:numCache>
                <c:formatCode>#,##0;[RED]\-#,##0</c:formatCode>
                <c:ptCount val="5"/>
                <c:pt idx="0">
                  <c:v>5632983.39515497</c:v>
                </c:pt>
                <c:pt idx="1">
                  <c:v>1223288.03077972</c:v>
                </c:pt>
                <c:pt idx="2">
                  <c:v>426626</c:v>
                </c:pt>
                <c:pt idx="3">
                  <c:v>4494607.73509834</c:v>
                </c:pt>
                <c:pt idx="4">
                  <c:v>9062783.08157449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14</xdr:row>
      <xdr:rowOff>524520</xdr:rowOff>
    </xdr:from>
    <xdr:to>
      <xdr:col>19</xdr:col>
      <xdr:colOff>276840</xdr:colOff>
      <xdr:row>18</xdr:row>
      <xdr:rowOff>789120</xdr:rowOff>
    </xdr:to>
    <xdr:graphicFrame>
      <xdr:nvGraphicFramePr>
        <xdr:cNvPr id="0" name="Chart 1"/>
        <xdr:cNvGraphicFramePr/>
      </xdr:nvGraphicFramePr>
      <xdr:xfrm>
        <a:off x="19360440" y="42670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23</xdr:row>
      <xdr:rowOff>160200</xdr:rowOff>
    </xdr:from>
    <xdr:to>
      <xdr:col>16</xdr:col>
      <xdr:colOff>936360</xdr:colOff>
      <xdr:row>32</xdr:row>
      <xdr:rowOff>210960</xdr:rowOff>
    </xdr:to>
    <xdr:graphicFrame>
      <xdr:nvGraphicFramePr>
        <xdr:cNvPr id="1" name="Chart 2"/>
        <xdr:cNvGraphicFramePr/>
      </xdr:nvGraphicFramePr>
      <xdr:xfrm>
        <a:off x="1936044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6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8"/>
    <col collapsed="false" customWidth="true" hidden="false" outlineLevel="0" max="3" min="3" style="0" width="18"/>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7" min="7" style="0" width="18"/>
    <col collapsed="false" customWidth="true" hidden="false" outlineLevel="0" max="8" min="8" style="0" width="10"/>
    <col collapsed="false" customWidth="true" hidden="false" outlineLevel="0" max="10" min="9" style="0" width="18"/>
    <col collapsed="false" customWidth="true" hidden="false" outlineLevel="0" max="11" min="11" style="0" width="30"/>
    <col collapsed="false" customWidth="true" hidden="false" outlineLevel="0" max="13" min="12" style="0" width="16"/>
    <col collapsed="false" customWidth="true" hidden="false" outlineLevel="0" max="15" min="15" style="0" width="30"/>
    <col collapsed="false" customWidth="true" hidden="false" outlineLevel="0" max="18" min="16" style="0" width="18"/>
    <col collapsed="false" customWidth="true" hidden="false" outlineLevel="0" max="19" min="19" style="0" width="4"/>
  </cols>
  <sheetData>
    <row r="1" customFormat="false" ht="16.15" hidden="false" customHeight="false" outlineLevel="0" collapsed="false">
      <c r="A1" s="1" t="s">
        <v>0</v>
      </c>
    </row>
    <row r="2" customFormat="false" ht="36" hidden="false" customHeight="true" outlineLevel="0" collapsed="false">
      <c r="A2" s="2" t="s">
        <v>1</v>
      </c>
      <c r="B2" s="2"/>
      <c r="C2" s="2"/>
      <c r="D2" s="2"/>
      <c r="E2" s="2"/>
      <c r="F2" s="2"/>
      <c r="G2" s="2"/>
      <c r="H2" s="2"/>
      <c r="I2" s="2"/>
      <c r="J2" s="2"/>
      <c r="K2" s="2"/>
    </row>
    <row r="4" customFormat="false" ht="4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O4" s="4" t="s">
        <v>15</v>
      </c>
      <c r="P4" s="5"/>
      <c r="Q4" s="5"/>
    </row>
    <row r="5" customFormat="false" ht="26.85" hidden="false" customHeight="false" outlineLevel="0" collapsed="false">
      <c r="A5" s="6" t="s">
        <v>16</v>
      </c>
      <c r="B5" s="7" t="s">
        <v>17</v>
      </c>
      <c r="C5" s="8" t="n">
        <f aca="false">SUMIF($A$15:$A$21,$A5,D$15:D$21)</f>
        <v>5364746.09062378</v>
      </c>
      <c r="D5" s="8" t="n">
        <f aca="false">E5-C5</f>
        <v>268237.304531189</v>
      </c>
      <c r="E5" s="8" t="n">
        <f aca="false">SUMIF($A$15:$A$21,$A5,F$15:F$21)</f>
        <v>5632983.39515497</v>
      </c>
      <c r="F5" s="8" t="n">
        <f aca="false">E5*Varsayimlar!$B$4</f>
        <v>6323023.86106145</v>
      </c>
      <c r="G5" s="8" t="n">
        <f aca="false">E5*Varsayimlar!$B$5</f>
        <v>310743528.993724</v>
      </c>
      <c r="H5" s="9" t="n">
        <f aca="false">E5/$E$10</f>
        <v>0.27029296953957</v>
      </c>
      <c r="I5" s="8" t="n">
        <f aca="false">SUMIF($A$15:$A$21,$A5,G$15:G$21)</f>
        <v>5921860.9884</v>
      </c>
      <c r="J5" s="8" t="n">
        <f aca="false">SUMIF($A$15:$A$21,$A5,H$15:H$21)</f>
        <v>1721471</v>
      </c>
      <c r="K5" s="9" t="n">
        <f aca="false">IF(C5=0,0,SUMIF($A$15:$A$21,$A5,K$15:K$21)/C5)</f>
        <v>0.044281972426754</v>
      </c>
      <c r="L5" s="9" t="n">
        <f aca="false">IF(C5=0,0,SUMIF($A$15:$A$21,$A5,L$15:L$21)/C5)</f>
        <v>0.709741756661083</v>
      </c>
      <c r="M5" s="9" t="n">
        <f aca="false">IF(C5=0,0,SUMIF($A$15:$A$21,$A5,M$15:M$21)/C5)</f>
        <v>0.245976270912162</v>
      </c>
      <c r="O5" s="10" t="s">
        <v>18</v>
      </c>
      <c r="P5" s="11" t="n">
        <f aca="false">E10</f>
        <v>20840288.2426075</v>
      </c>
    </row>
    <row r="6" customFormat="false" ht="26.85" hidden="false" customHeight="false" outlineLevel="0" collapsed="false">
      <c r="A6" s="6" t="s">
        <v>19</v>
      </c>
      <c r="B6" s="7" t="s">
        <v>20</v>
      </c>
      <c r="C6" s="8" t="n">
        <f aca="false">SUMIF($A$15:$A$21,$A6,D$15:D$21)</f>
        <v>1165036.21979021</v>
      </c>
      <c r="D6" s="8" t="n">
        <f aca="false">E6-C6</f>
        <v>58251.8109895105</v>
      </c>
      <c r="E6" s="8" t="n">
        <f aca="false">SUMIF($A$15:$A$21,$A6,F$15:F$21)</f>
        <v>1223288.03077972</v>
      </c>
      <c r="F6" s="8" t="n">
        <f aca="false">E6*Varsayimlar!$B$4</f>
        <v>1373140.81455024</v>
      </c>
      <c r="G6" s="8" t="n">
        <f aca="false">E6*Varsayimlar!$B$5</f>
        <v>67482684.2179633</v>
      </c>
      <c r="H6" s="9" t="n">
        <f aca="false">E6/$E$10</f>
        <v>0.0586982299159728</v>
      </c>
      <c r="I6" s="8" t="n">
        <f aca="false">SUMIF($A$15:$A$21,$A6,G$15:G$21)</f>
        <v>1278454.395</v>
      </c>
      <c r="J6" s="8" t="n">
        <f aca="false">SUMIF($A$15:$A$21,$A6,H$15:H$21)</f>
        <v>0</v>
      </c>
      <c r="K6" s="9" t="n">
        <f aca="false">IF(C6=0,0,SUMIF($A$15:$A$21,$A6,K$15:K$21)/C6)</f>
        <v>0</v>
      </c>
      <c r="L6" s="9" t="n">
        <f aca="false">IF(C6=0,0,SUMIF($A$15:$A$21,$A6,L$15:L$21)/C6)</f>
        <v>0.83812982619667</v>
      </c>
      <c r="M6" s="9" t="n">
        <f aca="false">IF(C6=0,0,SUMIF($A$15:$A$21,$A6,M$15:M$21)/C6)</f>
        <v>0.16187017380333</v>
      </c>
      <c r="O6" s="10" t="s">
        <v>21</v>
      </c>
      <c r="P6" s="11" t="n">
        <f aca="false">F10</f>
        <v>23393223.5523269</v>
      </c>
    </row>
    <row r="7" customFormat="false" ht="15" hidden="false" customHeight="false" outlineLevel="0" collapsed="false">
      <c r="A7" s="6" t="s">
        <v>22</v>
      </c>
      <c r="B7" s="7" t="s">
        <v>23</v>
      </c>
      <c r="C7" s="8" t="n">
        <f aca="false">SUMIF($A$15:$A$21,$A7,D$15:D$21)</f>
        <v>414200</v>
      </c>
      <c r="D7" s="8" t="n">
        <f aca="false">E7-C7</f>
        <v>12426</v>
      </c>
      <c r="E7" s="8" t="n">
        <f aca="false">SUMIF($A$15:$A$21,$A7,F$15:F$21)</f>
        <v>426626</v>
      </c>
      <c r="F7" s="8" t="n">
        <f aca="false">E7*Varsayimlar!$B$4</f>
        <v>478887.685</v>
      </c>
      <c r="G7" s="8" t="n">
        <f aca="false">E7*Varsayimlar!$B$5</f>
        <v>23534823.29</v>
      </c>
      <c r="H7" s="9" t="n">
        <f aca="false">E7/$E$10</f>
        <v>0.0204712139790741</v>
      </c>
      <c r="I7" s="8" t="n">
        <f aca="false">SUMIF($A$15:$A$21,$A7,G$15:G$21)</f>
        <v>414200</v>
      </c>
      <c r="J7" s="8" t="n">
        <f aca="false">SUMIF($A$15:$A$21,$A7,H$15:H$21)</f>
        <v>353484.999546814</v>
      </c>
      <c r="K7" s="9" t="n">
        <f aca="false">IF(C7=0,0,SUMIF($A$15:$A$21,$A7,K$15:K$21)/C7)</f>
        <v>1</v>
      </c>
      <c r="L7" s="9" t="n">
        <f aca="false">IF(C7=0,0,SUMIF($A$15:$A$21,$A7,L$15:L$21)/C7)</f>
        <v>0</v>
      </c>
      <c r="M7" s="9" t="n">
        <f aca="false">IF(C7=0,0,SUMIF($A$15:$A$21,$A7,M$15:M$21)/C7)</f>
        <v>0</v>
      </c>
      <c r="O7" s="10" t="s">
        <v>24</v>
      </c>
      <c r="P7" s="11" t="n">
        <f aca="false">G10</f>
        <v>1149654500.90344</v>
      </c>
    </row>
    <row r="8" customFormat="false" ht="15" hidden="false" customHeight="false" outlineLevel="0" collapsed="false">
      <c r="A8" s="6" t="s">
        <v>25</v>
      </c>
      <c r="B8" s="7" t="s">
        <v>26</v>
      </c>
      <c r="C8" s="8" t="n">
        <f aca="false">SUMIF($A$15:$A$21,$A8,D$15:D$21)</f>
        <v>4086007.03190758</v>
      </c>
      <c r="D8" s="8" t="n">
        <f aca="false">E8-C8</f>
        <v>408600.703190758</v>
      </c>
      <c r="E8" s="8" t="n">
        <f aca="false">SUMIF($A$15:$A$21,$A8,F$15:F$21)</f>
        <v>4494607.73509834</v>
      </c>
      <c r="F8" s="8" t="n">
        <f aca="false">E8*Varsayimlar!$B$4</f>
        <v>5045197.18264789</v>
      </c>
      <c r="G8" s="8" t="n">
        <f aca="false">E8*Varsayimlar!$B$5</f>
        <v>247945035.7067</v>
      </c>
      <c r="H8" s="9" t="n">
        <f aca="false">E8/$E$10</f>
        <v>0.215669173227135</v>
      </c>
      <c r="I8" s="8" t="n">
        <f aca="false">SUMIF($A$15:$A$21,$A8,G$15:G$21)</f>
        <v>3958378.09</v>
      </c>
      <c r="J8" s="8" t="n">
        <f aca="false">SUMIF($A$15:$A$21,$A8,H$15:H$21)</f>
        <v>3121990</v>
      </c>
      <c r="K8" s="9" t="n">
        <f aca="false">IF(C8=0,0,SUMIF($A$15:$A$21,$A8,K$15:K$21)/C8)</f>
        <v>0.187640401500254</v>
      </c>
      <c r="L8" s="9" t="n">
        <f aca="false">IF(C8=0,0,SUMIF($A$15:$A$21,$A8,L$15:L$21)/C8)</f>
        <v>0.694516480884101</v>
      </c>
      <c r="M8" s="9" t="n">
        <f aca="false">IF(C8=0,0,SUMIF($A$15:$A$21,$A8,M$15:M$21)/C8)</f>
        <v>0.117843117615645</v>
      </c>
      <c r="O8" s="10" t="s">
        <v>27</v>
      </c>
      <c r="P8" s="12" t="n">
        <v>1625</v>
      </c>
    </row>
    <row r="9" customFormat="false" ht="15" hidden="false" customHeight="false" outlineLevel="0" collapsed="false">
      <c r="A9" s="6" t="s">
        <v>28</v>
      </c>
      <c r="B9" s="7" t="s">
        <v>29</v>
      </c>
      <c r="C9" s="8" t="n">
        <f aca="false">SUMIF($A$15:$A$21,$A9,D$15:D$21)</f>
        <v>8631221.98245189</v>
      </c>
      <c r="D9" s="8" t="n">
        <f aca="false">E9-C9</f>
        <v>431561.099122595</v>
      </c>
      <c r="E9" s="8" t="n">
        <f aca="false">SUMIF($A$15:$A$21,$A9,F$15:F$21)</f>
        <v>9062783.08157449</v>
      </c>
      <c r="F9" s="8" t="n">
        <f aca="false">E9*Varsayimlar!$B$4</f>
        <v>10172974.0090674</v>
      </c>
      <c r="G9" s="8" t="n">
        <f aca="false">E9*Varsayimlar!$B$5</f>
        <v>499948428.695057</v>
      </c>
      <c r="H9" s="9" t="n">
        <f aca="false">E9/$E$10</f>
        <v>0.434868413338249</v>
      </c>
      <c r="I9" s="8" t="n">
        <f aca="false">SUMIF($A$15:$A$21,$A9,G$15:G$21)</f>
        <v>9919646.61</v>
      </c>
      <c r="J9" s="8" t="n">
        <f aca="false">SUMIF($A$15:$A$21,$A9,H$15:H$21)</f>
        <v>5700579</v>
      </c>
      <c r="K9" s="9" t="n">
        <f aca="false">IF(C9=0,0,SUMIF($A$15:$A$21,$A9,K$15:K$21)/C9)</f>
        <v>0</v>
      </c>
      <c r="L9" s="9" t="n">
        <f aca="false">IF(C9=0,0,SUMIF($A$15:$A$21,$A9,L$15:L$21)/C9)</f>
        <v>0.784838834909151</v>
      </c>
      <c r="M9" s="9" t="n">
        <f aca="false">IF(C9=0,0,SUMIF($A$15:$A$21,$A9,M$15:M$21)/C9)</f>
        <v>0.215161165090849</v>
      </c>
      <c r="O9" s="10" t="s">
        <v>30</v>
      </c>
      <c r="P9" s="13" t="n">
        <f aca="false">K10+L10</f>
        <v>0.80434590856356</v>
      </c>
    </row>
    <row r="10" customFormat="false" ht="15" hidden="false" customHeight="false" outlineLevel="0" collapsed="false">
      <c r="A10" s="14" t="s">
        <v>31</v>
      </c>
      <c r="B10" s="15"/>
      <c r="C10" s="16" t="n">
        <f aca="false">SUM(C5:C9)</f>
        <v>19661211.3247735</v>
      </c>
      <c r="D10" s="16" t="n">
        <f aca="false">SUM(D5:D9)</f>
        <v>1179076.91783405</v>
      </c>
      <c r="E10" s="16" t="n">
        <f aca="false">SUM(E5:E9)</f>
        <v>20840288.2426075</v>
      </c>
      <c r="F10" s="16" t="n">
        <f aca="false">SUM(F5:F9)</f>
        <v>23393223.5523269</v>
      </c>
      <c r="G10" s="16" t="n">
        <f aca="false">SUM(G5:G9)</f>
        <v>1149654500.90344</v>
      </c>
      <c r="H10" s="17" t="n">
        <f aca="false">SUM(H5:H9)</f>
        <v>1</v>
      </c>
      <c r="I10" s="16" t="n">
        <f aca="false">SUM(I5:I9)</f>
        <v>21492540.0834</v>
      </c>
      <c r="J10" s="16" t="n">
        <f aca="false">SUM(J5:J9)</f>
        <v>10897524.9995468</v>
      </c>
      <c r="K10" s="18" t="n">
        <f aca="false">SUMPRODUCT(C5:C9,K5:K9)/C10</f>
        <v>0.0721451753419817</v>
      </c>
      <c r="L10" s="18" t="n">
        <f aca="false">SUMPRODUCT(C5:C9,L5:L9)/C10</f>
        <v>0.732200733221579</v>
      </c>
      <c r="M10" s="18" t="n">
        <f aca="false">SUMPRODUCT(C5:C9,M5:M9)/C10</f>
        <v>0.19565409143644</v>
      </c>
    </row>
    <row r="12" customFormat="false" ht="15" hidden="false" customHeight="false" outlineLevel="0" collapsed="false">
      <c r="O12" s="19" t="s">
        <v>32</v>
      </c>
    </row>
    <row r="13" customFormat="false" ht="15" hidden="false" customHeight="false" outlineLevel="0" collapsed="false">
      <c r="A13" s="20" t="s">
        <v>33</v>
      </c>
      <c r="O13" s="21" t="s">
        <v>2</v>
      </c>
      <c r="P13" s="21" t="s">
        <v>34</v>
      </c>
      <c r="Q13" s="21" t="s">
        <v>35</v>
      </c>
      <c r="R13" s="21" t="s">
        <v>36</v>
      </c>
    </row>
    <row r="14" customFormat="false" ht="23.85" hidden="false" customHeight="false" outlineLevel="0" collapsed="false">
      <c r="A14" s="3" t="s">
        <v>2</v>
      </c>
      <c r="B14" s="3" t="s">
        <v>37</v>
      </c>
      <c r="C14" s="3" t="s">
        <v>38</v>
      </c>
      <c r="D14" s="3" t="s">
        <v>39</v>
      </c>
      <c r="E14" s="3" t="s">
        <v>40</v>
      </c>
      <c r="F14" s="3" t="s">
        <v>41</v>
      </c>
      <c r="G14" s="3" t="s">
        <v>42</v>
      </c>
      <c r="H14" s="3" t="s">
        <v>43</v>
      </c>
      <c r="I14" s="3" t="s">
        <v>44</v>
      </c>
      <c r="J14" s="3" t="s">
        <v>45</v>
      </c>
      <c r="K14" s="3" t="s">
        <v>46</v>
      </c>
      <c r="L14" s="3" t="s">
        <v>47</v>
      </c>
      <c r="M14" s="3" t="s">
        <v>48</v>
      </c>
      <c r="O14" s="22" t="s">
        <v>16</v>
      </c>
      <c r="P14" s="23" t="n">
        <f aca="false">SUMIF($A$15:$A$21,$O14,K$15:K$21)</f>
        <v>237561.538461538</v>
      </c>
      <c r="Q14" s="23" t="n">
        <f aca="false">SUMIF($A$15:$A$21,$O14,L$15:L$21)</f>
        <v>3807584.3144</v>
      </c>
      <c r="R14" s="23" t="n">
        <f aca="false">SUMIF($A$15:$A$21,$O14,M$15:M$21)</f>
        <v>1319600.23776224</v>
      </c>
    </row>
    <row r="15" customFormat="false" ht="77.6" hidden="false" customHeight="false" outlineLevel="0" collapsed="false">
      <c r="A15" s="7" t="s">
        <v>16</v>
      </c>
      <c r="B15" s="7" t="s">
        <v>49</v>
      </c>
      <c r="C15" s="7" t="s">
        <v>50</v>
      </c>
      <c r="D15" s="8" t="n">
        <f aca="false">Elektrik_AG!$J$675</f>
        <v>3185849.67446993</v>
      </c>
      <c r="E15" s="9" t="n">
        <f aca="false">Varsayimlar!$B$19</f>
        <v>0.05</v>
      </c>
      <c r="F15" s="8" t="n">
        <f aca="false">D15*(1+E15)</f>
        <v>3345142.15819343</v>
      </c>
      <c r="G15" s="8" t="n">
        <f aca="false">Elektrik_AG!$J$676</f>
        <v>3503925.0184</v>
      </c>
      <c r="H15" s="8"/>
      <c r="I15" s="7"/>
      <c r="J15" s="7" t="s">
        <v>51</v>
      </c>
      <c r="K15" s="8" t="n">
        <f aca="false">Elektrik_AG!$J$680</f>
        <v>0</v>
      </c>
      <c r="L15" s="8" t="n">
        <f aca="false">Elektrik_AG!$J$681</f>
        <v>2357991.43670769</v>
      </c>
      <c r="M15" s="8" t="n">
        <f aca="false">Elektrik_AG!$J$682</f>
        <v>827858.237762238</v>
      </c>
      <c r="O15" s="22" t="s">
        <v>19</v>
      </c>
      <c r="P15" s="23" t="n">
        <f aca="false">SUMIF($A$15:$A$21,$O15,K$15:K$21)</f>
        <v>0</v>
      </c>
      <c r="Q15" s="23" t="n">
        <f aca="false">SUMIF($A$15:$A$21,$O15,L$15:L$21)</f>
        <v>976451.604405594</v>
      </c>
      <c r="R15" s="23" t="n">
        <f aca="false">SUMIF($A$15:$A$21,$O15,M$15:M$21)</f>
        <v>188584.615384615</v>
      </c>
    </row>
    <row r="16" customFormat="false" ht="64.9" hidden="false" customHeight="false" outlineLevel="0" collapsed="false">
      <c r="A16" s="7" t="s">
        <v>16</v>
      </c>
      <c r="B16" s="7" t="s">
        <v>52</v>
      </c>
      <c r="C16" s="7" t="s">
        <v>53</v>
      </c>
      <c r="D16" s="8" t="n">
        <f aca="false">Haberlesme!$J$543</f>
        <v>2178896.41615385</v>
      </c>
      <c r="E16" s="9" t="n">
        <f aca="false">Varsayimlar!$B$20</f>
        <v>0.05</v>
      </c>
      <c r="F16" s="8" t="n">
        <f aca="false">D16*(1+E16)</f>
        <v>2287841.23696154</v>
      </c>
      <c r="G16" s="8" t="n">
        <f aca="false">Haberlesme!$J$544</f>
        <v>2417935.97</v>
      </c>
      <c r="H16" s="8" t="n">
        <f aca="false">Teklifler!F14</f>
        <v>1721471</v>
      </c>
      <c r="I16" s="7" t="s">
        <v>54</v>
      </c>
      <c r="J16" s="7" t="s">
        <v>55</v>
      </c>
      <c r="K16" s="8" t="n">
        <f aca="false">Haberlesme!$J$548</f>
        <v>237561.538461538</v>
      </c>
      <c r="L16" s="8" t="n">
        <f aca="false">Haberlesme!$J$549</f>
        <v>1449592.87769231</v>
      </c>
      <c r="M16" s="8" t="n">
        <f aca="false">Haberlesme!$J$550</f>
        <v>491742</v>
      </c>
      <c r="O16" s="22" t="s">
        <v>22</v>
      </c>
      <c r="P16" s="23" t="n">
        <f aca="false">SUMIF($A$15:$A$21,$O16,K$15:K$21)</f>
        <v>414200</v>
      </c>
      <c r="Q16" s="23" t="n">
        <f aca="false">SUMIF($A$15:$A$21,$O16,L$15:L$21)</f>
        <v>0</v>
      </c>
      <c r="R16" s="23" t="n">
        <f aca="false">SUMIF($A$15:$A$21,$O16,M$15:M$21)</f>
        <v>0</v>
      </c>
    </row>
    <row r="17" customFormat="false" ht="26.85" hidden="false" customHeight="false" outlineLevel="0" collapsed="false">
      <c r="A17" s="7" t="s">
        <v>19</v>
      </c>
      <c r="B17" s="7" t="s">
        <v>56</v>
      </c>
      <c r="C17" s="7" t="s">
        <v>57</v>
      </c>
      <c r="D17" s="8" t="n">
        <f aca="false">Mekanik!$J$321</f>
        <v>1165036.21979021</v>
      </c>
      <c r="E17" s="9" t="n">
        <f aca="false">Varsayimlar!$B$18</f>
        <v>0.05</v>
      </c>
      <c r="F17" s="8" t="n">
        <f aca="false">D17*(1+E17)</f>
        <v>1223288.03077972</v>
      </c>
      <c r="G17" s="8" t="n">
        <f aca="false">Mekanik!$J$322</f>
        <v>1278454.395</v>
      </c>
      <c r="H17" s="8"/>
      <c r="I17" s="7"/>
      <c r="J17" s="7" t="s">
        <v>58</v>
      </c>
      <c r="K17" s="8" t="n">
        <f aca="false">Mekanik!$J$326</f>
        <v>0</v>
      </c>
      <c r="L17" s="8" t="n">
        <f aca="false">Mekanik!$J$327</f>
        <v>976451.604405594</v>
      </c>
      <c r="M17" s="8" t="n">
        <f aca="false">Mekanik!$J$328</f>
        <v>188584.615384615</v>
      </c>
      <c r="O17" s="22" t="s">
        <v>25</v>
      </c>
      <c r="P17" s="23" t="n">
        <f aca="false">SUMIF($A$15:$A$21,$O17,K$15:K$21)</f>
        <v>766700</v>
      </c>
      <c r="Q17" s="23" t="n">
        <f aca="false">SUMIF($A$15:$A$21,$O17,L$15:L$21)</f>
        <v>2837799.22466814</v>
      </c>
      <c r="R17" s="23" t="n">
        <f aca="false">SUMIF($A$15:$A$21,$O17,M$15:M$21)</f>
        <v>481507.807239439</v>
      </c>
    </row>
    <row r="18" customFormat="false" ht="64.9" hidden="false" customHeight="false" outlineLevel="0" collapsed="false">
      <c r="A18" s="7" t="s">
        <v>22</v>
      </c>
      <c r="B18" s="7" t="s">
        <v>59</v>
      </c>
      <c r="C18" s="7" t="s">
        <v>60</v>
      </c>
      <c r="D18" s="8" t="n">
        <f aca="false">Asansor!$J$13</f>
        <v>414200</v>
      </c>
      <c r="E18" s="9" t="n">
        <f aca="false">Varsayimlar!$B$14</f>
        <v>0.03</v>
      </c>
      <c r="F18" s="8" t="n">
        <f aca="false">D18*(1+E18)</f>
        <v>426626</v>
      </c>
      <c r="G18" s="8" t="n">
        <f aca="false">Asansor!$J$14</f>
        <v>414200</v>
      </c>
      <c r="H18" s="8" t="n">
        <f aca="false">MIN(Teklifler!F4:F6)</f>
        <v>353484.999546814</v>
      </c>
      <c r="I18" s="7" t="s">
        <v>61</v>
      </c>
      <c r="J18" s="7" t="s">
        <v>62</v>
      </c>
      <c r="K18" s="8" t="n">
        <f aca="false">Asansor!$J$18</f>
        <v>414200</v>
      </c>
      <c r="L18" s="8" t="n">
        <f aca="false">Asansor!$J$19</f>
        <v>0</v>
      </c>
      <c r="M18" s="8" t="n">
        <f aca="false">Asansor!$J$20</f>
        <v>0</v>
      </c>
      <c r="O18" s="22" t="s">
        <v>28</v>
      </c>
      <c r="P18" s="23" t="n">
        <f aca="false">SUMIF($A$15:$A$21,$O18,K$15:K$21)</f>
        <v>0</v>
      </c>
      <c r="Q18" s="23" t="n">
        <f aca="false">SUMIF($A$15:$A$21,$O18,L$15:L$21)</f>
        <v>6774118.2045498</v>
      </c>
      <c r="R18" s="23" t="n">
        <f aca="false">SUMIF($A$15:$A$21,$O18,M$15:M$21)</f>
        <v>1857103.7779021</v>
      </c>
    </row>
    <row r="19" customFormat="false" ht="77.6" hidden="false" customHeight="false" outlineLevel="0" collapsed="false">
      <c r="A19" s="7" t="s">
        <v>25</v>
      </c>
      <c r="B19" s="7" t="s">
        <v>63</v>
      </c>
      <c r="C19" s="7" t="s">
        <v>64</v>
      </c>
      <c r="D19" s="8" t="n">
        <f aca="false">Sinyal!$J$95</f>
        <v>4086007.03190758</v>
      </c>
      <c r="E19" s="9" t="n">
        <f aca="false">Varsayimlar!$B$15</f>
        <v>0.1</v>
      </c>
      <c r="F19" s="8" t="n">
        <f aca="false">D19*(1+E19)</f>
        <v>4494607.73509834</v>
      </c>
      <c r="G19" s="8" t="n">
        <f aca="false">Sinyal!$J$96</f>
        <v>3958378.09</v>
      </c>
      <c r="H19" s="8" t="n">
        <f aca="false">Teklifler!F8</f>
        <v>3121990</v>
      </c>
      <c r="I19" s="7" t="s">
        <v>65</v>
      </c>
      <c r="J19" s="7" t="s">
        <v>66</v>
      </c>
      <c r="K19" s="8" t="n">
        <f aca="false">Sinyal!$J$100</f>
        <v>766700</v>
      </c>
      <c r="L19" s="8" t="n">
        <f aca="false">Sinyal!$J$101</f>
        <v>2837799.22466814</v>
      </c>
      <c r="M19" s="8" t="n">
        <f aca="false">Sinyal!$J$102</f>
        <v>481507.807239439</v>
      </c>
    </row>
    <row r="20" customFormat="false" ht="39.55" hidden="false" customHeight="false" outlineLevel="0" collapsed="false">
      <c r="A20" s="7" t="s">
        <v>28</v>
      </c>
      <c r="B20" s="7" t="s">
        <v>67</v>
      </c>
      <c r="C20" s="7" t="s">
        <v>68</v>
      </c>
      <c r="D20" s="8" t="n">
        <f aca="false">Cer_Guc!$J$125</f>
        <v>6526541.16251748</v>
      </c>
      <c r="E20" s="9" t="n">
        <f aca="false">Varsayimlar!$B$17</f>
        <v>0.05</v>
      </c>
      <c r="F20" s="8" t="n">
        <f aca="false">D20*(1+E20)</f>
        <v>6852868.22064336</v>
      </c>
      <c r="G20" s="8" t="n">
        <f aca="false">Cer_Guc!$J$126</f>
        <v>6509747.18</v>
      </c>
      <c r="H20" s="8" t="n">
        <f aca="false">Teklifler!F12</f>
        <v>3360189</v>
      </c>
      <c r="I20" s="7" t="s">
        <v>69</v>
      </c>
      <c r="J20" s="7"/>
      <c r="K20" s="8" t="n">
        <f aca="false">Cer_Guc!$J$130</f>
        <v>0</v>
      </c>
      <c r="L20" s="8" t="n">
        <f aca="false">Cer_Guc!$J$131</f>
        <v>5132319.02097902</v>
      </c>
      <c r="M20" s="8" t="n">
        <f aca="false">Cer_Guc!$J$132</f>
        <v>1394222.14153846</v>
      </c>
    </row>
    <row r="21" customFormat="false" ht="39.55" hidden="false" customHeight="false" outlineLevel="0" collapsed="false">
      <c r="A21" s="7" t="s">
        <v>28</v>
      </c>
      <c r="B21" s="7" t="s">
        <v>70</v>
      </c>
      <c r="C21" s="7" t="s">
        <v>71</v>
      </c>
      <c r="D21" s="8" t="n">
        <f aca="false">Katener!$J$96</f>
        <v>2104680.81993441</v>
      </c>
      <c r="E21" s="9" t="n">
        <f aca="false">Varsayimlar!$B$16</f>
        <v>0.05</v>
      </c>
      <c r="F21" s="8" t="n">
        <f aca="false">D21*(1+E21)</f>
        <v>2209914.86093113</v>
      </c>
      <c r="G21" s="8" t="n">
        <f aca="false">Katener!$J$97</f>
        <v>3409899.43</v>
      </c>
      <c r="H21" s="8" t="n">
        <f aca="false">Teklifler!F10</f>
        <v>2340390</v>
      </c>
      <c r="I21" s="7" t="s">
        <v>72</v>
      </c>
      <c r="J21" s="7" t="s">
        <v>73</v>
      </c>
      <c r="K21" s="8" t="n">
        <f aca="false">Katener!$J$101</f>
        <v>0</v>
      </c>
      <c r="L21" s="8" t="n">
        <f aca="false">Katener!$J$102</f>
        <v>1641799.18357078</v>
      </c>
      <c r="M21" s="8" t="n">
        <f aca="false">Katener!$J$103</f>
        <v>462881.636363636</v>
      </c>
    </row>
    <row r="23" customFormat="false" ht="19.5" hidden="false" customHeight="true" outlineLevel="0" collapsed="false">
      <c r="A23" s="24" t="s">
        <v>74</v>
      </c>
      <c r="B23" s="25"/>
      <c r="C23" s="25"/>
      <c r="D23" s="25"/>
      <c r="E23" s="25"/>
      <c r="F23" s="25"/>
      <c r="G23" s="25"/>
      <c r="H23" s="25"/>
    </row>
    <row r="24" customFormat="false" ht="15" hidden="false" customHeight="false" outlineLevel="0" collapsed="false">
      <c r="A24" s="26" t="s">
        <v>75</v>
      </c>
      <c r="B24" s="26" t="s">
        <v>76</v>
      </c>
      <c r="C24" s="26"/>
      <c r="D24" s="26"/>
      <c r="E24" s="26" t="s">
        <v>77</v>
      </c>
    </row>
    <row r="25" customFormat="false" ht="30" hidden="false" customHeight="true" outlineLevel="0" collapsed="false">
      <c r="A25" s="27" t="s">
        <v>78</v>
      </c>
      <c r="B25" s="7" t="s">
        <v>79</v>
      </c>
      <c r="C25" s="7"/>
      <c r="D25" s="7"/>
      <c r="E25" s="28" t="n">
        <f aca="false">Sinyal!$J$103</f>
        <v>434995.6</v>
      </c>
    </row>
    <row r="26" customFormat="false" ht="30" hidden="false" customHeight="true" outlineLevel="0" collapsed="false">
      <c r="A26" s="27" t="s">
        <v>80</v>
      </c>
      <c r="B26" s="7" t="s">
        <v>81</v>
      </c>
      <c r="C26" s="7"/>
      <c r="D26" s="7"/>
      <c r="E26" s="28" t="n">
        <f aca="false">Katener!$J$104</f>
        <v>455780.08</v>
      </c>
    </row>
    <row r="27" customFormat="false" ht="30" hidden="false" customHeight="true" outlineLevel="0" collapsed="false">
      <c r="A27" s="27" t="s">
        <v>82</v>
      </c>
      <c r="B27" s="7" t="s">
        <v>83</v>
      </c>
      <c r="C27" s="7"/>
      <c r="D27" s="7"/>
      <c r="E27" s="28" t="n">
        <f aca="false">Mekanik!$J$329</f>
        <v>10893.84</v>
      </c>
    </row>
    <row r="28" customFormat="false" ht="30" hidden="false" customHeight="true" outlineLevel="0" collapsed="false">
      <c r="A28" s="27" t="s">
        <v>84</v>
      </c>
      <c r="B28" s="7" t="s">
        <v>85</v>
      </c>
      <c r="C28" s="7"/>
      <c r="D28" s="7"/>
      <c r="E28" s="28" t="n">
        <f aca="false">Elektrik_AG!$J$683</f>
        <v>976.8</v>
      </c>
    </row>
    <row r="29" customFormat="false" ht="30" hidden="false" customHeight="true" outlineLevel="0" collapsed="false">
      <c r="A29" s="27" t="s">
        <v>86</v>
      </c>
      <c r="B29" s="7" t="s">
        <v>87</v>
      </c>
      <c r="C29" s="7"/>
      <c r="D29" s="7"/>
      <c r="E29" s="28" t="n">
        <f aca="false">Haberlesme!$J$551</f>
        <v>90712.59</v>
      </c>
    </row>
    <row r="30" customFormat="false" ht="15" hidden="false" customHeight="false" outlineLevel="0" collapsed="false">
      <c r="A30" s="19" t="s">
        <v>88</v>
      </c>
      <c r="E30" s="29" t="n">
        <f aca="false">SUM(E25:E29)</f>
        <v>993358.91</v>
      </c>
    </row>
    <row r="31" customFormat="false" ht="27.75" hidden="false" customHeight="true" outlineLevel="0" collapsed="false">
      <c r="A31" s="2" t="s">
        <v>89</v>
      </c>
      <c r="B31" s="2"/>
      <c r="C31" s="2"/>
      <c r="D31" s="2"/>
      <c r="E31" s="2"/>
      <c r="F31" s="2"/>
      <c r="G31" s="2"/>
      <c r="H31" s="2"/>
    </row>
    <row r="33" customFormat="false" ht="19.5" hidden="false" customHeight="true" outlineLevel="0" collapsed="false">
      <c r="A33" s="24" t="s">
        <v>90</v>
      </c>
      <c r="B33" s="25"/>
      <c r="C33" s="25"/>
      <c r="D33" s="25"/>
      <c r="E33" s="25"/>
      <c r="F33" s="25"/>
      <c r="G33" s="25"/>
      <c r="H33" s="25"/>
    </row>
    <row r="34" customFormat="false" ht="15" hidden="false" customHeight="false" outlineLevel="0" collapsed="false">
      <c r="A34" s="26" t="s">
        <v>91</v>
      </c>
      <c r="B34" s="26" t="s">
        <v>45</v>
      </c>
      <c r="C34" s="26" t="s">
        <v>92</v>
      </c>
      <c r="D34" s="26" t="s">
        <v>93</v>
      </c>
      <c r="E34" s="26" t="s">
        <v>94</v>
      </c>
      <c r="F34" s="26" t="s">
        <v>95</v>
      </c>
    </row>
    <row r="35" customFormat="false" ht="52.2" hidden="false" customHeight="false" outlineLevel="0" collapsed="false">
      <c r="A35" s="7" t="s">
        <v>96</v>
      </c>
      <c r="B35" s="7" t="s">
        <v>97</v>
      </c>
      <c r="C35" s="7" t="n">
        <v>1</v>
      </c>
      <c r="D35" s="8" t="n">
        <v>55000</v>
      </c>
      <c r="E35" s="8" t="n">
        <f aca="false">C35*D35</f>
        <v>55000</v>
      </c>
      <c r="F35" s="30" t="s">
        <v>98</v>
      </c>
    </row>
    <row r="36" customFormat="false" ht="52.2" hidden="false" customHeight="false" outlineLevel="0" collapsed="false">
      <c r="A36" s="7" t="s">
        <v>99</v>
      </c>
      <c r="B36" s="7" t="s">
        <v>100</v>
      </c>
      <c r="C36" s="7" t="n">
        <v>1</v>
      </c>
      <c r="D36" s="8" t="n">
        <v>15000</v>
      </c>
      <c r="E36" s="8" t="n">
        <f aca="false">C36*D36</f>
        <v>15000</v>
      </c>
      <c r="F36" s="30" t="s">
        <v>98</v>
      </c>
    </row>
    <row r="37" customFormat="false" ht="52.2" hidden="false" customHeight="false" outlineLevel="0" collapsed="false">
      <c r="A37" s="7" t="s">
        <v>101</v>
      </c>
      <c r="B37" s="7" t="s">
        <v>102</v>
      </c>
      <c r="C37" s="7" t="n">
        <v>12</v>
      </c>
      <c r="D37" s="8" t="n">
        <v>16000</v>
      </c>
      <c r="E37" s="8" t="n">
        <f aca="false">C37*D37</f>
        <v>192000</v>
      </c>
      <c r="F37" s="30" t="s">
        <v>98</v>
      </c>
    </row>
    <row r="38" customFormat="false" ht="52.2" hidden="false" customHeight="false" outlineLevel="0" collapsed="false">
      <c r="A38" s="7" t="s">
        <v>103</v>
      </c>
      <c r="B38" s="7" t="s">
        <v>104</v>
      </c>
      <c r="C38" s="7" t="n">
        <v>1</v>
      </c>
      <c r="D38" s="8" t="n">
        <v>650000</v>
      </c>
      <c r="E38" s="8" t="n">
        <f aca="false">C38*D38</f>
        <v>650000</v>
      </c>
      <c r="F38" s="30" t="s">
        <v>98</v>
      </c>
    </row>
    <row r="39" customFormat="false" ht="52.2" hidden="false" customHeight="false" outlineLevel="0" collapsed="false">
      <c r="A39" s="7" t="s">
        <v>105</v>
      </c>
      <c r="B39" s="7" t="s">
        <v>106</v>
      </c>
      <c r="C39" s="7" t="n">
        <v>1</v>
      </c>
      <c r="D39" s="8" t="n">
        <v>400000</v>
      </c>
      <c r="E39" s="8" t="n">
        <f aca="false">C39*D39</f>
        <v>400000</v>
      </c>
      <c r="F39" s="30" t="s">
        <v>98</v>
      </c>
    </row>
    <row r="40" customFormat="false" ht="15" hidden="false" customHeight="false" outlineLevel="0" collapsed="false">
      <c r="A40" s="19" t="s">
        <v>107</v>
      </c>
      <c r="E40" s="29" t="n">
        <f aca="false">SUM(E35:E39)</f>
        <v>1312000</v>
      </c>
    </row>
    <row r="41" customFormat="false" ht="27.75" hidden="false" customHeight="true" outlineLevel="0" collapsed="false">
      <c r="A41" s="2" t="s">
        <v>108</v>
      </c>
      <c r="B41" s="2"/>
      <c r="C41" s="2"/>
      <c r="D41" s="2"/>
      <c r="E41" s="2"/>
      <c r="F41" s="2"/>
      <c r="G41" s="2"/>
      <c r="H41" s="2"/>
    </row>
    <row r="43" customFormat="false" ht="19.5" hidden="false" customHeight="true" outlineLevel="0" collapsed="false">
      <c r="A43" s="24" t="s">
        <v>109</v>
      </c>
      <c r="B43" s="25"/>
      <c r="C43" s="25"/>
      <c r="D43" s="25"/>
      <c r="E43" s="25"/>
      <c r="F43" s="25"/>
      <c r="G43" s="25"/>
      <c r="H43" s="25"/>
    </row>
    <row r="44" customFormat="false" ht="15" hidden="false" customHeight="false" outlineLevel="0" collapsed="false">
      <c r="A44" s="26" t="s">
        <v>110</v>
      </c>
      <c r="B44" s="26" t="s">
        <v>111</v>
      </c>
      <c r="C44" s="26"/>
      <c r="D44" s="26"/>
      <c r="E44" s="26" t="s">
        <v>112</v>
      </c>
      <c r="F44" s="26" t="s">
        <v>113</v>
      </c>
      <c r="G44" s="26" t="s">
        <v>114</v>
      </c>
    </row>
    <row r="45" customFormat="false" ht="15" hidden="false" customHeight="false" outlineLevel="0" collapsed="false">
      <c r="A45" s="27" t="s">
        <v>115</v>
      </c>
      <c r="B45" s="27" t="s">
        <v>116</v>
      </c>
      <c r="C45" s="27"/>
      <c r="D45" s="27"/>
      <c r="E45" s="31" t="n">
        <f aca="false">Ihale_Geneli_Bilgi!$J$22</f>
        <v>17348355</v>
      </c>
      <c r="F45" s="31" t="n">
        <f aca="false">E45*Varsayimlar!$B$4</f>
        <v>19473528.4875</v>
      </c>
      <c r="G45" s="31" t="n">
        <f aca="false">E45*Varsayimlar!$B$5</f>
        <v>957022003.575</v>
      </c>
    </row>
    <row r="46" customFormat="false" ht="15" hidden="false" customHeight="false" outlineLevel="0" collapsed="false">
      <c r="A46" s="27" t="s">
        <v>115</v>
      </c>
      <c r="B46" s="27" t="s">
        <v>117</v>
      </c>
      <c r="C46" s="27"/>
      <c r="D46" s="27"/>
      <c r="E46" s="31" t="n">
        <f aca="false">Ihale_Geneli_Bilgi!$J$23</f>
        <v>1759956</v>
      </c>
      <c r="F46" s="31" t="n">
        <f aca="false">E46*Varsayimlar!$B$4</f>
        <v>1975550.61</v>
      </c>
      <c r="G46" s="31" t="n">
        <f aca="false">E46*Varsayimlar!$B$5</f>
        <v>97087972.74</v>
      </c>
    </row>
    <row r="47" customFormat="false" ht="30" hidden="false" customHeight="true" outlineLevel="0" collapsed="false">
      <c r="A47" s="2" t="s">
        <v>118</v>
      </c>
      <c r="B47" s="2"/>
      <c r="C47" s="2"/>
      <c r="D47" s="2"/>
      <c r="E47" s="2"/>
      <c r="F47" s="2"/>
      <c r="G47" s="2"/>
      <c r="H47" s="2"/>
    </row>
    <row r="50" customFormat="false" ht="15" hidden="false" customHeight="false" outlineLevel="0" collapsed="false">
      <c r="A50" s="20" t="s">
        <v>119</v>
      </c>
    </row>
    <row r="51" customFormat="false" ht="15" hidden="false" customHeight="false" outlineLevel="0" collapsed="false">
      <c r="A51" s="32" t="s">
        <v>2</v>
      </c>
      <c r="B51" s="32" t="s">
        <v>120</v>
      </c>
      <c r="C51" s="32" t="s">
        <v>121</v>
      </c>
      <c r="D51" s="32" t="s">
        <v>122</v>
      </c>
    </row>
    <row r="52" customFormat="false" ht="15" hidden="false" customHeight="false" outlineLevel="0" collapsed="false">
      <c r="A52" s="27" t="s">
        <v>123</v>
      </c>
      <c r="B52" s="27" t="s">
        <v>124</v>
      </c>
      <c r="C52" s="27" t="s">
        <v>125</v>
      </c>
      <c r="D52" s="28" t="n">
        <f aca="false">Elektrik_AG!J5</f>
        <v>8927.12</v>
      </c>
    </row>
    <row r="53" customFormat="false" ht="15" hidden="false" customHeight="false" outlineLevel="0" collapsed="false">
      <c r="A53" s="27" t="s">
        <v>123</v>
      </c>
      <c r="B53" s="27" t="s">
        <v>126</v>
      </c>
      <c r="C53" s="27" t="s">
        <v>127</v>
      </c>
      <c r="D53" s="28" t="n">
        <f aca="false">Elektrik_AG!J14</f>
        <v>7177.12</v>
      </c>
    </row>
    <row r="54" customFormat="false" ht="15" hidden="false" customHeight="false" outlineLevel="0" collapsed="false">
      <c r="A54" s="27" t="s">
        <v>123</v>
      </c>
      <c r="B54" s="27" t="s">
        <v>128</v>
      </c>
      <c r="C54" s="27" t="s">
        <v>129</v>
      </c>
      <c r="D54" s="28" t="n">
        <f aca="false">Elektrik_AG!J22</f>
        <v>7177.12</v>
      </c>
    </row>
    <row r="55" customFormat="false" ht="15" hidden="false" customHeight="false" outlineLevel="0" collapsed="false">
      <c r="A55" s="27" t="s">
        <v>123</v>
      </c>
      <c r="B55" s="27" t="s">
        <v>130</v>
      </c>
      <c r="C55" s="27" t="s">
        <v>131</v>
      </c>
      <c r="D55" s="28" t="n">
        <f aca="false">Elektrik_AG!J30</f>
        <v>7177.12</v>
      </c>
    </row>
    <row r="56" customFormat="false" ht="15" hidden="false" customHeight="false" outlineLevel="0" collapsed="false">
      <c r="A56" s="27" t="s">
        <v>123</v>
      </c>
      <c r="B56" s="27" t="s">
        <v>132</v>
      </c>
      <c r="C56" s="27" t="s">
        <v>133</v>
      </c>
      <c r="D56" s="28" t="n">
        <f aca="false">Elektrik_AG!J38</f>
        <v>7177.12</v>
      </c>
    </row>
    <row r="57" customFormat="false" ht="15" hidden="false" customHeight="false" outlineLevel="0" collapsed="false">
      <c r="A57" s="27" t="s">
        <v>123</v>
      </c>
      <c r="B57" s="27" t="s">
        <v>134</v>
      </c>
      <c r="C57" s="27" t="s">
        <v>135</v>
      </c>
      <c r="D57" s="28" t="n">
        <f aca="false">Elektrik_AG!J46</f>
        <v>6027.12</v>
      </c>
    </row>
    <row r="58" customFormat="false" ht="15" hidden="false" customHeight="false" outlineLevel="0" collapsed="false">
      <c r="A58" s="27" t="s">
        <v>123</v>
      </c>
      <c r="B58" s="27" t="s">
        <v>136</v>
      </c>
      <c r="C58" s="27" t="s">
        <v>137</v>
      </c>
      <c r="D58" s="28" t="n">
        <f aca="false">Elektrik_AG!J54</f>
        <v>171940.887692308</v>
      </c>
    </row>
    <row r="59" customFormat="false" ht="15" hidden="false" customHeight="false" outlineLevel="0" collapsed="false">
      <c r="A59" s="27" t="s">
        <v>123</v>
      </c>
      <c r="B59" s="27" t="s">
        <v>138</v>
      </c>
      <c r="C59" s="27" t="s">
        <v>139</v>
      </c>
      <c r="D59" s="28" t="n">
        <f aca="false">Elektrik_AG!J71</f>
        <v>6629.91664335664</v>
      </c>
    </row>
    <row r="60" customFormat="false" ht="15" hidden="false" customHeight="false" outlineLevel="0" collapsed="false">
      <c r="A60" s="27" t="s">
        <v>123</v>
      </c>
      <c r="B60" s="27" t="s">
        <v>140</v>
      </c>
      <c r="C60" s="27" t="s">
        <v>141</v>
      </c>
      <c r="D60" s="28" t="n">
        <f aca="false">Elektrik_AG!J80</f>
        <v>3802.22699300699</v>
      </c>
    </row>
    <row r="61" customFormat="false" ht="15" hidden="false" customHeight="false" outlineLevel="0" collapsed="false">
      <c r="A61" s="27" t="s">
        <v>123</v>
      </c>
      <c r="B61" s="27" t="s">
        <v>142</v>
      </c>
      <c r="C61" s="27" t="s">
        <v>143</v>
      </c>
      <c r="D61" s="28" t="n">
        <f aca="false">Elektrik_AG!J89</f>
        <v>3802.22699300699</v>
      </c>
    </row>
    <row r="62" customFormat="false" ht="15" hidden="false" customHeight="false" outlineLevel="0" collapsed="false">
      <c r="A62" s="27" t="s">
        <v>123</v>
      </c>
      <c r="B62" s="27" t="s">
        <v>144</v>
      </c>
      <c r="C62" s="27" t="s">
        <v>145</v>
      </c>
      <c r="D62" s="28" t="n">
        <f aca="false">Elektrik_AG!J98</f>
        <v>3802.22699300699</v>
      </c>
    </row>
    <row r="63" customFormat="false" ht="15" hidden="false" customHeight="false" outlineLevel="0" collapsed="false">
      <c r="A63" s="27" t="s">
        <v>123</v>
      </c>
      <c r="B63" s="27" t="s">
        <v>146</v>
      </c>
      <c r="C63" s="27" t="s">
        <v>147</v>
      </c>
      <c r="D63" s="28" t="n">
        <f aca="false">Elektrik_AG!J107</f>
        <v>3802.22699300699</v>
      </c>
    </row>
    <row r="64" customFormat="false" ht="15" hidden="false" customHeight="false" outlineLevel="0" collapsed="false">
      <c r="A64" s="27" t="s">
        <v>123</v>
      </c>
      <c r="B64" s="27" t="s">
        <v>148</v>
      </c>
      <c r="C64" s="27" t="s">
        <v>149</v>
      </c>
      <c r="D64" s="28" t="n">
        <f aca="false">Elektrik_AG!J116</f>
        <v>50860.8964</v>
      </c>
    </row>
    <row r="65" customFormat="false" ht="15" hidden="false" customHeight="false" outlineLevel="0" collapsed="false">
      <c r="A65" s="27" t="s">
        <v>123</v>
      </c>
      <c r="B65" s="27" t="s">
        <v>150</v>
      </c>
      <c r="C65" s="27" t="s">
        <v>151</v>
      </c>
      <c r="D65" s="28" t="n">
        <f aca="false">Elektrik_AG!J134</f>
        <v>3470.66699300699</v>
      </c>
    </row>
    <row r="66" customFormat="false" ht="15" hidden="false" customHeight="false" outlineLevel="0" collapsed="false">
      <c r="A66" s="27" t="s">
        <v>123</v>
      </c>
      <c r="B66" s="27" t="s">
        <v>152</v>
      </c>
      <c r="C66" s="27" t="s">
        <v>153</v>
      </c>
      <c r="D66" s="28" t="n">
        <f aca="false">Elektrik_AG!J143</f>
        <v>12322.9535664336</v>
      </c>
    </row>
    <row r="67" customFormat="false" ht="15" hidden="false" customHeight="false" outlineLevel="0" collapsed="false">
      <c r="A67" s="27" t="s">
        <v>123</v>
      </c>
      <c r="B67" s="27" t="s">
        <v>154</v>
      </c>
      <c r="C67" s="27" t="s">
        <v>155</v>
      </c>
      <c r="D67" s="28" t="n">
        <f aca="false">Elektrik_AG!J151</f>
        <v>74131.9963636364</v>
      </c>
    </row>
    <row r="68" customFormat="false" ht="15" hidden="false" customHeight="false" outlineLevel="0" collapsed="false">
      <c r="A68" s="27" t="s">
        <v>123</v>
      </c>
      <c r="B68" s="27" t="s">
        <v>156</v>
      </c>
      <c r="C68" s="27" t="s">
        <v>157</v>
      </c>
      <c r="D68" s="28" t="n">
        <f aca="false">Elektrik_AG!J159</f>
        <v>7888.17120979021</v>
      </c>
    </row>
    <row r="69" customFormat="false" ht="15" hidden="false" customHeight="false" outlineLevel="0" collapsed="false">
      <c r="A69" s="27" t="s">
        <v>123</v>
      </c>
      <c r="B69" s="27" t="s">
        <v>158</v>
      </c>
      <c r="C69" s="27" t="s">
        <v>159</v>
      </c>
      <c r="D69" s="28" t="n">
        <f aca="false">Elektrik_AG!J169</f>
        <v>6996.69330769231</v>
      </c>
    </row>
    <row r="70" customFormat="false" ht="15" hidden="false" customHeight="false" outlineLevel="0" collapsed="false">
      <c r="A70" s="27" t="s">
        <v>123</v>
      </c>
      <c r="B70" s="27" t="s">
        <v>160</v>
      </c>
      <c r="C70" s="27" t="s">
        <v>161</v>
      </c>
      <c r="D70" s="28" t="n">
        <f aca="false">Elektrik_AG!J182</f>
        <v>6996.69330769231</v>
      </c>
    </row>
    <row r="71" customFormat="false" ht="15" hidden="false" customHeight="false" outlineLevel="0" collapsed="false">
      <c r="A71" s="27" t="s">
        <v>123</v>
      </c>
      <c r="B71" s="27" t="s">
        <v>162</v>
      </c>
      <c r="C71" s="27" t="s">
        <v>163</v>
      </c>
      <c r="D71" s="28" t="n">
        <f aca="false">Elektrik_AG!J195</f>
        <v>6996.69330769231</v>
      </c>
    </row>
    <row r="72" customFormat="false" ht="15" hidden="false" customHeight="false" outlineLevel="0" collapsed="false">
      <c r="A72" s="27" t="s">
        <v>123</v>
      </c>
      <c r="B72" s="27" t="s">
        <v>164</v>
      </c>
      <c r="C72" s="27" t="s">
        <v>165</v>
      </c>
      <c r="D72" s="28" t="n">
        <f aca="false">Elektrik_AG!J208</f>
        <v>6996.69330769231</v>
      </c>
    </row>
    <row r="73" customFormat="false" ht="15" hidden="false" customHeight="false" outlineLevel="0" collapsed="false">
      <c r="A73" s="27" t="s">
        <v>123</v>
      </c>
      <c r="B73" s="27" t="s">
        <v>166</v>
      </c>
      <c r="C73" s="27" t="s">
        <v>167</v>
      </c>
      <c r="D73" s="28" t="n">
        <f aca="false">Elektrik_AG!J221</f>
        <v>345996.043636364</v>
      </c>
    </row>
    <row r="74" customFormat="false" ht="15" hidden="false" customHeight="false" outlineLevel="0" collapsed="false">
      <c r="A74" s="27" t="s">
        <v>123</v>
      </c>
      <c r="B74" s="27" t="s">
        <v>168</v>
      </c>
      <c r="C74" s="27" t="s">
        <v>169</v>
      </c>
      <c r="D74" s="28" t="n">
        <f aca="false">Elektrik_AG!J254</f>
        <v>4134.38190909091</v>
      </c>
    </row>
    <row r="75" customFormat="false" ht="15" hidden="false" customHeight="false" outlineLevel="0" collapsed="false">
      <c r="A75" s="27" t="s">
        <v>123</v>
      </c>
      <c r="B75" s="27" t="s">
        <v>170</v>
      </c>
      <c r="C75" s="27" t="s">
        <v>171</v>
      </c>
      <c r="D75" s="28" t="n">
        <f aca="false">Elektrik_AG!J264</f>
        <v>350914.769552448</v>
      </c>
    </row>
    <row r="76" customFormat="false" ht="15" hidden="false" customHeight="false" outlineLevel="0" collapsed="false">
      <c r="A76" s="27" t="s">
        <v>123</v>
      </c>
      <c r="B76" s="27" t="s">
        <v>172</v>
      </c>
      <c r="C76" s="27" t="s">
        <v>173</v>
      </c>
      <c r="D76" s="28" t="n">
        <f aca="false">Elektrik_AG!J276</f>
        <v>79000</v>
      </c>
    </row>
    <row r="77" customFormat="false" ht="15" hidden="false" customHeight="false" outlineLevel="0" collapsed="false">
      <c r="A77" s="27" t="s">
        <v>123</v>
      </c>
      <c r="B77" s="27" t="s">
        <v>174</v>
      </c>
      <c r="C77" s="27" t="s">
        <v>175</v>
      </c>
      <c r="D77" s="28" t="n">
        <f aca="false">Elektrik_AG!J285</f>
        <v>52608.8755244755</v>
      </c>
    </row>
    <row r="78" customFormat="false" ht="15" hidden="false" customHeight="false" outlineLevel="0" collapsed="false">
      <c r="A78" s="27" t="s">
        <v>123</v>
      </c>
      <c r="B78" s="27" t="s">
        <v>176</v>
      </c>
      <c r="C78" s="27" t="s">
        <v>177</v>
      </c>
      <c r="D78" s="28" t="n">
        <f aca="false">Elektrik_AG!J305</f>
        <v>29612.9770629371</v>
      </c>
    </row>
    <row r="79" customFormat="false" ht="15" hidden="false" customHeight="false" outlineLevel="0" collapsed="false">
      <c r="A79" s="27" t="s">
        <v>123</v>
      </c>
      <c r="B79" s="27" t="s">
        <v>178</v>
      </c>
      <c r="C79" s="27" t="s">
        <v>179</v>
      </c>
      <c r="D79" s="28" t="n">
        <f aca="false">Elektrik_AG!J326</f>
        <v>29612.9770629371</v>
      </c>
    </row>
    <row r="80" customFormat="false" ht="15" hidden="false" customHeight="false" outlineLevel="0" collapsed="false">
      <c r="A80" s="27" t="s">
        <v>123</v>
      </c>
      <c r="B80" s="27" t="s">
        <v>180</v>
      </c>
      <c r="C80" s="27" t="s">
        <v>181</v>
      </c>
      <c r="D80" s="28" t="n">
        <f aca="false">Elektrik_AG!J347</f>
        <v>29612.9770629371</v>
      </c>
    </row>
    <row r="81" customFormat="false" ht="15" hidden="false" customHeight="false" outlineLevel="0" collapsed="false">
      <c r="A81" s="27" t="s">
        <v>123</v>
      </c>
      <c r="B81" s="27" t="s">
        <v>182</v>
      </c>
      <c r="C81" s="27" t="s">
        <v>183</v>
      </c>
      <c r="D81" s="28" t="n">
        <f aca="false">Elektrik_AG!J368</f>
        <v>29612.9770629371</v>
      </c>
    </row>
    <row r="82" customFormat="false" ht="15" hidden="false" customHeight="false" outlineLevel="0" collapsed="false">
      <c r="A82" s="27" t="s">
        <v>123</v>
      </c>
      <c r="B82" s="27" t="s">
        <v>184</v>
      </c>
      <c r="C82" s="27" t="s">
        <v>185</v>
      </c>
      <c r="D82" s="28" t="n">
        <f aca="false">Elektrik_AG!J389</f>
        <v>26848.4232167832</v>
      </c>
    </row>
    <row r="83" customFormat="false" ht="15" hidden="false" customHeight="false" outlineLevel="0" collapsed="false">
      <c r="A83" s="27" t="s">
        <v>123</v>
      </c>
      <c r="B83" s="27" t="s">
        <v>186</v>
      </c>
      <c r="C83" s="27" t="s">
        <v>187</v>
      </c>
      <c r="D83" s="28" t="n">
        <f aca="false">Elektrik_AG!J409</f>
        <v>251533.204825175</v>
      </c>
    </row>
    <row r="84" customFormat="false" ht="15" hidden="false" customHeight="false" outlineLevel="0" collapsed="false">
      <c r="A84" s="27" t="s">
        <v>123</v>
      </c>
      <c r="B84" s="27" t="s">
        <v>188</v>
      </c>
      <c r="C84" s="27" t="s">
        <v>189</v>
      </c>
      <c r="D84" s="28" t="n">
        <f aca="false">Elektrik_AG!J480</f>
        <v>123107.636363636</v>
      </c>
    </row>
    <row r="85" customFormat="false" ht="15" hidden="false" customHeight="false" outlineLevel="0" collapsed="false">
      <c r="A85" s="27" t="s">
        <v>123</v>
      </c>
      <c r="B85" s="27" t="s">
        <v>190</v>
      </c>
      <c r="C85" s="27" t="s">
        <v>191</v>
      </c>
      <c r="D85" s="28" t="n">
        <f aca="false">Elektrik_AG!J490</f>
        <v>84407.1681118881</v>
      </c>
    </row>
    <row r="86" customFormat="false" ht="15" hidden="false" customHeight="false" outlineLevel="0" collapsed="false">
      <c r="A86" s="27" t="s">
        <v>123</v>
      </c>
      <c r="B86" s="27" t="s">
        <v>192</v>
      </c>
      <c r="C86" s="27" t="s">
        <v>193</v>
      </c>
      <c r="D86" s="28" t="n">
        <f aca="false">Elektrik_AG!J505</f>
        <v>1135496.66433566</v>
      </c>
    </row>
    <row r="87" customFormat="false" ht="15" hidden="false" customHeight="false" outlineLevel="0" collapsed="false">
      <c r="A87" s="27" t="s">
        <v>123</v>
      </c>
      <c r="B87" s="27" t="s">
        <v>194</v>
      </c>
      <c r="C87" s="27" t="s">
        <v>195</v>
      </c>
      <c r="D87" s="28" t="n">
        <f aca="false">Elektrik_AG!J518</f>
        <v>29000</v>
      </c>
    </row>
    <row r="88" customFormat="false" ht="15" hidden="false" customHeight="false" outlineLevel="0" collapsed="false">
      <c r="A88" s="27" t="s">
        <v>123</v>
      </c>
      <c r="B88" s="27" t="s">
        <v>196</v>
      </c>
      <c r="C88" s="27" t="s">
        <v>197</v>
      </c>
      <c r="D88" s="28" t="n">
        <f aca="false">Elektrik_AG!J524</f>
        <v>11126.6045454545</v>
      </c>
    </row>
    <row r="89" customFormat="false" ht="15" hidden="false" customHeight="false" outlineLevel="0" collapsed="false">
      <c r="A89" s="27" t="s">
        <v>123</v>
      </c>
      <c r="B89" s="27" t="s">
        <v>198</v>
      </c>
      <c r="C89" s="27" t="s">
        <v>199</v>
      </c>
      <c r="D89" s="28" t="n">
        <f aca="false">Elektrik_AG!J538</f>
        <v>10261.853006993</v>
      </c>
    </row>
    <row r="90" customFormat="false" ht="15" hidden="false" customHeight="false" outlineLevel="0" collapsed="false">
      <c r="A90" s="27" t="s">
        <v>123</v>
      </c>
      <c r="B90" s="27" t="s">
        <v>200</v>
      </c>
      <c r="C90" s="27" t="s">
        <v>201</v>
      </c>
      <c r="D90" s="28" t="n">
        <f aca="false">Elektrik_AG!J552</f>
        <v>10261.853006993</v>
      </c>
    </row>
    <row r="91" customFormat="false" ht="15" hidden="false" customHeight="false" outlineLevel="0" collapsed="false">
      <c r="A91" s="27" t="s">
        <v>123</v>
      </c>
      <c r="B91" s="27" t="s">
        <v>202</v>
      </c>
      <c r="C91" s="27" t="s">
        <v>203</v>
      </c>
      <c r="D91" s="28" t="n">
        <f aca="false">Elektrik_AG!J566</f>
        <v>10261.853006993</v>
      </c>
    </row>
    <row r="92" customFormat="false" ht="15" hidden="false" customHeight="false" outlineLevel="0" collapsed="false">
      <c r="A92" s="27" t="s">
        <v>123</v>
      </c>
      <c r="B92" s="27" t="s">
        <v>204</v>
      </c>
      <c r="C92" s="27" t="s">
        <v>205</v>
      </c>
      <c r="D92" s="28" t="n">
        <f aca="false">Elektrik_AG!J580</f>
        <v>10261.853006993</v>
      </c>
    </row>
    <row r="93" customFormat="false" ht="15" hidden="false" customHeight="false" outlineLevel="0" collapsed="false">
      <c r="A93" s="27" t="s">
        <v>123</v>
      </c>
      <c r="B93" s="27" t="s">
        <v>206</v>
      </c>
      <c r="C93" s="27" t="s">
        <v>207</v>
      </c>
      <c r="D93" s="28" t="n">
        <f aca="false">Elektrik_AG!J594</f>
        <v>7240.72615384615</v>
      </c>
    </row>
    <row r="94" customFormat="false" ht="15" hidden="false" customHeight="false" outlineLevel="0" collapsed="false">
      <c r="A94" s="27" t="s">
        <v>123</v>
      </c>
      <c r="B94" s="27" t="s">
        <v>208</v>
      </c>
      <c r="C94" s="27" t="s">
        <v>209</v>
      </c>
      <c r="D94" s="28" t="n">
        <f aca="false">Elektrik_AG!J608</f>
        <v>55286.2234265734</v>
      </c>
    </row>
    <row r="95" customFormat="false" ht="15" hidden="false" customHeight="false" outlineLevel="0" collapsed="false">
      <c r="A95" s="27" t="s">
        <v>123</v>
      </c>
      <c r="B95" s="27" t="s">
        <v>210</v>
      </c>
      <c r="C95" s="27" t="s">
        <v>211</v>
      </c>
      <c r="D95" s="28" t="n">
        <f aca="false">Elektrik_AG!J654</f>
        <v>21361.2425174825</v>
      </c>
    </row>
    <row r="96" customFormat="false" ht="15" hidden="false" customHeight="false" outlineLevel="0" collapsed="false">
      <c r="A96" s="27" t="s">
        <v>123</v>
      </c>
      <c r="B96" s="27" t="s">
        <v>212</v>
      </c>
      <c r="C96" s="27" t="s">
        <v>213</v>
      </c>
      <c r="D96" s="28" t="n">
        <f aca="false">Elektrik_AG!J665</f>
        <v>34184.5</v>
      </c>
    </row>
    <row r="97" customFormat="false" ht="15" hidden="false" customHeight="false" outlineLevel="0" collapsed="false">
      <c r="A97" s="27" t="s">
        <v>214</v>
      </c>
      <c r="B97" s="27" t="s">
        <v>215</v>
      </c>
      <c r="C97" s="27" t="s">
        <v>216</v>
      </c>
      <c r="D97" s="28" t="n">
        <f aca="false">Haberlesme!J5</f>
        <v>23740</v>
      </c>
    </row>
    <row r="98" customFormat="false" ht="15" hidden="false" customHeight="false" outlineLevel="0" collapsed="false">
      <c r="A98" s="27" t="s">
        <v>214</v>
      </c>
      <c r="B98" s="27" t="s">
        <v>217</v>
      </c>
      <c r="C98" s="27" t="s">
        <v>218</v>
      </c>
      <c r="D98" s="28" t="n">
        <f aca="false">Haberlesme!J8</f>
        <v>26988.3436363636</v>
      </c>
    </row>
    <row r="99" customFormat="false" ht="15" hidden="false" customHeight="false" outlineLevel="0" collapsed="false">
      <c r="A99" s="27" t="s">
        <v>214</v>
      </c>
      <c r="B99" s="27" t="s">
        <v>219</v>
      </c>
      <c r="C99" s="27" t="s">
        <v>220</v>
      </c>
      <c r="D99" s="28" t="n">
        <f aca="false">Haberlesme!J20</f>
        <v>19491.41</v>
      </c>
    </row>
    <row r="100" customFormat="false" ht="15" hidden="false" customHeight="false" outlineLevel="0" collapsed="false">
      <c r="A100" s="27" t="s">
        <v>214</v>
      </c>
      <c r="B100" s="27" t="s">
        <v>221</v>
      </c>
      <c r="C100" s="27" t="s">
        <v>222</v>
      </c>
      <c r="D100" s="28" t="n">
        <f aca="false">Haberlesme!J31</f>
        <v>19491.41</v>
      </c>
    </row>
    <row r="101" customFormat="false" ht="15" hidden="false" customHeight="false" outlineLevel="0" collapsed="false">
      <c r="A101" s="27" t="s">
        <v>214</v>
      </c>
      <c r="B101" s="27" t="s">
        <v>223</v>
      </c>
      <c r="C101" s="27" t="s">
        <v>224</v>
      </c>
      <c r="D101" s="28" t="n">
        <f aca="false">Haberlesme!J42</f>
        <v>19491.41</v>
      </c>
    </row>
    <row r="102" customFormat="false" ht="15" hidden="false" customHeight="false" outlineLevel="0" collapsed="false">
      <c r="A102" s="27" t="s">
        <v>214</v>
      </c>
      <c r="B102" s="27" t="s">
        <v>225</v>
      </c>
      <c r="C102" s="27" t="s">
        <v>226</v>
      </c>
      <c r="D102" s="28" t="n">
        <f aca="false">Haberlesme!J53</f>
        <v>19491.41</v>
      </c>
    </row>
    <row r="103" customFormat="false" ht="15" hidden="false" customHeight="false" outlineLevel="0" collapsed="false">
      <c r="A103" s="27" t="s">
        <v>214</v>
      </c>
      <c r="B103" s="27" t="s">
        <v>227</v>
      </c>
      <c r="C103" s="27" t="s">
        <v>228</v>
      </c>
      <c r="D103" s="28" t="n">
        <f aca="false">Haberlesme!J64</f>
        <v>17795.41</v>
      </c>
    </row>
    <row r="104" customFormat="false" ht="15" hidden="false" customHeight="false" outlineLevel="0" collapsed="false">
      <c r="A104" s="27" t="s">
        <v>214</v>
      </c>
      <c r="B104" s="27" t="s">
        <v>229</v>
      </c>
      <c r="C104" s="27" t="s">
        <v>230</v>
      </c>
      <c r="D104" s="28" t="n">
        <f aca="false">Haberlesme!J75</f>
        <v>19635.3281818182</v>
      </c>
    </row>
    <row r="105" customFormat="false" ht="15" hidden="false" customHeight="false" outlineLevel="0" collapsed="false">
      <c r="A105" s="27" t="s">
        <v>214</v>
      </c>
      <c r="B105" s="27" t="s">
        <v>231</v>
      </c>
      <c r="C105" s="27" t="s">
        <v>232</v>
      </c>
      <c r="D105" s="28" t="n">
        <f aca="false">Haberlesme!J85</f>
        <v>20703.5490909091</v>
      </c>
    </row>
    <row r="106" customFormat="false" ht="15" hidden="false" customHeight="false" outlineLevel="0" collapsed="false">
      <c r="A106" s="27" t="s">
        <v>214</v>
      </c>
      <c r="B106" s="27" t="s">
        <v>233</v>
      </c>
      <c r="C106" s="27" t="s">
        <v>234</v>
      </c>
      <c r="D106" s="28" t="n">
        <f aca="false">Haberlesme!J92</f>
        <v>42633.84</v>
      </c>
    </row>
    <row r="107" customFormat="false" ht="15" hidden="false" customHeight="false" outlineLevel="0" collapsed="false">
      <c r="A107" s="27" t="s">
        <v>214</v>
      </c>
      <c r="B107" s="27" t="s">
        <v>235</v>
      </c>
      <c r="C107" s="27" t="s">
        <v>236</v>
      </c>
      <c r="D107" s="28" t="n">
        <f aca="false">Haberlesme!J98</f>
        <v>65885.64</v>
      </c>
    </row>
    <row r="108" customFormat="false" ht="15" hidden="false" customHeight="false" outlineLevel="0" collapsed="false">
      <c r="A108" s="27" t="s">
        <v>214</v>
      </c>
      <c r="B108" s="27" t="s">
        <v>237</v>
      </c>
      <c r="C108" s="27" t="s">
        <v>238</v>
      </c>
      <c r="D108" s="28" t="n">
        <f aca="false">Haberlesme!J107</f>
        <v>80006.1552447553</v>
      </c>
    </row>
    <row r="109" customFormat="false" ht="15" hidden="false" customHeight="false" outlineLevel="0" collapsed="false">
      <c r="A109" s="27" t="s">
        <v>214</v>
      </c>
      <c r="B109" s="27" t="s">
        <v>239</v>
      </c>
      <c r="C109" s="27" t="s">
        <v>240</v>
      </c>
      <c r="D109" s="28" t="n">
        <f aca="false">Haberlesme!J114</f>
        <v>11560</v>
      </c>
    </row>
    <row r="110" customFormat="false" ht="15" hidden="false" customHeight="false" outlineLevel="0" collapsed="false">
      <c r="A110" s="27" t="s">
        <v>214</v>
      </c>
      <c r="B110" s="27" t="s">
        <v>241</v>
      </c>
      <c r="C110" s="27" t="s">
        <v>242</v>
      </c>
      <c r="D110" s="28" t="n">
        <f aca="false">Haberlesme!J117</f>
        <v>3609.64755244755</v>
      </c>
    </row>
    <row r="111" customFormat="false" ht="15" hidden="false" customHeight="false" outlineLevel="0" collapsed="false">
      <c r="A111" s="27" t="s">
        <v>214</v>
      </c>
      <c r="B111" s="27" t="s">
        <v>243</v>
      </c>
      <c r="C111" s="27" t="s">
        <v>244</v>
      </c>
      <c r="D111" s="28" t="n">
        <f aca="false">Haberlesme!J123</f>
        <v>1851.14195804196</v>
      </c>
    </row>
    <row r="112" customFormat="false" ht="15" hidden="false" customHeight="false" outlineLevel="0" collapsed="false">
      <c r="A112" s="27" t="s">
        <v>214</v>
      </c>
      <c r="B112" s="27" t="s">
        <v>245</v>
      </c>
      <c r="C112" s="27" t="s">
        <v>246</v>
      </c>
      <c r="D112" s="28" t="n">
        <f aca="false">Haberlesme!J129</f>
        <v>1851.14195804196</v>
      </c>
    </row>
    <row r="113" customFormat="false" ht="15" hidden="false" customHeight="false" outlineLevel="0" collapsed="false">
      <c r="A113" s="27" t="s">
        <v>214</v>
      </c>
      <c r="B113" s="27" t="s">
        <v>247</v>
      </c>
      <c r="C113" s="27" t="s">
        <v>248</v>
      </c>
      <c r="D113" s="28" t="n">
        <f aca="false">Haberlesme!J135</f>
        <v>1851.14195804196</v>
      </c>
    </row>
    <row r="114" customFormat="false" ht="15" hidden="false" customHeight="false" outlineLevel="0" collapsed="false">
      <c r="A114" s="27" t="s">
        <v>214</v>
      </c>
      <c r="B114" s="27" t="s">
        <v>249</v>
      </c>
      <c r="C114" s="27" t="s">
        <v>250</v>
      </c>
      <c r="D114" s="28" t="n">
        <f aca="false">Haberlesme!J141</f>
        <v>1851.14195804196</v>
      </c>
    </row>
    <row r="115" customFormat="false" ht="15" hidden="false" customHeight="false" outlineLevel="0" collapsed="false">
      <c r="A115" s="27" t="s">
        <v>214</v>
      </c>
      <c r="B115" s="27" t="s">
        <v>251</v>
      </c>
      <c r="C115" s="27" t="s">
        <v>252</v>
      </c>
      <c r="D115" s="28" t="n">
        <f aca="false">Haberlesme!J147</f>
        <v>1845.93916083916</v>
      </c>
    </row>
    <row r="116" customFormat="false" ht="15" hidden="false" customHeight="false" outlineLevel="0" collapsed="false">
      <c r="A116" s="27" t="s">
        <v>214</v>
      </c>
      <c r="B116" s="27" t="s">
        <v>253</v>
      </c>
      <c r="C116" s="27" t="s">
        <v>254</v>
      </c>
      <c r="D116" s="28" t="n">
        <f aca="false">Haberlesme!J153</f>
        <v>16806.0702097902</v>
      </c>
    </row>
    <row r="117" customFormat="false" ht="15" hidden="false" customHeight="false" outlineLevel="0" collapsed="false">
      <c r="A117" s="27" t="s">
        <v>214</v>
      </c>
      <c r="B117" s="27" t="s">
        <v>255</v>
      </c>
      <c r="C117" s="27" t="s">
        <v>256</v>
      </c>
      <c r="D117" s="28" t="n">
        <f aca="false">Haberlesme!J159</f>
        <v>1701.77286713287</v>
      </c>
    </row>
    <row r="118" customFormat="false" ht="15" hidden="false" customHeight="false" outlineLevel="0" collapsed="false">
      <c r="A118" s="27" t="s">
        <v>214</v>
      </c>
      <c r="B118" s="27" t="s">
        <v>257</v>
      </c>
      <c r="C118" s="27" t="s">
        <v>258</v>
      </c>
      <c r="D118" s="28" t="n">
        <f aca="false">Haberlesme!J163</f>
        <v>21225.94</v>
      </c>
    </row>
    <row r="119" customFormat="false" ht="15" hidden="false" customHeight="false" outlineLevel="0" collapsed="false">
      <c r="A119" s="27" t="s">
        <v>214</v>
      </c>
      <c r="B119" s="27" t="s">
        <v>259</v>
      </c>
      <c r="C119" s="27" t="s">
        <v>260</v>
      </c>
      <c r="D119" s="28" t="n">
        <f aca="false">Haberlesme!J169</f>
        <v>29560</v>
      </c>
    </row>
    <row r="120" customFormat="false" ht="15" hidden="false" customHeight="false" outlineLevel="0" collapsed="false">
      <c r="A120" s="27" t="s">
        <v>214</v>
      </c>
      <c r="B120" s="27" t="s">
        <v>261</v>
      </c>
      <c r="C120" s="27" t="s">
        <v>262</v>
      </c>
      <c r="D120" s="28" t="n">
        <f aca="false">Haberlesme!J172</f>
        <v>346390</v>
      </c>
    </row>
    <row r="121" customFormat="false" ht="15" hidden="false" customHeight="false" outlineLevel="0" collapsed="false">
      <c r="A121" s="27" t="s">
        <v>214</v>
      </c>
      <c r="B121" s="27" t="s">
        <v>263</v>
      </c>
      <c r="C121" s="27" t="s">
        <v>264</v>
      </c>
      <c r="D121" s="28" t="n">
        <f aca="false">Haberlesme!J181</f>
        <v>75329.29</v>
      </c>
    </row>
    <row r="122" customFormat="false" ht="15" hidden="false" customHeight="false" outlineLevel="0" collapsed="false">
      <c r="A122" s="27" t="s">
        <v>214</v>
      </c>
      <c r="B122" s="27" t="s">
        <v>265</v>
      </c>
      <c r="C122" s="27" t="s">
        <v>266</v>
      </c>
      <c r="D122" s="28" t="n">
        <f aca="false">Haberlesme!J188</f>
        <v>13655</v>
      </c>
    </row>
    <row r="123" customFormat="false" ht="15" hidden="false" customHeight="false" outlineLevel="0" collapsed="false">
      <c r="A123" s="27" t="s">
        <v>214</v>
      </c>
      <c r="B123" s="27" t="s">
        <v>267</v>
      </c>
      <c r="C123" s="27" t="s">
        <v>268</v>
      </c>
      <c r="D123" s="28" t="n">
        <f aca="false">Haberlesme!J191</f>
        <v>6202.62531468532</v>
      </c>
    </row>
    <row r="124" customFormat="false" ht="15" hidden="false" customHeight="false" outlineLevel="0" collapsed="false">
      <c r="A124" s="27" t="s">
        <v>214</v>
      </c>
      <c r="B124" s="27" t="s">
        <v>269</v>
      </c>
      <c r="C124" s="27" t="s">
        <v>270</v>
      </c>
      <c r="D124" s="28" t="n">
        <f aca="false">Haberlesme!J197</f>
        <v>3605.20027972028</v>
      </c>
    </row>
    <row r="125" customFormat="false" ht="15" hidden="false" customHeight="false" outlineLevel="0" collapsed="false">
      <c r="A125" s="27" t="s">
        <v>214</v>
      </c>
      <c r="B125" s="27" t="s">
        <v>271</v>
      </c>
      <c r="C125" s="27" t="s">
        <v>272</v>
      </c>
      <c r="D125" s="28" t="n">
        <f aca="false">Haberlesme!J203</f>
        <v>3605.20027972028</v>
      </c>
    </row>
    <row r="126" customFormat="false" ht="15" hidden="false" customHeight="false" outlineLevel="0" collapsed="false">
      <c r="A126" s="27" t="s">
        <v>214</v>
      </c>
      <c r="B126" s="27" t="s">
        <v>273</v>
      </c>
      <c r="C126" s="27" t="s">
        <v>274</v>
      </c>
      <c r="D126" s="28" t="n">
        <f aca="false">Haberlesme!J209</f>
        <v>3605.20027972028</v>
      </c>
    </row>
    <row r="127" customFormat="false" ht="15" hidden="false" customHeight="false" outlineLevel="0" collapsed="false">
      <c r="A127" s="27" t="s">
        <v>214</v>
      </c>
      <c r="B127" s="27" t="s">
        <v>275</v>
      </c>
      <c r="C127" s="27" t="s">
        <v>276</v>
      </c>
      <c r="D127" s="28" t="n">
        <f aca="false">Haberlesme!J215</f>
        <v>3605.20027972028</v>
      </c>
    </row>
    <row r="128" customFormat="false" ht="15" hidden="false" customHeight="false" outlineLevel="0" collapsed="false">
      <c r="A128" s="27" t="s">
        <v>214</v>
      </c>
      <c r="B128" s="27" t="s">
        <v>277</v>
      </c>
      <c r="C128" s="27" t="s">
        <v>278</v>
      </c>
      <c r="D128" s="28" t="n">
        <f aca="false">Haberlesme!J221</f>
        <v>3602.61286713287</v>
      </c>
    </row>
    <row r="129" customFormat="false" ht="15" hidden="false" customHeight="false" outlineLevel="0" collapsed="false">
      <c r="A129" s="27" t="s">
        <v>214</v>
      </c>
      <c r="B129" s="27" t="s">
        <v>279</v>
      </c>
      <c r="C129" s="27" t="s">
        <v>280</v>
      </c>
      <c r="D129" s="28" t="n">
        <f aca="false">Haberlesme!J227</f>
        <v>42108.4299300699</v>
      </c>
    </row>
    <row r="130" customFormat="false" ht="15" hidden="false" customHeight="false" outlineLevel="0" collapsed="false">
      <c r="A130" s="27" t="s">
        <v>214</v>
      </c>
      <c r="B130" s="27" t="s">
        <v>281</v>
      </c>
      <c r="C130" s="27" t="s">
        <v>282</v>
      </c>
      <c r="D130" s="28" t="n">
        <f aca="false">Haberlesme!J237</f>
        <v>9729.91</v>
      </c>
    </row>
    <row r="131" customFormat="false" ht="15" hidden="false" customHeight="false" outlineLevel="0" collapsed="false">
      <c r="A131" s="27" t="s">
        <v>214</v>
      </c>
      <c r="B131" s="27" t="s">
        <v>283</v>
      </c>
      <c r="C131" s="27" t="s">
        <v>284</v>
      </c>
      <c r="D131" s="28" t="n">
        <f aca="false">Haberlesme!J242</f>
        <v>15430</v>
      </c>
    </row>
    <row r="132" customFormat="false" ht="15" hidden="false" customHeight="false" outlineLevel="0" collapsed="false">
      <c r="A132" s="27" t="s">
        <v>214</v>
      </c>
      <c r="B132" s="27" t="s">
        <v>285</v>
      </c>
      <c r="C132" s="27" t="s">
        <v>286</v>
      </c>
      <c r="D132" s="28" t="n">
        <f aca="false">Haberlesme!J245</f>
        <v>13076.698041958</v>
      </c>
    </row>
    <row r="133" customFormat="false" ht="15" hidden="false" customHeight="false" outlineLevel="0" collapsed="false">
      <c r="A133" s="27" t="s">
        <v>214</v>
      </c>
      <c r="B133" s="27" t="s">
        <v>287</v>
      </c>
      <c r="C133" s="27" t="s">
        <v>288</v>
      </c>
      <c r="D133" s="28" t="n">
        <f aca="false">Haberlesme!J252</f>
        <v>11756.0935664336</v>
      </c>
    </row>
    <row r="134" customFormat="false" ht="15" hidden="false" customHeight="false" outlineLevel="0" collapsed="false">
      <c r="A134" s="27" t="s">
        <v>214</v>
      </c>
      <c r="B134" s="27" t="s">
        <v>289</v>
      </c>
      <c r="C134" s="27" t="s">
        <v>290</v>
      </c>
      <c r="D134" s="28" t="n">
        <f aca="false">Haberlesme!J259</f>
        <v>11756.0935664336</v>
      </c>
    </row>
    <row r="135" customFormat="false" ht="15" hidden="false" customHeight="false" outlineLevel="0" collapsed="false">
      <c r="A135" s="27" t="s">
        <v>214</v>
      </c>
      <c r="B135" s="27" t="s">
        <v>291</v>
      </c>
      <c r="C135" s="27" t="s">
        <v>292</v>
      </c>
      <c r="D135" s="28" t="n">
        <f aca="false">Haberlesme!J266</f>
        <v>11756.0935664336</v>
      </c>
    </row>
    <row r="136" customFormat="false" ht="15" hidden="false" customHeight="false" outlineLevel="0" collapsed="false">
      <c r="A136" s="27" t="s">
        <v>214</v>
      </c>
      <c r="B136" s="27" t="s">
        <v>293</v>
      </c>
      <c r="C136" s="27" t="s">
        <v>294</v>
      </c>
      <c r="D136" s="28" t="n">
        <f aca="false">Haberlesme!J273</f>
        <v>11756.0935664336</v>
      </c>
    </row>
    <row r="137" customFormat="false" ht="15" hidden="false" customHeight="false" outlineLevel="0" collapsed="false">
      <c r="A137" s="27" t="s">
        <v>214</v>
      </c>
      <c r="B137" s="27" t="s">
        <v>295</v>
      </c>
      <c r="C137" s="27" t="s">
        <v>296</v>
      </c>
      <c r="D137" s="28" t="n">
        <f aca="false">Haberlesme!J280</f>
        <v>8635.35300699301</v>
      </c>
    </row>
    <row r="138" customFormat="false" ht="15" hidden="false" customHeight="false" outlineLevel="0" collapsed="false">
      <c r="A138" s="27" t="s">
        <v>214</v>
      </c>
      <c r="B138" s="27" t="s">
        <v>297</v>
      </c>
      <c r="C138" s="27" t="s">
        <v>298</v>
      </c>
      <c r="D138" s="28" t="n">
        <f aca="false">Haberlesme!J287</f>
        <v>117006.831188811</v>
      </c>
    </row>
    <row r="139" customFormat="false" ht="15" hidden="false" customHeight="false" outlineLevel="0" collapsed="false">
      <c r="A139" s="27" t="s">
        <v>214</v>
      </c>
      <c r="B139" s="27" t="s">
        <v>299</v>
      </c>
      <c r="C139" s="27" t="s">
        <v>300</v>
      </c>
      <c r="D139" s="28" t="n">
        <f aca="false">Haberlesme!J306</f>
        <v>5203.84517482517</v>
      </c>
    </row>
    <row r="140" customFormat="false" ht="15" hidden="false" customHeight="false" outlineLevel="0" collapsed="false">
      <c r="A140" s="27" t="s">
        <v>214</v>
      </c>
      <c r="B140" s="27" t="s">
        <v>301</v>
      </c>
      <c r="C140" s="27" t="s">
        <v>302</v>
      </c>
      <c r="D140" s="28" t="n">
        <f aca="false">Haberlesme!J310</f>
        <v>35792.5307692308</v>
      </c>
    </row>
    <row r="141" customFormat="false" ht="15" hidden="false" customHeight="false" outlineLevel="0" collapsed="false">
      <c r="A141" s="27" t="s">
        <v>214</v>
      </c>
      <c r="B141" s="27" t="s">
        <v>303</v>
      </c>
      <c r="C141" s="27" t="s">
        <v>304</v>
      </c>
      <c r="D141" s="28" t="n">
        <f aca="false">Haberlesme!J315</f>
        <v>77822.67</v>
      </c>
    </row>
    <row r="142" customFormat="false" ht="15" hidden="false" customHeight="false" outlineLevel="0" collapsed="false">
      <c r="A142" s="27" t="s">
        <v>214</v>
      </c>
      <c r="B142" s="27" t="s">
        <v>305</v>
      </c>
      <c r="C142" s="27" t="s">
        <v>306</v>
      </c>
      <c r="D142" s="28" t="n">
        <f aca="false">Haberlesme!J324</f>
        <v>10000</v>
      </c>
    </row>
    <row r="143" customFormat="false" ht="15" hidden="false" customHeight="false" outlineLevel="0" collapsed="false">
      <c r="A143" s="27" t="s">
        <v>214</v>
      </c>
      <c r="B143" s="27" t="s">
        <v>307</v>
      </c>
      <c r="C143" s="27" t="s">
        <v>308</v>
      </c>
      <c r="D143" s="28" t="n">
        <f aca="false">Haberlesme!J327</f>
        <v>6149.14685314685</v>
      </c>
    </row>
    <row r="144" customFormat="false" ht="15" hidden="false" customHeight="false" outlineLevel="0" collapsed="false">
      <c r="A144" s="27" t="s">
        <v>214</v>
      </c>
      <c r="B144" s="27" t="s">
        <v>309</v>
      </c>
      <c r="C144" s="27" t="s">
        <v>310</v>
      </c>
      <c r="D144" s="28" t="n">
        <f aca="false">Haberlesme!J331</f>
        <v>6223.72027972028</v>
      </c>
    </row>
    <row r="145" customFormat="false" ht="15" hidden="false" customHeight="false" outlineLevel="0" collapsed="false">
      <c r="A145" s="27" t="s">
        <v>214</v>
      </c>
      <c r="B145" s="27" t="s">
        <v>311</v>
      </c>
      <c r="C145" s="27" t="s">
        <v>312</v>
      </c>
      <c r="D145" s="28" t="n">
        <f aca="false">Haberlesme!J335</f>
        <v>6223.72027972028</v>
      </c>
    </row>
    <row r="146" customFormat="false" ht="15" hidden="false" customHeight="false" outlineLevel="0" collapsed="false">
      <c r="A146" s="27" t="s">
        <v>214</v>
      </c>
      <c r="B146" s="27" t="s">
        <v>313</v>
      </c>
      <c r="C146" s="27" t="s">
        <v>314</v>
      </c>
      <c r="D146" s="28" t="n">
        <f aca="false">Haberlesme!J339</f>
        <v>6223.72027972028</v>
      </c>
    </row>
    <row r="147" customFormat="false" ht="15" hidden="false" customHeight="false" outlineLevel="0" collapsed="false">
      <c r="A147" s="27" t="s">
        <v>214</v>
      </c>
      <c r="B147" s="27" t="s">
        <v>315</v>
      </c>
      <c r="C147" s="27" t="s">
        <v>316</v>
      </c>
      <c r="D147" s="28" t="n">
        <f aca="false">Haberlesme!J343</f>
        <v>6223.72027972028</v>
      </c>
    </row>
    <row r="148" customFormat="false" ht="15" hidden="false" customHeight="false" outlineLevel="0" collapsed="false">
      <c r="A148" s="27" t="s">
        <v>214</v>
      </c>
      <c r="B148" s="27" t="s">
        <v>317</v>
      </c>
      <c r="C148" s="27" t="s">
        <v>318</v>
      </c>
      <c r="D148" s="28" t="n">
        <f aca="false">Haberlesme!J347</f>
        <v>6223.72027972028</v>
      </c>
    </row>
    <row r="149" customFormat="false" ht="15" hidden="false" customHeight="false" outlineLevel="0" collapsed="false">
      <c r="A149" s="27" t="s">
        <v>214</v>
      </c>
      <c r="B149" s="27" t="s">
        <v>319</v>
      </c>
      <c r="C149" s="27" t="s">
        <v>320</v>
      </c>
      <c r="D149" s="28" t="n">
        <f aca="false">Haberlesme!J351</f>
        <v>29049.6363636364</v>
      </c>
    </row>
    <row r="150" customFormat="false" ht="15" hidden="false" customHeight="false" outlineLevel="0" collapsed="false">
      <c r="A150" s="27" t="s">
        <v>214</v>
      </c>
      <c r="B150" s="27" t="s">
        <v>321</v>
      </c>
      <c r="C150" s="27" t="s">
        <v>322</v>
      </c>
      <c r="D150" s="28" t="n">
        <f aca="false">Haberlesme!J357</f>
        <v>5500</v>
      </c>
    </row>
    <row r="151" customFormat="false" ht="15" hidden="false" customHeight="false" outlineLevel="0" collapsed="false">
      <c r="A151" s="27" t="s">
        <v>214</v>
      </c>
      <c r="B151" s="27" t="s">
        <v>323</v>
      </c>
      <c r="C151" s="27" t="s">
        <v>324</v>
      </c>
      <c r="D151" s="28" t="n">
        <f aca="false">Haberlesme!J361</f>
        <v>7500</v>
      </c>
    </row>
    <row r="152" customFormat="false" ht="15" hidden="false" customHeight="false" outlineLevel="0" collapsed="false">
      <c r="A152" s="27" t="s">
        <v>214</v>
      </c>
      <c r="B152" s="27" t="s">
        <v>325</v>
      </c>
      <c r="C152" s="27" t="s">
        <v>326</v>
      </c>
      <c r="D152" s="28" t="n">
        <f aca="false">Haberlesme!J364</f>
        <v>2178.24405594406</v>
      </c>
    </row>
    <row r="153" customFormat="false" ht="15" hidden="false" customHeight="false" outlineLevel="0" collapsed="false">
      <c r="A153" s="27" t="s">
        <v>214</v>
      </c>
      <c r="B153" s="27" t="s">
        <v>327</v>
      </c>
      <c r="C153" s="27" t="s">
        <v>328</v>
      </c>
      <c r="D153" s="28" t="n">
        <f aca="false">Haberlesme!J370</f>
        <v>1089.12202797203</v>
      </c>
    </row>
    <row r="154" customFormat="false" ht="15" hidden="false" customHeight="false" outlineLevel="0" collapsed="false">
      <c r="A154" s="27" t="s">
        <v>214</v>
      </c>
      <c r="B154" s="27" t="s">
        <v>329</v>
      </c>
      <c r="C154" s="27" t="s">
        <v>330</v>
      </c>
      <c r="D154" s="28" t="n">
        <f aca="false">Haberlesme!J376</f>
        <v>1089.12202797203</v>
      </c>
    </row>
    <row r="155" customFormat="false" ht="15" hidden="false" customHeight="false" outlineLevel="0" collapsed="false">
      <c r="A155" s="27" t="s">
        <v>214</v>
      </c>
      <c r="B155" s="27" t="s">
        <v>331</v>
      </c>
      <c r="C155" s="27" t="s">
        <v>332</v>
      </c>
      <c r="D155" s="28" t="n">
        <f aca="false">Haberlesme!J382</f>
        <v>1089.12202797203</v>
      </c>
    </row>
    <row r="156" customFormat="false" ht="15" hidden="false" customHeight="false" outlineLevel="0" collapsed="false">
      <c r="A156" s="27" t="s">
        <v>214</v>
      </c>
      <c r="B156" s="27" t="s">
        <v>333</v>
      </c>
      <c r="C156" s="27" t="s">
        <v>334</v>
      </c>
      <c r="D156" s="28" t="n">
        <f aca="false">Haberlesme!J388</f>
        <v>1089.12202797203</v>
      </c>
    </row>
    <row r="157" customFormat="false" ht="15" hidden="false" customHeight="false" outlineLevel="0" collapsed="false">
      <c r="A157" s="27" t="s">
        <v>214</v>
      </c>
      <c r="B157" s="27" t="s">
        <v>335</v>
      </c>
      <c r="C157" s="27" t="s">
        <v>336</v>
      </c>
      <c r="D157" s="28" t="n">
        <f aca="false">Haberlesme!J394</f>
        <v>1089.12202797203</v>
      </c>
    </row>
    <row r="158" customFormat="false" ht="15" hidden="false" customHeight="false" outlineLevel="0" collapsed="false">
      <c r="A158" s="27" t="s">
        <v>214</v>
      </c>
      <c r="B158" s="27" t="s">
        <v>337</v>
      </c>
      <c r="C158" s="27" t="s">
        <v>338</v>
      </c>
      <c r="D158" s="28" t="n">
        <f aca="false">Haberlesme!J400</f>
        <v>12865.8002097902</v>
      </c>
    </row>
    <row r="159" customFormat="false" ht="15" hidden="false" customHeight="false" outlineLevel="0" collapsed="false">
      <c r="A159" s="27" t="s">
        <v>214</v>
      </c>
      <c r="B159" s="27" t="s">
        <v>339</v>
      </c>
      <c r="C159" s="27" t="s">
        <v>340</v>
      </c>
      <c r="D159" s="28" t="n">
        <f aca="false">Haberlesme!J406</f>
        <v>6674.68</v>
      </c>
    </row>
    <row r="160" customFormat="false" ht="15" hidden="false" customHeight="false" outlineLevel="0" collapsed="false">
      <c r="A160" s="27" t="s">
        <v>214</v>
      </c>
      <c r="B160" s="27" t="s">
        <v>341</v>
      </c>
      <c r="C160" s="27" t="s">
        <v>342</v>
      </c>
      <c r="D160" s="28" t="n">
        <f aca="false">Haberlesme!J412</f>
        <v>10641.09</v>
      </c>
    </row>
    <row r="161" customFormat="false" ht="15" hidden="false" customHeight="false" outlineLevel="0" collapsed="false">
      <c r="A161" s="27" t="s">
        <v>214</v>
      </c>
      <c r="B161" s="27" t="s">
        <v>343</v>
      </c>
      <c r="C161" s="27" t="s">
        <v>344</v>
      </c>
      <c r="D161" s="28" t="n">
        <f aca="false">Haberlesme!J416</f>
        <v>40440</v>
      </c>
    </row>
    <row r="162" customFormat="false" ht="15" hidden="false" customHeight="false" outlineLevel="0" collapsed="false">
      <c r="A162" s="27" t="s">
        <v>214</v>
      </c>
      <c r="B162" s="27" t="s">
        <v>345</v>
      </c>
      <c r="C162" s="27" t="s">
        <v>346</v>
      </c>
      <c r="D162" s="28" t="n">
        <f aca="false">Haberlesme!J419</f>
        <v>9474.83916083916</v>
      </c>
    </row>
    <row r="163" customFormat="false" ht="15" hidden="false" customHeight="false" outlineLevel="0" collapsed="false">
      <c r="A163" s="27" t="s">
        <v>214</v>
      </c>
      <c r="B163" s="27" t="s">
        <v>347</v>
      </c>
      <c r="C163" s="27" t="s">
        <v>348</v>
      </c>
      <c r="D163" s="28" t="n">
        <f aca="false">Haberlesme!J423</f>
        <v>4858.48958041958</v>
      </c>
    </row>
    <row r="164" customFormat="false" ht="15" hidden="false" customHeight="false" outlineLevel="0" collapsed="false">
      <c r="A164" s="27" t="s">
        <v>214</v>
      </c>
      <c r="B164" s="27" t="s">
        <v>349</v>
      </c>
      <c r="C164" s="27" t="s">
        <v>350</v>
      </c>
      <c r="D164" s="28" t="n">
        <f aca="false">Haberlesme!J427</f>
        <v>4858.48958041958</v>
      </c>
    </row>
    <row r="165" customFormat="false" ht="15" hidden="false" customHeight="false" outlineLevel="0" collapsed="false">
      <c r="A165" s="27" t="s">
        <v>214</v>
      </c>
      <c r="B165" s="27" t="s">
        <v>351</v>
      </c>
      <c r="C165" s="27" t="s">
        <v>352</v>
      </c>
      <c r="D165" s="28" t="n">
        <f aca="false">Haberlesme!J431</f>
        <v>4858.48958041958</v>
      </c>
    </row>
    <row r="166" customFormat="false" ht="15" hidden="false" customHeight="false" outlineLevel="0" collapsed="false">
      <c r="A166" s="27" t="s">
        <v>214</v>
      </c>
      <c r="B166" s="27" t="s">
        <v>353</v>
      </c>
      <c r="C166" s="27" t="s">
        <v>354</v>
      </c>
      <c r="D166" s="28" t="n">
        <f aca="false">Haberlesme!J435</f>
        <v>4858.48958041958</v>
      </c>
    </row>
    <row r="167" customFormat="false" ht="15" hidden="false" customHeight="false" outlineLevel="0" collapsed="false">
      <c r="A167" s="27" t="s">
        <v>214</v>
      </c>
      <c r="B167" s="27" t="s">
        <v>355</v>
      </c>
      <c r="C167" s="27" t="s">
        <v>356</v>
      </c>
      <c r="D167" s="28" t="n">
        <f aca="false">Haberlesme!J439</f>
        <v>4858.48958041958</v>
      </c>
    </row>
    <row r="168" customFormat="false" ht="15" hidden="false" customHeight="false" outlineLevel="0" collapsed="false">
      <c r="A168" s="27" t="s">
        <v>214</v>
      </c>
      <c r="B168" s="27" t="s">
        <v>357</v>
      </c>
      <c r="C168" s="27" t="s">
        <v>358</v>
      </c>
      <c r="D168" s="28" t="n">
        <f aca="false">Haberlesme!J443</f>
        <v>61028</v>
      </c>
    </row>
    <row r="169" customFormat="false" ht="15" hidden="false" customHeight="false" outlineLevel="0" collapsed="false">
      <c r="A169" s="27" t="s">
        <v>214</v>
      </c>
      <c r="B169" s="27" t="s">
        <v>359</v>
      </c>
      <c r="C169" s="27" t="s">
        <v>360</v>
      </c>
      <c r="D169" s="28" t="n">
        <f aca="false">Haberlesme!J447</f>
        <v>128668</v>
      </c>
    </row>
    <row r="170" customFormat="false" ht="15" hidden="false" customHeight="false" outlineLevel="0" collapsed="false">
      <c r="A170" s="27" t="s">
        <v>214</v>
      </c>
      <c r="B170" s="27" t="s">
        <v>361</v>
      </c>
      <c r="C170" s="27" t="s">
        <v>362</v>
      </c>
      <c r="D170" s="28" t="n">
        <f aca="false">Haberlesme!J450</f>
        <v>100874.61</v>
      </c>
    </row>
    <row r="171" customFormat="false" ht="15" hidden="false" customHeight="false" outlineLevel="0" collapsed="false">
      <c r="A171" s="27" t="s">
        <v>214</v>
      </c>
      <c r="B171" s="27" t="s">
        <v>363</v>
      </c>
      <c r="C171" s="27" t="s">
        <v>364</v>
      </c>
      <c r="D171" s="28" t="n">
        <f aca="false">Haberlesme!J461</f>
        <v>26000</v>
      </c>
    </row>
    <row r="172" customFormat="false" ht="15" hidden="false" customHeight="false" outlineLevel="0" collapsed="false">
      <c r="A172" s="27" t="s">
        <v>214</v>
      </c>
      <c r="B172" s="27" t="s">
        <v>365</v>
      </c>
      <c r="C172" s="27" t="s">
        <v>366</v>
      </c>
      <c r="D172" s="28" t="n">
        <f aca="false">Haberlesme!J464</f>
        <v>18271.048951049</v>
      </c>
    </row>
    <row r="173" customFormat="false" ht="15" hidden="false" customHeight="false" outlineLevel="0" collapsed="false">
      <c r="A173" s="27" t="s">
        <v>214</v>
      </c>
      <c r="B173" s="27" t="s">
        <v>367</v>
      </c>
      <c r="C173" s="27" t="s">
        <v>368</v>
      </c>
      <c r="D173" s="28" t="n">
        <f aca="false">Haberlesme!J469</f>
        <v>16419.0769230769</v>
      </c>
    </row>
    <row r="174" customFormat="false" ht="15" hidden="false" customHeight="false" outlineLevel="0" collapsed="false">
      <c r="A174" s="27" t="s">
        <v>214</v>
      </c>
      <c r="B174" s="27" t="s">
        <v>369</v>
      </c>
      <c r="C174" s="27" t="s">
        <v>370</v>
      </c>
      <c r="D174" s="28" t="n">
        <f aca="false">Haberlesme!J474</f>
        <v>16419.0769230769</v>
      </c>
    </row>
    <row r="175" customFormat="false" ht="15" hidden="false" customHeight="false" outlineLevel="0" collapsed="false">
      <c r="A175" s="27" t="s">
        <v>214</v>
      </c>
      <c r="B175" s="27" t="s">
        <v>371</v>
      </c>
      <c r="C175" s="27" t="s">
        <v>372</v>
      </c>
      <c r="D175" s="28" t="n">
        <f aca="false">Haberlesme!J479</f>
        <v>16419.0769230769</v>
      </c>
    </row>
    <row r="176" customFormat="false" ht="15" hidden="false" customHeight="false" outlineLevel="0" collapsed="false">
      <c r="A176" s="27" t="s">
        <v>214</v>
      </c>
      <c r="B176" s="27" t="s">
        <v>373</v>
      </c>
      <c r="C176" s="27" t="s">
        <v>374</v>
      </c>
      <c r="D176" s="28" t="n">
        <f aca="false">Haberlesme!J484</f>
        <v>16419.0769230769</v>
      </c>
    </row>
    <row r="177" customFormat="false" ht="15" hidden="false" customHeight="false" outlineLevel="0" collapsed="false">
      <c r="A177" s="27" t="s">
        <v>214</v>
      </c>
      <c r="B177" s="27" t="s">
        <v>375</v>
      </c>
      <c r="C177" s="27" t="s">
        <v>376</v>
      </c>
      <c r="D177" s="28" t="n">
        <f aca="false">Haberlesme!J489</f>
        <v>16452.027972028</v>
      </c>
    </row>
    <row r="178" customFormat="false" ht="15" hidden="false" customHeight="false" outlineLevel="0" collapsed="false">
      <c r="A178" s="27" t="s">
        <v>214</v>
      </c>
      <c r="B178" s="27" t="s">
        <v>377</v>
      </c>
      <c r="C178" s="27" t="s">
        <v>378</v>
      </c>
      <c r="D178" s="28" t="n">
        <f aca="false">Haberlesme!J494</f>
        <v>35000</v>
      </c>
    </row>
    <row r="179" customFormat="false" ht="15" hidden="false" customHeight="false" outlineLevel="0" collapsed="false">
      <c r="A179" s="27" t="s">
        <v>214</v>
      </c>
      <c r="B179" s="27" t="s">
        <v>379</v>
      </c>
      <c r="C179" s="27" t="s">
        <v>380</v>
      </c>
      <c r="D179" s="28" t="n">
        <f aca="false">Haberlesme!J499</f>
        <v>9000</v>
      </c>
    </row>
    <row r="180" customFormat="false" ht="15" hidden="false" customHeight="false" outlineLevel="0" collapsed="false">
      <c r="A180" s="27" t="s">
        <v>214</v>
      </c>
      <c r="B180" s="27" t="s">
        <v>381</v>
      </c>
      <c r="C180" s="27" t="s">
        <v>382</v>
      </c>
      <c r="D180" s="28" t="n">
        <f aca="false">Haberlesme!J502</f>
        <v>49680</v>
      </c>
    </row>
    <row r="181" customFormat="false" ht="15" hidden="false" customHeight="false" outlineLevel="0" collapsed="false">
      <c r="A181" s="27" t="s">
        <v>214</v>
      </c>
      <c r="B181" s="27" t="s">
        <v>383</v>
      </c>
      <c r="C181" s="27" t="s">
        <v>384</v>
      </c>
      <c r="D181" s="28" t="n">
        <f aca="false">Haberlesme!J505</f>
        <v>30838.84</v>
      </c>
    </row>
    <row r="182" customFormat="false" ht="15" hidden="false" customHeight="false" outlineLevel="0" collapsed="false">
      <c r="A182" s="27" t="s">
        <v>214</v>
      </c>
      <c r="B182" s="27" t="s">
        <v>385</v>
      </c>
      <c r="C182" s="27" t="s">
        <v>386</v>
      </c>
      <c r="D182" s="28" t="n">
        <f aca="false">Haberlesme!J508</f>
        <v>135578.67</v>
      </c>
    </row>
    <row r="183" customFormat="false" ht="15" hidden="false" customHeight="false" outlineLevel="0" collapsed="false">
      <c r="A183" s="27" t="s">
        <v>387</v>
      </c>
      <c r="B183" s="27" t="s">
        <v>388</v>
      </c>
      <c r="C183" s="27" t="s">
        <v>389</v>
      </c>
      <c r="D183" s="28" t="n">
        <f aca="false">Mekanik!J5</f>
        <v>4065.44587412587</v>
      </c>
    </row>
    <row r="184" customFormat="false" ht="15" hidden="false" customHeight="false" outlineLevel="0" collapsed="false">
      <c r="A184" s="27" t="s">
        <v>387</v>
      </c>
      <c r="B184" s="27" t="s">
        <v>390</v>
      </c>
      <c r="C184" s="27" t="s">
        <v>391</v>
      </c>
      <c r="D184" s="28" t="n">
        <f aca="false">Mekanik!J14</f>
        <v>4065.44587412587</v>
      </c>
    </row>
    <row r="185" customFormat="false" ht="15" hidden="false" customHeight="false" outlineLevel="0" collapsed="false">
      <c r="A185" s="27" t="s">
        <v>387</v>
      </c>
      <c r="B185" s="27" t="s">
        <v>392</v>
      </c>
      <c r="C185" s="27" t="s">
        <v>393</v>
      </c>
      <c r="D185" s="28" t="n">
        <f aca="false">Mekanik!J23</f>
        <v>4065.44587412587</v>
      </c>
    </row>
    <row r="186" customFormat="false" ht="15" hidden="false" customHeight="false" outlineLevel="0" collapsed="false">
      <c r="A186" s="27" t="s">
        <v>387</v>
      </c>
      <c r="B186" s="27" t="s">
        <v>394</v>
      </c>
      <c r="C186" s="27" t="s">
        <v>395</v>
      </c>
      <c r="D186" s="28" t="n">
        <f aca="false">Mekanik!J32</f>
        <v>4065.44587412587</v>
      </c>
    </row>
    <row r="187" customFormat="false" ht="15" hidden="false" customHeight="false" outlineLevel="0" collapsed="false">
      <c r="A187" s="27" t="s">
        <v>387</v>
      </c>
      <c r="B187" s="27" t="s">
        <v>396</v>
      </c>
      <c r="C187" s="27" t="s">
        <v>397</v>
      </c>
      <c r="D187" s="28" t="n">
        <f aca="false">Mekanik!J41</f>
        <v>4065.44587412587</v>
      </c>
    </row>
    <row r="188" customFormat="false" ht="15" hidden="false" customHeight="false" outlineLevel="0" collapsed="false">
      <c r="A188" s="27" t="s">
        <v>387</v>
      </c>
      <c r="B188" s="27" t="s">
        <v>398</v>
      </c>
      <c r="C188" s="27" t="s">
        <v>399</v>
      </c>
      <c r="D188" s="28" t="n">
        <f aca="false">Mekanik!J50</f>
        <v>6221.12335664336</v>
      </c>
    </row>
    <row r="189" customFormat="false" ht="15" hidden="false" customHeight="false" outlineLevel="0" collapsed="false">
      <c r="A189" s="27" t="s">
        <v>387</v>
      </c>
      <c r="B189" s="27" t="s">
        <v>400</v>
      </c>
      <c r="C189" s="27" t="s">
        <v>401</v>
      </c>
      <c r="D189" s="28" t="n">
        <f aca="false">Mekanik!J59</f>
        <v>111663.275384615</v>
      </c>
    </row>
    <row r="190" customFormat="false" ht="15" hidden="false" customHeight="false" outlineLevel="0" collapsed="false">
      <c r="A190" s="27" t="s">
        <v>387</v>
      </c>
      <c r="B190" s="27" t="s">
        <v>402</v>
      </c>
      <c r="C190" s="27" t="s">
        <v>403</v>
      </c>
      <c r="D190" s="28" t="n">
        <f aca="false">Mekanik!J72</f>
        <v>334175.084055944</v>
      </c>
    </row>
    <row r="191" customFormat="false" ht="15" hidden="false" customHeight="false" outlineLevel="0" collapsed="false">
      <c r="A191" s="27" t="s">
        <v>387</v>
      </c>
      <c r="B191" s="27" t="s">
        <v>404</v>
      </c>
      <c r="C191" s="27" t="s">
        <v>405</v>
      </c>
      <c r="D191" s="28" t="n">
        <f aca="false">Mekanik!J105</f>
        <v>15177.8153846154</v>
      </c>
    </row>
    <row r="192" customFormat="false" ht="15" hidden="false" customHeight="false" outlineLevel="0" collapsed="false">
      <c r="A192" s="27" t="s">
        <v>387</v>
      </c>
      <c r="B192" s="27" t="s">
        <v>406</v>
      </c>
      <c r="C192" s="27" t="s">
        <v>407</v>
      </c>
      <c r="D192" s="28" t="n">
        <f aca="false">Mekanik!J110</f>
        <v>54922.6366433566</v>
      </c>
    </row>
    <row r="193" customFormat="false" ht="15" hidden="false" customHeight="false" outlineLevel="0" collapsed="false">
      <c r="A193" s="27" t="s">
        <v>387</v>
      </c>
      <c r="B193" s="27" t="s">
        <v>408</v>
      </c>
      <c r="C193" s="27" t="s">
        <v>409</v>
      </c>
      <c r="D193" s="28" t="n">
        <f aca="false">Mekanik!J140</f>
        <v>271.74</v>
      </c>
    </row>
    <row r="194" customFormat="false" ht="15" hidden="false" customHeight="false" outlineLevel="0" collapsed="false">
      <c r="A194" s="27" t="s">
        <v>387</v>
      </c>
      <c r="B194" s="27" t="s">
        <v>410</v>
      </c>
      <c r="C194" s="27" t="s">
        <v>411</v>
      </c>
      <c r="D194" s="28" t="n">
        <f aca="false">Mekanik!J143</f>
        <v>271.74</v>
      </c>
    </row>
    <row r="195" customFormat="false" ht="15" hidden="false" customHeight="false" outlineLevel="0" collapsed="false">
      <c r="A195" s="27" t="s">
        <v>387</v>
      </c>
      <c r="B195" s="27" t="s">
        <v>412</v>
      </c>
      <c r="C195" s="27" t="s">
        <v>413</v>
      </c>
      <c r="D195" s="28" t="n">
        <f aca="false">Mekanik!J146</f>
        <v>271.74</v>
      </c>
    </row>
    <row r="196" customFormat="false" ht="15" hidden="false" customHeight="false" outlineLevel="0" collapsed="false">
      <c r="A196" s="27" t="s">
        <v>387</v>
      </c>
      <c r="B196" s="27" t="s">
        <v>414</v>
      </c>
      <c r="C196" s="27" t="s">
        <v>415</v>
      </c>
      <c r="D196" s="28" t="n">
        <f aca="false">Mekanik!J149</f>
        <v>271.74</v>
      </c>
    </row>
    <row r="197" customFormat="false" ht="15" hidden="false" customHeight="false" outlineLevel="0" collapsed="false">
      <c r="A197" s="27" t="s">
        <v>387</v>
      </c>
      <c r="B197" s="27" t="s">
        <v>416</v>
      </c>
      <c r="C197" s="27" t="s">
        <v>417</v>
      </c>
      <c r="D197" s="28" t="n">
        <f aca="false">Mekanik!J152</f>
        <v>271.74</v>
      </c>
    </row>
    <row r="198" customFormat="false" ht="15" hidden="false" customHeight="false" outlineLevel="0" collapsed="false">
      <c r="A198" s="27" t="s">
        <v>387</v>
      </c>
      <c r="B198" s="27" t="s">
        <v>418</v>
      </c>
      <c r="C198" s="27" t="s">
        <v>419</v>
      </c>
      <c r="D198" s="28" t="n">
        <f aca="false">Mekanik!J155</f>
        <v>407.61</v>
      </c>
    </row>
    <row r="199" customFormat="false" ht="15" hidden="false" customHeight="false" outlineLevel="0" collapsed="false">
      <c r="A199" s="27" t="s">
        <v>387</v>
      </c>
      <c r="B199" s="27" t="s">
        <v>420</v>
      </c>
      <c r="C199" s="27" t="s">
        <v>421</v>
      </c>
      <c r="D199" s="28" t="n">
        <f aca="false">Mekanik!J158</f>
        <v>529.44</v>
      </c>
    </row>
    <row r="200" customFormat="false" ht="15" hidden="false" customHeight="false" outlineLevel="0" collapsed="false">
      <c r="A200" s="27" t="s">
        <v>387</v>
      </c>
      <c r="B200" s="27" t="s">
        <v>422</v>
      </c>
      <c r="C200" s="27" t="s">
        <v>423</v>
      </c>
      <c r="D200" s="28" t="n">
        <f aca="false">Mekanik!J160</f>
        <v>324109.624405594</v>
      </c>
    </row>
    <row r="201" customFormat="false" ht="15" hidden="false" customHeight="false" outlineLevel="0" collapsed="false">
      <c r="A201" s="27" t="s">
        <v>387</v>
      </c>
      <c r="B201" s="27" t="s">
        <v>424</v>
      </c>
      <c r="C201" s="27" t="s">
        <v>425</v>
      </c>
      <c r="D201" s="28" t="n">
        <f aca="false">Mekanik!J199</f>
        <v>1433.87832167832</v>
      </c>
    </row>
    <row r="202" customFormat="false" ht="15" hidden="false" customHeight="false" outlineLevel="0" collapsed="false">
      <c r="A202" s="27" t="s">
        <v>387</v>
      </c>
      <c r="B202" s="27" t="s">
        <v>426</v>
      </c>
      <c r="C202" s="27" t="s">
        <v>427</v>
      </c>
      <c r="D202" s="28" t="n">
        <f aca="false">Mekanik!J204</f>
        <v>1433.87832167832</v>
      </c>
    </row>
    <row r="203" customFormat="false" ht="15" hidden="false" customHeight="false" outlineLevel="0" collapsed="false">
      <c r="A203" s="27" t="s">
        <v>387</v>
      </c>
      <c r="B203" s="27" t="s">
        <v>428</v>
      </c>
      <c r="C203" s="27" t="s">
        <v>429</v>
      </c>
      <c r="D203" s="28" t="n">
        <f aca="false">Mekanik!J209</f>
        <v>1433.87832167832</v>
      </c>
    </row>
    <row r="204" customFormat="false" ht="15" hidden="false" customHeight="false" outlineLevel="0" collapsed="false">
      <c r="A204" s="27" t="s">
        <v>387</v>
      </c>
      <c r="B204" s="27" t="s">
        <v>430</v>
      </c>
      <c r="C204" s="27" t="s">
        <v>431</v>
      </c>
      <c r="D204" s="28" t="n">
        <f aca="false">Mekanik!J214</f>
        <v>1433.87832167832</v>
      </c>
    </row>
    <row r="205" customFormat="false" ht="15" hidden="false" customHeight="false" outlineLevel="0" collapsed="false">
      <c r="A205" s="27" t="s">
        <v>387</v>
      </c>
      <c r="B205" s="27" t="s">
        <v>432</v>
      </c>
      <c r="C205" s="27" t="s">
        <v>433</v>
      </c>
      <c r="D205" s="28" t="n">
        <f aca="false">Mekanik!J219</f>
        <v>1433.87832167832</v>
      </c>
    </row>
    <row r="206" customFormat="false" ht="15" hidden="false" customHeight="false" outlineLevel="0" collapsed="false">
      <c r="A206" s="27" t="s">
        <v>387</v>
      </c>
      <c r="B206" s="27" t="s">
        <v>434</v>
      </c>
      <c r="C206" s="27" t="s">
        <v>435</v>
      </c>
      <c r="D206" s="28" t="n">
        <f aca="false">Mekanik!J224</f>
        <v>768.741258741259</v>
      </c>
    </row>
    <row r="207" customFormat="false" ht="15" hidden="false" customHeight="false" outlineLevel="0" collapsed="false">
      <c r="A207" s="27" t="s">
        <v>387</v>
      </c>
      <c r="B207" s="27" t="s">
        <v>436</v>
      </c>
      <c r="C207" s="27" t="s">
        <v>437</v>
      </c>
      <c r="D207" s="28" t="n">
        <f aca="false">Mekanik!J228</f>
        <v>311.090909090909</v>
      </c>
    </row>
    <row r="208" customFormat="false" ht="15" hidden="false" customHeight="false" outlineLevel="0" collapsed="false">
      <c r="A208" s="27" t="s">
        <v>387</v>
      </c>
      <c r="B208" s="27" t="s">
        <v>438</v>
      </c>
      <c r="C208" s="27" t="s">
        <v>439</v>
      </c>
      <c r="D208" s="28" t="n">
        <f aca="false">Mekanik!J230</f>
        <v>39353.7159440559</v>
      </c>
    </row>
    <row r="209" customFormat="false" ht="15" hidden="false" customHeight="false" outlineLevel="0" collapsed="false">
      <c r="A209" s="27" t="s">
        <v>387</v>
      </c>
      <c r="B209" s="27" t="s">
        <v>440</v>
      </c>
      <c r="C209" s="27" t="s">
        <v>441</v>
      </c>
      <c r="D209" s="28" t="n">
        <f aca="false">Mekanik!J248</f>
        <v>1803.43776223776</v>
      </c>
    </row>
    <row r="210" customFormat="false" ht="15" hidden="false" customHeight="false" outlineLevel="0" collapsed="false">
      <c r="A210" s="27" t="s">
        <v>387</v>
      </c>
      <c r="B210" s="27" t="s">
        <v>442</v>
      </c>
      <c r="C210" s="27" t="s">
        <v>443</v>
      </c>
      <c r="D210" s="28" t="n">
        <f aca="false">Mekanik!J252</f>
        <v>80967.7324475525</v>
      </c>
    </row>
    <row r="211" customFormat="false" ht="15" hidden="false" customHeight="false" outlineLevel="0" collapsed="false">
      <c r="A211" s="27" t="s">
        <v>387</v>
      </c>
      <c r="B211" s="27" t="s">
        <v>444</v>
      </c>
      <c r="C211" s="27" t="s">
        <v>445</v>
      </c>
      <c r="D211" s="28" t="n">
        <f aca="false">Mekanik!J289</f>
        <v>9846.35524475525</v>
      </c>
    </row>
    <row r="212" customFormat="false" ht="15" hidden="false" customHeight="false" outlineLevel="0" collapsed="false">
      <c r="A212" s="27" t="s">
        <v>387</v>
      </c>
      <c r="B212" s="27" t="s">
        <v>446</v>
      </c>
      <c r="C212" s="27" t="s">
        <v>447</v>
      </c>
      <c r="D212" s="28" t="n">
        <f aca="false">Mekanik!J302</f>
        <v>151923.216013986</v>
      </c>
    </row>
    <row r="213" customFormat="false" ht="15" hidden="false" customHeight="false" outlineLevel="0" collapsed="false">
      <c r="A213" s="27" t="s">
        <v>387</v>
      </c>
      <c r="B213" s="27" t="s">
        <v>448</v>
      </c>
      <c r="C213" s="27" t="s">
        <v>449</v>
      </c>
      <c r="D213" s="28" t="n">
        <f aca="false">Mekanik!J318</f>
        <v>4000</v>
      </c>
    </row>
    <row r="214" customFormat="false" ht="15" hidden="false" customHeight="false" outlineLevel="0" collapsed="false">
      <c r="A214" s="27" t="s">
        <v>450</v>
      </c>
      <c r="B214" s="27" t="s">
        <v>451</v>
      </c>
      <c r="C214" s="27" t="s">
        <v>452</v>
      </c>
      <c r="D214" s="28" t="n">
        <f aca="false">Asansor!J5</f>
        <v>384000</v>
      </c>
    </row>
    <row r="215" customFormat="false" ht="15" hidden="false" customHeight="false" outlineLevel="0" collapsed="false">
      <c r="A215" s="27" t="s">
        <v>450</v>
      </c>
      <c r="B215" s="27" t="s">
        <v>453</v>
      </c>
      <c r="C215" s="27" t="s">
        <v>454</v>
      </c>
      <c r="D215" s="28" t="n">
        <f aca="false">Asansor!J10</f>
        <v>30200</v>
      </c>
    </row>
    <row r="216" customFormat="false" ht="15" hidden="false" customHeight="false" outlineLevel="0" collapsed="false">
      <c r="A216" s="27" t="s">
        <v>455</v>
      </c>
      <c r="B216" s="27" t="s">
        <v>456</v>
      </c>
      <c r="C216" s="27" t="s">
        <v>457</v>
      </c>
      <c r="D216" s="28" t="n">
        <f aca="false">Sinyal!J5</f>
        <v>207246</v>
      </c>
    </row>
    <row r="217" customFormat="false" ht="15" hidden="false" customHeight="false" outlineLevel="0" collapsed="false">
      <c r="A217" s="27" t="s">
        <v>455</v>
      </c>
      <c r="B217" s="27" t="s">
        <v>458</v>
      </c>
      <c r="C217" s="27" t="s">
        <v>459</v>
      </c>
      <c r="D217" s="28" t="n">
        <f aca="false">Sinyal!J7</f>
        <v>1198669.95918031</v>
      </c>
    </row>
    <row r="218" customFormat="false" ht="15" hidden="false" customHeight="false" outlineLevel="0" collapsed="false">
      <c r="A218" s="27" t="s">
        <v>455</v>
      </c>
      <c r="B218" s="27" t="s">
        <v>460</v>
      </c>
      <c r="C218" s="27" t="s">
        <v>461</v>
      </c>
      <c r="D218" s="28" t="n">
        <f aca="false">Sinyal!J47</f>
        <v>1266859.07272727</v>
      </c>
    </row>
    <row r="219" customFormat="false" ht="15" hidden="false" customHeight="false" outlineLevel="0" collapsed="false">
      <c r="A219" s="27" t="s">
        <v>455</v>
      </c>
      <c r="B219" s="27" t="s">
        <v>462</v>
      </c>
      <c r="C219" s="27" t="s">
        <v>463</v>
      </c>
      <c r="D219" s="28" t="n">
        <f aca="false">Sinyal!J66</f>
        <v>229598</v>
      </c>
    </row>
    <row r="220" customFormat="false" ht="15" hidden="false" customHeight="false" outlineLevel="0" collapsed="false">
      <c r="A220" s="27" t="s">
        <v>455</v>
      </c>
      <c r="B220" s="27" t="s">
        <v>464</v>
      </c>
      <c r="C220" s="27" t="s">
        <v>465</v>
      </c>
      <c r="D220" s="28" t="n">
        <f aca="false">Sinyal!J74</f>
        <v>416934</v>
      </c>
    </row>
    <row r="221" customFormat="false" ht="15" hidden="false" customHeight="false" outlineLevel="0" collapsed="false">
      <c r="A221" s="27" t="s">
        <v>455</v>
      </c>
      <c r="B221" s="27" t="s">
        <v>466</v>
      </c>
      <c r="C221" s="27" t="s">
        <v>467</v>
      </c>
      <c r="D221" s="28" t="n">
        <f aca="false">Sinyal!J88</f>
        <v>298200</v>
      </c>
    </row>
    <row r="222" customFormat="false" ht="15" hidden="false" customHeight="false" outlineLevel="0" collapsed="false">
      <c r="A222" s="27" t="s">
        <v>455</v>
      </c>
      <c r="B222" s="27" t="s">
        <v>468</v>
      </c>
      <c r="C222" s="27" t="s">
        <v>469</v>
      </c>
      <c r="D222" s="28" t="n">
        <f aca="false">Sinyal!J90</f>
        <v>314500</v>
      </c>
    </row>
    <row r="223" customFormat="false" ht="15" hidden="false" customHeight="false" outlineLevel="0" collapsed="false">
      <c r="A223" s="27" t="s">
        <v>455</v>
      </c>
      <c r="B223" s="27" t="s">
        <v>470</v>
      </c>
      <c r="C223" s="27" t="s">
        <v>471</v>
      </c>
      <c r="D223" s="28" t="n">
        <f aca="false">Sinyal!J92</f>
        <v>154000</v>
      </c>
    </row>
    <row r="224" customFormat="false" ht="15" hidden="false" customHeight="false" outlineLevel="0" collapsed="false">
      <c r="A224" s="27" t="s">
        <v>472</v>
      </c>
      <c r="B224" s="27" t="s">
        <v>473</v>
      </c>
      <c r="C224" s="27" t="s">
        <v>474</v>
      </c>
      <c r="D224" s="28" t="n">
        <f aca="false">Cer_Guc!J5</f>
        <v>190000</v>
      </c>
    </row>
    <row r="225" customFormat="false" ht="15" hidden="false" customHeight="false" outlineLevel="0" collapsed="false">
      <c r="A225" s="27" t="s">
        <v>472</v>
      </c>
      <c r="B225" s="27" t="s">
        <v>475</v>
      </c>
      <c r="C225" s="27" t="s">
        <v>476</v>
      </c>
      <c r="D225" s="28" t="n">
        <f aca="false">Cer_Guc!J8</f>
        <v>401110.48</v>
      </c>
    </row>
    <row r="226" customFormat="false" ht="15" hidden="false" customHeight="false" outlineLevel="0" collapsed="false">
      <c r="A226" s="27" t="s">
        <v>472</v>
      </c>
      <c r="B226" s="27" t="s">
        <v>477</v>
      </c>
      <c r="C226" s="27" t="s">
        <v>478</v>
      </c>
      <c r="D226" s="28" t="n">
        <f aca="false">Cer_Guc!J16</f>
        <v>1323251.64</v>
      </c>
    </row>
    <row r="227" customFormat="false" ht="15" hidden="false" customHeight="false" outlineLevel="0" collapsed="false">
      <c r="A227" s="27" t="s">
        <v>472</v>
      </c>
      <c r="B227" s="27" t="s">
        <v>479</v>
      </c>
      <c r="C227" s="27" t="s">
        <v>480</v>
      </c>
      <c r="D227" s="28" t="n">
        <f aca="false">Cer_Guc!J31</f>
        <v>240296</v>
      </c>
    </row>
    <row r="228" customFormat="false" ht="15" hidden="false" customHeight="false" outlineLevel="0" collapsed="false">
      <c r="A228" s="27" t="s">
        <v>472</v>
      </c>
      <c r="B228" s="27" t="s">
        <v>481</v>
      </c>
      <c r="C228" s="27" t="s">
        <v>482</v>
      </c>
      <c r="D228" s="28" t="n">
        <f aca="false">Cer_Guc!J43</f>
        <v>312000</v>
      </c>
    </row>
    <row r="229" customFormat="false" ht="15" hidden="false" customHeight="false" outlineLevel="0" collapsed="false">
      <c r="A229" s="27" t="s">
        <v>472</v>
      </c>
      <c r="B229" s="27" t="s">
        <v>483</v>
      </c>
      <c r="C229" s="27" t="s">
        <v>484</v>
      </c>
      <c r="D229" s="28" t="n">
        <f aca="false">Cer_Guc!J45</f>
        <v>130946.483076923</v>
      </c>
    </row>
    <row r="230" customFormat="false" ht="15" hidden="false" customHeight="false" outlineLevel="0" collapsed="false">
      <c r="A230" s="27" t="s">
        <v>472</v>
      </c>
      <c r="B230" s="27" t="s">
        <v>485</v>
      </c>
      <c r="C230" s="27" t="s">
        <v>486</v>
      </c>
      <c r="D230" s="28" t="n">
        <f aca="false">Cer_Guc!J49</f>
        <v>150089.181818182</v>
      </c>
    </row>
    <row r="231" customFormat="false" ht="15" hidden="false" customHeight="false" outlineLevel="0" collapsed="false">
      <c r="A231" s="27" t="s">
        <v>472</v>
      </c>
      <c r="B231" s="27" t="s">
        <v>487</v>
      </c>
      <c r="C231" s="27" t="s">
        <v>488</v>
      </c>
      <c r="D231" s="28" t="n">
        <f aca="false">Cer_Guc!J53</f>
        <v>78858</v>
      </c>
    </row>
    <row r="232" customFormat="false" ht="15" hidden="false" customHeight="false" outlineLevel="0" collapsed="false">
      <c r="A232" s="27" t="s">
        <v>472</v>
      </c>
      <c r="B232" s="27" t="s">
        <v>489</v>
      </c>
      <c r="C232" s="27" t="s">
        <v>490</v>
      </c>
      <c r="D232" s="28" t="n">
        <f aca="false">Cer_Guc!J57</f>
        <v>69114</v>
      </c>
    </row>
    <row r="233" customFormat="false" ht="15" hidden="false" customHeight="false" outlineLevel="0" collapsed="false">
      <c r="A233" s="27" t="s">
        <v>472</v>
      </c>
      <c r="B233" s="27" t="s">
        <v>491</v>
      </c>
      <c r="C233" s="27" t="s">
        <v>492</v>
      </c>
      <c r="D233" s="28" t="n">
        <f aca="false">Cer_Guc!J59</f>
        <v>84340</v>
      </c>
    </row>
    <row r="234" customFormat="false" ht="15" hidden="false" customHeight="false" outlineLevel="0" collapsed="false">
      <c r="A234" s="27" t="s">
        <v>472</v>
      </c>
      <c r="B234" s="27" t="s">
        <v>493</v>
      </c>
      <c r="C234" s="27" t="s">
        <v>494</v>
      </c>
      <c r="D234" s="28" t="n">
        <f aca="false">Cer_Guc!J61</f>
        <v>106364</v>
      </c>
    </row>
    <row r="235" customFormat="false" ht="15" hidden="false" customHeight="false" outlineLevel="0" collapsed="false">
      <c r="A235" s="27" t="s">
        <v>472</v>
      </c>
      <c r="B235" s="27" t="s">
        <v>495</v>
      </c>
      <c r="C235" s="27" t="s">
        <v>496</v>
      </c>
      <c r="D235" s="28" t="n">
        <f aca="false">Cer_Guc!J63</f>
        <v>60400</v>
      </c>
    </row>
    <row r="236" customFormat="false" ht="15" hidden="false" customHeight="false" outlineLevel="0" collapsed="false">
      <c r="A236" s="27" t="s">
        <v>472</v>
      </c>
      <c r="B236" s="27" t="s">
        <v>497</v>
      </c>
      <c r="C236" s="27" t="s">
        <v>498</v>
      </c>
      <c r="D236" s="28" t="n">
        <f aca="false">Cer_Guc!J65</f>
        <v>2310138.23776224</v>
      </c>
    </row>
    <row r="237" customFormat="false" ht="15" hidden="false" customHeight="false" outlineLevel="0" collapsed="false">
      <c r="A237" s="27" t="s">
        <v>472</v>
      </c>
      <c r="B237" s="27" t="s">
        <v>499</v>
      </c>
      <c r="C237" s="27" t="s">
        <v>500</v>
      </c>
      <c r="D237" s="28" t="n">
        <f aca="false">Cer_Guc!J83</f>
        <v>577610.048951049</v>
      </c>
    </row>
    <row r="238" customFormat="false" ht="15" hidden="false" customHeight="false" outlineLevel="0" collapsed="false">
      <c r="A238" s="27" t="s">
        <v>472</v>
      </c>
      <c r="B238" s="27" t="s">
        <v>501</v>
      </c>
      <c r="C238" s="27" t="s">
        <v>502</v>
      </c>
      <c r="D238" s="28" t="n">
        <f aca="false">Cer_Guc!J101</f>
        <v>38018.0909090909</v>
      </c>
    </row>
    <row r="239" customFormat="false" ht="15" hidden="false" customHeight="false" outlineLevel="0" collapsed="false">
      <c r="A239" s="27" t="s">
        <v>472</v>
      </c>
      <c r="B239" s="27" t="s">
        <v>503</v>
      </c>
      <c r="C239" s="27" t="s">
        <v>504</v>
      </c>
      <c r="D239" s="28" t="n">
        <f aca="false">Cer_Guc!J107</f>
        <v>92000</v>
      </c>
    </row>
    <row r="240" customFormat="false" ht="15" hidden="false" customHeight="false" outlineLevel="0" collapsed="false">
      <c r="A240" s="27" t="s">
        <v>472</v>
      </c>
      <c r="B240" s="27" t="s">
        <v>505</v>
      </c>
      <c r="C240" s="27" t="s">
        <v>506</v>
      </c>
      <c r="D240" s="28" t="n">
        <f aca="false">Cer_Guc!J109</f>
        <v>23000</v>
      </c>
    </row>
    <row r="241" customFormat="false" ht="15" hidden="false" customHeight="false" outlineLevel="0" collapsed="false">
      <c r="A241" s="27" t="s">
        <v>472</v>
      </c>
      <c r="B241" s="27" t="s">
        <v>507</v>
      </c>
      <c r="C241" s="27" t="s">
        <v>508</v>
      </c>
      <c r="D241" s="28" t="n">
        <f aca="false">Cer_Guc!J111</f>
        <v>47446</v>
      </c>
    </row>
    <row r="242" customFormat="false" ht="15" hidden="false" customHeight="false" outlineLevel="0" collapsed="false">
      <c r="A242" s="27" t="s">
        <v>472</v>
      </c>
      <c r="B242" s="27" t="s">
        <v>509</v>
      </c>
      <c r="C242" s="27" t="s">
        <v>510</v>
      </c>
      <c r="D242" s="28" t="n">
        <f aca="false">Cer_Guc!J114</f>
        <v>69544</v>
      </c>
    </row>
    <row r="243" customFormat="false" ht="15" hidden="false" customHeight="false" outlineLevel="0" collapsed="false">
      <c r="A243" s="27" t="s">
        <v>472</v>
      </c>
      <c r="B243" s="27" t="s">
        <v>511</v>
      </c>
      <c r="C243" s="27" t="s">
        <v>512</v>
      </c>
      <c r="D243" s="28" t="n">
        <f aca="false">Cer_Guc!J117</f>
        <v>98015</v>
      </c>
    </row>
    <row r="244" customFormat="false" ht="15" hidden="false" customHeight="false" outlineLevel="0" collapsed="false">
      <c r="A244" s="27" t="s">
        <v>472</v>
      </c>
      <c r="B244" s="27" t="s">
        <v>513</v>
      </c>
      <c r="C244" s="27" t="s">
        <v>514</v>
      </c>
      <c r="D244" s="28" t="n">
        <f aca="false">Cer_Guc!J119</f>
        <v>80000</v>
      </c>
    </row>
    <row r="245" customFormat="false" ht="15" hidden="false" customHeight="false" outlineLevel="0" collapsed="false">
      <c r="A245" s="27" t="s">
        <v>472</v>
      </c>
      <c r="B245" s="27" t="s">
        <v>515</v>
      </c>
      <c r="C245" s="27" t="s">
        <v>516</v>
      </c>
      <c r="D245" s="28" t="n">
        <f aca="false">Cer_Guc!J122</f>
        <v>44000</v>
      </c>
    </row>
    <row r="246" customFormat="false" ht="15" hidden="false" customHeight="false" outlineLevel="0" collapsed="false">
      <c r="A246" s="27" t="s">
        <v>517</v>
      </c>
      <c r="B246" s="27" t="s">
        <v>518</v>
      </c>
      <c r="C246" s="27" t="s">
        <v>519</v>
      </c>
      <c r="D246" s="28" t="n">
        <f aca="false">Katener!J5</f>
        <v>1200707.59811623</v>
      </c>
    </row>
    <row r="247" customFormat="false" ht="15" hidden="false" customHeight="false" outlineLevel="0" collapsed="false">
      <c r="A247" s="27" t="s">
        <v>517</v>
      </c>
      <c r="B247" s="27" t="s">
        <v>520</v>
      </c>
      <c r="C247" s="27" t="s">
        <v>521</v>
      </c>
      <c r="D247" s="28" t="n">
        <f aca="false">Katener!J42</f>
        <v>560016.621818182</v>
      </c>
    </row>
    <row r="248" customFormat="false" ht="15" hidden="false" customHeight="false" outlineLevel="0" collapsed="false">
      <c r="A248" s="27" t="s">
        <v>517</v>
      </c>
      <c r="B248" s="27" t="s">
        <v>522</v>
      </c>
      <c r="C248" s="27" t="s">
        <v>523</v>
      </c>
      <c r="D248" s="28" t="n">
        <f aca="false">Katener!J75</f>
        <v>130507.2</v>
      </c>
    </row>
    <row r="249" customFormat="false" ht="15" hidden="false" customHeight="false" outlineLevel="0" collapsed="false">
      <c r="A249" s="27" t="s">
        <v>517</v>
      </c>
      <c r="B249" s="27" t="s">
        <v>524</v>
      </c>
      <c r="C249" s="27" t="s">
        <v>525</v>
      </c>
      <c r="D249" s="28" t="n">
        <f aca="false">Katener!J79</f>
        <v>24136.6</v>
      </c>
    </row>
    <row r="250" customFormat="false" ht="15" hidden="false" customHeight="false" outlineLevel="0" collapsed="false">
      <c r="A250" s="27" t="s">
        <v>517</v>
      </c>
      <c r="B250" s="27" t="s">
        <v>526</v>
      </c>
      <c r="C250" s="27" t="s">
        <v>527</v>
      </c>
      <c r="D250" s="28" t="n">
        <f aca="false">Katener!J83</f>
        <v>5098.4</v>
      </c>
    </row>
    <row r="251" customFormat="false" ht="15" hidden="false" customHeight="false" outlineLevel="0" collapsed="false">
      <c r="A251" s="27" t="s">
        <v>517</v>
      </c>
      <c r="B251" s="27" t="s">
        <v>528</v>
      </c>
      <c r="C251" s="27" t="s">
        <v>529</v>
      </c>
      <c r="D251" s="28" t="n">
        <f aca="false">Katener!J87</f>
        <v>65366.4</v>
      </c>
    </row>
    <row r="252" customFormat="false" ht="15" hidden="false" customHeight="false" outlineLevel="0" collapsed="false">
      <c r="A252" s="27" t="s">
        <v>517</v>
      </c>
      <c r="B252" s="27" t="s">
        <v>530</v>
      </c>
      <c r="C252" s="27" t="s">
        <v>531</v>
      </c>
      <c r="D252" s="28" t="n">
        <f aca="false">Katener!J91</f>
        <v>118848</v>
      </c>
    </row>
    <row r="255" customFormat="false" ht="15" hidden="false" customHeight="true" outlineLevel="0" collapsed="false">
      <c r="A255" s="33" t="s">
        <v>532</v>
      </c>
      <c r="B255" s="33"/>
      <c r="C255" s="33"/>
      <c r="D255" s="33"/>
      <c r="E255" s="33"/>
      <c r="F255" s="33"/>
      <c r="G255" s="33"/>
      <c r="H255" s="33"/>
      <c r="I255" s="33"/>
      <c r="J255" s="33"/>
      <c r="K255" s="33"/>
    </row>
    <row r="256" customFormat="false" ht="31.5" hidden="false" customHeight="true" outlineLevel="0" collapsed="false">
      <c r="A256" s="2" t="s">
        <v>533</v>
      </c>
      <c r="B256" s="2"/>
      <c r="C256" s="2"/>
      <c r="D256" s="2"/>
      <c r="E256" s="2"/>
      <c r="F256" s="2"/>
      <c r="G256" s="2"/>
      <c r="H256" s="2"/>
      <c r="I256" s="2"/>
      <c r="J256" s="2"/>
      <c r="K256" s="2"/>
    </row>
    <row r="257" customFormat="false" ht="31.5" hidden="false" customHeight="true" outlineLevel="0" collapsed="false">
      <c r="A257" s="2" t="s">
        <v>534</v>
      </c>
      <c r="B257" s="2"/>
      <c r="C257" s="2"/>
      <c r="D257" s="2"/>
      <c r="E257" s="2"/>
      <c r="F257" s="2"/>
      <c r="G257" s="2"/>
      <c r="H257" s="2"/>
      <c r="I257" s="2"/>
      <c r="J257" s="2"/>
      <c r="K257" s="2"/>
    </row>
    <row r="258" customFormat="false" ht="31.5" hidden="false" customHeight="true" outlineLevel="0" collapsed="false">
      <c r="A258" s="2" t="s">
        <v>535</v>
      </c>
      <c r="B258" s="2"/>
      <c r="C258" s="2"/>
      <c r="D258" s="2"/>
      <c r="E258" s="2"/>
      <c r="F258" s="2"/>
      <c r="G258" s="2"/>
      <c r="H258" s="2"/>
      <c r="I258" s="2"/>
      <c r="J258" s="2"/>
      <c r="K258" s="2"/>
    </row>
    <row r="259" customFormat="false" ht="31.5" hidden="false" customHeight="true" outlineLevel="0" collapsed="false">
      <c r="A259" s="2" t="s">
        <v>536</v>
      </c>
      <c r="B259" s="2"/>
      <c r="C259" s="2"/>
      <c r="D259" s="2"/>
      <c r="E259" s="2"/>
      <c r="F259" s="2"/>
      <c r="G259" s="2"/>
      <c r="H259" s="2"/>
      <c r="I259" s="2"/>
      <c r="J259" s="2"/>
      <c r="K259" s="2"/>
    </row>
    <row r="260" customFormat="false" ht="31.5" hidden="false" customHeight="true" outlineLevel="0" collapsed="false">
      <c r="A260" s="2" t="s">
        <v>537</v>
      </c>
      <c r="B260" s="2"/>
      <c r="C260" s="2"/>
      <c r="D260" s="2"/>
      <c r="E260" s="2"/>
      <c r="F260" s="2"/>
      <c r="G260" s="2"/>
      <c r="H260" s="2"/>
      <c r="I260" s="2"/>
      <c r="J260" s="2"/>
      <c r="K260" s="2"/>
    </row>
    <row r="261" customFormat="false" ht="31.5" hidden="false" customHeight="true" outlineLevel="0" collapsed="false">
      <c r="A261" s="2" t="s">
        <v>538</v>
      </c>
      <c r="B261" s="2"/>
      <c r="C261" s="2"/>
      <c r="D261" s="2"/>
      <c r="E261" s="2"/>
      <c r="F261" s="2"/>
      <c r="G261" s="2"/>
      <c r="H261" s="2"/>
      <c r="I261" s="2"/>
      <c r="J261" s="2"/>
      <c r="K261" s="2"/>
    </row>
    <row r="262" customFormat="false" ht="31.5" hidden="false" customHeight="true" outlineLevel="0" collapsed="false">
      <c r="A262" s="2" t="s">
        <v>539</v>
      </c>
      <c r="B262" s="2"/>
      <c r="C262" s="2"/>
      <c r="D262" s="2"/>
      <c r="E262" s="2"/>
      <c r="F262" s="2"/>
      <c r="G262" s="2"/>
      <c r="H262" s="2"/>
      <c r="I262" s="2"/>
      <c r="J262" s="2"/>
      <c r="K262" s="2"/>
    </row>
  </sheetData>
  <mergeCells count="19">
    <mergeCell ref="A2:K2"/>
    <mergeCell ref="B25:D25"/>
    <mergeCell ref="B26:D26"/>
    <mergeCell ref="B27:D27"/>
    <mergeCell ref="B28:D28"/>
    <mergeCell ref="B29:D29"/>
    <mergeCell ref="A31:H31"/>
    <mergeCell ref="A41:H41"/>
    <mergeCell ref="B45:D45"/>
    <mergeCell ref="B46:D46"/>
    <mergeCell ref="A47:H47"/>
    <mergeCell ref="A255:K255"/>
    <mergeCell ref="A256:K256"/>
    <mergeCell ref="A257:K257"/>
    <mergeCell ref="A258:K258"/>
    <mergeCell ref="A259:K259"/>
    <mergeCell ref="A260:K260"/>
    <mergeCell ref="A261:K261"/>
    <mergeCell ref="A262:K26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12" min="3" style="0" width="16"/>
  </cols>
  <sheetData>
    <row r="2" customFormat="false" ht="19.7" hidden="false" customHeight="false" outlineLevel="0" collapsed="false">
      <c r="B2" s="34" t="s">
        <v>540</v>
      </c>
    </row>
    <row r="3" customFormat="false" ht="31.5" hidden="false" customHeight="true" outlineLevel="0" collapsed="false">
      <c r="B3" s="2" t="s">
        <v>541</v>
      </c>
      <c r="C3" s="2"/>
      <c r="D3" s="2"/>
      <c r="E3" s="2"/>
      <c r="F3" s="2"/>
      <c r="G3" s="2"/>
      <c r="H3" s="2"/>
      <c r="I3" s="2"/>
      <c r="J3" s="2"/>
      <c r="K3" s="2"/>
      <c r="L3" s="2"/>
    </row>
    <row r="6" customFormat="false" ht="15" hidden="false" customHeight="false" outlineLevel="0" collapsed="false">
      <c r="B6" s="4" t="s">
        <v>542</v>
      </c>
      <c r="C6" s="5"/>
      <c r="D6" s="5"/>
      <c r="E6" s="5"/>
      <c r="F6" s="5"/>
      <c r="G6" s="5"/>
      <c r="H6" s="5"/>
      <c r="I6" s="5"/>
      <c r="J6" s="5"/>
      <c r="K6" s="5"/>
      <c r="L6" s="5"/>
    </row>
    <row r="7" customFormat="false" ht="30" hidden="false" customHeight="true" outlineLevel="0" collapsed="false">
      <c r="B7" s="3" t="s">
        <v>543</v>
      </c>
      <c r="C7" s="3" t="s">
        <v>95</v>
      </c>
      <c r="D7" s="3" t="s">
        <v>45</v>
      </c>
      <c r="E7" s="3"/>
      <c r="F7" s="3"/>
      <c r="G7" s="3"/>
      <c r="H7" s="3" t="s">
        <v>544</v>
      </c>
    </row>
    <row r="8" customFormat="false" ht="42" hidden="false" customHeight="true" outlineLevel="0" collapsed="false">
      <c r="B8" s="7" t="n">
        <v>1</v>
      </c>
      <c r="C8" s="7" t="s">
        <v>545</v>
      </c>
      <c r="D8" s="7" t="s">
        <v>546</v>
      </c>
      <c r="E8" s="7"/>
      <c r="F8" s="7"/>
      <c r="G8" s="7"/>
      <c r="H8" s="35" t="s">
        <v>547</v>
      </c>
    </row>
    <row r="9" customFormat="false" ht="42" hidden="false" customHeight="true" outlineLevel="0" collapsed="false">
      <c r="B9" s="7" t="n">
        <v>2</v>
      </c>
      <c r="C9" s="7" t="s">
        <v>548</v>
      </c>
      <c r="D9" s="7" t="s">
        <v>549</v>
      </c>
      <c r="E9" s="7"/>
      <c r="F9" s="7"/>
      <c r="G9" s="7"/>
      <c r="H9" s="36" t="s">
        <v>550</v>
      </c>
    </row>
    <row r="10" customFormat="false" ht="42" hidden="false" customHeight="true" outlineLevel="0" collapsed="false">
      <c r="B10" s="7" t="n">
        <v>3</v>
      </c>
      <c r="C10" s="7" t="s">
        <v>551</v>
      </c>
      <c r="D10" s="7" t="s">
        <v>552</v>
      </c>
      <c r="E10" s="7"/>
      <c r="F10" s="7"/>
      <c r="G10" s="7"/>
      <c r="H10" s="30" t="s">
        <v>553</v>
      </c>
    </row>
    <row r="11" customFormat="false" ht="42" hidden="false" customHeight="true" outlineLevel="0" collapsed="false">
      <c r="B11" s="7" t="s">
        <v>554</v>
      </c>
      <c r="C11" s="7" t="s">
        <v>555</v>
      </c>
      <c r="D11" s="7" t="s">
        <v>556</v>
      </c>
      <c r="E11" s="7"/>
      <c r="F11" s="7"/>
      <c r="G11" s="7"/>
      <c r="H11" s="37" t="s">
        <v>557</v>
      </c>
    </row>
    <row r="13" customFormat="false" ht="15" hidden="false" customHeight="false" outlineLevel="0" collapsed="false">
      <c r="B13" s="4" t="s">
        <v>558</v>
      </c>
      <c r="C13" s="5"/>
      <c r="D13" s="5"/>
      <c r="E13" s="5"/>
      <c r="F13" s="5"/>
      <c r="G13" s="5"/>
      <c r="H13" s="5"/>
      <c r="I13" s="5"/>
      <c r="J13" s="5"/>
      <c r="K13" s="5"/>
      <c r="L13" s="5"/>
    </row>
    <row r="14" customFormat="false" ht="31.5" hidden="false" customHeight="true" outlineLevel="0" collapsed="false">
      <c r="B14" s="2" t="s">
        <v>559</v>
      </c>
      <c r="C14" s="2"/>
      <c r="D14" s="2"/>
      <c r="E14" s="2"/>
      <c r="F14" s="2"/>
      <c r="G14" s="2"/>
      <c r="H14" s="2"/>
      <c r="I14" s="2"/>
      <c r="J14" s="2"/>
      <c r="K14" s="2"/>
      <c r="L14" s="2"/>
    </row>
    <row r="15" customFormat="false" ht="30" hidden="false" customHeight="true" outlineLevel="0" collapsed="false">
      <c r="B15" s="3" t="s">
        <v>560</v>
      </c>
      <c r="C15" s="3" t="s">
        <v>561</v>
      </c>
      <c r="D15" s="3" t="s">
        <v>562</v>
      </c>
    </row>
    <row r="16" customFormat="false" ht="15" hidden="false" customHeight="false" outlineLevel="0" collapsed="false">
      <c r="B16" s="7" t="s">
        <v>563</v>
      </c>
      <c r="C16" s="38" t="n">
        <v>6809</v>
      </c>
      <c r="D16" s="38" t="n">
        <f aca="false">COUNTA(Emsal_Kaynaklari!A5:A5000)</f>
        <v>1183</v>
      </c>
    </row>
    <row r="17" customFormat="false" ht="15" hidden="false" customHeight="false" outlineLevel="0" collapsed="false">
      <c r="B17" s="7" t="s">
        <v>564</v>
      </c>
      <c r="C17" s="38" t="n">
        <v>42</v>
      </c>
      <c r="D17" s="38" t="n">
        <v>28</v>
      </c>
    </row>
    <row r="18" customFormat="false" ht="15" hidden="false" customHeight="false" outlineLevel="0" collapsed="false">
      <c r="B18" s="7" t="s">
        <v>110</v>
      </c>
      <c r="C18" s="38" t="n">
        <v>222</v>
      </c>
      <c r="D18" s="38" t="n">
        <v>103</v>
      </c>
    </row>
    <row r="19" customFormat="false" ht="26.85" hidden="false" customHeight="false" outlineLevel="0" collapsed="false">
      <c r="B19" s="7" t="s">
        <v>565</v>
      </c>
      <c r="C19" s="38" t="s">
        <v>566</v>
      </c>
      <c r="D19" s="38" t="s">
        <v>567</v>
      </c>
    </row>
    <row r="20" customFormat="false" ht="15" hidden="false" customHeight="false" outlineLevel="0" collapsed="false">
      <c r="B20" s="7" t="s">
        <v>568</v>
      </c>
      <c r="C20" s="38" t="n">
        <v>1352</v>
      </c>
      <c r="D20" s="38" t="n">
        <v>535</v>
      </c>
    </row>
    <row r="21" customFormat="false" ht="15" hidden="false" customHeight="false" outlineLevel="0" collapsed="false">
      <c r="B21" s="7" t="s">
        <v>569</v>
      </c>
      <c r="C21" s="38" t="n">
        <v>3273</v>
      </c>
      <c r="D21" s="38" t="n">
        <v>509</v>
      </c>
    </row>
    <row r="22" customFormat="false" ht="26.85" hidden="false" customHeight="false" outlineLevel="0" collapsed="false">
      <c r="B22" s="7" t="s">
        <v>570</v>
      </c>
      <c r="C22" s="38" t="n">
        <v>2184</v>
      </c>
      <c r="D22" s="38" t="n">
        <v>139</v>
      </c>
    </row>
    <row r="23" customFormat="false" ht="45.75" hidden="false" customHeight="true" outlineLevel="0" collapsed="false">
      <c r="B23" s="2" t="s">
        <v>571</v>
      </c>
      <c r="C23" s="2"/>
      <c r="D23" s="2"/>
      <c r="E23" s="2"/>
      <c r="F23" s="2"/>
      <c r="G23" s="2"/>
      <c r="H23" s="2"/>
      <c r="I23" s="2"/>
      <c r="J23" s="2"/>
      <c r="K23" s="2"/>
      <c r="L23" s="2"/>
    </row>
    <row r="25" customFormat="false" ht="15" hidden="false" customHeight="false" outlineLevel="0" collapsed="false">
      <c r="B25" s="4" t="s">
        <v>572</v>
      </c>
      <c r="C25" s="5"/>
      <c r="D25" s="5"/>
      <c r="E25" s="5"/>
      <c r="F25" s="5"/>
      <c r="G25" s="5"/>
      <c r="H25" s="5"/>
      <c r="I25" s="5"/>
      <c r="J25" s="5"/>
      <c r="K25" s="5"/>
      <c r="L25" s="5"/>
    </row>
    <row r="26" customFormat="false" ht="30" hidden="false" customHeight="true" outlineLevel="0" collapsed="false">
      <c r="B26" s="3" t="s">
        <v>573</v>
      </c>
      <c r="C26" s="3" t="s">
        <v>574</v>
      </c>
      <c r="D26" s="3" t="s">
        <v>575</v>
      </c>
    </row>
    <row r="27" customFormat="false" ht="30" hidden="false" customHeight="true" outlineLevel="0" collapsed="false">
      <c r="B27" s="7" t="s">
        <v>576</v>
      </c>
      <c r="C27" s="7" t="s">
        <v>577</v>
      </c>
      <c r="D27" s="7"/>
      <c r="E27" s="7"/>
      <c r="F27" s="7"/>
      <c r="G27" s="39"/>
      <c r="H27" s="39"/>
      <c r="I27" s="39"/>
      <c r="J27" s="39"/>
      <c r="K27" s="39"/>
      <c r="L27" s="39"/>
    </row>
    <row r="28" customFormat="false" ht="30" hidden="false" customHeight="true" outlineLevel="0" collapsed="false">
      <c r="B28" s="7" t="s">
        <v>578</v>
      </c>
      <c r="C28" s="7" t="s">
        <v>579</v>
      </c>
      <c r="D28" s="7"/>
      <c r="E28" s="7"/>
      <c r="F28" s="7"/>
      <c r="G28" s="39"/>
      <c r="H28" s="39"/>
      <c r="I28" s="39"/>
      <c r="J28" s="39"/>
      <c r="K28" s="39"/>
      <c r="L28" s="39"/>
    </row>
    <row r="29" customFormat="false" ht="30" hidden="false" customHeight="true" outlineLevel="0" collapsed="false">
      <c r="B29" s="7" t="s">
        <v>580</v>
      </c>
      <c r="C29" s="7" t="s">
        <v>581</v>
      </c>
      <c r="D29" s="7"/>
      <c r="E29" s="7"/>
      <c r="F29" s="7"/>
      <c r="G29" s="39"/>
      <c r="H29" s="39"/>
      <c r="I29" s="39"/>
      <c r="J29" s="39"/>
      <c r="K29" s="39"/>
      <c r="L29" s="39"/>
    </row>
    <row r="30" customFormat="false" ht="30" hidden="false" customHeight="true" outlineLevel="0" collapsed="false">
      <c r="B30" s="7" t="s">
        <v>582</v>
      </c>
      <c r="C30" s="7" t="s">
        <v>583</v>
      </c>
      <c r="D30" s="7"/>
      <c r="E30" s="7"/>
      <c r="F30" s="7"/>
      <c r="G30" s="39"/>
      <c r="H30" s="39"/>
      <c r="I30" s="39"/>
      <c r="J30" s="39"/>
      <c r="K30" s="39"/>
      <c r="L30" s="39"/>
    </row>
    <row r="31" customFormat="false" ht="30" hidden="false" customHeight="true" outlineLevel="0" collapsed="false">
      <c r="B31" s="7" t="s">
        <v>584</v>
      </c>
      <c r="C31" s="7" t="s">
        <v>585</v>
      </c>
      <c r="D31" s="7"/>
      <c r="E31" s="7"/>
      <c r="F31" s="7"/>
      <c r="G31" s="39"/>
      <c r="H31" s="39"/>
      <c r="I31" s="39"/>
      <c r="J31" s="39"/>
      <c r="K31" s="39"/>
      <c r="L31" s="39"/>
    </row>
    <row r="32" customFormat="false" ht="30" hidden="false" customHeight="true" outlineLevel="0" collapsed="false">
      <c r="B32" s="7" t="s">
        <v>586</v>
      </c>
      <c r="C32" s="7" t="s">
        <v>587</v>
      </c>
      <c r="D32" s="7"/>
      <c r="E32" s="7"/>
      <c r="F32" s="7"/>
      <c r="G32" s="39"/>
      <c r="H32" s="39"/>
      <c r="I32" s="39"/>
      <c r="J32" s="39"/>
      <c r="K32" s="39"/>
      <c r="L32" s="39"/>
    </row>
    <row r="34" customFormat="false" ht="15" hidden="false" customHeight="false" outlineLevel="0" collapsed="false">
      <c r="B34" s="4" t="s">
        <v>588</v>
      </c>
      <c r="C34" s="5"/>
      <c r="D34" s="5"/>
      <c r="E34" s="5"/>
      <c r="F34" s="5"/>
      <c r="G34" s="5"/>
      <c r="H34" s="5"/>
      <c r="I34" s="5"/>
      <c r="J34" s="5"/>
      <c r="K34" s="5"/>
      <c r="L34" s="5"/>
    </row>
    <row r="35" customFormat="false" ht="31.5" hidden="false" customHeight="true" outlineLevel="0" collapsed="false">
      <c r="B35" s="3" t="s">
        <v>121</v>
      </c>
      <c r="C35" s="3" t="s">
        <v>589</v>
      </c>
      <c r="D35" s="3" t="s">
        <v>590</v>
      </c>
      <c r="E35" s="3" t="s">
        <v>591</v>
      </c>
      <c r="F35" s="3" t="s">
        <v>592</v>
      </c>
      <c r="G35" s="3" t="s">
        <v>593</v>
      </c>
      <c r="H35" s="3" t="s">
        <v>594</v>
      </c>
      <c r="I35" s="3" t="s">
        <v>595</v>
      </c>
      <c r="J35" s="3" t="s">
        <v>596</v>
      </c>
      <c r="K35" s="3" t="s">
        <v>597</v>
      </c>
      <c r="L35" s="3" t="s">
        <v>598</v>
      </c>
    </row>
    <row r="36" customFormat="false" ht="45" hidden="false" customHeight="true" outlineLevel="0" collapsed="false">
      <c r="B36" s="7" t="s">
        <v>599</v>
      </c>
      <c r="C36" s="7" t="s">
        <v>600</v>
      </c>
      <c r="D36" s="40" t="n">
        <v>102250</v>
      </c>
      <c r="E36" s="7" t="s">
        <v>601</v>
      </c>
      <c r="F36" s="41" t="n">
        <v>3.0377</v>
      </c>
      <c r="G36" s="40" t="n">
        <f aca="false">D36/F36</f>
        <v>33660.3351219673</v>
      </c>
      <c r="H36" s="41" t="n">
        <v>100.72</v>
      </c>
      <c r="I36" s="41" t="n">
        <v>133.57723</v>
      </c>
      <c r="J36" s="41" t="n">
        <f aca="false">I36/H36</f>
        <v>1.32622349086577</v>
      </c>
      <c r="K36" s="42" t="n">
        <f aca="false">G36*J36</f>
        <v>44641.127149167</v>
      </c>
      <c r="L36" s="7" t="s">
        <v>602</v>
      </c>
    </row>
    <row r="37" customFormat="false" ht="45" hidden="false" customHeight="true" outlineLevel="0" collapsed="false">
      <c r="B37" s="7" t="s">
        <v>603</v>
      </c>
      <c r="C37" s="7" t="s">
        <v>604</v>
      </c>
      <c r="D37" s="40" t="n">
        <v>10920</v>
      </c>
      <c r="E37" s="7" t="s">
        <v>112</v>
      </c>
      <c r="F37" s="41" t="n">
        <v>1</v>
      </c>
      <c r="G37" s="40" t="n">
        <f aca="false">D37/F37</f>
        <v>10920</v>
      </c>
      <c r="H37" s="41" t="n">
        <v>99.14</v>
      </c>
      <c r="I37" s="41" t="n">
        <v>133.57723</v>
      </c>
      <c r="J37" s="41" t="n">
        <f aca="false">I37/H37</f>
        <v>1.34735959249546</v>
      </c>
      <c r="K37" s="42" t="n">
        <f aca="false">G37*J37</f>
        <v>14713.1667500504</v>
      </c>
      <c r="L37" s="7" t="s">
        <v>605</v>
      </c>
    </row>
    <row r="38" customFormat="false" ht="45" hidden="false" customHeight="true" outlineLevel="0" collapsed="false">
      <c r="B38" s="7" t="s">
        <v>606</v>
      </c>
      <c r="C38" s="7" t="s">
        <v>607</v>
      </c>
      <c r="D38" s="40" t="n">
        <v>14.43</v>
      </c>
      <c r="E38" s="7" t="s">
        <v>113</v>
      </c>
      <c r="F38" s="41" t="n">
        <v>1.2044</v>
      </c>
      <c r="G38" s="40" t="n">
        <f aca="false">D38/F38</f>
        <v>11.9810694121554</v>
      </c>
      <c r="H38" s="41" t="n">
        <v>107.42</v>
      </c>
      <c r="I38" s="41" t="n">
        <v>133.57723</v>
      </c>
      <c r="J38" s="41" t="n">
        <f aca="false">I38/H38</f>
        <v>1.24350428225656</v>
      </c>
      <c r="K38" s="42" t="n">
        <f aca="false">G38*J38</f>
        <v>14.8985111200284</v>
      </c>
      <c r="L38" s="7" t="s">
        <v>608</v>
      </c>
    </row>
    <row r="39" customFormat="false" ht="31.5" hidden="false" customHeight="true" outlineLevel="0" collapsed="false">
      <c r="B39" s="2" t="s">
        <v>609</v>
      </c>
      <c r="C39" s="2"/>
      <c r="D39" s="2"/>
      <c r="E39" s="2"/>
      <c r="F39" s="2"/>
      <c r="G39" s="2"/>
      <c r="H39" s="2"/>
      <c r="I39" s="2"/>
      <c r="J39" s="2"/>
      <c r="K39" s="2"/>
      <c r="L39" s="2"/>
    </row>
    <row r="41" customFormat="false" ht="15" hidden="false" customHeight="false" outlineLevel="0" collapsed="false">
      <c r="B41" s="4" t="s">
        <v>610</v>
      </c>
      <c r="C41" s="5"/>
      <c r="D41" s="5"/>
      <c r="E41" s="5"/>
      <c r="F41" s="5"/>
      <c r="G41" s="5"/>
      <c r="H41" s="5"/>
      <c r="I41" s="5"/>
      <c r="J41" s="5"/>
      <c r="K41" s="5"/>
      <c r="L41" s="5"/>
    </row>
    <row r="42" customFormat="false" ht="30" hidden="false" customHeight="true" outlineLevel="0" collapsed="false">
      <c r="B42" s="3" t="s">
        <v>611</v>
      </c>
      <c r="C42" s="3" t="s">
        <v>612</v>
      </c>
      <c r="D42" s="3" t="s">
        <v>613</v>
      </c>
    </row>
    <row r="43" customFormat="false" ht="31.5" hidden="false" customHeight="true" outlineLevel="0" collapsed="false">
      <c r="B43" s="7" t="s">
        <v>614</v>
      </c>
      <c r="C43" s="7" t="s">
        <v>615</v>
      </c>
      <c r="D43" s="7"/>
      <c r="E43" s="7"/>
      <c r="F43" s="7"/>
      <c r="G43" s="7"/>
      <c r="H43" s="39"/>
      <c r="I43" s="39"/>
      <c r="J43" s="39"/>
      <c r="K43" s="39"/>
      <c r="L43" s="39"/>
    </row>
    <row r="44" customFormat="false" ht="31.5" hidden="false" customHeight="true" outlineLevel="0" collapsed="false">
      <c r="B44" s="7" t="s">
        <v>616</v>
      </c>
      <c r="C44" s="7" t="s">
        <v>617</v>
      </c>
      <c r="D44" s="7"/>
      <c r="E44" s="7"/>
      <c r="F44" s="7"/>
      <c r="G44" s="7"/>
      <c r="H44" s="39"/>
      <c r="I44" s="39"/>
      <c r="J44" s="39"/>
      <c r="K44" s="39"/>
      <c r="L44" s="39"/>
    </row>
    <row r="45" customFormat="false" ht="31.5" hidden="false" customHeight="true" outlineLevel="0" collapsed="false">
      <c r="B45" s="7" t="s">
        <v>618</v>
      </c>
      <c r="C45" s="7" t="s">
        <v>619</v>
      </c>
      <c r="D45" s="7"/>
      <c r="E45" s="7"/>
      <c r="F45" s="7"/>
      <c r="G45" s="7"/>
      <c r="H45" s="39"/>
      <c r="I45" s="39"/>
      <c r="J45" s="39"/>
      <c r="K45" s="39"/>
      <c r="L45" s="39"/>
    </row>
    <row r="46" customFormat="false" ht="31.5" hidden="false" customHeight="true" outlineLevel="0" collapsed="false">
      <c r="B46" s="7" t="s">
        <v>620</v>
      </c>
      <c r="C46" s="7" t="s">
        <v>621</v>
      </c>
      <c r="D46" s="7"/>
      <c r="E46" s="7"/>
      <c r="F46" s="7"/>
      <c r="G46" s="7"/>
      <c r="H46" s="39"/>
      <c r="I46" s="39"/>
      <c r="J46" s="39"/>
      <c r="K46" s="39"/>
      <c r="L46" s="39"/>
    </row>
    <row r="47" customFormat="false" ht="31.5" hidden="false" customHeight="true" outlineLevel="0" collapsed="false">
      <c r="B47" s="7" t="s">
        <v>622</v>
      </c>
      <c r="C47" s="7" t="s">
        <v>623</v>
      </c>
      <c r="D47" s="7"/>
      <c r="E47" s="7"/>
      <c r="F47" s="7"/>
      <c r="G47" s="7"/>
      <c r="H47" s="39"/>
      <c r="I47" s="39"/>
      <c r="J47" s="39"/>
      <c r="K47" s="39"/>
      <c r="L47" s="39"/>
    </row>
    <row r="48" customFormat="false" ht="31.5" hidden="false" customHeight="true" outlineLevel="0" collapsed="false">
      <c r="B48" s="7" t="s">
        <v>624</v>
      </c>
      <c r="C48" s="7" t="s">
        <v>625</v>
      </c>
      <c r="D48" s="7"/>
      <c r="E48" s="7"/>
      <c r="F48" s="7"/>
      <c r="G48" s="7"/>
      <c r="H48" s="39"/>
      <c r="I48" s="39"/>
      <c r="J48" s="39"/>
      <c r="K48" s="39"/>
      <c r="L48" s="39"/>
    </row>
    <row r="49" customFormat="false" ht="31.5" hidden="false" customHeight="true" outlineLevel="0" collapsed="false">
      <c r="B49" s="7" t="s">
        <v>626</v>
      </c>
      <c r="C49" s="7" t="s">
        <v>627</v>
      </c>
      <c r="D49" s="7"/>
      <c r="E49" s="7"/>
      <c r="F49" s="7"/>
      <c r="G49" s="7"/>
      <c r="H49" s="39"/>
      <c r="I49" s="39"/>
      <c r="J49" s="39"/>
      <c r="K49" s="39"/>
      <c r="L49" s="39"/>
    </row>
    <row r="51" customFormat="false" ht="15" hidden="false" customHeight="false" outlineLevel="0" collapsed="false">
      <c r="B51" s="4" t="s">
        <v>628</v>
      </c>
      <c r="C51" s="5"/>
      <c r="D51" s="5"/>
      <c r="E51" s="5"/>
      <c r="F51" s="5"/>
      <c r="G51" s="5"/>
      <c r="H51" s="5"/>
      <c r="I51" s="5"/>
      <c r="J51" s="5"/>
      <c r="K51" s="5"/>
      <c r="L51" s="5"/>
    </row>
    <row r="52" customFormat="false" ht="57.75" hidden="false" customHeight="true" outlineLevel="0" collapsed="false">
      <c r="B52" s="2" t="s">
        <v>629</v>
      </c>
      <c r="C52" s="2"/>
      <c r="D52" s="2"/>
      <c r="E52" s="2"/>
      <c r="F52" s="2"/>
      <c r="G52" s="2"/>
      <c r="H52" s="2"/>
      <c r="I52" s="2"/>
      <c r="J52" s="2"/>
      <c r="K52" s="2"/>
      <c r="L52" s="2"/>
    </row>
    <row r="54" customFormat="false" ht="15" hidden="false" customHeight="false" outlineLevel="0" collapsed="false">
      <c r="B54" s="4" t="s">
        <v>630</v>
      </c>
      <c r="C54" s="5"/>
      <c r="D54" s="5"/>
      <c r="E54" s="5"/>
      <c r="F54" s="5"/>
      <c r="G54" s="5"/>
      <c r="H54" s="5"/>
      <c r="I54" s="5"/>
      <c r="J54" s="5"/>
      <c r="K54" s="5"/>
      <c r="L54" s="5"/>
    </row>
    <row r="55" customFormat="false" ht="61.5" hidden="false" customHeight="true" outlineLevel="0" collapsed="false">
      <c r="B55" s="2" t="s">
        <v>631</v>
      </c>
      <c r="C55" s="2"/>
      <c r="D55" s="2"/>
      <c r="E55" s="2"/>
      <c r="F55" s="2"/>
      <c r="G55" s="2"/>
      <c r="H55" s="2"/>
      <c r="I55" s="2"/>
      <c r="J55" s="2"/>
      <c r="K55" s="2"/>
      <c r="L55" s="2"/>
    </row>
    <row r="57" customFormat="false" ht="15" hidden="false" customHeight="false" outlineLevel="0" collapsed="false">
      <c r="B57" s="4" t="s">
        <v>632</v>
      </c>
      <c r="C57" s="5"/>
      <c r="D57" s="5"/>
      <c r="E57" s="5"/>
      <c r="F57" s="5"/>
      <c r="G57" s="5"/>
      <c r="H57" s="5"/>
      <c r="I57" s="5"/>
      <c r="J57" s="5"/>
      <c r="K57" s="5"/>
      <c r="L57" s="5"/>
    </row>
    <row r="58" customFormat="false" ht="31.5" hidden="false" customHeight="true" outlineLevel="0" collapsed="false">
      <c r="B58" s="2" t="s">
        <v>633</v>
      </c>
      <c r="C58" s="2"/>
      <c r="D58" s="2"/>
      <c r="E58" s="2"/>
      <c r="F58" s="2"/>
      <c r="G58" s="2"/>
      <c r="H58" s="2"/>
      <c r="I58" s="2"/>
      <c r="J58" s="2"/>
      <c r="K58" s="2"/>
      <c r="L58" s="2"/>
    </row>
  </sheetData>
  <mergeCells count="37">
    <mergeCell ref="B3:L3"/>
    <mergeCell ref="D8:G8"/>
    <mergeCell ref="D9:G9"/>
    <mergeCell ref="D10:G10"/>
    <mergeCell ref="D11:G11"/>
    <mergeCell ref="B14:L14"/>
    <mergeCell ref="B23:L23"/>
    <mergeCell ref="C27:F27"/>
    <mergeCell ref="G27:L27"/>
    <mergeCell ref="C28:F28"/>
    <mergeCell ref="G28:L28"/>
    <mergeCell ref="C29:F29"/>
    <mergeCell ref="G29:L29"/>
    <mergeCell ref="C30:F30"/>
    <mergeCell ref="G30:L30"/>
    <mergeCell ref="C31:F31"/>
    <mergeCell ref="G31:L31"/>
    <mergeCell ref="C32:F32"/>
    <mergeCell ref="G32:L32"/>
    <mergeCell ref="B39:L39"/>
    <mergeCell ref="C43:G43"/>
    <mergeCell ref="H43:L43"/>
    <mergeCell ref="C44:G44"/>
    <mergeCell ref="H44:L44"/>
    <mergeCell ref="C45:G45"/>
    <mergeCell ref="H45:L45"/>
    <mergeCell ref="C46:G46"/>
    <mergeCell ref="H46:L46"/>
    <mergeCell ref="C47:G47"/>
    <mergeCell ref="H47:L47"/>
    <mergeCell ref="C48:G48"/>
    <mergeCell ref="H48:L48"/>
    <mergeCell ref="C49:G49"/>
    <mergeCell ref="H49:L49"/>
    <mergeCell ref="B52:L52"/>
    <mergeCell ref="B55:L55"/>
    <mergeCell ref="B58:L5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1"/>
    <col collapsed="false" customWidth="true" hidden="false" outlineLevel="0" max="4" min="4" style="0" width="18"/>
    <col collapsed="false" customWidth="true" hidden="false" outlineLevel="0" max="5" min="5" style="0" width="13"/>
    <col collapsed="false" customWidth="true" hidden="false" outlineLevel="0" max="6" min="6" style="0" width="6"/>
    <col collapsed="false" customWidth="true" hidden="false" outlineLevel="0" max="7" min="7" style="0" width="13"/>
    <col collapsed="false" customWidth="true" hidden="false" outlineLevel="0" max="8" min="8" style="0" width="14"/>
    <col collapsed="false" customWidth="true" hidden="false" outlineLevel="0" max="9" min="9" style="0" width="8"/>
    <col collapsed="false" customWidth="true" hidden="false" outlineLevel="0" max="10" min="10" style="0" width="26"/>
    <col collapsed="false" customWidth="true" hidden="false" outlineLevel="0" max="12" min="11" style="0" width="38"/>
    <col collapsed="false" customWidth="true" hidden="false" outlineLevel="0" max="13" min="13" style="0" width="22"/>
    <col collapsed="false" customWidth="true" hidden="false" outlineLevel="0" max="14" min="14" style="0" width="34"/>
  </cols>
  <sheetData>
    <row r="1" customFormat="false" ht="16.15" hidden="false" customHeight="false" outlineLevel="0" collapsed="false">
      <c r="A1" s="1" t="s">
        <v>634</v>
      </c>
    </row>
    <row r="2" customFormat="false" ht="30" hidden="false" customHeight="true" outlineLevel="0" collapsed="false">
      <c r="A2" s="2" t="s">
        <v>635</v>
      </c>
      <c r="B2" s="2"/>
      <c r="C2" s="2"/>
      <c r="D2" s="2"/>
      <c r="E2" s="2"/>
      <c r="F2" s="2"/>
      <c r="G2" s="2"/>
      <c r="H2" s="2"/>
      <c r="I2" s="2"/>
      <c r="J2" s="2"/>
      <c r="K2" s="2"/>
      <c r="L2" s="2"/>
      <c r="M2" s="2"/>
      <c r="N2" s="2"/>
    </row>
    <row r="4" customFormat="false" ht="31.5" hidden="false" customHeight="true" outlineLevel="0" collapsed="false">
      <c r="A4" s="3" t="s">
        <v>2</v>
      </c>
      <c r="B4" s="3" t="s">
        <v>110</v>
      </c>
      <c r="C4" s="3" t="s">
        <v>636</v>
      </c>
      <c r="D4" s="3" t="s">
        <v>637</v>
      </c>
      <c r="E4" s="3" t="s">
        <v>638</v>
      </c>
      <c r="F4" s="3" t="s">
        <v>639</v>
      </c>
      <c r="G4" s="3" t="s">
        <v>640</v>
      </c>
      <c r="H4" s="3" t="s">
        <v>641</v>
      </c>
      <c r="I4" s="3" t="s">
        <v>642</v>
      </c>
      <c r="J4" s="3" t="s">
        <v>643</v>
      </c>
      <c r="K4" s="3" t="s">
        <v>644</v>
      </c>
      <c r="L4" s="3" t="s">
        <v>645</v>
      </c>
      <c r="M4" s="3" t="s">
        <v>646</v>
      </c>
      <c r="N4" s="3" t="s">
        <v>647</v>
      </c>
    </row>
    <row r="5" customFormat="false" ht="60" hidden="false" customHeight="true" outlineLevel="0" collapsed="false">
      <c r="A5" s="7" t="s">
        <v>648</v>
      </c>
      <c r="B5" s="7" t="s">
        <v>649</v>
      </c>
      <c r="C5" s="7" t="s">
        <v>650</v>
      </c>
      <c r="D5" s="7" t="s">
        <v>651</v>
      </c>
      <c r="E5" s="8" t="n">
        <v>480000</v>
      </c>
      <c r="F5" s="7" t="s">
        <v>113</v>
      </c>
      <c r="G5" s="8" t="n">
        <f aca="false">E5/IF(F5="USD",Varsayimlar!$B$4,IF(F5="TRY",Varsayimlar!$B$5,1))</f>
        <v>427616.926503341</v>
      </c>
      <c r="H5" s="8" t="n">
        <f aca="false">Asansor!$J$13</f>
        <v>414200</v>
      </c>
      <c r="I5" s="43" t="n">
        <f aca="false">IF(H5=0,"",G5/H5-1)</f>
        <v>0.0323923865363127</v>
      </c>
      <c r="J5" s="7" t="s">
        <v>652</v>
      </c>
      <c r="K5" s="7" t="s">
        <v>653</v>
      </c>
      <c r="L5" s="7" t="s">
        <v>654</v>
      </c>
      <c r="M5" s="7" t="s">
        <v>655</v>
      </c>
      <c r="N5" s="7" t="s">
        <v>656</v>
      </c>
    </row>
    <row r="6" customFormat="false" ht="60" hidden="false" customHeight="true" outlineLevel="0" collapsed="false">
      <c r="A6" s="7" t="s">
        <v>648</v>
      </c>
      <c r="B6" s="7" t="s">
        <v>657</v>
      </c>
      <c r="C6" s="7" t="s">
        <v>658</v>
      </c>
      <c r="D6" s="7" t="s">
        <v>651</v>
      </c>
      <c r="E6" s="8" t="n">
        <v>414200</v>
      </c>
      <c r="F6" s="7" t="s">
        <v>112</v>
      </c>
      <c r="G6" s="8" t="n">
        <f aca="false">E6/IF(F6="USD",Varsayimlar!$B$4,IF(F6="TRY",Varsayimlar!$B$5,1))</f>
        <v>414200</v>
      </c>
      <c r="H6" s="8" t="n">
        <f aca="false">Asansor!$J$13</f>
        <v>414200</v>
      </c>
      <c r="I6" s="43" t="n">
        <f aca="false">IF(H6=0,"",G6/H6-1)</f>
        <v>0</v>
      </c>
      <c r="J6" s="7" t="s">
        <v>659</v>
      </c>
      <c r="K6" s="7" t="s">
        <v>660</v>
      </c>
      <c r="L6" s="7" t="s">
        <v>661</v>
      </c>
      <c r="M6" s="7" t="s">
        <v>662</v>
      </c>
      <c r="N6" s="7" t="s">
        <v>663</v>
      </c>
    </row>
    <row r="7" customFormat="false" ht="60" hidden="false" customHeight="true" outlineLevel="0" collapsed="false">
      <c r="A7" s="7" t="s">
        <v>648</v>
      </c>
      <c r="B7" s="7" t="s">
        <v>664</v>
      </c>
      <c r="C7" s="7" t="s">
        <v>665</v>
      </c>
      <c r="D7" s="7" t="s">
        <v>651</v>
      </c>
      <c r="E7" s="8" t="n">
        <v>19500000</v>
      </c>
      <c r="F7" s="7" t="s">
        <v>601</v>
      </c>
      <c r="G7" s="8" t="n">
        <f aca="false">E7/IF(F7="USD",Varsayimlar!$B$4,IF(F7="TRY",Varsayimlar!$B$5,1))</f>
        <v>353484.999546814</v>
      </c>
      <c r="H7" s="8" t="n">
        <f aca="false">Asansor!$J$13</f>
        <v>414200</v>
      </c>
      <c r="I7" s="43" t="n">
        <f aca="false">IF(H7=0,"",G7/H7-1)</f>
        <v>-0.146583777047769</v>
      </c>
      <c r="J7" s="7" t="s">
        <v>666</v>
      </c>
      <c r="K7" s="7" t="s">
        <v>667</v>
      </c>
      <c r="L7" s="7" t="s">
        <v>668</v>
      </c>
      <c r="M7" s="7" t="s">
        <v>669</v>
      </c>
      <c r="N7" s="7" t="s">
        <v>670</v>
      </c>
    </row>
    <row r="8" customFormat="false" ht="60" hidden="false" customHeight="true" outlineLevel="0" collapsed="false">
      <c r="A8" s="7" t="s">
        <v>671</v>
      </c>
      <c r="B8" s="7" t="s">
        <v>672</v>
      </c>
      <c r="C8" s="7" t="s">
        <v>673</v>
      </c>
      <c r="D8" s="7" t="s">
        <v>674</v>
      </c>
      <c r="E8" s="8" t="n">
        <v>788000</v>
      </c>
      <c r="F8" s="7" t="s">
        <v>112</v>
      </c>
      <c r="G8" s="8" t="n">
        <f aca="false">E8/IF(F8="USD",Varsayimlar!$B$4,IF(F8="TRY",Varsayimlar!$B$5,1))</f>
        <v>788000</v>
      </c>
      <c r="H8" s="8" t="n">
        <f aca="false">Sinyal!J88+Sinyal!J90+Sinyal!J92</f>
        <v>766700</v>
      </c>
      <c r="I8" s="43" t="n">
        <f aca="false">IF(H8=0,"",G8/H8-1)</f>
        <v>0.0277814008086605</v>
      </c>
      <c r="J8" s="7" t="s">
        <v>675</v>
      </c>
      <c r="K8" s="7" t="s">
        <v>676</v>
      </c>
      <c r="L8" s="7" t="s">
        <v>677</v>
      </c>
      <c r="M8" s="7" t="s">
        <v>678</v>
      </c>
      <c r="N8" s="7" t="s">
        <v>679</v>
      </c>
    </row>
    <row r="9" customFormat="false" ht="60" hidden="false" customHeight="true" outlineLevel="0" collapsed="false">
      <c r="A9" s="7" t="s">
        <v>680</v>
      </c>
      <c r="B9" s="7" t="s">
        <v>681</v>
      </c>
      <c r="C9" s="7" t="s">
        <v>673</v>
      </c>
      <c r="D9" s="7" t="s">
        <v>682</v>
      </c>
      <c r="E9" s="8" t="n">
        <v>81600</v>
      </c>
      <c r="F9" s="7" t="s">
        <v>112</v>
      </c>
      <c r="G9" s="8" t="n">
        <f aca="false">E9/IF(F9="USD",Varsayimlar!$B$4,IF(F9="TRY",Varsayimlar!$B$5,1))</f>
        <v>81600</v>
      </c>
      <c r="H9" s="8" t="n">
        <f aca="false">Haberlesme!J324+Haberlesme!J327+Haberlesme!J331+Haberlesme!J335+Haberlesme!J339+Haberlesme!J343+Haberlesme!J347+Haberlesme!J351+Haberlesme!J357</f>
        <v>81817.3846153846</v>
      </c>
      <c r="I9" s="43" t="n">
        <f aca="false">IF(H9=0,"",G9/H9-1)</f>
        <v>-0.00265694896514368</v>
      </c>
      <c r="J9" s="7" t="s">
        <v>683</v>
      </c>
      <c r="K9" s="7" t="s">
        <v>684</v>
      </c>
      <c r="L9" s="7" t="s">
        <v>685</v>
      </c>
      <c r="M9" s="7" t="s">
        <v>686</v>
      </c>
      <c r="N9" s="7" t="s">
        <v>687</v>
      </c>
    </row>
    <row r="10" customFormat="false" ht="60" hidden="false" customHeight="true" outlineLevel="0" collapsed="false">
      <c r="A10" s="7" t="s">
        <v>688</v>
      </c>
      <c r="B10" s="7" t="s">
        <v>681</v>
      </c>
      <c r="C10" s="7" t="s">
        <v>673</v>
      </c>
      <c r="D10" s="7" t="s">
        <v>689</v>
      </c>
      <c r="E10" s="8" t="n">
        <v>171000</v>
      </c>
      <c r="F10" s="7" t="s">
        <v>112</v>
      </c>
      <c r="G10" s="8" t="n">
        <f aca="false">E10/IF(F10="USD",Varsayimlar!$B$4,IF(F10="TRY",Varsayimlar!$B$5,1))</f>
        <v>171000</v>
      </c>
      <c r="H10" s="8" t="n">
        <f aca="false">Haberlesme!J461+Haberlesme!J464+Haberlesme!J469+Haberlesme!J474+Haberlesme!J479+Haberlesme!J484+Haberlesme!J489+Haberlesme!J494</f>
        <v>161399.384615385</v>
      </c>
      <c r="I10" s="43" t="n">
        <f aca="false">IF(H10=0,"",G10/H10-1)</f>
        <v>0.0594835934938269</v>
      </c>
      <c r="J10" s="7" t="s">
        <v>690</v>
      </c>
      <c r="K10" s="7" t="s">
        <v>691</v>
      </c>
      <c r="L10" s="7" t="s">
        <v>692</v>
      </c>
      <c r="M10" s="7" t="s">
        <v>686</v>
      </c>
      <c r="N10" s="7" t="s">
        <v>693</v>
      </c>
    </row>
    <row r="11" customFormat="false" ht="60" hidden="false" customHeight="true" outlineLevel="0" collapsed="false">
      <c r="A11" s="7" t="s">
        <v>694</v>
      </c>
      <c r="B11" s="7" t="s">
        <v>695</v>
      </c>
      <c r="C11" s="7" t="s">
        <v>696</v>
      </c>
      <c r="D11" s="7" t="s">
        <v>64</v>
      </c>
      <c r="E11" s="8" t="n">
        <v>7281784</v>
      </c>
      <c r="F11" s="7" t="s">
        <v>112</v>
      </c>
      <c r="G11" s="8" t="n">
        <f aca="false">E11/IF(F11="USD",Varsayimlar!$B$4,IF(F11="TRY",Varsayimlar!$B$5,1))</f>
        <v>7281784</v>
      </c>
      <c r="H11" s="8" t="n">
        <f aca="false">Sinyal!$J$95</f>
        <v>4086007.03190758</v>
      </c>
      <c r="I11" s="43" t="n">
        <f aca="false">IF(H11=0,"",G11/H11-1)</f>
        <v>0.782127133687395</v>
      </c>
      <c r="J11" s="7" t="s">
        <v>697</v>
      </c>
      <c r="K11" s="7" t="s">
        <v>698</v>
      </c>
      <c r="L11" s="7" t="s">
        <v>699</v>
      </c>
      <c r="M11" s="7" t="s">
        <v>700</v>
      </c>
      <c r="N11" s="7" t="s">
        <v>701</v>
      </c>
    </row>
    <row r="12" customFormat="false" ht="45" hidden="false" customHeight="true" outlineLevel="0" collapsed="false">
      <c r="A12" s="27" t="s">
        <v>702</v>
      </c>
      <c r="B12" s="7" t="s">
        <v>703</v>
      </c>
      <c r="C12" s="7" t="s">
        <v>704</v>
      </c>
      <c r="D12" s="7" t="s">
        <v>705</v>
      </c>
      <c r="E12" s="8" t="n">
        <v>19108311</v>
      </c>
      <c r="F12" s="7" t="s">
        <v>112</v>
      </c>
      <c r="G12" s="7"/>
      <c r="H12" s="7"/>
      <c r="I12" s="7"/>
      <c r="J12" s="7" t="s">
        <v>706</v>
      </c>
      <c r="K12" s="7" t="s">
        <v>707</v>
      </c>
      <c r="L12" s="7"/>
      <c r="M12" s="7" t="s">
        <v>708</v>
      </c>
      <c r="N12" s="7" t="s">
        <v>709</v>
      </c>
    </row>
    <row r="14" customFormat="false" ht="15" hidden="false" customHeight="false" outlineLevel="0" collapsed="false">
      <c r="A14" s="19" t="s">
        <v>710</v>
      </c>
    </row>
    <row r="15" customFormat="false" ht="30" hidden="false" customHeight="true" outlineLevel="0" collapsed="false">
      <c r="A15" s="2" t="s">
        <v>711</v>
      </c>
      <c r="B15" s="2"/>
      <c r="C15" s="2"/>
      <c r="D15" s="2"/>
      <c r="E15" s="2"/>
      <c r="F15" s="2"/>
      <c r="G15" s="2"/>
      <c r="H15" s="2"/>
      <c r="I15" s="2"/>
      <c r="J15" s="2"/>
      <c r="K15" s="2"/>
      <c r="L15" s="2"/>
      <c r="M15" s="2"/>
      <c r="N15" s="2"/>
    </row>
    <row r="16" customFormat="false" ht="30" hidden="false" customHeight="true" outlineLevel="0" collapsed="false">
      <c r="A16" s="2" t="s">
        <v>712</v>
      </c>
      <c r="B16" s="2"/>
      <c r="C16" s="2"/>
      <c r="D16" s="2"/>
      <c r="E16" s="2"/>
      <c r="F16" s="2"/>
      <c r="G16" s="2"/>
      <c r="H16" s="2"/>
      <c r="I16" s="2"/>
      <c r="J16" s="2"/>
      <c r="K16" s="2"/>
      <c r="L16" s="2"/>
      <c r="M16" s="2"/>
      <c r="N16" s="2"/>
    </row>
    <row r="17" customFormat="false" ht="30" hidden="false" customHeight="true" outlineLevel="0" collapsed="false">
      <c r="A17" s="2" t="s">
        <v>713</v>
      </c>
      <c r="B17" s="2"/>
      <c r="C17" s="2"/>
      <c r="D17" s="2"/>
      <c r="E17" s="2"/>
      <c r="F17" s="2"/>
      <c r="G17" s="2"/>
      <c r="H17" s="2"/>
      <c r="I17" s="2"/>
      <c r="J17" s="2"/>
      <c r="K17" s="2"/>
      <c r="L17" s="2"/>
      <c r="M17" s="2"/>
      <c r="N17" s="2"/>
    </row>
    <row r="18" customFormat="false" ht="30" hidden="false" customHeight="true" outlineLevel="0" collapsed="false">
      <c r="A18" s="2" t="s">
        <v>714</v>
      </c>
      <c r="B18" s="2"/>
      <c r="C18" s="2"/>
      <c r="D18" s="2"/>
      <c r="E18" s="2"/>
      <c r="F18" s="2"/>
      <c r="G18" s="2"/>
      <c r="H18" s="2"/>
      <c r="I18" s="2"/>
      <c r="J18" s="2"/>
      <c r="K18" s="2"/>
      <c r="L18" s="2"/>
      <c r="M18" s="2"/>
      <c r="N18" s="2"/>
    </row>
    <row r="19" customFormat="false" ht="30" hidden="false" customHeight="true" outlineLevel="0" collapsed="false">
      <c r="A19" s="2" t="s">
        <v>715</v>
      </c>
      <c r="B19" s="2"/>
      <c r="C19" s="2"/>
      <c r="D19" s="2"/>
      <c r="E19" s="2"/>
      <c r="F19" s="2"/>
      <c r="G19" s="2"/>
      <c r="H19" s="2"/>
      <c r="I19" s="2"/>
      <c r="J19" s="2"/>
      <c r="K19" s="2"/>
      <c r="L19" s="2"/>
      <c r="M19" s="2"/>
      <c r="N19" s="2"/>
    </row>
    <row r="20" customFormat="false" ht="30" hidden="false" customHeight="true" outlineLevel="0" collapsed="false">
      <c r="A20" s="2" t="s">
        <v>716</v>
      </c>
      <c r="B20" s="2"/>
      <c r="C20" s="2"/>
      <c r="D20" s="2"/>
      <c r="E20" s="2"/>
      <c r="F20" s="2"/>
      <c r="G20" s="2"/>
      <c r="H20" s="2"/>
      <c r="I20" s="2"/>
      <c r="J20" s="2"/>
      <c r="K20" s="2"/>
      <c r="L20" s="2"/>
      <c r="M20" s="2"/>
      <c r="N20" s="2"/>
    </row>
  </sheetData>
  <mergeCells count="7">
    <mergeCell ref="A2:N2"/>
    <mergeCell ref="A15:N15"/>
    <mergeCell ref="A16:N16"/>
    <mergeCell ref="A17:N17"/>
    <mergeCell ref="A18:N18"/>
    <mergeCell ref="A19:N19"/>
    <mergeCell ref="A20:N2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16"/>
    <col collapsed="false" customWidth="true" hidden="false" outlineLevel="0" max="4" min="4" style="0" width="5"/>
    <col collapsed="false" customWidth="true" hidden="false" outlineLevel="0" max="5" min="5" style="0" width="52"/>
    <col collapsed="false" customWidth="true" hidden="false" outlineLevel="0" max="6" min="6" style="0" width="9"/>
    <col collapsed="false" customWidth="true" hidden="false" outlineLevel="0" max="7" min="7" style="0" width="10"/>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6.15" hidden="false" customHeight="false" outlineLevel="0" collapsed="false">
      <c r="A1" s="1" t="s">
        <v>717</v>
      </c>
    </row>
    <row r="2" customFormat="false" ht="48" hidden="false" customHeight="true" outlineLevel="0" collapsed="false">
      <c r="A2" s="2" t="s">
        <v>718</v>
      </c>
      <c r="B2" s="2"/>
      <c r="C2" s="2"/>
      <c r="D2" s="2"/>
      <c r="E2" s="2"/>
      <c r="F2" s="2"/>
      <c r="G2" s="2"/>
      <c r="H2" s="2"/>
      <c r="I2" s="2"/>
      <c r="J2" s="2"/>
      <c r="K2" s="2"/>
    </row>
    <row r="4" customFormat="false" ht="23.85" hidden="false" customHeight="false" outlineLevel="0" collapsed="false">
      <c r="A4" s="3" t="s">
        <v>110</v>
      </c>
      <c r="B4" s="3" t="s">
        <v>111</v>
      </c>
      <c r="C4" s="3" t="s">
        <v>636</v>
      </c>
      <c r="D4" s="3" t="s">
        <v>719</v>
      </c>
      <c r="E4" s="3" t="s">
        <v>121</v>
      </c>
      <c r="F4" s="3" t="s">
        <v>720</v>
      </c>
      <c r="G4" s="3" t="s">
        <v>92</v>
      </c>
      <c r="H4" s="3" t="s">
        <v>721</v>
      </c>
      <c r="I4" s="3" t="s">
        <v>722</v>
      </c>
      <c r="J4" s="3" t="s">
        <v>723</v>
      </c>
      <c r="K4" s="3" t="s">
        <v>724</v>
      </c>
    </row>
    <row r="5" customFormat="false" ht="39.55" hidden="false" customHeight="false" outlineLevel="0" collapsed="false">
      <c r="A5" s="7" t="s">
        <v>115</v>
      </c>
      <c r="B5" s="7" t="s">
        <v>116</v>
      </c>
      <c r="C5" s="7" t="s">
        <v>725</v>
      </c>
      <c r="D5" s="7" t="s">
        <v>576</v>
      </c>
      <c r="E5" s="7" t="s">
        <v>726</v>
      </c>
      <c r="F5" s="7" t="s">
        <v>727</v>
      </c>
      <c r="G5" s="7" t="n">
        <v>42</v>
      </c>
      <c r="H5" s="40" t="n">
        <v>52850</v>
      </c>
      <c r="I5" s="40" t="n">
        <v>18500</v>
      </c>
      <c r="J5" s="8" t="n">
        <f aca="false">G5*(H5+N(I5))</f>
        <v>2996700</v>
      </c>
      <c r="K5" s="7"/>
    </row>
    <row r="6" customFormat="false" ht="39.55" hidden="false" customHeight="false" outlineLevel="0" collapsed="false">
      <c r="A6" s="7" t="s">
        <v>115</v>
      </c>
      <c r="B6" s="7" t="s">
        <v>116</v>
      </c>
      <c r="C6" s="7" t="s">
        <v>725</v>
      </c>
      <c r="D6" s="7" t="s">
        <v>578</v>
      </c>
      <c r="E6" s="7" t="s">
        <v>728</v>
      </c>
      <c r="F6" s="7" t="s">
        <v>727</v>
      </c>
      <c r="G6" s="7" t="n">
        <v>2</v>
      </c>
      <c r="H6" s="40" t="n">
        <v>58300</v>
      </c>
      <c r="I6" s="40" t="n">
        <v>19950</v>
      </c>
      <c r="J6" s="8" t="n">
        <f aca="false">G6*(H6+N(I6))</f>
        <v>156500</v>
      </c>
      <c r="K6" s="7"/>
    </row>
    <row r="7" customFormat="false" ht="39.55" hidden="false" customHeight="false" outlineLevel="0" collapsed="false">
      <c r="A7" s="7" t="s">
        <v>115</v>
      </c>
      <c r="B7" s="7" t="s">
        <v>116</v>
      </c>
      <c r="C7" s="7" t="s">
        <v>725</v>
      </c>
      <c r="D7" s="7" t="s">
        <v>580</v>
      </c>
      <c r="E7" s="7" t="s">
        <v>729</v>
      </c>
      <c r="F7" s="7" t="s">
        <v>727</v>
      </c>
      <c r="G7" s="7" t="n">
        <v>2</v>
      </c>
      <c r="H7" s="40" t="n">
        <v>319600</v>
      </c>
      <c r="I7" s="40" t="n">
        <v>97500</v>
      </c>
      <c r="J7" s="8" t="n">
        <f aca="false">G7*(H7+N(I7))</f>
        <v>834200</v>
      </c>
      <c r="K7" s="7"/>
    </row>
    <row r="8" customFormat="false" ht="39.55" hidden="false" customHeight="false" outlineLevel="0" collapsed="false">
      <c r="A8" s="7" t="s">
        <v>115</v>
      </c>
      <c r="B8" s="7" t="s">
        <v>116</v>
      </c>
      <c r="C8" s="7" t="s">
        <v>725</v>
      </c>
      <c r="D8" s="7" t="s">
        <v>582</v>
      </c>
      <c r="E8" s="7" t="s">
        <v>730</v>
      </c>
      <c r="F8" s="7" t="s">
        <v>727</v>
      </c>
      <c r="G8" s="7" t="n">
        <v>1</v>
      </c>
      <c r="H8" s="40" t="n">
        <v>294900</v>
      </c>
      <c r="I8" s="40" t="n">
        <v>92500</v>
      </c>
      <c r="J8" s="8" t="n">
        <f aca="false">G8*(H8+N(I8))</f>
        <v>387400</v>
      </c>
      <c r="K8" s="7"/>
    </row>
    <row r="9" customFormat="false" ht="39.55" hidden="false" customHeight="false" outlineLevel="0" collapsed="false">
      <c r="A9" s="7" t="s">
        <v>115</v>
      </c>
      <c r="B9" s="7" t="s">
        <v>116</v>
      </c>
      <c r="C9" s="7" t="s">
        <v>725</v>
      </c>
      <c r="D9" s="7" t="s">
        <v>584</v>
      </c>
      <c r="E9" s="7" t="s">
        <v>731</v>
      </c>
      <c r="F9" s="7" t="s">
        <v>732</v>
      </c>
      <c r="G9" s="7" t="n">
        <v>1</v>
      </c>
      <c r="H9" s="40" t="n">
        <v>75000</v>
      </c>
      <c r="I9" s="40" t="n">
        <v>25000</v>
      </c>
      <c r="J9" s="8" t="n">
        <f aca="false">G9*(H9+N(I9))</f>
        <v>100000</v>
      </c>
      <c r="K9" s="7"/>
    </row>
    <row r="10" customFormat="false" ht="39.55" hidden="false" customHeight="false" outlineLevel="0" collapsed="false">
      <c r="A10" s="7" t="s">
        <v>115</v>
      </c>
      <c r="B10" s="7" t="s">
        <v>116</v>
      </c>
      <c r="C10" s="7" t="s">
        <v>725</v>
      </c>
      <c r="D10" s="7" t="s">
        <v>586</v>
      </c>
      <c r="E10" s="7" t="s">
        <v>733</v>
      </c>
      <c r="F10" s="7" t="s">
        <v>734</v>
      </c>
      <c r="G10" s="7" t="n">
        <v>17231</v>
      </c>
      <c r="H10" s="40" t="n">
        <v>425</v>
      </c>
      <c r="I10" s="40" t="n">
        <v>215</v>
      </c>
      <c r="J10" s="8" t="n">
        <f aca="false">G10*(H10+N(I10))</f>
        <v>11027840</v>
      </c>
      <c r="K10" s="7"/>
    </row>
    <row r="11" customFormat="false" ht="39.55" hidden="false" customHeight="false" outlineLevel="0" collapsed="false">
      <c r="A11" s="7" t="s">
        <v>115</v>
      </c>
      <c r="B11" s="7" t="s">
        <v>116</v>
      </c>
      <c r="C11" s="7" t="s">
        <v>725</v>
      </c>
      <c r="D11" s="7" t="s">
        <v>735</v>
      </c>
      <c r="E11" s="7" t="s">
        <v>736</v>
      </c>
      <c r="F11" s="7" t="s">
        <v>734</v>
      </c>
      <c r="G11" s="7" t="n">
        <v>2960</v>
      </c>
      <c r="H11" s="40" t="n">
        <v>405</v>
      </c>
      <c r="I11" s="40" t="n">
        <v>195</v>
      </c>
      <c r="J11" s="8" t="n">
        <f aca="false">G11*(H11+N(I11))</f>
        <v>1776000</v>
      </c>
      <c r="K11" s="7"/>
    </row>
    <row r="12" customFormat="false" ht="39.55" hidden="false" customHeight="false" outlineLevel="0" collapsed="false">
      <c r="A12" s="7" t="s">
        <v>115</v>
      </c>
      <c r="B12" s="7" t="s">
        <v>116</v>
      </c>
      <c r="C12" s="7" t="s">
        <v>725</v>
      </c>
      <c r="D12" s="7" t="s">
        <v>737</v>
      </c>
      <c r="E12" s="7" t="s">
        <v>738</v>
      </c>
      <c r="F12" s="7" t="s">
        <v>727</v>
      </c>
      <c r="G12" s="7" t="n">
        <v>4</v>
      </c>
      <c r="H12" s="40" t="n">
        <v>10250</v>
      </c>
      <c r="I12" s="40" t="n">
        <v>1250</v>
      </c>
      <c r="J12" s="8" t="n">
        <f aca="false">G12*(H12+N(I12))</f>
        <v>46000</v>
      </c>
      <c r="K12" s="7"/>
    </row>
    <row r="13" customFormat="false" ht="39.55" hidden="false" customHeight="false" outlineLevel="0" collapsed="false">
      <c r="A13" s="7" t="s">
        <v>115</v>
      </c>
      <c r="B13" s="7" t="s">
        <v>116</v>
      </c>
      <c r="C13" s="7" t="s">
        <v>725</v>
      </c>
      <c r="D13" s="7" t="s">
        <v>739</v>
      </c>
      <c r="E13" s="7" t="s">
        <v>740</v>
      </c>
      <c r="F13" s="7" t="s">
        <v>741</v>
      </c>
      <c r="G13" s="7" t="n">
        <v>316.2</v>
      </c>
      <c r="H13" s="40" t="n">
        <v>50</v>
      </c>
      <c r="I13" s="40" t="n">
        <v>25</v>
      </c>
      <c r="J13" s="8" t="n">
        <f aca="false">G13*(H13+N(I13))</f>
        <v>23715</v>
      </c>
      <c r="K13" s="7"/>
    </row>
    <row r="14" customFormat="false" ht="26.85" hidden="false" customHeight="false" outlineLevel="0" collapsed="false">
      <c r="A14" s="7" t="s">
        <v>115</v>
      </c>
      <c r="B14" s="7" t="s">
        <v>117</v>
      </c>
      <c r="C14" s="7" t="s">
        <v>665</v>
      </c>
      <c r="D14" s="7" t="s">
        <v>576</v>
      </c>
      <c r="E14" s="7" t="s">
        <v>742</v>
      </c>
      <c r="F14" s="7" t="s">
        <v>734</v>
      </c>
      <c r="G14" s="7" t="n">
        <v>17231</v>
      </c>
      <c r="H14" s="40" t="n">
        <v>76</v>
      </c>
      <c r="I14" s="40"/>
      <c r="J14" s="8" t="n">
        <f aca="false">G14*(H14+N(I14))</f>
        <v>1309556</v>
      </c>
      <c r="K14" s="7"/>
    </row>
    <row r="15" customFormat="false" ht="26.85" hidden="false" customHeight="false" outlineLevel="0" collapsed="false">
      <c r="A15" s="7" t="s">
        <v>115</v>
      </c>
      <c r="B15" s="7" t="s">
        <v>117</v>
      </c>
      <c r="C15" s="7" t="s">
        <v>665</v>
      </c>
      <c r="D15" s="7" t="s">
        <v>578</v>
      </c>
      <c r="E15" s="7" t="s">
        <v>743</v>
      </c>
      <c r="F15" s="7" t="s">
        <v>727</v>
      </c>
      <c r="G15" s="7" t="n">
        <v>59</v>
      </c>
      <c r="H15" s="40" t="n">
        <v>3050</v>
      </c>
      <c r="I15" s="40"/>
      <c r="J15" s="8" t="n">
        <f aca="false">G15*(H15+N(I15))</f>
        <v>179950</v>
      </c>
      <c r="K15" s="7"/>
    </row>
    <row r="16" customFormat="false" ht="26.85" hidden="false" customHeight="false" outlineLevel="0" collapsed="false">
      <c r="A16" s="7" t="s">
        <v>115</v>
      </c>
      <c r="B16" s="7" t="s">
        <v>117</v>
      </c>
      <c r="C16" s="7" t="s">
        <v>665</v>
      </c>
      <c r="D16" s="7" t="s">
        <v>580</v>
      </c>
      <c r="E16" s="7" t="s">
        <v>744</v>
      </c>
      <c r="F16" s="7" t="s">
        <v>727</v>
      </c>
      <c r="G16" s="7" t="n">
        <v>120</v>
      </c>
      <c r="H16" s="40" t="n">
        <v>450</v>
      </c>
      <c r="I16" s="40"/>
      <c r="J16" s="8" t="n">
        <f aca="false">G16*(H16+N(I16))</f>
        <v>54000</v>
      </c>
      <c r="K16" s="7"/>
    </row>
    <row r="17" customFormat="false" ht="26.85" hidden="false" customHeight="false" outlineLevel="0" collapsed="false">
      <c r="A17" s="7" t="s">
        <v>115</v>
      </c>
      <c r="B17" s="7" t="s">
        <v>117</v>
      </c>
      <c r="C17" s="7" t="s">
        <v>665</v>
      </c>
      <c r="D17" s="7" t="s">
        <v>582</v>
      </c>
      <c r="E17" s="7" t="s">
        <v>745</v>
      </c>
      <c r="F17" s="7" t="s">
        <v>727</v>
      </c>
      <c r="G17" s="7" t="n">
        <v>28000</v>
      </c>
      <c r="H17" s="40" t="n">
        <v>3</v>
      </c>
      <c r="I17" s="40"/>
      <c r="J17" s="8" t="n">
        <f aca="false">G17*(H17+N(I17))</f>
        <v>84000</v>
      </c>
      <c r="K17" s="7"/>
    </row>
    <row r="18" customFormat="false" ht="26.85" hidden="false" customHeight="false" outlineLevel="0" collapsed="false">
      <c r="A18" s="7" t="s">
        <v>115</v>
      </c>
      <c r="B18" s="7" t="s">
        <v>117</v>
      </c>
      <c r="C18" s="7" t="s">
        <v>665</v>
      </c>
      <c r="D18" s="7" t="s">
        <v>584</v>
      </c>
      <c r="E18" s="7" t="s">
        <v>746</v>
      </c>
      <c r="F18" s="7" t="s">
        <v>727</v>
      </c>
      <c r="G18" s="7" t="n">
        <v>20500</v>
      </c>
      <c r="H18" s="40" t="n">
        <v>4.9</v>
      </c>
      <c r="I18" s="40"/>
      <c r="J18" s="8" t="n">
        <f aca="false">G18*(H18+N(I18))</f>
        <v>100450</v>
      </c>
      <c r="K18" s="7"/>
    </row>
    <row r="19" customFormat="false" ht="26.85" hidden="false" customHeight="false" outlineLevel="0" collapsed="false">
      <c r="A19" s="7" t="s">
        <v>115</v>
      </c>
      <c r="B19" s="7" t="s">
        <v>117</v>
      </c>
      <c r="C19" s="7" t="s">
        <v>665</v>
      </c>
      <c r="D19" s="7" t="s">
        <v>586</v>
      </c>
      <c r="E19" s="7" t="s">
        <v>747</v>
      </c>
      <c r="F19" s="7" t="s">
        <v>748</v>
      </c>
      <c r="G19" s="7" t="n">
        <v>160000</v>
      </c>
      <c r="H19" s="40" t="n">
        <v>0.2</v>
      </c>
      <c r="I19" s="40"/>
      <c r="J19" s="8" t="n">
        <f aca="false">G19*(H19+N(I19))</f>
        <v>32000</v>
      </c>
      <c r="K19" s="7"/>
    </row>
    <row r="21" customFormat="false" ht="15" hidden="false" customHeight="false" outlineLevel="0" collapsed="false">
      <c r="E21" s="19" t="s">
        <v>749</v>
      </c>
    </row>
    <row r="22" customFormat="false" ht="15" hidden="false" customHeight="false" outlineLevel="0" collapsed="false">
      <c r="E22" s="19" t="s">
        <v>116</v>
      </c>
      <c r="J22" s="29" t="n">
        <f aca="false">SUM(J5:J13)</f>
        <v>17348355</v>
      </c>
    </row>
    <row r="23" customFormat="false" ht="15" hidden="false" customHeight="false" outlineLevel="0" collapsed="false">
      <c r="E23" s="19" t="s">
        <v>117</v>
      </c>
      <c r="J23" s="29" t="n">
        <f aca="false">SUM(J14:J19)</f>
        <v>1759956</v>
      </c>
    </row>
    <row r="24" customFormat="false" ht="15" hidden="false" customHeight="false" outlineLevel="0" collapsed="false">
      <c r="E24" s="44" t="s">
        <v>750</v>
      </c>
      <c r="J24" s="45" t="n">
        <f aca="false">Ihale_Geneli_Bilgi!$J$22+Ihale_Geneli_Bilgi!$J$23</f>
        <v>19108311</v>
      </c>
    </row>
    <row r="26" customFormat="false" ht="30" hidden="false" customHeight="true" outlineLevel="0" collapsed="false">
      <c r="A26" s="2" t="s">
        <v>751</v>
      </c>
      <c r="B26" s="2"/>
      <c r="C26" s="2"/>
      <c r="D26" s="2"/>
      <c r="E26" s="2"/>
      <c r="F26" s="2"/>
      <c r="G26" s="2"/>
      <c r="H26" s="2"/>
      <c r="I26" s="2"/>
      <c r="J26" s="2"/>
      <c r="K26" s="2"/>
    </row>
  </sheetData>
  <mergeCells count="2">
    <mergeCell ref="A2:K2"/>
    <mergeCell ref="A26:K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68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752</v>
      </c>
    </row>
    <row r="2" customFormat="false" ht="48" hidden="false" customHeight="true" outlineLevel="0" collapsed="false">
      <c r="A2" s="2" t="s">
        <v>753</v>
      </c>
      <c r="B2" s="2"/>
      <c r="C2" s="2"/>
      <c r="D2" s="2"/>
      <c r="E2" s="2"/>
      <c r="F2" s="2"/>
      <c r="G2" s="2"/>
      <c r="H2" s="2"/>
      <c r="I2" s="2"/>
      <c r="J2" s="2"/>
      <c r="K2" s="2"/>
      <c r="L2" s="2"/>
      <c r="M2" s="2"/>
    </row>
    <row r="3" customFormat="false" ht="21.75" hidden="false" customHeight="true" outlineLevel="0" collapsed="false">
      <c r="A3" s="46" t="s">
        <v>754</v>
      </c>
      <c r="B3" s="46"/>
      <c r="C3" s="47" t="str">
        <f aca="false">"Kalem bazlı toplam: "&amp;TEXT(J675,"#,##0")&amp;" €   |   2026 teklif: "&amp;TEXT(K680,"0%")&amp;"   |   Geçmiş teklif uyarlaması: "&amp;TEXT(K681,"0%")&amp;"   |   Tahmin: "&amp;TEXT(K682,"0%")&amp;"   |   Kalem kalem görmek için sol kenardaki [+] / [1][2] düğmelerini kullanın"</f>
        <v>Kalem bazlı toplam: 3,185,850 €   |   2026 teklif: 0%   |   Geçmiş teklif uyarlaması: 74%   |   Tahmin: 26%   |   Kalem kalem görmek için sol kenardaki [+] / [1][2] düğmelerini kullanın</v>
      </c>
      <c r="D3" s="47"/>
      <c r="E3" s="47"/>
      <c r="F3" s="47"/>
      <c r="G3" s="47"/>
      <c r="H3" s="47"/>
      <c r="I3" s="47"/>
      <c r="J3" s="47"/>
      <c r="K3" s="47"/>
      <c r="L3" s="47"/>
      <c r="M3" s="47"/>
    </row>
    <row r="4" customFormat="false" ht="42" hidden="false" customHeight="true" outlineLevel="0" collapsed="false">
      <c r="A4" s="3" t="s">
        <v>120</v>
      </c>
      <c r="B4" s="3" t="s">
        <v>755</v>
      </c>
      <c r="C4" s="3" t="s">
        <v>756</v>
      </c>
      <c r="D4" s="3" t="s">
        <v>720</v>
      </c>
      <c r="E4" s="3" t="s">
        <v>757</v>
      </c>
      <c r="F4" s="3" t="s">
        <v>758</v>
      </c>
      <c r="G4" s="3" t="s">
        <v>759</v>
      </c>
      <c r="H4" s="3" t="s">
        <v>760</v>
      </c>
      <c r="I4" s="3" t="s">
        <v>761</v>
      </c>
      <c r="J4" s="3" t="s">
        <v>122</v>
      </c>
      <c r="K4" s="3" t="s">
        <v>95</v>
      </c>
      <c r="L4" s="3" t="s">
        <v>762</v>
      </c>
      <c r="M4" s="3" t="s">
        <v>763</v>
      </c>
    </row>
    <row r="5" customFormat="false" ht="15" hidden="false" customHeight="false" outlineLevel="0" collapsed="false">
      <c r="A5" s="48" t="s">
        <v>124</v>
      </c>
      <c r="B5" s="48" t="s">
        <v>764</v>
      </c>
      <c r="C5" s="48" t="s">
        <v>125</v>
      </c>
      <c r="D5" s="48"/>
      <c r="E5" s="48"/>
      <c r="F5" s="48"/>
      <c r="G5" s="48"/>
      <c r="H5" s="48" t="s">
        <v>765</v>
      </c>
      <c r="I5" s="49" t="n">
        <f aca="false">SUMPRODUCT(E6:E13,I6:I13)</f>
        <v>8927.12</v>
      </c>
      <c r="J5" s="49" t="n">
        <f aca="false">SUM(J6:J13)</f>
        <v>8927.12</v>
      </c>
      <c r="K5" s="48"/>
      <c r="L5" s="48"/>
      <c r="M5" s="48"/>
    </row>
    <row r="6" customFormat="false" ht="77.6" hidden="false" customHeight="false" outlineLevel="1" collapsed="false">
      <c r="A6" s="27"/>
      <c r="B6" s="27" t="s">
        <v>764</v>
      </c>
      <c r="C6" s="7" t="s">
        <v>766</v>
      </c>
      <c r="D6" s="27" t="s">
        <v>727</v>
      </c>
      <c r="E6" s="50" t="n">
        <v>1</v>
      </c>
      <c r="F6" s="50" t="n">
        <v>1</v>
      </c>
      <c r="G6" s="27" t="s">
        <v>767</v>
      </c>
      <c r="H6" s="50" t="n">
        <f aca="false">F6</f>
        <v>1</v>
      </c>
      <c r="I6" s="51" t="n">
        <v>1891.54</v>
      </c>
      <c r="J6" s="28" t="n">
        <f aca="false">H6*I6</f>
        <v>1891.54</v>
      </c>
      <c r="K6" s="52" t="s">
        <v>548</v>
      </c>
      <c r="L6" s="7" t="s">
        <v>768</v>
      </c>
      <c r="M6" s="7" t="s">
        <v>769</v>
      </c>
    </row>
    <row r="7" customFormat="false" ht="26.85" hidden="false" customHeight="false" outlineLevel="1" collapsed="false">
      <c r="A7" s="27"/>
      <c r="B7" s="27" t="s">
        <v>764</v>
      </c>
      <c r="C7" s="7" t="s">
        <v>770</v>
      </c>
      <c r="D7" s="27" t="s">
        <v>727</v>
      </c>
      <c r="E7" s="50" t="n">
        <v>1</v>
      </c>
      <c r="F7" s="50" t="n">
        <v>1</v>
      </c>
      <c r="G7" s="27" t="s">
        <v>767</v>
      </c>
      <c r="H7" s="50" t="n">
        <f aca="false">F7</f>
        <v>1</v>
      </c>
      <c r="I7" s="51" t="n">
        <v>350</v>
      </c>
      <c r="J7" s="28" t="n">
        <f aca="false">H7*I7</f>
        <v>350</v>
      </c>
      <c r="K7" s="53" t="s">
        <v>551</v>
      </c>
      <c r="L7" s="7" t="s">
        <v>771</v>
      </c>
      <c r="M7" s="7" t="s">
        <v>772</v>
      </c>
    </row>
    <row r="8" customFormat="false" ht="26.85" hidden="false" customHeight="false" outlineLevel="1" collapsed="false">
      <c r="A8" s="27"/>
      <c r="B8" s="27" t="s">
        <v>764</v>
      </c>
      <c r="C8" s="7" t="s">
        <v>773</v>
      </c>
      <c r="D8" s="27" t="s">
        <v>727</v>
      </c>
      <c r="E8" s="50" t="n">
        <v>4</v>
      </c>
      <c r="F8" s="50" t="n">
        <v>4</v>
      </c>
      <c r="G8" s="27" t="s">
        <v>767</v>
      </c>
      <c r="H8" s="50" t="n">
        <f aca="false">F8</f>
        <v>4</v>
      </c>
      <c r="I8" s="51" t="n">
        <v>130</v>
      </c>
      <c r="J8" s="28" t="n">
        <f aca="false">H8*I8</f>
        <v>520</v>
      </c>
      <c r="K8" s="53" t="s">
        <v>551</v>
      </c>
      <c r="L8" s="7" t="s">
        <v>771</v>
      </c>
      <c r="M8" s="7" t="s">
        <v>774</v>
      </c>
    </row>
    <row r="9" customFormat="false" ht="26.85" hidden="false" customHeight="false" outlineLevel="1" collapsed="false">
      <c r="A9" s="27"/>
      <c r="B9" s="27" t="s">
        <v>764</v>
      </c>
      <c r="C9" s="7" t="s">
        <v>775</v>
      </c>
      <c r="D9" s="27" t="s">
        <v>727</v>
      </c>
      <c r="E9" s="50" t="n">
        <v>3</v>
      </c>
      <c r="F9" s="50" t="n">
        <v>3</v>
      </c>
      <c r="G9" s="27" t="s">
        <v>767</v>
      </c>
      <c r="H9" s="50" t="n">
        <f aca="false">F9</f>
        <v>3</v>
      </c>
      <c r="I9" s="51" t="n">
        <v>140</v>
      </c>
      <c r="J9" s="28" t="n">
        <f aca="false">H9*I9</f>
        <v>420</v>
      </c>
      <c r="K9" s="53" t="s">
        <v>551</v>
      </c>
      <c r="L9" s="7" t="s">
        <v>771</v>
      </c>
      <c r="M9" s="7" t="s">
        <v>776</v>
      </c>
    </row>
    <row r="10" customFormat="false" ht="52.2" hidden="false" customHeight="false" outlineLevel="1" collapsed="false">
      <c r="A10" s="27"/>
      <c r="B10" s="27" t="s">
        <v>764</v>
      </c>
      <c r="C10" s="7" t="s">
        <v>777</v>
      </c>
      <c r="D10" s="27" t="s">
        <v>727</v>
      </c>
      <c r="E10" s="50" t="n">
        <v>1</v>
      </c>
      <c r="F10" s="50" t="n">
        <v>1</v>
      </c>
      <c r="G10" s="27" t="s">
        <v>767</v>
      </c>
      <c r="H10" s="50" t="n">
        <f aca="false">F10</f>
        <v>1</v>
      </c>
      <c r="I10" s="51" t="n">
        <v>2000</v>
      </c>
      <c r="J10" s="28" t="n">
        <f aca="false">H10*I10</f>
        <v>2000</v>
      </c>
      <c r="K10" s="53" t="s">
        <v>551</v>
      </c>
      <c r="L10" s="7" t="s">
        <v>778</v>
      </c>
      <c r="M10" s="7" t="s">
        <v>779</v>
      </c>
    </row>
    <row r="11" customFormat="false" ht="52.2" hidden="false" customHeight="false" outlineLevel="1" collapsed="false">
      <c r="A11" s="27"/>
      <c r="B11" s="27" t="s">
        <v>764</v>
      </c>
      <c r="C11" s="7" t="s">
        <v>780</v>
      </c>
      <c r="D11" s="27" t="s">
        <v>727</v>
      </c>
      <c r="E11" s="50" t="n">
        <v>2</v>
      </c>
      <c r="F11" s="50" t="n">
        <v>2</v>
      </c>
      <c r="G11" s="27" t="s">
        <v>767</v>
      </c>
      <c r="H11" s="50" t="n">
        <f aca="false">F11</f>
        <v>2</v>
      </c>
      <c r="I11" s="51" t="n">
        <v>1200</v>
      </c>
      <c r="J11" s="28" t="n">
        <f aca="false">H11*I11</f>
        <v>2400</v>
      </c>
      <c r="K11" s="53" t="s">
        <v>551</v>
      </c>
      <c r="L11" s="7" t="s">
        <v>778</v>
      </c>
      <c r="M11" s="7" t="s">
        <v>781</v>
      </c>
    </row>
    <row r="12" customFormat="false" ht="77.6" hidden="false" customHeight="false" outlineLevel="1" collapsed="false">
      <c r="A12" s="27"/>
      <c r="B12" s="27" t="s">
        <v>764</v>
      </c>
      <c r="C12" s="7" t="s">
        <v>782</v>
      </c>
      <c r="D12" s="27" t="s">
        <v>727</v>
      </c>
      <c r="E12" s="50" t="n">
        <v>1</v>
      </c>
      <c r="F12" s="50" t="n">
        <v>1</v>
      </c>
      <c r="G12" s="27" t="s">
        <v>767</v>
      </c>
      <c r="H12" s="50" t="n">
        <f aca="false">F12</f>
        <v>1</v>
      </c>
      <c r="I12" s="51" t="n">
        <v>545.58</v>
      </c>
      <c r="J12" s="28" t="n">
        <f aca="false">H12*I12</f>
        <v>545.58</v>
      </c>
      <c r="K12" s="52" t="s">
        <v>548</v>
      </c>
      <c r="L12" s="7" t="s">
        <v>783</v>
      </c>
      <c r="M12" s="7" t="s">
        <v>784</v>
      </c>
    </row>
    <row r="13" customFormat="false" ht="15" hidden="false" customHeight="false" outlineLevel="1" collapsed="false">
      <c r="A13" s="27"/>
      <c r="B13" s="27" t="s">
        <v>764</v>
      </c>
      <c r="C13" s="7" t="s">
        <v>785</v>
      </c>
      <c r="D13" s="27" t="s">
        <v>732</v>
      </c>
      <c r="E13" s="50" t="n">
        <v>1</v>
      </c>
      <c r="F13" s="50" t="n">
        <v>1</v>
      </c>
      <c r="G13" s="27" t="s">
        <v>767</v>
      </c>
      <c r="H13" s="50" t="n">
        <f aca="false">F13</f>
        <v>1</v>
      </c>
      <c r="I13" s="51" t="n">
        <v>800</v>
      </c>
      <c r="J13" s="28" t="n">
        <f aca="false">H13*I13</f>
        <v>800</v>
      </c>
      <c r="K13" s="53" t="s">
        <v>551</v>
      </c>
      <c r="L13" s="7" t="s">
        <v>786</v>
      </c>
      <c r="M13" s="7" t="s">
        <v>787</v>
      </c>
    </row>
    <row r="14" customFormat="false" ht="15" hidden="false" customHeight="false" outlineLevel="0" collapsed="false">
      <c r="A14" s="48" t="s">
        <v>126</v>
      </c>
      <c r="B14" s="48" t="s">
        <v>788</v>
      </c>
      <c r="C14" s="48" t="s">
        <v>127</v>
      </c>
      <c r="D14" s="48"/>
      <c r="E14" s="48"/>
      <c r="F14" s="48"/>
      <c r="G14" s="48"/>
      <c r="H14" s="48" t="s">
        <v>765</v>
      </c>
      <c r="I14" s="49" t="n">
        <f aca="false">SUMPRODUCT(E15:E21,I15:I21)</f>
        <v>7177.12</v>
      </c>
      <c r="J14" s="49" t="n">
        <f aca="false">SUM(J15:J21)</f>
        <v>7177.12</v>
      </c>
      <c r="K14" s="48"/>
      <c r="L14" s="48"/>
      <c r="M14" s="48"/>
    </row>
    <row r="15" customFormat="false" ht="77.6" hidden="false" customHeight="false" outlineLevel="1" collapsed="false">
      <c r="A15" s="27"/>
      <c r="B15" s="27" t="s">
        <v>788</v>
      </c>
      <c r="C15" s="7" t="s">
        <v>789</v>
      </c>
      <c r="D15" s="27" t="s">
        <v>727</v>
      </c>
      <c r="E15" s="50" t="n">
        <v>1</v>
      </c>
      <c r="F15" s="50" t="n">
        <v>1</v>
      </c>
      <c r="G15" s="27" t="s">
        <v>767</v>
      </c>
      <c r="H15" s="50" t="n">
        <f aca="false">F15</f>
        <v>1</v>
      </c>
      <c r="I15" s="51" t="n">
        <v>1891.54</v>
      </c>
      <c r="J15" s="28" t="n">
        <f aca="false">H15*I15</f>
        <v>1891.54</v>
      </c>
      <c r="K15" s="52" t="s">
        <v>548</v>
      </c>
      <c r="L15" s="7" t="s">
        <v>768</v>
      </c>
      <c r="M15" s="7" t="s">
        <v>790</v>
      </c>
    </row>
    <row r="16" customFormat="false" ht="26.85" hidden="false" customHeight="false" outlineLevel="1" collapsed="false">
      <c r="A16" s="27"/>
      <c r="B16" s="27" t="s">
        <v>788</v>
      </c>
      <c r="C16" s="7" t="s">
        <v>791</v>
      </c>
      <c r="D16" s="27" t="s">
        <v>727</v>
      </c>
      <c r="E16" s="50" t="n">
        <v>1</v>
      </c>
      <c r="F16" s="50" t="n">
        <v>1</v>
      </c>
      <c r="G16" s="27" t="s">
        <v>767</v>
      </c>
      <c r="H16" s="50" t="n">
        <f aca="false">F16</f>
        <v>1</v>
      </c>
      <c r="I16" s="51" t="n">
        <v>550</v>
      </c>
      <c r="J16" s="28" t="n">
        <f aca="false">H16*I16</f>
        <v>550</v>
      </c>
      <c r="K16" s="53" t="s">
        <v>551</v>
      </c>
      <c r="L16" s="7" t="s">
        <v>771</v>
      </c>
      <c r="M16" s="7" t="s">
        <v>792</v>
      </c>
    </row>
    <row r="17" customFormat="false" ht="26.85" hidden="false" customHeight="false" outlineLevel="1" collapsed="false">
      <c r="A17" s="27"/>
      <c r="B17" s="27" t="s">
        <v>788</v>
      </c>
      <c r="C17" s="7" t="s">
        <v>793</v>
      </c>
      <c r="D17" s="27" t="s">
        <v>727</v>
      </c>
      <c r="E17" s="50" t="n">
        <v>9</v>
      </c>
      <c r="F17" s="50" t="n">
        <v>9</v>
      </c>
      <c r="G17" s="27" t="s">
        <v>767</v>
      </c>
      <c r="H17" s="50" t="n">
        <f aca="false">F17</f>
        <v>9</v>
      </c>
      <c r="I17" s="51" t="n">
        <v>130</v>
      </c>
      <c r="J17" s="28" t="n">
        <f aca="false">H17*I17</f>
        <v>1170</v>
      </c>
      <c r="K17" s="53" t="s">
        <v>551</v>
      </c>
      <c r="L17" s="7" t="s">
        <v>771</v>
      </c>
      <c r="M17" s="7" t="s">
        <v>774</v>
      </c>
    </row>
    <row r="18" customFormat="false" ht="26.85" hidden="false" customHeight="false" outlineLevel="1" collapsed="false">
      <c r="A18" s="27"/>
      <c r="B18" s="27" t="s">
        <v>788</v>
      </c>
      <c r="C18" s="7" t="s">
        <v>794</v>
      </c>
      <c r="D18" s="27" t="s">
        <v>727</v>
      </c>
      <c r="E18" s="50" t="n">
        <v>3</v>
      </c>
      <c r="F18" s="50" t="n">
        <v>3</v>
      </c>
      <c r="G18" s="27" t="s">
        <v>767</v>
      </c>
      <c r="H18" s="50" t="n">
        <f aca="false">F18</f>
        <v>3</v>
      </c>
      <c r="I18" s="51" t="n">
        <v>140</v>
      </c>
      <c r="J18" s="28" t="n">
        <f aca="false">H18*I18</f>
        <v>420</v>
      </c>
      <c r="K18" s="53" t="s">
        <v>551</v>
      </c>
      <c r="L18" s="7" t="s">
        <v>771</v>
      </c>
      <c r="M18" s="7" t="s">
        <v>776</v>
      </c>
    </row>
    <row r="19" customFormat="false" ht="77.6" hidden="false" customHeight="false" outlineLevel="1" collapsed="false">
      <c r="A19" s="27"/>
      <c r="B19" s="27" t="s">
        <v>788</v>
      </c>
      <c r="C19" s="7" t="s">
        <v>795</v>
      </c>
      <c r="D19" s="27" t="s">
        <v>727</v>
      </c>
      <c r="E19" s="50" t="n">
        <v>1</v>
      </c>
      <c r="F19" s="50" t="n">
        <v>1</v>
      </c>
      <c r="G19" s="27" t="s">
        <v>767</v>
      </c>
      <c r="H19" s="50" t="n">
        <f aca="false">F19</f>
        <v>1</v>
      </c>
      <c r="I19" s="51" t="n">
        <v>545.58</v>
      </c>
      <c r="J19" s="28" t="n">
        <f aca="false">H19*I19</f>
        <v>545.58</v>
      </c>
      <c r="K19" s="52" t="s">
        <v>548</v>
      </c>
      <c r="L19" s="7" t="s">
        <v>783</v>
      </c>
      <c r="M19" s="7" t="s">
        <v>784</v>
      </c>
    </row>
    <row r="20" customFormat="false" ht="52.2" hidden="false" customHeight="false" outlineLevel="1" collapsed="false">
      <c r="A20" s="27"/>
      <c r="B20" s="27" t="s">
        <v>788</v>
      </c>
      <c r="C20" s="7" t="s">
        <v>796</v>
      </c>
      <c r="D20" s="27" t="s">
        <v>727</v>
      </c>
      <c r="E20" s="50" t="n">
        <v>1</v>
      </c>
      <c r="F20" s="50" t="n">
        <v>1</v>
      </c>
      <c r="G20" s="27" t="s">
        <v>767</v>
      </c>
      <c r="H20" s="50" t="n">
        <f aca="false">F20</f>
        <v>1</v>
      </c>
      <c r="I20" s="51" t="n">
        <v>1800</v>
      </c>
      <c r="J20" s="28" t="n">
        <f aca="false">H20*I20</f>
        <v>1800</v>
      </c>
      <c r="K20" s="53" t="s">
        <v>551</v>
      </c>
      <c r="L20" s="7" t="s">
        <v>778</v>
      </c>
      <c r="M20" s="7" t="s">
        <v>779</v>
      </c>
    </row>
    <row r="21" customFormat="false" ht="15" hidden="false" customHeight="false" outlineLevel="1" collapsed="false">
      <c r="A21" s="27"/>
      <c r="B21" s="27" t="s">
        <v>788</v>
      </c>
      <c r="C21" s="7" t="s">
        <v>797</v>
      </c>
      <c r="D21" s="27" t="s">
        <v>732</v>
      </c>
      <c r="E21" s="50" t="n">
        <v>1</v>
      </c>
      <c r="F21" s="50" t="n">
        <v>1</v>
      </c>
      <c r="G21" s="27" t="s">
        <v>767</v>
      </c>
      <c r="H21" s="50" t="n">
        <f aca="false">F21</f>
        <v>1</v>
      </c>
      <c r="I21" s="51" t="n">
        <v>800</v>
      </c>
      <c r="J21" s="28" t="n">
        <f aca="false">H21*I21</f>
        <v>800</v>
      </c>
      <c r="K21" s="53" t="s">
        <v>551</v>
      </c>
      <c r="L21" s="7" t="s">
        <v>786</v>
      </c>
      <c r="M21" s="7" t="s">
        <v>787</v>
      </c>
    </row>
    <row r="22" customFormat="false" ht="15" hidden="false" customHeight="false" outlineLevel="0" collapsed="false">
      <c r="A22" s="48" t="s">
        <v>128</v>
      </c>
      <c r="B22" s="48" t="s">
        <v>798</v>
      </c>
      <c r="C22" s="48" t="s">
        <v>129</v>
      </c>
      <c r="D22" s="48"/>
      <c r="E22" s="48"/>
      <c r="F22" s="48"/>
      <c r="G22" s="48"/>
      <c r="H22" s="48" t="s">
        <v>765</v>
      </c>
      <c r="I22" s="49" t="n">
        <f aca="false">SUMPRODUCT(E23:E29,I23:I29)</f>
        <v>7177.12</v>
      </c>
      <c r="J22" s="49" t="n">
        <f aca="false">SUM(J23:J29)</f>
        <v>7177.12</v>
      </c>
      <c r="K22" s="48"/>
      <c r="L22" s="48"/>
      <c r="M22" s="48"/>
    </row>
    <row r="23" customFormat="false" ht="77.6" hidden="false" customHeight="false" outlineLevel="1" collapsed="false">
      <c r="A23" s="27"/>
      <c r="B23" s="27" t="s">
        <v>798</v>
      </c>
      <c r="C23" s="7" t="s">
        <v>789</v>
      </c>
      <c r="D23" s="27" t="s">
        <v>727</v>
      </c>
      <c r="E23" s="50" t="n">
        <v>1</v>
      </c>
      <c r="F23" s="50" t="n">
        <v>1</v>
      </c>
      <c r="G23" s="27" t="s">
        <v>767</v>
      </c>
      <c r="H23" s="50" t="n">
        <f aca="false">F23</f>
        <v>1</v>
      </c>
      <c r="I23" s="51" t="n">
        <v>1891.54</v>
      </c>
      <c r="J23" s="28" t="n">
        <f aca="false">H23*I23</f>
        <v>1891.54</v>
      </c>
      <c r="K23" s="52" t="s">
        <v>548</v>
      </c>
      <c r="L23" s="7" t="s">
        <v>768</v>
      </c>
      <c r="M23" s="7" t="s">
        <v>790</v>
      </c>
    </row>
    <row r="24" customFormat="false" ht="26.85" hidden="false" customHeight="false" outlineLevel="1" collapsed="false">
      <c r="A24" s="27"/>
      <c r="B24" s="27" t="s">
        <v>798</v>
      </c>
      <c r="C24" s="7" t="s">
        <v>791</v>
      </c>
      <c r="D24" s="27" t="s">
        <v>727</v>
      </c>
      <c r="E24" s="50" t="n">
        <v>1</v>
      </c>
      <c r="F24" s="50" t="n">
        <v>1</v>
      </c>
      <c r="G24" s="27" t="s">
        <v>767</v>
      </c>
      <c r="H24" s="50" t="n">
        <f aca="false">F24</f>
        <v>1</v>
      </c>
      <c r="I24" s="51" t="n">
        <v>550</v>
      </c>
      <c r="J24" s="28" t="n">
        <f aca="false">H24*I24</f>
        <v>550</v>
      </c>
      <c r="K24" s="53" t="s">
        <v>551</v>
      </c>
      <c r="L24" s="7" t="s">
        <v>771</v>
      </c>
      <c r="M24" s="7" t="s">
        <v>792</v>
      </c>
    </row>
    <row r="25" customFormat="false" ht="26.85" hidden="false" customHeight="false" outlineLevel="1" collapsed="false">
      <c r="A25" s="27"/>
      <c r="B25" s="27" t="s">
        <v>798</v>
      </c>
      <c r="C25" s="7" t="s">
        <v>793</v>
      </c>
      <c r="D25" s="27" t="s">
        <v>727</v>
      </c>
      <c r="E25" s="50" t="n">
        <v>9</v>
      </c>
      <c r="F25" s="50" t="n">
        <v>9</v>
      </c>
      <c r="G25" s="27" t="s">
        <v>767</v>
      </c>
      <c r="H25" s="50" t="n">
        <f aca="false">F25</f>
        <v>9</v>
      </c>
      <c r="I25" s="51" t="n">
        <v>130</v>
      </c>
      <c r="J25" s="28" t="n">
        <f aca="false">H25*I25</f>
        <v>1170</v>
      </c>
      <c r="K25" s="53" t="s">
        <v>551</v>
      </c>
      <c r="L25" s="7" t="s">
        <v>771</v>
      </c>
      <c r="M25" s="7" t="s">
        <v>774</v>
      </c>
    </row>
    <row r="26" customFormat="false" ht="26.85" hidden="false" customHeight="false" outlineLevel="1" collapsed="false">
      <c r="A26" s="27"/>
      <c r="B26" s="27" t="s">
        <v>798</v>
      </c>
      <c r="C26" s="7" t="s">
        <v>794</v>
      </c>
      <c r="D26" s="27" t="s">
        <v>727</v>
      </c>
      <c r="E26" s="50" t="n">
        <v>3</v>
      </c>
      <c r="F26" s="50" t="n">
        <v>3</v>
      </c>
      <c r="G26" s="27" t="s">
        <v>767</v>
      </c>
      <c r="H26" s="50" t="n">
        <f aca="false">F26</f>
        <v>3</v>
      </c>
      <c r="I26" s="51" t="n">
        <v>140</v>
      </c>
      <c r="J26" s="28" t="n">
        <f aca="false">H26*I26</f>
        <v>420</v>
      </c>
      <c r="K26" s="53" t="s">
        <v>551</v>
      </c>
      <c r="L26" s="7" t="s">
        <v>771</v>
      </c>
      <c r="M26" s="7" t="s">
        <v>776</v>
      </c>
    </row>
    <row r="27" customFormat="false" ht="77.6" hidden="false" customHeight="false" outlineLevel="1" collapsed="false">
      <c r="A27" s="27"/>
      <c r="B27" s="27" t="s">
        <v>798</v>
      </c>
      <c r="C27" s="7" t="s">
        <v>795</v>
      </c>
      <c r="D27" s="27" t="s">
        <v>727</v>
      </c>
      <c r="E27" s="50" t="n">
        <v>1</v>
      </c>
      <c r="F27" s="50" t="n">
        <v>1</v>
      </c>
      <c r="G27" s="27" t="s">
        <v>767</v>
      </c>
      <c r="H27" s="50" t="n">
        <f aca="false">F27</f>
        <v>1</v>
      </c>
      <c r="I27" s="51" t="n">
        <v>545.58</v>
      </c>
      <c r="J27" s="28" t="n">
        <f aca="false">H27*I27</f>
        <v>545.58</v>
      </c>
      <c r="K27" s="52" t="s">
        <v>548</v>
      </c>
      <c r="L27" s="7" t="s">
        <v>783</v>
      </c>
      <c r="M27" s="7" t="s">
        <v>784</v>
      </c>
    </row>
    <row r="28" customFormat="false" ht="52.2" hidden="false" customHeight="false" outlineLevel="1" collapsed="false">
      <c r="A28" s="27"/>
      <c r="B28" s="27" t="s">
        <v>798</v>
      </c>
      <c r="C28" s="7" t="s">
        <v>796</v>
      </c>
      <c r="D28" s="27" t="s">
        <v>727</v>
      </c>
      <c r="E28" s="50" t="n">
        <v>1</v>
      </c>
      <c r="F28" s="50" t="n">
        <v>1</v>
      </c>
      <c r="G28" s="27" t="s">
        <v>767</v>
      </c>
      <c r="H28" s="50" t="n">
        <f aca="false">F28</f>
        <v>1</v>
      </c>
      <c r="I28" s="51" t="n">
        <v>1800</v>
      </c>
      <c r="J28" s="28" t="n">
        <f aca="false">H28*I28</f>
        <v>1800</v>
      </c>
      <c r="K28" s="53" t="s">
        <v>551</v>
      </c>
      <c r="L28" s="7" t="s">
        <v>778</v>
      </c>
      <c r="M28" s="7" t="s">
        <v>779</v>
      </c>
    </row>
    <row r="29" customFormat="false" ht="15" hidden="false" customHeight="false" outlineLevel="1" collapsed="false">
      <c r="A29" s="27"/>
      <c r="B29" s="27" t="s">
        <v>798</v>
      </c>
      <c r="C29" s="7" t="s">
        <v>797</v>
      </c>
      <c r="D29" s="27" t="s">
        <v>732</v>
      </c>
      <c r="E29" s="50" t="n">
        <v>1</v>
      </c>
      <c r="F29" s="50" t="n">
        <v>1</v>
      </c>
      <c r="G29" s="27" t="s">
        <v>767</v>
      </c>
      <c r="H29" s="50" t="n">
        <f aca="false">F29</f>
        <v>1</v>
      </c>
      <c r="I29" s="51" t="n">
        <v>800</v>
      </c>
      <c r="J29" s="28" t="n">
        <f aca="false">H29*I29</f>
        <v>800</v>
      </c>
      <c r="K29" s="53" t="s">
        <v>551</v>
      </c>
      <c r="L29" s="7" t="s">
        <v>786</v>
      </c>
      <c r="M29" s="7" t="s">
        <v>787</v>
      </c>
    </row>
    <row r="30" customFormat="false" ht="15" hidden="false" customHeight="false" outlineLevel="0" collapsed="false">
      <c r="A30" s="48" t="s">
        <v>130</v>
      </c>
      <c r="B30" s="48" t="s">
        <v>799</v>
      </c>
      <c r="C30" s="48" t="s">
        <v>131</v>
      </c>
      <c r="D30" s="48"/>
      <c r="E30" s="48"/>
      <c r="F30" s="48"/>
      <c r="G30" s="48"/>
      <c r="H30" s="48" t="s">
        <v>765</v>
      </c>
      <c r="I30" s="49" t="n">
        <f aca="false">SUMPRODUCT(E31:E37,I31:I37)</f>
        <v>7177.12</v>
      </c>
      <c r="J30" s="49" t="n">
        <f aca="false">SUM(J31:J37)</f>
        <v>7177.12</v>
      </c>
      <c r="K30" s="48"/>
      <c r="L30" s="48"/>
      <c r="M30" s="48"/>
    </row>
    <row r="31" customFormat="false" ht="77.6" hidden="false" customHeight="false" outlineLevel="1" collapsed="false">
      <c r="A31" s="27"/>
      <c r="B31" s="27" t="s">
        <v>799</v>
      </c>
      <c r="C31" s="7" t="s">
        <v>789</v>
      </c>
      <c r="D31" s="27" t="s">
        <v>727</v>
      </c>
      <c r="E31" s="50" t="n">
        <v>1</v>
      </c>
      <c r="F31" s="50" t="n">
        <v>1</v>
      </c>
      <c r="G31" s="27" t="s">
        <v>767</v>
      </c>
      <c r="H31" s="50" t="n">
        <f aca="false">F31</f>
        <v>1</v>
      </c>
      <c r="I31" s="51" t="n">
        <v>1891.54</v>
      </c>
      <c r="J31" s="28" t="n">
        <f aca="false">H31*I31</f>
        <v>1891.54</v>
      </c>
      <c r="K31" s="52" t="s">
        <v>548</v>
      </c>
      <c r="L31" s="7" t="s">
        <v>768</v>
      </c>
      <c r="M31" s="7" t="s">
        <v>790</v>
      </c>
    </row>
    <row r="32" customFormat="false" ht="26.85" hidden="false" customHeight="false" outlineLevel="1" collapsed="false">
      <c r="A32" s="27"/>
      <c r="B32" s="27" t="s">
        <v>799</v>
      </c>
      <c r="C32" s="7" t="s">
        <v>791</v>
      </c>
      <c r="D32" s="27" t="s">
        <v>727</v>
      </c>
      <c r="E32" s="50" t="n">
        <v>1</v>
      </c>
      <c r="F32" s="50" t="n">
        <v>1</v>
      </c>
      <c r="G32" s="27" t="s">
        <v>767</v>
      </c>
      <c r="H32" s="50" t="n">
        <f aca="false">F32</f>
        <v>1</v>
      </c>
      <c r="I32" s="51" t="n">
        <v>550</v>
      </c>
      <c r="J32" s="28" t="n">
        <f aca="false">H32*I32</f>
        <v>550</v>
      </c>
      <c r="K32" s="53" t="s">
        <v>551</v>
      </c>
      <c r="L32" s="7" t="s">
        <v>771</v>
      </c>
      <c r="M32" s="7" t="s">
        <v>792</v>
      </c>
    </row>
    <row r="33" customFormat="false" ht="26.85" hidden="false" customHeight="false" outlineLevel="1" collapsed="false">
      <c r="A33" s="27"/>
      <c r="B33" s="27" t="s">
        <v>799</v>
      </c>
      <c r="C33" s="7" t="s">
        <v>793</v>
      </c>
      <c r="D33" s="27" t="s">
        <v>727</v>
      </c>
      <c r="E33" s="50" t="n">
        <v>9</v>
      </c>
      <c r="F33" s="50" t="n">
        <v>9</v>
      </c>
      <c r="G33" s="27" t="s">
        <v>767</v>
      </c>
      <c r="H33" s="50" t="n">
        <f aca="false">F33</f>
        <v>9</v>
      </c>
      <c r="I33" s="51" t="n">
        <v>130</v>
      </c>
      <c r="J33" s="28" t="n">
        <f aca="false">H33*I33</f>
        <v>1170</v>
      </c>
      <c r="K33" s="53" t="s">
        <v>551</v>
      </c>
      <c r="L33" s="7" t="s">
        <v>771</v>
      </c>
      <c r="M33" s="7" t="s">
        <v>774</v>
      </c>
    </row>
    <row r="34" customFormat="false" ht="26.85" hidden="false" customHeight="false" outlineLevel="1" collapsed="false">
      <c r="A34" s="27"/>
      <c r="B34" s="27" t="s">
        <v>799</v>
      </c>
      <c r="C34" s="7" t="s">
        <v>794</v>
      </c>
      <c r="D34" s="27" t="s">
        <v>727</v>
      </c>
      <c r="E34" s="50" t="n">
        <v>3</v>
      </c>
      <c r="F34" s="50" t="n">
        <v>3</v>
      </c>
      <c r="G34" s="27" t="s">
        <v>767</v>
      </c>
      <c r="H34" s="50" t="n">
        <f aca="false">F34</f>
        <v>3</v>
      </c>
      <c r="I34" s="51" t="n">
        <v>140</v>
      </c>
      <c r="J34" s="28" t="n">
        <f aca="false">H34*I34</f>
        <v>420</v>
      </c>
      <c r="K34" s="53" t="s">
        <v>551</v>
      </c>
      <c r="L34" s="7" t="s">
        <v>771</v>
      </c>
      <c r="M34" s="7" t="s">
        <v>776</v>
      </c>
    </row>
    <row r="35" customFormat="false" ht="77.6" hidden="false" customHeight="false" outlineLevel="1" collapsed="false">
      <c r="A35" s="27"/>
      <c r="B35" s="27" t="s">
        <v>799</v>
      </c>
      <c r="C35" s="7" t="s">
        <v>795</v>
      </c>
      <c r="D35" s="27" t="s">
        <v>727</v>
      </c>
      <c r="E35" s="50" t="n">
        <v>1</v>
      </c>
      <c r="F35" s="50" t="n">
        <v>1</v>
      </c>
      <c r="G35" s="27" t="s">
        <v>767</v>
      </c>
      <c r="H35" s="50" t="n">
        <f aca="false">F35</f>
        <v>1</v>
      </c>
      <c r="I35" s="51" t="n">
        <v>545.58</v>
      </c>
      <c r="J35" s="28" t="n">
        <f aca="false">H35*I35</f>
        <v>545.58</v>
      </c>
      <c r="K35" s="52" t="s">
        <v>548</v>
      </c>
      <c r="L35" s="7" t="s">
        <v>783</v>
      </c>
      <c r="M35" s="7" t="s">
        <v>784</v>
      </c>
    </row>
    <row r="36" customFormat="false" ht="52.2" hidden="false" customHeight="false" outlineLevel="1" collapsed="false">
      <c r="A36" s="27"/>
      <c r="B36" s="27" t="s">
        <v>799</v>
      </c>
      <c r="C36" s="7" t="s">
        <v>796</v>
      </c>
      <c r="D36" s="27" t="s">
        <v>727</v>
      </c>
      <c r="E36" s="50" t="n">
        <v>1</v>
      </c>
      <c r="F36" s="50" t="n">
        <v>1</v>
      </c>
      <c r="G36" s="27" t="s">
        <v>767</v>
      </c>
      <c r="H36" s="50" t="n">
        <f aca="false">F36</f>
        <v>1</v>
      </c>
      <c r="I36" s="51" t="n">
        <v>1800</v>
      </c>
      <c r="J36" s="28" t="n">
        <f aca="false">H36*I36</f>
        <v>1800</v>
      </c>
      <c r="K36" s="53" t="s">
        <v>551</v>
      </c>
      <c r="L36" s="7" t="s">
        <v>778</v>
      </c>
      <c r="M36" s="7" t="s">
        <v>779</v>
      </c>
    </row>
    <row r="37" customFormat="false" ht="15" hidden="false" customHeight="false" outlineLevel="1" collapsed="false">
      <c r="A37" s="27"/>
      <c r="B37" s="27" t="s">
        <v>799</v>
      </c>
      <c r="C37" s="7" t="s">
        <v>797</v>
      </c>
      <c r="D37" s="27" t="s">
        <v>732</v>
      </c>
      <c r="E37" s="50" t="n">
        <v>1</v>
      </c>
      <c r="F37" s="50" t="n">
        <v>1</v>
      </c>
      <c r="G37" s="27" t="s">
        <v>767</v>
      </c>
      <c r="H37" s="50" t="n">
        <f aca="false">F37</f>
        <v>1</v>
      </c>
      <c r="I37" s="51" t="n">
        <v>800</v>
      </c>
      <c r="J37" s="28" t="n">
        <f aca="false">H37*I37</f>
        <v>800</v>
      </c>
      <c r="K37" s="53" t="s">
        <v>551</v>
      </c>
      <c r="L37" s="7" t="s">
        <v>786</v>
      </c>
      <c r="M37" s="7" t="s">
        <v>787</v>
      </c>
    </row>
    <row r="38" customFormat="false" ht="15" hidden="false" customHeight="false" outlineLevel="0" collapsed="false">
      <c r="A38" s="48" t="s">
        <v>132</v>
      </c>
      <c r="B38" s="48" t="s">
        <v>800</v>
      </c>
      <c r="C38" s="48" t="s">
        <v>133</v>
      </c>
      <c r="D38" s="48"/>
      <c r="E38" s="48"/>
      <c r="F38" s="48"/>
      <c r="G38" s="48"/>
      <c r="H38" s="48" t="s">
        <v>765</v>
      </c>
      <c r="I38" s="49" t="n">
        <f aca="false">SUMPRODUCT(E39:E45,I39:I45)</f>
        <v>7177.12</v>
      </c>
      <c r="J38" s="49" t="n">
        <f aca="false">SUM(J39:J45)</f>
        <v>7177.12</v>
      </c>
      <c r="K38" s="48"/>
      <c r="L38" s="48"/>
      <c r="M38" s="48"/>
    </row>
    <row r="39" customFormat="false" ht="77.6" hidden="false" customHeight="false" outlineLevel="1" collapsed="false">
      <c r="A39" s="27"/>
      <c r="B39" s="27" t="s">
        <v>800</v>
      </c>
      <c r="C39" s="7" t="s">
        <v>789</v>
      </c>
      <c r="D39" s="27" t="s">
        <v>727</v>
      </c>
      <c r="E39" s="50" t="n">
        <v>1</v>
      </c>
      <c r="F39" s="50" t="n">
        <v>1</v>
      </c>
      <c r="G39" s="27" t="s">
        <v>767</v>
      </c>
      <c r="H39" s="50" t="n">
        <f aca="false">F39</f>
        <v>1</v>
      </c>
      <c r="I39" s="51" t="n">
        <v>1891.54</v>
      </c>
      <c r="J39" s="28" t="n">
        <f aca="false">H39*I39</f>
        <v>1891.54</v>
      </c>
      <c r="K39" s="52" t="s">
        <v>548</v>
      </c>
      <c r="L39" s="7" t="s">
        <v>768</v>
      </c>
      <c r="M39" s="7" t="s">
        <v>790</v>
      </c>
    </row>
    <row r="40" customFormat="false" ht="26.85" hidden="false" customHeight="false" outlineLevel="1" collapsed="false">
      <c r="A40" s="27"/>
      <c r="B40" s="27" t="s">
        <v>800</v>
      </c>
      <c r="C40" s="7" t="s">
        <v>791</v>
      </c>
      <c r="D40" s="27" t="s">
        <v>727</v>
      </c>
      <c r="E40" s="50" t="n">
        <v>1</v>
      </c>
      <c r="F40" s="50" t="n">
        <v>1</v>
      </c>
      <c r="G40" s="27" t="s">
        <v>767</v>
      </c>
      <c r="H40" s="50" t="n">
        <f aca="false">F40</f>
        <v>1</v>
      </c>
      <c r="I40" s="51" t="n">
        <v>550</v>
      </c>
      <c r="J40" s="28" t="n">
        <f aca="false">H40*I40</f>
        <v>550</v>
      </c>
      <c r="K40" s="53" t="s">
        <v>551</v>
      </c>
      <c r="L40" s="7" t="s">
        <v>771</v>
      </c>
      <c r="M40" s="7" t="s">
        <v>792</v>
      </c>
    </row>
    <row r="41" customFormat="false" ht="26.85" hidden="false" customHeight="false" outlineLevel="1" collapsed="false">
      <c r="A41" s="27"/>
      <c r="B41" s="27" t="s">
        <v>800</v>
      </c>
      <c r="C41" s="7" t="s">
        <v>793</v>
      </c>
      <c r="D41" s="27" t="s">
        <v>727</v>
      </c>
      <c r="E41" s="50" t="n">
        <v>9</v>
      </c>
      <c r="F41" s="50" t="n">
        <v>9</v>
      </c>
      <c r="G41" s="27" t="s">
        <v>767</v>
      </c>
      <c r="H41" s="50" t="n">
        <f aca="false">F41</f>
        <v>9</v>
      </c>
      <c r="I41" s="51" t="n">
        <v>130</v>
      </c>
      <c r="J41" s="28" t="n">
        <f aca="false">H41*I41</f>
        <v>1170</v>
      </c>
      <c r="K41" s="53" t="s">
        <v>551</v>
      </c>
      <c r="L41" s="7" t="s">
        <v>771</v>
      </c>
      <c r="M41" s="7" t="s">
        <v>774</v>
      </c>
    </row>
    <row r="42" customFormat="false" ht="26.85" hidden="false" customHeight="false" outlineLevel="1" collapsed="false">
      <c r="A42" s="27"/>
      <c r="B42" s="27" t="s">
        <v>800</v>
      </c>
      <c r="C42" s="7" t="s">
        <v>794</v>
      </c>
      <c r="D42" s="27" t="s">
        <v>727</v>
      </c>
      <c r="E42" s="50" t="n">
        <v>3</v>
      </c>
      <c r="F42" s="50" t="n">
        <v>3</v>
      </c>
      <c r="G42" s="27" t="s">
        <v>767</v>
      </c>
      <c r="H42" s="50" t="n">
        <f aca="false">F42</f>
        <v>3</v>
      </c>
      <c r="I42" s="51" t="n">
        <v>140</v>
      </c>
      <c r="J42" s="28" t="n">
        <f aca="false">H42*I42</f>
        <v>420</v>
      </c>
      <c r="K42" s="53" t="s">
        <v>551</v>
      </c>
      <c r="L42" s="7" t="s">
        <v>771</v>
      </c>
      <c r="M42" s="7" t="s">
        <v>776</v>
      </c>
    </row>
    <row r="43" customFormat="false" ht="77.6" hidden="false" customHeight="false" outlineLevel="1" collapsed="false">
      <c r="A43" s="27"/>
      <c r="B43" s="27" t="s">
        <v>800</v>
      </c>
      <c r="C43" s="7" t="s">
        <v>795</v>
      </c>
      <c r="D43" s="27" t="s">
        <v>727</v>
      </c>
      <c r="E43" s="50" t="n">
        <v>1</v>
      </c>
      <c r="F43" s="50" t="n">
        <v>1</v>
      </c>
      <c r="G43" s="27" t="s">
        <v>767</v>
      </c>
      <c r="H43" s="50" t="n">
        <f aca="false">F43</f>
        <v>1</v>
      </c>
      <c r="I43" s="51" t="n">
        <v>545.58</v>
      </c>
      <c r="J43" s="28" t="n">
        <f aca="false">H43*I43</f>
        <v>545.58</v>
      </c>
      <c r="K43" s="52" t="s">
        <v>548</v>
      </c>
      <c r="L43" s="7" t="s">
        <v>783</v>
      </c>
      <c r="M43" s="7" t="s">
        <v>784</v>
      </c>
    </row>
    <row r="44" customFormat="false" ht="52.2" hidden="false" customHeight="false" outlineLevel="1" collapsed="false">
      <c r="A44" s="27"/>
      <c r="B44" s="27" t="s">
        <v>800</v>
      </c>
      <c r="C44" s="7" t="s">
        <v>796</v>
      </c>
      <c r="D44" s="27" t="s">
        <v>727</v>
      </c>
      <c r="E44" s="50" t="n">
        <v>1</v>
      </c>
      <c r="F44" s="50" t="n">
        <v>1</v>
      </c>
      <c r="G44" s="27" t="s">
        <v>767</v>
      </c>
      <c r="H44" s="50" t="n">
        <f aca="false">F44</f>
        <v>1</v>
      </c>
      <c r="I44" s="51" t="n">
        <v>1800</v>
      </c>
      <c r="J44" s="28" t="n">
        <f aca="false">H44*I44</f>
        <v>1800</v>
      </c>
      <c r="K44" s="53" t="s">
        <v>551</v>
      </c>
      <c r="L44" s="7" t="s">
        <v>778</v>
      </c>
      <c r="M44" s="7" t="s">
        <v>779</v>
      </c>
    </row>
    <row r="45" customFormat="false" ht="15" hidden="false" customHeight="false" outlineLevel="1" collapsed="false">
      <c r="A45" s="27"/>
      <c r="B45" s="27" t="s">
        <v>800</v>
      </c>
      <c r="C45" s="7" t="s">
        <v>797</v>
      </c>
      <c r="D45" s="27" t="s">
        <v>732</v>
      </c>
      <c r="E45" s="50" t="n">
        <v>1</v>
      </c>
      <c r="F45" s="50" t="n">
        <v>1</v>
      </c>
      <c r="G45" s="27" t="s">
        <v>767</v>
      </c>
      <c r="H45" s="50" t="n">
        <f aca="false">F45</f>
        <v>1</v>
      </c>
      <c r="I45" s="51" t="n">
        <v>800</v>
      </c>
      <c r="J45" s="28" t="n">
        <f aca="false">H45*I45</f>
        <v>800</v>
      </c>
      <c r="K45" s="53" t="s">
        <v>551</v>
      </c>
      <c r="L45" s="7" t="s">
        <v>786</v>
      </c>
      <c r="M45" s="7" t="s">
        <v>787</v>
      </c>
    </row>
    <row r="46" customFormat="false" ht="15" hidden="false" customHeight="false" outlineLevel="0" collapsed="false">
      <c r="A46" s="48" t="s">
        <v>134</v>
      </c>
      <c r="B46" s="48" t="s">
        <v>801</v>
      </c>
      <c r="C46" s="48" t="s">
        <v>135</v>
      </c>
      <c r="D46" s="48"/>
      <c r="E46" s="48"/>
      <c r="F46" s="48"/>
      <c r="G46" s="48"/>
      <c r="H46" s="48" t="s">
        <v>765</v>
      </c>
      <c r="I46" s="49" t="n">
        <f aca="false">SUMPRODUCT(E47:E53,I47:I53)</f>
        <v>6027.12</v>
      </c>
      <c r="J46" s="49" t="n">
        <f aca="false">SUM(J47:J53)</f>
        <v>6027.12</v>
      </c>
      <c r="K46" s="48"/>
      <c r="L46" s="48"/>
      <c r="M46" s="48"/>
    </row>
    <row r="47" customFormat="false" ht="77.6" hidden="false" customHeight="false" outlineLevel="1" collapsed="false">
      <c r="A47" s="27"/>
      <c r="B47" s="27" t="s">
        <v>801</v>
      </c>
      <c r="C47" s="7" t="s">
        <v>766</v>
      </c>
      <c r="D47" s="27" t="s">
        <v>727</v>
      </c>
      <c r="E47" s="50" t="n">
        <v>1</v>
      </c>
      <c r="F47" s="50" t="n">
        <v>1</v>
      </c>
      <c r="G47" s="27" t="s">
        <v>767</v>
      </c>
      <c r="H47" s="50" t="n">
        <f aca="false">F47</f>
        <v>1</v>
      </c>
      <c r="I47" s="51" t="n">
        <v>1891.54</v>
      </c>
      <c r="J47" s="28" t="n">
        <f aca="false">H47*I47</f>
        <v>1891.54</v>
      </c>
      <c r="K47" s="52" t="s">
        <v>548</v>
      </c>
      <c r="L47" s="7" t="s">
        <v>768</v>
      </c>
      <c r="M47" s="7" t="s">
        <v>802</v>
      </c>
    </row>
    <row r="48" customFormat="false" ht="26.85" hidden="false" customHeight="false" outlineLevel="1" collapsed="false">
      <c r="A48" s="27"/>
      <c r="B48" s="27" t="s">
        <v>801</v>
      </c>
      <c r="C48" s="7" t="s">
        <v>803</v>
      </c>
      <c r="D48" s="27" t="s">
        <v>727</v>
      </c>
      <c r="E48" s="50" t="n">
        <v>1</v>
      </c>
      <c r="F48" s="50" t="n">
        <v>1</v>
      </c>
      <c r="G48" s="27" t="s">
        <v>767</v>
      </c>
      <c r="H48" s="50" t="n">
        <f aca="false">F48</f>
        <v>1</v>
      </c>
      <c r="I48" s="51" t="n">
        <v>380</v>
      </c>
      <c r="J48" s="28" t="n">
        <f aca="false">H48*I48</f>
        <v>380</v>
      </c>
      <c r="K48" s="53" t="s">
        <v>551</v>
      </c>
      <c r="L48" s="7" t="s">
        <v>771</v>
      </c>
      <c r="M48" s="7" t="s">
        <v>804</v>
      </c>
    </row>
    <row r="49" customFormat="false" ht="26.85" hidden="false" customHeight="false" outlineLevel="1" collapsed="false">
      <c r="A49" s="27"/>
      <c r="B49" s="27" t="s">
        <v>801</v>
      </c>
      <c r="C49" s="7" t="s">
        <v>805</v>
      </c>
      <c r="D49" s="27" t="s">
        <v>727</v>
      </c>
      <c r="E49" s="50" t="n">
        <v>3</v>
      </c>
      <c r="F49" s="50" t="n">
        <v>3</v>
      </c>
      <c r="G49" s="27" t="s">
        <v>767</v>
      </c>
      <c r="H49" s="50" t="n">
        <f aca="false">F49</f>
        <v>3</v>
      </c>
      <c r="I49" s="51" t="n">
        <v>130</v>
      </c>
      <c r="J49" s="28" t="n">
        <f aca="false">H49*I49</f>
        <v>390</v>
      </c>
      <c r="K49" s="53" t="s">
        <v>551</v>
      </c>
      <c r="L49" s="7" t="s">
        <v>771</v>
      </c>
      <c r="M49" s="7" t="s">
        <v>774</v>
      </c>
    </row>
    <row r="50" customFormat="false" ht="26.85" hidden="false" customHeight="false" outlineLevel="1" collapsed="false">
      <c r="A50" s="27"/>
      <c r="B50" s="27" t="s">
        <v>801</v>
      </c>
      <c r="C50" s="7" t="s">
        <v>794</v>
      </c>
      <c r="D50" s="27" t="s">
        <v>727</v>
      </c>
      <c r="E50" s="50" t="n">
        <v>3</v>
      </c>
      <c r="F50" s="50" t="n">
        <v>3</v>
      </c>
      <c r="G50" s="27" t="s">
        <v>767</v>
      </c>
      <c r="H50" s="50" t="n">
        <f aca="false">F50</f>
        <v>3</v>
      </c>
      <c r="I50" s="51" t="n">
        <v>140</v>
      </c>
      <c r="J50" s="28" t="n">
        <f aca="false">H50*I50</f>
        <v>420</v>
      </c>
      <c r="K50" s="53" t="s">
        <v>551</v>
      </c>
      <c r="L50" s="7" t="s">
        <v>771</v>
      </c>
      <c r="M50" s="7" t="s">
        <v>776</v>
      </c>
    </row>
    <row r="51" customFormat="false" ht="52.2" hidden="false" customHeight="false" outlineLevel="1" collapsed="false">
      <c r="A51" s="27"/>
      <c r="B51" s="27" t="s">
        <v>801</v>
      </c>
      <c r="C51" s="7" t="s">
        <v>806</v>
      </c>
      <c r="D51" s="27" t="s">
        <v>727</v>
      </c>
      <c r="E51" s="50" t="n">
        <v>1</v>
      </c>
      <c r="F51" s="50" t="n">
        <v>1</v>
      </c>
      <c r="G51" s="27" t="s">
        <v>767</v>
      </c>
      <c r="H51" s="50" t="n">
        <f aca="false">F51</f>
        <v>1</v>
      </c>
      <c r="I51" s="51" t="n">
        <v>1600</v>
      </c>
      <c r="J51" s="28" t="n">
        <f aca="false">H51*I51</f>
        <v>1600</v>
      </c>
      <c r="K51" s="53" t="s">
        <v>551</v>
      </c>
      <c r="L51" s="7" t="s">
        <v>778</v>
      </c>
      <c r="M51" s="7" t="s">
        <v>807</v>
      </c>
    </row>
    <row r="52" customFormat="false" ht="77.6" hidden="false" customHeight="false" outlineLevel="1" collapsed="false">
      <c r="A52" s="27"/>
      <c r="B52" s="27" t="s">
        <v>801</v>
      </c>
      <c r="C52" s="7" t="s">
        <v>782</v>
      </c>
      <c r="D52" s="27" t="s">
        <v>727</v>
      </c>
      <c r="E52" s="50" t="n">
        <v>1</v>
      </c>
      <c r="F52" s="50" t="n">
        <v>1</v>
      </c>
      <c r="G52" s="27" t="s">
        <v>767</v>
      </c>
      <c r="H52" s="50" t="n">
        <f aca="false">F52</f>
        <v>1</v>
      </c>
      <c r="I52" s="51" t="n">
        <v>545.58</v>
      </c>
      <c r="J52" s="28" t="n">
        <f aca="false">H52*I52</f>
        <v>545.58</v>
      </c>
      <c r="K52" s="52" t="s">
        <v>548</v>
      </c>
      <c r="L52" s="7" t="s">
        <v>783</v>
      </c>
      <c r="M52" s="7" t="s">
        <v>784</v>
      </c>
    </row>
    <row r="53" customFormat="false" ht="15" hidden="false" customHeight="false" outlineLevel="1" collapsed="false">
      <c r="A53" s="27"/>
      <c r="B53" s="27" t="s">
        <v>801</v>
      </c>
      <c r="C53" s="7" t="s">
        <v>785</v>
      </c>
      <c r="D53" s="27" t="s">
        <v>732</v>
      </c>
      <c r="E53" s="50" t="n">
        <v>1</v>
      </c>
      <c r="F53" s="50" t="n">
        <v>1</v>
      </c>
      <c r="G53" s="27" t="s">
        <v>767</v>
      </c>
      <c r="H53" s="50" t="n">
        <f aca="false">F53</f>
        <v>1</v>
      </c>
      <c r="I53" s="51" t="n">
        <v>800</v>
      </c>
      <c r="J53" s="28" t="n">
        <f aca="false">H53*I53</f>
        <v>800</v>
      </c>
      <c r="K53" s="53" t="s">
        <v>551</v>
      </c>
      <c r="L53" s="7" t="s">
        <v>786</v>
      </c>
      <c r="M53" s="7" t="s">
        <v>787</v>
      </c>
    </row>
    <row r="54" customFormat="false" ht="15" hidden="false" customHeight="false" outlineLevel="0" collapsed="false">
      <c r="A54" s="48" t="s">
        <v>136</v>
      </c>
      <c r="B54" s="48" t="s">
        <v>808</v>
      </c>
      <c r="C54" s="48" t="s">
        <v>137</v>
      </c>
      <c r="D54" s="48"/>
      <c r="E54" s="48"/>
      <c r="F54" s="48"/>
      <c r="G54" s="48"/>
      <c r="H54" s="48" t="s">
        <v>765</v>
      </c>
      <c r="I54" s="49" t="n">
        <f aca="false">SUMPRODUCT(E55:E70,I55:I70)</f>
        <v>171998.58</v>
      </c>
      <c r="J54" s="49" t="n">
        <f aca="false">SUM(J55:J70)</f>
        <v>171940.887692308</v>
      </c>
      <c r="K54" s="48"/>
      <c r="L54" s="48"/>
      <c r="M54" s="48"/>
    </row>
    <row r="55" customFormat="false" ht="52.2" hidden="false" customHeight="false" outlineLevel="1" collapsed="false">
      <c r="A55" s="27"/>
      <c r="B55" s="27" t="s">
        <v>808</v>
      </c>
      <c r="C55" s="7" t="s">
        <v>809</v>
      </c>
      <c r="D55" s="27" t="s">
        <v>727</v>
      </c>
      <c r="E55" s="50" t="n">
        <v>1</v>
      </c>
      <c r="F55" s="50" t="n">
        <v>1</v>
      </c>
      <c r="G55" s="27" t="s">
        <v>767</v>
      </c>
      <c r="H55" s="50" t="n">
        <f aca="false">F55</f>
        <v>1</v>
      </c>
      <c r="I55" s="51" t="n">
        <v>34000</v>
      </c>
      <c r="J55" s="28" t="n">
        <f aca="false">H55*I55</f>
        <v>34000</v>
      </c>
      <c r="K55" s="52" t="s">
        <v>548</v>
      </c>
      <c r="L55" s="7" t="s">
        <v>810</v>
      </c>
      <c r="M55" s="7" t="s">
        <v>811</v>
      </c>
    </row>
    <row r="56" customFormat="false" ht="39.55" hidden="false" customHeight="false" outlineLevel="1" collapsed="false">
      <c r="A56" s="27"/>
      <c r="B56" s="27" t="s">
        <v>808</v>
      </c>
      <c r="C56" s="7" t="s">
        <v>812</v>
      </c>
      <c r="D56" s="27" t="s">
        <v>727</v>
      </c>
      <c r="E56" s="50" t="n">
        <v>2</v>
      </c>
      <c r="F56" s="50" t="n">
        <v>2</v>
      </c>
      <c r="G56" s="27" t="s">
        <v>767</v>
      </c>
      <c r="H56" s="50" t="n">
        <f aca="false">F56</f>
        <v>2</v>
      </c>
      <c r="I56" s="51" t="n">
        <v>11500</v>
      </c>
      <c r="J56" s="28" t="n">
        <f aca="false">H56*I56</f>
        <v>23000</v>
      </c>
      <c r="K56" s="53" t="s">
        <v>551</v>
      </c>
      <c r="L56" s="7" t="s">
        <v>813</v>
      </c>
      <c r="M56" s="7" t="s">
        <v>814</v>
      </c>
    </row>
    <row r="57" customFormat="false" ht="26.85" hidden="false" customHeight="false" outlineLevel="1" collapsed="false">
      <c r="A57" s="27"/>
      <c r="B57" s="27" t="s">
        <v>808</v>
      </c>
      <c r="C57" s="7" t="s">
        <v>815</v>
      </c>
      <c r="D57" s="27" t="s">
        <v>816</v>
      </c>
      <c r="E57" s="50" t="n">
        <v>2</v>
      </c>
      <c r="F57" s="50" t="n">
        <v>2</v>
      </c>
      <c r="G57" s="27" t="s">
        <v>767</v>
      </c>
      <c r="H57" s="50" t="n">
        <f aca="false">F57</f>
        <v>2</v>
      </c>
      <c r="I57" s="51" t="n">
        <v>900</v>
      </c>
      <c r="J57" s="28" t="n">
        <f aca="false">H57*I57</f>
        <v>1800</v>
      </c>
      <c r="K57" s="53" t="s">
        <v>551</v>
      </c>
      <c r="L57" s="7" t="s">
        <v>771</v>
      </c>
      <c r="M57" s="7" t="s">
        <v>817</v>
      </c>
    </row>
    <row r="58" customFormat="false" ht="77.6" hidden="false" customHeight="false" outlineLevel="1" collapsed="false">
      <c r="A58" s="27"/>
      <c r="B58" s="27" t="s">
        <v>808</v>
      </c>
      <c r="C58" s="7" t="s">
        <v>818</v>
      </c>
      <c r="D58" s="27" t="s">
        <v>727</v>
      </c>
      <c r="E58" s="50" t="n">
        <v>1</v>
      </c>
      <c r="F58" s="50" t="n">
        <v>1</v>
      </c>
      <c r="G58" s="27" t="s">
        <v>767</v>
      </c>
      <c r="H58" s="50" t="n">
        <f aca="false">F58</f>
        <v>1</v>
      </c>
      <c r="I58" s="51" t="n">
        <v>545.58</v>
      </c>
      <c r="J58" s="28" t="n">
        <f aca="false">H58*I58</f>
        <v>545.58</v>
      </c>
      <c r="K58" s="52" t="s">
        <v>548</v>
      </c>
      <c r="L58" s="7" t="s">
        <v>783</v>
      </c>
      <c r="M58" s="7" t="s">
        <v>819</v>
      </c>
    </row>
    <row r="59" customFormat="false" ht="26.85" hidden="false" customHeight="false" outlineLevel="1" collapsed="false">
      <c r="A59" s="27"/>
      <c r="B59" s="27" t="s">
        <v>808</v>
      </c>
      <c r="C59" s="7" t="s">
        <v>820</v>
      </c>
      <c r="D59" s="27" t="s">
        <v>727</v>
      </c>
      <c r="E59" s="50" t="n">
        <v>1</v>
      </c>
      <c r="F59" s="50" t="n">
        <v>1</v>
      </c>
      <c r="G59" s="27" t="s">
        <v>767</v>
      </c>
      <c r="H59" s="50" t="n">
        <f aca="false">F59</f>
        <v>1</v>
      </c>
      <c r="I59" s="51" t="n">
        <v>3800</v>
      </c>
      <c r="J59" s="28" t="n">
        <f aca="false">H59*I59</f>
        <v>3800</v>
      </c>
      <c r="K59" s="53" t="s">
        <v>551</v>
      </c>
      <c r="L59" s="7" t="s">
        <v>771</v>
      </c>
      <c r="M59" s="7" t="s">
        <v>821</v>
      </c>
    </row>
    <row r="60" customFormat="false" ht="26.85" hidden="false" customHeight="false" outlineLevel="1" collapsed="false">
      <c r="A60" s="27"/>
      <c r="B60" s="27" t="s">
        <v>808</v>
      </c>
      <c r="C60" s="7" t="s">
        <v>822</v>
      </c>
      <c r="D60" s="27" t="s">
        <v>727</v>
      </c>
      <c r="E60" s="50" t="n">
        <v>1</v>
      </c>
      <c r="F60" s="50" t="n">
        <v>1</v>
      </c>
      <c r="G60" s="27" t="s">
        <v>767</v>
      </c>
      <c r="H60" s="50" t="n">
        <f aca="false">F60</f>
        <v>1</v>
      </c>
      <c r="I60" s="51" t="n">
        <v>1600</v>
      </c>
      <c r="J60" s="28" t="n">
        <f aca="false">H60*I60</f>
        <v>1600</v>
      </c>
      <c r="K60" s="53" t="s">
        <v>551</v>
      </c>
      <c r="L60" s="7" t="s">
        <v>771</v>
      </c>
      <c r="M60" s="7" t="s">
        <v>823</v>
      </c>
    </row>
    <row r="61" customFormat="false" ht="26.85" hidden="false" customHeight="false" outlineLevel="1" collapsed="false">
      <c r="A61" s="27"/>
      <c r="B61" s="27" t="s">
        <v>808</v>
      </c>
      <c r="C61" s="7" t="s">
        <v>824</v>
      </c>
      <c r="D61" s="27" t="s">
        <v>727</v>
      </c>
      <c r="E61" s="50" t="n">
        <v>6</v>
      </c>
      <c r="F61" s="50" t="n">
        <v>6</v>
      </c>
      <c r="G61" s="27" t="s">
        <v>767</v>
      </c>
      <c r="H61" s="50" t="n">
        <f aca="false">F61</f>
        <v>6</v>
      </c>
      <c r="I61" s="51" t="n">
        <v>140</v>
      </c>
      <c r="J61" s="28" t="n">
        <f aca="false">H61*I61</f>
        <v>840</v>
      </c>
      <c r="K61" s="53" t="s">
        <v>551</v>
      </c>
      <c r="L61" s="7" t="s">
        <v>771</v>
      </c>
      <c r="M61" s="7" t="s">
        <v>825</v>
      </c>
    </row>
    <row r="62" customFormat="false" ht="26.85" hidden="false" customHeight="false" outlineLevel="1" collapsed="false">
      <c r="A62" s="27"/>
      <c r="B62" s="27" t="s">
        <v>808</v>
      </c>
      <c r="C62" s="7" t="s">
        <v>826</v>
      </c>
      <c r="D62" s="27" t="s">
        <v>727</v>
      </c>
      <c r="E62" s="50" t="n">
        <v>3</v>
      </c>
      <c r="F62" s="50" t="n">
        <v>3</v>
      </c>
      <c r="G62" s="27" t="s">
        <v>767</v>
      </c>
      <c r="H62" s="50" t="n">
        <f aca="false">F62</f>
        <v>3</v>
      </c>
      <c r="I62" s="51" t="n">
        <v>130</v>
      </c>
      <c r="J62" s="28" t="n">
        <f aca="false">H62*I62</f>
        <v>390</v>
      </c>
      <c r="K62" s="53" t="s">
        <v>551</v>
      </c>
      <c r="L62" s="7" t="s">
        <v>771</v>
      </c>
      <c r="M62" s="7" t="s">
        <v>827</v>
      </c>
    </row>
    <row r="63" customFormat="false" ht="26.85" hidden="false" customHeight="false" outlineLevel="1" collapsed="false">
      <c r="A63" s="27"/>
      <c r="B63" s="27" t="s">
        <v>808</v>
      </c>
      <c r="C63" s="7" t="s">
        <v>828</v>
      </c>
      <c r="D63" s="27" t="s">
        <v>727</v>
      </c>
      <c r="E63" s="50" t="n">
        <v>10</v>
      </c>
      <c r="F63" s="50" t="n">
        <v>10</v>
      </c>
      <c r="G63" s="27" t="s">
        <v>829</v>
      </c>
      <c r="H63" s="50" t="n">
        <f aca="false">F63/IF(Varsayimlar!$B$21=1,1.3,1)</f>
        <v>7.69230769230769</v>
      </c>
      <c r="I63" s="51" t="n">
        <v>25</v>
      </c>
      <c r="J63" s="28" t="n">
        <f aca="false">H63*I63</f>
        <v>192.307692307692</v>
      </c>
      <c r="K63" s="53" t="s">
        <v>551</v>
      </c>
      <c r="L63" s="7" t="s">
        <v>771</v>
      </c>
      <c r="M63" s="7" t="s">
        <v>830</v>
      </c>
    </row>
    <row r="64" customFormat="false" ht="64.9" hidden="false" customHeight="false" outlineLevel="1" collapsed="false">
      <c r="A64" s="27"/>
      <c r="B64" s="27" t="s">
        <v>808</v>
      </c>
      <c r="C64" s="7" t="s">
        <v>831</v>
      </c>
      <c r="D64" s="27" t="s">
        <v>727</v>
      </c>
      <c r="E64" s="50" t="n">
        <v>1</v>
      </c>
      <c r="F64" s="50" t="n">
        <v>1</v>
      </c>
      <c r="G64" s="27" t="s">
        <v>767</v>
      </c>
      <c r="H64" s="50" t="n">
        <f aca="false">F64</f>
        <v>1</v>
      </c>
      <c r="I64" s="51" t="n">
        <v>9000</v>
      </c>
      <c r="J64" s="28" t="n">
        <f aca="false">H64*I64</f>
        <v>9000</v>
      </c>
      <c r="K64" s="53" t="s">
        <v>551</v>
      </c>
      <c r="L64" s="7" t="s">
        <v>832</v>
      </c>
      <c r="M64" s="7" t="s">
        <v>833</v>
      </c>
    </row>
    <row r="65" customFormat="false" ht="39.55" hidden="false" customHeight="false" outlineLevel="1" collapsed="false">
      <c r="A65" s="27"/>
      <c r="B65" s="27" t="s">
        <v>808</v>
      </c>
      <c r="C65" s="7" t="s">
        <v>834</v>
      </c>
      <c r="D65" s="27" t="s">
        <v>727</v>
      </c>
      <c r="E65" s="50" t="n">
        <v>1</v>
      </c>
      <c r="F65" s="50" t="n">
        <v>1</v>
      </c>
      <c r="G65" s="27" t="s">
        <v>767</v>
      </c>
      <c r="H65" s="50" t="n">
        <f aca="false">F65</f>
        <v>1</v>
      </c>
      <c r="I65" s="51" t="n">
        <v>22000</v>
      </c>
      <c r="J65" s="28" t="n">
        <f aca="false">H65*I65</f>
        <v>22000</v>
      </c>
      <c r="K65" s="53" t="s">
        <v>551</v>
      </c>
      <c r="L65" s="7" t="s">
        <v>835</v>
      </c>
      <c r="M65" s="7" t="s">
        <v>836</v>
      </c>
    </row>
    <row r="66" customFormat="false" ht="52.2" hidden="false" customHeight="false" outlineLevel="1" collapsed="false">
      <c r="A66" s="27"/>
      <c r="B66" s="27" t="s">
        <v>808</v>
      </c>
      <c r="C66" s="7" t="s">
        <v>837</v>
      </c>
      <c r="D66" s="27" t="s">
        <v>727</v>
      </c>
      <c r="E66" s="50" t="n">
        <v>1</v>
      </c>
      <c r="F66" s="50" t="n">
        <v>1</v>
      </c>
      <c r="G66" s="27" t="s">
        <v>767</v>
      </c>
      <c r="H66" s="50" t="n">
        <f aca="false">F66</f>
        <v>1</v>
      </c>
      <c r="I66" s="51" t="n">
        <v>1500</v>
      </c>
      <c r="J66" s="28" t="n">
        <f aca="false">H66*I66</f>
        <v>1500</v>
      </c>
      <c r="K66" s="53" t="s">
        <v>551</v>
      </c>
      <c r="L66" s="7" t="s">
        <v>778</v>
      </c>
      <c r="M66" s="7" t="s">
        <v>838</v>
      </c>
    </row>
    <row r="67" customFormat="false" ht="39.55" hidden="false" customHeight="false" outlineLevel="1" collapsed="false">
      <c r="A67" s="27"/>
      <c r="B67" s="27" t="s">
        <v>808</v>
      </c>
      <c r="C67" s="7" t="s">
        <v>839</v>
      </c>
      <c r="D67" s="27" t="s">
        <v>727</v>
      </c>
      <c r="E67" s="50" t="n">
        <v>1</v>
      </c>
      <c r="F67" s="50" t="n">
        <v>1</v>
      </c>
      <c r="G67" s="27" t="s">
        <v>767</v>
      </c>
      <c r="H67" s="50" t="n">
        <f aca="false">F67</f>
        <v>1</v>
      </c>
      <c r="I67" s="51" t="n">
        <v>35165</v>
      </c>
      <c r="J67" s="28" t="n">
        <f aca="false">H67*I67</f>
        <v>35165</v>
      </c>
      <c r="K67" s="52" t="s">
        <v>548</v>
      </c>
      <c r="L67" s="7" t="s">
        <v>840</v>
      </c>
      <c r="M67" s="7" t="s">
        <v>841</v>
      </c>
    </row>
    <row r="68" customFormat="false" ht="39.55" hidden="false" customHeight="false" outlineLevel="1" collapsed="false">
      <c r="A68" s="27"/>
      <c r="B68" s="27" t="s">
        <v>808</v>
      </c>
      <c r="C68" s="7" t="s">
        <v>842</v>
      </c>
      <c r="D68" s="27" t="s">
        <v>727</v>
      </c>
      <c r="E68" s="50" t="n">
        <v>4</v>
      </c>
      <c r="F68" s="50" t="n">
        <v>4</v>
      </c>
      <c r="G68" s="27" t="s">
        <v>767</v>
      </c>
      <c r="H68" s="50" t="n">
        <f aca="false">F68</f>
        <v>4</v>
      </c>
      <c r="I68" s="51" t="n">
        <v>7177</v>
      </c>
      <c r="J68" s="28" t="n">
        <f aca="false">H68*I68</f>
        <v>28708</v>
      </c>
      <c r="K68" s="52" t="s">
        <v>548</v>
      </c>
      <c r="L68" s="7" t="s">
        <v>843</v>
      </c>
      <c r="M68" s="7" t="s">
        <v>844</v>
      </c>
    </row>
    <row r="69" customFormat="false" ht="64.9" hidden="false" customHeight="false" outlineLevel="1" collapsed="false">
      <c r="A69" s="27"/>
      <c r="B69" s="27" t="s">
        <v>808</v>
      </c>
      <c r="C69" s="7" t="s">
        <v>845</v>
      </c>
      <c r="D69" s="27" t="s">
        <v>727</v>
      </c>
      <c r="E69" s="50" t="n">
        <v>1</v>
      </c>
      <c r="F69" s="50" t="n">
        <v>1</v>
      </c>
      <c r="G69" s="27" t="s">
        <v>767</v>
      </c>
      <c r="H69" s="50" t="n">
        <f aca="false">F69</f>
        <v>1</v>
      </c>
      <c r="I69" s="51" t="n">
        <v>3400</v>
      </c>
      <c r="J69" s="28" t="n">
        <f aca="false">H69*I69</f>
        <v>3400</v>
      </c>
      <c r="K69" s="52" t="s">
        <v>548</v>
      </c>
      <c r="L69" s="7" t="s">
        <v>846</v>
      </c>
      <c r="M69" s="7" t="s">
        <v>847</v>
      </c>
    </row>
    <row r="70" customFormat="false" ht="26.85" hidden="false" customHeight="false" outlineLevel="1" collapsed="false">
      <c r="A70" s="27"/>
      <c r="B70" s="27" t="s">
        <v>808</v>
      </c>
      <c r="C70" s="7" t="s">
        <v>848</v>
      </c>
      <c r="D70" s="27" t="s">
        <v>732</v>
      </c>
      <c r="E70" s="50" t="n">
        <v>1</v>
      </c>
      <c r="F70" s="50" t="n">
        <v>1</v>
      </c>
      <c r="G70" s="27" t="s">
        <v>767</v>
      </c>
      <c r="H70" s="50" t="n">
        <f aca="false">F70</f>
        <v>1</v>
      </c>
      <c r="I70" s="51" t="n">
        <v>6000</v>
      </c>
      <c r="J70" s="28" t="n">
        <f aca="false">H70*I70</f>
        <v>6000</v>
      </c>
      <c r="K70" s="53" t="s">
        <v>551</v>
      </c>
      <c r="L70" s="7" t="s">
        <v>849</v>
      </c>
      <c r="M70" s="7" t="s">
        <v>850</v>
      </c>
    </row>
    <row r="71" customFormat="false" ht="15" hidden="false" customHeight="false" outlineLevel="0" collapsed="false">
      <c r="A71" s="48" t="s">
        <v>138</v>
      </c>
      <c r="B71" s="48" t="s">
        <v>851</v>
      </c>
      <c r="C71" s="48" t="s">
        <v>139</v>
      </c>
      <c r="D71" s="48"/>
      <c r="E71" s="48"/>
      <c r="F71" s="48"/>
      <c r="G71" s="48"/>
      <c r="H71" s="48" t="s">
        <v>765</v>
      </c>
      <c r="I71" s="49" t="n">
        <f aca="false">SUMPRODUCT(E72:E79,I72:I79)</f>
        <v>6679.09</v>
      </c>
      <c r="J71" s="49" t="n">
        <f aca="false">SUM(J72:J79)</f>
        <v>6629.91664335664</v>
      </c>
      <c r="K71" s="48"/>
      <c r="L71" s="48"/>
      <c r="M71" s="48"/>
    </row>
    <row r="72" customFormat="false" ht="77.6" hidden="false" customHeight="false" outlineLevel="1" collapsed="false">
      <c r="A72" s="27"/>
      <c r="B72" s="27" t="s">
        <v>851</v>
      </c>
      <c r="C72" s="7" t="s">
        <v>852</v>
      </c>
      <c r="D72" s="27" t="s">
        <v>853</v>
      </c>
      <c r="E72" s="50" t="n">
        <v>498</v>
      </c>
      <c r="F72" s="50" t="n">
        <v>498</v>
      </c>
      <c r="G72" s="27" t="s">
        <v>767</v>
      </c>
      <c r="H72" s="50" t="n">
        <f aca="false">F72</f>
        <v>498</v>
      </c>
      <c r="I72" s="51" t="n">
        <v>2.49</v>
      </c>
      <c r="J72" s="28" t="n">
        <f aca="false">H72*I72</f>
        <v>1240.02</v>
      </c>
      <c r="K72" s="52" t="s">
        <v>548</v>
      </c>
      <c r="L72" s="7" t="s">
        <v>854</v>
      </c>
      <c r="M72" s="7" t="s">
        <v>855</v>
      </c>
    </row>
    <row r="73" customFormat="false" ht="90.25" hidden="false" customHeight="false" outlineLevel="1" collapsed="false">
      <c r="A73" s="27"/>
      <c r="B73" s="27" t="s">
        <v>851</v>
      </c>
      <c r="C73" s="7" t="s">
        <v>856</v>
      </c>
      <c r="D73" s="27" t="s">
        <v>727</v>
      </c>
      <c r="E73" s="50" t="n">
        <v>32</v>
      </c>
      <c r="F73" s="50" t="n">
        <v>32</v>
      </c>
      <c r="G73" s="27" t="s">
        <v>767</v>
      </c>
      <c r="H73" s="50" t="n">
        <f aca="false">F73</f>
        <v>32</v>
      </c>
      <c r="I73" s="51" t="n">
        <v>77.9</v>
      </c>
      <c r="J73" s="28" t="n">
        <f aca="false">H73*I73</f>
        <v>2492.8</v>
      </c>
      <c r="K73" s="52" t="s">
        <v>548</v>
      </c>
      <c r="L73" s="7" t="s">
        <v>857</v>
      </c>
      <c r="M73" s="7" t="s">
        <v>858</v>
      </c>
    </row>
    <row r="74" customFormat="false" ht="26.85" hidden="false" customHeight="false" outlineLevel="1" collapsed="false">
      <c r="A74" s="27"/>
      <c r="B74" s="27" t="s">
        <v>851</v>
      </c>
      <c r="C74" s="7" t="s">
        <v>859</v>
      </c>
      <c r="D74" s="27" t="s">
        <v>727</v>
      </c>
      <c r="E74" s="50" t="n">
        <v>29</v>
      </c>
      <c r="F74" s="50" t="n">
        <v>29</v>
      </c>
      <c r="G74" s="27" t="s">
        <v>767</v>
      </c>
      <c r="H74" s="50" t="n">
        <f aca="false">F74</f>
        <v>29</v>
      </c>
      <c r="I74" s="51" t="n">
        <v>25</v>
      </c>
      <c r="J74" s="28" t="n">
        <f aca="false">H74*I74</f>
        <v>725</v>
      </c>
      <c r="K74" s="53" t="s">
        <v>551</v>
      </c>
      <c r="L74" s="7" t="s">
        <v>860</v>
      </c>
      <c r="M74" s="7" t="s">
        <v>861</v>
      </c>
    </row>
    <row r="75" customFormat="false" ht="26.85" hidden="false" customHeight="false" outlineLevel="1" collapsed="false">
      <c r="A75" s="27"/>
      <c r="B75" s="27" t="s">
        <v>851</v>
      </c>
      <c r="C75" s="7" t="s">
        <v>862</v>
      </c>
      <c r="D75" s="27" t="s">
        <v>727</v>
      </c>
      <c r="E75" s="50" t="n">
        <v>69</v>
      </c>
      <c r="F75" s="50" t="n">
        <v>69</v>
      </c>
      <c r="G75" s="27" t="s">
        <v>767</v>
      </c>
      <c r="H75" s="50" t="n">
        <f aca="false">F75</f>
        <v>69</v>
      </c>
      <c r="I75" s="51" t="n">
        <v>15</v>
      </c>
      <c r="J75" s="28" t="n">
        <f aca="false">H75*I75</f>
        <v>1035</v>
      </c>
      <c r="K75" s="53" t="s">
        <v>551</v>
      </c>
      <c r="L75" s="7" t="s">
        <v>860</v>
      </c>
      <c r="M75" s="7" t="s">
        <v>863</v>
      </c>
    </row>
    <row r="76" customFormat="false" ht="52.2" hidden="false" customHeight="false" outlineLevel="1" collapsed="false">
      <c r="A76" s="27"/>
      <c r="B76" s="27" t="s">
        <v>851</v>
      </c>
      <c r="C76" s="7" t="s">
        <v>864</v>
      </c>
      <c r="D76" s="27" t="s">
        <v>853</v>
      </c>
      <c r="E76" s="50" t="n">
        <v>69</v>
      </c>
      <c r="F76" s="50" t="n">
        <v>69</v>
      </c>
      <c r="G76" s="27" t="s">
        <v>865</v>
      </c>
      <c r="H76" s="50" t="n">
        <f aca="false">F76/IF(Varsayimlar!$B$21=1,1.43,1)</f>
        <v>48.2517482517483</v>
      </c>
      <c r="I76" s="51" t="n">
        <v>2.37</v>
      </c>
      <c r="J76" s="28" t="n">
        <f aca="false">H76*I76</f>
        <v>114.356643356643</v>
      </c>
      <c r="K76" s="52" t="s">
        <v>548</v>
      </c>
      <c r="L76" s="7" t="s">
        <v>866</v>
      </c>
      <c r="M76" s="7" t="s">
        <v>867</v>
      </c>
    </row>
    <row r="77" customFormat="false" ht="77.6" hidden="false" customHeight="false" outlineLevel="1" collapsed="false">
      <c r="A77" s="27"/>
      <c r="B77" s="27" t="s">
        <v>851</v>
      </c>
      <c r="C77" s="7" t="s">
        <v>868</v>
      </c>
      <c r="D77" s="27" t="s">
        <v>727</v>
      </c>
      <c r="E77" s="50" t="n">
        <v>4</v>
      </c>
      <c r="F77" s="50" t="n">
        <v>4</v>
      </c>
      <c r="G77" s="27" t="s">
        <v>767</v>
      </c>
      <c r="H77" s="50" t="n">
        <f aca="false">F77</f>
        <v>4</v>
      </c>
      <c r="I77" s="51" t="n">
        <v>57.4</v>
      </c>
      <c r="J77" s="28" t="n">
        <f aca="false">H77*I77</f>
        <v>229.6</v>
      </c>
      <c r="K77" s="52" t="s">
        <v>548</v>
      </c>
      <c r="L77" s="7" t="s">
        <v>869</v>
      </c>
      <c r="M77" s="7" t="s">
        <v>870</v>
      </c>
    </row>
    <row r="78" customFormat="false" ht="64.9" hidden="false" customHeight="false" outlineLevel="1" collapsed="false">
      <c r="A78" s="27"/>
      <c r="B78" s="27" t="s">
        <v>851</v>
      </c>
      <c r="C78" s="7" t="s">
        <v>871</v>
      </c>
      <c r="D78" s="27" t="s">
        <v>853</v>
      </c>
      <c r="E78" s="50" t="n">
        <v>58</v>
      </c>
      <c r="F78" s="50" t="n">
        <v>58</v>
      </c>
      <c r="G78" s="27" t="s">
        <v>767</v>
      </c>
      <c r="H78" s="50" t="n">
        <f aca="false">F78</f>
        <v>58</v>
      </c>
      <c r="I78" s="51" t="n">
        <v>3.33</v>
      </c>
      <c r="J78" s="28" t="n">
        <f aca="false">H78*I78</f>
        <v>193.14</v>
      </c>
      <c r="K78" s="52" t="s">
        <v>548</v>
      </c>
      <c r="L78" s="7" t="s">
        <v>872</v>
      </c>
      <c r="M78" s="7" t="s">
        <v>873</v>
      </c>
    </row>
    <row r="79" customFormat="false" ht="26.85" hidden="false" customHeight="false" outlineLevel="1" collapsed="false">
      <c r="A79" s="27"/>
      <c r="B79" s="27" t="s">
        <v>851</v>
      </c>
      <c r="C79" s="7" t="s">
        <v>874</v>
      </c>
      <c r="D79" s="27" t="s">
        <v>732</v>
      </c>
      <c r="E79" s="50" t="n">
        <v>1</v>
      </c>
      <c r="F79" s="50" t="n">
        <v>1</v>
      </c>
      <c r="G79" s="27" t="s">
        <v>767</v>
      </c>
      <c r="H79" s="50" t="n">
        <f aca="false">F79</f>
        <v>1</v>
      </c>
      <c r="I79" s="51" t="n">
        <v>600</v>
      </c>
      <c r="J79" s="28" t="n">
        <f aca="false">H79*I79</f>
        <v>600</v>
      </c>
      <c r="K79" s="53" t="s">
        <v>551</v>
      </c>
      <c r="L79" s="7" t="s">
        <v>875</v>
      </c>
      <c r="M79" s="7" t="s">
        <v>876</v>
      </c>
    </row>
    <row r="80" customFormat="false" ht="15" hidden="false" customHeight="false" outlineLevel="0" collapsed="false">
      <c r="A80" s="48" t="s">
        <v>140</v>
      </c>
      <c r="B80" s="48" t="s">
        <v>877</v>
      </c>
      <c r="C80" s="48" t="s">
        <v>141</v>
      </c>
      <c r="D80" s="48"/>
      <c r="E80" s="48"/>
      <c r="F80" s="48"/>
      <c r="G80" s="48"/>
      <c r="H80" s="48" t="s">
        <v>765</v>
      </c>
      <c r="I80" s="49" t="n">
        <f aca="false">SUMPRODUCT(E81:E88,I81:I88)</f>
        <v>3827.17</v>
      </c>
      <c r="J80" s="49" t="n">
        <f aca="false">SUM(J81:J88)</f>
        <v>3802.22699300699</v>
      </c>
      <c r="K80" s="48"/>
      <c r="L80" s="48"/>
      <c r="M80" s="48"/>
    </row>
    <row r="81" customFormat="false" ht="77.6" hidden="false" customHeight="false" outlineLevel="1" collapsed="false">
      <c r="A81" s="27"/>
      <c r="B81" s="27" t="s">
        <v>877</v>
      </c>
      <c r="C81" s="7" t="s">
        <v>852</v>
      </c>
      <c r="D81" s="27" t="s">
        <v>853</v>
      </c>
      <c r="E81" s="50" t="n">
        <v>252</v>
      </c>
      <c r="F81" s="50" t="n">
        <v>252</v>
      </c>
      <c r="G81" s="27" t="s">
        <v>767</v>
      </c>
      <c r="H81" s="50" t="n">
        <f aca="false">F81</f>
        <v>252</v>
      </c>
      <c r="I81" s="51" t="n">
        <v>2.49</v>
      </c>
      <c r="J81" s="28" t="n">
        <f aca="false">H81*I81</f>
        <v>627.48</v>
      </c>
      <c r="K81" s="52" t="s">
        <v>548</v>
      </c>
      <c r="L81" s="7" t="s">
        <v>854</v>
      </c>
      <c r="M81" s="7" t="s">
        <v>855</v>
      </c>
    </row>
    <row r="82" customFormat="false" ht="90.25" hidden="false" customHeight="false" outlineLevel="1" collapsed="false">
      <c r="A82" s="27"/>
      <c r="B82" s="27" t="s">
        <v>877</v>
      </c>
      <c r="C82" s="7" t="s">
        <v>856</v>
      </c>
      <c r="D82" s="27" t="s">
        <v>727</v>
      </c>
      <c r="E82" s="50" t="n">
        <v>16</v>
      </c>
      <c r="F82" s="50" t="n">
        <v>16</v>
      </c>
      <c r="G82" s="27" t="s">
        <v>767</v>
      </c>
      <c r="H82" s="50" t="n">
        <f aca="false">F82</f>
        <v>16</v>
      </c>
      <c r="I82" s="51" t="n">
        <v>77.9</v>
      </c>
      <c r="J82" s="28" t="n">
        <f aca="false">H82*I82</f>
        <v>1246.4</v>
      </c>
      <c r="K82" s="52" t="s">
        <v>548</v>
      </c>
      <c r="L82" s="7" t="s">
        <v>857</v>
      </c>
      <c r="M82" s="7" t="s">
        <v>858</v>
      </c>
    </row>
    <row r="83" customFormat="false" ht="26.85" hidden="false" customHeight="false" outlineLevel="1" collapsed="false">
      <c r="A83" s="27"/>
      <c r="B83" s="27" t="s">
        <v>877</v>
      </c>
      <c r="C83" s="7" t="s">
        <v>859</v>
      </c>
      <c r="D83" s="27" t="s">
        <v>727</v>
      </c>
      <c r="E83" s="50" t="n">
        <v>15</v>
      </c>
      <c r="F83" s="50" t="n">
        <v>15</v>
      </c>
      <c r="G83" s="27" t="s">
        <v>767</v>
      </c>
      <c r="H83" s="50" t="n">
        <f aca="false">F83</f>
        <v>15</v>
      </c>
      <c r="I83" s="51" t="n">
        <v>25</v>
      </c>
      <c r="J83" s="28" t="n">
        <f aca="false">H83*I83</f>
        <v>375</v>
      </c>
      <c r="K83" s="53" t="s">
        <v>551</v>
      </c>
      <c r="L83" s="7" t="s">
        <v>860</v>
      </c>
      <c r="M83" s="7" t="s">
        <v>861</v>
      </c>
    </row>
    <row r="84" customFormat="false" ht="26.85" hidden="false" customHeight="false" outlineLevel="1" collapsed="false">
      <c r="A84" s="27"/>
      <c r="B84" s="27" t="s">
        <v>877</v>
      </c>
      <c r="C84" s="7" t="s">
        <v>862</v>
      </c>
      <c r="D84" s="27" t="s">
        <v>727</v>
      </c>
      <c r="E84" s="50" t="n">
        <v>42</v>
      </c>
      <c r="F84" s="50" t="n">
        <v>42</v>
      </c>
      <c r="G84" s="27" t="s">
        <v>767</v>
      </c>
      <c r="H84" s="50" t="n">
        <f aca="false">F84</f>
        <v>42</v>
      </c>
      <c r="I84" s="51" t="n">
        <v>15</v>
      </c>
      <c r="J84" s="28" t="n">
        <f aca="false">H84*I84</f>
        <v>630</v>
      </c>
      <c r="K84" s="53" t="s">
        <v>551</v>
      </c>
      <c r="L84" s="7" t="s">
        <v>860</v>
      </c>
      <c r="M84" s="7" t="s">
        <v>863</v>
      </c>
    </row>
    <row r="85" customFormat="false" ht="52.2" hidden="false" customHeight="false" outlineLevel="1" collapsed="false">
      <c r="A85" s="27"/>
      <c r="B85" s="27" t="s">
        <v>877</v>
      </c>
      <c r="C85" s="7" t="s">
        <v>864</v>
      </c>
      <c r="D85" s="27" t="s">
        <v>853</v>
      </c>
      <c r="E85" s="50" t="n">
        <v>35</v>
      </c>
      <c r="F85" s="50" t="n">
        <v>35</v>
      </c>
      <c r="G85" s="27" t="s">
        <v>865</v>
      </c>
      <c r="H85" s="50" t="n">
        <f aca="false">F85/IF(Varsayimlar!$B$21=1,1.43,1)</f>
        <v>24.4755244755245</v>
      </c>
      <c r="I85" s="51" t="n">
        <v>2.37</v>
      </c>
      <c r="J85" s="28" t="n">
        <f aca="false">H85*I85</f>
        <v>58.006993006993</v>
      </c>
      <c r="K85" s="52" t="s">
        <v>548</v>
      </c>
      <c r="L85" s="7" t="s">
        <v>866</v>
      </c>
      <c r="M85" s="7" t="s">
        <v>867</v>
      </c>
    </row>
    <row r="86" customFormat="false" ht="77.6" hidden="false" customHeight="false" outlineLevel="1" collapsed="false">
      <c r="A86" s="27"/>
      <c r="B86" s="27" t="s">
        <v>877</v>
      </c>
      <c r="C86" s="7" t="s">
        <v>868</v>
      </c>
      <c r="D86" s="27" t="s">
        <v>727</v>
      </c>
      <c r="E86" s="50" t="n">
        <v>3</v>
      </c>
      <c r="F86" s="50" t="n">
        <v>3</v>
      </c>
      <c r="G86" s="27" t="s">
        <v>767</v>
      </c>
      <c r="H86" s="50" t="n">
        <f aca="false">F86</f>
        <v>3</v>
      </c>
      <c r="I86" s="51" t="n">
        <v>57.4</v>
      </c>
      <c r="J86" s="28" t="n">
        <f aca="false">H86*I86</f>
        <v>172.2</v>
      </c>
      <c r="K86" s="52" t="s">
        <v>548</v>
      </c>
      <c r="L86" s="7" t="s">
        <v>869</v>
      </c>
      <c r="M86" s="7" t="s">
        <v>870</v>
      </c>
    </row>
    <row r="87" customFormat="false" ht="64.9" hidden="false" customHeight="false" outlineLevel="1" collapsed="false">
      <c r="A87" s="27"/>
      <c r="B87" s="27" t="s">
        <v>877</v>
      </c>
      <c r="C87" s="7" t="s">
        <v>871</v>
      </c>
      <c r="D87" s="27" t="s">
        <v>853</v>
      </c>
      <c r="E87" s="50" t="n">
        <v>58</v>
      </c>
      <c r="F87" s="50" t="n">
        <v>58</v>
      </c>
      <c r="G87" s="27" t="s">
        <v>767</v>
      </c>
      <c r="H87" s="50" t="n">
        <f aca="false">F87</f>
        <v>58</v>
      </c>
      <c r="I87" s="51" t="n">
        <v>3.33</v>
      </c>
      <c r="J87" s="28" t="n">
        <f aca="false">H87*I87</f>
        <v>193.14</v>
      </c>
      <c r="K87" s="52" t="s">
        <v>548</v>
      </c>
      <c r="L87" s="7" t="s">
        <v>872</v>
      </c>
      <c r="M87" s="7" t="s">
        <v>873</v>
      </c>
    </row>
    <row r="88" customFormat="false" ht="26.85" hidden="false" customHeight="false" outlineLevel="1" collapsed="false">
      <c r="A88" s="27"/>
      <c r="B88" s="27" t="s">
        <v>877</v>
      </c>
      <c r="C88" s="7" t="s">
        <v>874</v>
      </c>
      <c r="D88" s="27" t="s">
        <v>732</v>
      </c>
      <c r="E88" s="50" t="n">
        <v>1</v>
      </c>
      <c r="F88" s="50" t="n">
        <v>1</v>
      </c>
      <c r="G88" s="27" t="s">
        <v>767</v>
      </c>
      <c r="H88" s="50" t="n">
        <f aca="false">F88</f>
        <v>1</v>
      </c>
      <c r="I88" s="51" t="n">
        <v>500</v>
      </c>
      <c r="J88" s="28" t="n">
        <f aca="false">H88*I88</f>
        <v>500</v>
      </c>
      <c r="K88" s="53" t="s">
        <v>551</v>
      </c>
      <c r="L88" s="7" t="s">
        <v>875</v>
      </c>
      <c r="M88" s="7" t="s">
        <v>876</v>
      </c>
    </row>
    <row r="89" customFormat="false" ht="15" hidden="false" customHeight="false" outlineLevel="0" collapsed="false">
      <c r="A89" s="48" t="s">
        <v>142</v>
      </c>
      <c r="B89" s="48" t="s">
        <v>878</v>
      </c>
      <c r="C89" s="48" t="s">
        <v>143</v>
      </c>
      <c r="D89" s="48"/>
      <c r="E89" s="48"/>
      <c r="F89" s="48"/>
      <c r="G89" s="48"/>
      <c r="H89" s="48" t="s">
        <v>765</v>
      </c>
      <c r="I89" s="49" t="n">
        <f aca="false">SUMPRODUCT(E90:E97,I90:I97)</f>
        <v>3827.17</v>
      </c>
      <c r="J89" s="49" t="n">
        <f aca="false">SUM(J90:J97)</f>
        <v>3802.22699300699</v>
      </c>
      <c r="K89" s="48"/>
      <c r="L89" s="48"/>
      <c r="M89" s="48"/>
    </row>
    <row r="90" customFormat="false" ht="77.6" hidden="false" customHeight="false" outlineLevel="1" collapsed="false">
      <c r="A90" s="27"/>
      <c r="B90" s="27" t="s">
        <v>878</v>
      </c>
      <c r="C90" s="7" t="s">
        <v>852</v>
      </c>
      <c r="D90" s="27" t="s">
        <v>853</v>
      </c>
      <c r="E90" s="50" t="n">
        <v>252</v>
      </c>
      <c r="F90" s="50" t="n">
        <v>252</v>
      </c>
      <c r="G90" s="27" t="s">
        <v>767</v>
      </c>
      <c r="H90" s="50" t="n">
        <f aca="false">F90</f>
        <v>252</v>
      </c>
      <c r="I90" s="51" t="n">
        <v>2.49</v>
      </c>
      <c r="J90" s="28" t="n">
        <f aca="false">H90*I90</f>
        <v>627.48</v>
      </c>
      <c r="K90" s="52" t="s">
        <v>548</v>
      </c>
      <c r="L90" s="7" t="s">
        <v>854</v>
      </c>
      <c r="M90" s="7" t="s">
        <v>855</v>
      </c>
    </row>
    <row r="91" customFormat="false" ht="90.25" hidden="false" customHeight="false" outlineLevel="1" collapsed="false">
      <c r="A91" s="27"/>
      <c r="B91" s="27" t="s">
        <v>878</v>
      </c>
      <c r="C91" s="7" t="s">
        <v>856</v>
      </c>
      <c r="D91" s="27" t="s">
        <v>727</v>
      </c>
      <c r="E91" s="50" t="n">
        <v>16</v>
      </c>
      <c r="F91" s="50" t="n">
        <v>16</v>
      </c>
      <c r="G91" s="27" t="s">
        <v>767</v>
      </c>
      <c r="H91" s="50" t="n">
        <f aca="false">F91</f>
        <v>16</v>
      </c>
      <c r="I91" s="51" t="n">
        <v>77.9</v>
      </c>
      <c r="J91" s="28" t="n">
        <f aca="false">H91*I91</f>
        <v>1246.4</v>
      </c>
      <c r="K91" s="52" t="s">
        <v>548</v>
      </c>
      <c r="L91" s="7" t="s">
        <v>857</v>
      </c>
      <c r="M91" s="7" t="s">
        <v>858</v>
      </c>
    </row>
    <row r="92" customFormat="false" ht="26.85" hidden="false" customHeight="false" outlineLevel="1" collapsed="false">
      <c r="A92" s="27"/>
      <c r="B92" s="27" t="s">
        <v>878</v>
      </c>
      <c r="C92" s="7" t="s">
        <v>859</v>
      </c>
      <c r="D92" s="27" t="s">
        <v>727</v>
      </c>
      <c r="E92" s="50" t="n">
        <v>15</v>
      </c>
      <c r="F92" s="50" t="n">
        <v>15</v>
      </c>
      <c r="G92" s="27" t="s">
        <v>767</v>
      </c>
      <c r="H92" s="50" t="n">
        <f aca="false">F92</f>
        <v>15</v>
      </c>
      <c r="I92" s="51" t="n">
        <v>25</v>
      </c>
      <c r="J92" s="28" t="n">
        <f aca="false">H92*I92</f>
        <v>375</v>
      </c>
      <c r="K92" s="53" t="s">
        <v>551</v>
      </c>
      <c r="L92" s="7" t="s">
        <v>860</v>
      </c>
      <c r="M92" s="7" t="s">
        <v>861</v>
      </c>
    </row>
    <row r="93" customFormat="false" ht="26.85" hidden="false" customHeight="false" outlineLevel="1" collapsed="false">
      <c r="A93" s="27"/>
      <c r="B93" s="27" t="s">
        <v>878</v>
      </c>
      <c r="C93" s="7" t="s">
        <v>862</v>
      </c>
      <c r="D93" s="27" t="s">
        <v>727</v>
      </c>
      <c r="E93" s="50" t="n">
        <v>42</v>
      </c>
      <c r="F93" s="50" t="n">
        <v>42</v>
      </c>
      <c r="G93" s="27" t="s">
        <v>767</v>
      </c>
      <c r="H93" s="50" t="n">
        <f aca="false">F93</f>
        <v>42</v>
      </c>
      <c r="I93" s="51" t="n">
        <v>15</v>
      </c>
      <c r="J93" s="28" t="n">
        <f aca="false">H93*I93</f>
        <v>630</v>
      </c>
      <c r="K93" s="53" t="s">
        <v>551</v>
      </c>
      <c r="L93" s="7" t="s">
        <v>860</v>
      </c>
      <c r="M93" s="7" t="s">
        <v>863</v>
      </c>
    </row>
    <row r="94" customFormat="false" ht="52.2" hidden="false" customHeight="false" outlineLevel="1" collapsed="false">
      <c r="A94" s="27"/>
      <c r="B94" s="27" t="s">
        <v>878</v>
      </c>
      <c r="C94" s="7" t="s">
        <v>864</v>
      </c>
      <c r="D94" s="27" t="s">
        <v>853</v>
      </c>
      <c r="E94" s="50" t="n">
        <v>35</v>
      </c>
      <c r="F94" s="50" t="n">
        <v>35</v>
      </c>
      <c r="G94" s="27" t="s">
        <v>865</v>
      </c>
      <c r="H94" s="50" t="n">
        <f aca="false">F94/IF(Varsayimlar!$B$21=1,1.43,1)</f>
        <v>24.4755244755245</v>
      </c>
      <c r="I94" s="51" t="n">
        <v>2.37</v>
      </c>
      <c r="J94" s="28" t="n">
        <f aca="false">H94*I94</f>
        <v>58.006993006993</v>
      </c>
      <c r="K94" s="52" t="s">
        <v>548</v>
      </c>
      <c r="L94" s="7" t="s">
        <v>866</v>
      </c>
      <c r="M94" s="7" t="s">
        <v>867</v>
      </c>
    </row>
    <row r="95" customFormat="false" ht="77.6" hidden="false" customHeight="false" outlineLevel="1" collapsed="false">
      <c r="A95" s="27"/>
      <c r="B95" s="27" t="s">
        <v>878</v>
      </c>
      <c r="C95" s="7" t="s">
        <v>868</v>
      </c>
      <c r="D95" s="27" t="s">
        <v>727</v>
      </c>
      <c r="E95" s="50" t="n">
        <v>3</v>
      </c>
      <c r="F95" s="50" t="n">
        <v>3</v>
      </c>
      <c r="G95" s="27" t="s">
        <v>767</v>
      </c>
      <c r="H95" s="50" t="n">
        <f aca="false">F95</f>
        <v>3</v>
      </c>
      <c r="I95" s="51" t="n">
        <v>57.4</v>
      </c>
      <c r="J95" s="28" t="n">
        <f aca="false">H95*I95</f>
        <v>172.2</v>
      </c>
      <c r="K95" s="52" t="s">
        <v>548</v>
      </c>
      <c r="L95" s="7" t="s">
        <v>869</v>
      </c>
      <c r="M95" s="7" t="s">
        <v>870</v>
      </c>
    </row>
    <row r="96" customFormat="false" ht="64.9" hidden="false" customHeight="false" outlineLevel="1" collapsed="false">
      <c r="A96" s="27"/>
      <c r="B96" s="27" t="s">
        <v>878</v>
      </c>
      <c r="C96" s="7" t="s">
        <v>871</v>
      </c>
      <c r="D96" s="27" t="s">
        <v>853</v>
      </c>
      <c r="E96" s="50" t="n">
        <v>58</v>
      </c>
      <c r="F96" s="50" t="n">
        <v>58</v>
      </c>
      <c r="G96" s="27" t="s">
        <v>767</v>
      </c>
      <c r="H96" s="50" t="n">
        <f aca="false">F96</f>
        <v>58</v>
      </c>
      <c r="I96" s="51" t="n">
        <v>3.33</v>
      </c>
      <c r="J96" s="28" t="n">
        <f aca="false">H96*I96</f>
        <v>193.14</v>
      </c>
      <c r="K96" s="52" t="s">
        <v>548</v>
      </c>
      <c r="L96" s="7" t="s">
        <v>872</v>
      </c>
      <c r="M96" s="7" t="s">
        <v>873</v>
      </c>
    </row>
    <row r="97" customFormat="false" ht="26.85" hidden="false" customHeight="false" outlineLevel="1" collapsed="false">
      <c r="A97" s="27"/>
      <c r="B97" s="27" t="s">
        <v>878</v>
      </c>
      <c r="C97" s="7" t="s">
        <v>874</v>
      </c>
      <c r="D97" s="27" t="s">
        <v>732</v>
      </c>
      <c r="E97" s="50" t="n">
        <v>1</v>
      </c>
      <c r="F97" s="50" t="n">
        <v>1</v>
      </c>
      <c r="G97" s="27" t="s">
        <v>767</v>
      </c>
      <c r="H97" s="50" t="n">
        <f aca="false">F97</f>
        <v>1</v>
      </c>
      <c r="I97" s="51" t="n">
        <v>500</v>
      </c>
      <c r="J97" s="28" t="n">
        <f aca="false">H97*I97</f>
        <v>500</v>
      </c>
      <c r="K97" s="53" t="s">
        <v>551</v>
      </c>
      <c r="L97" s="7" t="s">
        <v>875</v>
      </c>
      <c r="M97" s="7" t="s">
        <v>876</v>
      </c>
    </row>
    <row r="98" customFormat="false" ht="15" hidden="false" customHeight="false" outlineLevel="0" collapsed="false">
      <c r="A98" s="48" t="s">
        <v>144</v>
      </c>
      <c r="B98" s="48" t="s">
        <v>879</v>
      </c>
      <c r="C98" s="48" t="s">
        <v>145</v>
      </c>
      <c r="D98" s="48"/>
      <c r="E98" s="48"/>
      <c r="F98" s="48"/>
      <c r="G98" s="48"/>
      <c r="H98" s="48" t="s">
        <v>765</v>
      </c>
      <c r="I98" s="49" t="n">
        <f aca="false">SUMPRODUCT(E99:E106,I99:I106)</f>
        <v>3827.17</v>
      </c>
      <c r="J98" s="49" t="n">
        <f aca="false">SUM(J99:J106)</f>
        <v>3802.22699300699</v>
      </c>
      <c r="K98" s="48"/>
      <c r="L98" s="48"/>
      <c r="M98" s="48"/>
    </row>
    <row r="99" customFormat="false" ht="77.6" hidden="false" customHeight="false" outlineLevel="1" collapsed="false">
      <c r="A99" s="27"/>
      <c r="B99" s="27" t="s">
        <v>879</v>
      </c>
      <c r="C99" s="7" t="s">
        <v>852</v>
      </c>
      <c r="D99" s="27" t="s">
        <v>853</v>
      </c>
      <c r="E99" s="50" t="n">
        <v>252</v>
      </c>
      <c r="F99" s="50" t="n">
        <v>252</v>
      </c>
      <c r="G99" s="27" t="s">
        <v>767</v>
      </c>
      <c r="H99" s="50" t="n">
        <f aca="false">F99</f>
        <v>252</v>
      </c>
      <c r="I99" s="51" t="n">
        <v>2.49</v>
      </c>
      <c r="J99" s="28" t="n">
        <f aca="false">H99*I99</f>
        <v>627.48</v>
      </c>
      <c r="K99" s="52" t="s">
        <v>548</v>
      </c>
      <c r="L99" s="7" t="s">
        <v>854</v>
      </c>
      <c r="M99" s="7" t="s">
        <v>855</v>
      </c>
    </row>
    <row r="100" customFormat="false" ht="90.25" hidden="false" customHeight="false" outlineLevel="1" collapsed="false">
      <c r="A100" s="27"/>
      <c r="B100" s="27" t="s">
        <v>879</v>
      </c>
      <c r="C100" s="7" t="s">
        <v>856</v>
      </c>
      <c r="D100" s="27" t="s">
        <v>727</v>
      </c>
      <c r="E100" s="50" t="n">
        <v>16</v>
      </c>
      <c r="F100" s="50" t="n">
        <v>16</v>
      </c>
      <c r="G100" s="27" t="s">
        <v>767</v>
      </c>
      <c r="H100" s="50" t="n">
        <f aca="false">F100</f>
        <v>16</v>
      </c>
      <c r="I100" s="51" t="n">
        <v>77.9</v>
      </c>
      <c r="J100" s="28" t="n">
        <f aca="false">H100*I100</f>
        <v>1246.4</v>
      </c>
      <c r="K100" s="52" t="s">
        <v>548</v>
      </c>
      <c r="L100" s="7" t="s">
        <v>857</v>
      </c>
      <c r="M100" s="7" t="s">
        <v>858</v>
      </c>
    </row>
    <row r="101" customFormat="false" ht="26.85" hidden="false" customHeight="false" outlineLevel="1" collapsed="false">
      <c r="A101" s="27"/>
      <c r="B101" s="27" t="s">
        <v>879</v>
      </c>
      <c r="C101" s="7" t="s">
        <v>859</v>
      </c>
      <c r="D101" s="27" t="s">
        <v>727</v>
      </c>
      <c r="E101" s="50" t="n">
        <v>15</v>
      </c>
      <c r="F101" s="50" t="n">
        <v>15</v>
      </c>
      <c r="G101" s="27" t="s">
        <v>767</v>
      </c>
      <c r="H101" s="50" t="n">
        <f aca="false">F101</f>
        <v>15</v>
      </c>
      <c r="I101" s="51" t="n">
        <v>25</v>
      </c>
      <c r="J101" s="28" t="n">
        <f aca="false">H101*I101</f>
        <v>375</v>
      </c>
      <c r="K101" s="53" t="s">
        <v>551</v>
      </c>
      <c r="L101" s="7" t="s">
        <v>860</v>
      </c>
      <c r="M101" s="7" t="s">
        <v>861</v>
      </c>
    </row>
    <row r="102" customFormat="false" ht="26.85" hidden="false" customHeight="false" outlineLevel="1" collapsed="false">
      <c r="A102" s="27"/>
      <c r="B102" s="27" t="s">
        <v>879</v>
      </c>
      <c r="C102" s="7" t="s">
        <v>862</v>
      </c>
      <c r="D102" s="27" t="s">
        <v>727</v>
      </c>
      <c r="E102" s="50" t="n">
        <v>42</v>
      </c>
      <c r="F102" s="50" t="n">
        <v>42</v>
      </c>
      <c r="G102" s="27" t="s">
        <v>767</v>
      </c>
      <c r="H102" s="50" t="n">
        <f aca="false">F102</f>
        <v>42</v>
      </c>
      <c r="I102" s="51" t="n">
        <v>15</v>
      </c>
      <c r="J102" s="28" t="n">
        <f aca="false">H102*I102</f>
        <v>630</v>
      </c>
      <c r="K102" s="53" t="s">
        <v>551</v>
      </c>
      <c r="L102" s="7" t="s">
        <v>860</v>
      </c>
      <c r="M102" s="7" t="s">
        <v>863</v>
      </c>
    </row>
    <row r="103" customFormat="false" ht="52.2" hidden="false" customHeight="false" outlineLevel="1" collapsed="false">
      <c r="A103" s="27"/>
      <c r="B103" s="27" t="s">
        <v>879</v>
      </c>
      <c r="C103" s="7" t="s">
        <v>864</v>
      </c>
      <c r="D103" s="27" t="s">
        <v>853</v>
      </c>
      <c r="E103" s="50" t="n">
        <v>35</v>
      </c>
      <c r="F103" s="50" t="n">
        <v>35</v>
      </c>
      <c r="G103" s="27" t="s">
        <v>865</v>
      </c>
      <c r="H103" s="50" t="n">
        <f aca="false">F103/IF(Varsayimlar!$B$21=1,1.43,1)</f>
        <v>24.4755244755245</v>
      </c>
      <c r="I103" s="51" t="n">
        <v>2.37</v>
      </c>
      <c r="J103" s="28" t="n">
        <f aca="false">H103*I103</f>
        <v>58.006993006993</v>
      </c>
      <c r="K103" s="52" t="s">
        <v>548</v>
      </c>
      <c r="L103" s="7" t="s">
        <v>866</v>
      </c>
      <c r="M103" s="7" t="s">
        <v>867</v>
      </c>
    </row>
    <row r="104" customFormat="false" ht="77.6" hidden="false" customHeight="false" outlineLevel="1" collapsed="false">
      <c r="A104" s="27"/>
      <c r="B104" s="27" t="s">
        <v>879</v>
      </c>
      <c r="C104" s="7" t="s">
        <v>868</v>
      </c>
      <c r="D104" s="27" t="s">
        <v>727</v>
      </c>
      <c r="E104" s="50" t="n">
        <v>3</v>
      </c>
      <c r="F104" s="50" t="n">
        <v>3</v>
      </c>
      <c r="G104" s="27" t="s">
        <v>767</v>
      </c>
      <c r="H104" s="50" t="n">
        <f aca="false">F104</f>
        <v>3</v>
      </c>
      <c r="I104" s="51" t="n">
        <v>57.4</v>
      </c>
      <c r="J104" s="28" t="n">
        <f aca="false">H104*I104</f>
        <v>172.2</v>
      </c>
      <c r="K104" s="52" t="s">
        <v>548</v>
      </c>
      <c r="L104" s="7" t="s">
        <v>869</v>
      </c>
      <c r="M104" s="7" t="s">
        <v>870</v>
      </c>
    </row>
    <row r="105" customFormat="false" ht="64.9" hidden="false" customHeight="false" outlineLevel="1" collapsed="false">
      <c r="A105" s="27"/>
      <c r="B105" s="27" t="s">
        <v>879</v>
      </c>
      <c r="C105" s="7" t="s">
        <v>871</v>
      </c>
      <c r="D105" s="27" t="s">
        <v>853</v>
      </c>
      <c r="E105" s="50" t="n">
        <v>58</v>
      </c>
      <c r="F105" s="50" t="n">
        <v>58</v>
      </c>
      <c r="G105" s="27" t="s">
        <v>767</v>
      </c>
      <c r="H105" s="50" t="n">
        <f aca="false">F105</f>
        <v>58</v>
      </c>
      <c r="I105" s="51" t="n">
        <v>3.33</v>
      </c>
      <c r="J105" s="28" t="n">
        <f aca="false">H105*I105</f>
        <v>193.14</v>
      </c>
      <c r="K105" s="52" t="s">
        <v>548</v>
      </c>
      <c r="L105" s="7" t="s">
        <v>872</v>
      </c>
      <c r="M105" s="7" t="s">
        <v>873</v>
      </c>
    </row>
    <row r="106" customFormat="false" ht="26.85" hidden="false" customHeight="false" outlineLevel="1" collapsed="false">
      <c r="A106" s="27"/>
      <c r="B106" s="27" t="s">
        <v>879</v>
      </c>
      <c r="C106" s="7" t="s">
        <v>874</v>
      </c>
      <c r="D106" s="27" t="s">
        <v>732</v>
      </c>
      <c r="E106" s="50" t="n">
        <v>1</v>
      </c>
      <c r="F106" s="50" t="n">
        <v>1</v>
      </c>
      <c r="G106" s="27" t="s">
        <v>767</v>
      </c>
      <c r="H106" s="50" t="n">
        <f aca="false">F106</f>
        <v>1</v>
      </c>
      <c r="I106" s="51" t="n">
        <v>500</v>
      </c>
      <c r="J106" s="28" t="n">
        <f aca="false">H106*I106</f>
        <v>500</v>
      </c>
      <c r="K106" s="53" t="s">
        <v>551</v>
      </c>
      <c r="L106" s="7" t="s">
        <v>875</v>
      </c>
      <c r="M106" s="7" t="s">
        <v>876</v>
      </c>
    </row>
    <row r="107" customFormat="false" ht="15" hidden="false" customHeight="false" outlineLevel="0" collapsed="false">
      <c r="A107" s="48" t="s">
        <v>146</v>
      </c>
      <c r="B107" s="48" t="s">
        <v>880</v>
      </c>
      <c r="C107" s="48" t="s">
        <v>147</v>
      </c>
      <c r="D107" s="48"/>
      <c r="E107" s="48"/>
      <c r="F107" s="48"/>
      <c r="G107" s="48"/>
      <c r="H107" s="48" t="s">
        <v>765</v>
      </c>
      <c r="I107" s="49" t="n">
        <f aca="false">SUMPRODUCT(E108:E115,I108:I115)</f>
        <v>3827.17</v>
      </c>
      <c r="J107" s="49" t="n">
        <f aca="false">SUM(J108:J115)</f>
        <v>3802.22699300699</v>
      </c>
      <c r="K107" s="48"/>
      <c r="L107" s="48"/>
      <c r="M107" s="48"/>
    </row>
    <row r="108" customFormat="false" ht="77.6" hidden="false" customHeight="false" outlineLevel="1" collapsed="false">
      <c r="A108" s="27"/>
      <c r="B108" s="27" t="s">
        <v>880</v>
      </c>
      <c r="C108" s="7" t="s">
        <v>852</v>
      </c>
      <c r="D108" s="27" t="s">
        <v>853</v>
      </c>
      <c r="E108" s="50" t="n">
        <v>252</v>
      </c>
      <c r="F108" s="50" t="n">
        <v>252</v>
      </c>
      <c r="G108" s="27" t="s">
        <v>767</v>
      </c>
      <c r="H108" s="50" t="n">
        <f aca="false">F108</f>
        <v>252</v>
      </c>
      <c r="I108" s="51" t="n">
        <v>2.49</v>
      </c>
      <c r="J108" s="28" t="n">
        <f aca="false">H108*I108</f>
        <v>627.48</v>
      </c>
      <c r="K108" s="52" t="s">
        <v>548</v>
      </c>
      <c r="L108" s="7" t="s">
        <v>854</v>
      </c>
      <c r="M108" s="7" t="s">
        <v>855</v>
      </c>
    </row>
    <row r="109" customFormat="false" ht="90.25" hidden="false" customHeight="false" outlineLevel="1" collapsed="false">
      <c r="A109" s="27"/>
      <c r="B109" s="27" t="s">
        <v>880</v>
      </c>
      <c r="C109" s="7" t="s">
        <v>856</v>
      </c>
      <c r="D109" s="27" t="s">
        <v>727</v>
      </c>
      <c r="E109" s="50" t="n">
        <v>16</v>
      </c>
      <c r="F109" s="50" t="n">
        <v>16</v>
      </c>
      <c r="G109" s="27" t="s">
        <v>767</v>
      </c>
      <c r="H109" s="50" t="n">
        <f aca="false">F109</f>
        <v>16</v>
      </c>
      <c r="I109" s="51" t="n">
        <v>77.9</v>
      </c>
      <c r="J109" s="28" t="n">
        <f aca="false">H109*I109</f>
        <v>1246.4</v>
      </c>
      <c r="K109" s="52" t="s">
        <v>548</v>
      </c>
      <c r="L109" s="7" t="s">
        <v>857</v>
      </c>
      <c r="M109" s="7" t="s">
        <v>858</v>
      </c>
    </row>
    <row r="110" customFormat="false" ht="26.85" hidden="false" customHeight="false" outlineLevel="1" collapsed="false">
      <c r="A110" s="27"/>
      <c r="B110" s="27" t="s">
        <v>880</v>
      </c>
      <c r="C110" s="7" t="s">
        <v>859</v>
      </c>
      <c r="D110" s="27" t="s">
        <v>727</v>
      </c>
      <c r="E110" s="50" t="n">
        <v>15</v>
      </c>
      <c r="F110" s="50" t="n">
        <v>15</v>
      </c>
      <c r="G110" s="27" t="s">
        <v>767</v>
      </c>
      <c r="H110" s="50" t="n">
        <f aca="false">F110</f>
        <v>15</v>
      </c>
      <c r="I110" s="51" t="n">
        <v>25</v>
      </c>
      <c r="J110" s="28" t="n">
        <f aca="false">H110*I110</f>
        <v>375</v>
      </c>
      <c r="K110" s="53" t="s">
        <v>551</v>
      </c>
      <c r="L110" s="7" t="s">
        <v>860</v>
      </c>
      <c r="M110" s="7" t="s">
        <v>861</v>
      </c>
    </row>
    <row r="111" customFormat="false" ht="26.85" hidden="false" customHeight="false" outlineLevel="1" collapsed="false">
      <c r="A111" s="27"/>
      <c r="B111" s="27" t="s">
        <v>880</v>
      </c>
      <c r="C111" s="7" t="s">
        <v>862</v>
      </c>
      <c r="D111" s="27" t="s">
        <v>727</v>
      </c>
      <c r="E111" s="50" t="n">
        <v>42</v>
      </c>
      <c r="F111" s="50" t="n">
        <v>42</v>
      </c>
      <c r="G111" s="27" t="s">
        <v>767</v>
      </c>
      <c r="H111" s="50" t="n">
        <f aca="false">F111</f>
        <v>42</v>
      </c>
      <c r="I111" s="51" t="n">
        <v>15</v>
      </c>
      <c r="J111" s="28" t="n">
        <f aca="false">H111*I111</f>
        <v>630</v>
      </c>
      <c r="K111" s="53" t="s">
        <v>551</v>
      </c>
      <c r="L111" s="7" t="s">
        <v>860</v>
      </c>
      <c r="M111" s="7" t="s">
        <v>863</v>
      </c>
    </row>
    <row r="112" customFormat="false" ht="52.2" hidden="false" customHeight="false" outlineLevel="1" collapsed="false">
      <c r="A112" s="27"/>
      <c r="B112" s="27" t="s">
        <v>880</v>
      </c>
      <c r="C112" s="7" t="s">
        <v>864</v>
      </c>
      <c r="D112" s="27" t="s">
        <v>853</v>
      </c>
      <c r="E112" s="50" t="n">
        <v>35</v>
      </c>
      <c r="F112" s="50" t="n">
        <v>35</v>
      </c>
      <c r="G112" s="27" t="s">
        <v>865</v>
      </c>
      <c r="H112" s="50" t="n">
        <f aca="false">F112/IF(Varsayimlar!$B$21=1,1.43,1)</f>
        <v>24.4755244755245</v>
      </c>
      <c r="I112" s="51" t="n">
        <v>2.37</v>
      </c>
      <c r="J112" s="28" t="n">
        <f aca="false">H112*I112</f>
        <v>58.006993006993</v>
      </c>
      <c r="K112" s="52" t="s">
        <v>548</v>
      </c>
      <c r="L112" s="7" t="s">
        <v>866</v>
      </c>
      <c r="M112" s="7" t="s">
        <v>867</v>
      </c>
    </row>
    <row r="113" customFormat="false" ht="77.6" hidden="false" customHeight="false" outlineLevel="1" collapsed="false">
      <c r="A113" s="27"/>
      <c r="B113" s="27" t="s">
        <v>880</v>
      </c>
      <c r="C113" s="7" t="s">
        <v>868</v>
      </c>
      <c r="D113" s="27" t="s">
        <v>727</v>
      </c>
      <c r="E113" s="50" t="n">
        <v>3</v>
      </c>
      <c r="F113" s="50" t="n">
        <v>3</v>
      </c>
      <c r="G113" s="27" t="s">
        <v>767</v>
      </c>
      <c r="H113" s="50" t="n">
        <f aca="false">F113</f>
        <v>3</v>
      </c>
      <c r="I113" s="51" t="n">
        <v>57.4</v>
      </c>
      <c r="J113" s="28" t="n">
        <f aca="false">H113*I113</f>
        <v>172.2</v>
      </c>
      <c r="K113" s="52" t="s">
        <v>548</v>
      </c>
      <c r="L113" s="7" t="s">
        <v>869</v>
      </c>
      <c r="M113" s="7" t="s">
        <v>870</v>
      </c>
    </row>
    <row r="114" customFormat="false" ht="64.9" hidden="false" customHeight="false" outlineLevel="1" collapsed="false">
      <c r="A114" s="27"/>
      <c r="B114" s="27" t="s">
        <v>880</v>
      </c>
      <c r="C114" s="7" t="s">
        <v>871</v>
      </c>
      <c r="D114" s="27" t="s">
        <v>853</v>
      </c>
      <c r="E114" s="50" t="n">
        <v>58</v>
      </c>
      <c r="F114" s="50" t="n">
        <v>58</v>
      </c>
      <c r="G114" s="27" t="s">
        <v>767</v>
      </c>
      <c r="H114" s="50" t="n">
        <f aca="false">F114</f>
        <v>58</v>
      </c>
      <c r="I114" s="51" t="n">
        <v>3.33</v>
      </c>
      <c r="J114" s="28" t="n">
        <f aca="false">H114*I114</f>
        <v>193.14</v>
      </c>
      <c r="K114" s="52" t="s">
        <v>548</v>
      </c>
      <c r="L114" s="7" t="s">
        <v>872</v>
      </c>
      <c r="M114" s="7" t="s">
        <v>873</v>
      </c>
    </row>
    <row r="115" customFormat="false" ht="26.85" hidden="false" customHeight="false" outlineLevel="1" collapsed="false">
      <c r="A115" s="27"/>
      <c r="B115" s="27" t="s">
        <v>880</v>
      </c>
      <c r="C115" s="7" t="s">
        <v>874</v>
      </c>
      <c r="D115" s="27" t="s">
        <v>732</v>
      </c>
      <c r="E115" s="50" t="n">
        <v>1</v>
      </c>
      <c r="F115" s="50" t="n">
        <v>1</v>
      </c>
      <c r="G115" s="27" t="s">
        <v>767</v>
      </c>
      <c r="H115" s="50" t="n">
        <f aca="false">F115</f>
        <v>1</v>
      </c>
      <c r="I115" s="51" t="n">
        <v>500</v>
      </c>
      <c r="J115" s="28" t="n">
        <f aca="false">H115*I115</f>
        <v>500</v>
      </c>
      <c r="K115" s="53" t="s">
        <v>551</v>
      </c>
      <c r="L115" s="7" t="s">
        <v>875</v>
      </c>
      <c r="M115" s="7" t="s">
        <v>876</v>
      </c>
    </row>
    <row r="116" customFormat="false" ht="15" hidden="false" customHeight="false" outlineLevel="0" collapsed="false">
      <c r="A116" s="48" t="s">
        <v>148</v>
      </c>
      <c r="B116" s="48" t="s">
        <v>881</v>
      </c>
      <c r="C116" s="48" t="s">
        <v>149</v>
      </c>
      <c r="D116" s="48"/>
      <c r="E116" s="48"/>
      <c r="F116" s="48"/>
      <c r="G116" s="48"/>
      <c r="H116" s="48" t="s">
        <v>765</v>
      </c>
      <c r="I116" s="49" t="n">
        <f aca="false">SUMPRODUCT(E117:E133,I117:I133)</f>
        <v>56700.2114</v>
      </c>
      <c r="J116" s="49" t="n">
        <f aca="false">SUM(J117:J133)</f>
        <v>50860.8964</v>
      </c>
      <c r="K116" s="48"/>
      <c r="L116" s="48"/>
      <c r="M116" s="48"/>
    </row>
    <row r="117" customFormat="false" ht="77.6" hidden="false" customHeight="false" outlineLevel="1" collapsed="false">
      <c r="A117" s="27"/>
      <c r="B117" s="27" t="s">
        <v>881</v>
      </c>
      <c r="C117" s="7" t="s">
        <v>882</v>
      </c>
      <c r="D117" s="27" t="s">
        <v>853</v>
      </c>
      <c r="E117" s="50" t="n">
        <v>195.47</v>
      </c>
      <c r="F117" s="50" t="n">
        <v>195.47</v>
      </c>
      <c r="G117" s="27" t="s">
        <v>767</v>
      </c>
      <c r="H117" s="50" t="n">
        <f aca="false">F117</f>
        <v>195.47</v>
      </c>
      <c r="I117" s="51" t="n">
        <v>16.08</v>
      </c>
      <c r="J117" s="28" t="n">
        <f aca="false">H117*I117</f>
        <v>3143.1576</v>
      </c>
      <c r="K117" s="52" t="s">
        <v>548</v>
      </c>
      <c r="L117" s="7" t="s">
        <v>883</v>
      </c>
      <c r="M117" s="7" t="s">
        <v>884</v>
      </c>
    </row>
    <row r="118" customFormat="false" ht="90.25" hidden="false" customHeight="false" outlineLevel="1" collapsed="false">
      <c r="A118" s="27"/>
      <c r="B118" s="27" t="s">
        <v>881</v>
      </c>
      <c r="C118" s="7" t="s">
        <v>885</v>
      </c>
      <c r="D118" s="27" t="s">
        <v>727</v>
      </c>
      <c r="E118" s="50" t="n">
        <v>16</v>
      </c>
      <c r="F118" s="50" t="n">
        <v>16</v>
      </c>
      <c r="G118" s="27" t="s">
        <v>767</v>
      </c>
      <c r="H118" s="50" t="n">
        <f aca="false">F118</f>
        <v>16</v>
      </c>
      <c r="I118" s="51" t="n">
        <v>70.13</v>
      </c>
      <c r="J118" s="28" t="n">
        <f aca="false">H118*I118</f>
        <v>1122.08</v>
      </c>
      <c r="K118" s="52" t="s">
        <v>548</v>
      </c>
      <c r="L118" s="7" t="s">
        <v>886</v>
      </c>
      <c r="M118" s="7" t="s">
        <v>887</v>
      </c>
    </row>
    <row r="119" customFormat="false" ht="77.6" hidden="false" customHeight="false" outlineLevel="1" collapsed="false">
      <c r="A119" s="27"/>
      <c r="B119" s="27" t="s">
        <v>881</v>
      </c>
      <c r="C119" s="7" t="s">
        <v>888</v>
      </c>
      <c r="D119" s="27" t="s">
        <v>853</v>
      </c>
      <c r="E119" s="50" t="n">
        <v>101</v>
      </c>
      <c r="F119" s="50" t="n">
        <v>101</v>
      </c>
      <c r="G119" s="27" t="s">
        <v>889</v>
      </c>
      <c r="H119" s="50" t="n">
        <f aca="false">F119/IF(Varsayimlar!$B$21=1,1.1,1)</f>
        <v>91.8181818181818</v>
      </c>
      <c r="I119" s="51" t="n">
        <v>2.49</v>
      </c>
      <c r="J119" s="28" t="n">
        <f aca="false">H119*I119</f>
        <v>228.627272727273</v>
      </c>
      <c r="K119" s="52" t="s">
        <v>548</v>
      </c>
      <c r="L119" s="7" t="s">
        <v>854</v>
      </c>
      <c r="M119" s="7" t="s">
        <v>890</v>
      </c>
    </row>
    <row r="120" customFormat="false" ht="64.9" hidden="false" customHeight="false" outlineLevel="1" collapsed="false">
      <c r="A120" s="27"/>
      <c r="B120" s="27" t="s">
        <v>881</v>
      </c>
      <c r="C120" s="7" t="s">
        <v>891</v>
      </c>
      <c r="D120" s="27" t="s">
        <v>853</v>
      </c>
      <c r="E120" s="50" t="n">
        <v>699.05</v>
      </c>
      <c r="F120" s="50" t="n">
        <v>699.05</v>
      </c>
      <c r="G120" s="27" t="s">
        <v>889</v>
      </c>
      <c r="H120" s="50" t="n">
        <f aca="false">F120/IF(Varsayimlar!$B$21=1,1.1,1)</f>
        <v>635.5</v>
      </c>
      <c r="I120" s="51" t="n">
        <v>16.7</v>
      </c>
      <c r="J120" s="28" t="n">
        <f aca="false">H120*I120</f>
        <v>10612.85</v>
      </c>
      <c r="K120" s="52" t="s">
        <v>548</v>
      </c>
      <c r="L120" s="7" t="s">
        <v>892</v>
      </c>
      <c r="M120" s="7" t="s">
        <v>884</v>
      </c>
    </row>
    <row r="121" customFormat="false" ht="64.9" hidden="false" customHeight="false" outlineLevel="1" collapsed="false">
      <c r="A121" s="27"/>
      <c r="B121" s="27" t="s">
        <v>881</v>
      </c>
      <c r="C121" s="7" t="s">
        <v>893</v>
      </c>
      <c r="D121" s="27" t="s">
        <v>727</v>
      </c>
      <c r="E121" s="50" t="n">
        <v>19</v>
      </c>
      <c r="F121" s="50" t="n">
        <v>19</v>
      </c>
      <c r="G121" s="27" t="s">
        <v>767</v>
      </c>
      <c r="H121" s="50" t="n">
        <f aca="false">F121</f>
        <v>19</v>
      </c>
      <c r="I121" s="51" t="n">
        <v>155.62</v>
      </c>
      <c r="J121" s="28" t="n">
        <f aca="false">H121*I121</f>
        <v>2956.78</v>
      </c>
      <c r="K121" s="52" t="s">
        <v>548</v>
      </c>
      <c r="L121" s="7" t="s">
        <v>894</v>
      </c>
      <c r="M121" s="7" t="s">
        <v>895</v>
      </c>
    </row>
    <row r="122" customFormat="false" ht="26.85" hidden="false" customHeight="false" outlineLevel="1" collapsed="false">
      <c r="A122" s="27"/>
      <c r="B122" s="27" t="s">
        <v>881</v>
      </c>
      <c r="C122" s="7" t="s">
        <v>896</v>
      </c>
      <c r="D122" s="27" t="s">
        <v>853</v>
      </c>
      <c r="E122" s="50" t="n">
        <v>1287</v>
      </c>
      <c r="F122" s="50" t="n">
        <v>1287</v>
      </c>
      <c r="G122" s="27" t="s">
        <v>865</v>
      </c>
      <c r="H122" s="50" t="n">
        <f aca="false">F122/IF(Varsayimlar!$B$21=1,1.43,1)</f>
        <v>900</v>
      </c>
      <c r="I122" s="51" t="n">
        <v>9</v>
      </c>
      <c r="J122" s="28" t="n">
        <f aca="false">H122*I122</f>
        <v>8100</v>
      </c>
      <c r="K122" s="53" t="s">
        <v>551</v>
      </c>
      <c r="L122" s="7" t="s">
        <v>897</v>
      </c>
      <c r="M122" s="7" t="s">
        <v>898</v>
      </c>
    </row>
    <row r="123" customFormat="false" ht="77.6" hidden="false" customHeight="false" outlineLevel="1" collapsed="false">
      <c r="A123" s="27"/>
      <c r="B123" s="27" t="s">
        <v>881</v>
      </c>
      <c r="C123" s="7" t="s">
        <v>899</v>
      </c>
      <c r="D123" s="27" t="s">
        <v>727</v>
      </c>
      <c r="E123" s="50" t="n">
        <v>10</v>
      </c>
      <c r="F123" s="50" t="n">
        <v>10</v>
      </c>
      <c r="G123" s="27" t="s">
        <v>767</v>
      </c>
      <c r="H123" s="50" t="n">
        <f aca="false">F123</f>
        <v>10</v>
      </c>
      <c r="I123" s="51" t="n">
        <v>87.4</v>
      </c>
      <c r="J123" s="28" t="n">
        <f aca="false">H123*I123</f>
        <v>874</v>
      </c>
      <c r="K123" s="52" t="s">
        <v>548</v>
      </c>
      <c r="L123" s="7" t="s">
        <v>900</v>
      </c>
      <c r="M123" s="7" t="s">
        <v>901</v>
      </c>
    </row>
    <row r="124" customFormat="false" ht="26.85" hidden="false" customHeight="false" outlineLevel="1" collapsed="false">
      <c r="A124" s="27"/>
      <c r="B124" s="27" t="s">
        <v>881</v>
      </c>
      <c r="C124" s="7" t="s">
        <v>902</v>
      </c>
      <c r="D124" s="27" t="s">
        <v>727</v>
      </c>
      <c r="E124" s="50" t="n">
        <v>156</v>
      </c>
      <c r="F124" s="50" t="n">
        <v>156</v>
      </c>
      <c r="G124" s="27" t="s">
        <v>767</v>
      </c>
      <c r="H124" s="50" t="n">
        <f aca="false">F124</f>
        <v>156</v>
      </c>
      <c r="I124" s="51" t="n">
        <v>12</v>
      </c>
      <c r="J124" s="28" t="n">
        <f aca="false">H124*I124</f>
        <v>1872</v>
      </c>
      <c r="K124" s="53" t="s">
        <v>551</v>
      </c>
      <c r="L124" s="7" t="s">
        <v>860</v>
      </c>
      <c r="M124" s="7" t="s">
        <v>903</v>
      </c>
    </row>
    <row r="125" customFormat="false" ht="77.6" hidden="false" customHeight="false" outlineLevel="1" collapsed="false">
      <c r="A125" s="27"/>
      <c r="B125" s="27" t="s">
        <v>881</v>
      </c>
      <c r="C125" s="7" t="s">
        <v>904</v>
      </c>
      <c r="D125" s="27" t="s">
        <v>853</v>
      </c>
      <c r="E125" s="50" t="n">
        <v>234</v>
      </c>
      <c r="F125" s="50" t="n">
        <v>234</v>
      </c>
      <c r="G125" s="27" t="s">
        <v>889</v>
      </c>
      <c r="H125" s="50" t="n">
        <f aca="false">F125/IF(Varsayimlar!$B$21=1,1.1,1)</f>
        <v>212.727272727273</v>
      </c>
      <c r="I125" s="51" t="n">
        <v>16.08</v>
      </c>
      <c r="J125" s="28" t="n">
        <f aca="false">H125*I125</f>
        <v>3420.65454545455</v>
      </c>
      <c r="K125" s="52" t="s">
        <v>548</v>
      </c>
      <c r="L125" s="7" t="s">
        <v>883</v>
      </c>
      <c r="M125" s="7" t="s">
        <v>884</v>
      </c>
    </row>
    <row r="126" customFormat="false" ht="77.6" hidden="false" customHeight="false" outlineLevel="1" collapsed="false">
      <c r="A126" s="27"/>
      <c r="B126" s="27" t="s">
        <v>881</v>
      </c>
      <c r="C126" s="7" t="s">
        <v>905</v>
      </c>
      <c r="D126" s="27" t="s">
        <v>853</v>
      </c>
      <c r="E126" s="50" t="n">
        <v>210</v>
      </c>
      <c r="F126" s="50" t="n">
        <v>210</v>
      </c>
      <c r="G126" s="27" t="s">
        <v>889</v>
      </c>
      <c r="H126" s="50" t="n">
        <f aca="false">F126/IF(Varsayimlar!$B$21=1,1.1,1)</f>
        <v>190.909090909091</v>
      </c>
      <c r="I126" s="51" t="n">
        <v>16.08</v>
      </c>
      <c r="J126" s="28" t="n">
        <f aca="false">H126*I126</f>
        <v>3069.81818181818</v>
      </c>
      <c r="K126" s="52" t="s">
        <v>548</v>
      </c>
      <c r="L126" s="7" t="s">
        <v>883</v>
      </c>
      <c r="M126" s="7" t="s">
        <v>884</v>
      </c>
    </row>
    <row r="127" customFormat="false" ht="77.6" hidden="false" customHeight="false" outlineLevel="1" collapsed="false">
      <c r="A127" s="27"/>
      <c r="B127" s="27" t="s">
        <v>881</v>
      </c>
      <c r="C127" s="7" t="s">
        <v>906</v>
      </c>
      <c r="D127" s="27" t="s">
        <v>853</v>
      </c>
      <c r="E127" s="50" t="n">
        <v>110.11</v>
      </c>
      <c r="F127" s="50" t="n">
        <v>110.11</v>
      </c>
      <c r="G127" s="27" t="s">
        <v>767</v>
      </c>
      <c r="H127" s="50" t="n">
        <f aca="false">F127</f>
        <v>110.11</v>
      </c>
      <c r="I127" s="51" t="n">
        <v>16.08</v>
      </c>
      <c r="J127" s="28" t="n">
        <f aca="false">H127*I127</f>
        <v>1770.5688</v>
      </c>
      <c r="K127" s="52" t="s">
        <v>548</v>
      </c>
      <c r="L127" s="7" t="s">
        <v>883</v>
      </c>
      <c r="M127" s="7" t="s">
        <v>884</v>
      </c>
    </row>
    <row r="128" customFormat="false" ht="77.6" hidden="false" customHeight="false" outlineLevel="1" collapsed="false">
      <c r="A128" s="27"/>
      <c r="B128" s="27" t="s">
        <v>881</v>
      </c>
      <c r="C128" s="7" t="s">
        <v>907</v>
      </c>
      <c r="D128" s="27" t="s">
        <v>853</v>
      </c>
      <c r="E128" s="50" t="n">
        <v>34</v>
      </c>
      <c r="F128" s="50" t="n">
        <v>34</v>
      </c>
      <c r="G128" s="27" t="s">
        <v>889</v>
      </c>
      <c r="H128" s="50" t="n">
        <f aca="false">F128/IF(Varsayimlar!$B$21=1,1.1,1)</f>
        <v>30.9090909090909</v>
      </c>
      <c r="I128" s="51" t="n">
        <v>2.49</v>
      </c>
      <c r="J128" s="28" t="n">
        <f aca="false">H128*I128</f>
        <v>76.9636363636364</v>
      </c>
      <c r="K128" s="52" t="s">
        <v>548</v>
      </c>
      <c r="L128" s="7" t="s">
        <v>854</v>
      </c>
      <c r="M128" s="7" t="s">
        <v>890</v>
      </c>
    </row>
    <row r="129" customFormat="false" ht="64.9" hidden="false" customHeight="false" outlineLevel="1" collapsed="false">
      <c r="A129" s="27"/>
      <c r="B129" s="27" t="s">
        <v>881</v>
      </c>
      <c r="C129" s="7" t="s">
        <v>908</v>
      </c>
      <c r="D129" s="27" t="s">
        <v>853</v>
      </c>
      <c r="E129" s="50" t="n">
        <v>158</v>
      </c>
      <c r="F129" s="50" t="n">
        <v>158</v>
      </c>
      <c r="G129" s="27" t="s">
        <v>889</v>
      </c>
      <c r="H129" s="50" t="n">
        <f aca="false">F129/IF(Varsayimlar!$B$21=1,1.1,1)</f>
        <v>143.636363636364</v>
      </c>
      <c r="I129" s="51" t="n">
        <v>2.47</v>
      </c>
      <c r="J129" s="28" t="n">
        <f aca="false">H129*I129</f>
        <v>354.781818181818</v>
      </c>
      <c r="K129" s="52" t="s">
        <v>548</v>
      </c>
      <c r="L129" s="7" t="s">
        <v>909</v>
      </c>
      <c r="M129" s="7" t="s">
        <v>910</v>
      </c>
    </row>
    <row r="130" customFormat="false" ht="77.6" hidden="false" customHeight="false" outlineLevel="1" collapsed="false">
      <c r="A130" s="27"/>
      <c r="B130" s="27" t="s">
        <v>881</v>
      </c>
      <c r="C130" s="7" t="s">
        <v>911</v>
      </c>
      <c r="D130" s="27" t="s">
        <v>727</v>
      </c>
      <c r="E130" s="50" t="n">
        <v>23</v>
      </c>
      <c r="F130" s="50" t="n">
        <v>23</v>
      </c>
      <c r="G130" s="27" t="s">
        <v>767</v>
      </c>
      <c r="H130" s="50" t="n">
        <f aca="false">F130</f>
        <v>23</v>
      </c>
      <c r="I130" s="51" t="n">
        <v>66.92</v>
      </c>
      <c r="J130" s="28" t="n">
        <f aca="false">H130*I130</f>
        <v>1539.16</v>
      </c>
      <c r="K130" s="52" t="s">
        <v>548</v>
      </c>
      <c r="L130" s="7" t="s">
        <v>912</v>
      </c>
      <c r="M130" s="7" t="s">
        <v>887</v>
      </c>
    </row>
    <row r="131" customFormat="false" ht="64.9" hidden="false" customHeight="false" outlineLevel="1" collapsed="false">
      <c r="A131" s="27"/>
      <c r="B131" s="27" t="s">
        <v>881</v>
      </c>
      <c r="C131" s="7" t="s">
        <v>913</v>
      </c>
      <c r="D131" s="27" t="s">
        <v>853</v>
      </c>
      <c r="E131" s="50" t="n">
        <v>382</v>
      </c>
      <c r="F131" s="50" t="n">
        <v>382</v>
      </c>
      <c r="G131" s="27" t="s">
        <v>889</v>
      </c>
      <c r="H131" s="50" t="n">
        <f aca="false">F131/IF(Varsayimlar!$B$21=1,1.1,1)</f>
        <v>347.272727272727</v>
      </c>
      <c r="I131" s="51" t="n">
        <v>16.7</v>
      </c>
      <c r="J131" s="28" t="n">
        <f aca="false">H131*I131</f>
        <v>5799.45454545455</v>
      </c>
      <c r="K131" s="52" t="s">
        <v>548</v>
      </c>
      <c r="L131" s="7" t="s">
        <v>892</v>
      </c>
      <c r="M131" s="7" t="s">
        <v>914</v>
      </c>
    </row>
    <row r="132" customFormat="false" ht="26.85" hidden="false" customHeight="false" outlineLevel="1" collapsed="false">
      <c r="A132" s="27"/>
      <c r="B132" s="27" t="s">
        <v>881</v>
      </c>
      <c r="C132" s="7" t="s">
        <v>915</v>
      </c>
      <c r="D132" s="27" t="s">
        <v>727</v>
      </c>
      <c r="E132" s="50" t="n">
        <v>52</v>
      </c>
      <c r="F132" s="50" t="n">
        <v>52</v>
      </c>
      <c r="G132" s="27" t="s">
        <v>767</v>
      </c>
      <c r="H132" s="50" t="n">
        <f aca="false">F132</f>
        <v>52</v>
      </c>
      <c r="I132" s="51" t="n">
        <v>85</v>
      </c>
      <c r="J132" s="28" t="n">
        <f aca="false">H132*I132</f>
        <v>4420</v>
      </c>
      <c r="K132" s="53" t="s">
        <v>551</v>
      </c>
      <c r="L132" s="7" t="s">
        <v>860</v>
      </c>
      <c r="M132" s="7" t="s">
        <v>916</v>
      </c>
    </row>
    <row r="133" customFormat="false" ht="15" hidden="false" customHeight="false" outlineLevel="1" collapsed="false">
      <c r="A133" s="27"/>
      <c r="B133" s="27" t="s">
        <v>881</v>
      </c>
      <c r="C133" s="7" t="s">
        <v>917</v>
      </c>
      <c r="D133" s="27" t="s">
        <v>732</v>
      </c>
      <c r="E133" s="50" t="n">
        <v>1</v>
      </c>
      <c r="F133" s="50" t="n">
        <v>1</v>
      </c>
      <c r="G133" s="27" t="s">
        <v>767</v>
      </c>
      <c r="H133" s="50" t="n">
        <f aca="false">F133</f>
        <v>1</v>
      </c>
      <c r="I133" s="51" t="n">
        <v>1500</v>
      </c>
      <c r="J133" s="28" t="n">
        <f aca="false">H133*I133</f>
        <v>1500</v>
      </c>
      <c r="K133" s="53" t="s">
        <v>551</v>
      </c>
      <c r="L133" s="7" t="s">
        <v>875</v>
      </c>
      <c r="M133" s="7" t="s">
        <v>918</v>
      </c>
    </row>
    <row r="134" customFormat="false" ht="15" hidden="false" customHeight="false" outlineLevel="0" collapsed="false">
      <c r="A134" s="48" t="s">
        <v>150</v>
      </c>
      <c r="B134" s="48" t="s">
        <v>919</v>
      </c>
      <c r="C134" s="48" t="s">
        <v>151</v>
      </c>
      <c r="D134" s="48"/>
      <c r="E134" s="48"/>
      <c r="F134" s="48"/>
      <c r="G134" s="48"/>
      <c r="H134" s="48" t="s">
        <v>765</v>
      </c>
      <c r="I134" s="49" t="n">
        <f aca="false">SUMPRODUCT(E135:E142,I135:I142)</f>
        <v>3495.61</v>
      </c>
      <c r="J134" s="49" t="n">
        <f aca="false">SUM(J135:J142)</f>
        <v>3470.66699300699</v>
      </c>
      <c r="K134" s="48"/>
      <c r="L134" s="48"/>
      <c r="M134" s="48"/>
    </row>
    <row r="135" customFormat="false" ht="77.6" hidden="false" customHeight="false" outlineLevel="1" collapsed="false">
      <c r="A135" s="27"/>
      <c r="B135" s="27" t="s">
        <v>919</v>
      </c>
      <c r="C135" s="7" t="s">
        <v>852</v>
      </c>
      <c r="D135" s="27" t="s">
        <v>853</v>
      </c>
      <c r="E135" s="50" t="n">
        <v>168</v>
      </c>
      <c r="F135" s="50" t="n">
        <v>168</v>
      </c>
      <c r="G135" s="27" t="s">
        <v>767</v>
      </c>
      <c r="H135" s="50" t="n">
        <f aca="false">F135</f>
        <v>168</v>
      </c>
      <c r="I135" s="51" t="n">
        <v>2.49</v>
      </c>
      <c r="J135" s="28" t="n">
        <f aca="false">H135*I135</f>
        <v>418.32</v>
      </c>
      <c r="K135" s="52" t="s">
        <v>548</v>
      </c>
      <c r="L135" s="7" t="s">
        <v>854</v>
      </c>
      <c r="M135" s="7" t="s">
        <v>855</v>
      </c>
    </row>
    <row r="136" customFormat="false" ht="90.25" hidden="false" customHeight="false" outlineLevel="1" collapsed="false">
      <c r="A136" s="27"/>
      <c r="B136" s="27" t="s">
        <v>919</v>
      </c>
      <c r="C136" s="7" t="s">
        <v>856</v>
      </c>
      <c r="D136" s="27" t="s">
        <v>727</v>
      </c>
      <c r="E136" s="50" t="n">
        <v>16</v>
      </c>
      <c r="F136" s="50" t="n">
        <v>16</v>
      </c>
      <c r="G136" s="27" t="s">
        <v>767</v>
      </c>
      <c r="H136" s="50" t="n">
        <f aca="false">F136</f>
        <v>16</v>
      </c>
      <c r="I136" s="51" t="n">
        <v>77.9</v>
      </c>
      <c r="J136" s="28" t="n">
        <f aca="false">H136*I136</f>
        <v>1246.4</v>
      </c>
      <c r="K136" s="52" t="s">
        <v>548</v>
      </c>
      <c r="L136" s="7" t="s">
        <v>857</v>
      </c>
      <c r="M136" s="7" t="s">
        <v>858</v>
      </c>
    </row>
    <row r="137" customFormat="false" ht="26.85" hidden="false" customHeight="false" outlineLevel="1" collapsed="false">
      <c r="A137" s="27"/>
      <c r="B137" s="27" t="s">
        <v>919</v>
      </c>
      <c r="C137" s="7" t="s">
        <v>859</v>
      </c>
      <c r="D137" s="27" t="s">
        <v>727</v>
      </c>
      <c r="E137" s="50" t="n">
        <v>16</v>
      </c>
      <c r="F137" s="50" t="n">
        <v>16</v>
      </c>
      <c r="G137" s="27" t="s">
        <v>767</v>
      </c>
      <c r="H137" s="50" t="n">
        <f aca="false">F137</f>
        <v>16</v>
      </c>
      <c r="I137" s="51" t="n">
        <v>25</v>
      </c>
      <c r="J137" s="28" t="n">
        <f aca="false">H137*I137</f>
        <v>400</v>
      </c>
      <c r="K137" s="53" t="s">
        <v>551</v>
      </c>
      <c r="L137" s="7" t="s">
        <v>860</v>
      </c>
      <c r="M137" s="7" t="s">
        <v>861</v>
      </c>
    </row>
    <row r="138" customFormat="false" ht="26.85" hidden="false" customHeight="false" outlineLevel="1" collapsed="false">
      <c r="A138" s="27"/>
      <c r="B138" s="27" t="s">
        <v>919</v>
      </c>
      <c r="C138" s="7" t="s">
        <v>862</v>
      </c>
      <c r="D138" s="27" t="s">
        <v>727</v>
      </c>
      <c r="E138" s="50" t="n">
        <v>36</v>
      </c>
      <c r="F138" s="50" t="n">
        <v>36</v>
      </c>
      <c r="G138" s="27" t="s">
        <v>767</v>
      </c>
      <c r="H138" s="50" t="n">
        <f aca="false">F138</f>
        <v>36</v>
      </c>
      <c r="I138" s="51" t="n">
        <v>15</v>
      </c>
      <c r="J138" s="28" t="n">
        <f aca="false">H138*I138</f>
        <v>540</v>
      </c>
      <c r="K138" s="53" t="s">
        <v>551</v>
      </c>
      <c r="L138" s="7" t="s">
        <v>860</v>
      </c>
      <c r="M138" s="7" t="s">
        <v>863</v>
      </c>
    </row>
    <row r="139" customFormat="false" ht="52.2" hidden="false" customHeight="false" outlineLevel="1" collapsed="false">
      <c r="A139" s="27"/>
      <c r="B139" s="27" t="s">
        <v>919</v>
      </c>
      <c r="C139" s="7" t="s">
        <v>864</v>
      </c>
      <c r="D139" s="27" t="s">
        <v>853</v>
      </c>
      <c r="E139" s="50" t="n">
        <v>35</v>
      </c>
      <c r="F139" s="50" t="n">
        <v>35</v>
      </c>
      <c r="G139" s="27" t="s">
        <v>865</v>
      </c>
      <c r="H139" s="50" t="n">
        <f aca="false">F139/IF(Varsayimlar!$B$21=1,1.43,1)</f>
        <v>24.4755244755245</v>
      </c>
      <c r="I139" s="51" t="n">
        <v>2.37</v>
      </c>
      <c r="J139" s="28" t="n">
        <f aca="false">H139*I139</f>
        <v>58.006993006993</v>
      </c>
      <c r="K139" s="52" t="s">
        <v>548</v>
      </c>
      <c r="L139" s="7" t="s">
        <v>866</v>
      </c>
      <c r="M139" s="7" t="s">
        <v>867</v>
      </c>
    </row>
    <row r="140" customFormat="false" ht="77.6" hidden="false" customHeight="false" outlineLevel="1" collapsed="false">
      <c r="A140" s="27"/>
      <c r="B140" s="27" t="s">
        <v>919</v>
      </c>
      <c r="C140" s="7" t="s">
        <v>868</v>
      </c>
      <c r="D140" s="27" t="s">
        <v>727</v>
      </c>
      <c r="E140" s="50" t="n">
        <v>2</v>
      </c>
      <c r="F140" s="50" t="n">
        <v>2</v>
      </c>
      <c r="G140" s="27" t="s">
        <v>767</v>
      </c>
      <c r="H140" s="50" t="n">
        <f aca="false">F140</f>
        <v>2</v>
      </c>
      <c r="I140" s="51" t="n">
        <v>57.4</v>
      </c>
      <c r="J140" s="28" t="n">
        <f aca="false">H140*I140</f>
        <v>114.8</v>
      </c>
      <c r="K140" s="52" t="s">
        <v>548</v>
      </c>
      <c r="L140" s="7" t="s">
        <v>869</v>
      </c>
      <c r="M140" s="7" t="s">
        <v>870</v>
      </c>
    </row>
    <row r="141" customFormat="false" ht="64.9" hidden="false" customHeight="false" outlineLevel="1" collapsed="false">
      <c r="A141" s="27"/>
      <c r="B141" s="27" t="s">
        <v>919</v>
      </c>
      <c r="C141" s="7" t="s">
        <v>871</v>
      </c>
      <c r="D141" s="27" t="s">
        <v>853</v>
      </c>
      <c r="E141" s="50" t="n">
        <v>58</v>
      </c>
      <c r="F141" s="50" t="n">
        <v>58</v>
      </c>
      <c r="G141" s="27" t="s">
        <v>767</v>
      </c>
      <c r="H141" s="50" t="n">
        <f aca="false">F141</f>
        <v>58</v>
      </c>
      <c r="I141" s="51" t="n">
        <v>3.33</v>
      </c>
      <c r="J141" s="28" t="n">
        <f aca="false">H141*I141</f>
        <v>193.14</v>
      </c>
      <c r="K141" s="52" t="s">
        <v>548</v>
      </c>
      <c r="L141" s="7" t="s">
        <v>872</v>
      </c>
      <c r="M141" s="7" t="s">
        <v>873</v>
      </c>
    </row>
    <row r="142" customFormat="false" ht="26.85" hidden="false" customHeight="false" outlineLevel="1" collapsed="false">
      <c r="A142" s="27"/>
      <c r="B142" s="27" t="s">
        <v>919</v>
      </c>
      <c r="C142" s="7" t="s">
        <v>874</v>
      </c>
      <c r="D142" s="27" t="s">
        <v>732</v>
      </c>
      <c r="E142" s="50" t="n">
        <v>1</v>
      </c>
      <c r="F142" s="50" t="n">
        <v>1</v>
      </c>
      <c r="G142" s="27" t="s">
        <v>767</v>
      </c>
      <c r="H142" s="50" t="n">
        <f aca="false">F142</f>
        <v>1</v>
      </c>
      <c r="I142" s="51" t="n">
        <v>500</v>
      </c>
      <c r="J142" s="28" t="n">
        <f aca="false">H142*I142</f>
        <v>500</v>
      </c>
      <c r="K142" s="53" t="s">
        <v>551</v>
      </c>
      <c r="L142" s="7" t="s">
        <v>875</v>
      </c>
      <c r="M142" s="7" t="s">
        <v>876</v>
      </c>
    </row>
    <row r="143" customFormat="false" ht="15" hidden="false" customHeight="false" outlineLevel="0" collapsed="false">
      <c r="A143" s="48" t="s">
        <v>152</v>
      </c>
      <c r="B143" s="48" t="s">
        <v>920</v>
      </c>
      <c r="C143" s="48" t="s">
        <v>153</v>
      </c>
      <c r="D143" s="48"/>
      <c r="E143" s="48"/>
      <c r="F143" s="48"/>
      <c r="G143" s="48"/>
      <c r="H143" s="48" t="s">
        <v>765</v>
      </c>
      <c r="I143" s="49" t="n">
        <f aca="false">SUMPRODUCT(E144:E150,I144:I150)</f>
        <v>12839.52</v>
      </c>
      <c r="J143" s="49" t="n">
        <f aca="false">SUM(J144:J150)</f>
        <v>12322.9535664336</v>
      </c>
      <c r="K143" s="48"/>
      <c r="L143" s="48"/>
      <c r="M143" s="48"/>
    </row>
    <row r="144" customFormat="false" ht="77.6" hidden="false" customHeight="false" outlineLevel="1" collapsed="false">
      <c r="A144" s="27"/>
      <c r="B144" s="27" t="s">
        <v>920</v>
      </c>
      <c r="C144" s="7" t="s">
        <v>921</v>
      </c>
      <c r="D144" s="27" t="s">
        <v>853</v>
      </c>
      <c r="E144" s="50" t="n">
        <v>412</v>
      </c>
      <c r="F144" s="50" t="n">
        <v>412</v>
      </c>
      <c r="G144" s="27" t="s">
        <v>889</v>
      </c>
      <c r="H144" s="50" t="n">
        <f aca="false">F144/IF(Varsayimlar!$B$21=1,1.1,1)</f>
        <v>374.545454545455</v>
      </c>
      <c r="I144" s="51" t="n">
        <v>2.49</v>
      </c>
      <c r="J144" s="28" t="n">
        <f aca="false">H144*I144</f>
        <v>932.618181818182</v>
      </c>
      <c r="K144" s="52" t="s">
        <v>548</v>
      </c>
      <c r="L144" s="7" t="s">
        <v>854</v>
      </c>
      <c r="M144" s="7" t="s">
        <v>890</v>
      </c>
    </row>
    <row r="145" customFormat="false" ht="26.85" hidden="false" customHeight="false" outlineLevel="1" collapsed="false">
      <c r="A145" s="27"/>
      <c r="B145" s="27" t="s">
        <v>920</v>
      </c>
      <c r="C145" s="7" t="s">
        <v>922</v>
      </c>
      <c r="D145" s="27" t="s">
        <v>727</v>
      </c>
      <c r="E145" s="50" t="n">
        <v>63</v>
      </c>
      <c r="F145" s="50" t="n">
        <v>63</v>
      </c>
      <c r="G145" s="27" t="s">
        <v>767</v>
      </c>
      <c r="H145" s="50" t="n">
        <f aca="false">F145</f>
        <v>63</v>
      </c>
      <c r="I145" s="51" t="n">
        <v>25</v>
      </c>
      <c r="J145" s="28" t="n">
        <f aca="false">H145*I145</f>
        <v>1575</v>
      </c>
      <c r="K145" s="53" t="s">
        <v>551</v>
      </c>
      <c r="L145" s="7" t="s">
        <v>860</v>
      </c>
      <c r="M145" s="7" t="s">
        <v>923</v>
      </c>
    </row>
    <row r="146" customFormat="false" ht="64.9" hidden="false" customHeight="false" outlineLevel="1" collapsed="false">
      <c r="A146" s="27"/>
      <c r="B146" s="27" t="s">
        <v>920</v>
      </c>
      <c r="C146" s="7" t="s">
        <v>924</v>
      </c>
      <c r="D146" s="27" t="s">
        <v>853</v>
      </c>
      <c r="E146" s="50" t="n">
        <v>264</v>
      </c>
      <c r="F146" s="50" t="n">
        <v>264</v>
      </c>
      <c r="G146" s="27" t="s">
        <v>865</v>
      </c>
      <c r="H146" s="50" t="n">
        <f aca="false">F146/IF(Varsayimlar!$B$21=1,1.43,1)</f>
        <v>184.615384615385</v>
      </c>
      <c r="I146" s="51" t="n">
        <v>3.33</v>
      </c>
      <c r="J146" s="28" t="n">
        <f aca="false">H146*I146</f>
        <v>614.769230769231</v>
      </c>
      <c r="K146" s="52" t="s">
        <v>548</v>
      </c>
      <c r="L146" s="7" t="s">
        <v>872</v>
      </c>
      <c r="M146" s="7" t="s">
        <v>925</v>
      </c>
    </row>
    <row r="147" customFormat="false" ht="77.6" hidden="false" customHeight="false" outlineLevel="1" collapsed="false">
      <c r="A147" s="27"/>
      <c r="B147" s="27" t="s">
        <v>920</v>
      </c>
      <c r="C147" s="7" t="s">
        <v>926</v>
      </c>
      <c r="D147" s="27" t="s">
        <v>727</v>
      </c>
      <c r="E147" s="50" t="n">
        <v>12</v>
      </c>
      <c r="F147" s="50" t="n">
        <v>12</v>
      </c>
      <c r="G147" s="27" t="s">
        <v>829</v>
      </c>
      <c r="H147" s="50" t="n">
        <f aca="false">F147/IF(Varsayimlar!$B$21=1,1.3,1)</f>
        <v>9.23076923076923</v>
      </c>
      <c r="I147" s="51" t="n">
        <v>57.4</v>
      </c>
      <c r="J147" s="28" t="n">
        <f aca="false">H147*I147</f>
        <v>529.846153846154</v>
      </c>
      <c r="K147" s="52" t="s">
        <v>548</v>
      </c>
      <c r="L147" s="7" t="s">
        <v>869</v>
      </c>
      <c r="M147" s="7" t="s">
        <v>870</v>
      </c>
    </row>
    <row r="148" customFormat="false" ht="77.6" hidden="false" customHeight="false" outlineLevel="1" collapsed="false">
      <c r="A148" s="27"/>
      <c r="B148" s="27" t="s">
        <v>920</v>
      </c>
      <c r="C148" s="7" t="s">
        <v>927</v>
      </c>
      <c r="D148" s="27" t="s">
        <v>727</v>
      </c>
      <c r="E148" s="50" t="n">
        <v>16</v>
      </c>
      <c r="F148" s="50" t="n">
        <v>16</v>
      </c>
      <c r="G148" s="27" t="s">
        <v>767</v>
      </c>
      <c r="H148" s="50" t="n">
        <f aca="false">F148</f>
        <v>16</v>
      </c>
      <c r="I148" s="51" t="n">
        <v>66.92</v>
      </c>
      <c r="J148" s="28" t="n">
        <f aca="false">H148*I148</f>
        <v>1070.72</v>
      </c>
      <c r="K148" s="52" t="s">
        <v>548</v>
      </c>
      <c r="L148" s="7" t="s">
        <v>912</v>
      </c>
      <c r="M148" s="7" t="s">
        <v>928</v>
      </c>
    </row>
    <row r="149" customFormat="false" ht="39.55" hidden="false" customHeight="false" outlineLevel="1" collapsed="false">
      <c r="A149" s="27"/>
      <c r="B149" s="27" t="s">
        <v>920</v>
      </c>
      <c r="C149" s="7" t="s">
        <v>929</v>
      </c>
      <c r="D149" s="27" t="s">
        <v>727</v>
      </c>
      <c r="E149" s="50" t="n">
        <v>4</v>
      </c>
      <c r="F149" s="50" t="n">
        <v>4</v>
      </c>
      <c r="G149" s="27" t="s">
        <v>767</v>
      </c>
      <c r="H149" s="50" t="n">
        <f aca="false">F149</f>
        <v>4</v>
      </c>
      <c r="I149" s="51" t="n">
        <v>1500</v>
      </c>
      <c r="J149" s="28" t="n">
        <f aca="false">H149*I149</f>
        <v>6000</v>
      </c>
      <c r="K149" s="53" t="s">
        <v>551</v>
      </c>
      <c r="L149" s="7" t="s">
        <v>930</v>
      </c>
      <c r="M149" s="7" t="s">
        <v>931</v>
      </c>
    </row>
    <row r="150" customFormat="false" ht="15" hidden="false" customHeight="false" outlineLevel="1" collapsed="false">
      <c r="A150" s="27"/>
      <c r="B150" s="27" t="s">
        <v>920</v>
      </c>
      <c r="C150" s="7" t="s">
        <v>932</v>
      </c>
      <c r="D150" s="27" t="s">
        <v>732</v>
      </c>
      <c r="E150" s="50" t="n">
        <v>4</v>
      </c>
      <c r="F150" s="50" t="n">
        <v>4</v>
      </c>
      <c r="G150" s="27" t="s">
        <v>767</v>
      </c>
      <c r="H150" s="50" t="n">
        <f aca="false">F150</f>
        <v>4</v>
      </c>
      <c r="I150" s="51" t="n">
        <v>400</v>
      </c>
      <c r="J150" s="28" t="n">
        <f aca="false">H150*I150</f>
        <v>1600</v>
      </c>
      <c r="K150" s="53" t="s">
        <v>551</v>
      </c>
      <c r="L150" s="7" t="s">
        <v>875</v>
      </c>
      <c r="M150" s="7" t="s">
        <v>933</v>
      </c>
    </row>
    <row r="151" customFormat="false" ht="15" hidden="false" customHeight="false" outlineLevel="0" collapsed="false">
      <c r="A151" s="48" t="s">
        <v>154</v>
      </c>
      <c r="B151" s="48" t="s">
        <v>934</v>
      </c>
      <c r="C151" s="48" t="s">
        <v>155</v>
      </c>
      <c r="D151" s="48"/>
      <c r="E151" s="48"/>
      <c r="F151" s="48"/>
      <c r="G151" s="48"/>
      <c r="H151" s="48" t="s">
        <v>765</v>
      </c>
      <c r="I151" s="49" t="n">
        <f aca="false">SUMPRODUCT(E152:E158,I152:I158)</f>
        <v>92163.576</v>
      </c>
      <c r="J151" s="49" t="n">
        <f aca="false">SUM(J152:J158)</f>
        <v>74131.9963636364</v>
      </c>
      <c r="K151" s="48"/>
      <c r="L151" s="48"/>
      <c r="M151" s="48"/>
    </row>
    <row r="152" customFormat="false" ht="64.9" hidden="false" customHeight="false" outlineLevel="1" collapsed="false">
      <c r="A152" s="27"/>
      <c r="B152" s="27" t="s">
        <v>934</v>
      </c>
      <c r="C152" s="7" t="s">
        <v>935</v>
      </c>
      <c r="D152" s="27" t="s">
        <v>853</v>
      </c>
      <c r="E152" s="50" t="n">
        <v>20870</v>
      </c>
      <c r="F152" s="54" t="n">
        <v>20488.2</v>
      </c>
      <c r="G152" s="27" t="s">
        <v>865</v>
      </c>
      <c r="H152" s="50" t="n">
        <f aca="false">F152/IF(Varsayimlar!$B$21=1,1.43,1)</f>
        <v>14327.4125874126</v>
      </c>
      <c r="I152" s="51" t="n">
        <v>2.73</v>
      </c>
      <c r="J152" s="28" t="n">
        <f aca="false">H152*I152</f>
        <v>39113.8363636364</v>
      </c>
      <c r="K152" s="52" t="s">
        <v>548</v>
      </c>
      <c r="L152" s="7" t="s">
        <v>936</v>
      </c>
      <c r="M152" s="7" t="s">
        <v>937</v>
      </c>
    </row>
    <row r="153" customFormat="false" ht="26.85" hidden="false" customHeight="false" outlineLevel="1" collapsed="false">
      <c r="A153" s="27"/>
      <c r="B153" s="27" t="s">
        <v>934</v>
      </c>
      <c r="C153" s="7" t="s">
        <v>938</v>
      </c>
      <c r="D153" s="27" t="s">
        <v>727</v>
      </c>
      <c r="E153" s="50" t="n">
        <v>297</v>
      </c>
      <c r="F153" s="50" t="n">
        <v>297</v>
      </c>
      <c r="G153" s="27" t="s">
        <v>767</v>
      </c>
      <c r="H153" s="50" t="n">
        <f aca="false">F153</f>
        <v>297</v>
      </c>
      <c r="I153" s="51" t="n">
        <v>35</v>
      </c>
      <c r="J153" s="28" t="n">
        <f aca="false">H153*I153</f>
        <v>10395</v>
      </c>
      <c r="K153" s="53" t="s">
        <v>551</v>
      </c>
      <c r="L153" s="7" t="s">
        <v>939</v>
      </c>
      <c r="M153" s="7" t="s">
        <v>940</v>
      </c>
    </row>
    <row r="154" customFormat="false" ht="77.6" hidden="false" customHeight="false" outlineLevel="1" collapsed="false">
      <c r="A154" s="27"/>
      <c r="B154" s="27" t="s">
        <v>934</v>
      </c>
      <c r="C154" s="7" t="s">
        <v>941</v>
      </c>
      <c r="D154" s="27" t="s">
        <v>853</v>
      </c>
      <c r="E154" s="50" t="n">
        <v>752.4</v>
      </c>
      <c r="F154" s="50" t="n">
        <v>752.4</v>
      </c>
      <c r="G154" s="27" t="s">
        <v>889</v>
      </c>
      <c r="H154" s="50" t="n">
        <f aca="false">F154/IF(Varsayimlar!$B$21=1,1.1,1)</f>
        <v>684</v>
      </c>
      <c r="I154" s="51" t="n">
        <v>2.49</v>
      </c>
      <c r="J154" s="28" t="n">
        <f aca="false">H154*I154</f>
        <v>1703.16</v>
      </c>
      <c r="K154" s="52" t="s">
        <v>548</v>
      </c>
      <c r="L154" s="7" t="s">
        <v>854</v>
      </c>
      <c r="M154" s="7" t="s">
        <v>942</v>
      </c>
    </row>
    <row r="155" customFormat="false" ht="26.85" hidden="false" customHeight="false" outlineLevel="1" collapsed="false">
      <c r="A155" s="27"/>
      <c r="B155" s="27" t="s">
        <v>934</v>
      </c>
      <c r="C155" s="7" t="s">
        <v>943</v>
      </c>
      <c r="D155" s="27" t="s">
        <v>727</v>
      </c>
      <c r="E155" s="50" t="n">
        <v>80</v>
      </c>
      <c r="F155" s="50" t="n">
        <v>80</v>
      </c>
      <c r="G155" s="27" t="s">
        <v>767</v>
      </c>
      <c r="H155" s="50" t="n">
        <f aca="false">F155</f>
        <v>80</v>
      </c>
      <c r="I155" s="51" t="n">
        <v>40</v>
      </c>
      <c r="J155" s="28" t="n">
        <f aca="false">H155*I155</f>
        <v>3200</v>
      </c>
      <c r="K155" s="53" t="s">
        <v>551</v>
      </c>
      <c r="L155" s="7" t="s">
        <v>860</v>
      </c>
      <c r="M155" s="7" t="s">
        <v>944</v>
      </c>
    </row>
    <row r="156" customFormat="false" ht="15" hidden="false" customHeight="false" outlineLevel="1" collapsed="false">
      <c r="A156" s="27"/>
      <c r="B156" s="27" t="s">
        <v>934</v>
      </c>
      <c r="C156" s="7" t="s">
        <v>945</v>
      </c>
      <c r="D156" s="27" t="s">
        <v>727</v>
      </c>
      <c r="E156" s="50" t="n">
        <v>380</v>
      </c>
      <c r="F156" s="50" t="n">
        <v>380</v>
      </c>
      <c r="G156" s="27" t="s">
        <v>767</v>
      </c>
      <c r="H156" s="50" t="n">
        <f aca="false">F156</f>
        <v>380</v>
      </c>
      <c r="I156" s="51" t="n">
        <v>18</v>
      </c>
      <c r="J156" s="28" t="n">
        <f aca="false">H156*I156</f>
        <v>6840</v>
      </c>
      <c r="K156" s="53" t="s">
        <v>551</v>
      </c>
      <c r="L156" s="7" t="s">
        <v>946</v>
      </c>
      <c r="M156" s="7" t="s">
        <v>947</v>
      </c>
    </row>
    <row r="157" customFormat="false" ht="64.9" hidden="false" customHeight="false" outlineLevel="1" collapsed="false">
      <c r="A157" s="27"/>
      <c r="B157" s="27" t="s">
        <v>934</v>
      </c>
      <c r="C157" s="7" t="s">
        <v>948</v>
      </c>
      <c r="D157" s="27" t="s">
        <v>727</v>
      </c>
      <c r="E157" s="50" t="n">
        <v>76</v>
      </c>
      <c r="F157" s="50" t="n">
        <v>76</v>
      </c>
      <c r="G157" s="27" t="s">
        <v>767</v>
      </c>
      <c r="H157" s="50" t="n">
        <f aca="false">F157</f>
        <v>76</v>
      </c>
      <c r="I157" s="51" t="n">
        <v>130</v>
      </c>
      <c r="J157" s="28" t="n">
        <f aca="false">H157*I157</f>
        <v>9880</v>
      </c>
      <c r="K157" s="52" t="s">
        <v>548</v>
      </c>
      <c r="L157" s="7" t="s">
        <v>949</v>
      </c>
      <c r="M157" s="7" t="s">
        <v>950</v>
      </c>
    </row>
    <row r="158" customFormat="false" ht="15" hidden="false" customHeight="false" outlineLevel="1" collapsed="false">
      <c r="A158" s="27"/>
      <c r="B158" s="27" t="s">
        <v>934</v>
      </c>
      <c r="C158" s="7" t="s">
        <v>951</v>
      </c>
      <c r="D158" s="27" t="s">
        <v>732</v>
      </c>
      <c r="E158" s="50" t="n">
        <v>1</v>
      </c>
      <c r="F158" s="50" t="n">
        <v>1</v>
      </c>
      <c r="G158" s="27" t="s">
        <v>767</v>
      </c>
      <c r="H158" s="50" t="n">
        <f aca="false">F158</f>
        <v>1</v>
      </c>
      <c r="I158" s="51" t="n">
        <v>3000</v>
      </c>
      <c r="J158" s="28" t="n">
        <f aca="false">H158*I158</f>
        <v>3000</v>
      </c>
      <c r="K158" s="53" t="s">
        <v>551</v>
      </c>
      <c r="L158" s="7" t="s">
        <v>875</v>
      </c>
      <c r="M158" s="7" t="s">
        <v>952</v>
      </c>
    </row>
    <row r="159" customFormat="false" ht="15" hidden="false" customHeight="false" outlineLevel="0" collapsed="false">
      <c r="A159" s="48" t="s">
        <v>156</v>
      </c>
      <c r="B159" s="48" t="s">
        <v>953</v>
      </c>
      <c r="C159" s="48" t="s">
        <v>157</v>
      </c>
      <c r="D159" s="48"/>
      <c r="E159" s="48"/>
      <c r="F159" s="48"/>
      <c r="G159" s="48"/>
      <c r="H159" s="48" t="s">
        <v>765</v>
      </c>
      <c r="I159" s="49" t="n">
        <f aca="false">SUMPRODUCT(E160:E168,I160:I168)</f>
        <v>9636.8</v>
      </c>
      <c r="J159" s="49" t="n">
        <f aca="false">SUM(J160:J168)</f>
        <v>7888.17120979021</v>
      </c>
      <c r="K159" s="48"/>
      <c r="L159" s="48"/>
      <c r="M159" s="48"/>
    </row>
    <row r="160" customFormat="false" ht="64.9" hidden="false" customHeight="false" outlineLevel="1" collapsed="false">
      <c r="A160" s="27"/>
      <c r="B160" s="27" t="s">
        <v>953</v>
      </c>
      <c r="C160" s="7" t="s">
        <v>954</v>
      </c>
      <c r="D160" s="27" t="s">
        <v>853</v>
      </c>
      <c r="E160" s="50" t="n">
        <v>275</v>
      </c>
      <c r="F160" s="50" t="n">
        <v>275</v>
      </c>
      <c r="G160" s="27" t="s">
        <v>767</v>
      </c>
      <c r="H160" s="50" t="n">
        <f aca="false">F160</f>
        <v>275</v>
      </c>
      <c r="I160" s="51" t="n">
        <v>3.95</v>
      </c>
      <c r="J160" s="28" t="n">
        <f aca="false">H160*I160</f>
        <v>1086.25</v>
      </c>
      <c r="K160" s="52" t="s">
        <v>548</v>
      </c>
      <c r="L160" s="7" t="s">
        <v>955</v>
      </c>
      <c r="M160" s="7" t="s">
        <v>956</v>
      </c>
    </row>
    <row r="161" customFormat="false" ht="102.95" hidden="false" customHeight="false" outlineLevel="1" collapsed="false">
      <c r="A161" s="27"/>
      <c r="B161" s="27" t="s">
        <v>953</v>
      </c>
      <c r="C161" s="7" t="s">
        <v>957</v>
      </c>
      <c r="D161" s="27" t="s">
        <v>853</v>
      </c>
      <c r="E161" s="50" t="n">
        <v>55</v>
      </c>
      <c r="F161" s="50" t="n">
        <v>55</v>
      </c>
      <c r="G161" s="27" t="s">
        <v>889</v>
      </c>
      <c r="H161" s="50" t="n">
        <f aca="false">F161/IF(Varsayimlar!$B$21=1,1.1,1)</f>
        <v>50</v>
      </c>
      <c r="I161" s="51" t="n">
        <v>2.21</v>
      </c>
      <c r="J161" s="28" t="n">
        <f aca="false">H161*I161</f>
        <v>110.5</v>
      </c>
      <c r="K161" s="52" t="s">
        <v>548</v>
      </c>
      <c r="L161" s="7" t="s">
        <v>958</v>
      </c>
      <c r="M161" s="7" t="s">
        <v>959</v>
      </c>
    </row>
    <row r="162" customFormat="false" ht="141" hidden="false" customHeight="false" outlineLevel="1" collapsed="false">
      <c r="A162" s="27"/>
      <c r="B162" s="27" t="s">
        <v>953</v>
      </c>
      <c r="C162" s="7" t="s">
        <v>960</v>
      </c>
      <c r="D162" s="27" t="s">
        <v>853</v>
      </c>
      <c r="E162" s="50" t="n">
        <v>11</v>
      </c>
      <c r="F162" s="50" t="n">
        <v>11</v>
      </c>
      <c r="G162" s="27" t="s">
        <v>767</v>
      </c>
      <c r="H162" s="50" t="n">
        <f aca="false">F162</f>
        <v>11</v>
      </c>
      <c r="I162" s="51" t="n">
        <v>1.83</v>
      </c>
      <c r="J162" s="28" t="n">
        <f aca="false">H162*I162</f>
        <v>20.13</v>
      </c>
      <c r="K162" s="52" t="s">
        <v>548</v>
      </c>
      <c r="L162" s="7" t="s">
        <v>961</v>
      </c>
      <c r="M162" s="7" t="s">
        <v>962</v>
      </c>
    </row>
    <row r="163" customFormat="false" ht="141" hidden="false" customHeight="false" outlineLevel="1" collapsed="false">
      <c r="A163" s="27"/>
      <c r="B163" s="27" t="s">
        <v>953</v>
      </c>
      <c r="C163" s="7" t="s">
        <v>963</v>
      </c>
      <c r="D163" s="27" t="s">
        <v>853</v>
      </c>
      <c r="E163" s="50" t="n">
        <v>814</v>
      </c>
      <c r="F163" s="54" t="n">
        <v>759.7</v>
      </c>
      <c r="G163" s="27" t="s">
        <v>767</v>
      </c>
      <c r="H163" s="50" t="n">
        <f aca="false">F163</f>
        <v>759.7</v>
      </c>
      <c r="I163" s="51" t="n">
        <v>1.83</v>
      </c>
      <c r="J163" s="28" t="n">
        <f aca="false">H163*I163</f>
        <v>1390.251</v>
      </c>
      <c r="K163" s="52" t="s">
        <v>548</v>
      </c>
      <c r="L163" s="7" t="s">
        <v>961</v>
      </c>
      <c r="M163" s="7" t="s">
        <v>964</v>
      </c>
    </row>
    <row r="164" customFormat="false" ht="39.55" hidden="false" customHeight="false" outlineLevel="1" collapsed="false">
      <c r="A164" s="27"/>
      <c r="B164" s="27" t="s">
        <v>953</v>
      </c>
      <c r="C164" s="7" t="s">
        <v>965</v>
      </c>
      <c r="D164" s="27" t="s">
        <v>853</v>
      </c>
      <c r="E164" s="50" t="n">
        <v>648</v>
      </c>
      <c r="F164" s="50" t="n">
        <v>648</v>
      </c>
      <c r="G164" s="27" t="s">
        <v>865</v>
      </c>
      <c r="H164" s="50" t="n">
        <f aca="false">F164/IF(Varsayimlar!$B$21=1,1.43,1)</f>
        <v>453.146853146853</v>
      </c>
      <c r="I164" s="51" t="n">
        <v>4.5</v>
      </c>
      <c r="J164" s="28" t="n">
        <f aca="false">H164*I164</f>
        <v>2039.16083916084</v>
      </c>
      <c r="K164" s="53" t="s">
        <v>551</v>
      </c>
      <c r="L164" s="7" t="s">
        <v>966</v>
      </c>
      <c r="M164" s="7" t="s">
        <v>967</v>
      </c>
    </row>
    <row r="165" customFormat="false" ht="77.6" hidden="false" customHeight="false" outlineLevel="1" collapsed="false">
      <c r="A165" s="27"/>
      <c r="B165" s="27" t="s">
        <v>953</v>
      </c>
      <c r="C165" s="7" t="s">
        <v>968</v>
      </c>
      <c r="D165" s="27" t="s">
        <v>853</v>
      </c>
      <c r="E165" s="50" t="n">
        <v>43</v>
      </c>
      <c r="F165" s="50" t="n">
        <v>43</v>
      </c>
      <c r="G165" s="27" t="s">
        <v>767</v>
      </c>
      <c r="H165" s="50" t="n">
        <f aca="false">F165</f>
        <v>43</v>
      </c>
      <c r="I165" s="51" t="n">
        <v>13.75</v>
      </c>
      <c r="J165" s="28" t="n">
        <f aca="false">H165*I165</f>
        <v>591.25</v>
      </c>
      <c r="K165" s="52" t="s">
        <v>548</v>
      </c>
      <c r="L165" s="7" t="s">
        <v>969</v>
      </c>
      <c r="M165" s="7" t="s">
        <v>970</v>
      </c>
    </row>
    <row r="166" customFormat="false" ht="26.85" hidden="false" customHeight="false" outlineLevel="1" collapsed="false">
      <c r="A166" s="27"/>
      <c r="B166" s="27" t="s">
        <v>953</v>
      </c>
      <c r="C166" s="7" t="s">
        <v>971</v>
      </c>
      <c r="D166" s="27" t="s">
        <v>727</v>
      </c>
      <c r="E166" s="50" t="n">
        <v>8</v>
      </c>
      <c r="F166" s="50" t="n">
        <v>8</v>
      </c>
      <c r="G166" s="27" t="s">
        <v>767</v>
      </c>
      <c r="H166" s="50" t="n">
        <f aca="false">F166</f>
        <v>8</v>
      </c>
      <c r="I166" s="51" t="n">
        <v>60</v>
      </c>
      <c r="J166" s="28" t="n">
        <f aca="false">H166*I166</f>
        <v>480</v>
      </c>
      <c r="K166" s="53" t="s">
        <v>551</v>
      </c>
      <c r="L166" s="7" t="s">
        <v>972</v>
      </c>
      <c r="M166" s="7" t="s">
        <v>971</v>
      </c>
    </row>
    <row r="167" customFormat="false" ht="26.85" hidden="false" customHeight="false" outlineLevel="1" collapsed="false">
      <c r="A167" s="27"/>
      <c r="B167" s="27" t="s">
        <v>953</v>
      </c>
      <c r="C167" s="7" t="s">
        <v>973</v>
      </c>
      <c r="D167" s="27" t="s">
        <v>732</v>
      </c>
      <c r="E167" s="50" t="n">
        <v>1</v>
      </c>
      <c r="F167" s="50" t="n">
        <v>1</v>
      </c>
      <c r="G167" s="27" t="s">
        <v>767</v>
      </c>
      <c r="H167" s="50" t="n">
        <f aca="false">F167</f>
        <v>1</v>
      </c>
      <c r="I167" s="51" t="n">
        <v>400</v>
      </c>
      <c r="J167" s="28" t="n">
        <f aca="false">H167*I167</f>
        <v>400</v>
      </c>
      <c r="K167" s="53" t="s">
        <v>551</v>
      </c>
      <c r="L167" s="7" t="s">
        <v>972</v>
      </c>
      <c r="M167" s="7" t="s">
        <v>974</v>
      </c>
    </row>
    <row r="168" customFormat="false" ht="39.55" hidden="false" customHeight="false" outlineLevel="1" collapsed="false">
      <c r="A168" s="27"/>
      <c r="B168" s="27" t="s">
        <v>953</v>
      </c>
      <c r="C168" s="7" t="s">
        <v>975</v>
      </c>
      <c r="D168" s="27" t="s">
        <v>853</v>
      </c>
      <c r="E168" s="50" t="n">
        <v>844</v>
      </c>
      <c r="F168" s="50" t="n">
        <v>844</v>
      </c>
      <c r="G168" s="27" t="s">
        <v>865</v>
      </c>
      <c r="H168" s="50" t="n">
        <f aca="false">F168/IF(Varsayimlar!$B$21=1,1.43,1)</f>
        <v>590.20979020979</v>
      </c>
      <c r="I168" s="51" t="n">
        <v>3</v>
      </c>
      <c r="J168" s="28" t="n">
        <f aca="false">H168*I168</f>
        <v>1770.62937062937</v>
      </c>
      <c r="K168" s="53" t="s">
        <v>551</v>
      </c>
      <c r="L168" s="7" t="s">
        <v>966</v>
      </c>
      <c r="M168" s="7" t="s">
        <v>976</v>
      </c>
    </row>
    <row r="169" customFormat="false" ht="15" hidden="false" customHeight="false" outlineLevel="0" collapsed="false">
      <c r="A169" s="48" t="s">
        <v>158</v>
      </c>
      <c r="B169" s="48" t="s">
        <v>977</v>
      </c>
      <c r="C169" s="48" t="s">
        <v>159</v>
      </c>
      <c r="D169" s="48"/>
      <c r="E169" s="48"/>
      <c r="F169" s="48"/>
      <c r="G169" s="48"/>
      <c r="H169" s="48" t="s">
        <v>765</v>
      </c>
      <c r="I169" s="49" t="n">
        <f aca="false">SUMPRODUCT(E170:E181,I170:I181)</f>
        <v>8873.865</v>
      </c>
      <c r="J169" s="49" t="n">
        <f aca="false">SUM(J170:J181)</f>
        <v>6996.69330769231</v>
      </c>
      <c r="K169" s="48"/>
      <c r="L169" s="48"/>
      <c r="M169" s="48"/>
    </row>
    <row r="170" customFormat="false" ht="64.9" hidden="false" customHeight="false" outlineLevel="1" collapsed="false">
      <c r="A170" s="27"/>
      <c r="B170" s="27" t="s">
        <v>977</v>
      </c>
      <c r="C170" s="7" t="s">
        <v>978</v>
      </c>
      <c r="D170" s="27" t="s">
        <v>853</v>
      </c>
      <c r="E170" s="50" t="n">
        <v>275</v>
      </c>
      <c r="F170" s="50" t="n">
        <v>275</v>
      </c>
      <c r="G170" s="27" t="s">
        <v>767</v>
      </c>
      <c r="H170" s="50" t="n">
        <f aca="false">F170</f>
        <v>275</v>
      </c>
      <c r="I170" s="51" t="n">
        <v>3.95</v>
      </c>
      <c r="J170" s="28" t="n">
        <f aca="false">H170*I170</f>
        <v>1086.25</v>
      </c>
      <c r="K170" s="52" t="s">
        <v>548</v>
      </c>
      <c r="L170" s="7" t="s">
        <v>955</v>
      </c>
      <c r="M170" s="7" t="s">
        <v>956</v>
      </c>
    </row>
    <row r="171" customFormat="false" ht="102.95" hidden="false" customHeight="false" outlineLevel="1" collapsed="false">
      <c r="A171" s="27"/>
      <c r="B171" s="27" t="s">
        <v>977</v>
      </c>
      <c r="C171" s="7" t="s">
        <v>979</v>
      </c>
      <c r="D171" s="27" t="s">
        <v>853</v>
      </c>
      <c r="E171" s="50" t="n">
        <v>27.5</v>
      </c>
      <c r="F171" s="50" t="n">
        <v>27.5</v>
      </c>
      <c r="G171" s="27" t="s">
        <v>889</v>
      </c>
      <c r="H171" s="50" t="n">
        <f aca="false">F171/IF(Varsayimlar!$B$21=1,1.1,1)</f>
        <v>25</v>
      </c>
      <c r="I171" s="51" t="n">
        <v>2.21</v>
      </c>
      <c r="J171" s="28" t="n">
        <f aca="false">H171*I171</f>
        <v>55.25</v>
      </c>
      <c r="K171" s="52" t="s">
        <v>548</v>
      </c>
      <c r="L171" s="7" t="s">
        <v>958</v>
      </c>
      <c r="M171" s="7" t="s">
        <v>959</v>
      </c>
    </row>
    <row r="172" customFormat="false" ht="77.6" hidden="false" customHeight="false" outlineLevel="1" collapsed="false">
      <c r="A172" s="27"/>
      <c r="B172" s="27" t="s">
        <v>977</v>
      </c>
      <c r="C172" s="7" t="s">
        <v>980</v>
      </c>
      <c r="D172" s="27" t="s">
        <v>853</v>
      </c>
      <c r="E172" s="50" t="n">
        <v>22</v>
      </c>
      <c r="F172" s="50" t="n">
        <v>22</v>
      </c>
      <c r="G172" s="27" t="s">
        <v>767</v>
      </c>
      <c r="H172" s="50" t="n">
        <f aca="false">F172</f>
        <v>22</v>
      </c>
      <c r="I172" s="51" t="n">
        <v>4.94</v>
      </c>
      <c r="J172" s="28" t="n">
        <f aca="false">H172*I172</f>
        <v>108.68</v>
      </c>
      <c r="K172" s="52" t="s">
        <v>548</v>
      </c>
      <c r="L172" s="7" t="s">
        <v>981</v>
      </c>
      <c r="M172" s="7" t="s">
        <v>982</v>
      </c>
    </row>
    <row r="173" customFormat="false" ht="141" hidden="false" customHeight="false" outlineLevel="1" collapsed="false">
      <c r="A173" s="27"/>
      <c r="B173" s="27" t="s">
        <v>977</v>
      </c>
      <c r="C173" s="7" t="s">
        <v>983</v>
      </c>
      <c r="D173" s="27" t="s">
        <v>853</v>
      </c>
      <c r="E173" s="50" t="n">
        <v>319</v>
      </c>
      <c r="F173" s="54" t="n">
        <v>297.7</v>
      </c>
      <c r="G173" s="27" t="s">
        <v>767</v>
      </c>
      <c r="H173" s="50" t="n">
        <f aca="false">F173</f>
        <v>297.7</v>
      </c>
      <c r="I173" s="51" t="n">
        <v>1.83</v>
      </c>
      <c r="J173" s="28" t="n">
        <f aca="false">H173*I173</f>
        <v>544.791</v>
      </c>
      <c r="K173" s="52" t="s">
        <v>548</v>
      </c>
      <c r="L173" s="7" t="s">
        <v>961</v>
      </c>
      <c r="M173" s="7" t="s">
        <v>964</v>
      </c>
    </row>
    <row r="174" customFormat="false" ht="77.6" hidden="false" customHeight="false" outlineLevel="1" collapsed="false">
      <c r="A174" s="27"/>
      <c r="B174" s="27" t="s">
        <v>977</v>
      </c>
      <c r="C174" s="7" t="s">
        <v>984</v>
      </c>
      <c r="D174" s="27" t="s">
        <v>853</v>
      </c>
      <c r="E174" s="50" t="n">
        <v>66</v>
      </c>
      <c r="F174" s="54" t="n">
        <v>0</v>
      </c>
      <c r="G174" s="27" t="s">
        <v>767</v>
      </c>
      <c r="H174" s="50" t="n">
        <f aca="false">F174</f>
        <v>0</v>
      </c>
      <c r="I174" s="51" t="n">
        <v>2.96</v>
      </c>
      <c r="J174" s="28" t="n">
        <f aca="false">H174*I174</f>
        <v>0</v>
      </c>
      <c r="K174" s="55" t="s">
        <v>555</v>
      </c>
      <c r="L174" s="7" t="s">
        <v>985</v>
      </c>
      <c r="M174" s="7" t="s">
        <v>986</v>
      </c>
    </row>
    <row r="175" customFormat="false" ht="39.55" hidden="false" customHeight="false" outlineLevel="1" collapsed="false">
      <c r="A175" s="27"/>
      <c r="B175" s="27" t="s">
        <v>977</v>
      </c>
      <c r="C175" s="7" t="s">
        <v>987</v>
      </c>
      <c r="D175" s="27" t="s">
        <v>853</v>
      </c>
      <c r="E175" s="50" t="n">
        <v>572</v>
      </c>
      <c r="F175" s="50" t="n">
        <v>572</v>
      </c>
      <c r="G175" s="27" t="s">
        <v>865</v>
      </c>
      <c r="H175" s="50" t="n">
        <f aca="false">F175/IF(Varsayimlar!$B$21=1,1.43,1)</f>
        <v>400</v>
      </c>
      <c r="I175" s="51" t="n">
        <v>4.5</v>
      </c>
      <c r="J175" s="28" t="n">
        <f aca="false">H175*I175</f>
        <v>1800</v>
      </c>
      <c r="K175" s="53" t="s">
        <v>551</v>
      </c>
      <c r="L175" s="7" t="s">
        <v>966</v>
      </c>
      <c r="M175" s="7" t="s">
        <v>967</v>
      </c>
    </row>
    <row r="176" customFormat="false" ht="39.55" hidden="false" customHeight="false" outlineLevel="1" collapsed="false">
      <c r="A176" s="27"/>
      <c r="B176" s="27" t="s">
        <v>977</v>
      </c>
      <c r="C176" s="7" t="s">
        <v>988</v>
      </c>
      <c r="D176" s="27" t="s">
        <v>853</v>
      </c>
      <c r="E176" s="50" t="n">
        <v>58</v>
      </c>
      <c r="F176" s="50" t="n">
        <v>58</v>
      </c>
      <c r="G176" s="27" t="s">
        <v>865</v>
      </c>
      <c r="H176" s="50" t="n">
        <f aca="false">F176/IF(Varsayimlar!$B$21=1,1.43,1)</f>
        <v>40.5594405594406</v>
      </c>
      <c r="I176" s="51" t="n">
        <v>9</v>
      </c>
      <c r="J176" s="28" t="n">
        <f aca="false">H176*I176</f>
        <v>365.034965034965</v>
      </c>
      <c r="K176" s="53" t="s">
        <v>551</v>
      </c>
      <c r="L176" s="7" t="s">
        <v>966</v>
      </c>
      <c r="M176" s="7" t="s">
        <v>989</v>
      </c>
    </row>
    <row r="177" customFormat="false" ht="102.95" hidden="false" customHeight="false" outlineLevel="1" collapsed="false">
      <c r="A177" s="27"/>
      <c r="B177" s="27" t="s">
        <v>977</v>
      </c>
      <c r="C177" s="7" t="s">
        <v>990</v>
      </c>
      <c r="D177" s="27" t="s">
        <v>853</v>
      </c>
      <c r="E177" s="50" t="n">
        <v>22</v>
      </c>
      <c r="F177" s="50" t="n">
        <v>22</v>
      </c>
      <c r="G177" s="27" t="s">
        <v>767</v>
      </c>
      <c r="H177" s="50" t="n">
        <f aca="false">F177</f>
        <v>22</v>
      </c>
      <c r="I177" s="51" t="n">
        <v>16.21</v>
      </c>
      <c r="J177" s="28" t="n">
        <f aca="false">H177*I177</f>
        <v>356.62</v>
      </c>
      <c r="K177" s="52" t="s">
        <v>548</v>
      </c>
      <c r="L177" s="7" t="s">
        <v>991</v>
      </c>
      <c r="M177" s="7" t="s">
        <v>992</v>
      </c>
    </row>
    <row r="178" customFormat="false" ht="90.25" hidden="false" customHeight="false" outlineLevel="1" collapsed="false">
      <c r="A178" s="27"/>
      <c r="B178" s="27" t="s">
        <v>977</v>
      </c>
      <c r="C178" s="7" t="s">
        <v>993</v>
      </c>
      <c r="D178" s="27" t="s">
        <v>853</v>
      </c>
      <c r="E178" s="50" t="n">
        <v>29</v>
      </c>
      <c r="F178" s="50" t="n">
        <v>29</v>
      </c>
      <c r="G178" s="27" t="s">
        <v>767</v>
      </c>
      <c r="H178" s="50" t="n">
        <f aca="false">F178</f>
        <v>29</v>
      </c>
      <c r="I178" s="51" t="n">
        <v>11.29</v>
      </c>
      <c r="J178" s="28" t="n">
        <f aca="false">H178*I178</f>
        <v>327.41</v>
      </c>
      <c r="K178" s="52" t="s">
        <v>548</v>
      </c>
      <c r="L178" s="7" t="s">
        <v>994</v>
      </c>
      <c r="M178" s="7" t="s">
        <v>995</v>
      </c>
    </row>
    <row r="179" customFormat="false" ht="26.85" hidden="false" customHeight="false" outlineLevel="1" collapsed="false">
      <c r="A179" s="27"/>
      <c r="B179" s="27" t="s">
        <v>977</v>
      </c>
      <c r="C179" s="7" t="s">
        <v>996</v>
      </c>
      <c r="D179" s="27" t="s">
        <v>727</v>
      </c>
      <c r="E179" s="50" t="n">
        <v>6</v>
      </c>
      <c r="F179" s="50" t="n">
        <v>6</v>
      </c>
      <c r="G179" s="27" t="s">
        <v>767</v>
      </c>
      <c r="H179" s="50" t="n">
        <f aca="false">F179</f>
        <v>6</v>
      </c>
      <c r="I179" s="51" t="n">
        <v>60</v>
      </c>
      <c r="J179" s="28" t="n">
        <f aca="false">H179*I179</f>
        <v>360</v>
      </c>
      <c r="K179" s="53" t="s">
        <v>551</v>
      </c>
      <c r="L179" s="7" t="s">
        <v>972</v>
      </c>
      <c r="M179" s="7" t="s">
        <v>971</v>
      </c>
    </row>
    <row r="180" customFormat="false" ht="15" hidden="false" customHeight="false" outlineLevel="1" collapsed="false">
      <c r="A180" s="27"/>
      <c r="B180" s="27" t="s">
        <v>977</v>
      </c>
      <c r="C180" s="7" t="s">
        <v>997</v>
      </c>
      <c r="D180" s="27" t="s">
        <v>732</v>
      </c>
      <c r="E180" s="50" t="n">
        <v>1</v>
      </c>
      <c r="F180" s="50" t="n">
        <v>1</v>
      </c>
      <c r="G180" s="27" t="s">
        <v>767</v>
      </c>
      <c r="H180" s="50" t="n">
        <f aca="false">F180</f>
        <v>1</v>
      </c>
      <c r="I180" s="51" t="n">
        <v>350</v>
      </c>
      <c r="J180" s="28" t="n">
        <f aca="false">H180*I180</f>
        <v>350</v>
      </c>
      <c r="K180" s="53" t="s">
        <v>551</v>
      </c>
      <c r="L180" s="7" t="s">
        <v>875</v>
      </c>
      <c r="M180" s="7" t="s">
        <v>974</v>
      </c>
    </row>
    <row r="181" customFormat="false" ht="39.55" hidden="false" customHeight="false" outlineLevel="1" collapsed="false">
      <c r="A181" s="27"/>
      <c r="B181" s="27" t="s">
        <v>977</v>
      </c>
      <c r="C181" s="7" t="s">
        <v>975</v>
      </c>
      <c r="D181" s="27" t="s">
        <v>853</v>
      </c>
      <c r="E181" s="50" t="n">
        <v>783</v>
      </c>
      <c r="F181" s="50" t="n">
        <v>783</v>
      </c>
      <c r="G181" s="27" t="s">
        <v>865</v>
      </c>
      <c r="H181" s="50" t="n">
        <f aca="false">F181/IF(Varsayimlar!$B$21=1,1.43,1)</f>
        <v>547.552447552448</v>
      </c>
      <c r="I181" s="51" t="n">
        <v>3</v>
      </c>
      <c r="J181" s="28" t="n">
        <f aca="false">H181*I181</f>
        <v>1642.65734265734</v>
      </c>
      <c r="K181" s="53" t="s">
        <v>551</v>
      </c>
      <c r="L181" s="7" t="s">
        <v>966</v>
      </c>
      <c r="M181" s="7" t="s">
        <v>976</v>
      </c>
    </row>
    <row r="182" customFormat="false" ht="15" hidden="false" customHeight="false" outlineLevel="0" collapsed="false">
      <c r="A182" s="48" t="s">
        <v>160</v>
      </c>
      <c r="B182" s="48" t="s">
        <v>998</v>
      </c>
      <c r="C182" s="48" t="s">
        <v>161</v>
      </c>
      <c r="D182" s="48"/>
      <c r="E182" s="48"/>
      <c r="F182" s="48"/>
      <c r="G182" s="48"/>
      <c r="H182" s="48" t="s">
        <v>765</v>
      </c>
      <c r="I182" s="49" t="n">
        <f aca="false">SUMPRODUCT(E183:E194,I183:I194)</f>
        <v>8873.865</v>
      </c>
      <c r="J182" s="49" t="n">
        <f aca="false">SUM(J183:J194)</f>
        <v>6996.69330769231</v>
      </c>
      <c r="K182" s="48"/>
      <c r="L182" s="48"/>
      <c r="M182" s="48"/>
    </row>
    <row r="183" customFormat="false" ht="64.9" hidden="false" customHeight="false" outlineLevel="1" collapsed="false">
      <c r="A183" s="27"/>
      <c r="B183" s="27" t="s">
        <v>998</v>
      </c>
      <c r="C183" s="7" t="s">
        <v>978</v>
      </c>
      <c r="D183" s="27" t="s">
        <v>853</v>
      </c>
      <c r="E183" s="50" t="n">
        <v>275</v>
      </c>
      <c r="F183" s="50" t="n">
        <v>275</v>
      </c>
      <c r="G183" s="27" t="s">
        <v>767</v>
      </c>
      <c r="H183" s="50" t="n">
        <f aca="false">F183</f>
        <v>275</v>
      </c>
      <c r="I183" s="51" t="n">
        <v>3.95</v>
      </c>
      <c r="J183" s="28" t="n">
        <f aca="false">H183*I183</f>
        <v>1086.25</v>
      </c>
      <c r="K183" s="52" t="s">
        <v>548</v>
      </c>
      <c r="L183" s="7" t="s">
        <v>955</v>
      </c>
      <c r="M183" s="7" t="s">
        <v>956</v>
      </c>
    </row>
    <row r="184" customFormat="false" ht="102.95" hidden="false" customHeight="false" outlineLevel="1" collapsed="false">
      <c r="A184" s="27"/>
      <c r="B184" s="27" t="s">
        <v>998</v>
      </c>
      <c r="C184" s="7" t="s">
        <v>979</v>
      </c>
      <c r="D184" s="27" t="s">
        <v>853</v>
      </c>
      <c r="E184" s="50" t="n">
        <v>27.5</v>
      </c>
      <c r="F184" s="50" t="n">
        <v>27.5</v>
      </c>
      <c r="G184" s="27" t="s">
        <v>889</v>
      </c>
      <c r="H184" s="50" t="n">
        <f aca="false">F184/IF(Varsayimlar!$B$21=1,1.1,1)</f>
        <v>25</v>
      </c>
      <c r="I184" s="51" t="n">
        <v>2.21</v>
      </c>
      <c r="J184" s="28" t="n">
        <f aca="false">H184*I184</f>
        <v>55.25</v>
      </c>
      <c r="K184" s="52" t="s">
        <v>548</v>
      </c>
      <c r="L184" s="7" t="s">
        <v>958</v>
      </c>
      <c r="M184" s="7" t="s">
        <v>959</v>
      </c>
    </row>
    <row r="185" customFormat="false" ht="77.6" hidden="false" customHeight="false" outlineLevel="1" collapsed="false">
      <c r="A185" s="27"/>
      <c r="B185" s="27" t="s">
        <v>998</v>
      </c>
      <c r="C185" s="7" t="s">
        <v>980</v>
      </c>
      <c r="D185" s="27" t="s">
        <v>853</v>
      </c>
      <c r="E185" s="50" t="n">
        <v>22</v>
      </c>
      <c r="F185" s="50" t="n">
        <v>22</v>
      </c>
      <c r="G185" s="27" t="s">
        <v>767</v>
      </c>
      <c r="H185" s="50" t="n">
        <f aca="false">F185</f>
        <v>22</v>
      </c>
      <c r="I185" s="51" t="n">
        <v>4.94</v>
      </c>
      <c r="J185" s="28" t="n">
        <f aca="false">H185*I185</f>
        <v>108.68</v>
      </c>
      <c r="K185" s="52" t="s">
        <v>548</v>
      </c>
      <c r="L185" s="7" t="s">
        <v>981</v>
      </c>
      <c r="M185" s="7" t="s">
        <v>982</v>
      </c>
    </row>
    <row r="186" customFormat="false" ht="141" hidden="false" customHeight="false" outlineLevel="1" collapsed="false">
      <c r="A186" s="27"/>
      <c r="B186" s="27" t="s">
        <v>998</v>
      </c>
      <c r="C186" s="7" t="s">
        <v>983</v>
      </c>
      <c r="D186" s="27" t="s">
        <v>853</v>
      </c>
      <c r="E186" s="50" t="n">
        <v>319</v>
      </c>
      <c r="F186" s="54" t="n">
        <v>297.7</v>
      </c>
      <c r="G186" s="27" t="s">
        <v>767</v>
      </c>
      <c r="H186" s="50" t="n">
        <f aca="false">F186</f>
        <v>297.7</v>
      </c>
      <c r="I186" s="51" t="n">
        <v>1.83</v>
      </c>
      <c r="J186" s="28" t="n">
        <f aca="false">H186*I186</f>
        <v>544.791</v>
      </c>
      <c r="K186" s="52" t="s">
        <v>548</v>
      </c>
      <c r="L186" s="7" t="s">
        <v>961</v>
      </c>
      <c r="M186" s="7" t="s">
        <v>964</v>
      </c>
    </row>
    <row r="187" customFormat="false" ht="77.6" hidden="false" customHeight="false" outlineLevel="1" collapsed="false">
      <c r="A187" s="27"/>
      <c r="B187" s="27" t="s">
        <v>998</v>
      </c>
      <c r="C187" s="7" t="s">
        <v>984</v>
      </c>
      <c r="D187" s="27" t="s">
        <v>853</v>
      </c>
      <c r="E187" s="50" t="n">
        <v>66</v>
      </c>
      <c r="F187" s="54" t="n">
        <v>0</v>
      </c>
      <c r="G187" s="27" t="s">
        <v>767</v>
      </c>
      <c r="H187" s="50" t="n">
        <f aca="false">F187</f>
        <v>0</v>
      </c>
      <c r="I187" s="51" t="n">
        <v>2.96</v>
      </c>
      <c r="J187" s="28" t="n">
        <f aca="false">H187*I187</f>
        <v>0</v>
      </c>
      <c r="K187" s="55" t="s">
        <v>555</v>
      </c>
      <c r="L187" s="7" t="s">
        <v>985</v>
      </c>
      <c r="M187" s="7" t="s">
        <v>986</v>
      </c>
    </row>
    <row r="188" customFormat="false" ht="39.55" hidden="false" customHeight="false" outlineLevel="1" collapsed="false">
      <c r="A188" s="27"/>
      <c r="B188" s="27" t="s">
        <v>998</v>
      </c>
      <c r="C188" s="7" t="s">
        <v>987</v>
      </c>
      <c r="D188" s="27" t="s">
        <v>853</v>
      </c>
      <c r="E188" s="50" t="n">
        <v>572</v>
      </c>
      <c r="F188" s="50" t="n">
        <v>572</v>
      </c>
      <c r="G188" s="27" t="s">
        <v>865</v>
      </c>
      <c r="H188" s="50" t="n">
        <f aca="false">F188/IF(Varsayimlar!$B$21=1,1.43,1)</f>
        <v>400</v>
      </c>
      <c r="I188" s="51" t="n">
        <v>4.5</v>
      </c>
      <c r="J188" s="28" t="n">
        <f aca="false">H188*I188</f>
        <v>1800</v>
      </c>
      <c r="K188" s="53" t="s">
        <v>551</v>
      </c>
      <c r="L188" s="7" t="s">
        <v>966</v>
      </c>
      <c r="M188" s="7" t="s">
        <v>967</v>
      </c>
    </row>
    <row r="189" customFormat="false" ht="39.55" hidden="false" customHeight="false" outlineLevel="1" collapsed="false">
      <c r="A189" s="27"/>
      <c r="B189" s="27" t="s">
        <v>998</v>
      </c>
      <c r="C189" s="7" t="s">
        <v>988</v>
      </c>
      <c r="D189" s="27" t="s">
        <v>853</v>
      </c>
      <c r="E189" s="50" t="n">
        <v>58</v>
      </c>
      <c r="F189" s="50" t="n">
        <v>58</v>
      </c>
      <c r="G189" s="27" t="s">
        <v>865</v>
      </c>
      <c r="H189" s="50" t="n">
        <f aca="false">F189/IF(Varsayimlar!$B$21=1,1.43,1)</f>
        <v>40.5594405594406</v>
      </c>
      <c r="I189" s="51" t="n">
        <v>9</v>
      </c>
      <c r="J189" s="28" t="n">
        <f aca="false">H189*I189</f>
        <v>365.034965034965</v>
      </c>
      <c r="K189" s="53" t="s">
        <v>551</v>
      </c>
      <c r="L189" s="7" t="s">
        <v>966</v>
      </c>
      <c r="M189" s="7" t="s">
        <v>989</v>
      </c>
    </row>
    <row r="190" customFormat="false" ht="102.95" hidden="false" customHeight="false" outlineLevel="1" collapsed="false">
      <c r="A190" s="27"/>
      <c r="B190" s="27" t="s">
        <v>998</v>
      </c>
      <c r="C190" s="7" t="s">
        <v>990</v>
      </c>
      <c r="D190" s="27" t="s">
        <v>853</v>
      </c>
      <c r="E190" s="50" t="n">
        <v>22</v>
      </c>
      <c r="F190" s="50" t="n">
        <v>22</v>
      </c>
      <c r="G190" s="27" t="s">
        <v>767</v>
      </c>
      <c r="H190" s="50" t="n">
        <f aca="false">F190</f>
        <v>22</v>
      </c>
      <c r="I190" s="51" t="n">
        <v>16.21</v>
      </c>
      <c r="J190" s="28" t="n">
        <f aca="false">H190*I190</f>
        <v>356.62</v>
      </c>
      <c r="K190" s="52" t="s">
        <v>548</v>
      </c>
      <c r="L190" s="7" t="s">
        <v>991</v>
      </c>
      <c r="M190" s="7" t="s">
        <v>992</v>
      </c>
    </row>
    <row r="191" customFormat="false" ht="90.25" hidden="false" customHeight="false" outlineLevel="1" collapsed="false">
      <c r="A191" s="27"/>
      <c r="B191" s="27" t="s">
        <v>998</v>
      </c>
      <c r="C191" s="7" t="s">
        <v>993</v>
      </c>
      <c r="D191" s="27" t="s">
        <v>853</v>
      </c>
      <c r="E191" s="50" t="n">
        <v>29</v>
      </c>
      <c r="F191" s="50" t="n">
        <v>29</v>
      </c>
      <c r="G191" s="27" t="s">
        <v>767</v>
      </c>
      <c r="H191" s="50" t="n">
        <f aca="false">F191</f>
        <v>29</v>
      </c>
      <c r="I191" s="51" t="n">
        <v>11.29</v>
      </c>
      <c r="J191" s="28" t="n">
        <f aca="false">H191*I191</f>
        <v>327.41</v>
      </c>
      <c r="K191" s="52" t="s">
        <v>548</v>
      </c>
      <c r="L191" s="7" t="s">
        <v>994</v>
      </c>
      <c r="M191" s="7" t="s">
        <v>995</v>
      </c>
    </row>
    <row r="192" customFormat="false" ht="26.85" hidden="false" customHeight="false" outlineLevel="1" collapsed="false">
      <c r="A192" s="27"/>
      <c r="B192" s="27" t="s">
        <v>998</v>
      </c>
      <c r="C192" s="7" t="s">
        <v>996</v>
      </c>
      <c r="D192" s="27" t="s">
        <v>727</v>
      </c>
      <c r="E192" s="50" t="n">
        <v>6</v>
      </c>
      <c r="F192" s="50" t="n">
        <v>6</v>
      </c>
      <c r="G192" s="27" t="s">
        <v>767</v>
      </c>
      <c r="H192" s="50" t="n">
        <f aca="false">F192</f>
        <v>6</v>
      </c>
      <c r="I192" s="51" t="n">
        <v>60</v>
      </c>
      <c r="J192" s="28" t="n">
        <f aca="false">H192*I192</f>
        <v>360</v>
      </c>
      <c r="K192" s="53" t="s">
        <v>551</v>
      </c>
      <c r="L192" s="7" t="s">
        <v>972</v>
      </c>
      <c r="M192" s="7" t="s">
        <v>971</v>
      </c>
    </row>
    <row r="193" customFormat="false" ht="15" hidden="false" customHeight="false" outlineLevel="1" collapsed="false">
      <c r="A193" s="27"/>
      <c r="B193" s="27" t="s">
        <v>998</v>
      </c>
      <c r="C193" s="7" t="s">
        <v>997</v>
      </c>
      <c r="D193" s="27" t="s">
        <v>732</v>
      </c>
      <c r="E193" s="50" t="n">
        <v>1</v>
      </c>
      <c r="F193" s="50" t="n">
        <v>1</v>
      </c>
      <c r="G193" s="27" t="s">
        <v>767</v>
      </c>
      <c r="H193" s="50" t="n">
        <f aca="false">F193</f>
        <v>1</v>
      </c>
      <c r="I193" s="51" t="n">
        <v>350</v>
      </c>
      <c r="J193" s="28" t="n">
        <f aca="false">H193*I193</f>
        <v>350</v>
      </c>
      <c r="K193" s="53" t="s">
        <v>551</v>
      </c>
      <c r="L193" s="7" t="s">
        <v>875</v>
      </c>
      <c r="M193" s="7" t="s">
        <v>974</v>
      </c>
    </row>
    <row r="194" customFormat="false" ht="39.55" hidden="false" customHeight="false" outlineLevel="1" collapsed="false">
      <c r="A194" s="27"/>
      <c r="B194" s="27" t="s">
        <v>998</v>
      </c>
      <c r="C194" s="7" t="s">
        <v>975</v>
      </c>
      <c r="D194" s="27" t="s">
        <v>853</v>
      </c>
      <c r="E194" s="50" t="n">
        <v>783</v>
      </c>
      <c r="F194" s="50" t="n">
        <v>783</v>
      </c>
      <c r="G194" s="27" t="s">
        <v>865</v>
      </c>
      <c r="H194" s="50" t="n">
        <f aca="false">F194/IF(Varsayimlar!$B$21=1,1.43,1)</f>
        <v>547.552447552448</v>
      </c>
      <c r="I194" s="51" t="n">
        <v>3</v>
      </c>
      <c r="J194" s="28" t="n">
        <f aca="false">H194*I194</f>
        <v>1642.65734265734</v>
      </c>
      <c r="K194" s="53" t="s">
        <v>551</v>
      </c>
      <c r="L194" s="7" t="s">
        <v>966</v>
      </c>
      <c r="M194" s="7" t="s">
        <v>976</v>
      </c>
    </row>
    <row r="195" customFormat="false" ht="15" hidden="false" customHeight="false" outlineLevel="0" collapsed="false">
      <c r="A195" s="48" t="s">
        <v>162</v>
      </c>
      <c r="B195" s="48" t="s">
        <v>999</v>
      </c>
      <c r="C195" s="48" t="s">
        <v>163</v>
      </c>
      <c r="D195" s="48"/>
      <c r="E195" s="48"/>
      <c r="F195" s="48"/>
      <c r="G195" s="48"/>
      <c r="H195" s="48" t="s">
        <v>765</v>
      </c>
      <c r="I195" s="49" t="n">
        <f aca="false">SUMPRODUCT(E196:E207,I196:I207)</f>
        <v>8873.865</v>
      </c>
      <c r="J195" s="49" t="n">
        <f aca="false">SUM(J196:J207)</f>
        <v>6996.69330769231</v>
      </c>
      <c r="K195" s="48"/>
      <c r="L195" s="48"/>
      <c r="M195" s="48"/>
    </row>
    <row r="196" customFormat="false" ht="64.9" hidden="false" customHeight="false" outlineLevel="1" collapsed="false">
      <c r="A196" s="27"/>
      <c r="B196" s="27" t="s">
        <v>999</v>
      </c>
      <c r="C196" s="7" t="s">
        <v>978</v>
      </c>
      <c r="D196" s="27" t="s">
        <v>853</v>
      </c>
      <c r="E196" s="50" t="n">
        <v>275</v>
      </c>
      <c r="F196" s="50" t="n">
        <v>275</v>
      </c>
      <c r="G196" s="27" t="s">
        <v>767</v>
      </c>
      <c r="H196" s="50" t="n">
        <f aca="false">F196</f>
        <v>275</v>
      </c>
      <c r="I196" s="51" t="n">
        <v>3.95</v>
      </c>
      <c r="J196" s="28" t="n">
        <f aca="false">H196*I196</f>
        <v>1086.25</v>
      </c>
      <c r="K196" s="52" t="s">
        <v>548</v>
      </c>
      <c r="L196" s="7" t="s">
        <v>955</v>
      </c>
      <c r="M196" s="7" t="s">
        <v>956</v>
      </c>
    </row>
    <row r="197" customFormat="false" ht="102.95" hidden="false" customHeight="false" outlineLevel="1" collapsed="false">
      <c r="A197" s="27"/>
      <c r="B197" s="27" t="s">
        <v>999</v>
      </c>
      <c r="C197" s="7" t="s">
        <v>979</v>
      </c>
      <c r="D197" s="27" t="s">
        <v>853</v>
      </c>
      <c r="E197" s="50" t="n">
        <v>27.5</v>
      </c>
      <c r="F197" s="50" t="n">
        <v>27.5</v>
      </c>
      <c r="G197" s="27" t="s">
        <v>889</v>
      </c>
      <c r="H197" s="50" t="n">
        <f aca="false">F197/IF(Varsayimlar!$B$21=1,1.1,1)</f>
        <v>25</v>
      </c>
      <c r="I197" s="51" t="n">
        <v>2.21</v>
      </c>
      <c r="J197" s="28" t="n">
        <f aca="false">H197*I197</f>
        <v>55.25</v>
      </c>
      <c r="K197" s="52" t="s">
        <v>548</v>
      </c>
      <c r="L197" s="7" t="s">
        <v>958</v>
      </c>
      <c r="M197" s="7" t="s">
        <v>959</v>
      </c>
    </row>
    <row r="198" customFormat="false" ht="77.6" hidden="false" customHeight="false" outlineLevel="1" collapsed="false">
      <c r="A198" s="27"/>
      <c r="B198" s="27" t="s">
        <v>999</v>
      </c>
      <c r="C198" s="7" t="s">
        <v>980</v>
      </c>
      <c r="D198" s="27" t="s">
        <v>853</v>
      </c>
      <c r="E198" s="50" t="n">
        <v>22</v>
      </c>
      <c r="F198" s="50" t="n">
        <v>22</v>
      </c>
      <c r="G198" s="27" t="s">
        <v>767</v>
      </c>
      <c r="H198" s="50" t="n">
        <f aca="false">F198</f>
        <v>22</v>
      </c>
      <c r="I198" s="51" t="n">
        <v>4.94</v>
      </c>
      <c r="J198" s="28" t="n">
        <f aca="false">H198*I198</f>
        <v>108.68</v>
      </c>
      <c r="K198" s="52" t="s">
        <v>548</v>
      </c>
      <c r="L198" s="7" t="s">
        <v>981</v>
      </c>
      <c r="M198" s="7" t="s">
        <v>982</v>
      </c>
    </row>
    <row r="199" customFormat="false" ht="141" hidden="false" customHeight="false" outlineLevel="1" collapsed="false">
      <c r="A199" s="27"/>
      <c r="B199" s="27" t="s">
        <v>999</v>
      </c>
      <c r="C199" s="7" t="s">
        <v>983</v>
      </c>
      <c r="D199" s="27" t="s">
        <v>853</v>
      </c>
      <c r="E199" s="50" t="n">
        <v>319</v>
      </c>
      <c r="F199" s="54" t="n">
        <v>297.7</v>
      </c>
      <c r="G199" s="27" t="s">
        <v>767</v>
      </c>
      <c r="H199" s="50" t="n">
        <f aca="false">F199</f>
        <v>297.7</v>
      </c>
      <c r="I199" s="51" t="n">
        <v>1.83</v>
      </c>
      <c r="J199" s="28" t="n">
        <f aca="false">H199*I199</f>
        <v>544.791</v>
      </c>
      <c r="K199" s="52" t="s">
        <v>548</v>
      </c>
      <c r="L199" s="7" t="s">
        <v>961</v>
      </c>
      <c r="M199" s="7" t="s">
        <v>964</v>
      </c>
    </row>
    <row r="200" customFormat="false" ht="77.6" hidden="false" customHeight="false" outlineLevel="1" collapsed="false">
      <c r="A200" s="27"/>
      <c r="B200" s="27" t="s">
        <v>999</v>
      </c>
      <c r="C200" s="7" t="s">
        <v>984</v>
      </c>
      <c r="D200" s="27" t="s">
        <v>853</v>
      </c>
      <c r="E200" s="50" t="n">
        <v>66</v>
      </c>
      <c r="F200" s="54" t="n">
        <v>0</v>
      </c>
      <c r="G200" s="27" t="s">
        <v>767</v>
      </c>
      <c r="H200" s="50" t="n">
        <f aca="false">F200</f>
        <v>0</v>
      </c>
      <c r="I200" s="51" t="n">
        <v>2.96</v>
      </c>
      <c r="J200" s="28" t="n">
        <f aca="false">H200*I200</f>
        <v>0</v>
      </c>
      <c r="K200" s="55" t="s">
        <v>555</v>
      </c>
      <c r="L200" s="7" t="s">
        <v>985</v>
      </c>
      <c r="M200" s="7" t="s">
        <v>986</v>
      </c>
    </row>
    <row r="201" customFormat="false" ht="39.55" hidden="false" customHeight="false" outlineLevel="1" collapsed="false">
      <c r="A201" s="27"/>
      <c r="B201" s="27" t="s">
        <v>999</v>
      </c>
      <c r="C201" s="7" t="s">
        <v>987</v>
      </c>
      <c r="D201" s="27" t="s">
        <v>853</v>
      </c>
      <c r="E201" s="50" t="n">
        <v>572</v>
      </c>
      <c r="F201" s="50" t="n">
        <v>572</v>
      </c>
      <c r="G201" s="27" t="s">
        <v>865</v>
      </c>
      <c r="H201" s="50" t="n">
        <f aca="false">F201/IF(Varsayimlar!$B$21=1,1.43,1)</f>
        <v>400</v>
      </c>
      <c r="I201" s="51" t="n">
        <v>4.5</v>
      </c>
      <c r="J201" s="28" t="n">
        <f aca="false">H201*I201</f>
        <v>1800</v>
      </c>
      <c r="K201" s="53" t="s">
        <v>551</v>
      </c>
      <c r="L201" s="7" t="s">
        <v>966</v>
      </c>
      <c r="M201" s="7" t="s">
        <v>967</v>
      </c>
    </row>
    <row r="202" customFormat="false" ht="39.55" hidden="false" customHeight="false" outlineLevel="1" collapsed="false">
      <c r="A202" s="27"/>
      <c r="B202" s="27" t="s">
        <v>999</v>
      </c>
      <c r="C202" s="7" t="s">
        <v>988</v>
      </c>
      <c r="D202" s="27" t="s">
        <v>853</v>
      </c>
      <c r="E202" s="50" t="n">
        <v>58</v>
      </c>
      <c r="F202" s="50" t="n">
        <v>58</v>
      </c>
      <c r="G202" s="27" t="s">
        <v>865</v>
      </c>
      <c r="H202" s="50" t="n">
        <f aca="false">F202/IF(Varsayimlar!$B$21=1,1.43,1)</f>
        <v>40.5594405594406</v>
      </c>
      <c r="I202" s="51" t="n">
        <v>9</v>
      </c>
      <c r="J202" s="28" t="n">
        <f aca="false">H202*I202</f>
        <v>365.034965034965</v>
      </c>
      <c r="K202" s="53" t="s">
        <v>551</v>
      </c>
      <c r="L202" s="7" t="s">
        <v>966</v>
      </c>
      <c r="M202" s="7" t="s">
        <v>989</v>
      </c>
    </row>
    <row r="203" customFormat="false" ht="102.95" hidden="false" customHeight="false" outlineLevel="1" collapsed="false">
      <c r="A203" s="27"/>
      <c r="B203" s="27" t="s">
        <v>999</v>
      </c>
      <c r="C203" s="7" t="s">
        <v>990</v>
      </c>
      <c r="D203" s="27" t="s">
        <v>853</v>
      </c>
      <c r="E203" s="50" t="n">
        <v>22</v>
      </c>
      <c r="F203" s="50" t="n">
        <v>22</v>
      </c>
      <c r="G203" s="27" t="s">
        <v>767</v>
      </c>
      <c r="H203" s="50" t="n">
        <f aca="false">F203</f>
        <v>22</v>
      </c>
      <c r="I203" s="51" t="n">
        <v>16.21</v>
      </c>
      <c r="J203" s="28" t="n">
        <f aca="false">H203*I203</f>
        <v>356.62</v>
      </c>
      <c r="K203" s="52" t="s">
        <v>548</v>
      </c>
      <c r="L203" s="7" t="s">
        <v>991</v>
      </c>
      <c r="M203" s="7" t="s">
        <v>992</v>
      </c>
    </row>
    <row r="204" customFormat="false" ht="90.25" hidden="false" customHeight="false" outlineLevel="1" collapsed="false">
      <c r="A204" s="27"/>
      <c r="B204" s="27" t="s">
        <v>999</v>
      </c>
      <c r="C204" s="7" t="s">
        <v>993</v>
      </c>
      <c r="D204" s="27" t="s">
        <v>853</v>
      </c>
      <c r="E204" s="50" t="n">
        <v>29</v>
      </c>
      <c r="F204" s="50" t="n">
        <v>29</v>
      </c>
      <c r="G204" s="27" t="s">
        <v>767</v>
      </c>
      <c r="H204" s="50" t="n">
        <f aca="false">F204</f>
        <v>29</v>
      </c>
      <c r="I204" s="51" t="n">
        <v>11.29</v>
      </c>
      <c r="J204" s="28" t="n">
        <f aca="false">H204*I204</f>
        <v>327.41</v>
      </c>
      <c r="K204" s="52" t="s">
        <v>548</v>
      </c>
      <c r="L204" s="7" t="s">
        <v>994</v>
      </c>
      <c r="M204" s="7" t="s">
        <v>995</v>
      </c>
    </row>
    <row r="205" customFormat="false" ht="26.85" hidden="false" customHeight="false" outlineLevel="1" collapsed="false">
      <c r="A205" s="27"/>
      <c r="B205" s="27" t="s">
        <v>999</v>
      </c>
      <c r="C205" s="7" t="s">
        <v>996</v>
      </c>
      <c r="D205" s="27" t="s">
        <v>727</v>
      </c>
      <c r="E205" s="50" t="n">
        <v>6</v>
      </c>
      <c r="F205" s="50" t="n">
        <v>6</v>
      </c>
      <c r="G205" s="27" t="s">
        <v>767</v>
      </c>
      <c r="H205" s="50" t="n">
        <f aca="false">F205</f>
        <v>6</v>
      </c>
      <c r="I205" s="51" t="n">
        <v>60</v>
      </c>
      <c r="J205" s="28" t="n">
        <f aca="false">H205*I205</f>
        <v>360</v>
      </c>
      <c r="K205" s="53" t="s">
        <v>551</v>
      </c>
      <c r="L205" s="7" t="s">
        <v>972</v>
      </c>
      <c r="M205" s="7" t="s">
        <v>971</v>
      </c>
    </row>
    <row r="206" customFormat="false" ht="15" hidden="false" customHeight="false" outlineLevel="1" collapsed="false">
      <c r="A206" s="27"/>
      <c r="B206" s="27" t="s">
        <v>999</v>
      </c>
      <c r="C206" s="7" t="s">
        <v>997</v>
      </c>
      <c r="D206" s="27" t="s">
        <v>732</v>
      </c>
      <c r="E206" s="50" t="n">
        <v>1</v>
      </c>
      <c r="F206" s="50" t="n">
        <v>1</v>
      </c>
      <c r="G206" s="27" t="s">
        <v>767</v>
      </c>
      <c r="H206" s="50" t="n">
        <f aca="false">F206</f>
        <v>1</v>
      </c>
      <c r="I206" s="51" t="n">
        <v>350</v>
      </c>
      <c r="J206" s="28" t="n">
        <f aca="false">H206*I206</f>
        <v>350</v>
      </c>
      <c r="K206" s="53" t="s">
        <v>551</v>
      </c>
      <c r="L206" s="7" t="s">
        <v>875</v>
      </c>
      <c r="M206" s="7" t="s">
        <v>974</v>
      </c>
    </row>
    <row r="207" customFormat="false" ht="39.55" hidden="false" customHeight="false" outlineLevel="1" collapsed="false">
      <c r="A207" s="27"/>
      <c r="B207" s="27" t="s">
        <v>999</v>
      </c>
      <c r="C207" s="7" t="s">
        <v>975</v>
      </c>
      <c r="D207" s="27" t="s">
        <v>853</v>
      </c>
      <c r="E207" s="50" t="n">
        <v>783</v>
      </c>
      <c r="F207" s="50" t="n">
        <v>783</v>
      </c>
      <c r="G207" s="27" t="s">
        <v>865</v>
      </c>
      <c r="H207" s="50" t="n">
        <f aca="false">F207/IF(Varsayimlar!$B$21=1,1.43,1)</f>
        <v>547.552447552448</v>
      </c>
      <c r="I207" s="51" t="n">
        <v>3</v>
      </c>
      <c r="J207" s="28" t="n">
        <f aca="false">H207*I207</f>
        <v>1642.65734265734</v>
      </c>
      <c r="K207" s="53" t="s">
        <v>551</v>
      </c>
      <c r="L207" s="7" t="s">
        <v>966</v>
      </c>
      <c r="M207" s="7" t="s">
        <v>976</v>
      </c>
    </row>
    <row r="208" customFormat="false" ht="15" hidden="false" customHeight="false" outlineLevel="0" collapsed="false">
      <c r="A208" s="48" t="s">
        <v>164</v>
      </c>
      <c r="B208" s="48" t="s">
        <v>1000</v>
      </c>
      <c r="C208" s="48" t="s">
        <v>165</v>
      </c>
      <c r="D208" s="48"/>
      <c r="E208" s="48"/>
      <c r="F208" s="48"/>
      <c r="G208" s="48"/>
      <c r="H208" s="48" t="s">
        <v>765</v>
      </c>
      <c r="I208" s="49" t="n">
        <f aca="false">SUMPRODUCT(E209:E220,I209:I220)</f>
        <v>8873.865</v>
      </c>
      <c r="J208" s="49" t="n">
        <f aca="false">SUM(J209:J220)</f>
        <v>6996.69330769231</v>
      </c>
      <c r="K208" s="48"/>
      <c r="L208" s="48"/>
      <c r="M208" s="48"/>
    </row>
    <row r="209" customFormat="false" ht="64.9" hidden="false" customHeight="false" outlineLevel="1" collapsed="false">
      <c r="A209" s="27"/>
      <c r="B209" s="27" t="s">
        <v>1000</v>
      </c>
      <c r="C209" s="7" t="s">
        <v>978</v>
      </c>
      <c r="D209" s="27" t="s">
        <v>853</v>
      </c>
      <c r="E209" s="50" t="n">
        <v>275</v>
      </c>
      <c r="F209" s="50" t="n">
        <v>275</v>
      </c>
      <c r="G209" s="27" t="s">
        <v>767</v>
      </c>
      <c r="H209" s="50" t="n">
        <f aca="false">F209</f>
        <v>275</v>
      </c>
      <c r="I209" s="51" t="n">
        <v>3.95</v>
      </c>
      <c r="J209" s="28" t="n">
        <f aca="false">H209*I209</f>
        <v>1086.25</v>
      </c>
      <c r="K209" s="52" t="s">
        <v>548</v>
      </c>
      <c r="L209" s="7" t="s">
        <v>955</v>
      </c>
      <c r="M209" s="7" t="s">
        <v>956</v>
      </c>
    </row>
    <row r="210" customFormat="false" ht="102.95" hidden="false" customHeight="false" outlineLevel="1" collapsed="false">
      <c r="A210" s="27"/>
      <c r="B210" s="27" t="s">
        <v>1000</v>
      </c>
      <c r="C210" s="7" t="s">
        <v>979</v>
      </c>
      <c r="D210" s="27" t="s">
        <v>853</v>
      </c>
      <c r="E210" s="50" t="n">
        <v>27.5</v>
      </c>
      <c r="F210" s="50" t="n">
        <v>27.5</v>
      </c>
      <c r="G210" s="27" t="s">
        <v>889</v>
      </c>
      <c r="H210" s="50" t="n">
        <f aca="false">F210/IF(Varsayimlar!$B$21=1,1.1,1)</f>
        <v>25</v>
      </c>
      <c r="I210" s="51" t="n">
        <v>2.21</v>
      </c>
      <c r="J210" s="28" t="n">
        <f aca="false">H210*I210</f>
        <v>55.25</v>
      </c>
      <c r="K210" s="52" t="s">
        <v>548</v>
      </c>
      <c r="L210" s="7" t="s">
        <v>958</v>
      </c>
      <c r="M210" s="7" t="s">
        <v>959</v>
      </c>
    </row>
    <row r="211" customFormat="false" ht="77.6" hidden="false" customHeight="false" outlineLevel="1" collapsed="false">
      <c r="A211" s="27"/>
      <c r="B211" s="27" t="s">
        <v>1000</v>
      </c>
      <c r="C211" s="7" t="s">
        <v>980</v>
      </c>
      <c r="D211" s="27" t="s">
        <v>853</v>
      </c>
      <c r="E211" s="50" t="n">
        <v>22</v>
      </c>
      <c r="F211" s="50" t="n">
        <v>22</v>
      </c>
      <c r="G211" s="27" t="s">
        <v>767</v>
      </c>
      <c r="H211" s="50" t="n">
        <f aca="false">F211</f>
        <v>22</v>
      </c>
      <c r="I211" s="51" t="n">
        <v>4.94</v>
      </c>
      <c r="J211" s="28" t="n">
        <f aca="false">H211*I211</f>
        <v>108.68</v>
      </c>
      <c r="K211" s="52" t="s">
        <v>548</v>
      </c>
      <c r="L211" s="7" t="s">
        <v>981</v>
      </c>
      <c r="M211" s="7" t="s">
        <v>982</v>
      </c>
    </row>
    <row r="212" customFormat="false" ht="141" hidden="false" customHeight="false" outlineLevel="1" collapsed="false">
      <c r="A212" s="27"/>
      <c r="B212" s="27" t="s">
        <v>1000</v>
      </c>
      <c r="C212" s="7" t="s">
        <v>983</v>
      </c>
      <c r="D212" s="27" t="s">
        <v>853</v>
      </c>
      <c r="E212" s="50" t="n">
        <v>319</v>
      </c>
      <c r="F212" s="54" t="n">
        <v>297.7</v>
      </c>
      <c r="G212" s="27" t="s">
        <v>767</v>
      </c>
      <c r="H212" s="50" t="n">
        <f aca="false">F212</f>
        <v>297.7</v>
      </c>
      <c r="I212" s="51" t="n">
        <v>1.83</v>
      </c>
      <c r="J212" s="28" t="n">
        <f aca="false">H212*I212</f>
        <v>544.791</v>
      </c>
      <c r="K212" s="52" t="s">
        <v>548</v>
      </c>
      <c r="L212" s="7" t="s">
        <v>961</v>
      </c>
      <c r="M212" s="7" t="s">
        <v>964</v>
      </c>
    </row>
    <row r="213" customFormat="false" ht="77.6" hidden="false" customHeight="false" outlineLevel="1" collapsed="false">
      <c r="A213" s="27"/>
      <c r="B213" s="27" t="s">
        <v>1000</v>
      </c>
      <c r="C213" s="7" t="s">
        <v>984</v>
      </c>
      <c r="D213" s="27" t="s">
        <v>853</v>
      </c>
      <c r="E213" s="50" t="n">
        <v>66</v>
      </c>
      <c r="F213" s="54" t="n">
        <v>0</v>
      </c>
      <c r="G213" s="27" t="s">
        <v>767</v>
      </c>
      <c r="H213" s="50" t="n">
        <f aca="false">F213</f>
        <v>0</v>
      </c>
      <c r="I213" s="51" t="n">
        <v>2.96</v>
      </c>
      <c r="J213" s="28" t="n">
        <f aca="false">H213*I213</f>
        <v>0</v>
      </c>
      <c r="K213" s="55" t="s">
        <v>555</v>
      </c>
      <c r="L213" s="7" t="s">
        <v>985</v>
      </c>
      <c r="M213" s="7" t="s">
        <v>986</v>
      </c>
    </row>
    <row r="214" customFormat="false" ht="39.55" hidden="false" customHeight="false" outlineLevel="1" collapsed="false">
      <c r="A214" s="27"/>
      <c r="B214" s="27" t="s">
        <v>1000</v>
      </c>
      <c r="C214" s="7" t="s">
        <v>987</v>
      </c>
      <c r="D214" s="27" t="s">
        <v>853</v>
      </c>
      <c r="E214" s="50" t="n">
        <v>572</v>
      </c>
      <c r="F214" s="50" t="n">
        <v>572</v>
      </c>
      <c r="G214" s="27" t="s">
        <v>865</v>
      </c>
      <c r="H214" s="50" t="n">
        <f aca="false">F214/IF(Varsayimlar!$B$21=1,1.43,1)</f>
        <v>400</v>
      </c>
      <c r="I214" s="51" t="n">
        <v>4.5</v>
      </c>
      <c r="J214" s="28" t="n">
        <f aca="false">H214*I214</f>
        <v>1800</v>
      </c>
      <c r="K214" s="53" t="s">
        <v>551</v>
      </c>
      <c r="L214" s="7" t="s">
        <v>966</v>
      </c>
      <c r="M214" s="7" t="s">
        <v>967</v>
      </c>
    </row>
    <row r="215" customFormat="false" ht="39.55" hidden="false" customHeight="false" outlineLevel="1" collapsed="false">
      <c r="A215" s="27"/>
      <c r="B215" s="27" t="s">
        <v>1000</v>
      </c>
      <c r="C215" s="7" t="s">
        <v>988</v>
      </c>
      <c r="D215" s="27" t="s">
        <v>853</v>
      </c>
      <c r="E215" s="50" t="n">
        <v>58</v>
      </c>
      <c r="F215" s="50" t="n">
        <v>58</v>
      </c>
      <c r="G215" s="27" t="s">
        <v>865</v>
      </c>
      <c r="H215" s="50" t="n">
        <f aca="false">F215/IF(Varsayimlar!$B$21=1,1.43,1)</f>
        <v>40.5594405594406</v>
      </c>
      <c r="I215" s="51" t="n">
        <v>9</v>
      </c>
      <c r="J215" s="28" t="n">
        <f aca="false">H215*I215</f>
        <v>365.034965034965</v>
      </c>
      <c r="K215" s="53" t="s">
        <v>551</v>
      </c>
      <c r="L215" s="7" t="s">
        <v>966</v>
      </c>
      <c r="M215" s="7" t="s">
        <v>989</v>
      </c>
    </row>
    <row r="216" customFormat="false" ht="102.95" hidden="false" customHeight="false" outlineLevel="1" collapsed="false">
      <c r="A216" s="27"/>
      <c r="B216" s="27" t="s">
        <v>1000</v>
      </c>
      <c r="C216" s="7" t="s">
        <v>990</v>
      </c>
      <c r="D216" s="27" t="s">
        <v>853</v>
      </c>
      <c r="E216" s="50" t="n">
        <v>22</v>
      </c>
      <c r="F216" s="50" t="n">
        <v>22</v>
      </c>
      <c r="G216" s="27" t="s">
        <v>767</v>
      </c>
      <c r="H216" s="50" t="n">
        <f aca="false">F216</f>
        <v>22</v>
      </c>
      <c r="I216" s="51" t="n">
        <v>16.21</v>
      </c>
      <c r="J216" s="28" t="n">
        <f aca="false">H216*I216</f>
        <v>356.62</v>
      </c>
      <c r="K216" s="52" t="s">
        <v>548</v>
      </c>
      <c r="L216" s="7" t="s">
        <v>991</v>
      </c>
      <c r="M216" s="7" t="s">
        <v>992</v>
      </c>
    </row>
    <row r="217" customFormat="false" ht="90.25" hidden="false" customHeight="false" outlineLevel="1" collapsed="false">
      <c r="A217" s="27"/>
      <c r="B217" s="27" t="s">
        <v>1000</v>
      </c>
      <c r="C217" s="7" t="s">
        <v>993</v>
      </c>
      <c r="D217" s="27" t="s">
        <v>853</v>
      </c>
      <c r="E217" s="50" t="n">
        <v>29</v>
      </c>
      <c r="F217" s="50" t="n">
        <v>29</v>
      </c>
      <c r="G217" s="27" t="s">
        <v>767</v>
      </c>
      <c r="H217" s="50" t="n">
        <f aca="false">F217</f>
        <v>29</v>
      </c>
      <c r="I217" s="51" t="n">
        <v>11.29</v>
      </c>
      <c r="J217" s="28" t="n">
        <f aca="false">H217*I217</f>
        <v>327.41</v>
      </c>
      <c r="K217" s="52" t="s">
        <v>548</v>
      </c>
      <c r="L217" s="7" t="s">
        <v>994</v>
      </c>
      <c r="M217" s="7" t="s">
        <v>995</v>
      </c>
    </row>
    <row r="218" customFormat="false" ht="26.85" hidden="false" customHeight="false" outlineLevel="1" collapsed="false">
      <c r="A218" s="27"/>
      <c r="B218" s="27" t="s">
        <v>1000</v>
      </c>
      <c r="C218" s="7" t="s">
        <v>996</v>
      </c>
      <c r="D218" s="27" t="s">
        <v>727</v>
      </c>
      <c r="E218" s="50" t="n">
        <v>6</v>
      </c>
      <c r="F218" s="50" t="n">
        <v>6</v>
      </c>
      <c r="G218" s="27" t="s">
        <v>767</v>
      </c>
      <c r="H218" s="50" t="n">
        <f aca="false">F218</f>
        <v>6</v>
      </c>
      <c r="I218" s="51" t="n">
        <v>60</v>
      </c>
      <c r="J218" s="28" t="n">
        <f aca="false">H218*I218</f>
        <v>360</v>
      </c>
      <c r="K218" s="53" t="s">
        <v>551</v>
      </c>
      <c r="L218" s="7" t="s">
        <v>972</v>
      </c>
      <c r="M218" s="7" t="s">
        <v>971</v>
      </c>
    </row>
    <row r="219" customFormat="false" ht="15" hidden="false" customHeight="false" outlineLevel="1" collapsed="false">
      <c r="A219" s="27"/>
      <c r="B219" s="27" t="s">
        <v>1000</v>
      </c>
      <c r="C219" s="7" t="s">
        <v>997</v>
      </c>
      <c r="D219" s="27" t="s">
        <v>732</v>
      </c>
      <c r="E219" s="50" t="n">
        <v>1</v>
      </c>
      <c r="F219" s="50" t="n">
        <v>1</v>
      </c>
      <c r="G219" s="27" t="s">
        <v>767</v>
      </c>
      <c r="H219" s="50" t="n">
        <f aca="false">F219</f>
        <v>1</v>
      </c>
      <c r="I219" s="51" t="n">
        <v>350</v>
      </c>
      <c r="J219" s="28" t="n">
        <f aca="false">H219*I219</f>
        <v>350</v>
      </c>
      <c r="K219" s="53" t="s">
        <v>551</v>
      </c>
      <c r="L219" s="7" t="s">
        <v>875</v>
      </c>
      <c r="M219" s="7" t="s">
        <v>974</v>
      </c>
    </row>
    <row r="220" customFormat="false" ht="39.55" hidden="false" customHeight="false" outlineLevel="1" collapsed="false">
      <c r="A220" s="27"/>
      <c r="B220" s="27" t="s">
        <v>1000</v>
      </c>
      <c r="C220" s="7" t="s">
        <v>975</v>
      </c>
      <c r="D220" s="27" t="s">
        <v>853</v>
      </c>
      <c r="E220" s="50" t="n">
        <v>783</v>
      </c>
      <c r="F220" s="50" t="n">
        <v>783</v>
      </c>
      <c r="G220" s="27" t="s">
        <v>865</v>
      </c>
      <c r="H220" s="50" t="n">
        <f aca="false">F220/IF(Varsayimlar!$B$21=1,1.43,1)</f>
        <v>547.552447552448</v>
      </c>
      <c r="I220" s="51" t="n">
        <v>3</v>
      </c>
      <c r="J220" s="28" t="n">
        <f aca="false">H220*I220</f>
        <v>1642.65734265734</v>
      </c>
      <c r="K220" s="53" t="s">
        <v>551</v>
      </c>
      <c r="L220" s="7" t="s">
        <v>966</v>
      </c>
      <c r="M220" s="7" t="s">
        <v>976</v>
      </c>
    </row>
    <row r="221" customFormat="false" ht="15" hidden="false" customHeight="false" outlineLevel="0" collapsed="false">
      <c r="A221" s="48" t="s">
        <v>166</v>
      </c>
      <c r="B221" s="48" t="s">
        <v>1001</v>
      </c>
      <c r="C221" s="48" t="s">
        <v>167</v>
      </c>
      <c r="D221" s="48"/>
      <c r="E221" s="48"/>
      <c r="F221" s="48"/>
      <c r="G221" s="48"/>
      <c r="H221" s="48" t="s">
        <v>765</v>
      </c>
      <c r="I221" s="49" t="n">
        <f aca="false">SUMPRODUCT(E222:E253,I222:I253)</f>
        <v>396891.784</v>
      </c>
      <c r="J221" s="49" t="n">
        <f aca="false">SUM(J222:J253)</f>
        <v>345996.043636364</v>
      </c>
      <c r="K221" s="48"/>
      <c r="L221" s="48"/>
      <c r="M221" s="48"/>
    </row>
    <row r="222" customFormat="false" ht="52.2" hidden="false" customHeight="false" outlineLevel="1" collapsed="false">
      <c r="A222" s="27"/>
      <c r="B222" s="27" t="s">
        <v>1001</v>
      </c>
      <c r="C222" s="7" t="s">
        <v>1002</v>
      </c>
      <c r="D222" s="27" t="s">
        <v>853</v>
      </c>
      <c r="E222" s="50" t="n">
        <v>852.5</v>
      </c>
      <c r="F222" s="50" t="n">
        <v>852.5</v>
      </c>
      <c r="G222" s="27" t="s">
        <v>889</v>
      </c>
      <c r="H222" s="50" t="n">
        <f aca="false">F222/IF(Varsayimlar!$B$21=1,1.1,1)</f>
        <v>775</v>
      </c>
      <c r="I222" s="51" t="n">
        <v>128</v>
      </c>
      <c r="J222" s="28" t="n">
        <f aca="false">H222*I222</f>
        <v>99200</v>
      </c>
      <c r="K222" s="52" t="s">
        <v>548</v>
      </c>
      <c r="L222" s="7" t="s">
        <v>1003</v>
      </c>
      <c r="M222" s="7" t="s">
        <v>1004</v>
      </c>
    </row>
    <row r="223" customFormat="false" ht="102.95" hidden="false" customHeight="false" outlineLevel="1" collapsed="false">
      <c r="A223" s="27"/>
      <c r="B223" s="27" t="s">
        <v>1001</v>
      </c>
      <c r="C223" s="7" t="s">
        <v>1005</v>
      </c>
      <c r="D223" s="27" t="s">
        <v>853</v>
      </c>
      <c r="E223" s="50" t="n">
        <v>170.5</v>
      </c>
      <c r="F223" s="50" t="n">
        <v>170.5</v>
      </c>
      <c r="G223" s="27" t="s">
        <v>889</v>
      </c>
      <c r="H223" s="50" t="n">
        <f aca="false">F223/IF(Varsayimlar!$B$21=1,1.1,1)</f>
        <v>155</v>
      </c>
      <c r="I223" s="51" t="n">
        <v>18.79</v>
      </c>
      <c r="J223" s="28" t="n">
        <f aca="false">H223*I223</f>
        <v>2912.45</v>
      </c>
      <c r="K223" s="52" t="s">
        <v>548</v>
      </c>
      <c r="L223" s="7" t="s">
        <v>1006</v>
      </c>
      <c r="M223" s="7" t="s">
        <v>1007</v>
      </c>
    </row>
    <row r="224" customFormat="false" ht="39.55" hidden="false" customHeight="false" outlineLevel="1" collapsed="false">
      <c r="A224" s="27"/>
      <c r="B224" s="27" t="s">
        <v>1001</v>
      </c>
      <c r="C224" s="7" t="s">
        <v>1008</v>
      </c>
      <c r="D224" s="27" t="s">
        <v>853</v>
      </c>
      <c r="E224" s="50" t="n">
        <v>319</v>
      </c>
      <c r="F224" s="50" t="n">
        <v>319</v>
      </c>
      <c r="G224" s="27" t="s">
        <v>889</v>
      </c>
      <c r="H224" s="50" t="n">
        <f aca="false">F224/IF(Varsayimlar!$B$21=1,1.1,1)</f>
        <v>290</v>
      </c>
      <c r="I224" s="51" t="n">
        <v>124</v>
      </c>
      <c r="J224" s="28" t="n">
        <f aca="false">H224*I224</f>
        <v>35960</v>
      </c>
      <c r="K224" s="52" t="s">
        <v>548</v>
      </c>
      <c r="L224" s="7" t="s">
        <v>1009</v>
      </c>
      <c r="M224" s="7" t="s">
        <v>1010</v>
      </c>
    </row>
    <row r="225" customFormat="false" ht="39.55" hidden="false" customHeight="false" outlineLevel="1" collapsed="false">
      <c r="A225" s="27"/>
      <c r="B225" s="27" t="s">
        <v>1001</v>
      </c>
      <c r="C225" s="7" t="s">
        <v>1011</v>
      </c>
      <c r="D225" s="27" t="s">
        <v>853</v>
      </c>
      <c r="E225" s="50" t="n">
        <v>346.5</v>
      </c>
      <c r="F225" s="50" t="n">
        <v>346.5</v>
      </c>
      <c r="G225" s="27" t="s">
        <v>889</v>
      </c>
      <c r="H225" s="50" t="n">
        <f aca="false">F225/IF(Varsayimlar!$B$21=1,1.1,1)</f>
        <v>315</v>
      </c>
      <c r="I225" s="51" t="n">
        <v>47</v>
      </c>
      <c r="J225" s="28" t="n">
        <f aca="false">H225*I225</f>
        <v>14805</v>
      </c>
      <c r="K225" s="52" t="s">
        <v>548</v>
      </c>
      <c r="L225" s="7" t="s">
        <v>1012</v>
      </c>
      <c r="M225" s="7" t="s">
        <v>1013</v>
      </c>
    </row>
    <row r="226" customFormat="false" ht="115.65" hidden="false" customHeight="false" outlineLevel="1" collapsed="false">
      <c r="A226" s="27"/>
      <c r="B226" s="27" t="s">
        <v>1001</v>
      </c>
      <c r="C226" s="7" t="s">
        <v>1014</v>
      </c>
      <c r="D226" s="27" t="s">
        <v>853</v>
      </c>
      <c r="E226" s="50" t="n">
        <v>66</v>
      </c>
      <c r="F226" s="50" t="n">
        <v>66</v>
      </c>
      <c r="G226" s="27" t="s">
        <v>889</v>
      </c>
      <c r="H226" s="50" t="n">
        <f aca="false">F226/IF(Varsayimlar!$B$21=1,1.1,1)</f>
        <v>60</v>
      </c>
      <c r="I226" s="51" t="n">
        <v>82.13</v>
      </c>
      <c r="J226" s="28" t="n">
        <f aca="false">H226*I226</f>
        <v>4927.8</v>
      </c>
      <c r="K226" s="52" t="s">
        <v>548</v>
      </c>
      <c r="L226" s="7" t="s">
        <v>1015</v>
      </c>
      <c r="M226" s="7" t="s">
        <v>1016</v>
      </c>
    </row>
    <row r="227" customFormat="false" ht="39.55" hidden="false" customHeight="false" outlineLevel="1" collapsed="false">
      <c r="A227" s="27"/>
      <c r="B227" s="27" t="s">
        <v>1001</v>
      </c>
      <c r="C227" s="7" t="s">
        <v>1017</v>
      </c>
      <c r="D227" s="27" t="s">
        <v>853</v>
      </c>
      <c r="E227" s="50" t="n">
        <v>374</v>
      </c>
      <c r="F227" s="50" t="n">
        <v>374</v>
      </c>
      <c r="G227" s="27" t="s">
        <v>889</v>
      </c>
      <c r="H227" s="50" t="n">
        <f aca="false">F227/IF(Varsayimlar!$B$21=1,1.1,1)</f>
        <v>340</v>
      </c>
      <c r="I227" s="51" t="n">
        <v>59</v>
      </c>
      <c r="J227" s="28" t="n">
        <f aca="false">H227*I227</f>
        <v>20060</v>
      </c>
      <c r="K227" s="52" t="s">
        <v>548</v>
      </c>
      <c r="L227" s="7" t="s">
        <v>1018</v>
      </c>
      <c r="M227" s="7" t="s">
        <v>1019</v>
      </c>
    </row>
    <row r="228" customFormat="false" ht="39.55" hidden="false" customHeight="false" outlineLevel="1" collapsed="false">
      <c r="A228" s="27"/>
      <c r="B228" s="27" t="s">
        <v>1001</v>
      </c>
      <c r="C228" s="7" t="s">
        <v>1020</v>
      </c>
      <c r="D228" s="27" t="s">
        <v>853</v>
      </c>
      <c r="E228" s="50" t="n">
        <v>101.2</v>
      </c>
      <c r="F228" s="50" t="n">
        <v>101.2</v>
      </c>
      <c r="G228" s="27" t="s">
        <v>889</v>
      </c>
      <c r="H228" s="50" t="n">
        <f aca="false">F228/IF(Varsayimlar!$B$21=1,1.1,1)</f>
        <v>92</v>
      </c>
      <c r="I228" s="51" t="n">
        <v>65.5</v>
      </c>
      <c r="J228" s="28" t="n">
        <f aca="false">H228*I228</f>
        <v>6026</v>
      </c>
      <c r="K228" s="52" t="s">
        <v>548</v>
      </c>
      <c r="L228" s="7" t="s">
        <v>1021</v>
      </c>
      <c r="M228" s="7" t="s">
        <v>1022</v>
      </c>
    </row>
    <row r="229" customFormat="false" ht="39.55" hidden="false" customHeight="false" outlineLevel="1" collapsed="false">
      <c r="A229" s="27"/>
      <c r="B229" s="27" t="s">
        <v>1001</v>
      </c>
      <c r="C229" s="7" t="s">
        <v>1023</v>
      </c>
      <c r="D229" s="27" t="s">
        <v>853</v>
      </c>
      <c r="E229" s="50" t="n">
        <v>605</v>
      </c>
      <c r="F229" s="50" t="n">
        <v>605</v>
      </c>
      <c r="G229" s="27" t="s">
        <v>767</v>
      </c>
      <c r="H229" s="50" t="n">
        <f aca="false">F229</f>
        <v>605</v>
      </c>
      <c r="I229" s="51" t="n">
        <v>63.8</v>
      </c>
      <c r="J229" s="28" t="n">
        <f aca="false">H229*I229</f>
        <v>38599</v>
      </c>
      <c r="K229" s="52" t="s">
        <v>548</v>
      </c>
      <c r="L229" s="7" t="s">
        <v>1024</v>
      </c>
      <c r="M229" s="7" t="s">
        <v>1025</v>
      </c>
    </row>
    <row r="230" customFormat="false" ht="115.65" hidden="false" customHeight="false" outlineLevel="1" collapsed="false">
      <c r="A230" s="27"/>
      <c r="B230" s="27" t="s">
        <v>1001</v>
      </c>
      <c r="C230" s="7" t="s">
        <v>1026</v>
      </c>
      <c r="D230" s="27" t="s">
        <v>853</v>
      </c>
      <c r="E230" s="50" t="n">
        <v>126.5</v>
      </c>
      <c r="F230" s="50" t="n">
        <v>126.5</v>
      </c>
      <c r="G230" s="27" t="s">
        <v>889</v>
      </c>
      <c r="H230" s="50" t="n">
        <f aca="false">F230/IF(Varsayimlar!$B$21=1,1.1,1)</f>
        <v>115</v>
      </c>
      <c r="I230" s="51" t="n">
        <v>38.69</v>
      </c>
      <c r="J230" s="28" t="n">
        <f aca="false">H230*I230</f>
        <v>4449.35</v>
      </c>
      <c r="K230" s="52" t="s">
        <v>548</v>
      </c>
      <c r="L230" s="7" t="s">
        <v>1027</v>
      </c>
      <c r="M230" s="7" t="s">
        <v>1028</v>
      </c>
    </row>
    <row r="231" customFormat="false" ht="115.65" hidden="false" customHeight="false" outlineLevel="1" collapsed="false">
      <c r="A231" s="27"/>
      <c r="B231" s="27" t="s">
        <v>1001</v>
      </c>
      <c r="C231" s="7" t="s">
        <v>1029</v>
      </c>
      <c r="D231" s="27" t="s">
        <v>853</v>
      </c>
      <c r="E231" s="50" t="n">
        <v>115.5</v>
      </c>
      <c r="F231" s="50" t="n">
        <v>115.5</v>
      </c>
      <c r="G231" s="27" t="s">
        <v>889</v>
      </c>
      <c r="H231" s="50" t="n">
        <f aca="false">F231/IF(Varsayimlar!$B$21=1,1.1,1)</f>
        <v>105</v>
      </c>
      <c r="I231" s="51" t="n">
        <v>27.64</v>
      </c>
      <c r="J231" s="28" t="n">
        <f aca="false">H231*I231</f>
        <v>2902.2</v>
      </c>
      <c r="K231" s="52" t="s">
        <v>548</v>
      </c>
      <c r="L231" s="7" t="s">
        <v>1030</v>
      </c>
      <c r="M231" s="7" t="s">
        <v>1031</v>
      </c>
    </row>
    <row r="232" customFormat="false" ht="115.65" hidden="false" customHeight="false" outlineLevel="1" collapsed="false">
      <c r="A232" s="27"/>
      <c r="B232" s="27" t="s">
        <v>1001</v>
      </c>
      <c r="C232" s="7" t="s">
        <v>1032</v>
      </c>
      <c r="D232" s="27" t="s">
        <v>853</v>
      </c>
      <c r="E232" s="50" t="n">
        <v>27.5</v>
      </c>
      <c r="F232" s="50" t="n">
        <v>27.5</v>
      </c>
      <c r="G232" s="27" t="s">
        <v>889</v>
      </c>
      <c r="H232" s="50" t="n">
        <f aca="false">F232/IF(Varsayimlar!$B$21=1,1.1,1)</f>
        <v>25</v>
      </c>
      <c r="I232" s="51" t="n">
        <v>19.11</v>
      </c>
      <c r="J232" s="28" t="n">
        <f aca="false">H232*I232</f>
        <v>477.75</v>
      </c>
      <c r="K232" s="52" t="s">
        <v>548</v>
      </c>
      <c r="L232" s="7" t="s">
        <v>1033</v>
      </c>
      <c r="M232" s="7" t="s">
        <v>1034</v>
      </c>
    </row>
    <row r="233" customFormat="false" ht="90.25" hidden="false" customHeight="false" outlineLevel="1" collapsed="false">
      <c r="A233" s="27"/>
      <c r="B233" s="27" t="s">
        <v>1001</v>
      </c>
      <c r="C233" s="7" t="s">
        <v>1035</v>
      </c>
      <c r="D233" s="27" t="s">
        <v>853</v>
      </c>
      <c r="E233" s="50" t="n">
        <v>129.8</v>
      </c>
      <c r="F233" s="50" t="n">
        <v>129.8</v>
      </c>
      <c r="G233" s="27" t="s">
        <v>889</v>
      </c>
      <c r="H233" s="50" t="n">
        <f aca="false">F233/IF(Varsayimlar!$B$21=1,1.1,1)</f>
        <v>118</v>
      </c>
      <c r="I233" s="51" t="n">
        <v>16.68</v>
      </c>
      <c r="J233" s="28" t="n">
        <f aca="false">H233*I233</f>
        <v>1968.24</v>
      </c>
      <c r="K233" s="52" t="s">
        <v>548</v>
      </c>
      <c r="L233" s="7" t="s">
        <v>1036</v>
      </c>
      <c r="M233" s="7" t="s">
        <v>1037</v>
      </c>
    </row>
    <row r="234" customFormat="false" ht="39.55" hidden="false" customHeight="false" outlineLevel="1" collapsed="false">
      <c r="A234" s="27"/>
      <c r="B234" s="27" t="s">
        <v>1001</v>
      </c>
      <c r="C234" s="7" t="s">
        <v>1038</v>
      </c>
      <c r="D234" s="27" t="s">
        <v>853</v>
      </c>
      <c r="E234" s="50" t="n">
        <v>639.1</v>
      </c>
      <c r="F234" s="50" t="n">
        <v>639.1</v>
      </c>
      <c r="G234" s="27" t="s">
        <v>889</v>
      </c>
      <c r="H234" s="50" t="n">
        <f aca="false">F234/IF(Varsayimlar!$B$21=1,1.1,1)</f>
        <v>581</v>
      </c>
      <c r="I234" s="51" t="n">
        <v>10.2</v>
      </c>
      <c r="J234" s="28" t="n">
        <f aca="false">H234*I234</f>
        <v>5926.2</v>
      </c>
      <c r="K234" s="52" t="s">
        <v>548</v>
      </c>
      <c r="L234" s="7" t="s">
        <v>1039</v>
      </c>
      <c r="M234" s="7" t="s">
        <v>1040</v>
      </c>
    </row>
    <row r="235" customFormat="false" ht="52.2" hidden="false" customHeight="false" outlineLevel="1" collapsed="false">
      <c r="A235" s="27"/>
      <c r="B235" s="27" t="s">
        <v>1001</v>
      </c>
      <c r="C235" s="7" t="s">
        <v>1041</v>
      </c>
      <c r="D235" s="27" t="s">
        <v>853</v>
      </c>
      <c r="E235" s="50" t="n">
        <v>159.5</v>
      </c>
      <c r="F235" s="50" t="n">
        <v>159.5</v>
      </c>
      <c r="G235" s="27" t="s">
        <v>889</v>
      </c>
      <c r="H235" s="50" t="n">
        <f aca="false">F235/IF(Varsayimlar!$B$21=1,1.1,1)</f>
        <v>145</v>
      </c>
      <c r="I235" s="51" t="n">
        <v>10.23</v>
      </c>
      <c r="J235" s="28" t="n">
        <f aca="false">H235*I235</f>
        <v>1483.35</v>
      </c>
      <c r="K235" s="52" t="s">
        <v>548</v>
      </c>
      <c r="L235" s="7" t="s">
        <v>1042</v>
      </c>
      <c r="M235" s="7" t="s">
        <v>1043</v>
      </c>
    </row>
    <row r="236" customFormat="false" ht="39.55" hidden="false" customHeight="false" outlineLevel="1" collapsed="false">
      <c r="A236" s="27"/>
      <c r="B236" s="27" t="s">
        <v>1001</v>
      </c>
      <c r="C236" s="7" t="s">
        <v>1044</v>
      </c>
      <c r="D236" s="27" t="s">
        <v>853</v>
      </c>
      <c r="E236" s="50" t="n">
        <v>2145</v>
      </c>
      <c r="F236" s="50" t="n">
        <v>2145</v>
      </c>
      <c r="G236" s="27" t="s">
        <v>767</v>
      </c>
      <c r="H236" s="50" t="n">
        <f aca="false">F236</f>
        <v>2145</v>
      </c>
      <c r="I236" s="51" t="n">
        <v>6</v>
      </c>
      <c r="J236" s="28" t="n">
        <f aca="false">H236*I236</f>
        <v>12870</v>
      </c>
      <c r="K236" s="52" t="s">
        <v>548</v>
      </c>
      <c r="L236" s="7" t="s">
        <v>1045</v>
      </c>
      <c r="M236" s="7" t="s">
        <v>1046</v>
      </c>
    </row>
    <row r="237" customFormat="false" ht="90.25" hidden="false" customHeight="false" outlineLevel="1" collapsed="false">
      <c r="A237" s="27"/>
      <c r="B237" s="27" t="s">
        <v>1001</v>
      </c>
      <c r="C237" s="7" t="s">
        <v>1047</v>
      </c>
      <c r="D237" s="27" t="s">
        <v>853</v>
      </c>
      <c r="E237" s="50" t="n">
        <v>326.7</v>
      </c>
      <c r="F237" s="50" t="n">
        <v>326.7</v>
      </c>
      <c r="G237" s="27" t="s">
        <v>889</v>
      </c>
      <c r="H237" s="50" t="n">
        <f aca="false">F237/IF(Varsayimlar!$B$21=1,1.1,1)</f>
        <v>297</v>
      </c>
      <c r="I237" s="51" t="n">
        <v>7.5</v>
      </c>
      <c r="J237" s="28" t="n">
        <f aca="false">H237*I237</f>
        <v>2227.5</v>
      </c>
      <c r="K237" s="52" t="s">
        <v>548</v>
      </c>
      <c r="L237" s="7" t="s">
        <v>1048</v>
      </c>
      <c r="M237" s="7" t="s">
        <v>1049</v>
      </c>
    </row>
    <row r="238" customFormat="false" ht="64.9" hidden="false" customHeight="false" outlineLevel="1" collapsed="false">
      <c r="A238" s="27"/>
      <c r="B238" s="27" t="s">
        <v>1001</v>
      </c>
      <c r="C238" s="7" t="s">
        <v>1050</v>
      </c>
      <c r="D238" s="27" t="s">
        <v>853</v>
      </c>
      <c r="E238" s="50" t="n">
        <v>1210</v>
      </c>
      <c r="F238" s="50" t="n">
        <v>1210</v>
      </c>
      <c r="G238" s="27" t="s">
        <v>889</v>
      </c>
      <c r="H238" s="50" t="n">
        <f aca="false">F238/IF(Varsayimlar!$B$21=1,1.1,1)</f>
        <v>1100</v>
      </c>
      <c r="I238" s="51" t="n">
        <v>4.2</v>
      </c>
      <c r="J238" s="28" t="n">
        <f aca="false">H238*I238</f>
        <v>4620</v>
      </c>
      <c r="K238" s="52" t="s">
        <v>548</v>
      </c>
      <c r="L238" s="7" t="s">
        <v>1051</v>
      </c>
      <c r="M238" s="7" t="s">
        <v>1052</v>
      </c>
    </row>
    <row r="239" customFormat="false" ht="102.95" hidden="false" customHeight="false" outlineLevel="1" collapsed="false">
      <c r="A239" s="27"/>
      <c r="B239" s="27" t="s">
        <v>1001</v>
      </c>
      <c r="C239" s="7" t="s">
        <v>1053</v>
      </c>
      <c r="D239" s="27" t="s">
        <v>853</v>
      </c>
      <c r="E239" s="50" t="n">
        <v>330</v>
      </c>
      <c r="F239" s="50" t="n">
        <v>330</v>
      </c>
      <c r="G239" s="27" t="s">
        <v>889</v>
      </c>
      <c r="H239" s="50" t="n">
        <f aca="false">F239/IF(Varsayimlar!$B$21=1,1.1,1)</f>
        <v>300</v>
      </c>
      <c r="I239" s="51" t="n">
        <v>3.33</v>
      </c>
      <c r="J239" s="28" t="n">
        <f aca="false">H239*I239</f>
        <v>999</v>
      </c>
      <c r="K239" s="52" t="s">
        <v>548</v>
      </c>
      <c r="L239" s="7" t="s">
        <v>1054</v>
      </c>
      <c r="M239" s="7" t="s">
        <v>1055</v>
      </c>
    </row>
    <row r="240" customFormat="false" ht="141" hidden="false" customHeight="false" outlineLevel="1" collapsed="false">
      <c r="A240" s="27"/>
      <c r="B240" s="27" t="s">
        <v>1001</v>
      </c>
      <c r="C240" s="7" t="s">
        <v>1056</v>
      </c>
      <c r="D240" s="27" t="s">
        <v>853</v>
      </c>
      <c r="E240" s="50" t="n">
        <v>292</v>
      </c>
      <c r="F240" s="50" t="n">
        <v>292</v>
      </c>
      <c r="G240" s="27" t="s">
        <v>767</v>
      </c>
      <c r="H240" s="50" t="n">
        <f aca="false">F240</f>
        <v>292</v>
      </c>
      <c r="I240" s="51" t="n">
        <v>1.83</v>
      </c>
      <c r="J240" s="28" t="n">
        <f aca="false">H240*I240</f>
        <v>534.36</v>
      </c>
      <c r="K240" s="52" t="s">
        <v>548</v>
      </c>
      <c r="L240" s="7" t="s">
        <v>961</v>
      </c>
      <c r="M240" s="7" t="s">
        <v>962</v>
      </c>
    </row>
    <row r="241" customFormat="false" ht="26.85" hidden="false" customHeight="false" outlineLevel="1" collapsed="false">
      <c r="A241" s="27"/>
      <c r="B241" s="27" t="s">
        <v>1001</v>
      </c>
      <c r="C241" s="7" t="s">
        <v>1057</v>
      </c>
      <c r="D241" s="27" t="s">
        <v>853</v>
      </c>
      <c r="E241" s="50" t="n">
        <v>2145</v>
      </c>
      <c r="F241" s="50" t="n">
        <v>2145</v>
      </c>
      <c r="G241" s="27" t="s">
        <v>865</v>
      </c>
      <c r="H241" s="50" t="n">
        <f aca="false">F241/IF(Varsayimlar!$B$21=1,1.43,1)</f>
        <v>1500</v>
      </c>
      <c r="I241" s="51" t="n">
        <v>6</v>
      </c>
      <c r="J241" s="28" t="n">
        <f aca="false">H241*I241</f>
        <v>9000</v>
      </c>
      <c r="K241" s="53" t="s">
        <v>551</v>
      </c>
      <c r="L241" s="7" t="s">
        <v>1058</v>
      </c>
      <c r="M241" s="7" t="s">
        <v>1059</v>
      </c>
    </row>
    <row r="242" customFormat="false" ht="77.6" hidden="false" customHeight="false" outlineLevel="1" collapsed="false">
      <c r="A242" s="27"/>
      <c r="B242" s="27" t="s">
        <v>1001</v>
      </c>
      <c r="C242" s="7" t="s">
        <v>1060</v>
      </c>
      <c r="D242" s="27" t="s">
        <v>853</v>
      </c>
      <c r="E242" s="50" t="n">
        <v>192</v>
      </c>
      <c r="F242" s="50" t="n">
        <v>192</v>
      </c>
      <c r="G242" s="27" t="s">
        <v>767</v>
      </c>
      <c r="H242" s="50" t="n">
        <f aca="false">F242</f>
        <v>192</v>
      </c>
      <c r="I242" s="51" t="n">
        <v>8.36</v>
      </c>
      <c r="J242" s="28" t="n">
        <f aca="false">H242*I242</f>
        <v>1605.12</v>
      </c>
      <c r="K242" s="52" t="s">
        <v>548</v>
      </c>
      <c r="L242" s="7" t="s">
        <v>1061</v>
      </c>
      <c r="M242" s="7" t="s">
        <v>1062</v>
      </c>
    </row>
    <row r="243" customFormat="false" ht="52.2" hidden="false" customHeight="false" outlineLevel="1" collapsed="false">
      <c r="A243" s="27"/>
      <c r="B243" s="27" t="s">
        <v>1001</v>
      </c>
      <c r="C243" s="7" t="s">
        <v>1063</v>
      </c>
      <c r="D243" s="27" t="s">
        <v>853</v>
      </c>
      <c r="E243" s="50" t="n">
        <v>311</v>
      </c>
      <c r="F243" s="50" t="n">
        <v>311</v>
      </c>
      <c r="G243" s="27" t="s">
        <v>767</v>
      </c>
      <c r="H243" s="50" t="n">
        <f aca="false">F243</f>
        <v>311</v>
      </c>
      <c r="I243" s="51" t="n">
        <v>30.8</v>
      </c>
      <c r="J243" s="28" t="n">
        <f aca="false">H243*I243</f>
        <v>9578.8</v>
      </c>
      <c r="K243" s="52" t="s">
        <v>548</v>
      </c>
      <c r="L243" s="7" t="s">
        <v>1064</v>
      </c>
      <c r="M243" s="7" t="s">
        <v>1065</v>
      </c>
    </row>
    <row r="244" customFormat="false" ht="52.2" hidden="false" customHeight="false" outlineLevel="1" collapsed="false">
      <c r="A244" s="27"/>
      <c r="B244" s="27" t="s">
        <v>1001</v>
      </c>
      <c r="C244" s="7" t="s">
        <v>1066</v>
      </c>
      <c r="D244" s="27" t="s">
        <v>853</v>
      </c>
      <c r="E244" s="50" t="n">
        <v>2197</v>
      </c>
      <c r="F244" s="50" t="n">
        <v>2197</v>
      </c>
      <c r="G244" s="27" t="s">
        <v>865</v>
      </c>
      <c r="H244" s="50" t="n">
        <f aca="false">F244/IF(Varsayimlar!$B$21=1,1.43,1)</f>
        <v>1536.36363636364</v>
      </c>
      <c r="I244" s="51" t="n">
        <v>15.3</v>
      </c>
      <c r="J244" s="28" t="n">
        <f aca="false">H244*I244</f>
        <v>23506.3636363636</v>
      </c>
      <c r="K244" s="52" t="s">
        <v>548</v>
      </c>
      <c r="L244" s="7" t="s">
        <v>1067</v>
      </c>
      <c r="M244" s="7" t="s">
        <v>1068</v>
      </c>
    </row>
    <row r="245" customFormat="false" ht="26.85" hidden="false" customHeight="false" outlineLevel="1" collapsed="false">
      <c r="A245" s="27"/>
      <c r="B245" s="27" t="s">
        <v>1001</v>
      </c>
      <c r="C245" s="7" t="s">
        <v>1069</v>
      </c>
      <c r="D245" s="27" t="s">
        <v>853</v>
      </c>
      <c r="E245" s="50" t="n">
        <v>143</v>
      </c>
      <c r="F245" s="50" t="n">
        <v>143</v>
      </c>
      <c r="G245" s="27" t="s">
        <v>865</v>
      </c>
      <c r="H245" s="50" t="n">
        <f aca="false">F245/IF(Varsayimlar!$B$21=1,1.43,1)</f>
        <v>100</v>
      </c>
      <c r="I245" s="51" t="n">
        <v>15</v>
      </c>
      <c r="J245" s="28" t="n">
        <f aca="false">H245*I245</f>
        <v>1500</v>
      </c>
      <c r="K245" s="53" t="s">
        <v>551</v>
      </c>
      <c r="L245" s="7" t="s">
        <v>1070</v>
      </c>
      <c r="M245" s="7" t="s">
        <v>1071</v>
      </c>
    </row>
    <row r="246" customFormat="false" ht="52.2" hidden="false" customHeight="false" outlineLevel="1" collapsed="false">
      <c r="A246" s="27"/>
      <c r="B246" s="27" t="s">
        <v>1001</v>
      </c>
      <c r="C246" s="7" t="s">
        <v>1072</v>
      </c>
      <c r="D246" s="27" t="s">
        <v>853</v>
      </c>
      <c r="E246" s="50" t="n">
        <v>2842</v>
      </c>
      <c r="F246" s="50" t="n">
        <v>2842</v>
      </c>
      <c r="G246" s="27" t="s">
        <v>865</v>
      </c>
      <c r="H246" s="50" t="n">
        <f aca="false">F246/IF(Varsayimlar!$B$21=1,1.43,1)</f>
        <v>1987.41258741259</v>
      </c>
      <c r="I246" s="51" t="n">
        <v>3</v>
      </c>
      <c r="J246" s="28" t="n">
        <f aca="false">H246*I246</f>
        <v>5962.23776223776</v>
      </c>
      <c r="K246" s="52" t="s">
        <v>548</v>
      </c>
      <c r="L246" s="7" t="s">
        <v>1073</v>
      </c>
      <c r="M246" s="7" t="s">
        <v>1074</v>
      </c>
    </row>
    <row r="247" customFormat="false" ht="52.2" hidden="false" customHeight="false" outlineLevel="1" collapsed="false">
      <c r="A247" s="27"/>
      <c r="B247" s="27" t="s">
        <v>1001</v>
      </c>
      <c r="C247" s="7" t="s">
        <v>1075</v>
      </c>
      <c r="D247" s="27" t="s">
        <v>853</v>
      </c>
      <c r="E247" s="50" t="n">
        <v>3575</v>
      </c>
      <c r="F247" s="50" t="n">
        <v>3575</v>
      </c>
      <c r="G247" s="27" t="s">
        <v>865</v>
      </c>
      <c r="H247" s="50" t="n">
        <f aca="false">F247/IF(Varsayimlar!$B$21=1,1.43,1)</f>
        <v>2500</v>
      </c>
      <c r="I247" s="51" t="n">
        <v>5.5</v>
      </c>
      <c r="J247" s="28" t="n">
        <f aca="false">H247*I247</f>
        <v>13750</v>
      </c>
      <c r="K247" s="53" t="s">
        <v>551</v>
      </c>
      <c r="L247" s="7" t="s">
        <v>1076</v>
      </c>
      <c r="M247" s="7" t="s">
        <v>1077</v>
      </c>
    </row>
    <row r="248" customFormat="false" ht="26.85" hidden="false" customHeight="false" outlineLevel="1" collapsed="false">
      <c r="A248" s="27"/>
      <c r="B248" s="27" t="s">
        <v>1001</v>
      </c>
      <c r="C248" s="7" t="s">
        <v>1078</v>
      </c>
      <c r="D248" s="27" t="s">
        <v>732</v>
      </c>
      <c r="E248" s="50" t="n">
        <v>1</v>
      </c>
      <c r="F248" s="50" t="n">
        <v>1</v>
      </c>
      <c r="G248" s="27" t="s">
        <v>767</v>
      </c>
      <c r="H248" s="50" t="n">
        <f aca="false">F248</f>
        <v>1</v>
      </c>
      <c r="I248" s="51" t="n">
        <v>3500</v>
      </c>
      <c r="J248" s="28" t="n">
        <f aca="false">H248*I248</f>
        <v>3500</v>
      </c>
      <c r="K248" s="53" t="s">
        <v>551</v>
      </c>
      <c r="L248" s="7" t="s">
        <v>972</v>
      </c>
      <c r="M248" s="7" t="s">
        <v>1079</v>
      </c>
    </row>
    <row r="249" customFormat="false" ht="128.35" hidden="false" customHeight="false" outlineLevel="1" collapsed="false">
      <c r="A249" s="27"/>
      <c r="B249" s="27" t="s">
        <v>1001</v>
      </c>
      <c r="C249" s="7" t="s">
        <v>1080</v>
      </c>
      <c r="D249" s="27" t="s">
        <v>853</v>
      </c>
      <c r="E249" s="50" t="n">
        <v>510</v>
      </c>
      <c r="F249" s="50" t="n">
        <v>510</v>
      </c>
      <c r="G249" s="27" t="s">
        <v>865</v>
      </c>
      <c r="H249" s="50" t="n">
        <f aca="false">F249/IF(Varsayimlar!$B$21=1,1.43,1)</f>
        <v>356.643356643357</v>
      </c>
      <c r="I249" s="51" t="n">
        <v>6.63</v>
      </c>
      <c r="J249" s="28" t="n">
        <f aca="false">H249*I249</f>
        <v>2364.54545454545</v>
      </c>
      <c r="K249" s="52" t="s">
        <v>548</v>
      </c>
      <c r="L249" s="7" t="s">
        <v>1081</v>
      </c>
      <c r="M249" s="7" t="s">
        <v>1082</v>
      </c>
    </row>
    <row r="250" customFormat="false" ht="39.55" hidden="false" customHeight="false" outlineLevel="1" collapsed="false">
      <c r="A250" s="27"/>
      <c r="B250" s="27" t="s">
        <v>1001</v>
      </c>
      <c r="C250" s="7" t="s">
        <v>1083</v>
      </c>
      <c r="D250" s="27" t="s">
        <v>853</v>
      </c>
      <c r="E250" s="50" t="n">
        <v>9328</v>
      </c>
      <c r="F250" s="50" t="n">
        <v>9328</v>
      </c>
      <c r="G250" s="27" t="s">
        <v>865</v>
      </c>
      <c r="H250" s="50" t="n">
        <f aca="false">F250/IF(Varsayimlar!$B$21=1,1.43,1)</f>
        <v>6523.07692307692</v>
      </c>
      <c r="I250" s="51" t="n">
        <v>1.95</v>
      </c>
      <c r="J250" s="28" t="n">
        <f aca="false">H250*I250</f>
        <v>12720</v>
      </c>
      <c r="K250" s="52" t="s">
        <v>548</v>
      </c>
      <c r="L250" s="7" t="s">
        <v>1084</v>
      </c>
      <c r="M250" s="7" t="s">
        <v>1085</v>
      </c>
    </row>
    <row r="251" customFormat="false" ht="153.7" hidden="false" customHeight="false" outlineLevel="1" collapsed="false">
      <c r="A251" s="27"/>
      <c r="B251" s="27" t="s">
        <v>1001</v>
      </c>
      <c r="C251" s="7" t="s">
        <v>1086</v>
      </c>
      <c r="D251" s="27" t="s">
        <v>853</v>
      </c>
      <c r="E251" s="50" t="n">
        <v>142</v>
      </c>
      <c r="F251" s="50" t="n">
        <v>142</v>
      </c>
      <c r="G251" s="27" t="s">
        <v>767</v>
      </c>
      <c r="H251" s="50" t="n">
        <f aca="false">F251</f>
        <v>142</v>
      </c>
      <c r="I251" s="51" t="n">
        <v>4.18</v>
      </c>
      <c r="J251" s="28" t="n">
        <f aca="false">H251*I251</f>
        <v>593.56</v>
      </c>
      <c r="K251" s="52" t="s">
        <v>548</v>
      </c>
      <c r="L251" s="7" t="s">
        <v>1087</v>
      </c>
      <c r="M251" s="7" t="s">
        <v>1088</v>
      </c>
    </row>
    <row r="252" customFormat="false" ht="141" hidden="false" customHeight="false" outlineLevel="1" collapsed="false">
      <c r="A252" s="27"/>
      <c r="B252" s="27" t="s">
        <v>1001</v>
      </c>
      <c r="C252" s="7" t="s">
        <v>1089</v>
      </c>
      <c r="D252" s="27" t="s">
        <v>853</v>
      </c>
      <c r="E252" s="50" t="n">
        <v>72</v>
      </c>
      <c r="F252" s="50" t="n">
        <v>72</v>
      </c>
      <c r="G252" s="27" t="s">
        <v>865</v>
      </c>
      <c r="H252" s="50" t="n">
        <f aca="false">F252/IF(Varsayimlar!$B$21=1,1.43,1)</f>
        <v>50.3496503496504</v>
      </c>
      <c r="I252" s="51" t="n">
        <v>3.27</v>
      </c>
      <c r="J252" s="28" t="n">
        <f aca="false">H252*I252</f>
        <v>164.643356643357</v>
      </c>
      <c r="K252" s="52" t="s">
        <v>548</v>
      </c>
      <c r="L252" s="7" t="s">
        <v>1090</v>
      </c>
      <c r="M252" s="7" t="s">
        <v>1091</v>
      </c>
    </row>
    <row r="253" customFormat="false" ht="77.6" hidden="false" customHeight="false" outlineLevel="1" collapsed="false">
      <c r="A253" s="27"/>
      <c r="B253" s="27" t="s">
        <v>1001</v>
      </c>
      <c r="C253" s="7" t="s">
        <v>1092</v>
      </c>
      <c r="D253" s="27" t="s">
        <v>853</v>
      </c>
      <c r="E253" s="50" t="n">
        <v>72</v>
      </c>
      <c r="F253" s="50" t="n">
        <v>72</v>
      </c>
      <c r="G253" s="27" t="s">
        <v>865</v>
      </c>
      <c r="H253" s="50" t="n">
        <f aca="false">F253/IF(Varsayimlar!$B$21=1,1.43,1)</f>
        <v>50.3496503496504</v>
      </c>
      <c r="I253" s="51" t="n">
        <v>15.94</v>
      </c>
      <c r="J253" s="28" t="n">
        <f aca="false">H253*I253</f>
        <v>802.573426573427</v>
      </c>
      <c r="K253" s="52" t="s">
        <v>548</v>
      </c>
      <c r="L253" s="7" t="s">
        <v>1093</v>
      </c>
      <c r="M253" s="7" t="s">
        <v>1094</v>
      </c>
    </row>
    <row r="254" customFormat="false" ht="15" hidden="false" customHeight="false" outlineLevel="0" collapsed="false">
      <c r="A254" s="48" t="s">
        <v>168</v>
      </c>
      <c r="B254" s="48" t="s">
        <v>1095</v>
      </c>
      <c r="C254" s="48" t="s">
        <v>169</v>
      </c>
      <c r="D254" s="48"/>
      <c r="E254" s="48"/>
      <c r="F254" s="48"/>
      <c r="G254" s="48"/>
      <c r="H254" s="48" t="s">
        <v>765</v>
      </c>
      <c r="I254" s="49" t="n">
        <f aca="false">SUMPRODUCT(E255:E263,I255:I263)</f>
        <v>5388.655</v>
      </c>
      <c r="J254" s="49" t="n">
        <f aca="false">SUM(J255:J263)</f>
        <v>4134.38190909091</v>
      </c>
      <c r="K254" s="48"/>
      <c r="L254" s="48"/>
      <c r="M254" s="48"/>
    </row>
    <row r="255" customFormat="false" ht="77.6" hidden="false" customHeight="false" outlineLevel="1" collapsed="false">
      <c r="A255" s="27"/>
      <c r="B255" s="27" t="s">
        <v>1095</v>
      </c>
      <c r="C255" s="7" t="s">
        <v>1096</v>
      </c>
      <c r="D255" s="27" t="s">
        <v>853</v>
      </c>
      <c r="E255" s="50" t="n">
        <v>33</v>
      </c>
      <c r="F255" s="50" t="n">
        <v>33</v>
      </c>
      <c r="G255" s="27" t="s">
        <v>767</v>
      </c>
      <c r="H255" s="50" t="n">
        <f aca="false">F255</f>
        <v>33</v>
      </c>
      <c r="I255" s="51" t="n">
        <v>4.25</v>
      </c>
      <c r="J255" s="28" t="n">
        <f aca="false">H255*I255</f>
        <v>140.25</v>
      </c>
      <c r="K255" s="52" t="s">
        <v>548</v>
      </c>
      <c r="L255" s="7" t="s">
        <v>1097</v>
      </c>
      <c r="M255" s="7" t="s">
        <v>1098</v>
      </c>
    </row>
    <row r="256" customFormat="false" ht="102.95" hidden="false" customHeight="false" outlineLevel="1" collapsed="false">
      <c r="A256" s="27"/>
      <c r="B256" s="27" t="s">
        <v>1095</v>
      </c>
      <c r="C256" s="7" t="s">
        <v>1099</v>
      </c>
      <c r="D256" s="27" t="s">
        <v>853</v>
      </c>
      <c r="E256" s="50" t="n">
        <v>27.5</v>
      </c>
      <c r="F256" s="50" t="n">
        <v>27.5</v>
      </c>
      <c r="G256" s="27" t="s">
        <v>889</v>
      </c>
      <c r="H256" s="50" t="n">
        <f aca="false">F256/IF(Varsayimlar!$B$21=1,1.1,1)</f>
        <v>25</v>
      </c>
      <c r="I256" s="51" t="n">
        <v>2.21</v>
      </c>
      <c r="J256" s="28" t="n">
        <f aca="false">H256*I256</f>
        <v>55.25</v>
      </c>
      <c r="K256" s="52" t="s">
        <v>548</v>
      </c>
      <c r="L256" s="7" t="s">
        <v>958</v>
      </c>
      <c r="M256" s="7" t="s">
        <v>959</v>
      </c>
    </row>
    <row r="257" customFormat="false" ht="141" hidden="false" customHeight="false" outlineLevel="1" collapsed="false">
      <c r="A257" s="27"/>
      <c r="B257" s="27" t="s">
        <v>1095</v>
      </c>
      <c r="C257" s="7" t="s">
        <v>1100</v>
      </c>
      <c r="D257" s="27" t="s">
        <v>853</v>
      </c>
      <c r="E257" s="50" t="n">
        <v>319</v>
      </c>
      <c r="F257" s="54" t="n">
        <v>297.7</v>
      </c>
      <c r="G257" s="27" t="s">
        <v>767</v>
      </c>
      <c r="H257" s="50" t="n">
        <f aca="false">F257</f>
        <v>297.7</v>
      </c>
      <c r="I257" s="51" t="n">
        <v>1.83</v>
      </c>
      <c r="J257" s="28" t="n">
        <f aca="false">H257*I257</f>
        <v>544.791</v>
      </c>
      <c r="K257" s="52" t="s">
        <v>548</v>
      </c>
      <c r="L257" s="7" t="s">
        <v>961</v>
      </c>
      <c r="M257" s="7" t="s">
        <v>964</v>
      </c>
    </row>
    <row r="258" customFormat="false" ht="77.6" hidden="false" customHeight="false" outlineLevel="1" collapsed="false">
      <c r="A258" s="27"/>
      <c r="B258" s="27" t="s">
        <v>1095</v>
      </c>
      <c r="C258" s="7" t="s">
        <v>1101</v>
      </c>
      <c r="D258" s="27" t="s">
        <v>853</v>
      </c>
      <c r="E258" s="50" t="n">
        <v>66</v>
      </c>
      <c r="F258" s="54" t="n">
        <v>0</v>
      </c>
      <c r="G258" s="27" t="s">
        <v>889</v>
      </c>
      <c r="H258" s="50" t="n">
        <f aca="false">F258/IF(Varsayimlar!$B$21=1,1.1,1)</f>
        <v>0</v>
      </c>
      <c r="I258" s="51" t="n">
        <v>2.96</v>
      </c>
      <c r="J258" s="28" t="n">
        <f aca="false">H258*I258</f>
        <v>0</v>
      </c>
      <c r="K258" s="55" t="s">
        <v>555</v>
      </c>
      <c r="L258" s="7" t="s">
        <v>985</v>
      </c>
      <c r="M258" s="7" t="s">
        <v>986</v>
      </c>
    </row>
    <row r="259" customFormat="false" ht="39.55" hidden="false" customHeight="false" outlineLevel="1" collapsed="false">
      <c r="A259" s="27"/>
      <c r="B259" s="27" t="s">
        <v>1095</v>
      </c>
      <c r="C259" s="7" t="s">
        <v>1102</v>
      </c>
      <c r="D259" s="27" t="s">
        <v>853</v>
      </c>
      <c r="E259" s="50" t="n">
        <v>439</v>
      </c>
      <c r="F259" s="50" t="n">
        <v>439</v>
      </c>
      <c r="G259" s="27" t="s">
        <v>865</v>
      </c>
      <c r="H259" s="50" t="n">
        <f aca="false">F259/IF(Varsayimlar!$B$21=1,1.43,1)</f>
        <v>306.993006993007</v>
      </c>
      <c r="I259" s="51" t="n">
        <v>4.5</v>
      </c>
      <c r="J259" s="28" t="n">
        <f aca="false">H259*I259</f>
        <v>1381.46853146853</v>
      </c>
      <c r="K259" s="53" t="s">
        <v>551</v>
      </c>
      <c r="L259" s="7" t="s">
        <v>966</v>
      </c>
      <c r="M259" s="7" t="s">
        <v>967</v>
      </c>
    </row>
    <row r="260" customFormat="false" ht="77.6" hidden="false" customHeight="false" outlineLevel="1" collapsed="false">
      <c r="A260" s="27"/>
      <c r="B260" s="27" t="s">
        <v>1095</v>
      </c>
      <c r="C260" s="7" t="s">
        <v>1103</v>
      </c>
      <c r="D260" s="27" t="s">
        <v>853</v>
      </c>
      <c r="E260" s="50" t="n">
        <v>36</v>
      </c>
      <c r="F260" s="50" t="n">
        <v>36</v>
      </c>
      <c r="G260" s="27" t="s">
        <v>767</v>
      </c>
      <c r="H260" s="50" t="n">
        <f aca="false">F260</f>
        <v>36</v>
      </c>
      <c r="I260" s="51" t="n">
        <v>13.75</v>
      </c>
      <c r="J260" s="28" t="n">
        <f aca="false">H260*I260</f>
        <v>495</v>
      </c>
      <c r="K260" s="52" t="s">
        <v>548</v>
      </c>
      <c r="L260" s="7" t="s">
        <v>969</v>
      </c>
      <c r="M260" s="7" t="s">
        <v>970</v>
      </c>
    </row>
    <row r="261" customFormat="false" ht="26.85" hidden="false" customHeight="false" outlineLevel="1" collapsed="false">
      <c r="A261" s="27"/>
      <c r="B261" s="27" t="s">
        <v>1095</v>
      </c>
      <c r="C261" s="7" t="s">
        <v>971</v>
      </c>
      <c r="D261" s="27" t="s">
        <v>727</v>
      </c>
      <c r="E261" s="50" t="n">
        <v>4</v>
      </c>
      <c r="F261" s="50" t="n">
        <v>4</v>
      </c>
      <c r="G261" s="27" t="s">
        <v>767</v>
      </c>
      <c r="H261" s="50" t="n">
        <f aca="false">F261</f>
        <v>4</v>
      </c>
      <c r="I261" s="51" t="n">
        <v>60</v>
      </c>
      <c r="J261" s="28" t="n">
        <f aca="false">H261*I261</f>
        <v>240</v>
      </c>
      <c r="K261" s="53" t="s">
        <v>551</v>
      </c>
      <c r="L261" s="7" t="s">
        <v>972</v>
      </c>
      <c r="M261" s="7" t="s">
        <v>971</v>
      </c>
    </row>
    <row r="262" customFormat="false" ht="26.85" hidden="false" customHeight="false" outlineLevel="1" collapsed="false">
      <c r="A262" s="27"/>
      <c r="B262" s="27" t="s">
        <v>1095</v>
      </c>
      <c r="C262" s="7" t="s">
        <v>973</v>
      </c>
      <c r="D262" s="27" t="s">
        <v>732</v>
      </c>
      <c r="E262" s="50" t="n">
        <v>1</v>
      </c>
      <c r="F262" s="50" t="n">
        <v>1</v>
      </c>
      <c r="G262" s="27" t="s">
        <v>767</v>
      </c>
      <c r="H262" s="50" t="n">
        <f aca="false">F262</f>
        <v>1</v>
      </c>
      <c r="I262" s="51" t="n">
        <v>300</v>
      </c>
      <c r="J262" s="28" t="n">
        <f aca="false">H262*I262</f>
        <v>300</v>
      </c>
      <c r="K262" s="53" t="s">
        <v>551</v>
      </c>
      <c r="L262" s="7" t="s">
        <v>972</v>
      </c>
      <c r="M262" s="7" t="s">
        <v>974</v>
      </c>
    </row>
    <row r="263" customFormat="false" ht="39.55" hidden="false" customHeight="false" outlineLevel="1" collapsed="false">
      <c r="A263" s="27"/>
      <c r="B263" s="27" t="s">
        <v>1095</v>
      </c>
      <c r="C263" s="7" t="s">
        <v>975</v>
      </c>
      <c r="D263" s="27" t="s">
        <v>853</v>
      </c>
      <c r="E263" s="50" t="n">
        <v>466</v>
      </c>
      <c r="F263" s="50" t="n">
        <v>466</v>
      </c>
      <c r="G263" s="27" t="s">
        <v>865</v>
      </c>
      <c r="H263" s="50" t="n">
        <f aca="false">F263/IF(Varsayimlar!$B$21=1,1.43,1)</f>
        <v>325.874125874126</v>
      </c>
      <c r="I263" s="51" t="n">
        <v>3</v>
      </c>
      <c r="J263" s="28" t="n">
        <f aca="false">H263*I263</f>
        <v>977.622377622378</v>
      </c>
      <c r="K263" s="53" t="s">
        <v>551</v>
      </c>
      <c r="L263" s="7" t="s">
        <v>966</v>
      </c>
      <c r="M263" s="7" t="s">
        <v>976</v>
      </c>
    </row>
    <row r="264" customFormat="false" ht="15" hidden="false" customHeight="false" outlineLevel="0" collapsed="false">
      <c r="A264" s="48" t="s">
        <v>170</v>
      </c>
      <c r="B264" s="48" t="s">
        <v>1104</v>
      </c>
      <c r="C264" s="48" t="s">
        <v>171</v>
      </c>
      <c r="D264" s="48"/>
      <c r="E264" s="48"/>
      <c r="F264" s="48"/>
      <c r="G264" s="48"/>
      <c r="H264" s="48" t="s">
        <v>765</v>
      </c>
      <c r="I264" s="49" t="n">
        <f aca="false">SUMPRODUCT(E265:E275,I265:I275)</f>
        <v>412321.79</v>
      </c>
      <c r="J264" s="49" t="n">
        <f aca="false">SUM(J265:J275)</f>
        <v>350914.769552448</v>
      </c>
      <c r="K264" s="48"/>
      <c r="L264" s="48"/>
      <c r="M264" s="48"/>
    </row>
    <row r="265" customFormat="false" ht="64.9" hidden="false" customHeight="false" outlineLevel="1" collapsed="false">
      <c r="A265" s="27"/>
      <c r="B265" s="27" t="s">
        <v>1104</v>
      </c>
      <c r="C265" s="7" t="s">
        <v>1105</v>
      </c>
      <c r="D265" s="27" t="s">
        <v>853</v>
      </c>
      <c r="E265" s="50" t="n">
        <v>1419</v>
      </c>
      <c r="F265" s="54" t="n">
        <v>1393</v>
      </c>
      <c r="G265" s="27" t="s">
        <v>889</v>
      </c>
      <c r="H265" s="50" t="n">
        <f aca="false">F265/IF(Varsayimlar!$B$21=1,1.1,1)</f>
        <v>1266.36363636364</v>
      </c>
      <c r="I265" s="51" t="n">
        <v>85.4</v>
      </c>
      <c r="J265" s="28" t="n">
        <f aca="false">H265*I265</f>
        <v>108147.454545455</v>
      </c>
      <c r="K265" s="52" t="s">
        <v>548</v>
      </c>
      <c r="L265" s="7" t="s">
        <v>1106</v>
      </c>
      <c r="M265" s="7" t="s">
        <v>1107</v>
      </c>
    </row>
    <row r="266" customFormat="false" ht="39.55" hidden="false" customHeight="false" outlineLevel="1" collapsed="false">
      <c r="A266" s="27"/>
      <c r="B266" s="27" t="s">
        <v>1104</v>
      </c>
      <c r="C266" s="7" t="s">
        <v>1108</v>
      </c>
      <c r="D266" s="27" t="s">
        <v>853</v>
      </c>
      <c r="E266" s="50" t="n">
        <v>1749</v>
      </c>
      <c r="F266" s="54" t="n">
        <v>1717</v>
      </c>
      <c r="G266" s="27" t="s">
        <v>889</v>
      </c>
      <c r="H266" s="50" t="n">
        <f aca="false">F266/IF(Varsayimlar!$B$21=1,1.1,1)</f>
        <v>1560.90909090909</v>
      </c>
      <c r="I266" s="51" t="n">
        <v>56.5</v>
      </c>
      <c r="J266" s="28" t="n">
        <f aca="false">H266*I266</f>
        <v>88191.3636363636</v>
      </c>
      <c r="K266" s="52" t="s">
        <v>548</v>
      </c>
      <c r="L266" s="7" t="s">
        <v>1109</v>
      </c>
      <c r="M266" s="7" t="s">
        <v>1110</v>
      </c>
    </row>
    <row r="267" customFormat="false" ht="26.85" hidden="false" customHeight="false" outlineLevel="1" collapsed="false">
      <c r="A267" s="27"/>
      <c r="B267" s="27" t="s">
        <v>1104</v>
      </c>
      <c r="C267" s="7" t="s">
        <v>1111</v>
      </c>
      <c r="D267" s="27" t="s">
        <v>853</v>
      </c>
      <c r="E267" s="50" t="n">
        <v>726</v>
      </c>
      <c r="F267" s="54" t="n">
        <v>712.7</v>
      </c>
      <c r="G267" s="27" t="s">
        <v>889</v>
      </c>
      <c r="H267" s="50" t="n">
        <f aca="false">F267/IF(Varsayimlar!$B$21=1,1.1,1)</f>
        <v>647.909090909091</v>
      </c>
      <c r="I267" s="51" t="n">
        <v>44</v>
      </c>
      <c r="J267" s="28" t="n">
        <f aca="false">H267*I267</f>
        <v>28508</v>
      </c>
      <c r="K267" s="52" t="s">
        <v>548</v>
      </c>
      <c r="L267" s="7" t="s">
        <v>1112</v>
      </c>
      <c r="M267" s="7" t="s">
        <v>1113</v>
      </c>
    </row>
    <row r="268" customFormat="false" ht="39.55" hidden="false" customHeight="false" outlineLevel="1" collapsed="false">
      <c r="A268" s="27"/>
      <c r="B268" s="27" t="s">
        <v>1104</v>
      </c>
      <c r="C268" s="7" t="s">
        <v>1114</v>
      </c>
      <c r="D268" s="27" t="s">
        <v>853</v>
      </c>
      <c r="E268" s="50" t="n">
        <v>902</v>
      </c>
      <c r="F268" s="54" t="n">
        <v>885.5</v>
      </c>
      <c r="G268" s="27" t="s">
        <v>889</v>
      </c>
      <c r="H268" s="50" t="n">
        <f aca="false">F268/IF(Varsayimlar!$B$21=1,1.1,1)</f>
        <v>805</v>
      </c>
      <c r="I268" s="51" t="n">
        <v>32.3</v>
      </c>
      <c r="J268" s="28" t="n">
        <f aca="false">H268*I268</f>
        <v>26001.5</v>
      </c>
      <c r="K268" s="52" t="s">
        <v>548</v>
      </c>
      <c r="L268" s="7" t="s">
        <v>1115</v>
      </c>
      <c r="M268" s="7" t="s">
        <v>1116</v>
      </c>
    </row>
    <row r="269" customFormat="false" ht="39.55" hidden="false" customHeight="false" outlineLevel="1" collapsed="false">
      <c r="A269" s="27"/>
      <c r="B269" s="27" t="s">
        <v>1104</v>
      </c>
      <c r="C269" s="7" t="s">
        <v>1117</v>
      </c>
      <c r="D269" s="27" t="s">
        <v>853</v>
      </c>
      <c r="E269" s="50" t="n">
        <v>2789.6</v>
      </c>
      <c r="F269" s="54" t="n">
        <v>2738.6</v>
      </c>
      <c r="G269" s="27" t="s">
        <v>767</v>
      </c>
      <c r="H269" s="50" t="n">
        <f aca="false">F269</f>
        <v>2738.6</v>
      </c>
      <c r="I269" s="51" t="n">
        <v>7.25</v>
      </c>
      <c r="J269" s="28" t="n">
        <f aca="false">H269*I269</f>
        <v>19854.85</v>
      </c>
      <c r="K269" s="52" t="s">
        <v>548</v>
      </c>
      <c r="L269" s="7" t="s">
        <v>1118</v>
      </c>
      <c r="M269" s="7" t="s">
        <v>1119</v>
      </c>
    </row>
    <row r="270" customFormat="false" ht="26.85" hidden="false" customHeight="false" outlineLevel="1" collapsed="false">
      <c r="A270" s="27"/>
      <c r="B270" s="27" t="s">
        <v>1104</v>
      </c>
      <c r="C270" s="7" t="s">
        <v>1120</v>
      </c>
      <c r="D270" s="27" t="s">
        <v>727</v>
      </c>
      <c r="E270" s="50" t="n">
        <v>48</v>
      </c>
      <c r="F270" s="50" t="n">
        <v>48</v>
      </c>
      <c r="G270" s="27" t="s">
        <v>829</v>
      </c>
      <c r="H270" s="50" t="n">
        <f aca="false">F270/IF(Varsayimlar!$B$21=1,1.3,1)</f>
        <v>36.9230769230769</v>
      </c>
      <c r="I270" s="51" t="n">
        <v>35</v>
      </c>
      <c r="J270" s="28" t="n">
        <f aca="false">H270*I270</f>
        <v>1292.30769230769</v>
      </c>
      <c r="K270" s="53" t="s">
        <v>551</v>
      </c>
      <c r="L270" s="7" t="s">
        <v>972</v>
      </c>
      <c r="M270" s="7" t="s">
        <v>1121</v>
      </c>
    </row>
    <row r="271" customFormat="false" ht="26.85" hidden="false" customHeight="false" outlineLevel="1" collapsed="false">
      <c r="A271" s="27"/>
      <c r="B271" s="27" t="s">
        <v>1104</v>
      </c>
      <c r="C271" s="7" t="s">
        <v>1122</v>
      </c>
      <c r="D271" s="27" t="s">
        <v>727</v>
      </c>
      <c r="E271" s="50" t="n">
        <v>5977</v>
      </c>
      <c r="F271" s="50" t="n">
        <v>5977</v>
      </c>
      <c r="G271" s="27" t="s">
        <v>829</v>
      </c>
      <c r="H271" s="50" t="n">
        <f aca="false">F271/IF(Varsayimlar!$B$21=1,1.3,1)</f>
        <v>4597.69230769231</v>
      </c>
      <c r="I271" s="51" t="n">
        <v>4</v>
      </c>
      <c r="J271" s="28" t="n">
        <f aca="false">H271*I271</f>
        <v>18390.7692307692</v>
      </c>
      <c r="K271" s="53" t="s">
        <v>551</v>
      </c>
      <c r="L271" s="7" t="s">
        <v>1123</v>
      </c>
      <c r="M271" s="7" t="s">
        <v>1124</v>
      </c>
    </row>
    <row r="272" customFormat="false" ht="39.55" hidden="false" customHeight="false" outlineLevel="1" collapsed="false">
      <c r="A272" s="27"/>
      <c r="B272" s="27" t="s">
        <v>1104</v>
      </c>
      <c r="C272" s="7" t="s">
        <v>1125</v>
      </c>
      <c r="D272" s="27" t="s">
        <v>853</v>
      </c>
      <c r="E272" s="50" t="n">
        <v>858</v>
      </c>
      <c r="F272" s="54" t="n">
        <v>842.3</v>
      </c>
      <c r="G272" s="27" t="s">
        <v>865</v>
      </c>
      <c r="H272" s="50" t="n">
        <f aca="false">F272/IF(Varsayimlar!$B$21=1,1.43,1)</f>
        <v>589.020979020979</v>
      </c>
      <c r="I272" s="51" t="n">
        <v>8</v>
      </c>
      <c r="J272" s="28" t="n">
        <f aca="false">H272*I272</f>
        <v>4712.16783216783</v>
      </c>
      <c r="K272" s="53" t="s">
        <v>551</v>
      </c>
      <c r="L272" s="7" t="s">
        <v>966</v>
      </c>
      <c r="M272" s="7" t="s">
        <v>1126</v>
      </c>
    </row>
    <row r="273" customFormat="false" ht="39.55" hidden="false" customHeight="false" outlineLevel="1" collapsed="false">
      <c r="A273" s="27"/>
      <c r="B273" s="27" t="s">
        <v>1104</v>
      </c>
      <c r="C273" s="7" t="s">
        <v>1127</v>
      </c>
      <c r="D273" s="27" t="s">
        <v>853</v>
      </c>
      <c r="E273" s="50" t="n">
        <v>20672</v>
      </c>
      <c r="F273" s="54" t="n">
        <v>20293.9</v>
      </c>
      <c r="G273" s="27" t="s">
        <v>865</v>
      </c>
      <c r="H273" s="50" t="n">
        <f aca="false">F273/IF(Varsayimlar!$B$21=1,1.43,1)</f>
        <v>14191.5384615385</v>
      </c>
      <c r="I273" s="51" t="n">
        <v>3.5</v>
      </c>
      <c r="J273" s="28" t="n">
        <f aca="false">H273*I273</f>
        <v>49670.3846153846</v>
      </c>
      <c r="K273" s="53" t="s">
        <v>551</v>
      </c>
      <c r="L273" s="7" t="s">
        <v>1128</v>
      </c>
      <c r="M273" s="7" t="s">
        <v>1129</v>
      </c>
    </row>
    <row r="274" customFormat="false" ht="52.2" hidden="false" customHeight="false" outlineLevel="1" collapsed="false">
      <c r="A274" s="27"/>
      <c r="B274" s="27" t="s">
        <v>1104</v>
      </c>
      <c r="C274" s="7" t="s">
        <v>1130</v>
      </c>
      <c r="D274" s="27" t="s">
        <v>853</v>
      </c>
      <c r="E274" s="50" t="n">
        <v>363</v>
      </c>
      <c r="F274" s="54" t="n">
        <v>356.4</v>
      </c>
      <c r="G274" s="27" t="s">
        <v>767</v>
      </c>
      <c r="H274" s="50" t="n">
        <f aca="false">F274</f>
        <v>356.4</v>
      </c>
      <c r="I274" s="51" t="n">
        <v>10.23</v>
      </c>
      <c r="J274" s="28" t="n">
        <f aca="false">H274*I274</f>
        <v>3645.972</v>
      </c>
      <c r="K274" s="52" t="s">
        <v>548</v>
      </c>
      <c r="L274" s="7" t="s">
        <v>1042</v>
      </c>
      <c r="M274" s="7" t="s">
        <v>1131</v>
      </c>
    </row>
    <row r="275" customFormat="false" ht="26.85" hidden="false" customHeight="false" outlineLevel="1" collapsed="false">
      <c r="A275" s="27"/>
      <c r="B275" s="27" t="s">
        <v>1104</v>
      </c>
      <c r="C275" s="7" t="s">
        <v>1132</v>
      </c>
      <c r="D275" s="27" t="s">
        <v>732</v>
      </c>
      <c r="E275" s="50" t="n">
        <v>1</v>
      </c>
      <c r="F275" s="50" t="n">
        <v>1</v>
      </c>
      <c r="G275" s="27" t="s">
        <v>767</v>
      </c>
      <c r="H275" s="50" t="n">
        <f aca="false">F275</f>
        <v>1</v>
      </c>
      <c r="I275" s="51" t="n">
        <v>2500</v>
      </c>
      <c r="J275" s="28" t="n">
        <f aca="false">H275*I275</f>
        <v>2500</v>
      </c>
      <c r="K275" s="53" t="s">
        <v>551</v>
      </c>
      <c r="L275" s="7" t="s">
        <v>972</v>
      </c>
      <c r="M275" s="7" t="s">
        <v>1133</v>
      </c>
    </row>
    <row r="276" customFormat="false" ht="15" hidden="false" customHeight="false" outlineLevel="0" collapsed="false">
      <c r="A276" s="48" t="s">
        <v>172</v>
      </c>
      <c r="B276" s="48" t="s">
        <v>1134</v>
      </c>
      <c r="C276" s="48" t="s">
        <v>173</v>
      </c>
      <c r="D276" s="48"/>
      <c r="E276" s="48"/>
      <c r="F276" s="48"/>
      <c r="G276" s="48"/>
      <c r="H276" s="48" t="s">
        <v>765</v>
      </c>
      <c r="I276" s="49" t="n">
        <f aca="false">SUMPRODUCT(E277:E284,I277:I284)</f>
        <v>79000</v>
      </c>
      <c r="J276" s="49" t="n">
        <f aca="false">SUM(J277:J284)</f>
        <v>79000</v>
      </c>
      <c r="K276" s="48"/>
      <c r="L276" s="48"/>
      <c r="M276" s="48"/>
    </row>
    <row r="277" customFormat="false" ht="39.55" hidden="false" customHeight="false" outlineLevel="1" collapsed="false">
      <c r="A277" s="27"/>
      <c r="B277" s="27" t="s">
        <v>1134</v>
      </c>
      <c r="C277" s="7" t="s">
        <v>1135</v>
      </c>
      <c r="D277" s="27" t="s">
        <v>732</v>
      </c>
      <c r="E277" s="50" t="n">
        <v>1</v>
      </c>
      <c r="F277" s="50" t="n">
        <v>1</v>
      </c>
      <c r="G277" s="27" t="s">
        <v>767</v>
      </c>
      <c r="H277" s="50" t="n">
        <f aca="false">F277</f>
        <v>1</v>
      </c>
      <c r="I277" s="51" t="n">
        <v>18000</v>
      </c>
      <c r="J277" s="28" t="n">
        <f aca="false">H277*I277</f>
        <v>18000</v>
      </c>
      <c r="K277" s="53" t="s">
        <v>551</v>
      </c>
      <c r="L277" s="7" t="s">
        <v>1136</v>
      </c>
      <c r="M277" s="7" t="s">
        <v>1137</v>
      </c>
    </row>
    <row r="278" customFormat="false" ht="39.55" hidden="false" customHeight="false" outlineLevel="1" collapsed="false">
      <c r="A278" s="27"/>
      <c r="B278" s="27" t="s">
        <v>1134</v>
      </c>
      <c r="C278" s="7" t="s">
        <v>1138</v>
      </c>
      <c r="D278" s="27" t="s">
        <v>732</v>
      </c>
      <c r="E278" s="50" t="n">
        <v>1</v>
      </c>
      <c r="F278" s="50" t="n">
        <v>1</v>
      </c>
      <c r="G278" s="27" t="s">
        <v>767</v>
      </c>
      <c r="H278" s="50" t="n">
        <f aca="false">F278</f>
        <v>1</v>
      </c>
      <c r="I278" s="51" t="n">
        <v>22000</v>
      </c>
      <c r="J278" s="28" t="n">
        <f aca="false">H278*I278</f>
        <v>22000</v>
      </c>
      <c r="K278" s="53" t="s">
        <v>551</v>
      </c>
      <c r="L278" s="7" t="s">
        <v>1136</v>
      </c>
      <c r="M278" s="7" t="s">
        <v>1137</v>
      </c>
    </row>
    <row r="279" customFormat="false" ht="39.55" hidden="false" customHeight="false" outlineLevel="1" collapsed="false">
      <c r="A279" s="27"/>
      <c r="B279" s="27" t="s">
        <v>1134</v>
      </c>
      <c r="C279" s="7" t="s">
        <v>1139</v>
      </c>
      <c r="D279" s="27" t="s">
        <v>732</v>
      </c>
      <c r="E279" s="50" t="n">
        <v>1</v>
      </c>
      <c r="F279" s="50" t="n">
        <v>1</v>
      </c>
      <c r="G279" s="27" t="s">
        <v>767</v>
      </c>
      <c r="H279" s="50" t="n">
        <f aca="false">F279</f>
        <v>1</v>
      </c>
      <c r="I279" s="51" t="n">
        <v>6000</v>
      </c>
      <c r="J279" s="28" t="n">
        <f aca="false">H279*I279</f>
        <v>6000</v>
      </c>
      <c r="K279" s="53" t="s">
        <v>551</v>
      </c>
      <c r="L279" s="7" t="s">
        <v>1136</v>
      </c>
      <c r="M279" s="7" t="s">
        <v>1140</v>
      </c>
    </row>
    <row r="280" customFormat="false" ht="39.55" hidden="false" customHeight="false" outlineLevel="1" collapsed="false">
      <c r="A280" s="27"/>
      <c r="B280" s="27" t="s">
        <v>1134</v>
      </c>
      <c r="C280" s="7" t="s">
        <v>1141</v>
      </c>
      <c r="D280" s="27" t="s">
        <v>732</v>
      </c>
      <c r="E280" s="50" t="n">
        <v>1</v>
      </c>
      <c r="F280" s="50" t="n">
        <v>1</v>
      </c>
      <c r="G280" s="27" t="s">
        <v>767</v>
      </c>
      <c r="H280" s="50" t="n">
        <f aca="false">F280</f>
        <v>1</v>
      </c>
      <c r="I280" s="51" t="n">
        <v>12000</v>
      </c>
      <c r="J280" s="28" t="n">
        <f aca="false">H280*I280</f>
        <v>12000</v>
      </c>
      <c r="K280" s="53" t="s">
        <v>551</v>
      </c>
      <c r="L280" s="7" t="s">
        <v>1136</v>
      </c>
      <c r="M280" s="7" t="s">
        <v>1142</v>
      </c>
    </row>
    <row r="281" customFormat="false" ht="39.55" hidden="false" customHeight="false" outlineLevel="1" collapsed="false">
      <c r="A281" s="27"/>
      <c r="B281" s="27" t="s">
        <v>1134</v>
      </c>
      <c r="C281" s="7" t="s">
        <v>1143</v>
      </c>
      <c r="D281" s="27" t="s">
        <v>732</v>
      </c>
      <c r="E281" s="50" t="n">
        <v>1</v>
      </c>
      <c r="F281" s="50" t="n">
        <v>1</v>
      </c>
      <c r="G281" s="27" t="s">
        <v>767</v>
      </c>
      <c r="H281" s="50" t="n">
        <f aca="false">F281</f>
        <v>1</v>
      </c>
      <c r="I281" s="51" t="n">
        <v>6000</v>
      </c>
      <c r="J281" s="28" t="n">
        <f aca="false">H281*I281</f>
        <v>6000</v>
      </c>
      <c r="K281" s="53" t="s">
        <v>551</v>
      </c>
      <c r="L281" s="7" t="s">
        <v>1136</v>
      </c>
      <c r="M281" s="7" t="s">
        <v>1144</v>
      </c>
    </row>
    <row r="282" customFormat="false" ht="26.85" hidden="false" customHeight="false" outlineLevel="1" collapsed="false">
      <c r="A282" s="27"/>
      <c r="B282" s="27" t="s">
        <v>1134</v>
      </c>
      <c r="C282" s="7" t="s">
        <v>1145</v>
      </c>
      <c r="D282" s="27" t="s">
        <v>732</v>
      </c>
      <c r="E282" s="50" t="n">
        <v>1</v>
      </c>
      <c r="F282" s="50" t="n">
        <v>1</v>
      </c>
      <c r="G282" s="27" t="s">
        <v>767</v>
      </c>
      <c r="H282" s="50" t="n">
        <f aca="false">F282</f>
        <v>1</v>
      </c>
      <c r="I282" s="51" t="n">
        <v>4000</v>
      </c>
      <c r="J282" s="28" t="n">
        <f aca="false">H282*I282</f>
        <v>4000</v>
      </c>
      <c r="K282" s="53" t="s">
        <v>551</v>
      </c>
      <c r="L282" s="7" t="s">
        <v>1146</v>
      </c>
      <c r="M282" s="7" t="s">
        <v>1147</v>
      </c>
    </row>
    <row r="283" customFormat="false" ht="26.85" hidden="false" customHeight="false" outlineLevel="1" collapsed="false">
      <c r="A283" s="27"/>
      <c r="B283" s="27" t="s">
        <v>1134</v>
      </c>
      <c r="C283" s="7" t="s">
        <v>1148</v>
      </c>
      <c r="D283" s="27" t="s">
        <v>732</v>
      </c>
      <c r="E283" s="50" t="n">
        <v>1</v>
      </c>
      <c r="F283" s="50" t="n">
        <v>1</v>
      </c>
      <c r="G283" s="27" t="s">
        <v>767</v>
      </c>
      <c r="H283" s="50" t="n">
        <f aca="false">F283</f>
        <v>1</v>
      </c>
      <c r="I283" s="51" t="n">
        <v>3000</v>
      </c>
      <c r="J283" s="28" t="n">
        <f aca="false">H283*I283</f>
        <v>3000</v>
      </c>
      <c r="K283" s="53" t="s">
        <v>551</v>
      </c>
      <c r="L283" s="7" t="s">
        <v>1146</v>
      </c>
      <c r="M283" s="7" t="s">
        <v>1149</v>
      </c>
    </row>
    <row r="284" customFormat="false" ht="39.55" hidden="false" customHeight="false" outlineLevel="1" collapsed="false">
      <c r="A284" s="27"/>
      <c r="B284" s="27" t="s">
        <v>1134</v>
      </c>
      <c r="C284" s="7" t="s">
        <v>1150</v>
      </c>
      <c r="D284" s="27" t="s">
        <v>732</v>
      </c>
      <c r="E284" s="50" t="n">
        <v>1</v>
      </c>
      <c r="F284" s="50" t="n">
        <v>1</v>
      </c>
      <c r="G284" s="27" t="s">
        <v>767</v>
      </c>
      <c r="H284" s="50" t="n">
        <f aca="false">F284</f>
        <v>1</v>
      </c>
      <c r="I284" s="51" t="n">
        <v>8000</v>
      </c>
      <c r="J284" s="28" t="n">
        <f aca="false">H284*I284</f>
        <v>8000</v>
      </c>
      <c r="K284" s="53" t="s">
        <v>551</v>
      </c>
      <c r="L284" s="7" t="s">
        <v>1136</v>
      </c>
      <c r="M284" s="7" t="s">
        <v>1151</v>
      </c>
    </row>
    <row r="285" customFormat="false" ht="15" hidden="false" customHeight="false" outlineLevel="0" collapsed="false">
      <c r="A285" s="48" t="s">
        <v>174</v>
      </c>
      <c r="B285" s="48" t="s">
        <v>1152</v>
      </c>
      <c r="C285" s="48" t="s">
        <v>175</v>
      </c>
      <c r="D285" s="48"/>
      <c r="E285" s="48"/>
      <c r="F285" s="48"/>
      <c r="G285" s="48"/>
      <c r="H285" s="48" t="s">
        <v>765</v>
      </c>
      <c r="I285" s="49" t="n">
        <f aca="false">SUMPRODUCT(E286:E304,I286:I304)</f>
        <v>57260.32</v>
      </c>
      <c r="J285" s="49" t="n">
        <f aca="false">SUM(J286:J304)</f>
        <v>52608.8755244755</v>
      </c>
      <c r="K285" s="48"/>
      <c r="L285" s="48"/>
      <c r="M285" s="48"/>
    </row>
    <row r="286" customFormat="false" ht="39.55" hidden="false" customHeight="false" outlineLevel="1" collapsed="false">
      <c r="A286" s="27"/>
      <c r="B286" s="27" t="s">
        <v>1152</v>
      </c>
      <c r="C286" s="7" t="s">
        <v>1153</v>
      </c>
      <c r="D286" s="27" t="s">
        <v>727</v>
      </c>
      <c r="E286" s="50" t="n">
        <v>32</v>
      </c>
      <c r="F286" s="50" t="n">
        <v>32</v>
      </c>
      <c r="G286" s="27" t="s">
        <v>829</v>
      </c>
      <c r="H286" s="50" t="n">
        <f aca="false">F286/IF(Varsayimlar!$B$21=1,1.3,1)</f>
        <v>24.6153846153846</v>
      </c>
      <c r="I286" s="51" t="n">
        <v>267</v>
      </c>
      <c r="J286" s="28" t="n">
        <f aca="false">H286*I286</f>
        <v>6572.30769230769</v>
      </c>
      <c r="K286" s="52" t="s">
        <v>548</v>
      </c>
      <c r="L286" s="7" t="s">
        <v>1154</v>
      </c>
      <c r="M286" s="7" t="s">
        <v>1155</v>
      </c>
    </row>
    <row r="287" customFormat="false" ht="52.2" hidden="false" customHeight="false" outlineLevel="1" collapsed="false">
      <c r="A287" s="27"/>
      <c r="B287" s="27" t="s">
        <v>1152</v>
      </c>
      <c r="C287" s="7" t="s">
        <v>1156</v>
      </c>
      <c r="D287" s="27" t="s">
        <v>727</v>
      </c>
      <c r="E287" s="50" t="n">
        <v>12</v>
      </c>
      <c r="F287" s="50" t="n">
        <v>12</v>
      </c>
      <c r="G287" s="27" t="s">
        <v>767</v>
      </c>
      <c r="H287" s="50" t="n">
        <f aca="false">F287</f>
        <v>12</v>
      </c>
      <c r="I287" s="51" t="n">
        <v>550</v>
      </c>
      <c r="J287" s="28" t="n">
        <f aca="false">H287*I287</f>
        <v>6600</v>
      </c>
      <c r="K287" s="53" t="s">
        <v>551</v>
      </c>
      <c r="L287" s="7" t="s">
        <v>1157</v>
      </c>
      <c r="M287" s="7" t="s">
        <v>1158</v>
      </c>
    </row>
    <row r="288" customFormat="false" ht="39.55" hidden="false" customHeight="false" outlineLevel="1" collapsed="false">
      <c r="A288" s="27"/>
      <c r="B288" s="27" t="s">
        <v>1152</v>
      </c>
      <c r="C288" s="7" t="s">
        <v>1159</v>
      </c>
      <c r="D288" s="27" t="s">
        <v>727</v>
      </c>
      <c r="E288" s="50" t="n">
        <v>6</v>
      </c>
      <c r="F288" s="50" t="n">
        <v>6</v>
      </c>
      <c r="G288" s="27" t="s">
        <v>767</v>
      </c>
      <c r="H288" s="50" t="n">
        <f aca="false">F288</f>
        <v>6</v>
      </c>
      <c r="I288" s="51" t="n">
        <v>227.4</v>
      </c>
      <c r="J288" s="28" t="n">
        <f aca="false">H288*I288</f>
        <v>1364.4</v>
      </c>
      <c r="K288" s="52" t="s">
        <v>548</v>
      </c>
      <c r="L288" s="7" t="s">
        <v>1160</v>
      </c>
      <c r="M288" s="7" t="s">
        <v>1161</v>
      </c>
    </row>
    <row r="289" customFormat="false" ht="77.6" hidden="false" customHeight="false" outlineLevel="1" collapsed="false">
      <c r="A289" s="27"/>
      <c r="B289" s="27" t="s">
        <v>1152</v>
      </c>
      <c r="C289" s="7" t="s">
        <v>1162</v>
      </c>
      <c r="D289" s="27" t="s">
        <v>727</v>
      </c>
      <c r="E289" s="50" t="n">
        <v>50</v>
      </c>
      <c r="F289" s="50" t="n">
        <v>50</v>
      </c>
      <c r="G289" s="27" t="s">
        <v>829</v>
      </c>
      <c r="H289" s="50" t="n">
        <f aca="false">F289/IF(Varsayimlar!$B$21=1,1.3,1)</f>
        <v>38.4615384615385</v>
      </c>
      <c r="I289" s="51" t="n">
        <v>68.64</v>
      </c>
      <c r="J289" s="28" t="n">
        <f aca="false">H289*I289</f>
        <v>2640</v>
      </c>
      <c r="K289" s="52" t="s">
        <v>548</v>
      </c>
      <c r="L289" s="7" t="s">
        <v>1163</v>
      </c>
      <c r="M289" s="7" t="s">
        <v>1164</v>
      </c>
    </row>
    <row r="290" customFormat="false" ht="77.6" hidden="false" customHeight="false" outlineLevel="1" collapsed="false">
      <c r="A290" s="27"/>
      <c r="B290" s="27" t="s">
        <v>1152</v>
      </c>
      <c r="C290" s="7" t="s">
        <v>1165</v>
      </c>
      <c r="D290" s="27" t="s">
        <v>727</v>
      </c>
      <c r="E290" s="50" t="n">
        <v>6</v>
      </c>
      <c r="F290" s="50" t="n">
        <v>6</v>
      </c>
      <c r="G290" s="27" t="s">
        <v>767</v>
      </c>
      <c r="H290" s="50" t="n">
        <f aca="false">F290</f>
        <v>6</v>
      </c>
      <c r="I290" s="51" t="n">
        <v>68.64</v>
      </c>
      <c r="J290" s="28" t="n">
        <f aca="false">H290*I290</f>
        <v>411.84</v>
      </c>
      <c r="K290" s="52" t="s">
        <v>548</v>
      </c>
      <c r="L290" s="7" t="s">
        <v>1163</v>
      </c>
      <c r="M290" s="7" t="s">
        <v>1164</v>
      </c>
    </row>
    <row r="291" customFormat="false" ht="64.9" hidden="false" customHeight="false" outlineLevel="1" collapsed="false">
      <c r="A291" s="27"/>
      <c r="B291" s="27" t="s">
        <v>1152</v>
      </c>
      <c r="C291" s="7" t="s">
        <v>1166</v>
      </c>
      <c r="D291" s="27" t="s">
        <v>727</v>
      </c>
      <c r="E291" s="50" t="n">
        <v>8</v>
      </c>
      <c r="F291" s="50" t="n">
        <v>8</v>
      </c>
      <c r="G291" s="27" t="s">
        <v>767</v>
      </c>
      <c r="H291" s="50" t="n">
        <f aca="false">F291</f>
        <v>8</v>
      </c>
      <c r="I291" s="51" t="n">
        <v>80.24</v>
      </c>
      <c r="J291" s="28" t="n">
        <f aca="false">H291*I291</f>
        <v>641.92</v>
      </c>
      <c r="K291" s="52" t="s">
        <v>548</v>
      </c>
      <c r="L291" s="7" t="s">
        <v>1167</v>
      </c>
      <c r="M291" s="7" t="s">
        <v>1168</v>
      </c>
    </row>
    <row r="292" customFormat="false" ht="39.55" hidden="false" customHeight="false" outlineLevel="1" collapsed="false">
      <c r="A292" s="27"/>
      <c r="B292" s="27" t="s">
        <v>1152</v>
      </c>
      <c r="C292" s="7" t="s">
        <v>1169</v>
      </c>
      <c r="D292" s="27" t="s">
        <v>727</v>
      </c>
      <c r="E292" s="50" t="n">
        <v>26</v>
      </c>
      <c r="F292" s="50" t="n">
        <v>26</v>
      </c>
      <c r="G292" s="27" t="s">
        <v>767</v>
      </c>
      <c r="H292" s="50" t="n">
        <f aca="false">F292</f>
        <v>26</v>
      </c>
      <c r="I292" s="51" t="n">
        <v>247</v>
      </c>
      <c r="J292" s="28" t="n">
        <f aca="false">H292*I292</f>
        <v>6422</v>
      </c>
      <c r="K292" s="52" t="s">
        <v>548</v>
      </c>
      <c r="L292" s="7" t="s">
        <v>1170</v>
      </c>
      <c r="M292" s="7" t="s">
        <v>1171</v>
      </c>
    </row>
    <row r="293" customFormat="false" ht="39.55" hidden="false" customHeight="false" outlineLevel="1" collapsed="false">
      <c r="A293" s="27"/>
      <c r="B293" s="27" t="s">
        <v>1152</v>
      </c>
      <c r="C293" s="7" t="s">
        <v>1172</v>
      </c>
      <c r="D293" s="27" t="s">
        <v>727</v>
      </c>
      <c r="E293" s="50" t="n">
        <v>2</v>
      </c>
      <c r="F293" s="50" t="n">
        <v>2</v>
      </c>
      <c r="G293" s="27" t="s">
        <v>767</v>
      </c>
      <c r="H293" s="50" t="n">
        <f aca="false">F293</f>
        <v>2</v>
      </c>
      <c r="I293" s="51" t="n">
        <v>60</v>
      </c>
      <c r="J293" s="28" t="n">
        <f aca="false">H293*I293</f>
        <v>120</v>
      </c>
      <c r="K293" s="53" t="s">
        <v>551</v>
      </c>
      <c r="L293" s="7" t="s">
        <v>1173</v>
      </c>
      <c r="M293" s="7" t="s">
        <v>1174</v>
      </c>
    </row>
    <row r="294" customFormat="false" ht="39.55" hidden="false" customHeight="false" outlineLevel="1" collapsed="false">
      <c r="A294" s="27"/>
      <c r="B294" s="27" t="s">
        <v>1152</v>
      </c>
      <c r="C294" s="7" t="s">
        <v>1175</v>
      </c>
      <c r="D294" s="27" t="s">
        <v>727</v>
      </c>
      <c r="E294" s="50" t="n">
        <v>8</v>
      </c>
      <c r="F294" s="50" t="n">
        <v>8</v>
      </c>
      <c r="G294" s="27" t="s">
        <v>767</v>
      </c>
      <c r="H294" s="50" t="n">
        <f aca="false">F294</f>
        <v>8</v>
      </c>
      <c r="I294" s="51" t="n">
        <v>16</v>
      </c>
      <c r="J294" s="28" t="n">
        <f aca="false">H294*I294</f>
        <v>128</v>
      </c>
      <c r="K294" s="53" t="s">
        <v>551</v>
      </c>
      <c r="L294" s="7" t="s">
        <v>1173</v>
      </c>
      <c r="M294" s="7" t="s">
        <v>1176</v>
      </c>
    </row>
    <row r="295" customFormat="false" ht="52.2" hidden="false" customHeight="false" outlineLevel="1" collapsed="false">
      <c r="A295" s="27"/>
      <c r="B295" s="27" t="s">
        <v>1152</v>
      </c>
      <c r="C295" s="7" t="s">
        <v>1177</v>
      </c>
      <c r="D295" s="27" t="s">
        <v>816</v>
      </c>
      <c r="E295" s="50" t="n">
        <v>2</v>
      </c>
      <c r="F295" s="50" t="n">
        <v>2</v>
      </c>
      <c r="G295" s="27" t="s">
        <v>767</v>
      </c>
      <c r="H295" s="50" t="n">
        <f aca="false">F295</f>
        <v>2</v>
      </c>
      <c r="I295" s="51" t="n">
        <v>161.12</v>
      </c>
      <c r="J295" s="28" t="n">
        <f aca="false">H295*I295</f>
        <v>322.24</v>
      </c>
      <c r="K295" s="52" t="s">
        <v>548</v>
      </c>
      <c r="L295" s="7" t="s">
        <v>1178</v>
      </c>
      <c r="M295" s="7" t="s">
        <v>1179</v>
      </c>
    </row>
    <row r="296" customFormat="false" ht="39.55" hidden="false" customHeight="false" outlineLevel="1" collapsed="false">
      <c r="A296" s="27"/>
      <c r="B296" s="27" t="s">
        <v>1152</v>
      </c>
      <c r="C296" s="7" t="s">
        <v>1180</v>
      </c>
      <c r="D296" s="27" t="s">
        <v>727</v>
      </c>
      <c r="E296" s="50" t="n">
        <v>16</v>
      </c>
      <c r="F296" s="50" t="n">
        <v>16</v>
      </c>
      <c r="G296" s="27" t="s">
        <v>829</v>
      </c>
      <c r="H296" s="50" t="n">
        <f aca="false">F296/IF(Varsayimlar!$B$21=1,1.3,1)</f>
        <v>12.3076923076923</v>
      </c>
      <c r="I296" s="51" t="n">
        <v>18</v>
      </c>
      <c r="J296" s="28" t="n">
        <f aca="false">H296*I296</f>
        <v>221.538461538462</v>
      </c>
      <c r="K296" s="53" t="s">
        <v>551</v>
      </c>
      <c r="L296" s="7" t="s">
        <v>1173</v>
      </c>
      <c r="M296" s="7" t="s">
        <v>1181</v>
      </c>
    </row>
    <row r="297" customFormat="false" ht="52.2" hidden="false" customHeight="false" outlineLevel="1" collapsed="false">
      <c r="A297" s="27"/>
      <c r="B297" s="27" t="s">
        <v>1152</v>
      </c>
      <c r="C297" s="7" t="s">
        <v>1182</v>
      </c>
      <c r="D297" s="27" t="s">
        <v>727</v>
      </c>
      <c r="E297" s="50" t="n">
        <v>2</v>
      </c>
      <c r="F297" s="50" t="n">
        <v>2</v>
      </c>
      <c r="G297" s="27" t="s">
        <v>767</v>
      </c>
      <c r="H297" s="50" t="n">
        <f aca="false">F297</f>
        <v>2</v>
      </c>
      <c r="I297" s="51" t="n">
        <v>1200</v>
      </c>
      <c r="J297" s="28" t="n">
        <f aca="false">H297*I297</f>
        <v>2400</v>
      </c>
      <c r="K297" s="53" t="s">
        <v>551</v>
      </c>
      <c r="L297" s="7" t="s">
        <v>778</v>
      </c>
      <c r="M297" s="7" t="s">
        <v>1183</v>
      </c>
    </row>
    <row r="298" customFormat="false" ht="52.2" hidden="false" customHeight="false" outlineLevel="1" collapsed="false">
      <c r="A298" s="27"/>
      <c r="B298" s="27" t="s">
        <v>1152</v>
      </c>
      <c r="C298" s="7" t="s">
        <v>1184</v>
      </c>
      <c r="D298" s="27" t="s">
        <v>727</v>
      </c>
      <c r="E298" s="50" t="n">
        <v>2</v>
      </c>
      <c r="F298" s="50" t="n">
        <v>2</v>
      </c>
      <c r="G298" s="27" t="s">
        <v>767</v>
      </c>
      <c r="H298" s="50" t="n">
        <f aca="false">F298</f>
        <v>2</v>
      </c>
      <c r="I298" s="51" t="n">
        <v>1500</v>
      </c>
      <c r="J298" s="28" t="n">
        <f aca="false">H298*I298</f>
        <v>3000</v>
      </c>
      <c r="K298" s="53" t="s">
        <v>551</v>
      </c>
      <c r="L298" s="7" t="s">
        <v>778</v>
      </c>
      <c r="M298" s="7" t="s">
        <v>1185</v>
      </c>
    </row>
    <row r="299" customFormat="false" ht="52.2" hidden="false" customHeight="false" outlineLevel="1" collapsed="false">
      <c r="A299" s="27"/>
      <c r="B299" s="27" t="s">
        <v>1152</v>
      </c>
      <c r="C299" s="7" t="s">
        <v>1186</v>
      </c>
      <c r="D299" s="27" t="s">
        <v>727</v>
      </c>
      <c r="E299" s="50" t="n">
        <v>2</v>
      </c>
      <c r="F299" s="50" t="n">
        <v>2</v>
      </c>
      <c r="G299" s="27" t="s">
        <v>767</v>
      </c>
      <c r="H299" s="50" t="n">
        <f aca="false">F299</f>
        <v>2</v>
      </c>
      <c r="I299" s="51" t="n">
        <v>350</v>
      </c>
      <c r="J299" s="28" t="n">
        <f aca="false">H299*I299</f>
        <v>700</v>
      </c>
      <c r="K299" s="53" t="s">
        <v>551</v>
      </c>
      <c r="L299" s="7" t="s">
        <v>778</v>
      </c>
      <c r="M299" s="7" t="s">
        <v>1187</v>
      </c>
    </row>
    <row r="300" customFormat="false" ht="90.25" hidden="false" customHeight="false" outlineLevel="1" collapsed="false">
      <c r="A300" s="27"/>
      <c r="B300" s="27" t="s">
        <v>1152</v>
      </c>
      <c r="C300" s="7" t="s">
        <v>1188</v>
      </c>
      <c r="D300" s="27" t="s">
        <v>727</v>
      </c>
      <c r="E300" s="50" t="n">
        <v>2</v>
      </c>
      <c r="F300" s="50" t="n">
        <v>2</v>
      </c>
      <c r="G300" s="27" t="s">
        <v>767</v>
      </c>
      <c r="H300" s="50" t="n">
        <f aca="false">F300</f>
        <v>2</v>
      </c>
      <c r="I300" s="51" t="n">
        <v>5000</v>
      </c>
      <c r="J300" s="28" t="n">
        <f aca="false">H300*I300</f>
        <v>10000</v>
      </c>
      <c r="K300" s="52" t="s">
        <v>548</v>
      </c>
      <c r="L300" s="7" t="s">
        <v>1189</v>
      </c>
      <c r="M300" s="7" t="s">
        <v>1190</v>
      </c>
    </row>
    <row r="301" customFormat="false" ht="52.2" hidden="false" customHeight="false" outlineLevel="1" collapsed="false">
      <c r="A301" s="27"/>
      <c r="B301" s="27" t="s">
        <v>1152</v>
      </c>
      <c r="C301" s="7" t="s">
        <v>1191</v>
      </c>
      <c r="D301" s="27" t="s">
        <v>816</v>
      </c>
      <c r="E301" s="50" t="n">
        <v>2</v>
      </c>
      <c r="F301" s="50" t="n">
        <v>2</v>
      </c>
      <c r="G301" s="27" t="s">
        <v>767</v>
      </c>
      <c r="H301" s="50" t="n">
        <f aca="false">F301</f>
        <v>2</v>
      </c>
      <c r="I301" s="51" t="n">
        <v>3150</v>
      </c>
      <c r="J301" s="28" t="n">
        <f aca="false">H301*I301</f>
        <v>6300</v>
      </c>
      <c r="K301" s="53" t="s">
        <v>551</v>
      </c>
      <c r="L301" s="7" t="s">
        <v>1192</v>
      </c>
      <c r="M301" s="7" t="s">
        <v>1193</v>
      </c>
    </row>
    <row r="302" customFormat="false" ht="166.4" hidden="false" customHeight="false" outlineLevel="1" collapsed="false">
      <c r="A302" s="27"/>
      <c r="B302" s="27" t="s">
        <v>1152</v>
      </c>
      <c r="C302" s="7" t="s">
        <v>1194</v>
      </c>
      <c r="D302" s="27" t="s">
        <v>853</v>
      </c>
      <c r="E302" s="50" t="n">
        <v>1759</v>
      </c>
      <c r="F302" s="50" t="n">
        <v>1759</v>
      </c>
      <c r="G302" s="27" t="s">
        <v>865</v>
      </c>
      <c r="H302" s="50" t="n">
        <f aca="false">F302/IF(Varsayimlar!$B$21=1,1.43,1)</f>
        <v>1230.06993006993</v>
      </c>
      <c r="I302" s="51" t="n">
        <v>1.96</v>
      </c>
      <c r="J302" s="28" t="n">
        <f aca="false">H302*I302</f>
        <v>2410.93706293706</v>
      </c>
      <c r="K302" s="52" t="s">
        <v>548</v>
      </c>
      <c r="L302" s="7" t="s">
        <v>1195</v>
      </c>
      <c r="M302" s="7" t="s">
        <v>1196</v>
      </c>
    </row>
    <row r="303" customFormat="false" ht="64.9" hidden="false" customHeight="false" outlineLevel="1" collapsed="false">
      <c r="A303" s="27"/>
      <c r="B303" s="27" t="s">
        <v>1152</v>
      </c>
      <c r="C303" s="7" t="s">
        <v>1197</v>
      </c>
      <c r="D303" s="27" t="s">
        <v>853</v>
      </c>
      <c r="E303" s="50" t="n">
        <v>327</v>
      </c>
      <c r="F303" s="50" t="n">
        <v>327</v>
      </c>
      <c r="G303" s="27" t="s">
        <v>865</v>
      </c>
      <c r="H303" s="50" t="n">
        <f aca="false">F303/IF(Varsayimlar!$B$21=1,1.43,1)</f>
        <v>228.671328671329</v>
      </c>
      <c r="I303" s="51" t="n">
        <v>2.64</v>
      </c>
      <c r="J303" s="28" t="n">
        <f aca="false">H303*I303</f>
        <v>603.692307692308</v>
      </c>
      <c r="K303" s="52" t="s">
        <v>548</v>
      </c>
      <c r="L303" s="7" t="s">
        <v>1198</v>
      </c>
      <c r="M303" s="7" t="s">
        <v>1199</v>
      </c>
    </row>
    <row r="304" customFormat="false" ht="39.55" hidden="false" customHeight="false" outlineLevel="1" collapsed="false">
      <c r="A304" s="27"/>
      <c r="B304" s="27" t="s">
        <v>1152</v>
      </c>
      <c r="C304" s="7" t="s">
        <v>1200</v>
      </c>
      <c r="D304" s="27" t="s">
        <v>727</v>
      </c>
      <c r="E304" s="50" t="n">
        <v>91</v>
      </c>
      <c r="F304" s="50" t="n">
        <v>91</v>
      </c>
      <c r="G304" s="27" t="s">
        <v>829</v>
      </c>
      <c r="H304" s="50" t="n">
        <f aca="false">F304/IF(Varsayimlar!$B$21=1,1.3,1)</f>
        <v>70</v>
      </c>
      <c r="I304" s="51" t="n">
        <v>25</v>
      </c>
      <c r="J304" s="28" t="n">
        <f aca="false">H304*I304</f>
        <v>1750</v>
      </c>
      <c r="K304" s="53" t="s">
        <v>551</v>
      </c>
      <c r="L304" s="7" t="s">
        <v>1173</v>
      </c>
      <c r="M304" s="7" t="s">
        <v>1201</v>
      </c>
    </row>
    <row r="305" customFormat="false" ht="15" hidden="false" customHeight="false" outlineLevel="0" collapsed="false">
      <c r="A305" s="48" t="s">
        <v>176</v>
      </c>
      <c r="B305" s="48" t="s">
        <v>1202</v>
      </c>
      <c r="C305" s="48" t="s">
        <v>177</v>
      </c>
      <c r="D305" s="48"/>
      <c r="E305" s="48"/>
      <c r="F305" s="48"/>
      <c r="G305" s="48"/>
      <c r="H305" s="48" t="s">
        <v>765</v>
      </c>
      <c r="I305" s="49" t="n">
        <f aca="false">SUMPRODUCT(E306:E325,I306:I325)</f>
        <v>33398.4</v>
      </c>
      <c r="J305" s="49" t="n">
        <f aca="false">SUM(J306:J325)</f>
        <v>29612.9770629371</v>
      </c>
      <c r="K305" s="48"/>
      <c r="L305" s="48"/>
      <c r="M305" s="48"/>
    </row>
    <row r="306" customFormat="false" ht="26.85" hidden="false" customHeight="false" outlineLevel="1" collapsed="false">
      <c r="A306" s="27"/>
      <c r="B306" s="27" t="s">
        <v>1202</v>
      </c>
      <c r="C306" s="7" t="s">
        <v>1153</v>
      </c>
      <c r="D306" s="27" t="s">
        <v>727</v>
      </c>
      <c r="E306" s="50" t="n">
        <v>16</v>
      </c>
      <c r="F306" s="50" t="n">
        <v>16</v>
      </c>
      <c r="G306" s="27" t="s">
        <v>829</v>
      </c>
      <c r="H306" s="50" t="n">
        <f aca="false">F306/IF(Varsayimlar!$B$21=1,1.3,1)</f>
        <v>12.3076923076923</v>
      </c>
      <c r="I306" s="51" t="n">
        <v>260</v>
      </c>
      <c r="J306" s="28" t="n">
        <f aca="false">H306*I306</f>
        <v>3200</v>
      </c>
      <c r="K306" s="53" t="s">
        <v>551</v>
      </c>
      <c r="L306" s="7" t="s">
        <v>1203</v>
      </c>
      <c r="M306" s="7" t="s">
        <v>1204</v>
      </c>
    </row>
    <row r="307" customFormat="false" ht="77.6" hidden="false" customHeight="false" outlineLevel="1" collapsed="false">
      <c r="A307" s="27"/>
      <c r="B307" s="27" t="s">
        <v>1202</v>
      </c>
      <c r="C307" s="7" t="s">
        <v>1156</v>
      </c>
      <c r="D307" s="27" t="s">
        <v>727</v>
      </c>
      <c r="E307" s="50" t="n">
        <v>6</v>
      </c>
      <c r="F307" s="50" t="n">
        <v>6</v>
      </c>
      <c r="G307" s="27" t="s">
        <v>767</v>
      </c>
      <c r="H307" s="50" t="n">
        <f aca="false">F307</f>
        <v>6</v>
      </c>
      <c r="I307" s="51" t="n">
        <v>389.24</v>
      </c>
      <c r="J307" s="28" t="n">
        <f aca="false">H307*I307</f>
        <v>2335.44</v>
      </c>
      <c r="K307" s="52" t="s">
        <v>548</v>
      </c>
      <c r="L307" s="7" t="s">
        <v>1205</v>
      </c>
      <c r="M307" s="7" t="s">
        <v>1206</v>
      </c>
    </row>
    <row r="308" customFormat="false" ht="39.55" hidden="false" customHeight="false" outlineLevel="1" collapsed="false">
      <c r="A308" s="27"/>
      <c r="B308" s="27" t="s">
        <v>1202</v>
      </c>
      <c r="C308" s="7" t="s">
        <v>1159</v>
      </c>
      <c r="D308" s="27" t="s">
        <v>727</v>
      </c>
      <c r="E308" s="50" t="n">
        <v>3</v>
      </c>
      <c r="F308" s="50" t="n">
        <v>3</v>
      </c>
      <c r="G308" s="27" t="s">
        <v>767</v>
      </c>
      <c r="H308" s="50" t="n">
        <f aca="false">F308</f>
        <v>3</v>
      </c>
      <c r="I308" s="51" t="n">
        <v>227.4</v>
      </c>
      <c r="J308" s="28" t="n">
        <f aca="false">H308*I308</f>
        <v>682.2</v>
      </c>
      <c r="K308" s="52" t="s">
        <v>548</v>
      </c>
      <c r="L308" s="7" t="s">
        <v>1160</v>
      </c>
      <c r="M308" s="7" t="s">
        <v>1161</v>
      </c>
    </row>
    <row r="309" customFormat="false" ht="77.6" hidden="false" customHeight="false" outlineLevel="1" collapsed="false">
      <c r="A309" s="27"/>
      <c r="B309" s="27" t="s">
        <v>1202</v>
      </c>
      <c r="C309" s="7" t="s">
        <v>1162</v>
      </c>
      <c r="D309" s="27" t="s">
        <v>727</v>
      </c>
      <c r="E309" s="50" t="n">
        <v>50</v>
      </c>
      <c r="F309" s="50" t="n">
        <v>50</v>
      </c>
      <c r="G309" s="27" t="s">
        <v>829</v>
      </c>
      <c r="H309" s="50" t="n">
        <f aca="false">F309/IF(Varsayimlar!$B$21=1,1.3,1)</f>
        <v>38.4615384615385</v>
      </c>
      <c r="I309" s="51" t="n">
        <v>68.64</v>
      </c>
      <c r="J309" s="28" t="n">
        <f aca="false">H309*I309</f>
        <v>2640</v>
      </c>
      <c r="K309" s="52" t="s">
        <v>548</v>
      </c>
      <c r="L309" s="7" t="s">
        <v>1163</v>
      </c>
      <c r="M309" s="7" t="s">
        <v>1164</v>
      </c>
    </row>
    <row r="310" customFormat="false" ht="77.6" hidden="false" customHeight="false" outlineLevel="1" collapsed="false">
      <c r="A310" s="27"/>
      <c r="B310" s="27" t="s">
        <v>1202</v>
      </c>
      <c r="C310" s="7" t="s">
        <v>1165</v>
      </c>
      <c r="D310" s="27" t="s">
        <v>727</v>
      </c>
      <c r="E310" s="50" t="n">
        <v>3</v>
      </c>
      <c r="F310" s="50" t="n">
        <v>3</v>
      </c>
      <c r="G310" s="27" t="s">
        <v>767</v>
      </c>
      <c r="H310" s="50" t="n">
        <f aca="false">F310</f>
        <v>3</v>
      </c>
      <c r="I310" s="51" t="n">
        <v>68.64</v>
      </c>
      <c r="J310" s="28" t="n">
        <f aca="false">H310*I310</f>
        <v>205.92</v>
      </c>
      <c r="K310" s="52" t="s">
        <v>548</v>
      </c>
      <c r="L310" s="7" t="s">
        <v>1163</v>
      </c>
      <c r="M310" s="7" t="s">
        <v>1164</v>
      </c>
    </row>
    <row r="311" customFormat="false" ht="64.9" hidden="false" customHeight="false" outlineLevel="1" collapsed="false">
      <c r="A311" s="27"/>
      <c r="B311" s="27" t="s">
        <v>1202</v>
      </c>
      <c r="C311" s="7" t="s">
        <v>1166</v>
      </c>
      <c r="D311" s="27" t="s">
        <v>727</v>
      </c>
      <c r="E311" s="50" t="n">
        <v>4</v>
      </c>
      <c r="F311" s="50" t="n">
        <v>4</v>
      </c>
      <c r="G311" s="27" t="s">
        <v>767</v>
      </c>
      <c r="H311" s="50" t="n">
        <f aca="false">F311</f>
        <v>4</v>
      </c>
      <c r="I311" s="51" t="n">
        <v>80.24</v>
      </c>
      <c r="J311" s="28" t="n">
        <f aca="false">H311*I311</f>
        <v>320.96</v>
      </c>
      <c r="K311" s="52" t="s">
        <v>548</v>
      </c>
      <c r="L311" s="7" t="s">
        <v>1167</v>
      </c>
      <c r="M311" s="7" t="s">
        <v>1168</v>
      </c>
    </row>
    <row r="312" customFormat="false" ht="26.85" hidden="false" customHeight="false" outlineLevel="1" collapsed="false">
      <c r="A312" s="27"/>
      <c r="B312" s="27" t="s">
        <v>1202</v>
      </c>
      <c r="C312" s="7" t="s">
        <v>1169</v>
      </c>
      <c r="D312" s="27" t="s">
        <v>727</v>
      </c>
      <c r="E312" s="50" t="n">
        <v>13</v>
      </c>
      <c r="F312" s="50" t="n">
        <v>13</v>
      </c>
      <c r="G312" s="27" t="s">
        <v>767</v>
      </c>
      <c r="H312" s="50" t="n">
        <f aca="false">F312</f>
        <v>13</v>
      </c>
      <c r="I312" s="51" t="n">
        <v>220</v>
      </c>
      <c r="J312" s="28" t="n">
        <f aca="false">H312*I312</f>
        <v>2860</v>
      </c>
      <c r="K312" s="53" t="s">
        <v>551</v>
      </c>
      <c r="L312" s="7" t="s">
        <v>1207</v>
      </c>
      <c r="M312" s="7" t="s">
        <v>1208</v>
      </c>
    </row>
    <row r="313" customFormat="false" ht="39.55" hidden="false" customHeight="false" outlineLevel="1" collapsed="false">
      <c r="A313" s="27"/>
      <c r="B313" s="27" t="s">
        <v>1202</v>
      </c>
      <c r="C313" s="7" t="s">
        <v>1172</v>
      </c>
      <c r="D313" s="27" t="s">
        <v>727</v>
      </c>
      <c r="E313" s="50" t="n">
        <v>1</v>
      </c>
      <c r="F313" s="50" t="n">
        <v>1</v>
      </c>
      <c r="G313" s="27" t="s">
        <v>767</v>
      </c>
      <c r="H313" s="50" t="n">
        <f aca="false">F313</f>
        <v>1</v>
      </c>
      <c r="I313" s="51" t="n">
        <v>60</v>
      </c>
      <c r="J313" s="28" t="n">
        <f aca="false">H313*I313</f>
        <v>60</v>
      </c>
      <c r="K313" s="53" t="s">
        <v>551</v>
      </c>
      <c r="L313" s="7" t="s">
        <v>1173</v>
      </c>
      <c r="M313" s="7" t="s">
        <v>1174</v>
      </c>
    </row>
    <row r="314" customFormat="false" ht="52.2" hidden="false" customHeight="false" outlineLevel="1" collapsed="false">
      <c r="A314" s="27"/>
      <c r="B314" s="27" t="s">
        <v>1202</v>
      </c>
      <c r="C314" s="7" t="s">
        <v>1209</v>
      </c>
      <c r="D314" s="27" t="s">
        <v>727</v>
      </c>
      <c r="E314" s="50" t="n">
        <v>26</v>
      </c>
      <c r="F314" s="50" t="n">
        <v>26</v>
      </c>
      <c r="G314" s="27" t="s">
        <v>829</v>
      </c>
      <c r="H314" s="50" t="n">
        <f aca="false">F314/IF(Varsayimlar!$B$21=1,1.3,1)</f>
        <v>20</v>
      </c>
      <c r="I314" s="51" t="n">
        <v>117.12</v>
      </c>
      <c r="J314" s="28" t="n">
        <f aca="false">H314*I314</f>
        <v>2342.4</v>
      </c>
      <c r="K314" s="52" t="s">
        <v>548</v>
      </c>
      <c r="L314" s="7" t="s">
        <v>1210</v>
      </c>
      <c r="M314" s="7" t="s">
        <v>1211</v>
      </c>
    </row>
    <row r="315" customFormat="false" ht="39.55" hidden="false" customHeight="false" outlineLevel="1" collapsed="false">
      <c r="A315" s="27"/>
      <c r="B315" s="27" t="s">
        <v>1202</v>
      </c>
      <c r="C315" s="7" t="s">
        <v>1175</v>
      </c>
      <c r="D315" s="27" t="s">
        <v>727</v>
      </c>
      <c r="E315" s="50" t="n">
        <v>4</v>
      </c>
      <c r="F315" s="50" t="n">
        <v>4</v>
      </c>
      <c r="G315" s="27" t="s">
        <v>767</v>
      </c>
      <c r="H315" s="50" t="n">
        <f aca="false">F315</f>
        <v>4</v>
      </c>
      <c r="I315" s="51" t="n">
        <v>16</v>
      </c>
      <c r="J315" s="28" t="n">
        <f aca="false">H315*I315</f>
        <v>64</v>
      </c>
      <c r="K315" s="53" t="s">
        <v>551</v>
      </c>
      <c r="L315" s="7" t="s">
        <v>1173</v>
      </c>
      <c r="M315" s="7" t="s">
        <v>1176</v>
      </c>
    </row>
    <row r="316" customFormat="false" ht="52.2" hidden="false" customHeight="false" outlineLevel="1" collapsed="false">
      <c r="A316" s="27"/>
      <c r="B316" s="27" t="s">
        <v>1202</v>
      </c>
      <c r="C316" s="7" t="s">
        <v>1177</v>
      </c>
      <c r="D316" s="27" t="s">
        <v>816</v>
      </c>
      <c r="E316" s="50" t="n">
        <v>1</v>
      </c>
      <c r="F316" s="50" t="n">
        <v>1</v>
      </c>
      <c r="G316" s="27" t="s">
        <v>767</v>
      </c>
      <c r="H316" s="50" t="n">
        <f aca="false">F316</f>
        <v>1</v>
      </c>
      <c r="I316" s="51" t="n">
        <v>161.12</v>
      </c>
      <c r="J316" s="28" t="n">
        <f aca="false">H316*I316</f>
        <v>161.12</v>
      </c>
      <c r="K316" s="52" t="s">
        <v>548</v>
      </c>
      <c r="L316" s="7" t="s">
        <v>1178</v>
      </c>
      <c r="M316" s="7" t="s">
        <v>1179</v>
      </c>
    </row>
    <row r="317" customFormat="false" ht="39.55" hidden="false" customHeight="false" outlineLevel="1" collapsed="false">
      <c r="A317" s="27"/>
      <c r="B317" s="27" t="s">
        <v>1202</v>
      </c>
      <c r="C317" s="7" t="s">
        <v>1180</v>
      </c>
      <c r="D317" s="27" t="s">
        <v>727</v>
      </c>
      <c r="E317" s="50" t="n">
        <v>8</v>
      </c>
      <c r="F317" s="50" t="n">
        <v>8</v>
      </c>
      <c r="G317" s="27" t="s">
        <v>829</v>
      </c>
      <c r="H317" s="50" t="n">
        <f aca="false">F317/IF(Varsayimlar!$B$21=1,1.3,1)</f>
        <v>6.15384615384615</v>
      </c>
      <c r="I317" s="51" t="n">
        <v>18</v>
      </c>
      <c r="J317" s="28" t="n">
        <f aca="false">H317*I317</f>
        <v>110.769230769231</v>
      </c>
      <c r="K317" s="53" t="s">
        <v>551</v>
      </c>
      <c r="L317" s="7" t="s">
        <v>1173</v>
      </c>
      <c r="M317" s="7" t="s">
        <v>1181</v>
      </c>
    </row>
    <row r="318" customFormat="false" ht="52.2" hidden="false" customHeight="false" outlineLevel="1" collapsed="false">
      <c r="A318" s="27"/>
      <c r="B318" s="27" t="s">
        <v>1202</v>
      </c>
      <c r="C318" s="7" t="s">
        <v>1182</v>
      </c>
      <c r="D318" s="27" t="s">
        <v>727</v>
      </c>
      <c r="E318" s="50" t="n">
        <v>1</v>
      </c>
      <c r="F318" s="50" t="n">
        <v>1</v>
      </c>
      <c r="G318" s="27" t="s">
        <v>767</v>
      </c>
      <c r="H318" s="50" t="n">
        <f aca="false">F318</f>
        <v>1</v>
      </c>
      <c r="I318" s="51" t="n">
        <v>1200</v>
      </c>
      <c r="J318" s="28" t="n">
        <f aca="false">H318*I318</f>
        <v>1200</v>
      </c>
      <c r="K318" s="53" t="s">
        <v>551</v>
      </c>
      <c r="L318" s="7" t="s">
        <v>778</v>
      </c>
      <c r="M318" s="7" t="s">
        <v>1183</v>
      </c>
    </row>
    <row r="319" customFormat="false" ht="52.2" hidden="false" customHeight="false" outlineLevel="1" collapsed="false">
      <c r="A319" s="27"/>
      <c r="B319" s="27" t="s">
        <v>1202</v>
      </c>
      <c r="C319" s="7" t="s">
        <v>1184</v>
      </c>
      <c r="D319" s="27" t="s">
        <v>727</v>
      </c>
      <c r="E319" s="50" t="n">
        <v>1</v>
      </c>
      <c r="F319" s="50" t="n">
        <v>1</v>
      </c>
      <c r="G319" s="27" t="s">
        <v>767</v>
      </c>
      <c r="H319" s="50" t="n">
        <f aca="false">F319</f>
        <v>1</v>
      </c>
      <c r="I319" s="51" t="n">
        <v>1500</v>
      </c>
      <c r="J319" s="28" t="n">
        <f aca="false">H319*I319</f>
        <v>1500</v>
      </c>
      <c r="K319" s="53" t="s">
        <v>551</v>
      </c>
      <c r="L319" s="7" t="s">
        <v>778</v>
      </c>
      <c r="M319" s="7" t="s">
        <v>1185</v>
      </c>
    </row>
    <row r="320" customFormat="false" ht="52.2" hidden="false" customHeight="false" outlineLevel="1" collapsed="false">
      <c r="A320" s="27"/>
      <c r="B320" s="27" t="s">
        <v>1202</v>
      </c>
      <c r="C320" s="7" t="s">
        <v>1186</v>
      </c>
      <c r="D320" s="27" t="s">
        <v>727</v>
      </c>
      <c r="E320" s="50" t="n">
        <v>1</v>
      </c>
      <c r="F320" s="50" t="n">
        <v>1</v>
      </c>
      <c r="G320" s="27" t="s">
        <v>767</v>
      </c>
      <c r="H320" s="50" t="n">
        <f aca="false">F320</f>
        <v>1</v>
      </c>
      <c r="I320" s="51" t="n">
        <v>350</v>
      </c>
      <c r="J320" s="28" t="n">
        <f aca="false">H320*I320</f>
        <v>350</v>
      </c>
      <c r="K320" s="53" t="s">
        <v>551</v>
      </c>
      <c r="L320" s="7" t="s">
        <v>778</v>
      </c>
      <c r="M320" s="7" t="s">
        <v>1187</v>
      </c>
    </row>
    <row r="321" customFormat="false" ht="90.25" hidden="false" customHeight="false" outlineLevel="1" collapsed="false">
      <c r="A321" s="27"/>
      <c r="B321" s="27" t="s">
        <v>1202</v>
      </c>
      <c r="C321" s="7" t="s">
        <v>1188</v>
      </c>
      <c r="D321" s="27" t="s">
        <v>727</v>
      </c>
      <c r="E321" s="50" t="n">
        <v>1</v>
      </c>
      <c r="F321" s="50" t="n">
        <v>1</v>
      </c>
      <c r="G321" s="27" t="s">
        <v>767</v>
      </c>
      <c r="H321" s="50" t="n">
        <f aca="false">F321</f>
        <v>1</v>
      </c>
      <c r="I321" s="51" t="n">
        <v>5000</v>
      </c>
      <c r="J321" s="28" t="n">
        <f aca="false">H321*I321</f>
        <v>5000</v>
      </c>
      <c r="K321" s="52" t="s">
        <v>548</v>
      </c>
      <c r="L321" s="7" t="s">
        <v>1189</v>
      </c>
      <c r="M321" s="7" t="s">
        <v>1190</v>
      </c>
    </row>
    <row r="322" customFormat="false" ht="64.9" hidden="false" customHeight="false" outlineLevel="1" collapsed="false">
      <c r="A322" s="27"/>
      <c r="B322" s="27" t="s">
        <v>1202</v>
      </c>
      <c r="C322" s="7" t="s">
        <v>1191</v>
      </c>
      <c r="D322" s="27" t="s">
        <v>816</v>
      </c>
      <c r="E322" s="50" t="n">
        <v>1</v>
      </c>
      <c r="F322" s="50" t="n">
        <v>1</v>
      </c>
      <c r="G322" s="27" t="s">
        <v>767</v>
      </c>
      <c r="H322" s="50" t="n">
        <f aca="false">F322</f>
        <v>1</v>
      </c>
      <c r="I322" s="51" t="n">
        <v>3150</v>
      </c>
      <c r="J322" s="28" t="n">
        <f aca="false">H322*I322</f>
        <v>3150</v>
      </c>
      <c r="K322" s="53" t="s">
        <v>551</v>
      </c>
      <c r="L322" s="7" t="s">
        <v>1212</v>
      </c>
      <c r="M322" s="7" t="s">
        <v>1193</v>
      </c>
    </row>
    <row r="323" customFormat="false" ht="166.4" hidden="false" customHeight="false" outlineLevel="1" collapsed="false">
      <c r="A323" s="27"/>
      <c r="B323" s="27" t="s">
        <v>1202</v>
      </c>
      <c r="C323" s="7" t="s">
        <v>1194</v>
      </c>
      <c r="D323" s="27" t="s">
        <v>853</v>
      </c>
      <c r="E323" s="50" t="n">
        <v>1066</v>
      </c>
      <c r="F323" s="50" t="n">
        <v>1066</v>
      </c>
      <c r="G323" s="27" t="s">
        <v>865</v>
      </c>
      <c r="H323" s="50" t="n">
        <f aca="false">F323/IF(Varsayimlar!$B$21=1,1.43,1)</f>
        <v>745.454545454546</v>
      </c>
      <c r="I323" s="51" t="n">
        <v>1.96</v>
      </c>
      <c r="J323" s="28" t="n">
        <f aca="false">H323*I323</f>
        <v>1461.09090909091</v>
      </c>
      <c r="K323" s="52" t="s">
        <v>548</v>
      </c>
      <c r="L323" s="7" t="s">
        <v>1195</v>
      </c>
      <c r="M323" s="7" t="s">
        <v>1196</v>
      </c>
    </row>
    <row r="324" customFormat="false" ht="64.9" hidden="false" customHeight="false" outlineLevel="1" collapsed="false">
      <c r="A324" s="27"/>
      <c r="B324" s="27" t="s">
        <v>1202</v>
      </c>
      <c r="C324" s="7" t="s">
        <v>1197</v>
      </c>
      <c r="D324" s="27" t="s">
        <v>853</v>
      </c>
      <c r="E324" s="50" t="n">
        <v>327</v>
      </c>
      <c r="F324" s="50" t="n">
        <v>327</v>
      </c>
      <c r="G324" s="27" t="s">
        <v>865</v>
      </c>
      <c r="H324" s="50" t="n">
        <f aca="false">F324/IF(Varsayimlar!$B$21=1,1.43,1)</f>
        <v>228.671328671329</v>
      </c>
      <c r="I324" s="51" t="n">
        <v>2.64</v>
      </c>
      <c r="J324" s="28" t="n">
        <f aca="false">H324*I324</f>
        <v>603.692307692308</v>
      </c>
      <c r="K324" s="52" t="s">
        <v>548</v>
      </c>
      <c r="L324" s="7" t="s">
        <v>1198</v>
      </c>
      <c r="M324" s="7" t="s">
        <v>1199</v>
      </c>
    </row>
    <row r="325" customFormat="false" ht="39.55" hidden="false" customHeight="false" outlineLevel="1" collapsed="false">
      <c r="A325" s="27"/>
      <c r="B325" s="27" t="s">
        <v>1202</v>
      </c>
      <c r="C325" s="7" t="s">
        <v>1200</v>
      </c>
      <c r="D325" s="27" t="s">
        <v>727</v>
      </c>
      <c r="E325" s="50" t="n">
        <v>71</v>
      </c>
      <c r="F325" s="50" t="n">
        <v>71</v>
      </c>
      <c r="G325" s="27" t="s">
        <v>829</v>
      </c>
      <c r="H325" s="50" t="n">
        <f aca="false">F325/IF(Varsayimlar!$B$21=1,1.3,1)</f>
        <v>54.6153846153846</v>
      </c>
      <c r="I325" s="51" t="n">
        <v>25</v>
      </c>
      <c r="J325" s="28" t="n">
        <f aca="false">H325*I325</f>
        <v>1365.38461538462</v>
      </c>
      <c r="K325" s="53" t="s">
        <v>551</v>
      </c>
      <c r="L325" s="7" t="s">
        <v>1173</v>
      </c>
      <c r="M325" s="7" t="s">
        <v>1201</v>
      </c>
    </row>
    <row r="326" customFormat="false" ht="15" hidden="false" customHeight="false" outlineLevel="0" collapsed="false">
      <c r="A326" s="48" t="s">
        <v>178</v>
      </c>
      <c r="B326" s="48" t="s">
        <v>1213</v>
      </c>
      <c r="C326" s="48" t="s">
        <v>179</v>
      </c>
      <c r="D326" s="48"/>
      <c r="E326" s="48"/>
      <c r="F326" s="48"/>
      <c r="G326" s="48"/>
      <c r="H326" s="48" t="s">
        <v>765</v>
      </c>
      <c r="I326" s="49" t="n">
        <f aca="false">SUMPRODUCT(E327:E346,I327:I346)</f>
        <v>33398.4</v>
      </c>
      <c r="J326" s="49" t="n">
        <f aca="false">SUM(J327:J346)</f>
        <v>29612.9770629371</v>
      </c>
      <c r="K326" s="48"/>
      <c r="L326" s="48"/>
      <c r="M326" s="48"/>
    </row>
    <row r="327" customFormat="false" ht="26.85" hidden="false" customHeight="false" outlineLevel="1" collapsed="false">
      <c r="A327" s="27"/>
      <c r="B327" s="27" t="s">
        <v>1213</v>
      </c>
      <c r="C327" s="7" t="s">
        <v>1153</v>
      </c>
      <c r="D327" s="27" t="s">
        <v>727</v>
      </c>
      <c r="E327" s="50" t="n">
        <v>16</v>
      </c>
      <c r="F327" s="50" t="n">
        <v>16</v>
      </c>
      <c r="G327" s="27" t="s">
        <v>829</v>
      </c>
      <c r="H327" s="50" t="n">
        <f aca="false">F327/IF(Varsayimlar!$B$21=1,1.3,1)</f>
        <v>12.3076923076923</v>
      </c>
      <c r="I327" s="51" t="n">
        <v>260</v>
      </c>
      <c r="J327" s="28" t="n">
        <f aca="false">H327*I327</f>
        <v>3200</v>
      </c>
      <c r="K327" s="53" t="s">
        <v>551</v>
      </c>
      <c r="L327" s="7" t="s">
        <v>1203</v>
      </c>
      <c r="M327" s="7" t="s">
        <v>1204</v>
      </c>
    </row>
    <row r="328" customFormat="false" ht="77.6" hidden="false" customHeight="false" outlineLevel="1" collapsed="false">
      <c r="A328" s="27"/>
      <c r="B328" s="27" t="s">
        <v>1213</v>
      </c>
      <c r="C328" s="7" t="s">
        <v>1156</v>
      </c>
      <c r="D328" s="27" t="s">
        <v>727</v>
      </c>
      <c r="E328" s="50" t="n">
        <v>6</v>
      </c>
      <c r="F328" s="50" t="n">
        <v>6</v>
      </c>
      <c r="G328" s="27" t="s">
        <v>767</v>
      </c>
      <c r="H328" s="50" t="n">
        <f aca="false">F328</f>
        <v>6</v>
      </c>
      <c r="I328" s="51" t="n">
        <v>389.24</v>
      </c>
      <c r="J328" s="28" t="n">
        <f aca="false">H328*I328</f>
        <v>2335.44</v>
      </c>
      <c r="K328" s="52" t="s">
        <v>548</v>
      </c>
      <c r="L328" s="7" t="s">
        <v>1205</v>
      </c>
      <c r="M328" s="7" t="s">
        <v>1206</v>
      </c>
    </row>
    <row r="329" customFormat="false" ht="39.55" hidden="false" customHeight="false" outlineLevel="1" collapsed="false">
      <c r="A329" s="27"/>
      <c r="B329" s="27" t="s">
        <v>1213</v>
      </c>
      <c r="C329" s="7" t="s">
        <v>1159</v>
      </c>
      <c r="D329" s="27" t="s">
        <v>727</v>
      </c>
      <c r="E329" s="50" t="n">
        <v>3</v>
      </c>
      <c r="F329" s="50" t="n">
        <v>3</v>
      </c>
      <c r="G329" s="27" t="s">
        <v>767</v>
      </c>
      <c r="H329" s="50" t="n">
        <f aca="false">F329</f>
        <v>3</v>
      </c>
      <c r="I329" s="51" t="n">
        <v>227.4</v>
      </c>
      <c r="J329" s="28" t="n">
        <f aca="false">H329*I329</f>
        <v>682.2</v>
      </c>
      <c r="K329" s="52" t="s">
        <v>548</v>
      </c>
      <c r="L329" s="7" t="s">
        <v>1160</v>
      </c>
      <c r="M329" s="7" t="s">
        <v>1161</v>
      </c>
    </row>
    <row r="330" customFormat="false" ht="77.6" hidden="false" customHeight="false" outlineLevel="1" collapsed="false">
      <c r="A330" s="27"/>
      <c r="B330" s="27" t="s">
        <v>1213</v>
      </c>
      <c r="C330" s="7" t="s">
        <v>1162</v>
      </c>
      <c r="D330" s="27" t="s">
        <v>727</v>
      </c>
      <c r="E330" s="50" t="n">
        <v>50</v>
      </c>
      <c r="F330" s="50" t="n">
        <v>50</v>
      </c>
      <c r="G330" s="27" t="s">
        <v>829</v>
      </c>
      <c r="H330" s="50" t="n">
        <f aca="false">F330/IF(Varsayimlar!$B$21=1,1.3,1)</f>
        <v>38.4615384615385</v>
      </c>
      <c r="I330" s="51" t="n">
        <v>68.64</v>
      </c>
      <c r="J330" s="28" t="n">
        <f aca="false">H330*I330</f>
        <v>2640</v>
      </c>
      <c r="K330" s="52" t="s">
        <v>548</v>
      </c>
      <c r="L330" s="7" t="s">
        <v>1163</v>
      </c>
      <c r="M330" s="7" t="s">
        <v>1164</v>
      </c>
    </row>
    <row r="331" customFormat="false" ht="77.6" hidden="false" customHeight="false" outlineLevel="1" collapsed="false">
      <c r="A331" s="27"/>
      <c r="B331" s="27" t="s">
        <v>1213</v>
      </c>
      <c r="C331" s="7" t="s">
        <v>1165</v>
      </c>
      <c r="D331" s="27" t="s">
        <v>727</v>
      </c>
      <c r="E331" s="50" t="n">
        <v>3</v>
      </c>
      <c r="F331" s="50" t="n">
        <v>3</v>
      </c>
      <c r="G331" s="27" t="s">
        <v>767</v>
      </c>
      <c r="H331" s="50" t="n">
        <f aca="false">F331</f>
        <v>3</v>
      </c>
      <c r="I331" s="51" t="n">
        <v>68.64</v>
      </c>
      <c r="J331" s="28" t="n">
        <f aca="false">H331*I331</f>
        <v>205.92</v>
      </c>
      <c r="K331" s="52" t="s">
        <v>548</v>
      </c>
      <c r="L331" s="7" t="s">
        <v>1163</v>
      </c>
      <c r="M331" s="7" t="s">
        <v>1164</v>
      </c>
    </row>
    <row r="332" customFormat="false" ht="64.9" hidden="false" customHeight="false" outlineLevel="1" collapsed="false">
      <c r="A332" s="27"/>
      <c r="B332" s="27" t="s">
        <v>1213</v>
      </c>
      <c r="C332" s="7" t="s">
        <v>1166</v>
      </c>
      <c r="D332" s="27" t="s">
        <v>727</v>
      </c>
      <c r="E332" s="50" t="n">
        <v>4</v>
      </c>
      <c r="F332" s="50" t="n">
        <v>4</v>
      </c>
      <c r="G332" s="27" t="s">
        <v>767</v>
      </c>
      <c r="H332" s="50" t="n">
        <f aca="false">F332</f>
        <v>4</v>
      </c>
      <c r="I332" s="51" t="n">
        <v>80.24</v>
      </c>
      <c r="J332" s="28" t="n">
        <f aca="false">H332*I332</f>
        <v>320.96</v>
      </c>
      <c r="K332" s="52" t="s">
        <v>548</v>
      </c>
      <c r="L332" s="7" t="s">
        <v>1167</v>
      </c>
      <c r="M332" s="7" t="s">
        <v>1168</v>
      </c>
    </row>
    <row r="333" customFormat="false" ht="26.85" hidden="false" customHeight="false" outlineLevel="1" collapsed="false">
      <c r="A333" s="27"/>
      <c r="B333" s="27" t="s">
        <v>1213</v>
      </c>
      <c r="C333" s="7" t="s">
        <v>1169</v>
      </c>
      <c r="D333" s="27" t="s">
        <v>727</v>
      </c>
      <c r="E333" s="50" t="n">
        <v>13</v>
      </c>
      <c r="F333" s="50" t="n">
        <v>13</v>
      </c>
      <c r="G333" s="27" t="s">
        <v>767</v>
      </c>
      <c r="H333" s="50" t="n">
        <f aca="false">F333</f>
        <v>13</v>
      </c>
      <c r="I333" s="51" t="n">
        <v>220</v>
      </c>
      <c r="J333" s="28" t="n">
        <f aca="false">H333*I333</f>
        <v>2860</v>
      </c>
      <c r="K333" s="53" t="s">
        <v>551</v>
      </c>
      <c r="L333" s="7" t="s">
        <v>1207</v>
      </c>
      <c r="M333" s="7" t="s">
        <v>1208</v>
      </c>
    </row>
    <row r="334" customFormat="false" ht="39.55" hidden="false" customHeight="false" outlineLevel="1" collapsed="false">
      <c r="A334" s="27"/>
      <c r="B334" s="27" t="s">
        <v>1213</v>
      </c>
      <c r="C334" s="7" t="s">
        <v>1172</v>
      </c>
      <c r="D334" s="27" t="s">
        <v>727</v>
      </c>
      <c r="E334" s="50" t="n">
        <v>1</v>
      </c>
      <c r="F334" s="50" t="n">
        <v>1</v>
      </c>
      <c r="G334" s="27" t="s">
        <v>767</v>
      </c>
      <c r="H334" s="50" t="n">
        <f aca="false">F334</f>
        <v>1</v>
      </c>
      <c r="I334" s="51" t="n">
        <v>60</v>
      </c>
      <c r="J334" s="28" t="n">
        <f aca="false">H334*I334</f>
        <v>60</v>
      </c>
      <c r="K334" s="53" t="s">
        <v>551</v>
      </c>
      <c r="L334" s="7" t="s">
        <v>1173</v>
      </c>
      <c r="M334" s="7" t="s">
        <v>1174</v>
      </c>
    </row>
    <row r="335" customFormat="false" ht="52.2" hidden="false" customHeight="false" outlineLevel="1" collapsed="false">
      <c r="A335" s="27"/>
      <c r="B335" s="27" t="s">
        <v>1213</v>
      </c>
      <c r="C335" s="7" t="s">
        <v>1209</v>
      </c>
      <c r="D335" s="27" t="s">
        <v>727</v>
      </c>
      <c r="E335" s="50" t="n">
        <v>26</v>
      </c>
      <c r="F335" s="50" t="n">
        <v>26</v>
      </c>
      <c r="G335" s="27" t="s">
        <v>829</v>
      </c>
      <c r="H335" s="50" t="n">
        <f aca="false">F335/IF(Varsayimlar!$B$21=1,1.3,1)</f>
        <v>20</v>
      </c>
      <c r="I335" s="51" t="n">
        <v>117.12</v>
      </c>
      <c r="J335" s="28" t="n">
        <f aca="false">H335*I335</f>
        <v>2342.4</v>
      </c>
      <c r="K335" s="52" t="s">
        <v>548</v>
      </c>
      <c r="L335" s="7" t="s">
        <v>1210</v>
      </c>
      <c r="M335" s="7" t="s">
        <v>1211</v>
      </c>
    </row>
    <row r="336" customFormat="false" ht="39.55" hidden="false" customHeight="false" outlineLevel="1" collapsed="false">
      <c r="A336" s="27"/>
      <c r="B336" s="27" t="s">
        <v>1213</v>
      </c>
      <c r="C336" s="7" t="s">
        <v>1175</v>
      </c>
      <c r="D336" s="27" t="s">
        <v>727</v>
      </c>
      <c r="E336" s="50" t="n">
        <v>4</v>
      </c>
      <c r="F336" s="50" t="n">
        <v>4</v>
      </c>
      <c r="G336" s="27" t="s">
        <v>767</v>
      </c>
      <c r="H336" s="50" t="n">
        <f aca="false">F336</f>
        <v>4</v>
      </c>
      <c r="I336" s="51" t="n">
        <v>16</v>
      </c>
      <c r="J336" s="28" t="n">
        <f aca="false">H336*I336</f>
        <v>64</v>
      </c>
      <c r="K336" s="53" t="s">
        <v>551</v>
      </c>
      <c r="L336" s="7" t="s">
        <v>1173</v>
      </c>
      <c r="M336" s="7" t="s">
        <v>1176</v>
      </c>
    </row>
    <row r="337" customFormat="false" ht="52.2" hidden="false" customHeight="false" outlineLevel="1" collapsed="false">
      <c r="A337" s="27"/>
      <c r="B337" s="27" t="s">
        <v>1213</v>
      </c>
      <c r="C337" s="7" t="s">
        <v>1177</v>
      </c>
      <c r="D337" s="27" t="s">
        <v>816</v>
      </c>
      <c r="E337" s="50" t="n">
        <v>1</v>
      </c>
      <c r="F337" s="50" t="n">
        <v>1</v>
      </c>
      <c r="G337" s="27" t="s">
        <v>767</v>
      </c>
      <c r="H337" s="50" t="n">
        <f aca="false">F337</f>
        <v>1</v>
      </c>
      <c r="I337" s="51" t="n">
        <v>161.12</v>
      </c>
      <c r="J337" s="28" t="n">
        <f aca="false">H337*I337</f>
        <v>161.12</v>
      </c>
      <c r="K337" s="52" t="s">
        <v>548</v>
      </c>
      <c r="L337" s="7" t="s">
        <v>1178</v>
      </c>
      <c r="M337" s="7" t="s">
        <v>1179</v>
      </c>
    </row>
    <row r="338" customFormat="false" ht="39.55" hidden="false" customHeight="false" outlineLevel="1" collapsed="false">
      <c r="A338" s="27"/>
      <c r="B338" s="27" t="s">
        <v>1213</v>
      </c>
      <c r="C338" s="7" t="s">
        <v>1180</v>
      </c>
      <c r="D338" s="27" t="s">
        <v>727</v>
      </c>
      <c r="E338" s="50" t="n">
        <v>8</v>
      </c>
      <c r="F338" s="50" t="n">
        <v>8</v>
      </c>
      <c r="G338" s="27" t="s">
        <v>829</v>
      </c>
      <c r="H338" s="50" t="n">
        <f aca="false">F338/IF(Varsayimlar!$B$21=1,1.3,1)</f>
        <v>6.15384615384615</v>
      </c>
      <c r="I338" s="51" t="n">
        <v>18</v>
      </c>
      <c r="J338" s="28" t="n">
        <f aca="false">H338*I338</f>
        <v>110.769230769231</v>
      </c>
      <c r="K338" s="53" t="s">
        <v>551</v>
      </c>
      <c r="L338" s="7" t="s">
        <v>1173</v>
      </c>
      <c r="M338" s="7" t="s">
        <v>1181</v>
      </c>
    </row>
    <row r="339" customFormat="false" ht="52.2" hidden="false" customHeight="false" outlineLevel="1" collapsed="false">
      <c r="A339" s="27"/>
      <c r="B339" s="27" t="s">
        <v>1213</v>
      </c>
      <c r="C339" s="7" t="s">
        <v>1182</v>
      </c>
      <c r="D339" s="27" t="s">
        <v>727</v>
      </c>
      <c r="E339" s="50" t="n">
        <v>1</v>
      </c>
      <c r="F339" s="50" t="n">
        <v>1</v>
      </c>
      <c r="G339" s="27" t="s">
        <v>767</v>
      </c>
      <c r="H339" s="50" t="n">
        <f aca="false">F339</f>
        <v>1</v>
      </c>
      <c r="I339" s="51" t="n">
        <v>1200</v>
      </c>
      <c r="J339" s="28" t="n">
        <f aca="false">H339*I339</f>
        <v>1200</v>
      </c>
      <c r="K339" s="53" t="s">
        <v>551</v>
      </c>
      <c r="L339" s="7" t="s">
        <v>778</v>
      </c>
      <c r="M339" s="7" t="s">
        <v>1183</v>
      </c>
    </row>
    <row r="340" customFormat="false" ht="52.2" hidden="false" customHeight="false" outlineLevel="1" collapsed="false">
      <c r="A340" s="27"/>
      <c r="B340" s="27" t="s">
        <v>1213</v>
      </c>
      <c r="C340" s="7" t="s">
        <v>1184</v>
      </c>
      <c r="D340" s="27" t="s">
        <v>727</v>
      </c>
      <c r="E340" s="50" t="n">
        <v>1</v>
      </c>
      <c r="F340" s="50" t="n">
        <v>1</v>
      </c>
      <c r="G340" s="27" t="s">
        <v>767</v>
      </c>
      <c r="H340" s="50" t="n">
        <f aca="false">F340</f>
        <v>1</v>
      </c>
      <c r="I340" s="51" t="n">
        <v>1500</v>
      </c>
      <c r="J340" s="28" t="n">
        <f aca="false">H340*I340</f>
        <v>1500</v>
      </c>
      <c r="K340" s="53" t="s">
        <v>551</v>
      </c>
      <c r="L340" s="7" t="s">
        <v>778</v>
      </c>
      <c r="M340" s="7" t="s">
        <v>1185</v>
      </c>
    </row>
    <row r="341" customFormat="false" ht="52.2" hidden="false" customHeight="false" outlineLevel="1" collapsed="false">
      <c r="A341" s="27"/>
      <c r="B341" s="27" t="s">
        <v>1213</v>
      </c>
      <c r="C341" s="7" t="s">
        <v>1186</v>
      </c>
      <c r="D341" s="27" t="s">
        <v>727</v>
      </c>
      <c r="E341" s="50" t="n">
        <v>1</v>
      </c>
      <c r="F341" s="50" t="n">
        <v>1</v>
      </c>
      <c r="G341" s="27" t="s">
        <v>767</v>
      </c>
      <c r="H341" s="50" t="n">
        <f aca="false">F341</f>
        <v>1</v>
      </c>
      <c r="I341" s="51" t="n">
        <v>350</v>
      </c>
      <c r="J341" s="28" t="n">
        <f aca="false">H341*I341</f>
        <v>350</v>
      </c>
      <c r="K341" s="53" t="s">
        <v>551</v>
      </c>
      <c r="L341" s="7" t="s">
        <v>778</v>
      </c>
      <c r="M341" s="7" t="s">
        <v>1187</v>
      </c>
    </row>
    <row r="342" customFormat="false" ht="90.25" hidden="false" customHeight="false" outlineLevel="1" collapsed="false">
      <c r="A342" s="27"/>
      <c r="B342" s="27" t="s">
        <v>1213</v>
      </c>
      <c r="C342" s="7" t="s">
        <v>1188</v>
      </c>
      <c r="D342" s="27" t="s">
        <v>727</v>
      </c>
      <c r="E342" s="50" t="n">
        <v>1</v>
      </c>
      <c r="F342" s="50" t="n">
        <v>1</v>
      </c>
      <c r="G342" s="27" t="s">
        <v>767</v>
      </c>
      <c r="H342" s="50" t="n">
        <f aca="false">F342</f>
        <v>1</v>
      </c>
      <c r="I342" s="51" t="n">
        <v>5000</v>
      </c>
      <c r="J342" s="28" t="n">
        <f aca="false">H342*I342</f>
        <v>5000</v>
      </c>
      <c r="K342" s="52" t="s">
        <v>548</v>
      </c>
      <c r="L342" s="7" t="s">
        <v>1189</v>
      </c>
      <c r="M342" s="7" t="s">
        <v>1190</v>
      </c>
    </row>
    <row r="343" customFormat="false" ht="64.9" hidden="false" customHeight="false" outlineLevel="1" collapsed="false">
      <c r="A343" s="27"/>
      <c r="B343" s="27" t="s">
        <v>1213</v>
      </c>
      <c r="C343" s="7" t="s">
        <v>1191</v>
      </c>
      <c r="D343" s="27" t="s">
        <v>816</v>
      </c>
      <c r="E343" s="50" t="n">
        <v>1</v>
      </c>
      <c r="F343" s="50" t="n">
        <v>1</v>
      </c>
      <c r="G343" s="27" t="s">
        <v>767</v>
      </c>
      <c r="H343" s="50" t="n">
        <f aca="false">F343</f>
        <v>1</v>
      </c>
      <c r="I343" s="51" t="n">
        <v>3150</v>
      </c>
      <c r="J343" s="28" t="n">
        <f aca="false">H343*I343</f>
        <v>3150</v>
      </c>
      <c r="K343" s="53" t="s">
        <v>551</v>
      </c>
      <c r="L343" s="7" t="s">
        <v>1212</v>
      </c>
      <c r="M343" s="7" t="s">
        <v>1193</v>
      </c>
    </row>
    <row r="344" customFormat="false" ht="166.4" hidden="false" customHeight="false" outlineLevel="1" collapsed="false">
      <c r="A344" s="27"/>
      <c r="B344" s="27" t="s">
        <v>1213</v>
      </c>
      <c r="C344" s="7" t="s">
        <v>1194</v>
      </c>
      <c r="D344" s="27" t="s">
        <v>853</v>
      </c>
      <c r="E344" s="50" t="n">
        <v>1066</v>
      </c>
      <c r="F344" s="50" t="n">
        <v>1066</v>
      </c>
      <c r="G344" s="27" t="s">
        <v>865</v>
      </c>
      <c r="H344" s="50" t="n">
        <f aca="false">F344/IF(Varsayimlar!$B$21=1,1.43,1)</f>
        <v>745.454545454546</v>
      </c>
      <c r="I344" s="51" t="n">
        <v>1.96</v>
      </c>
      <c r="J344" s="28" t="n">
        <f aca="false">H344*I344</f>
        <v>1461.09090909091</v>
      </c>
      <c r="K344" s="52" t="s">
        <v>548</v>
      </c>
      <c r="L344" s="7" t="s">
        <v>1195</v>
      </c>
      <c r="M344" s="7" t="s">
        <v>1196</v>
      </c>
    </row>
    <row r="345" customFormat="false" ht="64.9" hidden="false" customHeight="false" outlineLevel="1" collapsed="false">
      <c r="A345" s="27"/>
      <c r="B345" s="27" t="s">
        <v>1213</v>
      </c>
      <c r="C345" s="7" t="s">
        <v>1197</v>
      </c>
      <c r="D345" s="27" t="s">
        <v>853</v>
      </c>
      <c r="E345" s="50" t="n">
        <v>327</v>
      </c>
      <c r="F345" s="50" t="n">
        <v>327</v>
      </c>
      <c r="G345" s="27" t="s">
        <v>865</v>
      </c>
      <c r="H345" s="50" t="n">
        <f aca="false">F345/IF(Varsayimlar!$B$21=1,1.43,1)</f>
        <v>228.671328671329</v>
      </c>
      <c r="I345" s="51" t="n">
        <v>2.64</v>
      </c>
      <c r="J345" s="28" t="n">
        <f aca="false">H345*I345</f>
        <v>603.692307692308</v>
      </c>
      <c r="K345" s="52" t="s">
        <v>548</v>
      </c>
      <c r="L345" s="7" t="s">
        <v>1198</v>
      </c>
      <c r="M345" s="7" t="s">
        <v>1199</v>
      </c>
    </row>
    <row r="346" customFormat="false" ht="39.55" hidden="false" customHeight="false" outlineLevel="1" collapsed="false">
      <c r="A346" s="27"/>
      <c r="B346" s="27" t="s">
        <v>1213</v>
      </c>
      <c r="C346" s="7" t="s">
        <v>1200</v>
      </c>
      <c r="D346" s="27" t="s">
        <v>727</v>
      </c>
      <c r="E346" s="50" t="n">
        <v>71</v>
      </c>
      <c r="F346" s="50" t="n">
        <v>71</v>
      </c>
      <c r="G346" s="27" t="s">
        <v>829</v>
      </c>
      <c r="H346" s="50" t="n">
        <f aca="false">F346/IF(Varsayimlar!$B$21=1,1.3,1)</f>
        <v>54.6153846153846</v>
      </c>
      <c r="I346" s="51" t="n">
        <v>25</v>
      </c>
      <c r="J346" s="28" t="n">
        <f aca="false">H346*I346</f>
        <v>1365.38461538462</v>
      </c>
      <c r="K346" s="53" t="s">
        <v>551</v>
      </c>
      <c r="L346" s="7" t="s">
        <v>1173</v>
      </c>
      <c r="M346" s="7" t="s">
        <v>1201</v>
      </c>
    </row>
    <row r="347" customFormat="false" ht="15" hidden="false" customHeight="false" outlineLevel="0" collapsed="false">
      <c r="A347" s="48" t="s">
        <v>180</v>
      </c>
      <c r="B347" s="48" t="s">
        <v>1214</v>
      </c>
      <c r="C347" s="48" t="s">
        <v>181</v>
      </c>
      <c r="D347" s="48"/>
      <c r="E347" s="48"/>
      <c r="F347" s="48"/>
      <c r="G347" s="48"/>
      <c r="H347" s="48" t="s">
        <v>765</v>
      </c>
      <c r="I347" s="49" t="n">
        <f aca="false">SUMPRODUCT(E348:E367,I348:I367)</f>
        <v>33398.4</v>
      </c>
      <c r="J347" s="49" t="n">
        <f aca="false">SUM(J348:J367)</f>
        <v>29612.9770629371</v>
      </c>
      <c r="K347" s="48"/>
      <c r="L347" s="48"/>
      <c r="M347" s="48"/>
    </row>
    <row r="348" customFormat="false" ht="26.85" hidden="false" customHeight="false" outlineLevel="1" collapsed="false">
      <c r="A348" s="27"/>
      <c r="B348" s="27" t="s">
        <v>1214</v>
      </c>
      <c r="C348" s="7" t="s">
        <v>1153</v>
      </c>
      <c r="D348" s="27" t="s">
        <v>727</v>
      </c>
      <c r="E348" s="50" t="n">
        <v>16</v>
      </c>
      <c r="F348" s="50" t="n">
        <v>16</v>
      </c>
      <c r="G348" s="27" t="s">
        <v>829</v>
      </c>
      <c r="H348" s="50" t="n">
        <f aca="false">F348/IF(Varsayimlar!$B$21=1,1.3,1)</f>
        <v>12.3076923076923</v>
      </c>
      <c r="I348" s="51" t="n">
        <v>260</v>
      </c>
      <c r="J348" s="28" t="n">
        <f aca="false">H348*I348</f>
        <v>3200</v>
      </c>
      <c r="K348" s="53" t="s">
        <v>551</v>
      </c>
      <c r="L348" s="7" t="s">
        <v>1203</v>
      </c>
      <c r="M348" s="7" t="s">
        <v>1204</v>
      </c>
    </row>
    <row r="349" customFormat="false" ht="77.6" hidden="false" customHeight="false" outlineLevel="1" collapsed="false">
      <c r="A349" s="27"/>
      <c r="B349" s="27" t="s">
        <v>1214</v>
      </c>
      <c r="C349" s="7" t="s">
        <v>1156</v>
      </c>
      <c r="D349" s="27" t="s">
        <v>727</v>
      </c>
      <c r="E349" s="50" t="n">
        <v>6</v>
      </c>
      <c r="F349" s="50" t="n">
        <v>6</v>
      </c>
      <c r="G349" s="27" t="s">
        <v>767</v>
      </c>
      <c r="H349" s="50" t="n">
        <f aca="false">F349</f>
        <v>6</v>
      </c>
      <c r="I349" s="51" t="n">
        <v>389.24</v>
      </c>
      <c r="J349" s="28" t="n">
        <f aca="false">H349*I349</f>
        <v>2335.44</v>
      </c>
      <c r="K349" s="52" t="s">
        <v>548</v>
      </c>
      <c r="L349" s="7" t="s">
        <v>1205</v>
      </c>
      <c r="M349" s="7" t="s">
        <v>1206</v>
      </c>
    </row>
    <row r="350" customFormat="false" ht="39.55" hidden="false" customHeight="false" outlineLevel="1" collapsed="false">
      <c r="A350" s="27"/>
      <c r="B350" s="27" t="s">
        <v>1214</v>
      </c>
      <c r="C350" s="7" t="s">
        <v>1159</v>
      </c>
      <c r="D350" s="27" t="s">
        <v>727</v>
      </c>
      <c r="E350" s="50" t="n">
        <v>3</v>
      </c>
      <c r="F350" s="50" t="n">
        <v>3</v>
      </c>
      <c r="G350" s="27" t="s">
        <v>767</v>
      </c>
      <c r="H350" s="50" t="n">
        <f aca="false">F350</f>
        <v>3</v>
      </c>
      <c r="I350" s="51" t="n">
        <v>227.4</v>
      </c>
      <c r="J350" s="28" t="n">
        <f aca="false">H350*I350</f>
        <v>682.2</v>
      </c>
      <c r="K350" s="52" t="s">
        <v>548</v>
      </c>
      <c r="L350" s="7" t="s">
        <v>1160</v>
      </c>
      <c r="M350" s="7" t="s">
        <v>1161</v>
      </c>
    </row>
    <row r="351" customFormat="false" ht="77.6" hidden="false" customHeight="false" outlineLevel="1" collapsed="false">
      <c r="A351" s="27"/>
      <c r="B351" s="27" t="s">
        <v>1214</v>
      </c>
      <c r="C351" s="7" t="s">
        <v>1162</v>
      </c>
      <c r="D351" s="27" t="s">
        <v>727</v>
      </c>
      <c r="E351" s="50" t="n">
        <v>50</v>
      </c>
      <c r="F351" s="50" t="n">
        <v>50</v>
      </c>
      <c r="G351" s="27" t="s">
        <v>829</v>
      </c>
      <c r="H351" s="50" t="n">
        <f aca="false">F351/IF(Varsayimlar!$B$21=1,1.3,1)</f>
        <v>38.4615384615385</v>
      </c>
      <c r="I351" s="51" t="n">
        <v>68.64</v>
      </c>
      <c r="J351" s="28" t="n">
        <f aca="false">H351*I351</f>
        <v>2640</v>
      </c>
      <c r="K351" s="52" t="s">
        <v>548</v>
      </c>
      <c r="L351" s="7" t="s">
        <v>1163</v>
      </c>
      <c r="M351" s="7" t="s">
        <v>1164</v>
      </c>
    </row>
    <row r="352" customFormat="false" ht="77.6" hidden="false" customHeight="false" outlineLevel="1" collapsed="false">
      <c r="A352" s="27"/>
      <c r="B352" s="27" t="s">
        <v>1214</v>
      </c>
      <c r="C352" s="7" t="s">
        <v>1165</v>
      </c>
      <c r="D352" s="27" t="s">
        <v>727</v>
      </c>
      <c r="E352" s="50" t="n">
        <v>3</v>
      </c>
      <c r="F352" s="50" t="n">
        <v>3</v>
      </c>
      <c r="G352" s="27" t="s">
        <v>767</v>
      </c>
      <c r="H352" s="50" t="n">
        <f aca="false">F352</f>
        <v>3</v>
      </c>
      <c r="I352" s="51" t="n">
        <v>68.64</v>
      </c>
      <c r="J352" s="28" t="n">
        <f aca="false">H352*I352</f>
        <v>205.92</v>
      </c>
      <c r="K352" s="52" t="s">
        <v>548</v>
      </c>
      <c r="L352" s="7" t="s">
        <v>1163</v>
      </c>
      <c r="M352" s="7" t="s">
        <v>1164</v>
      </c>
    </row>
    <row r="353" customFormat="false" ht="64.9" hidden="false" customHeight="false" outlineLevel="1" collapsed="false">
      <c r="A353" s="27"/>
      <c r="B353" s="27" t="s">
        <v>1214</v>
      </c>
      <c r="C353" s="7" t="s">
        <v>1166</v>
      </c>
      <c r="D353" s="27" t="s">
        <v>727</v>
      </c>
      <c r="E353" s="50" t="n">
        <v>4</v>
      </c>
      <c r="F353" s="50" t="n">
        <v>4</v>
      </c>
      <c r="G353" s="27" t="s">
        <v>767</v>
      </c>
      <c r="H353" s="50" t="n">
        <f aca="false">F353</f>
        <v>4</v>
      </c>
      <c r="I353" s="51" t="n">
        <v>80.24</v>
      </c>
      <c r="J353" s="28" t="n">
        <f aca="false">H353*I353</f>
        <v>320.96</v>
      </c>
      <c r="K353" s="52" t="s">
        <v>548</v>
      </c>
      <c r="L353" s="7" t="s">
        <v>1167</v>
      </c>
      <c r="M353" s="7" t="s">
        <v>1168</v>
      </c>
    </row>
    <row r="354" customFormat="false" ht="26.85" hidden="false" customHeight="false" outlineLevel="1" collapsed="false">
      <c r="A354" s="27"/>
      <c r="B354" s="27" t="s">
        <v>1214</v>
      </c>
      <c r="C354" s="7" t="s">
        <v>1169</v>
      </c>
      <c r="D354" s="27" t="s">
        <v>727</v>
      </c>
      <c r="E354" s="50" t="n">
        <v>13</v>
      </c>
      <c r="F354" s="50" t="n">
        <v>13</v>
      </c>
      <c r="G354" s="27" t="s">
        <v>767</v>
      </c>
      <c r="H354" s="50" t="n">
        <f aca="false">F354</f>
        <v>13</v>
      </c>
      <c r="I354" s="51" t="n">
        <v>220</v>
      </c>
      <c r="J354" s="28" t="n">
        <f aca="false">H354*I354</f>
        <v>2860</v>
      </c>
      <c r="K354" s="53" t="s">
        <v>551</v>
      </c>
      <c r="L354" s="7" t="s">
        <v>1207</v>
      </c>
      <c r="M354" s="7" t="s">
        <v>1208</v>
      </c>
    </row>
    <row r="355" customFormat="false" ht="39.55" hidden="false" customHeight="false" outlineLevel="1" collapsed="false">
      <c r="A355" s="27"/>
      <c r="B355" s="27" t="s">
        <v>1214</v>
      </c>
      <c r="C355" s="7" t="s">
        <v>1172</v>
      </c>
      <c r="D355" s="27" t="s">
        <v>727</v>
      </c>
      <c r="E355" s="50" t="n">
        <v>1</v>
      </c>
      <c r="F355" s="50" t="n">
        <v>1</v>
      </c>
      <c r="G355" s="27" t="s">
        <v>767</v>
      </c>
      <c r="H355" s="50" t="n">
        <f aca="false">F355</f>
        <v>1</v>
      </c>
      <c r="I355" s="51" t="n">
        <v>60</v>
      </c>
      <c r="J355" s="28" t="n">
        <f aca="false">H355*I355</f>
        <v>60</v>
      </c>
      <c r="K355" s="53" t="s">
        <v>551</v>
      </c>
      <c r="L355" s="7" t="s">
        <v>1173</v>
      </c>
      <c r="M355" s="7" t="s">
        <v>1174</v>
      </c>
    </row>
    <row r="356" customFormat="false" ht="52.2" hidden="false" customHeight="false" outlineLevel="1" collapsed="false">
      <c r="A356" s="27"/>
      <c r="B356" s="27" t="s">
        <v>1214</v>
      </c>
      <c r="C356" s="7" t="s">
        <v>1209</v>
      </c>
      <c r="D356" s="27" t="s">
        <v>727</v>
      </c>
      <c r="E356" s="50" t="n">
        <v>26</v>
      </c>
      <c r="F356" s="50" t="n">
        <v>26</v>
      </c>
      <c r="G356" s="27" t="s">
        <v>829</v>
      </c>
      <c r="H356" s="50" t="n">
        <f aca="false">F356/IF(Varsayimlar!$B$21=1,1.3,1)</f>
        <v>20</v>
      </c>
      <c r="I356" s="51" t="n">
        <v>117.12</v>
      </c>
      <c r="J356" s="28" t="n">
        <f aca="false">H356*I356</f>
        <v>2342.4</v>
      </c>
      <c r="K356" s="52" t="s">
        <v>548</v>
      </c>
      <c r="L356" s="7" t="s">
        <v>1210</v>
      </c>
      <c r="M356" s="7" t="s">
        <v>1211</v>
      </c>
    </row>
    <row r="357" customFormat="false" ht="39.55" hidden="false" customHeight="false" outlineLevel="1" collapsed="false">
      <c r="A357" s="27"/>
      <c r="B357" s="27" t="s">
        <v>1214</v>
      </c>
      <c r="C357" s="7" t="s">
        <v>1175</v>
      </c>
      <c r="D357" s="27" t="s">
        <v>727</v>
      </c>
      <c r="E357" s="50" t="n">
        <v>4</v>
      </c>
      <c r="F357" s="50" t="n">
        <v>4</v>
      </c>
      <c r="G357" s="27" t="s">
        <v>767</v>
      </c>
      <c r="H357" s="50" t="n">
        <f aca="false">F357</f>
        <v>4</v>
      </c>
      <c r="I357" s="51" t="n">
        <v>16</v>
      </c>
      <c r="J357" s="28" t="n">
        <f aca="false">H357*I357</f>
        <v>64</v>
      </c>
      <c r="K357" s="53" t="s">
        <v>551</v>
      </c>
      <c r="L357" s="7" t="s">
        <v>1173</v>
      </c>
      <c r="M357" s="7" t="s">
        <v>1176</v>
      </c>
    </row>
    <row r="358" customFormat="false" ht="52.2" hidden="false" customHeight="false" outlineLevel="1" collapsed="false">
      <c r="A358" s="27"/>
      <c r="B358" s="27" t="s">
        <v>1214</v>
      </c>
      <c r="C358" s="7" t="s">
        <v>1177</v>
      </c>
      <c r="D358" s="27" t="s">
        <v>816</v>
      </c>
      <c r="E358" s="50" t="n">
        <v>1</v>
      </c>
      <c r="F358" s="50" t="n">
        <v>1</v>
      </c>
      <c r="G358" s="27" t="s">
        <v>767</v>
      </c>
      <c r="H358" s="50" t="n">
        <f aca="false">F358</f>
        <v>1</v>
      </c>
      <c r="I358" s="51" t="n">
        <v>161.12</v>
      </c>
      <c r="J358" s="28" t="n">
        <f aca="false">H358*I358</f>
        <v>161.12</v>
      </c>
      <c r="K358" s="52" t="s">
        <v>548</v>
      </c>
      <c r="L358" s="7" t="s">
        <v>1178</v>
      </c>
      <c r="M358" s="7" t="s">
        <v>1179</v>
      </c>
    </row>
    <row r="359" customFormat="false" ht="39.55" hidden="false" customHeight="false" outlineLevel="1" collapsed="false">
      <c r="A359" s="27"/>
      <c r="B359" s="27" t="s">
        <v>1214</v>
      </c>
      <c r="C359" s="7" t="s">
        <v>1180</v>
      </c>
      <c r="D359" s="27" t="s">
        <v>727</v>
      </c>
      <c r="E359" s="50" t="n">
        <v>8</v>
      </c>
      <c r="F359" s="50" t="n">
        <v>8</v>
      </c>
      <c r="G359" s="27" t="s">
        <v>829</v>
      </c>
      <c r="H359" s="50" t="n">
        <f aca="false">F359/IF(Varsayimlar!$B$21=1,1.3,1)</f>
        <v>6.15384615384615</v>
      </c>
      <c r="I359" s="51" t="n">
        <v>18</v>
      </c>
      <c r="J359" s="28" t="n">
        <f aca="false">H359*I359</f>
        <v>110.769230769231</v>
      </c>
      <c r="K359" s="53" t="s">
        <v>551</v>
      </c>
      <c r="L359" s="7" t="s">
        <v>1173</v>
      </c>
      <c r="M359" s="7" t="s">
        <v>1181</v>
      </c>
    </row>
    <row r="360" customFormat="false" ht="52.2" hidden="false" customHeight="false" outlineLevel="1" collapsed="false">
      <c r="A360" s="27"/>
      <c r="B360" s="27" t="s">
        <v>1214</v>
      </c>
      <c r="C360" s="7" t="s">
        <v>1182</v>
      </c>
      <c r="D360" s="27" t="s">
        <v>727</v>
      </c>
      <c r="E360" s="50" t="n">
        <v>1</v>
      </c>
      <c r="F360" s="50" t="n">
        <v>1</v>
      </c>
      <c r="G360" s="27" t="s">
        <v>767</v>
      </c>
      <c r="H360" s="50" t="n">
        <f aca="false">F360</f>
        <v>1</v>
      </c>
      <c r="I360" s="51" t="n">
        <v>1200</v>
      </c>
      <c r="J360" s="28" t="n">
        <f aca="false">H360*I360</f>
        <v>1200</v>
      </c>
      <c r="K360" s="53" t="s">
        <v>551</v>
      </c>
      <c r="L360" s="7" t="s">
        <v>778</v>
      </c>
      <c r="M360" s="7" t="s">
        <v>1183</v>
      </c>
    </row>
    <row r="361" customFormat="false" ht="52.2" hidden="false" customHeight="false" outlineLevel="1" collapsed="false">
      <c r="A361" s="27"/>
      <c r="B361" s="27" t="s">
        <v>1214</v>
      </c>
      <c r="C361" s="7" t="s">
        <v>1184</v>
      </c>
      <c r="D361" s="27" t="s">
        <v>727</v>
      </c>
      <c r="E361" s="50" t="n">
        <v>1</v>
      </c>
      <c r="F361" s="50" t="n">
        <v>1</v>
      </c>
      <c r="G361" s="27" t="s">
        <v>767</v>
      </c>
      <c r="H361" s="50" t="n">
        <f aca="false">F361</f>
        <v>1</v>
      </c>
      <c r="I361" s="51" t="n">
        <v>1500</v>
      </c>
      <c r="J361" s="28" t="n">
        <f aca="false">H361*I361</f>
        <v>1500</v>
      </c>
      <c r="K361" s="53" t="s">
        <v>551</v>
      </c>
      <c r="L361" s="7" t="s">
        <v>778</v>
      </c>
      <c r="M361" s="7" t="s">
        <v>1185</v>
      </c>
    </row>
    <row r="362" customFormat="false" ht="52.2" hidden="false" customHeight="false" outlineLevel="1" collapsed="false">
      <c r="A362" s="27"/>
      <c r="B362" s="27" t="s">
        <v>1214</v>
      </c>
      <c r="C362" s="7" t="s">
        <v>1186</v>
      </c>
      <c r="D362" s="27" t="s">
        <v>727</v>
      </c>
      <c r="E362" s="50" t="n">
        <v>1</v>
      </c>
      <c r="F362" s="50" t="n">
        <v>1</v>
      </c>
      <c r="G362" s="27" t="s">
        <v>767</v>
      </c>
      <c r="H362" s="50" t="n">
        <f aca="false">F362</f>
        <v>1</v>
      </c>
      <c r="I362" s="51" t="n">
        <v>350</v>
      </c>
      <c r="J362" s="28" t="n">
        <f aca="false">H362*I362</f>
        <v>350</v>
      </c>
      <c r="K362" s="53" t="s">
        <v>551</v>
      </c>
      <c r="L362" s="7" t="s">
        <v>778</v>
      </c>
      <c r="M362" s="7" t="s">
        <v>1187</v>
      </c>
    </row>
    <row r="363" customFormat="false" ht="90.25" hidden="false" customHeight="false" outlineLevel="1" collapsed="false">
      <c r="A363" s="27"/>
      <c r="B363" s="27" t="s">
        <v>1214</v>
      </c>
      <c r="C363" s="7" t="s">
        <v>1188</v>
      </c>
      <c r="D363" s="27" t="s">
        <v>727</v>
      </c>
      <c r="E363" s="50" t="n">
        <v>1</v>
      </c>
      <c r="F363" s="50" t="n">
        <v>1</v>
      </c>
      <c r="G363" s="27" t="s">
        <v>767</v>
      </c>
      <c r="H363" s="50" t="n">
        <f aca="false">F363</f>
        <v>1</v>
      </c>
      <c r="I363" s="51" t="n">
        <v>5000</v>
      </c>
      <c r="J363" s="28" t="n">
        <f aca="false">H363*I363</f>
        <v>5000</v>
      </c>
      <c r="K363" s="52" t="s">
        <v>548</v>
      </c>
      <c r="L363" s="7" t="s">
        <v>1189</v>
      </c>
      <c r="M363" s="7" t="s">
        <v>1190</v>
      </c>
    </row>
    <row r="364" customFormat="false" ht="64.9" hidden="false" customHeight="false" outlineLevel="1" collapsed="false">
      <c r="A364" s="27"/>
      <c r="B364" s="27" t="s">
        <v>1214</v>
      </c>
      <c r="C364" s="7" t="s">
        <v>1191</v>
      </c>
      <c r="D364" s="27" t="s">
        <v>816</v>
      </c>
      <c r="E364" s="50" t="n">
        <v>1</v>
      </c>
      <c r="F364" s="50" t="n">
        <v>1</v>
      </c>
      <c r="G364" s="27" t="s">
        <v>767</v>
      </c>
      <c r="H364" s="50" t="n">
        <f aca="false">F364</f>
        <v>1</v>
      </c>
      <c r="I364" s="51" t="n">
        <v>3150</v>
      </c>
      <c r="J364" s="28" t="n">
        <f aca="false">H364*I364</f>
        <v>3150</v>
      </c>
      <c r="K364" s="53" t="s">
        <v>551</v>
      </c>
      <c r="L364" s="7" t="s">
        <v>1212</v>
      </c>
      <c r="M364" s="7" t="s">
        <v>1193</v>
      </c>
    </row>
    <row r="365" customFormat="false" ht="166.4" hidden="false" customHeight="false" outlineLevel="1" collapsed="false">
      <c r="A365" s="27"/>
      <c r="B365" s="27" t="s">
        <v>1214</v>
      </c>
      <c r="C365" s="7" t="s">
        <v>1194</v>
      </c>
      <c r="D365" s="27" t="s">
        <v>853</v>
      </c>
      <c r="E365" s="50" t="n">
        <v>1066</v>
      </c>
      <c r="F365" s="50" t="n">
        <v>1066</v>
      </c>
      <c r="G365" s="27" t="s">
        <v>865</v>
      </c>
      <c r="H365" s="50" t="n">
        <f aca="false">F365/IF(Varsayimlar!$B$21=1,1.43,1)</f>
        <v>745.454545454546</v>
      </c>
      <c r="I365" s="51" t="n">
        <v>1.96</v>
      </c>
      <c r="J365" s="28" t="n">
        <f aca="false">H365*I365</f>
        <v>1461.09090909091</v>
      </c>
      <c r="K365" s="52" t="s">
        <v>548</v>
      </c>
      <c r="L365" s="7" t="s">
        <v>1195</v>
      </c>
      <c r="M365" s="7" t="s">
        <v>1196</v>
      </c>
    </row>
    <row r="366" customFormat="false" ht="64.9" hidden="false" customHeight="false" outlineLevel="1" collapsed="false">
      <c r="A366" s="27"/>
      <c r="B366" s="27" t="s">
        <v>1214</v>
      </c>
      <c r="C366" s="7" t="s">
        <v>1197</v>
      </c>
      <c r="D366" s="27" t="s">
        <v>853</v>
      </c>
      <c r="E366" s="50" t="n">
        <v>327</v>
      </c>
      <c r="F366" s="50" t="n">
        <v>327</v>
      </c>
      <c r="G366" s="27" t="s">
        <v>865</v>
      </c>
      <c r="H366" s="50" t="n">
        <f aca="false">F366/IF(Varsayimlar!$B$21=1,1.43,1)</f>
        <v>228.671328671329</v>
      </c>
      <c r="I366" s="51" t="n">
        <v>2.64</v>
      </c>
      <c r="J366" s="28" t="n">
        <f aca="false">H366*I366</f>
        <v>603.692307692308</v>
      </c>
      <c r="K366" s="52" t="s">
        <v>548</v>
      </c>
      <c r="L366" s="7" t="s">
        <v>1198</v>
      </c>
      <c r="M366" s="7" t="s">
        <v>1199</v>
      </c>
    </row>
    <row r="367" customFormat="false" ht="39.55" hidden="false" customHeight="false" outlineLevel="1" collapsed="false">
      <c r="A367" s="27"/>
      <c r="B367" s="27" t="s">
        <v>1214</v>
      </c>
      <c r="C367" s="7" t="s">
        <v>1200</v>
      </c>
      <c r="D367" s="27" t="s">
        <v>727</v>
      </c>
      <c r="E367" s="50" t="n">
        <v>71</v>
      </c>
      <c r="F367" s="50" t="n">
        <v>71</v>
      </c>
      <c r="G367" s="27" t="s">
        <v>829</v>
      </c>
      <c r="H367" s="50" t="n">
        <f aca="false">F367/IF(Varsayimlar!$B$21=1,1.3,1)</f>
        <v>54.6153846153846</v>
      </c>
      <c r="I367" s="51" t="n">
        <v>25</v>
      </c>
      <c r="J367" s="28" t="n">
        <f aca="false">H367*I367</f>
        <v>1365.38461538462</v>
      </c>
      <c r="K367" s="53" t="s">
        <v>551</v>
      </c>
      <c r="L367" s="7" t="s">
        <v>1173</v>
      </c>
      <c r="M367" s="7" t="s">
        <v>1201</v>
      </c>
    </row>
    <row r="368" customFormat="false" ht="15" hidden="false" customHeight="false" outlineLevel="0" collapsed="false">
      <c r="A368" s="48" t="s">
        <v>182</v>
      </c>
      <c r="B368" s="48" t="s">
        <v>1215</v>
      </c>
      <c r="C368" s="48" t="s">
        <v>183</v>
      </c>
      <c r="D368" s="48"/>
      <c r="E368" s="48"/>
      <c r="F368" s="48"/>
      <c r="G368" s="48"/>
      <c r="H368" s="48" t="s">
        <v>765</v>
      </c>
      <c r="I368" s="49" t="n">
        <f aca="false">SUMPRODUCT(E369:E388,I369:I388)</f>
        <v>33398.4</v>
      </c>
      <c r="J368" s="49" t="n">
        <f aca="false">SUM(J369:J388)</f>
        <v>29612.9770629371</v>
      </c>
      <c r="K368" s="48"/>
      <c r="L368" s="48"/>
      <c r="M368" s="48"/>
    </row>
    <row r="369" customFormat="false" ht="26.85" hidden="false" customHeight="false" outlineLevel="1" collapsed="false">
      <c r="A369" s="27"/>
      <c r="B369" s="27" t="s">
        <v>1215</v>
      </c>
      <c r="C369" s="7" t="s">
        <v>1153</v>
      </c>
      <c r="D369" s="27" t="s">
        <v>727</v>
      </c>
      <c r="E369" s="50" t="n">
        <v>16</v>
      </c>
      <c r="F369" s="50" t="n">
        <v>16</v>
      </c>
      <c r="G369" s="27" t="s">
        <v>829</v>
      </c>
      <c r="H369" s="50" t="n">
        <f aca="false">F369/IF(Varsayimlar!$B$21=1,1.3,1)</f>
        <v>12.3076923076923</v>
      </c>
      <c r="I369" s="51" t="n">
        <v>260</v>
      </c>
      <c r="J369" s="28" t="n">
        <f aca="false">H369*I369</f>
        <v>3200</v>
      </c>
      <c r="K369" s="53" t="s">
        <v>551</v>
      </c>
      <c r="L369" s="7" t="s">
        <v>1203</v>
      </c>
      <c r="M369" s="7" t="s">
        <v>1204</v>
      </c>
    </row>
    <row r="370" customFormat="false" ht="77.6" hidden="false" customHeight="false" outlineLevel="1" collapsed="false">
      <c r="A370" s="27"/>
      <c r="B370" s="27" t="s">
        <v>1215</v>
      </c>
      <c r="C370" s="7" t="s">
        <v>1156</v>
      </c>
      <c r="D370" s="27" t="s">
        <v>727</v>
      </c>
      <c r="E370" s="50" t="n">
        <v>6</v>
      </c>
      <c r="F370" s="50" t="n">
        <v>6</v>
      </c>
      <c r="G370" s="27" t="s">
        <v>767</v>
      </c>
      <c r="H370" s="50" t="n">
        <f aca="false">F370</f>
        <v>6</v>
      </c>
      <c r="I370" s="51" t="n">
        <v>389.24</v>
      </c>
      <c r="J370" s="28" t="n">
        <f aca="false">H370*I370</f>
        <v>2335.44</v>
      </c>
      <c r="K370" s="52" t="s">
        <v>548</v>
      </c>
      <c r="L370" s="7" t="s">
        <v>1205</v>
      </c>
      <c r="M370" s="7" t="s">
        <v>1206</v>
      </c>
    </row>
    <row r="371" customFormat="false" ht="39.55" hidden="false" customHeight="false" outlineLevel="1" collapsed="false">
      <c r="A371" s="27"/>
      <c r="B371" s="27" t="s">
        <v>1215</v>
      </c>
      <c r="C371" s="7" t="s">
        <v>1159</v>
      </c>
      <c r="D371" s="27" t="s">
        <v>727</v>
      </c>
      <c r="E371" s="50" t="n">
        <v>3</v>
      </c>
      <c r="F371" s="50" t="n">
        <v>3</v>
      </c>
      <c r="G371" s="27" t="s">
        <v>767</v>
      </c>
      <c r="H371" s="50" t="n">
        <f aca="false">F371</f>
        <v>3</v>
      </c>
      <c r="I371" s="51" t="n">
        <v>227.4</v>
      </c>
      <c r="J371" s="28" t="n">
        <f aca="false">H371*I371</f>
        <v>682.2</v>
      </c>
      <c r="K371" s="52" t="s">
        <v>548</v>
      </c>
      <c r="L371" s="7" t="s">
        <v>1160</v>
      </c>
      <c r="M371" s="7" t="s">
        <v>1161</v>
      </c>
    </row>
    <row r="372" customFormat="false" ht="77.6" hidden="false" customHeight="false" outlineLevel="1" collapsed="false">
      <c r="A372" s="27"/>
      <c r="B372" s="27" t="s">
        <v>1215</v>
      </c>
      <c r="C372" s="7" t="s">
        <v>1162</v>
      </c>
      <c r="D372" s="27" t="s">
        <v>727</v>
      </c>
      <c r="E372" s="50" t="n">
        <v>50</v>
      </c>
      <c r="F372" s="50" t="n">
        <v>50</v>
      </c>
      <c r="G372" s="27" t="s">
        <v>829</v>
      </c>
      <c r="H372" s="50" t="n">
        <f aca="false">F372/IF(Varsayimlar!$B$21=1,1.3,1)</f>
        <v>38.4615384615385</v>
      </c>
      <c r="I372" s="51" t="n">
        <v>68.64</v>
      </c>
      <c r="J372" s="28" t="n">
        <f aca="false">H372*I372</f>
        <v>2640</v>
      </c>
      <c r="K372" s="52" t="s">
        <v>548</v>
      </c>
      <c r="L372" s="7" t="s">
        <v>1163</v>
      </c>
      <c r="M372" s="7" t="s">
        <v>1164</v>
      </c>
    </row>
    <row r="373" customFormat="false" ht="77.6" hidden="false" customHeight="false" outlineLevel="1" collapsed="false">
      <c r="A373" s="27"/>
      <c r="B373" s="27" t="s">
        <v>1215</v>
      </c>
      <c r="C373" s="7" t="s">
        <v>1165</v>
      </c>
      <c r="D373" s="27" t="s">
        <v>727</v>
      </c>
      <c r="E373" s="50" t="n">
        <v>3</v>
      </c>
      <c r="F373" s="50" t="n">
        <v>3</v>
      </c>
      <c r="G373" s="27" t="s">
        <v>767</v>
      </c>
      <c r="H373" s="50" t="n">
        <f aca="false">F373</f>
        <v>3</v>
      </c>
      <c r="I373" s="51" t="n">
        <v>68.64</v>
      </c>
      <c r="J373" s="28" t="n">
        <f aca="false">H373*I373</f>
        <v>205.92</v>
      </c>
      <c r="K373" s="52" t="s">
        <v>548</v>
      </c>
      <c r="L373" s="7" t="s">
        <v>1163</v>
      </c>
      <c r="M373" s="7" t="s">
        <v>1164</v>
      </c>
    </row>
    <row r="374" customFormat="false" ht="64.9" hidden="false" customHeight="false" outlineLevel="1" collapsed="false">
      <c r="A374" s="27"/>
      <c r="B374" s="27" t="s">
        <v>1215</v>
      </c>
      <c r="C374" s="7" t="s">
        <v>1166</v>
      </c>
      <c r="D374" s="27" t="s">
        <v>727</v>
      </c>
      <c r="E374" s="50" t="n">
        <v>4</v>
      </c>
      <c r="F374" s="50" t="n">
        <v>4</v>
      </c>
      <c r="G374" s="27" t="s">
        <v>767</v>
      </c>
      <c r="H374" s="50" t="n">
        <f aca="false">F374</f>
        <v>4</v>
      </c>
      <c r="I374" s="51" t="n">
        <v>80.24</v>
      </c>
      <c r="J374" s="28" t="n">
        <f aca="false">H374*I374</f>
        <v>320.96</v>
      </c>
      <c r="K374" s="52" t="s">
        <v>548</v>
      </c>
      <c r="L374" s="7" t="s">
        <v>1167</v>
      </c>
      <c r="M374" s="7" t="s">
        <v>1168</v>
      </c>
    </row>
    <row r="375" customFormat="false" ht="26.85" hidden="false" customHeight="false" outlineLevel="1" collapsed="false">
      <c r="A375" s="27"/>
      <c r="B375" s="27" t="s">
        <v>1215</v>
      </c>
      <c r="C375" s="7" t="s">
        <v>1169</v>
      </c>
      <c r="D375" s="27" t="s">
        <v>727</v>
      </c>
      <c r="E375" s="50" t="n">
        <v>13</v>
      </c>
      <c r="F375" s="50" t="n">
        <v>13</v>
      </c>
      <c r="G375" s="27" t="s">
        <v>767</v>
      </c>
      <c r="H375" s="50" t="n">
        <f aca="false">F375</f>
        <v>13</v>
      </c>
      <c r="I375" s="51" t="n">
        <v>220</v>
      </c>
      <c r="J375" s="28" t="n">
        <f aca="false">H375*I375</f>
        <v>2860</v>
      </c>
      <c r="K375" s="53" t="s">
        <v>551</v>
      </c>
      <c r="L375" s="7" t="s">
        <v>1207</v>
      </c>
      <c r="M375" s="7" t="s">
        <v>1208</v>
      </c>
    </row>
    <row r="376" customFormat="false" ht="39.55" hidden="false" customHeight="false" outlineLevel="1" collapsed="false">
      <c r="A376" s="27"/>
      <c r="B376" s="27" t="s">
        <v>1215</v>
      </c>
      <c r="C376" s="7" t="s">
        <v>1172</v>
      </c>
      <c r="D376" s="27" t="s">
        <v>727</v>
      </c>
      <c r="E376" s="50" t="n">
        <v>1</v>
      </c>
      <c r="F376" s="50" t="n">
        <v>1</v>
      </c>
      <c r="G376" s="27" t="s">
        <v>767</v>
      </c>
      <c r="H376" s="50" t="n">
        <f aca="false">F376</f>
        <v>1</v>
      </c>
      <c r="I376" s="51" t="n">
        <v>60</v>
      </c>
      <c r="J376" s="28" t="n">
        <f aca="false">H376*I376</f>
        <v>60</v>
      </c>
      <c r="K376" s="53" t="s">
        <v>551</v>
      </c>
      <c r="L376" s="7" t="s">
        <v>1173</v>
      </c>
      <c r="M376" s="7" t="s">
        <v>1174</v>
      </c>
    </row>
    <row r="377" customFormat="false" ht="52.2" hidden="false" customHeight="false" outlineLevel="1" collapsed="false">
      <c r="A377" s="27"/>
      <c r="B377" s="27" t="s">
        <v>1215</v>
      </c>
      <c r="C377" s="7" t="s">
        <v>1209</v>
      </c>
      <c r="D377" s="27" t="s">
        <v>727</v>
      </c>
      <c r="E377" s="50" t="n">
        <v>26</v>
      </c>
      <c r="F377" s="50" t="n">
        <v>26</v>
      </c>
      <c r="G377" s="27" t="s">
        <v>829</v>
      </c>
      <c r="H377" s="50" t="n">
        <f aca="false">F377/IF(Varsayimlar!$B$21=1,1.3,1)</f>
        <v>20</v>
      </c>
      <c r="I377" s="51" t="n">
        <v>117.12</v>
      </c>
      <c r="J377" s="28" t="n">
        <f aca="false">H377*I377</f>
        <v>2342.4</v>
      </c>
      <c r="K377" s="52" t="s">
        <v>548</v>
      </c>
      <c r="L377" s="7" t="s">
        <v>1210</v>
      </c>
      <c r="M377" s="7" t="s">
        <v>1211</v>
      </c>
    </row>
    <row r="378" customFormat="false" ht="39.55" hidden="false" customHeight="false" outlineLevel="1" collapsed="false">
      <c r="A378" s="27"/>
      <c r="B378" s="27" t="s">
        <v>1215</v>
      </c>
      <c r="C378" s="7" t="s">
        <v>1175</v>
      </c>
      <c r="D378" s="27" t="s">
        <v>727</v>
      </c>
      <c r="E378" s="50" t="n">
        <v>4</v>
      </c>
      <c r="F378" s="50" t="n">
        <v>4</v>
      </c>
      <c r="G378" s="27" t="s">
        <v>767</v>
      </c>
      <c r="H378" s="50" t="n">
        <f aca="false">F378</f>
        <v>4</v>
      </c>
      <c r="I378" s="51" t="n">
        <v>16</v>
      </c>
      <c r="J378" s="28" t="n">
        <f aca="false">H378*I378</f>
        <v>64</v>
      </c>
      <c r="K378" s="53" t="s">
        <v>551</v>
      </c>
      <c r="L378" s="7" t="s">
        <v>1173</v>
      </c>
      <c r="M378" s="7" t="s">
        <v>1176</v>
      </c>
    </row>
    <row r="379" customFormat="false" ht="52.2" hidden="false" customHeight="false" outlineLevel="1" collapsed="false">
      <c r="A379" s="27"/>
      <c r="B379" s="27" t="s">
        <v>1215</v>
      </c>
      <c r="C379" s="7" t="s">
        <v>1177</v>
      </c>
      <c r="D379" s="27" t="s">
        <v>816</v>
      </c>
      <c r="E379" s="50" t="n">
        <v>1</v>
      </c>
      <c r="F379" s="50" t="n">
        <v>1</v>
      </c>
      <c r="G379" s="27" t="s">
        <v>767</v>
      </c>
      <c r="H379" s="50" t="n">
        <f aca="false">F379</f>
        <v>1</v>
      </c>
      <c r="I379" s="51" t="n">
        <v>161.12</v>
      </c>
      <c r="J379" s="28" t="n">
        <f aca="false">H379*I379</f>
        <v>161.12</v>
      </c>
      <c r="K379" s="52" t="s">
        <v>548</v>
      </c>
      <c r="L379" s="7" t="s">
        <v>1178</v>
      </c>
      <c r="M379" s="7" t="s">
        <v>1179</v>
      </c>
    </row>
    <row r="380" customFormat="false" ht="39.55" hidden="false" customHeight="false" outlineLevel="1" collapsed="false">
      <c r="A380" s="27"/>
      <c r="B380" s="27" t="s">
        <v>1215</v>
      </c>
      <c r="C380" s="7" t="s">
        <v>1180</v>
      </c>
      <c r="D380" s="27" t="s">
        <v>727</v>
      </c>
      <c r="E380" s="50" t="n">
        <v>8</v>
      </c>
      <c r="F380" s="50" t="n">
        <v>8</v>
      </c>
      <c r="G380" s="27" t="s">
        <v>829</v>
      </c>
      <c r="H380" s="50" t="n">
        <f aca="false">F380/IF(Varsayimlar!$B$21=1,1.3,1)</f>
        <v>6.15384615384615</v>
      </c>
      <c r="I380" s="51" t="n">
        <v>18</v>
      </c>
      <c r="J380" s="28" t="n">
        <f aca="false">H380*I380</f>
        <v>110.769230769231</v>
      </c>
      <c r="K380" s="53" t="s">
        <v>551</v>
      </c>
      <c r="L380" s="7" t="s">
        <v>1173</v>
      </c>
      <c r="M380" s="7" t="s">
        <v>1181</v>
      </c>
    </row>
    <row r="381" customFormat="false" ht="52.2" hidden="false" customHeight="false" outlineLevel="1" collapsed="false">
      <c r="A381" s="27"/>
      <c r="B381" s="27" t="s">
        <v>1215</v>
      </c>
      <c r="C381" s="7" t="s">
        <v>1182</v>
      </c>
      <c r="D381" s="27" t="s">
        <v>727</v>
      </c>
      <c r="E381" s="50" t="n">
        <v>1</v>
      </c>
      <c r="F381" s="50" t="n">
        <v>1</v>
      </c>
      <c r="G381" s="27" t="s">
        <v>767</v>
      </c>
      <c r="H381" s="50" t="n">
        <f aca="false">F381</f>
        <v>1</v>
      </c>
      <c r="I381" s="51" t="n">
        <v>1200</v>
      </c>
      <c r="J381" s="28" t="n">
        <f aca="false">H381*I381</f>
        <v>1200</v>
      </c>
      <c r="K381" s="53" t="s">
        <v>551</v>
      </c>
      <c r="L381" s="7" t="s">
        <v>778</v>
      </c>
      <c r="M381" s="7" t="s">
        <v>1183</v>
      </c>
    </row>
    <row r="382" customFormat="false" ht="52.2" hidden="false" customHeight="false" outlineLevel="1" collapsed="false">
      <c r="A382" s="27"/>
      <c r="B382" s="27" t="s">
        <v>1215</v>
      </c>
      <c r="C382" s="7" t="s">
        <v>1184</v>
      </c>
      <c r="D382" s="27" t="s">
        <v>727</v>
      </c>
      <c r="E382" s="50" t="n">
        <v>1</v>
      </c>
      <c r="F382" s="50" t="n">
        <v>1</v>
      </c>
      <c r="G382" s="27" t="s">
        <v>767</v>
      </c>
      <c r="H382" s="50" t="n">
        <f aca="false">F382</f>
        <v>1</v>
      </c>
      <c r="I382" s="51" t="n">
        <v>1500</v>
      </c>
      <c r="J382" s="28" t="n">
        <f aca="false">H382*I382</f>
        <v>1500</v>
      </c>
      <c r="K382" s="53" t="s">
        <v>551</v>
      </c>
      <c r="L382" s="7" t="s">
        <v>778</v>
      </c>
      <c r="M382" s="7" t="s">
        <v>1185</v>
      </c>
    </row>
    <row r="383" customFormat="false" ht="52.2" hidden="false" customHeight="false" outlineLevel="1" collapsed="false">
      <c r="A383" s="27"/>
      <c r="B383" s="27" t="s">
        <v>1215</v>
      </c>
      <c r="C383" s="7" t="s">
        <v>1186</v>
      </c>
      <c r="D383" s="27" t="s">
        <v>727</v>
      </c>
      <c r="E383" s="50" t="n">
        <v>1</v>
      </c>
      <c r="F383" s="50" t="n">
        <v>1</v>
      </c>
      <c r="G383" s="27" t="s">
        <v>767</v>
      </c>
      <c r="H383" s="50" t="n">
        <f aca="false">F383</f>
        <v>1</v>
      </c>
      <c r="I383" s="51" t="n">
        <v>350</v>
      </c>
      <c r="J383" s="28" t="n">
        <f aca="false">H383*I383</f>
        <v>350</v>
      </c>
      <c r="K383" s="53" t="s">
        <v>551</v>
      </c>
      <c r="L383" s="7" t="s">
        <v>778</v>
      </c>
      <c r="M383" s="7" t="s">
        <v>1187</v>
      </c>
    </row>
    <row r="384" customFormat="false" ht="90.25" hidden="false" customHeight="false" outlineLevel="1" collapsed="false">
      <c r="A384" s="27"/>
      <c r="B384" s="27" t="s">
        <v>1215</v>
      </c>
      <c r="C384" s="7" t="s">
        <v>1188</v>
      </c>
      <c r="D384" s="27" t="s">
        <v>727</v>
      </c>
      <c r="E384" s="50" t="n">
        <v>1</v>
      </c>
      <c r="F384" s="50" t="n">
        <v>1</v>
      </c>
      <c r="G384" s="27" t="s">
        <v>767</v>
      </c>
      <c r="H384" s="50" t="n">
        <f aca="false">F384</f>
        <v>1</v>
      </c>
      <c r="I384" s="51" t="n">
        <v>5000</v>
      </c>
      <c r="J384" s="28" t="n">
        <f aca="false">H384*I384</f>
        <v>5000</v>
      </c>
      <c r="K384" s="52" t="s">
        <v>548</v>
      </c>
      <c r="L384" s="7" t="s">
        <v>1189</v>
      </c>
      <c r="M384" s="7" t="s">
        <v>1190</v>
      </c>
    </row>
    <row r="385" customFormat="false" ht="64.9" hidden="false" customHeight="false" outlineLevel="1" collapsed="false">
      <c r="A385" s="27"/>
      <c r="B385" s="27" t="s">
        <v>1215</v>
      </c>
      <c r="C385" s="7" t="s">
        <v>1191</v>
      </c>
      <c r="D385" s="27" t="s">
        <v>816</v>
      </c>
      <c r="E385" s="50" t="n">
        <v>1</v>
      </c>
      <c r="F385" s="50" t="n">
        <v>1</v>
      </c>
      <c r="G385" s="27" t="s">
        <v>767</v>
      </c>
      <c r="H385" s="50" t="n">
        <f aca="false">F385</f>
        <v>1</v>
      </c>
      <c r="I385" s="51" t="n">
        <v>3150</v>
      </c>
      <c r="J385" s="28" t="n">
        <f aca="false">H385*I385</f>
        <v>3150</v>
      </c>
      <c r="K385" s="53" t="s">
        <v>551</v>
      </c>
      <c r="L385" s="7" t="s">
        <v>1212</v>
      </c>
      <c r="M385" s="7" t="s">
        <v>1193</v>
      </c>
    </row>
    <row r="386" customFormat="false" ht="166.4" hidden="false" customHeight="false" outlineLevel="1" collapsed="false">
      <c r="A386" s="27"/>
      <c r="B386" s="27" t="s">
        <v>1215</v>
      </c>
      <c r="C386" s="7" t="s">
        <v>1194</v>
      </c>
      <c r="D386" s="27" t="s">
        <v>853</v>
      </c>
      <c r="E386" s="50" t="n">
        <v>1066</v>
      </c>
      <c r="F386" s="50" t="n">
        <v>1066</v>
      </c>
      <c r="G386" s="27" t="s">
        <v>865</v>
      </c>
      <c r="H386" s="50" t="n">
        <f aca="false">F386/IF(Varsayimlar!$B$21=1,1.43,1)</f>
        <v>745.454545454546</v>
      </c>
      <c r="I386" s="51" t="n">
        <v>1.96</v>
      </c>
      <c r="J386" s="28" t="n">
        <f aca="false">H386*I386</f>
        <v>1461.09090909091</v>
      </c>
      <c r="K386" s="52" t="s">
        <v>548</v>
      </c>
      <c r="L386" s="7" t="s">
        <v>1195</v>
      </c>
      <c r="M386" s="7" t="s">
        <v>1196</v>
      </c>
    </row>
    <row r="387" customFormat="false" ht="64.9" hidden="false" customHeight="false" outlineLevel="1" collapsed="false">
      <c r="A387" s="27"/>
      <c r="B387" s="27" t="s">
        <v>1215</v>
      </c>
      <c r="C387" s="7" t="s">
        <v>1197</v>
      </c>
      <c r="D387" s="27" t="s">
        <v>853</v>
      </c>
      <c r="E387" s="50" t="n">
        <v>327</v>
      </c>
      <c r="F387" s="50" t="n">
        <v>327</v>
      </c>
      <c r="G387" s="27" t="s">
        <v>865</v>
      </c>
      <c r="H387" s="50" t="n">
        <f aca="false">F387/IF(Varsayimlar!$B$21=1,1.43,1)</f>
        <v>228.671328671329</v>
      </c>
      <c r="I387" s="51" t="n">
        <v>2.64</v>
      </c>
      <c r="J387" s="28" t="n">
        <f aca="false">H387*I387</f>
        <v>603.692307692308</v>
      </c>
      <c r="K387" s="52" t="s">
        <v>548</v>
      </c>
      <c r="L387" s="7" t="s">
        <v>1198</v>
      </c>
      <c r="M387" s="7" t="s">
        <v>1199</v>
      </c>
    </row>
    <row r="388" customFormat="false" ht="39.55" hidden="false" customHeight="false" outlineLevel="1" collapsed="false">
      <c r="A388" s="27"/>
      <c r="B388" s="27" t="s">
        <v>1215</v>
      </c>
      <c r="C388" s="7" t="s">
        <v>1200</v>
      </c>
      <c r="D388" s="27" t="s">
        <v>727</v>
      </c>
      <c r="E388" s="50" t="n">
        <v>71</v>
      </c>
      <c r="F388" s="50" t="n">
        <v>71</v>
      </c>
      <c r="G388" s="27" t="s">
        <v>829</v>
      </c>
      <c r="H388" s="50" t="n">
        <f aca="false">F388/IF(Varsayimlar!$B$21=1,1.3,1)</f>
        <v>54.6153846153846</v>
      </c>
      <c r="I388" s="51" t="n">
        <v>25</v>
      </c>
      <c r="J388" s="28" t="n">
        <f aca="false">H388*I388</f>
        <v>1365.38461538462</v>
      </c>
      <c r="K388" s="53" t="s">
        <v>551</v>
      </c>
      <c r="L388" s="7" t="s">
        <v>1173</v>
      </c>
      <c r="M388" s="7" t="s">
        <v>1201</v>
      </c>
    </row>
    <row r="389" customFormat="false" ht="15" hidden="false" customHeight="false" outlineLevel="0" collapsed="false">
      <c r="A389" s="48" t="s">
        <v>184</v>
      </c>
      <c r="B389" s="48" t="s">
        <v>1216</v>
      </c>
      <c r="C389" s="48" t="s">
        <v>185</v>
      </c>
      <c r="D389" s="48"/>
      <c r="E389" s="48"/>
      <c r="F389" s="48"/>
      <c r="G389" s="48"/>
      <c r="H389" s="48" t="s">
        <v>765</v>
      </c>
      <c r="I389" s="49" t="n">
        <f aca="false">SUMPRODUCT(E390:E408,I390:I408)</f>
        <v>29749.6</v>
      </c>
      <c r="J389" s="49" t="n">
        <f aca="false">SUM(J390:J408)</f>
        <v>26848.4232167832</v>
      </c>
      <c r="K389" s="48"/>
      <c r="L389" s="48"/>
      <c r="M389" s="48"/>
    </row>
    <row r="390" customFormat="false" ht="26.85" hidden="false" customHeight="false" outlineLevel="1" collapsed="false">
      <c r="A390" s="27"/>
      <c r="B390" s="27" t="s">
        <v>1216</v>
      </c>
      <c r="C390" s="7" t="s">
        <v>1153</v>
      </c>
      <c r="D390" s="27" t="s">
        <v>727</v>
      </c>
      <c r="E390" s="50" t="n">
        <v>16</v>
      </c>
      <c r="F390" s="50" t="n">
        <v>16</v>
      </c>
      <c r="G390" s="27" t="s">
        <v>829</v>
      </c>
      <c r="H390" s="50" t="n">
        <f aca="false">F390/IF(Varsayimlar!$B$21=1,1.3,1)</f>
        <v>12.3076923076923</v>
      </c>
      <c r="I390" s="51" t="n">
        <v>260</v>
      </c>
      <c r="J390" s="28" t="n">
        <f aca="false">H390*I390</f>
        <v>3200</v>
      </c>
      <c r="K390" s="53" t="s">
        <v>551</v>
      </c>
      <c r="L390" s="7" t="s">
        <v>1203</v>
      </c>
      <c r="M390" s="7" t="s">
        <v>1204</v>
      </c>
    </row>
    <row r="391" customFormat="false" ht="77.6" hidden="false" customHeight="false" outlineLevel="1" collapsed="false">
      <c r="A391" s="27"/>
      <c r="B391" s="27" t="s">
        <v>1216</v>
      </c>
      <c r="C391" s="7" t="s">
        <v>1156</v>
      </c>
      <c r="D391" s="27" t="s">
        <v>727</v>
      </c>
      <c r="E391" s="50" t="n">
        <v>6</v>
      </c>
      <c r="F391" s="50" t="n">
        <v>6</v>
      </c>
      <c r="G391" s="27" t="s">
        <v>767</v>
      </c>
      <c r="H391" s="50" t="n">
        <f aca="false">F391</f>
        <v>6</v>
      </c>
      <c r="I391" s="51" t="n">
        <v>389.24</v>
      </c>
      <c r="J391" s="28" t="n">
        <f aca="false">H391*I391</f>
        <v>2335.44</v>
      </c>
      <c r="K391" s="52" t="s">
        <v>548</v>
      </c>
      <c r="L391" s="7" t="s">
        <v>1205</v>
      </c>
      <c r="M391" s="7" t="s">
        <v>1206</v>
      </c>
    </row>
    <row r="392" customFormat="false" ht="39.55" hidden="false" customHeight="false" outlineLevel="1" collapsed="false">
      <c r="A392" s="27"/>
      <c r="B392" s="27" t="s">
        <v>1216</v>
      </c>
      <c r="C392" s="7" t="s">
        <v>1159</v>
      </c>
      <c r="D392" s="27" t="s">
        <v>727</v>
      </c>
      <c r="E392" s="50" t="n">
        <v>3</v>
      </c>
      <c r="F392" s="50" t="n">
        <v>3</v>
      </c>
      <c r="G392" s="27" t="s">
        <v>767</v>
      </c>
      <c r="H392" s="50" t="n">
        <f aca="false">F392</f>
        <v>3</v>
      </c>
      <c r="I392" s="51" t="n">
        <v>227.4</v>
      </c>
      <c r="J392" s="28" t="n">
        <f aca="false">H392*I392</f>
        <v>682.2</v>
      </c>
      <c r="K392" s="52" t="s">
        <v>548</v>
      </c>
      <c r="L392" s="7" t="s">
        <v>1160</v>
      </c>
      <c r="M392" s="7" t="s">
        <v>1161</v>
      </c>
    </row>
    <row r="393" customFormat="false" ht="77.6" hidden="false" customHeight="false" outlineLevel="1" collapsed="false">
      <c r="A393" s="27"/>
      <c r="B393" s="27" t="s">
        <v>1216</v>
      </c>
      <c r="C393" s="7" t="s">
        <v>1162</v>
      </c>
      <c r="D393" s="27" t="s">
        <v>727</v>
      </c>
      <c r="E393" s="50" t="n">
        <v>50</v>
      </c>
      <c r="F393" s="50" t="n">
        <v>50</v>
      </c>
      <c r="G393" s="27" t="s">
        <v>829</v>
      </c>
      <c r="H393" s="50" t="n">
        <f aca="false">F393/IF(Varsayimlar!$B$21=1,1.3,1)</f>
        <v>38.4615384615385</v>
      </c>
      <c r="I393" s="51" t="n">
        <v>68.64</v>
      </c>
      <c r="J393" s="28" t="n">
        <f aca="false">H393*I393</f>
        <v>2640</v>
      </c>
      <c r="K393" s="52" t="s">
        <v>548</v>
      </c>
      <c r="L393" s="7" t="s">
        <v>1163</v>
      </c>
      <c r="M393" s="7" t="s">
        <v>1164</v>
      </c>
    </row>
    <row r="394" customFormat="false" ht="77.6" hidden="false" customHeight="false" outlineLevel="1" collapsed="false">
      <c r="A394" s="27"/>
      <c r="B394" s="27" t="s">
        <v>1216</v>
      </c>
      <c r="C394" s="7" t="s">
        <v>1165</v>
      </c>
      <c r="D394" s="27" t="s">
        <v>727</v>
      </c>
      <c r="E394" s="50" t="n">
        <v>3</v>
      </c>
      <c r="F394" s="50" t="n">
        <v>3</v>
      </c>
      <c r="G394" s="27" t="s">
        <v>767</v>
      </c>
      <c r="H394" s="50" t="n">
        <f aca="false">F394</f>
        <v>3</v>
      </c>
      <c r="I394" s="51" t="n">
        <v>68.64</v>
      </c>
      <c r="J394" s="28" t="n">
        <f aca="false">H394*I394</f>
        <v>205.92</v>
      </c>
      <c r="K394" s="52" t="s">
        <v>548</v>
      </c>
      <c r="L394" s="7" t="s">
        <v>1163</v>
      </c>
      <c r="M394" s="7" t="s">
        <v>1164</v>
      </c>
    </row>
    <row r="395" customFormat="false" ht="64.9" hidden="false" customHeight="false" outlineLevel="1" collapsed="false">
      <c r="A395" s="27"/>
      <c r="B395" s="27" t="s">
        <v>1216</v>
      </c>
      <c r="C395" s="7" t="s">
        <v>1166</v>
      </c>
      <c r="D395" s="27" t="s">
        <v>727</v>
      </c>
      <c r="E395" s="50" t="n">
        <v>4</v>
      </c>
      <c r="F395" s="50" t="n">
        <v>4</v>
      </c>
      <c r="G395" s="27" t="s">
        <v>767</v>
      </c>
      <c r="H395" s="50" t="n">
        <f aca="false">F395</f>
        <v>4</v>
      </c>
      <c r="I395" s="51" t="n">
        <v>80.24</v>
      </c>
      <c r="J395" s="28" t="n">
        <f aca="false">H395*I395</f>
        <v>320.96</v>
      </c>
      <c r="K395" s="52" t="s">
        <v>548</v>
      </c>
      <c r="L395" s="7" t="s">
        <v>1167</v>
      </c>
      <c r="M395" s="7" t="s">
        <v>1168</v>
      </c>
    </row>
    <row r="396" customFormat="false" ht="26.85" hidden="false" customHeight="false" outlineLevel="1" collapsed="false">
      <c r="A396" s="27"/>
      <c r="B396" s="27" t="s">
        <v>1216</v>
      </c>
      <c r="C396" s="7" t="s">
        <v>1169</v>
      </c>
      <c r="D396" s="27" t="s">
        <v>727</v>
      </c>
      <c r="E396" s="50" t="n">
        <v>13</v>
      </c>
      <c r="F396" s="50" t="n">
        <v>13</v>
      </c>
      <c r="G396" s="27" t="s">
        <v>767</v>
      </c>
      <c r="H396" s="50" t="n">
        <f aca="false">F396</f>
        <v>13</v>
      </c>
      <c r="I396" s="51" t="n">
        <v>220</v>
      </c>
      <c r="J396" s="28" t="n">
        <f aca="false">H396*I396</f>
        <v>2860</v>
      </c>
      <c r="K396" s="53" t="s">
        <v>551</v>
      </c>
      <c r="L396" s="7" t="s">
        <v>1207</v>
      </c>
      <c r="M396" s="7" t="s">
        <v>1208</v>
      </c>
    </row>
    <row r="397" customFormat="false" ht="39.55" hidden="false" customHeight="false" outlineLevel="1" collapsed="false">
      <c r="A397" s="27"/>
      <c r="B397" s="27" t="s">
        <v>1216</v>
      </c>
      <c r="C397" s="7" t="s">
        <v>1172</v>
      </c>
      <c r="D397" s="27" t="s">
        <v>727</v>
      </c>
      <c r="E397" s="50" t="n">
        <v>1</v>
      </c>
      <c r="F397" s="50" t="n">
        <v>1</v>
      </c>
      <c r="G397" s="27" t="s">
        <v>767</v>
      </c>
      <c r="H397" s="50" t="n">
        <f aca="false">F397</f>
        <v>1</v>
      </c>
      <c r="I397" s="51" t="n">
        <v>60</v>
      </c>
      <c r="J397" s="28" t="n">
        <f aca="false">H397*I397</f>
        <v>60</v>
      </c>
      <c r="K397" s="53" t="s">
        <v>551</v>
      </c>
      <c r="L397" s="7" t="s">
        <v>1173</v>
      </c>
      <c r="M397" s="7" t="s">
        <v>1174</v>
      </c>
    </row>
    <row r="398" customFormat="false" ht="39.55" hidden="false" customHeight="false" outlineLevel="1" collapsed="false">
      <c r="A398" s="27"/>
      <c r="B398" s="27" t="s">
        <v>1216</v>
      </c>
      <c r="C398" s="7" t="s">
        <v>1175</v>
      </c>
      <c r="D398" s="27" t="s">
        <v>727</v>
      </c>
      <c r="E398" s="50" t="n">
        <v>4</v>
      </c>
      <c r="F398" s="50" t="n">
        <v>4</v>
      </c>
      <c r="G398" s="27" t="s">
        <v>767</v>
      </c>
      <c r="H398" s="50" t="n">
        <f aca="false">F398</f>
        <v>4</v>
      </c>
      <c r="I398" s="51" t="n">
        <v>16</v>
      </c>
      <c r="J398" s="28" t="n">
        <f aca="false">H398*I398</f>
        <v>64</v>
      </c>
      <c r="K398" s="53" t="s">
        <v>551</v>
      </c>
      <c r="L398" s="7" t="s">
        <v>1173</v>
      </c>
      <c r="M398" s="7" t="s">
        <v>1176</v>
      </c>
    </row>
    <row r="399" customFormat="false" ht="52.2" hidden="false" customHeight="false" outlineLevel="1" collapsed="false">
      <c r="A399" s="27"/>
      <c r="B399" s="27" t="s">
        <v>1216</v>
      </c>
      <c r="C399" s="7" t="s">
        <v>1177</v>
      </c>
      <c r="D399" s="27" t="s">
        <v>816</v>
      </c>
      <c r="E399" s="50" t="n">
        <v>1</v>
      </c>
      <c r="F399" s="50" t="n">
        <v>1</v>
      </c>
      <c r="G399" s="27" t="s">
        <v>767</v>
      </c>
      <c r="H399" s="50" t="n">
        <f aca="false">F399</f>
        <v>1</v>
      </c>
      <c r="I399" s="51" t="n">
        <v>161.12</v>
      </c>
      <c r="J399" s="28" t="n">
        <f aca="false">H399*I399</f>
        <v>161.12</v>
      </c>
      <c r="K399" s="52" t="s">
        <v>548</v>
      </c>
      <c r="L399" s="7" t="s">
        <v>1178</v>
      </c>
      <c r="M399" s="7" t="s">
        <v>1179</v>
      </c>
    </row>
    <row r="400" customFormat="false" ht="39.55" hidden="false" customHeight="false" outlineLevel="1" collapsed="false">
      <c r="A400" s="27"/>
      <c r="B400" s="27" t="s">
        <v>1216</v>
      </c>
      <c r="C400" s="7" t="s">
        <v>1180</v>
      </c>
      <c r="D400" s="27" t="s">
        <v>727</v>
      </c>
      <c r="E400" s="50" t="n">
        <v>8</v>
      </c>
      <c r="F400" s="50" t="n">
        <v>8</v>
      </c>
      <c r="G400" s="27" t="s">
        <v>829</v>
      </c>
      <c r="H400" s="50" t="n">
        <f aca="false">F400/IF(Varsayimlar!$B$21=1,1.3,1)</f>
        <v>6.15384615384615</v>
      </c>
      <c r="I400" s="51" t="n">
        <v>18</v>
      </c>
      <c r="J400" s="28" t="n">
        <f aca="false">H400*I400</f>
        <v>110.769230769231</v>
      </c>
      <c r="K400" s="53" t="s">
        <v>551</v>
      </c>
      <c r="L400" s="7" t="s">
        <v>1173</v>
      </c>
      <c r="M400" s="7" t="s">
        <v>1181</v>
      </c>
    </row>
    <row r="401" customFormat="false" ht="52.2" hidden="false" customHeight="false" outlineLevel="1" collapsed="false">
      <c r="A401" s="27"/>
      <c r="B401" s="27" t="s">
        <v>1216</v>
      </c>
      <c r="C401" s="7" t="s">
        <v>1182</v>
      </c>
      <c r="D401" s="27" t="s">
        <v>727</v>
      </c>
      <c r="E401" s="50" t="n">
        <v>1</v>
      </c>
      <c r="F401" s="50" t="n">
        <v>1</v>
      </c>
      <c r="G401" s="27" t="s">
        <v>767</v>
      </c>
      <c r="H401" s="50" t="n">
        <f aca="false">F401</f>
        <v>1</v>
      </c>
      <c r="I401" s="51" t="n">
        <v>1200</v>
      </c>
      <c r="J401" s="28" t="n">
        <f aca="false">H401*I401</f>
        <v>1200</v>
      </c>
      <c r="K401" s="53" t="s">
        <v>551</v>
      </c>
      <c r="L401" s="7" t="s">
        <v>778</v>
      </c>
      <c r="M401" s="7" t="s">
        <v>1183</v>
      </c>
    </row>
    <row r="402" customFormat="false" ht="52.2" hidden="false" customHeight="false" outlineLevel="1" collapsed="false">
      <c r="A402" s="27"/>
      <c r="B402" s="27" t="s">
        <v>1216</v>
      </c>
      <c r="C402" s="7" t="s">
        <v>1184</v>
      </c>
      <c r="D402" s="27" t="s">
        <v>727</v>
      </c>
      <c r="E402" s="50" t="n">
        <v>1</v>
      </c>
      <c r="F402" s="50" t="n">
        <v>1</v>
      </c>
      <c r="G402" s="27" t="s">
        <v>767</v>
      </c>
      <c r="H402" s="50" t="n">
        <f aca="false">F402</f>
        <v>1</v>
      </c>
      <c r="I402" s="51" t="n">
        <v>1500</v>
      </c>
      <c r="J402" s="28" t="n">
        <f aca="false">H402*I402</f>
        <v>1500</v>
      </c>
      <c r="K402" s="53" t="s">
        <v>551</v>
      </c>
      <c r="L402" s="7" t="s">
        <v>778</v>
      </c>
      <c r="M402" s="7" t="s">
        <v>1185</v>
      </c>
    </row>
    <row r="403" customFormat="false" ht="52.2" hidden="false" customHeight="false" outlineLevel="1" collapsed="false">
      <c r="A403" s="27"/>
      <c r="B403" s="27" t="s">
        <v>1216</v>
      </c>
      <c r="C403" s="7" t="s">
        <v>1186</v>
      </c>
      <c r="D403" s="27" t="s">
        <v>727</v>
      </c>
      <c r="E403" s="50" t="n">
        <v>1</v>
      </c>
      <c r="F403" s="50" t="n">
        <v>1</v>
      </c>
      <c r="G403" s="27" t="s">
        <v>767</v>
      </c>
      <c r="H403" s="50" t="n">
        <f aca="false">F403</f>
        <v>1</v>
      </c>
      <c r="I403" s="51" t="n">
        <v>350</v>
      </c>
      <c r="J403" s="28" t="n">
        <f aca="false">H403*I403</f>
        <v>350</v>
      </c>
      <c r="K403" s="53" t="s">
        <v>551</v>
      </c>
      <c r="L403" s="7" t="s">
        <v>778</v>
      </c>
      <c r="M403" s="7" t="s">
        <v>1187</v>
      </c>
    </row>
    <row r="404" customFormat="false" ht="90.25" hidden="false" customHeight="false" outlineLevel="1" collapsed="false">
      <c r="A404" s="27"/>
      <c r="B404" s="27" t="s">
        <v>1216</v>
      </c>
      <c r="C404" s="7" t="s">
        <v>1188</v>
      </c>
      <c r="D404" s="27" t="s">
        <v>727</v>
      </c>
      <c r="E404" s="50" t="n">
        <v>1</v>
      </c>
      <c r="F404" s="50" t="n">
        <v>1</v>
      </c>
      <c r="G404" s="27" t="s">
        <v>767</v>
      </c>
      <c r="H404" s="50" t="n">
        <f aca="false">F404</f>
        <v>1</v>
      </c>
      <c r="I404" s="51" t="n">
        <v>5000</v>
      </c>
      <c r="J404" s="28" t="n">
        <f aca="false">H404*I404</f>
        <v>5000</v>
      </c>
      <c r="K404" s="52" t="s">
        <v>548</v>
      </c>
      <c r="L404" s="7" t="s">
        <v>1189</v>
      </c>
      <c r="M404" s="7" t="s">
        <v>1190</v>
      </c>
    </row>
    <row r="405" customFormat="false" ht="64.9" hidden="false" customHeight="false" outlineLevel="1" collapsed="false">
      <c r="A405" s="27"/>
      <c r="B405" s="27" t="s">
        <v>1216</v>
      </c>
      <c r="C405" s="7" t="s">
        <v>1191</v>
      </c>
      <c r="D405" s="27" t="s">
        <v>816</v>
      </c>
      <c r="E405" s="50" t="n">
        <v>1</v>
      </c>
      <c r="F405" s="50" t="n">
        <v>1</v>
      </c>
      <c r="G405" s="27" t="s">
        <v>767</v>
      </c>
      <c r="H405" s="50" t="n">
        <f aca="false">F405</f>
        <v>1</v>
      </c>
      <c r="I405" s="51" t="n">
        <v>3150</v>
      </c>
      <c r="J405" s="28" t="n">
        <f aca="false">H405*I405</f>
        <v>3150</v>
      </c>
      <c r="K405" s="53" t="s">
        <v>551</v>
      </c>
      <c r="L405" s="7" t="s">
        <v>1212</v>
      </c>
      <c r="M405" s="7" t="s">
        <v>1193</v>
      </c>
    </row>
    <row r="406" customFormat="false" ht="166.4" hidden="false" customHeight="false" outlineLevel="1" collapsed="false">
      <c r="A406" s="27"/>
      <c r="B406" s="27" t="s">
        <v>1216</v>
      </c>
      <c r="C406" s="7" t="s">
        <v>1194</v>
      </c>
      <c r="D406" s="27" t="s">
        <v>853</v>
      </c>
      <c r="E406" s="50" t="n">
        <v>758</v>
      </c>
      <c r="F406" s="50" t="n">
        <v>758</v>
      </c>
      <c r="G406" s="27" t="s">
        <v>865</v>
      </c>
      <c r="H406" s="50" t="n">
        <f aca="false">F406/IF(Varsayimlar!$B$21=1,1.43,1)</f>
        <v>530.06993006993</v>
      </c>
      <c r="I406" s="51" t="n">
        <v>1.96</v>
      </c>
      <c r="J406" s="28" t="n">
        <f aca="false">H406*I406</f>
        <v>1038.93706293706</v>
      </c>
      <c r="K406" s="52" t="s">
        <v>548</v>
      </c>
      <c r="L406" s="7" t="s">
        <v>1195</v>
      </c>
      <c r="M406" s="7" t="s">
        <v>1196</v>
      </c>
    </row>
    <row r="407" customFormat="false" ht="64.9" hidden="false" customHeight="false" outlineLevel="1" collapsed="false">
      <c r="A407" s="27"/>
      <c r="B407" s="27" t="s">
        <v>1216</v>
      </c>
      <c r="C407" s="7" t="s">
        <v>1197</v>
      </c>
      <c r="D407" s="27" t="s">
        <v>853</v>
      </c>
      <c r="E407" s="50" t="n">
        <v>327</v>
      </c>
      <c r="F407" s="50" t="n">
        <v>327</v>
      </c>
      <c r="G407" s="27" t="s">
        <v>865</v>
      </c>
      <c r="H407" s="50" t="n">
        <f aca="false">F407/IF(Varsayimlar!$B$21=1,1.43,1)</f>
        <v>228.671328671329</v>
      </c>
      <c r="I407" s="51" t="n">
        <v>2.64</v>
      </c>
      <c r="J407" s="28" t="n">
        <f aca="false">H407*I407</f>
        <v>603.692307692308</v>
      </c>
      <c r="K407" s="52" t="s">
        <v>548</v>
      </c>
      <c r="L407" s="7" t="s">
        <v>1198</v>
      </c>
      <c r="M407" s="7" t="s">
        <v>1199</v>
      </c>
    </row>
    <row r="408" customFormat="false" ht="39.55" hidden="false" customHeight="false" outlineLevel="1" collapsed="false">
      <c r="A408" s="27"/>
      <c r="B408" s="27" t="s">
        <v>1216</v>
      </c>
      <c r="C408" s="7" t="s">
        <v>1200</v>
      </c>
      <c r="D408" s="27" t="s">
        <v>727</v>
      </c>
      <c r="E408" s="50" t="n">
        <v>71</v>
      </c>
      <c r="F408" s="50" t="n">
        <v>71</v>
      </c>
      <c r="G408" s="27" t="s">
        <v>829</v>
      </c>
      <c r="H408" s="50" t="n">
        <f aca="false">F408/IF(Varsayimlar!$B$21=1,1.3,1)</f>
        <v>54.6153846153846</v>
      </c>
      <c r="I408" s="51" t="n">
        <v>25</v>
      </c>
      <c r="J408" s="28" t="n">
        <f aca="false">H408*I408</f>
        <v>1365.38461538462</v>
      </c>
      <c r="K408" s="53" t="s">
        <v>551</v>
      </c>
      <c r="L408" s="7" t="s">
        <v>1173</v>
      </c>
      <c r="M408" s="7" t="s">
        <v>1201</v>
      </c>
    </row>
    <row r="409" customFormat="false" ht="15" hidden="false" customHeight="false" outlineLevel="0" collapsed="false">
      <c r="A409" s="48" t="s">
        <v>186</v>
      </c>
      <c r="B409" s="48" t="s">
        <v>1217</v>
      </c>
      <c r="C409" s="48" t="s">
        <v>187</v>
      </c>
      <c r="D409" s="48"/>
      <c r="E409" s="48"/>
      <c r="F409" s="48"/>
      <c r="G409" s="48"/>
      <c r="H409" s="48" t="s">
        <v>765</v>
      </c>
      <c r="I409" s="49" t="n">
        <f aca="false">SUMPRODUCT(E410:E479,I410:I479)</f>
        <v>284688.702</v>
      </c>
      <c r="J409" s="49" t="n">
        <f aca="false">SUM(J410:J479)</f>
        <v>251533.204825175</v>
      </c>
      <c r="K409" s="48"/>
      <c r="L409" s="48"/>
      <c r="M409" s="48"/>
    </row>
    <row r="410" customFormat="false" ht="52.2" hidden="false" customHeight="false" outlineLevel="1" collapsed="false">
      <c r="A410" s="27"/>
      <c r="B410" s="27" t="s">
        <v>1217</v>
      </c>
      <c r="C410" s="7" t="s">
        <v>1218</v>
      </c>
      <c r="D410" s="27" t="s">
        <v>727</v>
      </c>
      <c r="E410" s="50" t="n">
        <v>212</v>
      </c>
      <c r="F410" s="50" t="n">
        <v>212</v>
      </c>
      <c r="G410" s="27" t="s">
        <v>829</v>
      </c>
      <c r="H410" s="50" t="n">
        <f aca="false">F410/IF(Varsayimlar!$B$21=1,1.3,1)</f>
        <v>163.076923076923</v>
      </c>
      <c r="I410" s="51" t="n">
        <v>60.4</v>
      </c>
      <c r="J410" s="28" t="n">
        <f aca="false">H410*I410</f>
        <v>9849.84615384615</v>
      </c>
      <c r="K410" s="52" t="s">
        <v>548</v>
      </c>
      <c r="L410" s="7" t="s">
        <v>1219</v>
      </c>
      <c r="M410" s="7" t="s">
        <v>1220</v>
      </c>
    </row>
    <row r="411" customFormat="false" ht="77.6" hidden="false" customHeight="false" outlineLevel="1" collapsed="false">
      <c r="A411" s="27"/>
      <c r="B411" s="27" t="s">
        <v>1217</v>
      </c>
      <c r="C411" s="7" t="s">
        <v>1221</v>
      </c>
      <c r="D411" s="27" t="s">
        <v>727</v>
      </c>
      <c r="E411" s="50" t="n">
        <v>6</v>
      </c>
      <c r="F411" s="50" t="n">
        <v>6</v>
      </c>
      <c r="G411" s="27" t="s">
        <v>829</v>
      </c>
      <c r="H411" s="50" t="n">
        <f aca="false">F411/IF(Varsayimlar!$B$21=1,1.3,1)</f>
        <v>4.61538461538462</v>
      </c>
      <c r="I411" s="51" t="n">
        <v>60.38</v>
      </c>
      <c r="J411" s="28" t="n">
        <f aca="false">H411*I411</f>
        <v>278.676923076923</v>
      </c>
      <c r="K411" s="52" t="s">
        <v>548</v>
      </c>
      <c r="L411" s="7" t="s">
        <v>1222</v>
      </c>
      <c r="M411" s="7" t="s">
        <v>1223</v>
      </c>
    </row>
    <row r="412" customFormat="false" ht="90.25" hidden="false" customHeight="false" outlineLevel="1" collapsed="false">
      <c r="A412" s="27"/>
      <c r="B412" s="27" t="s">
        <v>1217</v>
      </c>
      <c r="C412" s="7" t="s">
        <v>1224</v>
      </c>
      <c r="D412" s="27" t="s">
        <v>727</v>
      </c>
      <c r="E412" s="50" t="n">
        <v>69</v>
      </c>
      <c r="F412" s="50" t="n">
        <v>69</v>
      </c>
      <c r="G412" s="27" t="s">
        <v>829</v>
      </c>
      <c r="H412" s="50" t="n">
        <f aca="false">F412/IF(Varsayimlar!$B$21=1,1.3,1)</f>
        <v>53.0769230769231</v>
      </c>
      <c r="I412" s="51" t="n">
        <v>27.43</v>
      </c>
      <c r="J412" s="28" t="n">
        <f aca="false">H412*I412</f>
        <v>1455.9</v>
      </c>
      <c r="K412" s="52" t="s">
        <v>548</v>
      </c>
      <c r="L412" s="7" t="s">
        <v>1225</v>
      </c>
      <c r="M412" s="7" t="s">
        <v>1226</v>
      </c>
    </row>
    <row r="413" customFormat="false" ht="77.6" hidden="false" customHeight="false" outlineLevel="1" collapsed="false">
      <c r="A413" s="27"/>
      <c r="B413" s="27" t="s">
        <v>1217</v>
      </c>
      <c r="C413" s="7" t="s">
        <v>1227</v>
      </c>
      <c r="D413" s="27" t="s">
        <v>727</v>
      </c>
      <c r="E413" s="50" t="n">
        <v>13</v>
      </c>
      <c r="F413" s="50" t="n">
        <v>13</v>
      </c>
      <c r="G413" s="27" t="s">
        <v>829</v>
      </c>
      <c r="H413" s="50" t="n">
        <f aca="false">F413/IF(Varsayimlar!$B$21=1,1.3,1)</f>
        <v>10</v>
      </c>
      <c r="I413" s="51" t="n">
        <v>48.29</v>
      </c>
      <c r="J413" s="28" t="n">
        <f aca="false">H413*I413</f>
        <v>482.9</v>
      </c>
      <c r="K413" s="52" t="s">
        <v>548</v>
      </c>
      <c r="L413" s="7" t="s">
        <v>1228</v>
      </c>
      <c r="M413" s="7" t="s">
        <v>1229</v>
      </c>
    </row>
    <row r="414" customFormat="false" ht="102.95" hidden="false" customHeight="false" outlineLevel="1" collapsed="false">
      <c r="A414" s="27"/>
      <c r="B414" s="27" t="s">
        <v>1217</v>
      </c>
      <c r="C414" s="7" t="s">
        <v>1230</v>
      </c>
      <c r="D414" s="27" t="s">
        <v>727</v>
      </c>
      <c r="E414" s="50" t="n">
        <v>108</v>
      </c>
      <c r="F414" s="50" t="n">
        <v>108</v>
      </c>
      <c r="G414" s="27" t="s">
        <v>829</v>
      </c>
      <c r="H414" s="50" t="n">
        <f aca="false">F414/IF(Varsayimlar!$B$21=1,1.3,1)</f>
        <v>83.0769230769231</v>
      </c>
      <c r="I414" s="51" t="n">
        <v>54.22</v>
      </c>
      <c r="J414" s="28" t="n">
        <f aca="false">H414*I414</f>
        <v>4504.43076923077</v>
      </c>
      <c r="K414" s="52" t="s">
        <v>548</v>
      </c>
      <c r="L414" s="7" t="s">
        <v>1231</v>
      </c>
      <c r="M414" s="7" t="s">
        <v>1232</v>
      </c>
    </row>
    <row r="415" customFormat="false" ht="52.2" hidden="false" customHeight="false" outlineLevel="1" collapsed="false">
      <c r="A415" s="27"/>
      <c r="B415" s="27" t="s">
        <v>1217</v>
      </c>
      <c r="C415" s="7" t="s">
        <v>1233</v>
      </c>
      <c r="D415" s="27" t="s">
        <v>727</v>
      </c>
      <c r="E415" s="50" t="n">
        <v>181</v>
      </c>
      <c r="F415" s="50" t="n">
        <v>181</v>
      </c>
      <c r="G415" s="27" t="s">
        <v>829</v>
      </c>
      <c r="H415" s="50" t="n">
        <f aca="false">F415/IF(Varsayimlar!$B$21=1,1.3,1)</f>
        <v>139.230769230769</v>
      </c>
      <c r="I415" s="51" t="n">
        <v>63.9</v>
      </c>
      <c r="J415" s="28" t="n">
        <f aca="false">H415*I415</f>
        <v>8896.84615384615</v>
      </c>
      <c r="K415" s="52" t="s">
        <v>548</v>
      </c>
      <c r="L415" s="7" t="s">
        <v>1234</v>
      </c>
      <c r="M415" s="7" t="s">
        <v>1235</v>
      </c>
    </row>
    <row r="416" customFormat="false" ht="26.85" hidden="false" customHeight="false" outlineLevel="1" collapsed="false">
      <c r="A416" s="27"/>
      <c r="B416" s="27" t="s">
        <v>1217</v>
      </c>
      <c r="C416" s="7" t="s">
        <v>1236</v>
      </c>
      <c r="D416" s="27" t="s">
        <v>727</v>
      </c>
      <c r="E416" s="50" t="n">
        <v>82</v>
      </c>
      <c r="F416" s="50" t="n">
        <v>82</v>
      </c>
      <c r="G416" s="27" t="s">
        <v>829</v>
      </c>
      <c r="H416" s="50" t="n">
        <f aca="false">F416/IF(Varsayimlar!$B$21=1,1.3,1)</f>
        <v>63.0769230769231</v>
      </c>
      <c r="I416" s="51" t="n">
        <v>160</v>
      </c>
      <c r="J416" s="28" t="n">
        <f aca="false">H416*I416</f>
        <v>10092.3076923077</v>
      </c>
      <c r="K416" s="53" t="s">
        <v>551</v>
      </c>
      <c r="L416" s="7" t="s">
        <v>1237</v>
      </c>
      <c r="M416" s="7" t="s">
        <v>1238</v>
      </c>
    </row>
    <row r="417" customFormat="false" ht="39.55" hidden="false" customHeight="false" outlineLevel="1" collapsed="false">
      <c r="A417" s="27"/>
      <c r="B417" s="27" t="s">
        <v>1217</v>
      </c>
      <c r="C417" s="7" t="s">
        <v>1239</v>
      </c>
      <c r="D417" s="27" t="s">
        <v>727</v>
      </c>
      <c r="E417" s="50" t="n">
        <v>34</v>
      </c>
      <c r="F417" s="50" t="n">
        <v>34</v>
      </c>
      <c r="G417" s="27" t="s">
        <v>767</v>
      </c>
      <c r="H417" s="50" t="n">
        <f aca="false">F417</f>
        <v>34</v>
      </c>
      <c r="I417" s="51" t="n">
        <v>246</v>
      </c>
      <c r="J417" s="28" t="n">
        <f aca="false">H417*I417</f>
        <v>8364</v>
      </c>
      <c r="K417" s="52" t="s">
        <v>548</v>
      </c>
      <c r="L417" s="7" t="s">
        <v>1240</v>
      </c>
      <c r="M417" s="7" t="s">
        <v>1241</v>
      </c>
    </row>
    <row r="418" customFormat="false" ht="39.55" hidden="false" customHeight="false" outlineLevel="1" collapsed="false">
      <c r="A418" s="27"/>
      <c r="B418" s="27" t="s">
        <v>1217</v>
      </c>
      <c r="C418" s="7" t="s">
        <v>1242</v>
      </c>
      <c r="D418" s="27" t="s">
        <v>727</v>
      </c>
      <c r="E418" s="50" t="n">
        <v>25</v>
      </c>
      <c r="F418" s="50" t="n">
        <v>25</v>
      </c>
      <c r="G418" s="27" t="s">
        <v>767</v>
      </c>
      <c r="H418" s="50" t="n">
        <f aca="false">F418</f>
        <v>25</v>
      </c>
      <c r="I418" s="51" t="n">
        <v>68.81</v>
      </c>
      <c r="J418" s="28" t="n">
        <f aca="false">H418*I418</f>
        <v>1720.25</v>
      </c>
      <c r="K418" s="52" t="s">
        <v>548</v>
      </c>
      <c r="L418" s="7" t="s">
        <v>1243</v>
      </c>
      <c r="M418" s="7" t="s">
        <v>1244</v>
      </c>
    </row>
    <row r="419" customFormat="false" ht="52.2" hidden="false" customHeight="false" outlineLevel="1" collapsed="false">
      <c r="A419" s="27"/>
      <c r="B419" s="27" t="s">
        <v>1217</v>
      </c>
      <c r="C419" s="7" t="s">
        <v>1245</v>
      </c>
      <c r="D419" s="27" t="s">
        <v>727</v>
      </c>
      <c r="E419" s="50" t="n">
        <v>32</v>
      </c>
      <c r="F419" s="50" t="n">
        <v>32</v>
      </c>
      <c r="G419" s="27" t="s">
        <v>829</v>
      </c>
      <c r="H419" s="50" t="n">
        <f aca="false">F419/IF(Varsayimlar!$B$21=1,1.3,1)</f>
        <v>24.6153846153846</v>
      </c>
      <c r="I419" s="51" t="n">
        <v>88.54</v>
      </c>
      <c r="J419" s="28" t="n">
        <f aca="false">H419*I419</f>
        <v>2179.44615384615</v>
      </c>
      <c r="K419" s="52" t="s">
        <v>548</v>
      </c>
      <c r="L419" s="7" t="s">
        <v>1246</v>
      </c>
      <c r="M419" s="7" t="s">
        <v>1247</v>
      </c>
    </row>
    <row r="420" customFormat="false" ht="39.55" hidden="false" customHeight="false" outlineLevel="1" collapsed="false">
      <c r="A420" s="27"/>
      <c r="B420" s="27" t="s">
        <v>1217</v>
      </c>
      <c r="C420" s="7" t="s">
        <v>1248</v>
      </c>
      <c r="D420" s="27" t="s">
        <v>727</v>
      </c>
      <c r="E420" s="50" t="n">
        <v>95</v>
      </c>
      <c r="F420" s="50" t="n">
        <v>95</v>
      </c>
      <c r="G420" s="27" t="s">
        <v>767</v>
      </c>
      <c r="H420" s="50" t="n">
        <f aca="false">F420</f>
        <v>95</v>
      </c>
      <c r="I420" s="51" t="n">
        <v>20</v>
      </c>
      <c r="J420" s="28" t="n">
        <f aca="false">H420*I420</f>
        <v>1900</v>
      </c>
      <c r="K420" s="53" t="s">
        <v>551</v>
      </c>
      <c r="L420" s="7" t="s">
        <v>1173</v>
      </c>
      <c r="M420" s="7" t="s">
        <v>1249</v>
      </c>
    </row>
    <row r="421" customFormat="false" ht="39.55" hidden="false" customHeight="false" outlineLevel="1" collapsed="false">
      <c r="A421" s="27"/>
      <c r="B421" s="27" t="s">
        <v>1217</v>
      </c>
      <c r="C421" s="7" t="s">
        <v>1250</v>
      </c>
      <c r="D421" s="27" t="s">
        <v>727</v>
      </c>
      <c r="E421" s="50" t="n">
        <v>162</v>
      </c>
      <c r="F421" s="50" t="n">
        <v>162</v>
      </c>
      <c r="G421" s="27" t="s">
        <v>767</v>
      </c>
      <c r="H421" s="50" t="n">
        <f aca="false">F421</f>
        <v>162</v>
      </c>
      <c r="I421" s="51" t="n">
        <v>15</v>
      </c>
      <c r="J421" s="28" t="n">
        <f aca="false">H421*I421</f>
        <v>2430</v>
      </c>
      <c r="K421" s="53" t="s">
        <v>551</v>
      </c>
      <c r="L421" s="7" t="s">
        <v>1173</v>
      </c>
      <c r="M421" s="7" t="s">
        <v>1181</v>
      </c>
    </row>
    <row r="422" customFormat="false" ht="39.55" hidden="false" customHeight="false" outlineLevel="1" collapsed="false">
      <c r="A422" s="27"/>
      <c r="B422" s="27" t="s">
        <v>1217</v>
      </c>
      <c r="C422" s="7" t="s">
        <v>1251</v>
      </c>
      <c r="D422" s="27" t="s">
        <v>727</v>
      </c>
      <c r="E422" s="50" t="n">
        <v>7</v>
      </c>
      <c r="F422" s="50" t="n">
        <v>7</v>
      </c>
      <c r="G422" s="27" t="s">
        <v>829</v>
      </c>
      <c r="H422" s="50" t="n">
        <f aca="false">F422/IF(Varsayimlar!$B$21=1,1.3,1)</f>
        <v>5.38461538461538</v>
      </c>
      <c r="I422" s="51" t="n">
        <v>40</v>
      </c>
      <c r="J422" s="28" t="n">
        <f aca="false">H422*I422</f>
        <v>215.384615384615</v>
      </c>
      <c r="K422" s="53" t="s">
        <v>551</v>
      </c>
      <c r="L422" s="7" t="s">
        <v>1173</v>
      </c>
      <c r="M422" s="7" t="s">
        <v>1174</v>
      </c>
    </row>
    <row r="423" customFormat="false" ht="26.85" hidden="false" customHeight="false" outlineLevel="1" collapsed="false">
      <c r="A423" s="27"/>
      <c r="B423" s="27" t="s">
        <v>1217</v>
      </c>
      <c r="C423" s="7" t="s">
        <v>1252</v>
      </c>
      <c r="D423" s="27" t="s">
        <v>727</v>
      </c>
      <c r="E423" s="50" t="n">
        <v>101</v>
      </c>
      <c r="F423" s="50" t="n">
        <v>101</v>
      </c>
      <c r="G423" s="27" t="s">
        <v>829</v>
      </c>
      <c r="H423" s="50" t="n">
        <f aca="false">F423/IF(Varsayimlar!$B$21=1,1.3,1)</f>
        <v>77.6923076923077</v>
      </c>
      <c r="I423" s="51" t="n">
        <v>120</v>
      </c>
      <c r="J423" s="28" t="n">
        <f aca="false">H423*I423</f>
        <v>9323.07692307692</v>
      </c>
      <c r="K423" s="53" t="s">
        <v>551</v>
      </c>
      <c r="L423" s="7" t="s">
        <v>1253</v>
      </c>
      <c r="M423" s="7" t="s">
        <v>1254</v>
      </c>
    </row>
    <row r="424" customFormat="false" ht="52.2" hidden="false" customHeight="false" outlineLevel="1" collapsed="false">
      <c r="A424" s="27"/>
      <c r="B424" s="27" t="s">
        <v>1217</v>
      </c>
      <c r="C424" s="7" t="s">
        <v>1255</v>
      </c>
      <c r="D424" s="27" t="s">
        <v>727</v>
      </c>
      <c r="E424" s="50" t="n">
        <v>9</v>
      </c>
      <c r="F424" s="50" t="n">
        <v>9</v>
      </c>
      <c r="G424" s="27" t="s">
        <v>767</v>
      </c>
      <c r="H424" s="50" t="n">
        <f aca="false">F424</f>
        <v>9</v>
      </c>
      <c r="I424" s="51" t="n">
        <v>40</v>
      </c>
      <c r="J424" s="28" t="n">
        <f aca="false">H424*I424</f>
        <v>360</v>
      </c>
      <c r="K424" s="53" t="s">
        <v>551</v>
      </c>
      <c r="L424" s="7" t="s">
        <v>778</v>
      </c>
      <c r="M424" s="7" t="s">
        <v>1174</v>
      </c>
    </row>
    <row r="425" customFormat="false" ht="52.2" hidden="false" customHeight="false" outlineLevel="1" collapsed="false">
      <c r="A425" s="27"/>
      <c r="B425" s="27" t="s">
        <v>1217</v>
      </c>
      <c r="C425" s="7" t="s">
        <v>1256</v>
      </c>
      <c r="D425" s="27" t="s">
        <v>727</v>
      </c>
      <c r="E425" s="50" t="n">
        <v>4</v>
      </c>
      <c r="F425" s="50" t="n">
        <v>4</v>
      </c>
      <c r="G425" s="27" t="s">
        <v>767</v>
      </c>
      <c r="H425" s="50" t="n">
        <f aca="false">F425</f>
        <v>4</v>
      </c>
      <c r="I425" s="51" t="n">
        <v>2920</v>
      </c>
      <c r="J425" s="28" t="n">
        <f aca="false">H425*I425</f>
        <v>11680</v>
      </c>
      <c r="K425" s="52" t="s">
        <v>548</v>
      </c>
      <c r="L425" s="7" t="s">
        <v>1257</v>
      </c>
      <c r="M425" s="7" t="s">
        <v>1258</v>
      </c>
    </row>
    <row r="426" customFormat="false" ht="52.2" hidden="false" customHeight="false" outlineLevel="1" collapsed="false">
      <c r="A426" s="27"/>
      <c r="B426" s="27" t="s">
        <v>1217</v>
      </c>
      <c r="C426" s="7" t="s">
        <v>1259</v>
      </c>
      <c r="D426" s="27" t="s">
        <v>727</v>
      </c>
      <c r="E426" s="50" t="n">
        <v>4</v>
      </c>
      <c r="F426" s="50" t="n">
        <v>4</v>
      </c>
      <c r="G426" s="27" t="s">
        <v>767</v>
      </c>
      <c r="H426" s="50" t="n">
        <f aca="false">F426</f>
        <v>4</v>
      </c>
      <c r="I426" s="51" t="n">
        <v>2920</v>
      </c>
      <c r="J426" s="28" t="n">
        <f aca="false">H426*I426</f>
        <v>11680</v>
      </c>
      <c r="K426" s="52" t="s">
        <v>548</v>
      </c>
      <c r="L426" s="7" t="s">
        <v>1257</v>
      </c>
      <c r="M426" s="7" t="s">
        <v>1260</v>
      </c>
    </row>
    <row r="427" customFormat="false" ht="52.2" hidden="false" customHeight="false" outlineLevel="1" collapsed="false">
      <c r="A427" s="27"/>
      <c r="B427" s="27" t="s">
        <v>1217</v>
      </c>
      <c r="C427" s="7" t="s">
        <v>1261</v>
      </c>
      <c r="D427" s="27" t="s">
        <v>727</v>
      </c>
      <c r="E427" s="50" t="n">
        <v>4</v>
      </c>
      <c r="F427" s="50" t="n">
        <v>4</v>
      </c>
      <c r="G427" s="27" t="s">
        <v>767</v>
      </c>
      <c r="H427" s="50" t="n">
        <f aca="false">F427</f>
        <v>4</v>
      </c>
      <c r="I427" s="51" t="n">
        <v>2920</v>
      </c>
      <c r="J427" s="28" t="n">
        <f aca="false">H427*I427</f>
        <v>11680</v>
      </c>
      <c r="K427" s="52" t="s">
        <v>548</v>
      </c>
      <c r="L427" s="7" t="s">
        <v>1257</v>
      </c>
      <c r="M427" s="7" t="s">
        <v>1262</v>
      </c>
    </row>
    <row r="428" customFormat="false" ht="39.55" hidden="false" customHeight="false" outlineLevel="1" collapsed="false">
      <c r="A428" s="27"/>
      <c r="B428" s="27" t="s">
        <v>1217</v>
      </c>
      <c r="C428" s="7" t="s">
        <v>1263</v>
      </c>
      <c r="D428" s="27" t="s">
        <v>727</v>
      </c>
      <c r="E428" s="50" t="n">
        <v>5</v>
      </c>
      <c r="F428" s="50" t="n">
        <v>5</v>
      </c>
      <c r="G428" s="27" t="s">
        <v>767</v>
      </c>
      <c r="H428" s="50" t="n">
        <f aca="false">F428</f>
        <v>5</v>
      </c>
      <c r="I428" s="51" t="n">
        <v>1500</v>
      </c>
      <c r="J428" s="28" t="n">
        <f aca="false">H428*I428</f>
        <v>7500</v>
      </c>
      <c r="K428" s="53" t="s">
        <v>551</v>
      </c>
      <c r="L428" s="7" t="s">
        <v>1264</v>
      </c>
      <c r="M428" s="7" t="s">
        <v>1265</v>
      </c>
    </row>
    <row r="429" customFormat="false" ht="52.2" hidden="false" customHeight="false" outlineLevel="1" collapsed="false">
      <c r="A429" s="27"/>
      <c r="B429" s="27" t="s">
        <v>1217</v>
      </c>
      <c r="C429" s="7" t="s">
        <v>1266</v>
      </c>
      <c r="D429" s="27" t="s">
        <v>727</v>
      </c>
      <c r="E429" s="50" t="n">
        <v>2</v>
      </c>
      <c r="F429" s="50" t="n">
        <v>2</v>
      </c>
      <c r="G429" s="27" t="s">
        <v>767</v>
      </c>
      <c r="H429" s="50" t="n">
        <f aca="false">F429</f>
        <v>2</v>
      </c>
      <c r="I429" s="51" t="n">
        <v>1500</v>
      </c>
      <c r="J429" s="28" t="n">
        <f aca="false">H429*I429</f>
        <v>3000</v>
      </c>
      <c r="K429" s="53" t="s">
        <v>551</v>
      </c>
      <c r="L429" s="7" t="s">
        <v>778</v>
      </c>
      <c r="M429" s="7" t="s">
        <v>1267</v>
      </c>
    </row>
    <row r="430" customFormat="false" ht="52.2" hidden="false" customHeight="false" outlineLevel="1" collapsed="false">
      <c r="A430" s="27"/>
      <c r="B430" s="27" t="s">
        <v>1217</v>
      </c>
      <c r="C430" s="7" t="s">
        <v>1268</v>
      </c>
      <c r="D430" s="27" t="s">
        <v>727</v>
      </c>
      <c r="E430" s="50" t="n">
        <v>1</v>
      </c>
      <c r="F430" s="50" t="n">
        <v>1</v>
      </c>
      <c r="G430" s="27" t="s">
        <v>767</v>
      </c>
      <c r="H430" s="50" t="n">
        <f aca="false">F430</f>
        <v>1</v>
      </c>
      <c r="I430" s="51" t="n">
        <v>1000</v>
      </c>
      <c r="J430" s="28" t="n">
        <f aca="false">H430*I430</f>
        <v>1000</v>
      </c>
      <c r="K430" s="53" t="s">
        <v>551</v>
      </c>
      <c r="L430" s="7" t="s">
        <v>778</v>
      </c>
      <c r="M430" s="7" t="s">
        <v>1269</v>
      </c>
    </row>
    <row r="431" customFormat="false" ht="64.9" hidden="false" customHeight="false" outlineLevel="1" collapsed="false">
      <c r="A431" s="27"/>
      <c r="B431" s="27" t="s">
        <v>1217</v>
      </c>
      <c r="C431" s="7" t="s">
        <v>1270</v>
      </c>
      <c r="D431" s="27" t="s">
        <v>727</v>
      </c>
      <c r="E431" s="50" t="n">
        <v>2</v>
      </c>
      <c r="F431" s="50" t="n">
        <v>2</v>
      </c>
      <c r="G431" s="27" t="s">
        <v>767</v>
      </c>
      <c r="H431" s="50" t="n">
        <f aca="false">F431</f>
        <v>2</v>
      </c>
      <c r="I431" s="51" t="n">
        <v>9800</v>
      </c>
      <c r="J431" s="28" t="n">
        <f aca="false">H431*I431</f>
        <v>19600</v>
      </c>
      <c r="K431" s="52" t="s">
        <v>548</v>
      </c>
      <c r="L431" s="7" t="s">
        <v>1271</v>
      </c>
      <c r="M431" s="7" t="s">
        <v>1272</v>
      </c>
    </row>
    <row r="432" customFormat="false" ht="39.55" hidden="false" customHeight="false" outlineLevel="1" collapsed="false">
      <c r="A432" s="27"/>
      <c r="B432" s="27" t="s">
        <v>1217</v>
      </c>
      <c r="C432" s="7" t="s">
        <v>1273</v>
      </c>
      <c r="D432" s="27" t="s">
        <v>816</v>
      </c>
      <c r="E432" s="50" t="n">
        <v>2</v>
      </c>
      <c r="F432" s="50" t="n">
        <v>2</v>
      </c>
      <c r="G432" s="27" t="s">
        <v>767</v>
      </c>
      <c r="H432" s="50" t="n">
        <f aca="false">F432</f>
        <v>2</v>
      </c>
      <c r="I432" s="51" t="n">
        <v>17000</v>
      </c>
      <c r="J432" s="28" t="n">
        <f aca="false">H432*I432</f>
        <v>34000</v>
      </c>
      <c r="K432" s="53" t="s">
        <v>551</v>
      </c>
      <c r="L432" s="7" t="s">
        <v>1274</v>
      </c>
      <c r="M432" s="7" t="s">
        <v>1275</v>
      </c>
    </row>
    <row r="433" customFormat="false" ht="39.55" hidden="false" customHeight="false" outlineLevel="1" collapsed="false">
      <c r="A433" s="27"/>
      <c r="B433" s="27" t="s">
        <v>1217</v>
      </c>
      <c r="C433" s="7" t="s">
        <v>1276</v>
      </c>
      <c r="D433" s="27" t="s">
        <v>853</v>
      </c>
      <c r="E433" s="50" t="n">
        <v>2753.3</v>
      </c>
      <c r="F433" s="50" t="n">
        <v>2753.3</v>
      </c>
      <c r="G433" s="27" t="s">
        <v>865</v>
      </c>
      <c r="H433" s="50" t="n">
        <f aca="false">F433/IF(Varsayimlar!$B$21=1,1.43,1)</f>
        <v>1925.38461538462</v>
      </c>
      <c r="I433" s="51" t="n">
        <v>2.6</v>
      </c>
      <c r="J433" s="28" t="n">
        <f aca="false">H433*I433</f>
        <v>5006</v>
      </c>
      <c r="K433" s="53" t="s">
        <v>551</v>
      </c>
      <c r="L433" s="7" t="s">
        <v>1277</v>
      </c>
      <c r="M433" s="7" t="s">
        <v>1278</v>
      </c>
    </row>
    <row r="434" customFormat="false" ht="39.55" hidden="false" customHeight="false" outlineLevel="1" collapsed="false">
      <c r="A434" s="27"/>
      <c r="B434" s="27" t="s">
        <v>1217</v>
      </c>
      <c r="C434" s="7" t="s">
        <v>1279</v>
      </c>
      <c r="D434" s="27" t="s">
        <v>853</v>
      </c>
      <c r="E434" s="50" t="n">
        <v>3171.3</v>
      </c>
      <c r="F434" s="50" t="n">
        <v>3171.3</v>
      </c>
      <c r="G434" s="27" t="s">
        <v>865</v>
      </c>
      <c r="H434" s="50" t="n">
        <f aca="false">F434/IF(Varsayimlar!$B$21=1,1.43,1)</f>
        <v>2217.69230769231</v>
      </c>
      <c r="I434" s="51" t="n">
        <v>3.5</v>
      </c>
      <c r="J434" s="28" t="n">
        <f aca="false">H434*I434</f>
        <v>7761.92307692308</v>
      </c>
      <c r="K434" s="53" t="s">
        <v>551</v>
      </c>
      <c r="L434" s="7" t="s">
        <v>1277</v>
      </c>
      <c r="M434" s="7" t="s">
        <v>1280</v>
      </c>
    </row>
    <row r="435" customFormat="false" ht="52.2" hidden="false" customHeight="false" outlineLevel="1" collapsed="false">
      <c r="A435" s="27"/>
      <c r="B435" s="27" t="s">
        <v>1217</v>
      </c>
      <c r="C435" s="7" t="s">
        <v>1281</v>
      </c>
      <c r="D435" s="27" t="s">
        <v>853</v>
      </c>
      <c r="E435" s="50" t="n">
        <v>913</v>
      </c>
      <c r="F435" s="50" t="n">
        <v>913</v>
      </c>
      <c r="G435" s="27" t="s">
        <v>865</v>
      </c>
      <c r="H435" s="50" t="n">
        <f aca="false">F435/IF(Varsayimlar!$B$21=1,1.43,1)</f>
        <v>638.461538461539</v>
      </c>
      <c r="I435" s="51" t="n">
        <v>3.13</v>
      </c>
      <c r="J435" s="28" t="n">
        <f aca="false">H435*I435</f>
        <v>1998.38461538462</v>
      </c>
      <c r="K435" s="52" t="s">
        <v>548</v>
      </c>
      <c r="L435" s="7" t="s">
        <v>1282</v>
      </c>
      <c r="M435" s="7" t="s">
        <v>1283</v>
      </c>
    </row>
    <row r="436" customFormat="false" ht="77.6" hidden="false" customHeight="false" outlineLevel="1" collapsed="false">
      <c r="A436" s="27"/>
      <c r="B436" s="27" t="s">
        <v>1217</v>
      </c>
      <c r="C436" s="7" t="s">
        <v>1284</v>
      </c>
      <c r="D436" s="27" t="s">
        <v>853</v>
      </c>
      <c r="E436" s="50" t="n">
        <v>695.2</v>
      </c>
      <c r="F436" s="50" t="n">
        <v>695.2</v>
      </c>
      <c r="G436" s="27" t="s">
        <v>865</v>
      </c>
      <c r="H436" s="50" t="n">
        <f aca="false">F436/IF(Varsayimlar!$B$21=1,1.43,1)</f>
        <v>486.153846153846</v>
      </c>
      <c r="I436" s="51" t="n">
        <v>2.96</v>
      </c>
      <c r="J436" s="28" t="n">
        <f aca="false">H436*I436</f>
        <v>1439.01538461538</v>
      </c>
      <c r="K436" s="52" t="s">
        <v>548</v>
      </c>
      <c r="L436" s="7" t="s">
        <v>985</v>
      </c>
      <c r="M436" s="7" t="s">
        <v>1285</v>
      </c>
    </row>
    <row r="437" customFormat="false" ht="64.9" hidden="false" customHeight="false" outlineLevel="1" collapsed="false">
      <c r="A437" s="27"/>
      <c r="B437" s="27" t="s">
        <v>1217</v>
      </c>
      <c r="C437" s="7" t="s">
        <v>1286</v>
      </c>
      <c r="D437" s="27" t="s">
        <v>853</v>
      </c>
      <c r="E437" s="50" t="n">
        <v>93.5</v>
      </c>
      <c r="F437" s="50" t="n">
        <v>93.5</v>
      </c>
      <c r="G437" s="27" t="s">
        <v>865</v>
      </c>
      <c r="H437" s="50" t="n">
        <f aca="false">F437/IF(Varsayimlar!$B$21=1,1.43,1)</f>
        <v>65.3846153846154</v>
      </c>
      <c r="I437" s="51" t="n">
        <v>2.64</v>
      </c>
      <c r="J437" s="28" t="n">
        <f aca="false">H437*I437</f>
        <v>172.615384615385</v>
      </c>
      <c r="K437" s="52" t="s">
        <v>548</v>
      </c>
      <c r="L437" s="7" t="s">
        <v>1198</v>
      </c>
      <c r="M437" s="7" t="s">
        <v>1287</v>
      </c>
    </row>
    <row r="438" customFormat="false" ht="166.4" hidden="false" customHeight="false" outlineLevel="1" collapsed="false">
      <c r="A438" s="27"/>
      <c r="B438" s="27" t="s">
        <v>1217</v>
      </c>
      <c r="C438" s="7" t="s">
        <v>1288</v>
      </c>
      <c r="D438" s="27" t="s">
        <v>853</v>
      </c>
      <c r="E438" s="50" t="n">
        <v>666</v>
      </c>
      <c r="F438" s="50" t="n">
        <v>666</v>
      </c>
      <c r="G438" s="27" t="s">
        <v>865</v>
      </c>
      <c r="H438" s="50" t="n">
        <f aca="false">F438/IF(Varsayimlar!$B$21=1,1.43,1)</f>
        <v>465.734265734266</v>
      </c>
      <c r="I438" s="51" t="n">
        <v>1.96</v>
      </c>
      <c r="J438" s="28" t="n">
        <f aca="false">H438*I438</f>
        <v>912.839160839161</v>
      </c>
      <c r="K438" s="52" t="s">
        <v>548</v>
      </c>
      <c r="L438" s="7" t="s">
        <v>1195</v>
      </c>
      <c r="M438" s="7" t="s">
        <v>1196</v>
      </c>
    </row>
    <row r="439" customFormat="false" ht="64.9" hidden="false" customHeight="false" outlineLevel="1" collapsed="false">
      <c r="A439" s="27"/>
      <c r="B439" s="27" t="s">
        <v>1217</v>
      </c>
      <c r="C439" s="7" t="s">
        <v>1289</v>
      </c>
      <c r="D439" s="27" t="s">
        <v>853</v>
      </c>
      <c r="E439" s="50" t="n">
        <v>1103</v>
      </c>
      <c r="F439" s="50" t="n">
        <v>1103</v>
      </c>
      <c r="G439" s="27" t="s">
        <v>767</v>
      </c>
      <c r="H439" s="50" t="n">
        <f aca="false">F439</f>
        <v>1103</v>
      </c>
      <c r="I439" s="51" t="n">
        <v>3.92</v>
      </c>
      <c r="J439" s="28" t="n">
        <f aca="false">H439*I439</f>
        <v>4323.76</v>
      </c>
      <c r="K439" s="52" t="s">
        <v>548</v>
      </c>
      <c r="L439" s="7" t="s">
        <v>1290</v>
      </c>
      <c r="M439" s="7" t="s">
        <v>1291</v>
      </c>
    </row>
    <row r="440" customFormat="false" ht="90.25" hidden="false" customHeight="false" outlineLevel="1" collapsed="false">
      <c r="A440" s="27"/>
      <c r="B440" s="27" t="s">
        <v>1217</v>
      </c>
      <c r="C440" s="7" t="s">
        <v>1292</v>
      </c>
      <c r="D440" s="27" t="s">
        <v>853</v>
      </c>
      <c r="E440" s="50" t="n">
        <v>315</v>
      </c>
      <c r="F440" s="50" t="n">
        <v>315</v>
      </c>
      <c r="G440" s="27" t="s">
        <v>865</v>
      </c>
      <c r="H440" s="50" t="n">
        <f aca="false">F440/IF(Varsayimlar!$B$21=1,1.43,1)</f>
        <v>220.27972027972</v>
      </c>
      <c r="I440" s="51" t="n">
        <v>3.96</v>
      </c>
      <c r="J440" s="28" t="n">
        <f aca="false">H440*I440</f>
        <v>872.307692307692</v>
      </c>
      <c r="K440" s="52" t="s">
        <v>548</v>
      </c>
      <c r="L440" s="7" t="s">
        <v>1293</v>
      </c>
      <c r="M440" s="7" t="s">
        <v>1294</v>
      </c>
    </row>
    <row r="441" customFormat="false" ht="39.55" hidden="false" customHeight="false" outlineLevel="1" collapsed="false">
      <c r="A441" s="27"/>
      <c r="B441" s="27" t="s">
        <v>1217</v>
      </c>
      <c r="C441" s="7" t="s">
        <v>1295</v>
      </c>
      <c r="D441" s="27" t="s">
        <v>853</v>
      </c>
      <c r="E441" s="50" t="n">
        <v>2542</v>
      </c>
      <c r="F441" s="50" t="n">
        <v>2542</v>
      </c>
      <c r="G441" s="27" t="s">
        <v>865</v>
      </c>
      <c r="H441" s="50" t="n">
        <f aca="false">F441/IF(Varsayimlar!$B$21=1,1.43,1)</f>
        <v>1777.62237762238</v>
      </c>
      <c r="I441" s="51" t="n">
        <v>8.4</v>
      </c>
      <c r="J441" s="28" t="n">
        <f aca="false">H441*I441</f>
        <v>14932.027972028</v>
      </c>
      <c r="K441" s="52" t="s">
        <v>548</v>
      </c>
      <c r="L441" s="7" t="s">
        <v>1296</v>
      </c>
      <c r="M441" s="7" t="s">
        <v>1297</v>
      </c>
    </row>
    <row r="442" customFormat="false" ht="166.4" hidden="false" customHeight="false" outlineLevel="1" collapsed="false">
      <c r="A442" s="27"/>
      <c r="B442" s="27" t="s">
        <v>1217</v>
      </c>
      <c r="C442" s="7" t="s">
        <v>1298</v>
      </c>
      <c r="D442" s="27" t="s">
        <v>853</v>
      </c>
      <c r="E442" s="50" t="n">
        <v>115.5</v>
      </c>
      <c r="F442" s="50" t="n">
        <v>115.5</v>
      </c>
      <c r="G442" s="27" t="s">
        <v>865</v>
      </c>
      <c r="H442" s="50" t="n">
        <f aca="false">F442/IF(Varsayimlar!$B$21=1,1.43,1)</f>
        <v>80.7692307692308</v>
      </c>
      <c r="I442" s="51" t="n">
        <v>1.96</v>
      </c>
      <c r="J442" s="28" t="n">
        <f aca="false">H442*I442</f>
        <v>158.307692307692</v>
      </c>
      <c r="K442" s="52" t="s">
        <v>548</v>
      </c>
      <c r="L442" s="7" t="s">
        <v>1195</v>
      </c>
      <c r="M442" s="7" t="s">
        <v>1299</v>
      </c>
    </row>
    <row r="443" customFormat="false" ht="26.85" hidden="false" customHeight="false" outlineLevel="1" collapsed="false">
      <c r="A443" s="27"/>
      <c r="B443" s="27" t="s">
        <v>1217</v>
      </c>
      <c r="C443" s="7" t="s">
        <v>1300</v>
      </c>
      <c r="D443" s="27" t="s">
        <v>816</v>
      </c>
      <c r="E443" s="50" t="n">
        <v>1</v>
      </c>
      <c r="F443" s="50" t="n">
        <v>1</v>
      </c>
      <c r="G443" s="27" t="s">
        <v>767</v>
      </c>
      <c r="H443" s="50" t="n">
        <f aca="false">F443</f>
        <v>1</v>
      </c>
      <c r="I443" s="51" t="n">
        <v>3500</v>
      </c>
      <c r="J443" s="28" t="n">
        <f aca="false">H443*I443</f>
        <v>3500</v>
      </c>
      <c r="K443" s="53" t="s">
        <v>551</v>
      </c>
      <c r="L443" s="7" t="s">
        <v>1301</v>
      </c>
      <c r="M443" s="7" t="s">
        <v>1302</v>
      </c>
    </row>
    <row r="444" customFormat="false" ht="77.6" hidden="false" customHeight="false" outlineLevel="1" collapsed="false">
      <c r="A444" s="27"/>
      <c r="B444" s="27" t="s">
        <v>1217</v>
      </c>
      <c r="C444" s="7" t="s">
        <v>1303</v>
      </c>
      <c r="D444" s="27" t="s">
        <v>727</v>
      </c>
      <c r="E444" s="50" t="n">
        <v>51</v>
      </c>
      <c r="F444" s="50" t="n">
        <v>51</v>
      </c>
      <c r="G444" s="27" t="s">
        <v>829</v>
      </c>
      <c r="H444" s="50" t="n">
        <f aca="false">F444/IF(Varsayimlar!$B$21=1,1.3,1)</f>
        <v>39.2307692307692</v>
      </c>
      <c r="I444" s="51" t="n">
        <v>68.64</v>
      </c>
      <c r="J444" s="28" t="n">
        <f aca="false">H444*I444</f>
        <v>2692.8</v>
      </c>
      <c r="K444" s="52" t="s">
        <v>548</v>
      </c>
      <c r="L444" s="7" t="s">
        <v>1163</v>
      </c>
      <c r="M444" s="7" t="s">
        <v>1235</v>
      </c>
    </row>
    <row r="445" customFormat="false" ht="39.55" hidden="false" customHeight="false" outlineLevel="1" collapsed="false">
      <c r="A445" s="27"/>
      <c r="B445" s="27" t="s">
        <v>1217</v>
      </c>
      <c r="C445" s="7" t="s">
        <v>1304</v>
      </c>
      <c r="D445" s="27" t="s">
        <v>727</v>
      </c>
      <c r="E445" s="50" t="n">
        <v>6</v>
      </c>
      <c r="F445" s="50" t="n">
        <v>6</v>
      </c>
      <c r="G445" s="27" t="s">
        <v>767</v>
      </c>
      <c r="H445" s="50" t="n">
        <f aca="false">F445</f>
        <v>6</v>
      </c>
      <c r="I445" s="51" t="n">
        <v>207.4</v>
      </c>
      <c r="J445" s="28" t="n">
        <f aca="false">H445*I445</f>
        <v>1244.4</v>
      </c>
      <c r="K445" s="52" t="s">
        <v>548</v>
      </c>
      <c r="L445" s="7" t="s">
        <v>1305</v>
      </c>
      <c r="M445" s="7" t="s">
        <v>1306</v>
      </c>
    </row>
    <row r="446" customFormat="false" ht="39.55" hidden="false" customHeight="false" outlineLevel="1" collapsed="false">
      <c r="A446" s="27"/>
      <c r="B446" s="27" t="s">
        <v>1217</v>
      </c>
      <c r="C446" s="7" t="s">
        <v>1307</v>
      </c>
      <c r="D446" s="27" t="s">
        <v>727</v>
      </c>
      <c r="E446" s="50" t="n">
        <v>2</v>
      </c>
      <c r="F446" s="50" t="n">
        <v>2</v>
      </c>
      <c r="G446" s="27" t="s">
        <v>767</v>
      </c>
      <c r="H446" s="50" t="n">
        <f aca="false">F446</f>
        <v>2</v>
      </c>
      <c r="I446" s="51" t="n">
        <v>68.81</v>
      </c>
      <c r="J446" s="28" t="n">
        <f aca="false">H446*I446</f>
        <v>137.62</v>
      </c>
      <c r="K446" s="52" t="s">
        <v>548</v>
      </c>
      <c r="L446" s="7" t="s">
        <v>1243</v>
      </c>
      <c r="M446" s="7" t="s">
        <v>1244</v>
      </c>
    </row>
    <row r="447" customFormat="false" ht="39.55" hidden="false" customHeight="false" outlineLevel="1" collapsed="false">
      <c r="A447" s="27"/>
      <c r="B447" s="27" t="s">
        <v>1217</v>
      </c>
      <c r="C447" s="7" t="s">
        <v>1308</v>
      </c>
      <c r="D447" s="27" t="s">
        <v>727</v>
      </c>
      <c r="E447" s="50" t="n">
        <v>11</v>
      </c>
      <c r="F447" s="50" t="n">
        <v>11</v>
      </c>
      <c r="G447" s="27" t="s">
        <v>829</v>
      </c>
      <c r="H447" s="50" t="n">
        <f aca="false">F447/IF(Varsayimlar!$B$21=1,1.3,1)</f>
        <v>8.46153846153846</v>
      </c>
      <c r="I447" s="51" t="n">
        <v>15</v>
      </c>
      <c r="J447" s="28" t="n">
        <f aca="false">H447*I447</f>
        <v>126.923076923077</v>
      </c>
      <c r="K447" s="53" t="s">
        <v>551</v>
      </c>
      <c r="L447" s="7" t="s">
        <v>1173</v>
      </c>
      <c r="M447" s="7" t="s">
        <v>1309</v>
      </c>
    </row>
    <row r="448" customFormat="false" ht="39.55" hidden="false" customHeight="false" outlineLevel="1" collapsed="false">
      <c r="A448" s="27"/>
      <c r="B448" s="27" t="s">
        <v>1217</v>
      </c>
      <c r="C448" s="7" t="s">
        <v>1310</v>
      </c>
      <c r="D448" s="27" t="s">
        <v>727</v>
      </c>
      <c r="E448" s="50" t="n">
        <v>3</v>
      </c>
      <c r="F448" s="50" t="n">
        <v>3</v>
      </c>
      <c r="G448" s="27" t="s">
        <v>829</v>
      </c>
      <c r="H448" s="50" t="n">
        <f aca="false">F448/IF(Varsayimlar!$B$21=1,1.3,1)</f>
        <v>2.30769230769231</v>
      </c>
      <c r="I448" s="51" t="n">
        <v>90</v>
      </c>
      <c r="J448" s="28" t="n">
        <f aca="false">H448*I448</f>
        <v>207.692307692308</v>
      </c>
      <c r="K448" s="53" t="s">
        <v>551</v>
      </c>
      <c r="L448" s="7" t="s">
        <v>1173</v>
      </c>
      <c r="M448" s="7" t="s">
        <v>1311</v>
      </c>
    </row>
    <row r="449" customFormat="false" ht="39.55" hidden="false" customHeight="false" outlineLevel="1" collapsed="false">
      <c r="A449" s="27"/>
      <c r="B449" s="27" t="s">
        <v>1217</v>
      </c>
      <c r="C449" s="7" t="s">
        <v>1312</v>
      </c>
      <c r="D449" s="27" t="s">
        <v>727</v>
      </c>
      <c r="E449" s="50" t="n">
        <v>8</v>
      </c>
      <c r="F449" s="50" t="n">
        <v>8</v>
      </c>
      <c r="G449" s="27" t="s">
        <v>767</v>
      </c>
      <c r="H449" s="50" t="n">
        <f aca="false">F449</f>
        <v>8</v>
      </c>
      <c r="I449" s="51" t="n">
        <v>16</v>
      </c>
      <c r="J449" s="28" t="n">
        <f aca="false">H449*I449</f>
        <v>128</v>
      </c>
      <c r="K449" s="53" t="s">
        <v>551</v>
      </c>
      <c r="L449" s="7" t="s">
        <v>1173</v>
      </c>
      <c r="M449" s="7" t="s">
        <v>1313</v>
      </c>
    </row>
    <row r="450" customFormat="false" ht="52.2" hidden="false" customHeight="false" outlineLevel="1" collapsed="false">
      <c r="A450" s="27"/>
      <c r="B450" s="27" t="s">
        <v>1217</v>
      </c>
      <c r="C450" s="7" t="s">
        <v>1314</v>
      </c>
      <c r="D450" s="27" t="s">
        <v>727</v>
      </c>
      <c r="E450" s="50" t="n">
        <v>1</v>
      </c>
      <c r="F450" s="50" t="n">
        <v>1</v>
      </c>
      <c r="G450" s="27" t="s">
        <v>767</v>
      </c>
      <c r="H450" s="50" t="n">
        <f aca="false">F450</f>
        <v>1</v>
      </c>
      <c r="I450" s="51" t="n">
        <v>1200</v>
      </c>
      <c r="J450" s="28" t="n">
        <f aca="false">H450*I450</f>
        <v>1200</v>
      </c>
      <c r="K450" s="53" t="s">
        <v>551</v>
      </c>
      <c r="L450" s="7" t="s">
        <v>778</v>
      </c>
      <c r="M450" s="7" t="s">
        <v>1183</v>
      </c>
    </row>
    <row r="451" customFormat="false" ht="52.2" hidden="false" customHeight="false" outlineLevel="1" collapsed="false">
      <c r="A451" s="27"/>
      <c r="B451" s="27" t="s">
        <v>1217</v>
      </c>
      <c r="C451" s="7" t="s">
        <v>1315</v>
      </c>
      <c r="D451" s="27" t="s">
        <v>727</v>
      </c>
      <c r="E451" s="50" t="n">
        <v>1</v>
      </c>
      <c r="F451" s="50" t="n">
        <v>1</v>
      </c>
      <c r="G451" s="27" t="s">
        <v>767</v>
      </c>
      <c r="H451" s="50" t="n">
        <f aca="false">F451</f>
        <v>1</v>
      </c>
      <c r="I451" s="51" t="n">
        <v>1200</v>
      </c>
      <c r="J451" s="28" t="n">
        <f aca="false">H451*I451</f>
        <v>1200</v>
      </c>
      <c r="K451" s="53" t="s">
        <v>551</v>
      </c>
      <c r="L451" s="7" t="s">
        <v>778</v>
      </c>
      <c r="M451" s="7" t="s">
        <v>1316</v>
      </c>
    </row>
    <row r="452" customFormat="false" ht="52.2" hidden="false" customHeight="false" outlineLevel="1" collapsed="false">
      <c r="A452" s="27"/>
      <c r="B452" s="27" t="s">
        <v>1217</v>
      </c>
      <c r="C452" s="7" t="s">
        <v>1317</v>
      </c>
      <c r="D452" s="27" t="s">
        <v>727</v>
      </c>
      <c r="E452" s="50" t="n">
        <v>1</v>
      </c>
      <c r="F452" s="50" t="n">
        <v>1</v>
      </c>
      <c r="G452" s="27" t="s">
        <v>767</v>
      </c>
      <c r="H452" s="50" t="n">
        <f aca="false">F452</f>
        <v>1</v>
      </c>
      <c r="I452" s="51" t="n">
        <v>7071</v>
      </c>
      <c r="J452" s="28" t="n">
        <f aca="false">H452*I452</f>
        <v>7071</v>
      </c>
      <c r="K452" s="52" t="s">
        <v>548</v>
      </c>
      <c r="L452" s="7" t="s">
        <v>1318</v>
      </c>
      <c r="M452" s="7" t="s">
        <v>1319</v>
      </c>
    </row>
    <row r="453" customFormat="false" ht="39.55" hidden="false" customHeight="false" outlineLevel="1" collapsed="false">
      <c r="A453" s="27"/>
      <c r="B453" s="27" t="s">
        <v>1217</v>
      </c>
      <c r="C453" s="7" t="s">
        <v>1320</v>
      </c>
      <c r="D453" s="27" t="s">
        <v>816</v>
      </c>
      <c r="E453" s="50" t="n">
        <v>1</v>
      </c>
      <c r="F453" s="50" t="n">
        <v>1</v>
      </c>
      <c r="G453" s="27" t="s">
        <v>767</v>
      </c>
      <c r="H453" s="50" t="n">
        <f aca="false">F453</f>
        <v>1</v>
      </c>
      <c r="I453" s="51" t="n">
        <v>13000</v>
      </c>
      <c r="J453" s="28" t="n">
        <f aca="false">H453*I453</f>
        <v>13000</v>
      </c>
      <c r="K453" s="53" t="s">
        <v>551</v>
      </c>
      <c r="L453" s="7" t="s">
        <v>1321</v>
      </c>
      <c r="M453" s="7" t="s">
        <v>1322</v>
      </c>
    </row>
    <row r="454" customFormat="false" ht="166.4" hidden="false" customHeight="false" outlineLevel="1" collapsed="false">
      <c r="A454" s="27"/>
      <c r="B454" s="27" t="s">
        <v>1217</v>
      </c>
      <c r="C454" s="7" t="s">
        <v>1323</v>
      </c>
      <c r="D454" s="27" t="s">
        <v>853</v>
      </c>
      <c r="E454" s="50" t="n">
        <v>422</v>
      </c>
      <c r="F454" s="50" t="n">
        <v>422</v>
      </c>
      <c r="G454" s="27" t="s">
        <v>865</v>
      </c>
      <c r="H454" s="50" t="n">
        <f aca="false">F454/IF(Varsayimlar!$B$21=1,1.43,1)</f>
        <v>295.104895104895</v>
      </c>
      <c r="I454" s="51" t="n">
        <v>1.96</v>
      </c>
      <c r="J454" s="28" t="n">
        <f aca="false">H454*I454</f>
        <v>578.405594405594</v>
      </c>
      <c r="K454" s="52" t="s">
        <v>548</v>
      </c>
      <c r="L454" s="7" t="s">
        <v>1195</v>
      </c>
      <c r="M454" s="7" t="s">
        <v>1196</v>
      </c>
    </row>
    <row r="455" customFormat="false" ht="102.95" hidden="false" customHeight="false" outlineLevel="1" collapsed="false">
      <c r="A455" s="27"/>
      <c r="B455" s="27" t="s">
        <v>1217</v>
      </c>
      <c r="C455" s="7" t="s">
        <v>1324</v>
      </c>
      <c r="D455" s="27" t="s">
        <v>853</v>
      </c>
      <c r="E455" s="50" t="n">
        <v>43</v>
      </c>
      <c r="F455" s="50" t="n">
        <v>43</v>
      </c>
      <c r="G455" s="27" t="s">
        <v>865</v>
      </c>
      <c r="H455" s="50" t="n">
        <f aca="false">F455/IF(Varsayimlar!$B$21=1,1.43,1)</f>
        <v>30.0699300699301</v>
      </c>
      <c r="I455" s="51" t="n">
        <v>3.33</v>
      </c>
      <c r="J455" s="28" t="n">
        <f aca="false">H455*I455</f>
        <v>100.132867132867</v>
      </c>
      <c r="K455" s="52" t="s">
        <v>548</v>
      </c>
      <c r="L455" s="7" t="s">
        <v>1054</v>
      </c>
      <c r="M455" s="7" t="s">
        <v>1325</v>
      </c>
    </row>
    <row r="456" customFormat="false" ht="26.85" hidden="false" customHeight="false" outlineLevel="1" collapsed="false">
      <c r="A456" s="27"/>
      <c r="B456" s="27" t="s">
        <v>1217</v>
      </c>
      <c r="C456" s="7" t="s">
        <v>1326</v>
      </c>
      <c r="D456" s="27" t="s">
        <v>732</v>
      </c>
      <c r="E456" s="50" t="n">
        <v>1</v>
      </c>
      <c r="F456" s="50" t="n">
        <v>1</v>
      </c>
      <c r="G456" s="27" t="s">
        <v>767</v>
      </c>
      <c r="H456" s="50" t="n">
        <f aca="false">F456</f>
        <v>1</v>
      </c>
      <c r="I456" s="51" t="n">
        <v>3000</v>
      </c>
      <c r="J456" s="28" t="n">
        <f aca="false">H456*I456</f>
        <v>3000</v>
      </c>
      <c r="K456" s="53" t="s">
        <v>551</v>
      </c>
      <c r="L456" s="7" t="s">
        <v>1301</v>
      </c>
      <c r="M456" s="7" t="s">
        <v>1327</v>
      </c>
    </row>
    <row r="457" customFormat="false" ht="77.6" hidden="false" customHeight="false" outlineLevel="1" collapsed="false">
      <c r="A457" s="27"/>
      <c r="B457" s="27" t="s">
        <v>1217</v>
      </c>
      <c r="C457" s="7" t="s">
        <v>1328</v>
      </c>
      <c r="D457" s="27" t="s">
        <v>727</v>
      </c>
      <c r="E457" s="50" t="n">
        <v>36</v>
      </c>
      <c r="F457" s="50" t="n">
        <v>36</v>
      </c>
      <c r="G457" s="27" t="s">
        <v>829</v>
      </c>
      <c r="H457" s="50" t="n">
        <f aca="false">F457/IF(Varsayimlar!$B$21=1,1.3,1)</f>
        <v>27.6923076923077</v>
      </c>
      <c r="I457" s="51" t="n">
        <v>68.64</v>
      </c>
      <c r="J457" s="28" t="n">
        <f aca="false">H457*I457</f>
        <v>1900.8</v>
      </c>
      <c r="K457" s="52" t="s">
        <v>548</v>
      </c>
      <c r="L457" s="7" t="s">
        <v>1163</v>
      </c>
      <c r="M457" s="7" t="s">
        <v>1235</v>
      </c>
    </row>
    <row r="458" customFormat="false" ht="90.25" hidden="false" customHeight="false" outlineLevel="1" collapsed="false">
      <c r="A458" s="27"/>
      <c r="B458" s="27" t="s">
        <v>1217</v>
      </c>
      <c r="C458" s="7" t="s">
        <v>1329</v>
      </c>
      <c r="D458" s="27" t="s">
        <v>727</v>
      </c>
      <c r="E458" s="50" t="n">
        <v>11</v>
      </c>
      <c r="F458" s="50" t="n">
        <v>11</v>
      </c>
      <c r="G458" s="27" t="s">
        <v>829</v>
      </c>
      <c r="H458" s="50" t="n">
        <f aca="false">F458/IF(Varsayimlar!$B$21=1,1.3,1)</f>
        <v>8.46153846153846</v>
      </c>
      <c r="I458" s="51" t="n">
        <v>48.64</v>
      </c>
      <c r="J458" s="28" t="n">
        <f aca="false">H458*I458</f>
        <v>411.569230769231</v>
      </c>
      <c r="K458" s="52" t="s">
        <v>548</v>
      </c>
      <c r="L458" s="7" t="s">
        <v>1330</v>
      </c>
      <c r="M458" s="7" t="s">
        <v>1331</v>
      </c>
    </row>
    <row r="459" customFormat="false" ht="39.55" hidden="false" customHeight="false" outlineLevel="1" collapsed="false">
      <c r="A459" s="27"/>
      <c r="B459" s="27" t="s">
        <v>1217</v>
      </c>
      <c r="C459" s="7" t="s">
        <v>1332</v>
      </c>
      <c r="D459" s="27" t="s">
        <v>727</v>
      </c>
      <c r="E459" s="50" t="n">
        <v>3</v>
      </c>
      <c r="F459" s="50" t="n">
        <v>3</v>
      </c>
      <c r="G459" s="27" t="s">
        <v>829</v>
      </c>
      <c r="H459" s="50" t="n">
        <f aca="false">F459/IF(Varsayimlar!$B$21=1,1.3,1)</f>
        <v>2.30769230769231</v>
      </c>
      <c r="I459" s="51" t="n">
        <v>18</v>
      </c>
      <c r="J459" s="28" t="n">
        <f aca="false">H459*I459</f>
        <v>41.5384615384615</v>
      </c>
      <c r="K459" s="53" t="s">
        <v>551</v>
      </c>
      <c r="L459" s="7" t="s">
        <v>1173</v>
      </c>
      <c r="M459" s="7" t="s">
        <v>1333</v>
      </c>
    </row>
    <row r="460" customFormat="false" ht="39.55" hidden="false" customHeight="false" outlineLevel="1" collapsed="false">
      <c r="A460" s="27"/>
      <c r="B460" s="27" t="s">
        <v>1217</v>
      </c>
      <c r="C460" s="7" t="s">
        <v>1334</v>
      </c>
      <c r="D460" s="27" t="s">
        <v>727</v>
      </c>
      <c r="E460" s="50" t="n">
        <v>2</v>
      </c>
      <c r="F460" s="50" t="n">
        <v>2</v>
      </c>
      <c r="G460" s="27" t="s">
        <v>829</v>
      </c>
      <c r="H460" s="50" t="n">
        <f aca="false">F460/IF(Varsayimlar!$B$21=1,1.3,1)</f>
        <v>1.53846153846154</v>
      </c>
      <c r="I460" s="51" t="n">
        <v>150</v>
      </c>
      <c r="J460" s="28" t="n">
        <f aca="false">H460*I460</f>
        <v>230.769230769231</v>
      </c>
      <c r="K460" s="53" t="s">
        <v>551</v>
      </c>
      <c r="L460" s="7" t="s">
        <v>1173</v>
      </c>
      <c r="M460" s="7" t="s">
        <v>1335</v>
      </c>
    </row>
    <row r="461" customFormat="false" ht="102.95" hidden="false" customHeight="false" outlineLevel="1" collapsed="false">
      <c r="A461" s="27"/>
      <c r="B461" s="27" t="s">
        <v>1217</v>
      </c>
      <c r="C461" s="7" t="s">
        <v>1336</v>
      </c>
      <c r="D461" s="27" t="s">
        <v>853</v>
      </c>
      <c r="E461" s="50" t="n">
        <v>341</v>
      </c>
      <c r="F461" s="50" t="n">
        <v>341</v>
      </c>
      <c r="G461" s="27" t="s">
        <v>865</v>
      </c>
      <c r="H461" s="50" t="n">
        <f aca="false">F461/IF(Varsayimlar!$B$21=1,1.43,1)</f>
        <v>238.461538461538</v>
      </c>
      <c r="I461" s="51" t="n">
        <v>2.39</v>
      </c>
      <c r="J461" s="28" t="n">
        <f aca="false">H461*I461</f>
        <v>569.923076923077</v>
      </c>
      <c r="K461" s="52" t="s">
        <v>548</v>
      </c>
      <c r="L461" s="7" t="s">
        <v>1337</v>
      </c>
      <c r="M461" s="7" t="s">
        <v>1338</v>
      </c>
    </row>
    <row r="462" customFormat="false" ht="77.6" hidden="false" customHeight="false" outlineLevel="1" collapsed="false">
      <c r="A462" s="27"/>
      <c r="B462" s="27" t="s">
        <v>1217</v>
      </c>
      <c r="C462" s="7" t="s">
        <v>1339</v>
      </c>
      <c r="D462" s="27" t="s">
        <v>727</v>
      </c>
      <c r="E462" s="50" t="n">
        <v>34</v>
      </c>
      <c r="F462" s="50" t="n">
        <v>34</v>
      </c>
      <c r="G462" s="27" t="s">
        <v>829</v>
      </c>
      <c r="H462" s="50" t="n">
        <f aca="false">F462/IF(Varsayimlar!$B$21=1,1.3,1)</f>
        <v>26.1538461538462</v>
      </c>
      <c r="I462" s="51" t="n">
        <v>68.64</v>
      </c>
      <c r="J462" s="28" t="n">
        <f aca="false">H462*I462</f>
        <v>1795.2</v>
      </c>
      <c r="K462" s="52" t="s">
        <v>548</v>
      </c>
      <c r="L462" s="7" t="s">
        <v>1163</v>
      </c>
      <c r="M462" s="7" t="s">
        <v>1340</v>
      </c>
    </row>
    <row r="463" customFormat="false" ht="77.6" hidden="false" customHeight="false" outlineLevel="1" collapsed="false">
      <c r="A463" s="27"/>
      <c r="B463" s="27" t="s">
        <v>1217</v>
      </c>
      <c r="C463" s="7" t="s">
        <v>1341</v>
      </c>
      <c r="D463" s="27" t="s">
        <v>727</v>
      </c>
      <c r="E463" s="50" t="n">
        <v>17</v>
      </c>
      <c r="F463" s="50" t="n">
        <v>17</v>
      </c>
      <c r="G463" s="27" t="s">
        <v>767</v>
      </c>
      <c r="H463" s="50" t="n">
        <f aca="false">F463</f>
        <v>17</v>
      </c>
      <c r="I463" s="51" t="n">
        <v>43.9</v>
      </c>
      <c r="J463" s="28" t="n">
        <f aca="false">H463*I463</f>
        <v>746.3</v>
      </c>
      <c r="K463" s="52" t="s">
        <v>548</v>
      </c>
      <c r="L463" s="7" t="s">
        <v>1342</v>
      </c>
      <c r="M463" s="7" t="s">
        <v>1343</v>
      </c>
    </row>
    <row r="464" customFormat="false" ht="52.2" hidden="false" customHeight="false" outlineLevel="1" collapsed="false">
      <c r="A464" s="27"/>
      <c r="B464" s="27" t="s">
        <v>1217</v>
      </c>
      <c r="C464" s="7" t="s">
        <v>1344</v>
      </c>
      <c r="D464" s="27" t="s">
        <v>727</v>
      </c>
      <c r="E464" s="50" t="n">
        <v>25</v>
      </c>
      <c r="F464" s="50" t="n">
        <v>25</v>
      </c>
      <c r="G464" s="27" t="s">
        <v>829</v>
      </c>
      <c r="H464" s="50" t="n">
        <f aca="false">F464/IF(Varsayimlar!$B$21=1,1.3,1)</f>
        <v>19.2307692307692</v>
      </c>
      <c r="I464" s="51" t="n">
        <v>54.66</v>
      </c>
      <c r="J464" s="28" t="n">
        <f aca="false">H464*I464</f>
        <v>1051.15384615385</v>
      </c>
      <c r="K464" s="52" t="s">
        <v>548</v>
      </c>
      <c r="L464" s="7" t="s">
        <v>1345</v>
      </c>
      <c r="M464" s="7" t="s">
        <v>1346</v>
      </c>
    </row>
    <row r="465" customFormat="false" ht="39.55" hidden="false" customHeight="false" outlineLevel="1" collapsed="false">
      <c r="A465" s="27"/>
      <c r="B465" s="27" t="s">
        <v>1217</v>
      </c>
      <c r="C465" s="7" t="s">
        <v>1347</v>
      </c>
      <c r="D465" s="27" t="s">
        <v>727</v>
      </c>
      <c r="E465" s="50" t="n">
        <v>18</v>
      </c>
      <c r="F465" s="50" t="n">
        <v>18</v>
      </c>
      <c r="G465" s="27" t="s">
        <v>767</v>
      </c>
      <c r="H465" s="50" t="n">
        <f aca="false">F465</f>
        <v>18</v>
      </c>
      <c r="I465" s="51" t="n">
        <v>16</v>
      </c>
      <c r="J465" s="28" t="n">
        <f aca="false">H465*I465</f>
        <v>288</v>
      </c>
      <c r="K465" s="53" t="s">
        <v>551</v>
      </c>
      <c r="L465" s="7" t="s">
        <v>1173</v>
      </c>
      <c r="M465" s="7" t="s">
        <v>1313</v>
      </c>
    </row>
    <row r="466" customFormat="false" ht="39.55" hidden="false" customHeight="false" outlineLevel="1" collapsed="false">
      <c r="A466" s="27"/>
      <c r="B466" s="27" t="s">
        <v>1217</v>
      </c>
      <c r="C466" s="7" t="s">
        <v>1348</v>
      </c>
      <c r="D466" s="27" t="s">
        <v>727</v>
      </c>
      <c r="E466" s="50" t="n">
        <v>33</v>
      </c>
      <c r="F466" s="50" t="n">
        <v>33</v>
      </c>
      <c r="G466" s="27" t="s">
        <v>829</v>
      </c>
      <c r="H466" s="50" t="n">
        <f aca="false">F466/IF(Varsayimlar!$B$21=1,1.3,1)</f>
        <v>25.3846153846154</v>
      </c>
      <c r="I466" s="51" t="n">
        <v>25</v>
      </c>
      <c r="J466" s="28" t="n">
        <f aca="false">H466*I466</f>
        <v>634.615384615385</v>
      </c>
      <c r="K466" s="53" t="s">
        <v>551</v>
      </c>
      <c r="L466" s="7" t="s">
        <v>1173</v>
      </c>
      <c r="M466" s="7" t="s">
        <v>1349</v>
      </c>
    </row>
    <row r="467" customFormat="false" ht="52.2" hidden="false" customHeight="false" outlineLevel="1" collapsed="false">
      <c r="A467" s="27"/>
      <c r="B467" s="27" t="s">
        <v>1217</v>
      </c>
      <c r="C467" s="7" t="s">
        <v>1350</v>
      </c>
      <c r="D467" s="27" t="s">
        <v>727</v>
      </c>
      <c r="E467" s="50" t="n">
        <v>2</v>
      </c>
      <c r="F467" s="50" t="n">
        <v>2</v>
      </c>
      <c r="G467" s="27" t="s">
        <v>767</v>
      </c>
      <c r="H467" s="50" t="n">
        <f aca="false">F467</f>
        <v>2</v>
      </c>
      <c r="I467" s="51" t="n">
        <v>1300</v>
      </c>
      <c r="J467" s="28" t="n">
        <f aca="false">H467*I467</f>
        <v>2600</v>
      </c>
      <c r="K467" s="53" t="s">
        <v>551</v>
      </c>
      <c r="L467" s="7" t="s">
        <v>778</v>
      </c>
      <c r="M467" s="7" t="s">
        <v>1351</v>
      </c>
    </row>
    <row r="468" customFormat="false" ht="102.95" hidden="false" customHeight="false" outlineLevel="1" collapsed="false">
      <c r="A468" s="27"/>
      <c r="B468" s="27" t="s">
        <v>1217</v>
      </c>
      <c r="C468" s="7" t="s">
        <v>1352</v>
      </c>
      <c r="D468" s="27" t="s">
        <v>853</v>
      </c>
      <c r="E468" s="50" t="n">
        <v>693</v>
      </c>
      <c r="F468" s="50" t="n">
        <v>693</v>
      </c>
      <c r="G468" s="27" t="s">
        <v>865</v>
      </c>
      <c r="H468" s="50" t="n">
        <f aca="false">F468/IF(Varsayimlar!$B$21=1,1.43,1)</f>
        <v>484.615384615385</v>
      </c>
      <c r="I468" s="51" t="n">
        <v>2.45</v>
      </c>
      <c r="J468" s="28" t="n">
        <f aca="false">H468*I468</f>
        <v>1187.30769230769</v>
      </c>
      <c r="K468" s="52" t="s">
        <v>548</v>
      </c>
      <c r="L468" s="7" t="s">
        <v>1353</v>
      </c>
      <c r="M468" s="7" t="s">
        <v>1354</v>
      </c>
    </row>
    <row r="469" customFormat="false" ht="77.6" hidden="false" customHeight="false" outlineLevel="1" collapsed="false">
      <c r="A469" s="27"/>
      <c r="B469" s="27" t="s">
        <v>1217</v>
      </c>
      <c r="C469" s="7" t="s">
        <v>1355</v>
      </c>
      <c r="D469" s="27" t="s">
        <v>727</v>
      </c>
      <c r="E469" s="50" t="n">
        <v>25</v>
      </c>
      <c r="F469" s="50" t="n">
        <v>25</v>
      </c>
      <c r="G469" s="27" t="s">
        <v>829</v>
      </c>
      <c r="H469" s="50" t="n">
        <f aca="false">F469/IF(Varsayimlar!$B$21=1,1.3,1)</f>
        <v>19.2307692307692</v>
      </c>
      <c r="I469" s="51" t="n">
        <v>68.64</v>
      </c>
      <c r="J469" s="28" t="n">
        <f aca="false">H469*I469</f>
        <v>1320</v>
      </c>
      <c r="K469" s="52" t="s">
        <v>548</v>
      </c>
      <c r="L469" s="7" t="s">
        <v>1163</v>
      </c>
      <c r="M469" s="7" t="s">
        <v>1235</v>
      </c>
    </row>
    <row r="470" customFormat="false" ht="90.25" hidden="false" customHeight="false" outlineLevel="1" collapsed="false">
      <c r="A470" s="27"/>
      <c r="B470" s="27" t="s">
        <v>1217</v>
      </c>
      <c r="C470" s="7" t="s">
        <v>1356</v>
      </c>
      <c r="D470" s="27" t="s">
        <v>727</v>
      </c>
      <c r="E470" s="50" t="n">
        <v>6</v>
      </c>
      <c r="F470" s="50" t="n">
        <v>6</v>
      </c>
      <c r="G470" s="27" t="s">
        <v>829</v>
      </c>
      <c r="H470" s="50" t="n">
        <f aca="false">F470/IF(Varsayimlar!$B$21=1,1.3,1)</f>
        <v>4.61538461538462</v>
      </c>
      <c r="I470" s="51" t="n">
        <v>48.64</v>
      </c>
      <c r="J470" s="28" t="n">
        <f aca="false">H470*I470</f>
        <v>224.492307692308</v>
      </c>
      <c r="K470" s="52" t="s">
        <v>548</v>
      </c>
      <c r="L470" s="7" t="s">
        <v>1330</v>
      </c>
      <c r="M470" s="7" t="s">
        <v>1357</v>
      </c>
    </row>
    <row r="471" customFormat="false" ht="39.55" hidden="false" customHeight="false" outlineLevel="1" collapsed="false">
      <c r="A471" s="27"/>
      <c r="B471" s="27" t="s">
        <v>1217</v>
      </c>
      <c r="C471" s="7" t="s">
        <v>1358</v>
      </c>
      <c r="D471" s="27" t="s">
        <v>727</v>
      </c>
      <c r="E471" s="50" t="n">
        <v>6</v>
      </c>
      <c r="F471" s="50" t="n">
        <v>6</v>
      </c>
      <c r="G471" s="27" t="s">
        <v>829</v>
      </c>
      <c r="H471" s="50" t="n">
        <f aca="false">F471/IF(Varsayimlar!$B$21=1,1.3,1)</f>
        <v>4.61538461538462</v>
      </c>
      <c r="I471" s="51" t="n">
        <v>18</v>
      </c>
      <c r="J471" s="28" t="n">
        <f aca="false">H471*I471</f>
        <v>83.0769230769231</v>
      </c>
      <c r="K471" s="53" t="s">
        <v>551</v>
      </c>
      <c r="L471" s="7" t="s">
        <v>1173</v>
      </c>
      <c r="M471" s="7" t="s">
        <v>1333</v>
      </c>
    </row>
    <row r="472" customFormat="false" ht="52.2" hidden="false" customHeight="false" outlineLevel="1" collapsed="false">
      <c r="A472" s="27"/>
      <c r="B472" s="27" t="s">
        <v>1217</v>
      </c>
      <c r="C472" s="7" t="s">
        <v>1359</v>
      </c>
      <c r="D472" s="27" t="s">
        <v>727</v>
      </c>
      <c r="E472" s="50" t="n">
        <v>1</v>
      </c>
      <c r="F472" s="50" t="n">
        <v>1</v>
      </c>
      <c r="G472" s="27" t="s">
        <v>767</v>
      </c>
      <c r="H472" s="50" t="n">
        <f aca="false">F472</f>
        <v>1</v>
      </c>
      <c r="I472" s="51" t="n">
        <v>2500</v>
      </c>
      <c r="J472" s="28" t="n">
        <f aca="false">H472*I472</f>
        <v>2500</v>
      </c>
      <c r="K472" s="53" t="s">
        <v>551</v>
      </c>
      <c r="L472" s="7" t="s">
        <v>778</v>
      </c>
      <c r="M472" s="7" t="s">
        <v>1360</v>
      </c>
    </row>
    <row r="473" customFormat="false" ht="166.4" hidden="false" customHeight="false" outlineLevel="1" collapsed="false">
      <c r="A473" s="27"/>
      <c r="B473" s="27" t="s">
        <v>1217</v>
      </c>
      <c r="C473" s="7" t="s">
        <v>1361</v>
      </c>
      <c r="D473" s="27" t="s">
        <v>853</v>
      </c>
      <c r="E473" s="50" t="n">
        <v>173.25</v>
      </c>
      <c r="F473" s="50" t="n">
        <v>173.25</v>
      </c>
      <c r="G473" s="27" t="s">
        <v>865</v>
      </c>
      <c r="H473" s="50" t="n">
        <f aca="false">F473/IF(Varsayimlar!$B$21=1,1.43,1)</f>
        <v>121.153846153846</v>
      </c>
      <c r="I473" s="51" t="n">
        <v>1.96</v>
      </c>
      <c r="J473" s="28" t="n">
        <f aca="false">H473*I473</f>
        <v>237.461538461538</v>
      </c>
      <c r="K473" s="52" t="s">
        <v>548</v>
      </c>
      <c r="L473" s="7" t="s">
        <v>1195</v>
      </c>
      <c r="M473" s="7" t="s">
        <v>1196</v>
      </c>
    </row>
    <row r="474" customFormat="false" ht="90.25" hidden="false" customHeight="false" outlineLevel="1" collapsed="false">
      <c r="A474" s="27"/>
      <c r="B474" s="27" t="s">
        <v>1217</v>
      </c>
      <c r="C474" s="7" t="s">
        <v>1362</v>
      </c>
      <c r="D474" s="27" t="s">
        <v>727</v>
      </c>
      <c r="E474" s="50" t="n">
        <v>15</v>
      </c>
      <c r="F474" s="50" t="n">
        <v>15</v>
      </c>
      <c r="G474" s="27" t="s">
        <v>829</v>
      </c>
      <c r="H474" s="50" t="n">
        <f aca="false">F474/IF(Varsayimlar!$B$21=1,1.3,1)</f>
        <v>11.5384615384615</v>
      </c>
      <c r="I474" s="51" t="n">
        <v>27.43</v>
      </c>
      <c r="J474" s="28" t="n">
        <f aca="false">H474*I474</f>
        <v>316.5</v>
      </c>
      <c r="K474" s="52" t="s">
        <v>548</v>
      </c>
      <c r="L474" s="7" t="s">
        <v>1225</v>
      </c>
      <c r="M474" s="7" t="s">
        <v>1363</v>
      </c>
    </row>
    <row r="475" customFormat="false" ht="77.6" hidden="false" customHeight="false" outlineLevel="1" collapsed="false">
      <c r="A475" s="27"/>
      <c r="B475" s="27" t="s">
        <v>1217</v>
      </c>
      <c r="C475" s="7" t="s">
        <v>1364</v>
      </c>
      <c r="D475" s="27" t="s">
        <v>727</v>
      </c>
      <c r="E475" s="50" t="n">
        <v>3</v>
      </c>
      <c r="F475" s="50" t="n">
        <v>3</v>
      </c>
      <c r="G475" s="27" t="s">
        <v>829</v>
      </c>
      <c r="H475" s="50" t="n">
        <f aca="false">F475/IF(Varsayimlar!$B$21=1,1.3,1)</f>
        <v>2.30769230769231</v>
      </c>
      <c r="I475" s="51" t="n">
        <v>68.64</v>
      </c>
      <c r="J475" s="28" t="n">
        <f aca="false">H475*I475</f>
        <v>158.4</v>
      </c>
      <c r="K475" s="52" t="s">
        <v>548</v>
      </c>
      <c r="L475" s="7" t="s">
        <v>1163</v>
      </c>
      <c r="M475" s="7" t="s">
        <v>1365</v>
      </c>
    </row>
    <row r="476" customFormat="false" ht="39.55" hidden="false" customHeight="false" outlineLevel="1" collapsed="false">
      <c r="A476" s="27"/>
      <c r="B476" s="27" t="s">
        <v>1217</v>
      </c>
      <c r="C476" s="7" t="s">
        <v>1366</v>
      </c>
      <c r="D476" s="27" t="s">
        <v>727</v>
      </c>
      <c r="E476" s="50" t="n">
        <v>8</v>
      </c>
      <c r="F476" s="50" t="n">
        <v>8</v>
      </c>
      <c r="G476" s="27" t="s">
        <v>829</v>
      </c>
      <c r="H476" s="50" t="n">
        <f aca="false">F476/IF(Varsayimlar!$B$21=1,1.3,1)</f>
        <v>6.15384615384615</v>
      </c>
      <c r="I476" s="51" t="n">
        <v>15</v>
      </c>
      <c r="J476" s="28" t="n">
        <f aca="false">H476*I476</f>
        <v>92.3076923076923</v>
      </c>
      <c r="K476" s="53" t="s">
        <v>551</v>
      </c>
      <c r="L476" s="7" t="s">
        <v>1173</v>
      </c>
      <c r="M476" s="7" t="s">
        <v>1309</v>
      </c>
    </row>
    <row r="477" customFormat="false" ht="90.25" hidden="false" customHeight="false" outlineLevel="1" collapsed="false">
      <c r="A477" s="27"/>
      <c r="B477" s="27" t="s">
        <v>1217</v>
      </c>
      <c r="C477" s="7" t="s">
        <v>1367</v>
      </c>
      <c r="D477" s="27" t="s">
        <v>727</v>
      </c>
      <c r="E477" s="50" t="n">
        <v>6</v>
      </c>
      <c r="F477" s="50" t="n">
        <v>6</v>
      </c>
      <c r="G477" s="27" t="s">
        <v>829</v>
      </c>
      <c r="H477" s="50" t="n">
        <f aca="false">F477/IF(Varsayimlar!$B$21=1,1.3,1)</f>
        <v>4.61538461538462</v>
      </c>
      <c r="I477" s="51" t="n">
        <v>48.64</v>
      </c>
      <c r="J477" s="28" t="n">
        <f aca="false">H477*I477</f>
        <v>224.492307692308</v>
      </c>
      <c r="K477" s="52" t="s">
        <v>548</v>
      </c>
      <c r="L477" s="7" t="s">
        <v>1330</v>
      </c>
      <c r="M477" s="7" t="s">
        <v>1331</v>
      </c>
    </row>
    <row r="478" customFormat="false" ht="52.2" hidden="false" customHeight="false" outlineLevel="1" collapsed="false">
      <c r="A478" s="27"/>
      <c r="B478" s="27" t="s">
        <v>1217</v>
      </c>
      <c r="C478" s="7" t="s">
        <v>1368</v>
      </c>
      <c r="D478" s="27" t="s">
        <v>727</v>
      </c>
      <c r="E478" s="50" t="n">
        <v>1</v>
      </c>
      <c r="F478" s="50" t="n">
        <v>1</v>
      </c>
      <c r="G478" s="27" t="s">
        <v>767</v>
      </c>
      <c r="H478" s="50" t="n">
        <f aca="false">F478</f>
        <v>1</v>
      </c>
      <c r="I478" s="51" t="n">
        <v>800</v>
      </c>
      <c r="J478" s="28" t="n">
        <f aca="false">H478*I478</f>
        <v>800</v>
      </c>
      <c r="K478" s="53" t="s">
        <v>551</v>
      </c>
      <c r="L478" s="7" t="s">
        <v>778</v>
      </c>
      <c r="M478" s="7" t="s">
        <v>1183</v>
      </c>
    </row>
    <row r="479" customFormat="false" ht="166.4" hidden="false" customHeight="false" outlineLevel="1" collapsed="false">
      <c r="A479" s="27"/>
      <c r="B479" s="27" t="s">
        <v>1217</v>
      </c>
      <c r="C479" s="7" t="s">
        <v>1369</v>
      </c>
      <c r="D479" s="27" t="s">
        <v>853</v>
      </c>
      <c r="E479" s="50" t="n">
        <v>118.25</v>
      </c>
      <c r="F479" s="50" t="n">
        <v>118.25</v>
      </c>
      <c r="G479" s="27" t="s">
        <v>865</v>
      </c>
      <c r="H479" s="50" t="n">
        <f aca="false">F479/IF(Varsayimlar!$B$21=1,1.43,1)</f>
        <v>82.6923076923077</v>
      </c>
      <c r="I479" s="51" t="n">
        <v>1.96</v>
      </c>
      <c r="J479" s="28" t="n">
        <f aca="false">H479*I479</f>
        <v>162.076923076923</v>
      </c>
      <c r="K479" s="52" t="s">
        <v>548</v>
      </c>
      <c r="L479" s="7" t="s">
        <v>1195</v>
      </c>
      <c r="M479" s="7" t="s">
        <v>1196</v>
      </c>
    </row>
    <row r="480" customFormat="false" ht="15" hidden="false" customHeight="false" outlineLevel="0" collapsed="false">
      <c r="A480" s="48" t="s">
        <v>188</v>
      </c>
      <c r="B480" s="48" t="s">
        <v>1370</v>
      </c>
      <c r="C480" s="48" t="s">
        <v>189</v>
      </c>
      <c r="D480" s="48"/>
      <c r="E480" s="48"/>
      <c r="F480" s="48"/>
      <c r="G480" s="48"/>
      <c r="H480" s="48" t="s">
        <v>765</v>
      </c>
      <c r="I480" s="49" t="n">
        <f aca="false">SUMPRODUCT(E481:E489,I481:I489)</f>
        <v>130539.6</v>
      </c>
      <c r="J480" s="49" t="n">
        <f aca="false">SUM(J481:J489)</f>
        <v>123107.636363636</v>
      </c>
      <c r="K480" s="48"/>
      <c r="L480" s="48"/>
      <c r="M480" s="48"/>
    </row>
    <row r="481" customFormat="false" ht="52.2" hidden="false" customHeight="false" outlineLevel="1" collapsed="false">
      <c r="A481" s="27"/>
      <c r="B481" s="27" t="s">
        <v>1370</v>
      </c>
      <c r="C481" s="7" t="s">
        <v>1371</v>
      </c>
      <c r="D481" s="27" t="s">
        <v>727</v>
      </c>
      <c r="E481" s="50" t="n">
        <v>20</v>
      </c>
      <c r="F481" s="50" t="n">
        <v>20</v>
      </c>
      <c r="G481" s="27" t="s">
        <v>767</v>
      </c>
      <c r="H481" s="50" t="n">
        <f aca="false">F481</f>
        <v>20</v>
      </c>
      <c r="I481" s="51" t="n">
        <v>2320</v>
      </c>
      <c r="J481" s="28" t="n">
        <f aca="false">H481*I481</f>
        <v>46400</v>
      </c>
      <c r="K481" s="52" t="s">
        <v>548</v>
      </c>
      <c r="L481" s="7" t="s">
        <v>1372</v>
      </c>
      <c r="M481" s="7" t="s">
        <v>1373</v>
      </c>
    </row>
    <row r="482" customFormat="false" ht="39.55" hidden="false" customHeight="false" outlineLevel="1" collapsed="false">
      <c r="A482" s="27"/>
      <c r="B482" s="27" t="s">
        <v>1370</v>
      </c>
      <c r="C482" s="7" t="s">
        <v>1374</v>
      </c>
      <c r="D482" s="27" t="s">
        <v>727</v>
      </c>
      <c r="E482" s="50" t="n">
        <v>156</v>
      </c>
      <c r="F482" s="50" t="n">
        <v>156</v>
      </c>
      <c r="G482" s="27" t="s">
        <v>767</v>
      </c>
      <c r="H482" s="50" t="n">
        <f aca="false">F482</f>
        <v>156</v>
      </c>
      <c r="I482" s="51" t="n">
        <v>308</v>
      </c>
      <c r="J482" s="28" t="n">
        <f aca="false">H482*I482</f>
        <v>48048</v>
      </c>
      <c r="K482" s="52" t="s">
        <v>548</v>
      </c>
      <c r="L482" s="7" t="s">
        <v>1375</v>
      </c>
      <c r="M482" s="7" t="s">
        <v>1376</v>
      </c>
    </row>
    <row r="483" customFormat="false" ht="39.55" hidden="false" customHeight="false" outlineLevel="1" collapsed="false">
      <c r="A483" s="27"/>
      <c r="B483" s="27" t="s">
        <v>1370</v>
      </c>
      <c r="C483" s="7" t="s">
        <v>1377</v>
      </c>
      <c r="D483" s="27" t="s">
        <v>727</v>
      </c>
      <c r="E483" s="50" t="n">
        <v>20</v>
      </c>
      <c r="F483" s="50" t="n">
        <v>20</v>
      </c>
      <c r="G483" s="27" t="s">
        <v>767</v>
      </c>
      <c r="H483" s="50" t="n">
        <f aca="false">F483</f>
        <v>20</v>
      </c>
      <c r="I483" s="51" t="n">
        <v>60</v>
      </c>
      <c r="J483" s="28" t="n">
        <f aca="false">H483*I483</f>
        <v>1200</v>
      </c>
      <c r="K483" s="53" t="s">
        <v>551</v>
      </c>
      <c r="L483" s="7" t="s">
        <v>1173</v>
      </c>
      <c r="M483" s="7" t="s">
        <v>1378</v>
      </c>
    </row>
    <row r="484" customFormat="false" ht="52.2" hidden="false" customHeight="false" outlineLevel="1" collapsed="false">
      <c r="A484" s="27"/>
      <c r="B484" s="27" t="s">
        <v>1370</v>
      </c>
      <c r="C484" s="7" t="s">
        <v>1379</v>
      </c>
      <c r="D484" s="27" t="s">
        <v>727</v>
      </c>
      <c r="E484" s="50" t="n">
        <v>1</v>
      </c>
      <c r="F484" s="50" t="n">
        <v>1</v>
      </c>
      <c r="G484" s="27" t="s">
        <v>767</v>
      </c>
      <c r="H484" s="50" t="n">
        <f aca="false">F484</f>
        <v>1</v>
      </c>
      <c r="I484" s="51" t="n">
        <v>2500</v>
      </c>
      <c r="J484" s="28" t="n">
        <f aca="false">H484*I484</f>
        <v>2500</v>
      </c>
      <c r="K484" s="53" t="s">
        <v>551</v>
      </c>
      <c r="L484" s="7" t="s">
        <v>778</v>
      </c>
      <c r="M484" s="7" t="s">
        <v>1380</v>
      </c>
    </row>
    <row r="485" customFormat="false" ht="64.9" hidden="false" customHeight="false" outlineLevel="1" collapsed="false">
      <c r="A485" s="27"/>
      <c r="B485" s="27" t="s">
        <v>1370</v>
      </c>
      <c r="C485" s="7" t="s">
        <v>1381</v>
      </c>
      <c r="D485" s="27" t="s">
        <v>853</v>
      </c>
      <c r="E485" s="50" t="n">
        <v>3432</v>
      </c>
      <c r="F485" s="50" t="n">
        <v>3432</v>
      </c>
      <c r="G485" s="27" t="s">
        <v>767</v>
      </c>
      <c r="H485" s="50" t="n">
        <f aca="false">F485</f>
        <v>3432</v>
      </c>
      <c r="I485" s="51" t="n">
        <v>1.8</v>
      </c>
      <c r="J485" s="28" t="n">
        <f aca="false">H485*I485</f>
        <v>6177.6</v>
      </c>
      <c r="K485" s="52" t="s">
        <v>548</v>
      </c>
      <c r="L485" s="7" t="s">
        <v>1382</v>
      </c>
      <c r="M485" s="7" t="s">
        <v>1383</v>
      </c>
    </row>
    <row r="486" customFormat="false" ht="39.55" hidden="false" customHeight="false" outlineLevel="1" collapsed="false">
      <c r="A486" s="27"/>
      <c r="B486" s="27" t="s">
        <v>1370</v>
      </c>
      <c r="C486" s="7" t="s">
        <v>1384</v>
      </c>
      <c r="D486" s="27" t="s">
        <v>853</v>
      </c>
      <c r="E486" s="50" t="n">
        <v>1358</v>
      </c>
      <c r="F486" s="50" t="n">
        <v>1358</v>
      </c>
      <c r="G486" s="27" t="s">
        <v>865</v>
      </c>
      <c r="H486" s="50" t="n">
        <f aca="false">F486/IF(Varsayimlar!$B$21=1,1.43,1)</f>
        <v>949.65034965035</v>
      </c>
      <c r="I486" s="51" t="n">
        <v>11.2</v>
      </c>
      <c r="J486" s="28" t="n">
        <f aca="false">H486*I486</f>
        <v>10636.0839160839</v>
      </c>
      <c r="K486" s="52" t="s">
        <v>548</v>
      </c>
      <c r="L486" s="7" t="s">
        <v>1385</v>
      </c>
      <c r="M486" s="7" t="s">
        <v>1386</v>
      </c>
    </row>
    <row r="487" customFormat="false" ht="39.55" hidden="false" customHeight="false" outlineLevel="1" collapsed="false">
      <c r="A487" s="27"/>
      <c r="B487" s="27" t="s">
        <v>1370</v>
      </c>
      <c r="C487" s="7" t="s">
        <v>1387</v>
      </c>
      <c r="D487" s="27" t="s">
        <v>853</v>
      </c>
      <c r="E487" s="50" t="n">
        <v>1358</v>
      </c>
      <c r="F487" s="50" t="n">
        <v>1358</v>
      </c>
      <c r="G487" s="27" t="s">
        <v>865</v>
      </c>
      <c r="H487" s="50" t="n">
        <f aca="false">F487/IF(Varsayimlar!$B$21=1,1.43,1)</f>
        <v>949.65034965035</v>
      </c>
      <c r="I487" s="51" t="n">
        <v>7</v>
      </c>
      <c r="J487" s="28" t="n">
        <f aca="false">H487*I487</f>
        <v>6647.55244755245</v>
      </c>
      <c r="K487" s="52" t="s">
        <v>548</v>
      </c>
      <c r="L487" s="7" t="s">
        <v>1388</v>
      </c>
      <c r="M487" s="7" t="s">
        <v>1389</v>
      </c>
    </row>
    <row r="488" customFormat="false" ht="77.6" hidden="false" customHeight="false" outlineLevel="1" collapsed="false">
      <c r="A488" s="27"/>
      <c r="B488" s="27" t="s">
        <v>1370</v>
      </c>
      <c r="C488" s="7" t="s">
        <v>1390</v>
      </c>
      <c r="D488" s="27" t="s">
        <v>727</v>
      </c>
      <c r="E488" s="50" t="n">
        <v>20</v>
      </c>
      <c r="F488" s="50" t="n">
        <v>20</v>
      </c>
      <c r="G488" s="27" t="s">
        <v>767</v>
      </c>
      <c r="H488" s="50" t="n">
        <f aca="false">F488</f>
        <v>20</v>
      </c>
      <c r="I488" s="51" t="n">
        <v>66.92</v>
      </c>
      <c r="J488" s="28" t="n">
        <f aca="false">H488*I488</f>
        <v>1338.4</v>
      </c>
      <c r="K488" s="52" t="s">
        <v>548</v>
      </c>
      <c r="L488" s="7" t="s">
        <v>912</v>
      </c>
      <c r="M488" s="7" t="s">
        <v>1391</v>
      </c>
    </row>
    <row r="489" customFormat="false" ht="39.55" hidden="false" customHeight="false" outlineLevel="1" collapsed="false">
      <c r="A489" s="27"/>
      <c r="B489" s="27" t="s">
        <v>1370</v>
      </c>
      <c r="C489" s="7" t="s">
        <v>1392</v>
      </c>
      <c r="D489" s="27" t="s">
        <v>727</v>
      </c>
      <c r="E489" s="50" t="n">
        <v>20</v>
      </c>
      <c r="F489" s="50" t="n">
        <v>20</v>
      </c>
      <c r="G489" s="27" t="s">
        <v>767</v>
      </c>
      <c r="H489" s="50" t="n">
        <f aca="false">F489</f>
        <v>20</v>
      </c>
      <c r="I489" s="51" t="n">
        <v>8</v>
      </c>
      <c r="J489" s="28" t="n">
        <f aca="false">H489*I489</f>
        <v>160</v>
      </c>
      <c r="K489" s="53" t="s">
        <v>551</v>
      </c>
      <c r="L489" s="7" t="s">
        <v>1173</v>
      </c>
      <c r="M489" s="7" t="s">
        <v>1393</v>
      </c>
    </row>
    <row r="490" customFormat="false" ht="15" hidden="false" customHeight="false" outlineLevel="0" collapsed="false">
      <c r="A490" s="48" t="s">
        <v>190</v>
      </c>
      <c r="B490" s="48" t="s">
        <v>1394</v>
      </c>
      <c r="C490" s="48" t="s">
        <v>191</v>
      </c>
      <c r="D490" s="48"/>
      <c r="E490" s="48"/>
      <c r="F490" s="48"/>
      <c r="G490" s="48"/>
      <c r="H490" s="48" t="s">
        <v>765</v>
      </c>
      <c r="I490" s="49" t="n">
        <f aca="false">SUMPRODUCT(E491:E504,I491:I504)</f>
        <v>89024.88</v>
      </c>
      <c r="J490" s="49" t="n">
        <f aca="false">SUM(J491:J504)</f>
        <v>84407.1681118881</v>
      </c>
      <c r="K490" s="48"/>
      <c r="L490" s="48"/>
      <c r="M490" s="48"/>
    </row>
    <row r="491" customFormat="false" ht="52.2" hidden="false" customHeight="false" outlineLevel="1" collapsed="false">
      <c r="A491" s="27"/>
      <c r="B491" s="27" t="s">
        <v>1394</v>
      </c>
      <c r="C491" s="7" t="s">
        <v>1395</v>
      </c>
      <c r="D491" s="27" t="s">
        <v>727</v>
      </c>
      <c r="E491" s="50" t="n">
        <v>148</v>
      </c>
      <c r="F491" s="50" t="n">
        <v>148</v>
      </c>
      <c r="G491" s="27" t="s">
        <v>829</v>
      </c>
      <c r="H491" s="50" t="n">
        <f aca="false">F491/IF(Varsayimlar!$B$21=1,1.3,1)</f>
        <v>113.846153846154</v>
      </c>
      <c r="I491" s="51" t="n">
        <v>63.9</v>
      </c>
      <c r="J491" s="28" t="n">
        <f aca="false">H491*I491</f>
        <v>7274.76923076923</v>
      </c>
      <c r="K491" s="52" t="s">
        <v>548</v>
      </c>
      <c r="L491" s="7" t="s">
        <v>1234</v>
      </c>
      <c r="M491" s="7" t="s">
        <v>1396</v>
      </c>
    </row>
    <row r="492" customFormat="false" ht="39.55" hidden="false" customHeight="false" outlineLevel="1" collapsed="false">
      <c r="A492" s="27"/>
      <c r="B492" s="27" t="s">
        <v>1394</v>
      </c>
      <c r="C492" s="7" t="s">
        <v>1397</v>
      </c>
      <c r="D492" s="27" t="s">
        <v>727</v>
      </c>
      <c r="E492" s="50" t="n">
        <v>24</v>
      </c>
      <c r="F492" s="50" t="n">
        <v>24</v>
      </c>
      <c r="G492" s="27" t="s">
        <v>767</v>
      </c>
      <c r="H492" s="50" t="n">
        <f aca="false">F492</f>
        <v>24</v>
      </c>
      <c r="I492" s="51" t="n">
        <v>207.4</v>
      </c>
      <c r="J492" s="28" t="n">
        <f aca="false">H492*I492</f>
        <v>4977.6</v>
      </c>
      <c r="K492" s="52" t="s">
        <v>548</v>
      </c>
      <c r="L492" s="7" t="s">
        <v>1305</v>
      </c>
      <c r="M492" s="7" t="s">
        <v>1398</v>
      </c>
    </row>
    <row r="493" customFormat="false" ht="39.55" hidden="false" customHeight="false" outlineLevel="1" collapsed="false">
      <c r="A493" s="27"/>
      <c r="B493" s="27" t="s">
        <v>1394</v>
      </c>
      <c r="C493" s="7" t="s">
        <v>1399</v>
      </c>
      <c r="D493" s="27" t="s">
        <v>727</v>
      </c>
      <c r="E493" s="50" t="n">
        <v>8</v>
      </c>
      <c r="F493" s="50" t="n">
        <v>8</v>
      </c>
      <c r="G493" s="27" t="s">
        <v>767</v>
      </c>
      <c r="H493" s="50" t="n">
        <f aca="false">F493</f>
        <v>8</v>
      </c>
      <c r="I493" s="51" t="n">
        <v>68.81</v>
      </c>
      <c r="J493" s="28" t="n">
        <f aca="false">H493*I493</f>
        <v>550.48</v>
      </c>
      <c r="K493" s="52" t="s">
        <v>548</v>
      </c>
      <c r="L493" s="7" t="s">
        <v>1243</v>
      </c>
      <c r="M493" s="7" t="s">
        <v>1400</v>
      </c>
    </row>
    <row r="494" customFormat="false" ht="52.2" hidden="false" customHeight="false" outlineLevel="1" collapsed="false">
      <c r="A494" s="27"/>
      <c r="B494" s="27" t="s">
        <v>1394</v>
      </c>
      <c r="C494" s="7" t="s">
        <v>1401</v>
      </c>
      <c r="D494" s="27" t="s">
        <v>727</v>
      </c>
      <c r="E494" s="50" t="n">
        <v>24</v>
      </c>
      <c r="F494" s="50" t="n">
        <v>24</v>
      </c>
      <c r="G494" s="27" t="s">
        <v>829</v>
      </c>
      <c r="H494" s="50" t="n">
        <f aca="false">F494/IF(Varsayimlar!$B$21=1,1.3,1)</f>
        <v>18.4615384615385</v>
      </c>
      <c r="I494" s="51" t="n">
        <v>88.54</v>
      </c>
      <c r="J494" s="28" t="n">
        <f aca="false">H494*I494</f>
        <v>1634.58461538462</v>
      </c>
      <c r="K494" s="52" t="s">
        <v>548</v>
      </c>
      <c r="L494" s="7" t="s">
        <v>1246</v>
      </c>
      <c r="M494" s="7" t="s">
        <v>1402</v>
      </c>
    </row>
    <row r="495" customFormat="false" ht="39.55" hidden="false" customHeight="false" outlineLevel="1" collapsed="false">
      <c r="A495" s="27"/>
      <c r="B495" s="27" t="s">
        <v>1394</v>
      </c>
      <c r="C495" s="7" t="s">
        <v>1403</v>
      </c>
      <c r="D495" s="27" t="s">
        <v>727</v>
      </c>
      <c r="E495" s="50" t="n">
        <v>32</v>
      </c>
      <c r="F495" s="50" t="n">
        <v>32</v>
      </c>
      <c r="G495" s="27" t="s">
        <v>767</v>
      </c>
      <c r="H495" s="50" t="n">
        <f aca="false">F495</f>
        <v>32</v>
      </c>
      <c r="I495" s="51" t="n">
        <v>16</v>
      </c>
      <c r="J495" s="28" t="n">
        <f aca="false">H495*I495</f>
        <v>512</v>
      </c>
      <c r="K495" s="53" t="s">
        <v>551</v>
      </c>
      <c r="L495" s="7" t="s">
        <v>1173</v>
      </c>
      <c r="M495" s="7" t="s">
        <v>1404</v>
      </c>
    </row>
    <row r="496" customFormat="false" ht="39.55" hidden="false" customHeight="false" outlineLevel="1" collapsed="false">
      <c r="A496" s="27"/>
      <c r="B496" s="27" t="s">
        <v>1394</v>
      </c>
      <c r="C496" s="7" t="s">
        <v>1405</v>
      </c>
      <c r="D496" s="27" t="s">
        <v>727</v>
      </c>
      <c r="E496" s="50" t="n">
        <v>40</v>
      </c>
      <c r="F496" s="50" t="n">
        <v>40</v>
      </c>
      <c r="G496" s="27" t="s">
        <v>829</v>
      </c>
      <c r="H496" s="50" t="n">
        <f aca="false">F496/IF(Varsayimlar!$B$21=1,1.3,1)</f>
        <v>30.7692307692308</v>
      </c>
      <c r="I496" s="51" t="n">
        <v>15</v>
      </c>
      <c r="J496" s="28" t="n">
        <f aca="false">H496*I496</f>
        <v>461.538461538462</v>
      </c>
      <c r="K496" s="53" t="s">
        <v>551</v>
      </c>
      <c r="L496" s="7" t="s">
        <v>1173</v>
      </c>
      <c r="M496" s="7" t="s">
        <v>1406</v>
      </c>
    </row>
    <row r="497" customFormat="false" ht="39.55" hidden="false" customHeight="false" outlineLevel="1" collapsed="false">
      <c r="A497" s="27"/>
      <c r="B497" s="27" t="s">
        <v>1394</v>
      </c>
      <c r="C497" s="7" t="s">
        <v>1407</v>
      </c>
      <c r="D497" s="27" t="s">
        <v>727</v>
      </c>
      <c r="E497" s="50" t="n">
        <v>12</v>
      </c>
      <c r="F497" s="50" t="n">
        <v>12</v>
      </c>
      <c r="G497" s="27" t="s">
        <v>829</v>
      </c>
      <c r="H497" s="50" t="n">
        <f aca="false">F497/IF(Varsayimlar!$B$21=1,1.3,1)</f>
        <v>9.23076923076923</v>
      </c>
      <c r="I497" s="51" t="n">
        <v>90</v>
      </c>
      <c r="J497" s="28" t="n">
        <f aca="false">H497*I497</f>
        <v>830.769230769231</v>
      </c>
      <c r="K497" s="53" t="s">
        <v>551</v>
      </c>
      <c r="L497" s="7" t="s">
        <v>1173</v>
      </c>
      <c r="M497" s="7" t="s">
        <v>1408</v>
      </c>
    </row>
    <row r="498" customFormat="false" ht="39.55" hidden="false" customHeight="false" outlineLevel="1" collapsed="false">
      <c r="A498" s="27"/>
      <c r="B498" s="27" t="s">
        <v>1394</v>
      </c>
      <c r="C498" s="7" t="s">
        <v>1409</v>
      </c>
      <c r="D498" s="27" t="s">
        <v>727</v>
      </c>
      <c r="E498" s="50" t="n">
        <v>8</v>
      </c>
      <c r="F498" s="50" t="n">
        <v>8</v>
      </c>
      <c r="G498" s="27" t="s">
        <v>767</v>
      </c>
      <c r="H498" s="50" t="n">
        <f aca="false">F498</f>
        <v>8</v>
      </c>
      <c r="I498" s="51" t="n">
        <v>18</v>
      </c>
      <c r="J498" s="28" t="n">
        <f aca="false">H498*I498</f>
        <v>144</v>
      </c>
      <c r="K498" s="53" t="s">
        <v>551</v>
      </c>
      <c r="L498" s="7" t="s">
        <v>1173</v>
      </c>
      <c r="M498" s="7" t="s">
        <v>1410</v>
      </c>
    </row>
    <row r="499" customFormat="false" ht="26.85" hidden="false" customHeight="false" outlineLevel="1" collapsed="false">
      <c r="A499" s="27"/>
      <c r="B499" s="27" t="s">
        <v>1394</v>
      </c>
      <c r="C499" s="7" t="s">
        <v>1411</v>
      </c>
      <c r="D499" s="27" t="s">
        <v>727</v>
      </c>
      <c r="E499" s="50" t="n">
        <v>4</v>
      </c>
      <c r="F499" s="50" t="n">
        <v>4</v>
      </c>
      <c r="G499" s="27" t="s">
        <v>767</v>
      </c>
      <c r="H499" s="50" t="n">
        <f aca="false">F499</f>
        <v>4</v>
      </c>
      <c r="I499" s="51" t="n">
        <v>1300</v>
      </c>
      <c r="J499" s="28" t="n">
        <f aca="false">H499*I499</f>
        <v>5200</v>
      </c>
      <c r="K499" s="53" t="s">
        <v>551</v>
      </c>
      <c r="L499" s="7" t="s">
        <v>1412</v>
      </c>
      <c r="M499" s="7" t="s">
        <v>1413</v>
      </c>
    </row>
    <row r="500" customFormat="false" ht="90.25" hidden="false" customHeight="false" outlineLevel="1" collapsed="false">
      <c r="A500" s="27"/>
      <c r="B500" s="27" t="s">
        <v>1394</v>
      </c>
      <c r="C500" s="7" t="s">
        <v>1414</v>
      </c>
      <c r="D500" s="27" t="s">
        <v>727</v>
      </c>
      <c r="E500" s="50" t="n">
        <v>4</v>
      </c>
      <c r="F500" s="50" t="n">
        <v>4</v>
      </c>
      <c r="G500" s="27" t="s">
        <v>767</v>
      </c>
      <c r="H500" s="50" t="n">
        <f aca="false">F500</f>
        <v>4</v>
      </c>
      <c r="I500" s="51" t="n">
        <v>5000</v>
      </c>
      <c r="J500" s="28" t="n">
        <f aca="false">H500*I500</f>
        <v>20000</v>
      </c>
      <c r="K500" s="52" t="s">
        <v>548</v>
      </c>
      <c r="L500" s="7" t="s">
        <v>1189</v>
      </c>
      <c r="M500" s="7" t="s">
        <v>1415</v>
      </c>
    </row>
    <row r="501" customFormat="false" ht="39.55" hidden="false" customHeight="false" outlineLevel="1" collapsed="false">
      <c r="A501" s="27"/>
      <c r="B501" s="27" t="s">
        <v>1394</v>
      </c>
      <c r="C501" s="7" t="s">
        <v>1416</v>
      </c>
      <c r="D501" s="27" t="s">
        <v>816</v>
      </c>
      <c r="E501" s="50" t="n">
        <v>4</v>
      </c>
      <c r="F501" s="50" t="n">
        <v>4</v>
      </c>
      <c r="G501" s="27" t="s">
        <v>767</v>
      </c>
      <c r="H501" s="50" t="n">
        <f aca="false">F501</f>
        <v>4</v>
      </c>
      <c r="I501" s="51" t="n">
        <v>7300</v>
      </c>
      <c r="J501" s="28" t="n">
        <f aca="false">H501*I501</f>
        <v>29200</v>
      </c>
      <c r="K501" s="53" t="s">
        <v>551</v>
      </c>
      <c r="L501" s="7" t="s">
        <v>1321</v>
      </c>
      <c r="M501" s="7" t="s">
        <v>1417</v>
      </c>
    </row>
    <row r="502" customFormat="false" ht="166.4" hidden="false" customHeight="false" outlineLevel="1" collapsed="false">
      <c r="A502" s="27"/>
      <c r="B502" s="27" t="s">
        <v>1394</v>
      </c>
      <c r="C502" s="7" t="s">
        <v>1418</v>
      </c>
      <c r="D502" s="27" t="s">
        <v>853</v>
      </c>
      <c r="E502" s="50" t="n">
        <v>2248</v>
      </c>
      <c r="F502" s="50" t="n">
        <v>2248</v>
      </c>
      <c r="G502" s="27" t="s">
        <v>865</v>
      </c>
      <c r="H502" s="50" t="n">
        <f aca="false">F502/IF(Varsayimlar!$B$21=1,1.43,1)</f>
        <v>1572.02797202797</v>
      </c>
      <c r="I502" s="51" t="n">
        <v>1.96</v>
      </c>
      <c r="J502" s="28" t="n">
        <f aca="false">H502*I502</f>
        <v>3081.17482517483</v>
      </c>
      <c r="K502" s="52" t="s">
        <v>548</v>
      </c>
      <c r="L502" s="7" t="s">
        <v>1195</v>
      </c>
      <c r="M502" s="7" t="s">
        <v>1419</v>
      </c>
    </row>
    <row r="503" customFormat="false" ht="102.95" hidden="false" customHeight="false" outlineLevel="1" collapsed="false">
      <c r="A503" s="27"/>
      <c r="B503" s="27" t="s">
        <v>1394</v>
      </c>
      <c r="C503" s="7" t="s">
        <v>1420</v>
      </c>
      <c r="D503" s="27" t="s">
        <v>853</v>
      </c>
      <c r="E503" s="50" t="n">
        <v>232</v>
      </c>
      <c r="F503" s="50" t="n">
        <v>232</v>
      </c>
      <c r="G503" s="27" t="s">
        <v>865</v>
      </c>
      <c r="H503" s="50" t="n">
        <f aca="false">F503/IF(Varsayimlar!$B$21=1,1.43,1)</f>
        <v>162.237762237762</v>
      </c>
      <c r="I503" s="51" t="n">
        <v>3.33</v>
      </c>
      <c r="J503" s="28" t="n">
        <f aca="false">H503*I503</f>
        <v>540.251748251748</v>
      </c>
      <c r="K503" s="52" t="s">
        <v>548</v>
      </c>
      <c r="L503" s="7" t="s">
        <v>1054</v>
      </c>
      <c r="M503" s="7" t="s">
        <v>1421</v>
      </c>
    </row>
    <row r="504" customFormat="false" ht="39.55" hidden="false" customHeight="false" outlineLevel="1" collapsed="false">
      <c r="A504" s="27"/>
      <c r="B504" s="27" t="s">
        <v>1394</v>
      </c>
      <c r="C504" s="7" t="s">
        <v>1422</v>
      </c>
      <c r="D504" s="27" t="s">
        <v>732</v>
      </c>
      <c r="E504" s="50" t="n">
        <v>4</v>
      </c>
      <c r="F504" s="50" t="n">
        <v>4</v>
      </c>
      <c r="G504" s="27" t="s">
        <v>767</v>
      </c>
      <c r="H504" s="50" t="n">
        <f aca="false">F504</f>
        <v>4</v>
      </c>
      <c r="I504" s="51" t="n">
        <v>2500</v>
      </c>
      <c r="J504" s="28" t="n">
        <f aca="false">H504*I504</f>
        <v>10000</v>
      </c>
      <c r="K504" s="53" t="s">
        <v>551</v>
      </c>
      <c r="L504" s="7" t="s">
        <v>1423</v>
      </c>
      <c r="M504" s="7" t="s">
        <v>1424</v>
      </c>
    </row>
    <row r="505" customFormat="false" ht="15" hidden="false" customHeight="false" outlineLevel="0" collapsed="false">
      <c r="A505" s="48" t="s">
        <v>192</v>
      </c>
      <c r="B505" s="48" t="s">
        <v>1425</v>
      </c>
      <c r="C505" s="48" t="s">
        <v>193</v>
      </c>
      <c r="D505" s="48"/>
      <c r="E505" s="48"/>
      <c r="F505" s="48"/>
      <c r="G505" s="48"/>
      <c r="H505" s="48" t="s">
        <v>765</v>
      </c>
      <c r="I505" s="49" t="n">
        <f aca="false">SUMPRODUCT(E506:E517,I506:I517)</f>
        <v>1222313.6</v>
      </c>
      <c r="J505" s="49" t="n">
        <f aca="false">SUM(J506:J517)</f>
        <v>1135496.66433566</v>
      </c>
      <c r="K505" s="48"/>
      <c r="L505" s="48"/>
      <c r="M505" s="48"/>
    </row>
    <row r="506" customFormat="false" ht="15" hidden="false" customHeight="false" outlineLevel="1" collapsed="false">
      <c r="A506" s="27"/>
      <c r="B506" s="27" t="s">
        <v>1425</v>
      </c>
      <c r="C506" s="7" t="s">
        <v>1426</v>
      </c>
      <c r="D506" s="27" t="s">
        <v>853</v>
      </c>
      <c r="E506" s="50" t="n">
        <v>6560</v>
      </c>
      <c r="F506" s="54" t="n">
        <v>6440</v>
      </c>
      <c r="G506" s="27" t="s">
        <v>889</v>
      </c>
      <c r="H506" s="50" t="n">
        <f aca="false">F506/IF(Varsayimlar!$B$21=1,1.1,1)</f>
        <v>5854.54545454545</v>
      </c>
      <c r="I506" s="51" t="n">
        <v>0</v>
      </c>
      <c r="J506" s="28" t="n">
        <f aca="false">H506*I506</f>
        <v>0</v>
      </c>
      <c r="K506" s="53" t="s">
        <v>551</v>
      </c>
      <c r="L506" s="7" t="s">
        <v>1427</v>
      </c>
      <c r="M506" s="7" t="s">
        <v>1428</v>
      </c>
    </row>
    <row r="507" customFormat="false" ht="52.2" hidden="false" customHeight="false" outlineLevel="1" collapsed="false">
      <c r="A507" s="27"/>
      <c r="B507" s="27" t="s">
        <v>1425</v>
      </c>
      <c r="C507" s="7" t="s">
        <v>1429</v>
      </c>
      <c r="D507" s="27" t="s">
        <v>727</v>
      </c>
      <c r="E507" s="50" t="n">
        <v>736</v>
      </c>
      <c r="F507" s="50" t="n">
        <v>736</v>
      </c>
      <c r="G507" s="27" t="s">
        <v>767</v>
      </c>
      <c r="H507" s="50" t="n">
        <f aca="false">F507</f>
        <v>736</v>
      </c>
      <c r="I507" s="51" t="n">
        <v>348</v>
      </c>
      <c r="J507" s="28" t="n">
        <f aca="false">H507*I507</f>
        <v>256128</v>
      </c>
      <c r="K507" s="52" t="s">
        <v>548</v>
      </c>
      <c r="L507" s="7" t="s">
        <v>1430</v>
      </c>
      <c r="M507" s="7" t="s">
        <v>1431</v>
      </c>
    </row>
    <row r="508" customFormat="false" ht="64.9" hidden="false" customHeight="false" outlineLevel="1" collapsed="false">
      <c r="A508" s="27"/>
      <c r="B508" s="27" t="s">
        <v>1425</v>
      </c>
      <c r="C508" s="7" t="s">
        <v>1432</v>
      </c>
      <c r="D508" s="27" t="s">
        <v>727</v>
      </c>
      <c r="E508" s="50" t="n">
        <v>566</v>
      </c>
      <c r="F508" s="50" t="n">
        <v>566</v>
      </c>
      <c r="G508" s="27" t="s">
        <v>767</v>
      </c>
      <c r="H508" s="50" t="n">
        <f aca="false">F508</f>
        <v>566</v>
      </c>
      <c r="I508" s="51" t="n">
        <v>1120</v>
      </c>
      <c r="J508" s="28" t="n">
        <f aca="false">H508*I508</f>
        <v>633920</v>
      </c>
      <c r="K508" s="52" t="s">
        <v>548</v>
      </c>
      <c r="L508" s="7" t="s">
        <v>1433</v>
      </c>
      <c r="M508" s="7" t="s">
        <v>1434</v>
      </c>
    </row>
    <row r="509" customFormat="false" ht="26.85" hidden="false" customHeight="false" outlineLevel="1" collapsed="false">
      <c r="A509" s="27"/>
      <c r="B509" s="27" t="s">
        <v>1425</v>
      </c>
      <c r="C509" s="7" t="s">
        <v>1435</v>
      </c>
      <c r="D509" s="27" t="s">
        <v>727</v>
      </c>
      <c r="E509" s="50" t="n">
        <v>736</v>
      </c>
      <c r="F509" s="50" t="n">
        <v>736</v>
      </c>
      <c r="G509" s="27" t="s">
        <v>829</v>
      </c>
      <c r="H509" s="50" t="n">
        <f aca="false">F509/IF(Varsayimlar!$B$21=1,1.3,1)</f>
        <v>566.153846153846</v>
      </c>
      <c r="I509" s="51" t="n">
        <v>35</v>
      </c>
      <c r="J509" s="28" t="n">
        <f aca="false">H509*I509</f>
        <v>19815.3846153846</v>
      </c>
      <c r="K509" s="53" t="s">
        <v>551</v>
      </c>
      <c r="L509" s="7" t="s">
        <v>1436</v>
      </c>
      <c r="M509" s="7" t="s">
        <v>1437</v>
      </c>
    </row>
    <row r="510" customFormat="false" ht="64.9" hidden="false" customHeight="false" outlineLevel="1" collapsed="false">
      <c r="A510" s="27"/>
      <c r="B510" s="27" t="s">
        <v>1425</v>
      </c>
      <c r="C510" s="7" t="s">
        <v>1438</v>
      </c>
      <c r="D510" s="27" t="s">
        <v>853</v>
      </c>
      <c r="E510" s="50" t="n">
        <v>10522</v>
      </c>
      <c r="F510" s="50" t="n">
        <v>10522</v>
      </c>
      <c r="G510" s="27" t="s">
        <v>865</v>
      </c>
      <c r="H510" s="50" t="n">
        <f aca="false">F510/IF(Varsayimlar!$B$21=1,1.43,1)</f>
        <v>7358.04195804196</v>
      </c>
      <c r="I510" s="51" t="n">
        <v>1.8</v>
      </c>
      <c r="J510" s="28" t="n">
        <f aca="false">H510*I510</f>
        <v>13244.4755244755</v>
      </c>
      <c r="K510" s="52" t="s">
        <v>548</v>
      </c>
      <c r="L510" s="7" t="s">
        <v>1382</v>
      </c>
      <c r="M510" s="7" t="s">
        <v>1439</v>
      </c>
    </row>
    <row r="511" customFormat="false" ht="39.55" hidden="false" customHeight="false" outlineLevel="1" collapsed="false">
      <c r="A511" s="27"/>
      <c r="B511" s="27" t="s">
        <v>1425</v>
      </c>
      <c r="C511" s="7" t="s">
        <v>1440</v>
      </c>
      <c r="D511" s="27" t="s">
        <v>727</v>
      </c>
      <c r="E511" s="50" t="n">
        <v>566</v>
      </c>
      <c r="F511" s="50" t="n">
        <v>566</v>
      </c>
      <c r="G511" s="27" t="s">
        <v>767</v>
      </c>
      <c r="H511" s="50" t="n">
        <f aca="false">F511</f>
        <v>566</v>
      </c>
      <c r="I511" s="51" t="n">
        <v>8</v>
      </c>
      <c r="J511" s="28" t="n">
        <f aca="false">H511*I511</f>
        <v>4528</v>
      </c>
      <c r="K511" s="53" t="s">
        <v>551</v>
      </c>
      <c r="L511" s="7" t="s">
        <v>1173</v>
      </c>
      <c r="M511" s="7" t="s">
        <v>1393</v>
      </c>
    </row>
    <row r="512" customFormat="false" ht="52.2" hidden="false" customHeight="false" outlineLevel="1" collapsed="false">
      <c r="A512" s="27"/>
      <c r="B512" s="27" t="s">
        <v>1425</v>
      </c>
      <c r="C512" s="7" t="s">
        <v>1441</v>
      </c>
      <c r="D512" s="27" t="s">
        <v>727</v>
      </c>
      <c r="E512" s="50" t="n">
        <v>11</v>
      </c>
      <c r="F512" s="50" t="n">
        <v>11</v>
      </c>
      <c r="G512" s="27" t="s">
        <v>767</v>
      </c>
      <c r="H512" s="50" t="n">
        <f aca="false">F512</f>
        <v>11</v>
      </c>
      <c r="I512" s="51" t="n">
        <v>2630</v>
      </c>
      <c r="J512" s="28" t="n">
        <f aca="false">H512*I512</f>
        <v>28930</v>
      </c>
      <c r="K512" s="52" t="s">
        <v>548</v>
      </c>
      <c r="L512" s="7" t="s">
        <v>1442</v>
      </c>
      <c r="M512" s="7" t="s">
        <v>1443</v>
      </c>
    </row>
    <row r="513" customFormat="false" ht="39.55" hidden="false" customHeight="false" outlineLevel="1" collapsed="false">
      <c r="A513" s="27"/>
      <c r="B513" s="27" t="s">
        <v>1425</v>
      </c>
      <c r="C513" s="7" t="s">
        <v>1444</v>
      </c>
      <c r="D513" s="27" t="s">
        <v>853</v>
      </c>
      <c r="E513" s="50" t="n">
        <v>4342</v>
      </c>
      <c r="F513" s="54" t="n">
        <v>4262.6</v>
      </c>
      <c r="G513" s="27" t="s">
        <v>865</v>
      </c>
      <c r="H513" s="50" t="n">
        <f aca="false">F513/IF(Varsayimlar!$B$21=1,1.43,1)</f>
        <v>2980.83916083916</v>
      </c>
      <c r="I513" s="51" t="n">
        <v>5.5</v>
      </c>
      <c r="J513" s="28" t="n">
        <f aca="false">H513*I513</f>
        <v>16394.6153846154</v>
      </c>
      <c r="K513" s="53" t="s">
        <v>551</v>
      </c>
      <c r="L513" s="7" t="s">
        <v>1445</v>
      </c>
      <c r="M513" s="7" t="s">
        <v>1446</v>
      </c>
    </row>
    <row r="514" customFormat="false" ht="39.55" hidden="false" customHeight="false" outlineLevel="1" collapsed="false">
      <c r="A514" s="27"/>
      <c r="B514" s="27" t="s">
        <v>1425</v>
      </c>
      <c r="C514" s="7" t="s">
        <v>1447</v>
      </c>
      <c r="D514" s="27" t="s">
        <v>853</v>
      </c>
      <c r="E514" s="50" t="n">
        <v>9923</v>
      </c>
      <c r="F514" s="54" t="n">
        <v>9741.5</v>
      </c>
      <c r="G514" s="27" t="s">
        <v>865</v>
      </c>
      <c r="H514" s="50" t="n">
        <f aca="false">F514/IF(Varsayimlar!$B$21=1,1.43,1)</f>
        <v>6812.23776223776</v>
      </c>
      <c r="I514" s="51" t="n">
        <v>6.5</v>
      </c>
      <c r="J514" s="28" t="n">
        <f aca="false">H514*I514</f>
        <v>44279.5454545455</v>
      </c>
      <c r="K514" s="53" t="s">
        <v>551</v>
      </c>
      <c r="L514" s="7" t="s">
        <v>1445</v>
      </c>
      <c r="M514" s="7" t="s">
        <v>1448</v>
      </c>
    </row>
    <row r="515" customFormat="false" ht="39.55" hidden="false" customHeight="false" outlineLevel="1" collapsed="false">
      <c r="A515" s="27"/>
      <c r="B515" s="27" t="s">
        <v>1425</v>
      </c>
      <c r="C515" s="7" t="s">
        <v>1449</v>
      </c>
      <c r="D515" s="27" t="s">
        <v>853</v>
      </c>
      <c r="E515" s="50" t="n">
        <v>6409</v>
      </c>
      <c r="F515" s="54" t="n">
        <v>6291.8</v>
      </c>
      <c r="G515" s="27" t="s">
        <v>865</v>
      </c>
      <c r="H515" s="50" t="n">
        <f aca="false">F515/IF(Varsayimlar!$B$21=1,1.43,1)</f>
        <v>4399.86013986014</v>
      </c>
      <c r="I515" s="51" t="n">
        <v>7.5</v>
      </c>
      <c r="J515" s="28" t="n">
        <f aca="false">H515*I515</f>
        <v>32998.9510489511</v>
      </c>
      <c r="K515" s="53" t="s">
        <v>551</v>
      </c>
      <c r="L515" s="7" t="s">
        <v>1445</v>
      </c>
      <c r="M515" s="7" t="s">
        <v>1450</v>
      </c>
    </row>
    <row r="516" customFormat="false" ht="52.2" hidden="false" customHeight="false" outlineLevel="1" collapsed="false">
      <c r="A516" s="27"/>
      <c r="B516" s="27" t="s">
        <v>1425</v>
      </c>
      <c r="C516" s="7" t="s">
        <v>1451</v>
      </c>
      <c r="D516" s="27" t="s">
        <v>853</v>
      </c>
      <c r="E516" s="50" t="n">
        <v>20672</v>
      </c>
      <c r="F516" s="54" t="n">
        <v>20293.9</v>
      </c>
      <c r="G516" s="27" t="s">
        <v>865</v>
      </c>
      <c r="H516" s="50" t="n">
        <f aca="false">F516/IF(Varsayimlar!$B$21=1,1.43,1)</f>
        <v>14191.5384615385</v>
      </c>
      <c r="I516" s="51" t="n">
        <v>5</v>
      </c>
      <c r="J516" s="28" t="n">
        <f aca="false">H516*I516</f>
        <v>70957.6923076923</v>
      </c>
      <c r="K516" s="52" t="s">
        <v>548</v>
      </c>
      <c r="L516" s="7" t="s">
        <v>1452</v>
      </c>
      <c r="M516" s="7" t="s">
        <v>1453</v>
      </c>
    </row>
    <row r="517" customFormat="false" ht="26.85" hidden="false" customHeight="false" outlineLevel="1" collapsed="false">
      <c r="A517" s="27"/>
      <c r="B517" s="27" t="s">
        <v>1425</v>
      </c>
      <c r="C517" s="7" t="s">
        <v>1454</v>
      </c>
      <c r="D517" s="27" t="s">
        <v>727</v>
      </c>
      <c r="E517" s="50" t="n">
        <v>260</v>
      </c>
      <c r="F517" s="50" t="n">
        <v>260</v>
      </c>
      <c r="G517" s="27" t="s">
        <v>767</v>
      </c>
      <c r="H517" s="50" t="n">
        <f aca="false">F517</f>
        <v>260</v>
      </c>
      <c r="I517" s="51" t="n">
        <v>55</v>
      </c>
      <c r="J517" s="28" t="n">
        <f aca="false">H517*I517</f>
        <v>14300</v>
      </c>
      <c r="K517" s="53" t="s">
        <v>551</v>
      </c>
      <c r="L517" s="7" t="s">
        <v>1455</v>
      </c>
      <c r="M517" s="7" t="s">
        <v>1456</v>
      </c>
    </row>
    <row r="518" customFormat="false" ht="15" hidden="false" customHeight="false" outlineLevel="0" collapsed="false">
      <c r="A518" s="48" t="s">
        <v>194</v>
      </c>
      <c r="B518" s="48" t="s">
        <v>1457</v>
      </c>
      <c r="C518" s="48" t="s">
        <v>195</v>
      </c>
      <c r="D518" s="48"/>
      <c r="E518" s="48"/>
      <c r="F518" s="48"/>
      <c r="G518" s="48"/>
      <c r="H518" s="48" t="s">
        <v>765</v>
      </c>
      <c r="I518" s="49" t="n">
        <f aca="false">SUMPRODUCT(E519:E523,I519:I523)</f>
        <v>29000</v>
      </c>
      <c r="J518" s="49" t="n">
        <f aca="false">SUM(J519:J523)</f>
        <v>29000</v>
      </c>
      <c r="K518" s="48"/>
      <c r="L518" s="48"/>
      <c r="M518" s="48"/>
    </row>
    <row r="519" customFormat="false" ht="26.85" hidden="false" customHeight="false" outlineLevel="1" collapsed="false">
      <c r="A519" s="27"/>
      <c r="B519" s="27" t="s">
        <v>1457</v>
      </c>
      <c r="C519" s="7" t="s">
        <v>1458</v>
      </c>
      <c r="D519" s="27" t="s">
        <v>732</v>
      </c>
      <c r="E519" s="50" t="n">
        <v>1</v>
      </c>
      <c r="F519" s="50" t="n">
        <v>1</v>
      </c>
      <c r="G519" s="27" t="s">
        <v>767</v>
      </c>
      <c r="H519" s="50" t="n">
        <f aca="false">F519</f>
        <v>1</v>
      </c>
      <c r="I519" s="51" t="n">
        <v>9000</v>
      </c>
      <c r="J519" s="28" t="n">
        <f aca="false">H519*I519</f>
        <v>9000</v>
      </c>
      <c r="K519" s="53" t="s">
        <v>551</v>
      </c>
      <c r="L519" s="7" t="s">
        <v>1459</v>
      </c>
      <c r="M519" s="7" t="s">
        <v>1460</v>
      </c>
    </row>
    <row r="520" customFormat="false" ht="26.85" hidden="false" customHeight="false" outlineLevel="1" collapsed="false">
      <c r="A520" s="27"/>
      <c r="B520" s="27" t="s">
        <v>1457</v>
      </c>
      <c r="C520" s="7" t="s">
        <v>1461</v>
      </c>
      <c r="D520" s="27" t="s">
        <v>732</v>
      </c>
      <c r="E520" s="50" t="n">
        <v>1</v>
      </c>
      <c r="F520" s="50" t="n">
        <v>1</v>
      </c>
      <c r="G520" s="27" t="s">
        <v>767</v>
      </c>
      <c r="H520" s="50" t="n">
        <f aca="false">F520</f>
        <v>1</v>
      </c>
      <c r="I520" s="51" t="n">
        <v>8000</v>
      </c>
      <c r="J520" s="28" t="n">
        <f aca="false">H520*I520</f>
        <v>8000</v>
      </c>
      <c r="K520" s="53" t="s">
        <v>551</v>
      </c>
      <c r="L520" s="7" t="s">
        <v>1459</v>
      </c>
      <c r="M520" s="7" t="s">
        <v>1462</v>
      </c>
    </row>
    <row r="521" customFormat="false" ht="15" hidden="false" customHeight="false" outlineLevel="1" collapsed="false">
      <c r="A521" s="27"/>
      <c r="B521" s="27" t="s">
        <v>1457</v>
      </c>
      <c r="C521" s="7" t="s">
        <v>1463</v>
      </c>
      <c r="D521" s="27" t="s">
        <v>732</v>
      </c>
      <c r="E521" s="50" t="n">
        <v>1</v>
      </c>
      <c r="F521" s="50" t="n">
        <v>1</v>
      </c>
      <c r="G521" s="27" t="s">
        <v>767</v>
      </c>
      <c r="H521" s="50" t="n">
        <f aca="false">F521</f>
        <v>1</v>
      </c>
      <c r="I521" s="51" t="n">
        <v>3000</v>
      </c>
      <c r="J521" s="28" t="n">
        <f aca="false">H521*I521</f>
        <v>3000</v>
      </c>
      <c r="K521" s="53" t="s">
        <v>551</v>
      </c>
      <c r="L521" s="7" t="s">
        <v>1146</v>
      </c>
      <c r="M521" s="7" t="s">
        <v>1464</v>
      </c>
    </row>
    <row r="522" customFormat="false" ht="26.85" hidden="false" customHeight="false" outlineLevel="1" collapsed="false">
      <c r="A522" s="27"/>
      <c r="B522" s="27" t="s">
        <v>1457</v>
      </c>
      <c r="C522" s="7" t="s">
        <v>1465</v>
      </c>
      <c r="D522" s="27" t="s">
        <v>732</v>
      </c>
      <c r="E522" s="50" t="n">
        <v>1</v>
      </c>
      <c r="F522" s="50" t="n">
        <v>1</v>
      </c>
      <c r="G522" s="27" t="s">
        <v>767</v>
      </c>
      <c r="H522" s="50" t="n">
        <f aca="false">F522</f>
        <v>1</v>
      </c>
      <c r="I522" s="51" t="n">
        <v>5000</v>
      </c>
      <c r="J522" s="28" t="n">
        <f aca="false">H522*I522</f>
        <v>5000</v>
      </c>
      <c r="K522" s="53" t="s">
        <v>551</v>
      </c>
      <c r="L522" s="7" t="s">
        <v>1459</v>
      </c>
      <c r="M522" s="7" t="s">
        <v>1466</v>
      </c>
    </row>
    <row r="523" customFormat="false" ht="15" hidden="false" customHeight="false" outlineLevel="1" collapsed="false">
      <c r="A523" s="27"/>
      <c r="B523" s="27" t="s">
        <v>1457</v>
      </c>
      <c r="C523" s="7" t="s">
        <v>1467</v>
      </c>
      <c r="D523" s="27" t="s">
        <v>732</v>
      </c>
      <c r="E523" s="50" t="n">
        <v>1</v>
      </c>
      <c r="F523" s="50" t="n">
        <v>1</v>
      </c>
      <c r="G523" s="27" t="s">
        <v>767</v>
      </c>
      <c r="H523" s="50" t="n">
        <f aca="false">F523</f>
        <v>1</v>
      </c>
      <c r="I523" s="51" t="n">
        <v>4000</v>
      </c>
      <c r="J523" s="28" t="n">
        <f aca="false">H523*I523</f>
        <v>4000</v>
      </c>
      <c r="K523" s="53" t="s">
        <v>551</v>
      </c>
      <c r="L523" s="7" t="s">
        <v>1146</v>
      </c>
      <c r="M523" s="7" t="s">
        <v>1468</v>
      </c>
    </row>
    <row r="524" customFormat="false" ht="15" hidden="false" customHeight="false" outlineLevel="0" collapsed="false">
      <c r="A524" s="48" t="s">
        <v>196</v>
      </c>
      <c r="B524" s="48" t="s">
        <v>1469</v>
      </c>
      <c r="C524" s="48" t="s">
        <v>197</v>
      </c>
      <c r="D524" s="48"/>
      <c r="E524" s="48"/>
      <c r="F524" s="48"/>
      <c r="G524" s="48"/>
      <c r="H524" s="48" t="s">
        <v>765</v>
      </c>
      <c r="I524" s="49" t="n">
        <f aca="false">SUMPRODUCT(E525:E537,I525:I537)</f>
        <v>12418.35</v>
      </c>
      <c r="J524" s="49" t="n">
        <f aca="false">SUM(J525:J537)</f>
        <v>11126.6045454545</v>
      </c>
      <c r="K524" s="48"/>
      <c r="L524" s="48"/>
      <c r="M524" s="48"/>
    </row>
    <row r="525" customFormat="false" ht="90.25" hidden="false" customHeight="false" outlineLevel="1" collapsed="false">
      <c r="A525" s="27"/>
      <c r="B525" s="27" t="s">
        <v>1469</v>
      </c>
      <c r="C525" s="7" t="s">
        <v>1470</v>
      </c>
      <c r="D525" s="27" t="s">
        <v>727</v>
      </c>
      <c r="E525" s="50" t="n">
        <v>1</v>
      </c>
      <c r="F525" s="50" t="n">
        <v>1</v>
      </c>
      <c r="G525" s="27" t="s">
        <v>767</v>
      </c>
      <c r="H525" s="50" t="n">
        <f aca="false">F525</f>
        <v>1</v>
      </c>
      <c r="I525" s="51" t="n">
        <v>2083.07</v>
      </c>
      <c r="J525" s="28" t="n">
        <f aca="false">H525*I525</f>
        <v>2083.07</v>
      </c>
      <c r="K525" s="52" t="s">
        <v>548</v>
      </c>
      <c r="L525" s="7" t="s">
        <v>1471</v>
      </c>
      <c r="M525" s="7" t="s">
        <v>1472</v>
      </c>
    </row>
    <row r="526" customFormat="false" ht="90.25" hidden="false" customHeight="false" outlineLevel="1" collapsed="false">
      <c r="A526" s="27"/>
      <c r="B526" s="27" t="s">
        <v>1469</v>
      </c>
      <c r="C526" s="7" t="s">
        <v>1473</v>
      </c>
      <c r="D526" s="27" t="s">
        <v>727</v>
      </c>
      <c r="E526" s="50" t="n">
        <v>8</v>
      </c>
      <c r="F526" s="50" t="n">
        <v>8</v>
      </c>
      <c r="G526" s="27" t="s">
        <v>829</v>
      </c>
      <c r="H526" s="50" t="n">
        <f aca="false">F526/IF(Varsayimlar!$B$21=1,1.3,1)</f>
        <v>6.15384615384615</v>
      </c>
      <c r="I526" s="51" t="n">
        <v>38.73</v>
      </c>
      <c r="J526" s="28" t="n">
        <f aca="false">H526*I526</f>
        <v>238.338461538462</v>
      </c>
      <c r="K526" s="52" t="s">
        <v>548</v>
      </c>
      <c r="L526" s="7" t="s">
        <v>1474</v>
      </c>
      <c r="M526" s="7" t="s">
        <v>1475</v>
      </c>
    </row>
    <row r="527" customFormat="false" ht="52.2" hidden="false" customHeight="false" outlineLevel="1" collapsed="false">
      <c r="A527" s="27"/>
      <c r="B527" s="27" t="s">
        <v>1469</v>
      </c>
      <c r="C527" s="7" t="s">
        <v>1476</v>
      </c>
      <c r="D527" s="27" t="s">
        <v>727</v>
      </c>
      <c r="E527" s="50" t="n">
        <v>3</v>
      </c>
      <c r="F527" s="50" t="n">
        <v>3</v>
      </c>
      <c r="G527" s="27" t="s">
        <v>829</v>
      </c>
      <c r="H527" s="50" t="n">
        <f aca="false">F527/IF(Varsayimlar!$B$21=1,1.3,1)</f>
        <v>2.30769230769231</v>
      </c>
      <c r="I527" s="51" t="n">
        <v>35.89</v>
      </c>
      <c r="J527" s="28" t="n">
        <f aca="false">H527*I527</f>
        <v>82.8230769230769</v>
      </c>
      <c r="K527" s="52" t="s">
        <v>548</v>
      </c>
      <c r="L527" s="7" t="s">
        <v>1477</v>
      </c>
      <c r="M527" s="7" t="s">
        <v>1478</v>
      </c>
    </row>
    <row r="528" customFormat="false" ht="90.25" hidden="false" customHeight="false" outlineLevel="1" collapsed="false">
      <c r="A528" s="27"/>
      <c r="B528" s="27" t="s">
        <v>1469</v>
      </c>
      <c r="C528" s="7" t="s">
        <v>1479</v>
      </c>
      <c r="D528" s="27" t="s">
        <v>1480</v>
      </c>
      <c r="E528" s="50" t="n">
        <v>3</v>
      </c>
      <c r="F528" s="50" t="n">
        <v>3</v>
      </c>
      <c r="G528" s="27" t="s">
        <v>767</v>
      </c>
      <c r="H528" s="50" t="n">
        <f aca="false">F528</f>
        <v>3</v>
      </c>
      <c r="I528" s="51" t="n">
        <v>814.66</v>
      </c>
      <c r="J528" s="28" t="n">
        <f aca="false">H528*I528</f>
        <v>2443.98</v>
      </c>
      <c r="K528" s="52" t="s">
        <v>548</v>
      </c>
      <c r="L528" s="7" t="s">
        <v>1481</v>
      </c>
      <c r="M528" s="7" t="s">
        <v>1482</v>
      </c>
    </row>
    <row r="529" customFormat="false" ht="102.95" hidden="false" customHeight="false" outlineLevel="1" collapsed="false">
      <c r="A529" s="27"/>
      <c r="B529" s="27" t="s">
        <v>1469</v>
      </c>
      <c r="C529" s="7" t="s">
        <v>1483</v>
      </c>
      <c r="D529" s="27" t="s">
        <v>727</v>
      </c>
      <c r="E529" s="50" t="n">
        <v>11</v>
      </c>
      <c r="F529" s="50" t="n">
        <v>11</v>
      </c>
      <c r="G529" s="27" t="s">
        <v>767</v>
      </c>
      <c r="H529" s="50" t="n">
        <f aca="false">F529</f>
        <v>11</v>
      </c>
      <c r="I529" s="51" t="n">
        <v>64.58</v>
      </c>
      <c r="J529" s="28" t="n">
        <f aca="false">H529*I529</f>
        <v>710.38</v>
      </c>
      <c r="K529" s="52" t="s">
        <v>548</v>
      </c>
      <c r="L529" s="7" t="s">
        <v>1484</v>
      </c>
      <c r="M529" s="7" t="s">
        <v>1485</v>
      </c>
    </row>
    <row r="530" customFormat="false" ht="102.95" hidden="false" customHeight="false" outlineLevel="1" collapsed="false">
      <c r="A530" s="27"/>
      <c r="B530" s="27" t="s">
        <v>1469</v>
      </c>
      <c r="C530" s="7" t="s">
        <v>1486</v>
      </c>
      <c r="D530" s="27" t="s">
        <v>727</v>
      </c>
      <c r="E530" s="50" t="n">
        <v>6</v>
      </c>
      <c r="F530" s="50" t="n">
        <v>6</v>
      </c>
      <c r="G530" s="27" t="s">
        <v>767</v>
      </c>
      <c r="H530" s="50" t="n">
        <f aca="false">F530</f>
        <v>6</v>
      </c>
      <c r="I530" s="51" t="n">
        <v>62.39</v>
      </c>
      <c r="J530" s="28" t="n">
        <f aca="false">H530*I530</f>
        <v>374.34</v>
      </c>
      <c r="K530" s="52" t="s">
        <v>548</v>
      </c>
      <c r="L530" s="7" t="s">
        <v>1487</v>
      </c>
      <c r="M530" s="7" t="s">
        <v>1488</v>
      </c>
    </row>
    <row r="531" customFormat="false" ht="128.35" hidden="false" customHeight="false" outlineLevel="1" collapsed="false">
      <c r="A531" s="27"/>
      <c r="B531" s="27" t="s">
        <v>1469</v>
      </c>
      <c r="C531" s="7" t="s">
        <v>1489</v>
      </c>
      <c r="D531" s="27" t="s">
        <v>727</v>
      </c>
      <c r="E531" s="50" t="n">
        <v>4</v>
      </c>
      <c r="F531" s="50" t="n">
        <v>4</v>
      </c>
      <c r="G531" s="27" t="s">
        <v>767</v>
      </c>
      <c r="H531" s="50" t="n">
        <f aca="false">F531</f>
        <v>4</v>
      </c>
      <c r="I531" s="51" t="n">
        <v>68.42</v>
      </c>
      <c r="J531" s="28" t="n">
        <f aca="false">H531*I531</f>
        <v>273.68</v>
      </c>
      <c r="K531" s="52" t="s">
        <v>548</v>
      </c>
      <c r="L531" s="7" t="s">
        <v>1490</v>
      </c>
      <c r="M531" s="7" t="s">
        <v>1491</v>
      </c>
    </row>
    <row r="532" customFormat="false" ht="26.85" hidden="false" customHeight="false" outlineLevel="1" collapsed="false">
      <c r="A532" s="27"/>
      <c r="B532" s="27" t="s">
        <v>1469</v>
      </c>
      <c r="C532" s="7" t="s">
        <v>1492</v>
      </c>
      <c r="D532" s="27" t="s">
        <v>727</v>
      </c>
      <c r="E532" s="50" t="n">
        <v>4</v>
      </c>
      <c r="F532" s="50" t="n">
        <v>4</v>
      </c>
      <c r="G532" s="27" t="s">
        <v>767</v>
      </c>
      <c r="H532" s="50" t="n">
        <f aca="false">F532</f>
        <v>4</v>
      </c>
      <c r="I532" s="51" t="n">
        <v>35</v>
      </c>
      <c r="J532" s="28" t="n">
        <f aca="false">H532*I532</f>
        <v>140</v>
      </c>
      <c r="K532" s="53" t="s">
        <v>551</v>
      </c>
      <c r="L532" s="7" t="s">
        <v>1493</v>
      </c>
      <c r="M532" s="7" t="s">
        <v>1494</v>
      </c>
    </row>
    <row r="533" customFormat="false" ht="90.25" hidden="false" customHeight="false" outlineLevel="1" collapsed="false">
      <c r="A533" s="27"/>
      <c r="B533" s="27" t="s">
        <v>1469</v>
      </c>
      <c r="C533" s="7" t="s">
        <v>1495</v>
      </c>
      <c r="D533" s="27" t="s">
        <v>853</v>
      </c>
      <c r="E533" s="50" t="n">
        <v>801</v>
      </c>
      <c r="F533" s="50" t="n">
        <v>801</v>
      </c>
      <c r="G533" s="27" t="s">
        <v>865</v>
      </c>
      <c r="H533" s="50" t="n">
        <f aca="false">F533/IF(Varsayimlar!$B$21=1,1.43,1)</f>
        <v>560.13986013986</v>
      </c>
      <c r="I533" s="51" t="n">
        <v>2.22</v>
      </c>
      <c r="J533" s="28" t="n">
        <f aca="false">H533*I533</f>
        <v>1243.51048951049</v>
      </c>
      <c r="K533" s="52" t="s">
        <v>548</v>
      </c>
      <c r="L533" s="7" t="s">
        <v>1496</v>
      </c>
      <c r="M533" s="7" t="s">
        <v>1497</v>
      </c>
    </row>
    <row r="534" customFormat="false" ht="52.2" hidden="false" customHeight="false" outlineLevel="1" collapsed="false">
      <c r="A534" s="27"/>
      <c r="B534" s="27" t="s">
        <v>1469</v>
      </c>
      <c r="C534" s="7" t="s">
        <v>1498</v>
      </c>
      <c r="D534" s="27" t="s">
        <v>853</v>
      </c>
      <c r="E534" s="50" t="n">
        <v>344</v>
      </c>
      <c r="F534" s="50" t="n">
        <v>344</v>
      </c>
      <c r="G534" s="27" t="s">
        <v>865</v>
      </c>
      <c r="H534" s="50" t="n">
        <f aca="false">F534/IF(Varsayimlar!$B$21=1,1.43,1)</f>
        <v>240.559440559441</v>
      </c>
      <c r="I534" s="51" t="n">
        <v>1.8</v>
      </c>
      <c r="J534" s="28" t="n">
        <f aca="false">H534*I534</f>
        <v>433.006993006993</v>
      </c>
      <c r="K534" s="52" t="s">
        <v>548</v>
      </c>
      <c r="L534" s="7" t="s">
        <v>1499</v>
      </c>
      <c r="M534" s="7" t="s">
        <v>1500</v>
      </c>
    </row>
    <row r="535" customFormat="false" ht="52.2" hidden="false" customHeight="false" outlineLevel="1" collapsed="false">
      <c r="A535" s="27"/>
      <c r="B535" s="27" t="s">
        <v>1469</v>
      </c>
      <c r="C535" s="7" t="s">
        <v>1501</v>
      </c>
      <c r="D535" s="27" t="s">
        <v>853</v>
      </c>
      <c r="E535" s="50" t="n">
        <v>801</v>
      </c>
      <c r="F535" s="50" t="n">
        <v>801</v>
      </c>
      <c r="G535" s="27" t="s">
        <v>865</v>
      </c>
      <c r="H535" s="50" t="n">
        <f aca="false">F535/IF(Varsayimlar!$B$21=1,1.43,1)</f>
        <v>560.13986013986</v>
      </c>
      <c r="I535" s="51" t="n">
        <v>1.97</v>
      </c>
      <c r="J535" s="28" t="n">
        <f aca="false">H535*I535</f>
        <v>1103.47552447552</v>
      </c>
      <c r="K535" s="52" t="s">
        <v>548</v>
      </c>
      <c r="L535" s="7" t="s">
        <v>1502</v>
      </c>
      <c r="M535" s="7" t="s">
        <v>1503</v>
      </c>
    </row>
    <row r="536" customFormat="false" ht="26.85" hidden="false" customHeight="false" outlineLevel="1" collapsed="false">
      <c r="A536" s="27"/>
      <c r="B536" s="27" t="s">
        <v>1469</v>
      </c>
      <c r="C536" s="7" t="s">
        <v>1504</v>
      </c>
      <c r="D536" s="27" t="s">
        <v>727</v>
      </c>
      <c r="E536" s="50" t="n">
        <v>1</v>
      </c>
      <c r="F536" s="50" t="n">
        <v>1</v>
      </c>
      <c r="G536" s="27" t="s">
        <v>767</v>
      </c>
      <c r="H536" s="50" t="n">
        <f aca="false">F536</f>
        <v>1</v>
      </c>
      <c r="I536" s="51" t="n">
        <v>800</v>
      </c>
      <c r="J536" s="28" t="n">
        <f aca="false">H536*I536</f>
        <v>800</v>
      </c>
      <c r="K536" s="53" t="s">
        <v>551</v>
      </c>
      <c r="L536" s="7" t="s">
        <v>1493</v>
      </c>
      <c r="M536" s="7" t="s">
        <v>1505</v>
      </c>
    </row>
    <row r="537" customFormat="false" ht="26.85" hidden="false" customHeight="false" outlineLevel="1" collapsed="false">
      <c r="A537" s="27"/>
      <c r="B537" s="27" t="s">
        <v>1469</v>
      </c>
      <c r="C537" s="7" t="s">
        <v>1506</v>
      </c>
      <c r="D537" s="27" t="s">
        <v>732</v>
      </c>
      <c r="E537" s="50" t="n">
        <v>1</v>
      </c>
      <c r="F537" s="50" t="n">
        <v>1</v>
      </c>
      <c r="G537" s="27" t="s">
        <v>767</v>
      </c>
      <c r="H537" s="50" t="n">
        <f aca="false">F537</f>
        <v>1</v>
      </c>
      <c r="I537" s="51" t="n">
        <v>1200</v>
      </c>
      <c r="J537" s="28" t="n">
        <f aca="false">H537*I537</f>
        <v>1200</v>
      </c>
      <c r="K537" s="53" t="s">
        <v>551</v>
      </c>
      <c r="L537" s="7" t="s">
        <v>1493</v>
      </c>
      <c r="M537" s="7" t="s">
        <v>1507</v>
      </c>
    </row>
    <row r="538" customFormat="false" ht="15" hidden="false" customHeight="false" outlineLevel="0" collapsed="false">
      <c r="A538" s="48" t="s">
        <v>198</v>
      </c>
      <c r="B538" s="48" t="s">
        <v>1508</v>
      </c>
      <c r="C538" s="48" t="s">
        <v>199</v>
      </c>
      <c r="D538" s="48"/>
      <c r="E538" s="48"/>
      <c r="F538" s="48"/>
      <c r="G538" s="48"/>
      <c r="H538" s="48" t="s">
        <v>765</v>
      </c>
      <c r="I538" s="49" t="n">
        <f aca="false">SUMPRODUCT(E539:E551,I539:I551)</f>
        <v>11447.29</v>
      </c>
      <c r="J538" s="49" t="n">
        <f aca="false">SUM(J539:J551)</f>
        <v>10261.853006993</v>
      </c>
      <c r="K538" s="48"/>
      <c r="L538" s="48"/>
      <c r="M538" s="48"/>
    </row>
    <row r="539" customFormat="false" ht="90.25" hidden="false" customHeight="false" outlineLevel="1" collapsed="false">
      <c r="A539" s="27"/>
      <c r="B539" s="27" t="s">
        <v>1508</v>
      </c>
      <c r="C539" s="7" t="s">
        <v>1470</v>
      </c>
      <c r="D539" s="27" t="s">
        <v>727</v>
      </c>
      <c r="E539" s="50" t="n">
        <v>1</v>
      </c>
      <c r="F539" s="50" t="n">
        <v>1</v>
      </c>
      <c r="G539" s="27" t="s">
        <v>767</v>
      </c>
      <c r="H539" s="50" t="n">
        <f aca="false">F539</f>
        <v>1</v>
      </c>
      <c r="I539" s="51" t="n">
        <v>2083.07</v>
      </c>
      <c r="J539" s="28" t="n">
        <f aca="false">H539*I539</f>
        <v>2083.07</v>
      </c>
      <c r="K539" s="52" t="s">
        <v>548</v>
      </c>
      <c r="L539" s="7" t="s">
        <v>1471</v>
      </c>
      <c r="M539" s="7" t="s">
        <v>1472</v>
      </c>
    </row>
    <row r="540" customFormat="false" ht="90.25" hidden="false" customHeight="false" outlineLevel="1" collapsed="false">
      <c r="A540" s="27"/>
      <c r="B540" s="27" t="s">
        <v>1508</v>
      </c>
      <c r="C540" s="7" t="s">
        <v>1473</v>
      </c>
      <c r="D540" s="27" t="s">
        <v>727</v>
      </c>
      <c r="E540" s="50" t="n">
        <v>12</v>
      </c>
      <c r="F540" s="50" t="n">
        <v>12</v>
      </c>
      <c r="G540" s="27" t="s">
        <v>829</v>
      </c>
      <c r="H540" s="50" t="n">
        <f aca="false">F540/IF(Varsayimlar!$B$21=1,1.3,1)</f>
        <v>9.23076923076923</v>
      </c>
      <c r="I540" s="51" t="n">
        <v>38.73</v>
      </c>
      <c r="J540" s="28" t="n">
        <f aca="false">H540*I540</f>
        <v>357.507692307692</v>
      </c>
      <c r="K540" s="52" t="s">
        <v>548</v>
      </c>
      <c r="L540" s="7" t="s">
        <v>1474</v>
      </c>
      <c r="M540" s="7" t="s">
        <v>1475</v>
      </c>
    </row>
    <row r="541" customFormat="false" ht="52.2" hidden="false" customHeight="false" outlineLevel="1" collapsed="false">
      <c r="A541" s="27"/>
      <c r="B541" s="27" t="s">
        <v>1508</v>
      </c>
      <c r="C541" s="7" t="s">
        <v>1476</v>
      </c>
      <c r="D541" s="27" t="s">
        <v>727</v>
      </c>
      <c r="E541" s="50" t="n">
        <v>6</v>
      </c>
      <c r="F541" s="50" t="n">
        <v>6</v>
      </c>
      <c r="G541" s="27" t="s">
        <v>829</v>
      </c>
      <c r="H541" s="50" t="n">
        <f aca="false">F541/IF(Varsayimlar!$B$21=1,1.3,1)</f>
        <v>4.61538461538462</v>
      </c>
      <c r="I541" s="51" t="n">
        <v>35.89</v>
      </c>
      <c r="J541" s="28" t="n">
        <f aca="false">H541*I541</f>
        <v>165.646153846154</v>
      </c>
      <c r="K541" s="52" t="s">
        <v>548</v>
      </c>
      <c r="L541" s="7" t="s">
        <v>1477</v>
      </c>
      <c r="M541" s="7" t="s">
        <v>1478</v>
      </c>
    </row>
    <row r="542" customFormat="false" ht="90.25" hidden="false" customHeight="false" outlineLevel="1" collapsed="false">
      <c r="A542" s="27"/>
      <c r="B542" s="27" t="s">
        <v>1508</v>
      </c>
      <c r="C542" s="7" t="s">
        <v>1479</v>
      </c>
      <c r="D542" s="27" t="s">
        <v>1480</v>
      </c>
      <c r="E542" s="50" t="n">
        <v>2</v>
      </c>
      <c r="F542" s="50" t="n">
        <v>2</v>
      </c>
      <c r="G542" s="27" t="s">
        <v>767</v>
      </c>
      <c r="H542" s="50" t="n">
        <f aca="false">F542</f>
        <v>2</v>
      </c>
      <c r="I542" s="51" t="n">
        <v>814.66</v>
      </c>
      <c r="J542" s="28" t="n">
        <f aca="false">H542*I542</f>
        <v>1629.32</v>
      </c>
      <c r="K542" s="52" t="s">
        <v>548</v>
      </c>
      <c r="L542" s="7" t="s">
        <v>1481</v>
      </c>
      <c r="M542" s="7" t="s">
        <v>1482</v>
      </c>
    </row>
    <row r="543" customFormat="false" ht="102.95" hidden="false" customHeight="false" outlineLevel="1" collapsed="false">
      <c r="A543" s="27"/>
      <c r="B543" s="27" t="s">
        <v>1508</v>
      </c>
      <c r="C543" s="7" t="s">
        <v>1483</v>
      </c>
      <c r="D543" s="27" t="s">
        <v>727</v>
      </c>
      <c r="E543" s="50" t="n">
        <v>11</v>
      </c>
      <c r="F543" s="50" t="n">
        <v>11</v>
      </c>
      <c r="G543" s="27" t="s">
        <v>767</v>
      </c>
      <c r="H543" s="50" t="n">
        <f aca="false">F543</f>
        <v>11</v>
      </c>
      <c r="I543" s="51" t="n">
        <v>64.58</v>
      </c>
      <c r="J543" s="28" t="n">
        <f aca="false">H543*I543</f>
        <v>710.38</v>
      </c>
      <c r="K543" s="52" t="s">
        <v>548</v>
      </c>
      <c r="L543" s="7" t="s">
        <v>1484</v>
      </c>
      <c r="M543" s="7" t="s">
        <v>1485</v>
      </c>
    </row>
    <row r="544" customFormat="false" ht="102.95" hidden="false" customHeight="false" outlineLevel="1" collapsed="false">
      <c r="A544" s="27"/>
      <c r="B544" s="27" t="s">
        <v>1508</v>
      </c>
      <c r="C544" s="7" t="s">
        <v>1486</v>
      </c>
      <c r="D544" s="27" t="s">
        <v>727</v>
      </c>
      <c r="E544" s="50" t="n">
        <v>7</v>
      </c>
      <c r="F544" s="50" t="n">
        <v>7</v>
      </c>
      <c r="G544" s="27" t="s">
        <v>767</v>
      </c>
      <c r="H544" s="50" t="n">
        <f aca="false">F544</f>
        <v>7</v>
      </c>
      <c r="I544" s="51" t="n">
        <v>62.39</v>
      </c>
      <c r="J544" s="28" t="n">
        <f aca="false">H544*I544</f>
        <v>436.73</v>
      </c>
      <c r="K544" s="52" t="s">
        <v>548</v>
      </c>
      <c r="L544" s="7" t="s">
        <v>1487</v>
      </c>
      <c r="M544" s="7" t="s">
        <v>1488</v>
      </c>
    </row>
    <row r="545" customFormat="false" ht="128.35" hidden="false" customHeight="false" outlineLevel="1" collapsed="false">
      <c r="A545" s="27"/>
      <c r="B545" s="27" t="s">
        <v>1508</v>
      </c>
      <c r="C545" s="7" t="s">
        <v>1489</v>
      </c>
      <c r="D545" s="27" t="s">
        <v>727</v>
      </c>
      <c r="E545" s="50" t="n">
        <v>8</v>
      </c>
      <c r="F545" s="50" t="n">
        <v>8</v>
      </c>
      <c r="G545" s="27" t="s">
        <v>767</v>
      </c>
      <c r="H545" s="50" t="n">
        <f aca="false">F545</f>
        <v>8</v>
      </c>
      <c r="I545" s="51" t="n">
        <v>68.42</v>
      </c>
      <c r="J545" s="28" t="n">
        <f aca="false">H545*I545</f>
        <v>547.36</v>
      </c>
      <c r="K545" s="52" t="s">
        <v>548</v>
      </c>
      <c r="L545" s="7" t="s">
        <v>1490</v>
      </c>
      <c r="M545" s="7" t="s">
        <v>1491</v>
      </c>
    </row>
    <row r="546" customFormat="false" ht="26.85" hidden="false" customHeight="false" outlineLevel="1" collapsed="false">
      <c r="A546" s="27"/>
      <c r="B546" s="27" t="s">
        <v>1508</v>
      </c>
      <c r="C546" s="7" t="s">
        <v>1492</v>
      </c>
      <c r="D546" s="27" t="s">
        <v>727</v>
      </c>
      <c r="E546" s="50" t="n">
        <v>4</v>
      </c>
      <c r="F546" s="50" t="n">
        <v>4</v>
      </c>
      <c r="G546" s="27" t="s">
        <v>767</v>
      </c>
      <c r="H546" s="50" t="n">
        <f aca="false">F546</f>
        <v>4</v>
      </c>
      <c r="I546" s="51" t="n">
        <v>35</v>
      </c>
      <c r="J546" s="28" t="n">
        <f aca="false">H546*I546</f>
        <v>140</v>
      </c>
      <c r="K546" s="53" t="s">
        <v>551</v>
      </c>
      <c r="L546" s="7" t="s">
        <v>1493</v>
      </c>
      <c r="M546" s="7" t="s">
        <v>1494</v>
      </c>
    </row>
    <row r="547" customFormat="false" ht="90.25" hidden="false" customHeight="false" outlineLevel="1" collapsed="false">
      <c r="A547" s="27"/>
      <c r="B547" s="27" t="s">
        <v>1508</v>
      </c>
      <c r="C547" s="7" t="s">
        <v>1495</v>
      </c>
      <c r="D547" s="27" t="s">
        <v>853</v>
      </c>
      <c r="E547" s="50" t="n">
        <v>687</v>
      </c>
      <c r="F547" s="50" t="n">
        <v>687</v>
      </c>
      <c r="G547" s="27" t="s">
        <v>865</v>
      </c>
      <c r="H547" s="50" t="n">
        <f aca="false">F547/IF(Varsayimlar!$B$21=1,1.43,1)</f>
        <v>480.41958041958</v>
      </c>
      <c r="I547" s="51" t="n">
        <v>2.22</v>
      </c>
      <c r="J547" s="28" t="n">
        <f aca="false">H547*I547</f>
        <v>1066.53146853147</v>
      </c>
      <c r="K547" s="52" t="s">
        <v>548</v>
      </c>
      <c r="L547" s="7" t="s">
        <v>1496</v>
      </c>
      <c r="M547" s="7" t="s">
        <v>1497</v>
      </c>
    </row>
    <row r="548" customFormat="false" ht="52.2" hidden="false" customHeight="false" outlineLevel="1" collapsed="false">
      <c r="A548" s="27"/>
      <c r="B548" s="27" t="s">
        <v>1508</v>
      </c>
      <c r="C548" s="7" t="s">
        <v>1498</v>
      </c>
      <c r="D548" s="27" t="s">
        <v>853</v>
      </c>
      <c r="E548" s="50" t="n">
        <v>301</v>
      </c>
      <c r="F548" s="50" t="n">
        <v>301</v>
      </c>
      <c r="G548" s="27" t="s">
        <v>865</v>
      </c>
      <c r="H548" s="50" t="n">
        <f aca="false">F548/IF(Varsayimlar!$B$21=1,1.43,1)</f>
        <v>210.489510489511</v>
      </c>
      <c r="I548" s="51" t="n">
        <v>1.8</v>
      </c>
      <c r="J548" s="28" t="n">
        <f aca="false">H548*I548</f>
        <v>378.881118881119</v>
      </c>
      <c r="K548" s="52" t="s">
        <v>548</v>
      </c>
      <c r="L548" s="7" t="s">
        <v>1499</v>
      </c>
      <c r="M548" s="7" t="s">
        <v>1500</v>
      </c>
    </row>
    <row r="549" customFormat="false" ht="52.2" hidden="false" customHeight="false" outlineLevel="1" collapsed="false">
      <c r="A549" s="27"/>
      <c r="B549" s="27" t="s">
        <v>1508</v>
      </c>
      <c r="C549" s="7" t="s">
        <v>1501</v>
      </c>
      <c r="D549" s="27" t="s">
        <v>853</v>
      </c>
      <c r="E549" s="50" t="n">
        <v>687</v>
      </c>
      <c r="F549" s="50" t="n">
        <v>687</v>
      </c>
      <c r="G549" s="27" t="s">
        <v>865</v>
      </c>
      <c r="H549" s="50" t="n">
        <f aca="false">F549/IF(Varsayimlar!$B$21=1,1.43,1)</f>
        <v>480.41958041958</v>
      </c>
      <c r="I549" s="51" t="n">
        <v>1.97</v>
      </c>
      <c r="J549" s="28" t="n">
        <f aca="false">H549*I549</f>
        <v>946.426573426573</v>
      </c>
      <c r="K549" s="52" t="s">
        <v>548</v>
      </c>
      <c r="L549" s="7" t="s">
        <v>1502</v>
      </c>
      <c r="M549" s="7" t="s">
        <v>1503</v>
      </c>
    </row>
    <row r="550" customFormat="false" ht="26.85" hidden="false" customHeight="false" outlineLevel="1" collapsed="false">
      <c r="A550" s="27"/>
      <c r="B550" s="27" t="s">
        <v>1508</v>
      </c>
      <c r="C550" s="7" t="s">
        <v>1504</v>
      </c>
      <c r="D550" s="27" t="s">
        <v>727</v>
      </c>
      <c r="E550" s="50" t="n">
        <v>1</v>
      </c>
      <c r="F550" s="50" t="n">
        <v>1</v>
      </c>
      <c r="G550" s="27" t="s">
        <v>767</v>
      </c>
      <c r="H550" s="50" t="n">
        <f aca="false">F550</f>
        <v>1</v>
      </c>
      <c r="I550" s="51" t="n">
        <v>800</v>
      </c>
      <c r="J550" s="28" t="n">
        <f aca="false">H550*I550</f>
        <v>800</v>
      </c>
      <c r="K550" s="53" t="s">
        <v>551</v>
      </c>
      <c r="L550" s="7" t="s">
        <v>1493</v>
      </c>
      <c r="M550" s="7" t="s">
        <v>1505</v>
      </c>
    </row>
    <row r="551" customFormat="false" ht="26.85" hidden="false" customHeight="false" outlineLevel="1" collapsed="false">
      <c r="A551" s="27"/>
      <c r="B551" s="27" t="s">
        <v>1508</v>
      </c>
      <c r="C551" s="7" t="s">
        <v>1506</v>
      </c>
      <c r="D551" s="27" t="s">
        <v>732</v>
      </c>
      <c r="E551" s="50" t="n">
        <v>1</v>
      </c>
      <c r="F551" s="50" t="n">
        <v>1</v>
      </c>
      <c r="G551" s="27" t="s">
        <v>767</v>
      </c>
      <c r="H551" s="50" t="n">
        <f aca="false">F551</f>
        <v>1</v>
      </c>
      <c r="I551" s="51" t="n">
        <v>1000</v>
      </c>
      <c r="J551" s="28" t="n">
        <f aca="false">H551*I551</f>
        <v>1000</v>
      </c>
      <c r="K551" s="53" t="s">
        <v>551</v>
      </c>
      <c r="L551" s="7" t="s">
        <v>1493</v>
      </c>
      <c r="M551" s="7" t="s">
        <v>1507</v>
      </c>
    </row>
    <row r="552" customFormat="false" ht="15" hidden="false" customHeight="false" outlineLevel="0" collapsed="false">
      <c r="A552" s="48" t="s">
        <v>200</v>
      </c>
      <c r="B552" s="48" t="s">
        <v>1509</v>
      </c>
      <c r="C552" s="48" t="s">
        <v>201</v>
      </c>
      <c r="D552" s="48"/>
      <c r="E552" s="48"/>
      <c r="F552" s="48"/>
      <c r="G552" s="48"/>
      <c r="H552" s="48" t="s">
        <v>765</v>
      </c>
      <c r="I552" s="49" t="n">
        <f aca="false">SUMPRODUCT(E553:E565,I553:I565)</f>
        <v>11447.29</v>
      </c>
      <c r="J552" s="49" t="n">
        <f aca="false">SUM(J553:J565)</f>
        <v>10261.853006993</v>
      </c>
      <c r="K552" s="48"/>
      <c r="L552" s="48"/>
      <c r="M552" s="48"/>
    </row>
    <row r="553" customFormat="false" ht="90.25" hidden="false" customHeight="false" outlineLevel="1" collapsed="false">
      <c r="A553" s="27"/>
      <c r="B553" s="27" t="s">
        <v>1509</v>
      </c>
      <c r="C553" s="7" t="s">
        <v>1470</v>
      </c>
      <c r="D553" s="27" t="s">
        <v>727</v>
      </c>
      <c r="E553" s="50" t="n">
        <v>1</v>
      </c>
      <c r="F553" s="50" t="n">
        <v>1</v>
      </c>
      <c r="G553" s="27" t="s">
        <v>767</v>
      </c>
      <c r="H553" s="50" t="n">
        <f aca="false">F553</f>
        <v>1</v>
      </c>
      <c r="I553" s="51" t="n">
        <v>2083.07</v>
      </c>
      <c r="J553" s="28" t="n">
        <f aca="false">H553*I553</f>
        <v>2083.07</v>
      </c>
      <c r="K553" s="52" t="s">
        <v>548</v>
      </c>
      <c r="L553" s="7" t="s">
        <v>1471</v>
      </c>
      <c r="M553" s="7" t="s">
        <v>1472</v>
      </c>
    </row>
    <row r="554" customFormat="false" ht="90.25" hidden="false" customHeight="false" outlineLevel="1" collapsed="false">
      <c r="A554" s="27"/>
      <c r="B554" s="27" t="s">
        <v>1509</v>
      </c>
      <c r="C554" s="7" t="s">
        <v>1473</v>
      </c>
      <c r="D554" s="27" t="s">
        <v>727</v>
      </c>
      <c r="E554" s="50" t="n">
        <v>12</v>
      </c>
      <c r="F554" s="50" t="n">
        <v>12</v>
      </c>
      <c r="G554" s="27" t="s">
        <v>829</v>
      </c>
      <c r="H554" s="50" t="n">
        <f aca="false">F554/IF(Varsayimlar!$B$21=1,1.3,1)</f>
        <v>9.23076923076923</v>
      </c>
      <c r="I554" s="51" t="n">
        <v>38.73</v>
      </c>
      <c r="J554" s="28" t="n">
        <f aca="false">H554*I554</f>
        <v>357.507692307692</v>
      </c>
      <c r="K554" s="52" t="s">
        <v>548</v>
      </c>
      <c r="L554" s="7" t="s">
        <v>1474</v>
      </c>
      <c r="M554" s="7" t="s">
        <v>1475</v>
      </c>
    </row>
    <row r="555" customFormat="false" ht="52.2" hidden="false" customHeight="false" outlineLevel="1" collapsed="false">
      <c r="A555" s="27"/>
      <c r="B555" s="27" t="s">
        <v>1509</v>
      </c>
      <c r="C555" s="7" t="s">
        <v>1476</v>
      </c>
      <c r="D555" s="27" t="s">
        <v>727</v>
      </c>
      <c r="E555" s="50" t="n">
        <v>6</v>
      </c>
      <c r="F555" s="50" t="n">
        <v>6</v>
      </c>
      <c r="G555" s="27" t="s">
        <v>829</v>
      </c>
      <c r="H555" s="50" t="n">
        <f aca="false">F555/IF(Varsayimlar!$B$21=1,1.3,1)</f>
        <v>4.61538461538462</v>
      </c>
      <c r="I555" s="51" t="n">
        <v>35.89</v>
      </c>
      <c r="J555" s="28" t="n">
        <f aca="false">H555*I555</f>
        <v>165.646153846154</v>
      </c>
      <c r="K555" s="52" t="s">
        <v>548</v>
      </c>
      <c r="L555" s="7" t="s">
        <v>1477</v>
      </c>
      <c r="M555" s="7" t="s">
        <v>1478</v>
      </c>
    </row>
    <row r="556" customFormat="false" ht="90.25" hidden="false" customHeight="false" outlineLevel="1" collapsed="false">
      <c r="A556" s="27"/>
      <c r="B556" s="27" t="s">
        <v>1509</v>
      </c>
      <c r="C556" s="7" t="s">
        <v>1479</v>
      </c>
      <c r="D556" s="27" t="s">
        <v>1480</v>
      </c>
      <c r="E556" s="50" t="n">
        <v>2</v>
      </c>
      <c r="F556" s="50" t="n">
        <v>2</v>
      </c>
      <c r="G556" s="27" t="s">
        <v>767</v>
      </c>
      <c r="H556" s="50" t="n">
        <f aca="false">F556</f>
        <v>2</v>
      </c>
      <c r="I556" s="51" t="n">
        <v>814.66</v>
      </c>
      <c r="J556" s="28" t="n">
        <f aca="false">H556*I556</f>
        <v>1629.32</v>
      </c>
      <c r="K556" s="52" t="s">
        <v>548</v>
      </c>
      <c r="L556" s="7" t="s">
        <v>1481</v>
      </c>
      <c r="M556" s="7" t="s">
        <v>1482</v>
      </c>
    </row>
    <row r="557" customFormat="false" ht="102.95" hidden="false" customHeight="false" outlineLevel="1" collapsed="false">
      <c r="A557" s="27"/>
      <c r="B557" s="27" t="s">
        <v>1509</v>
      </c>
      <c r="C557" s="7" t="s">
        <v>1483</v>
      </c>
      <c r="D557" s="27" t="s">
        <v>727</v>
      </c>
      <c r="E557" s="50" t="n">
        <v>11</v>
      </c>
      <c r="F557" s="50" t="n">
        <v>11</v>
      </c>
      <c r="G557" s="27" t="s">
        <v>767</v>
      </c>
      <c r="H557" s="50" t="n">
        <f aca="false">F557</f>
        <v>11</v>
      </c>
      <c r="I557" s="51" t="n">
        <v>64.58</v>
      </c>
      <c r="J557" s="28" t="n">
        <f aca="false">H557*I557</f>
        <v>710.38</v>
      </c>
      <c r="K557" s="52" t="s">
        <v>548</v>
      </c>
      <c r="L557" s="7" t="s">
        <v>1484</v>
      </c>
      <c r="M557" s="7" t="s">
        <v>1485</v>
      </c>
    </row>
    <row r="558" customFormat="false" ht="102.95" hidden="false" customHeight="false" outlineLevel="1" collapsed="false">
      <c r="A558" s="27"/>
      <c r="B558" s="27" t="s">
        <v>1509</v>
      </c>
      <c r="C558" s="7" t="s">
        <v>1486</v>
      </c>
      <c r="D558" s="27" t="s">
        <v>727</v>
      </c>
      <c r="E558" s="50" t="n">
        <v>7</v>
      </c>
      <c r="F558" s="50" t="n">
        <v>7</v>
      </c>
      <c r="G558" s="27" t="s">
        <v>767</v>
      </c>
      <c r="H558" s="50" t="n">
        <f aca="false">F558</f>
        <v>7</v>
      </c>
      <c r="I558" s="51" t="n">
        <v>62.39</v>
      </c>
      <c r="J558" s="28" t="n">
        <f aca="false">H558*I558</f>
        <v>436.73</v>
      </c>
      <c r="K558" s="52" t="s">
        <v>548</v>
      </c>
      <c r="L558" s="7" t="s">
        <v>1487</v>
      </c>
      <c r="M558" s="7" t="s">
        <v>1488</v>
      </c>
    </row>
    <row r="559" customFormat="false" ht="128.35" hidden="false" customHeight="false" outlineLevel="1" collapsed="false">
      <c r="A559" s="27"/>
      <c r="B559" s="27" t="s">
        <v>1509</v>
      </c>
      <c r="C559" s="7" t="s">
        <v>1489</v>
      </c>
      <c r="D559" s="27" t="s">
        <v>727</v>
      </c>
      <c r="E559" s="50" t="n">
        <v>8</v>
      </c>
      <c r="F559" s="50" t="n">
        <v>8</v>
      </c>
      <c r="G559" s="27" t="s">
        <v>767</v>
      </c>
      <c r="H559" s="50" t="n">
        <f aca="false">F559</f>
        <v>8</v>
      </c>
      <c r="I559" s="51" t="n">
        <v>68.42</v>
      </c>
      <c r="J559" s="28" t="n">
        <f aca="false">H559*I559</f>
        <v>547.36</v>
      </c>
      <c r="K559" s="52" t="s">
        <v>548</v>
      </c>
      <c r="L559" s="7" t="s">
        <v>1490</v>
      </c>
      <c r="M559" s="7" t="s">
        <v>1491</v>
      </c>
    </row>
    <row r="560" customFormat="false" ht="26.85" hidden="false" customHeight="false" outlineLevel="1" collapsed="false">
      <c r="A560" s="27"/>
      <c r="B560" s="27" t="s">
        <v>1509</v>
      </c>
      <c r="C560" s="7" t="s">
        <v>1492</v>
      </c>
      <c r="D560" s="27" t="s">
        <v>727</v>
      </c>
      <c r="E560" s="50" t="n">
        <v>4</v>
      </c>
      <c r="F560" s="50" t="n">
        <v>4</v>
      </c>
      <c r="G560" s="27" t="s">
        <v>767</v>
      </c>
      <c r="H560" s="50" t="n">
        <f aca="false">F560</f>
        <v>4</v>
      </c>
      <c r="I560" s="51" t="n">
        <v>35</v>
      </c>
      <c r="J560" s="28" t="n">
        <f aca="false">H560*I560</f>
        <v>140</v>
      </c>
      <c r="K560" s="53" t="s">
        <v>551</v>
      </c>
      <c r="L560" s="7" t="s">
        <v>1493</v>
      </c>
      <c r="M560" s="7" t="s">
        <v>1494</v>
      </c>
    </row>
    <row r="561" customFormat="false" ht="90.25" hidden="false" customHeight="false" outlineLevel="1" collapsed="false">
      <c r="A561" s="27"/>
      <c r="B561" s="27" t="s">
        <v>1509</v>
      </c>
      <c r="C561" s="7" t="s">
        <v>1495</v>
      </c>
      <c r="D561" s="27" t="s">
        <v>853</v>
      </c>
      <c r="E561" s="50" t="n">
        <v>687</v>
      </c>
      <c r="F561" s="50" t="n">
        <v>687</v>
      </c>
      <c r="G561" s="27" t="s">
        <v>865</v>
      </c>
      <c r="H561" s="50" t="n">
        <f aca="false">F561/IF(Varsayimlar!$B$21=1,1.43,1)</f>
        <v>480.41958041958</v>
      </c>
      <c r="I561" s="51" t="n">
        <v>2.22</v>
      </c>
      <c r="J561" s="28" t="n">
        <f aca="false">H561*I561</f>
        <v>1066.53146853147</v>
      </c>
      <c r="K561" s="52" t="s">
        <v>548</v>
      </c>
      <c r="L561" s="7" t="s">
        <v>1496</v>
      </c>
      <c r="M561" s="7" t="s">
        <v>1497</v>
      </c>
    </row>
    <row r="562" customFormat="false" ht="52.2" hidden="false" customHeight="false" outlineLevel="1" collapsed="false">
      <c r="A562" s="27"/>
      <c r="B562" s="27" t="s">
        <v>1509</v>
      </c>
      <c r="C562" s="7" t="s">
        <v>1498</v>
      </c>
      <c r="D562" s="27" t="s">
        <v>853</v>
      </c>
      <c r="E562" s="50" t="n">
        <v>301</v>
      </c>
      <c r="F562" s="50" t="n">
        <v>301</v>
      </c>
      <c r="G562" s="27" t="s">
        <v>865</v>
      </c>
      <c r="H562" s="50" t="n">
        <f aca="false">F562/IF(Varsayimlar!$B$21=1,1.43,1)</f>
        <v>210.489510489511</v>
      </c>
      <c r="I562" s="51" t="n">
        <v>1.8</v>
      </c>
      <c r="J562" s="28" t="n">
        <f aca="false">H562*I562</f>
        <v>378.881118881119</v>
      </c>
      <c r="K562" s="52" t="s">
        <v>548</v>
      </c>
      <c r="L562" s="7" t="s">
        <v>1499</v>
      </c>
      <c r="M562" s="7" t="s">
        <v>1500</v>
      </c>
    </row>
    <row r="563" customFormat="false" ht="52.2" hidden="false" customHeight="false" outlineLevel="1" collapsed="false">
      <c r="A563" s="27"/>
      <c r="B563" s="27" t="s">
        <v>1509</v>
      </c>
      <c r="C563" s="7" t="s">
        <v>1501</v>
      </c>
      <c r="D563" s="27" t="s">
        <v>853</v>
      </c>
      <c r="E563" s="50" t="n">
        <v>687</v>
      </c>
      <c r="F563" s="50" t="n">
        <v>687</v>
      </c>
      <c r="G563" s="27" t="s">
        <v>865</v>
      </c>
      <c r="H563" s="50" t="n">
        <f aca="false">F563/IF(Varsayimlar!$B$21=1,1.43,1)</f>
        <v>480.41958041958</v>
      </c>
      <c r="I563" s="51" t="n">
        <v>1.97</v>
      </c>
      <c r="J563" s="28" t="n">
        <f aca="false">H563*I563</f>
        <v>946.426573426573</v>
      </c>
      <c r="K563" s="52" t="s">
        <v>548</v>
      </c>
      <c r="L563" s="7" t="s">
        <v>1502</v>
      </c>
      <c r="M563" s="7" t="s">
        <v>1503</v>
      </c>
    </row>
    <row r="564" customFormat="false" ht="26.85" hidden="false" customHeight="false" outlineLevel="1" collapsed="false">
      <c r="A564" s="27"/>
      <c r="B564" s="27" t="s">
        <v>1509</v>
      </c>
      <c r="C564" s="7" t="s">
        <v>1504</v>
      </c>
      <c r="D564" s="27" t="s">
        <v>727</v>
      </c>
      <c r="E564" s="50" t="n">
        <v>1</v>
      </c>
      <c r="F564" s="50" t="n">
        <v>1</v>
      </c>
      <c r="G564" s="27" t="s">
        <v>767</v>
      </c>
      <c r="H564" s="50" t="n">
        <f aca="false">F564</f>
        <v>1</v>
      </c>
      <c r="I564" s="51" t="n">
        <v>800</v>
      </c>
      <c r="J564" s="28" t="n">
        <f aca="false">H564*I564</f>
        <v>800</v>
      </c>
      <c r="K564" s="53" t="s">
        <v>551</v>
      </c>
      <c r="L564" s="7" t="s">
        <v>1493</v>
      </c>
      <c r="M564" s="7" t="s">
        <v>1505</v>
      </c>
    </row>
    <row r="565" customFormat="false" ht="26.85" hidden="false" customHeight="false" outlineLevel="1" collapsed="false">
      <c r="A565" s="27"/>
      <c r="B565" s="27" t="s">
        <v>1509</v>
      </c>
      <c r="C565" s="7" t="s">
        <v>1506</v>
      </c>
      <c r="D565" s="27" t="s">
        <v>732</v>
      </c>
      <c r="E565" s="50" t="n">
        <v>1</v>
      </c>
      <c r="F565" s="50" t="n">
        <v>1</v>
      </c>
      <c r="G565" s="27" t="s">
        <v>767</v>
      </c>
      <c r="H565" s="50" t="n">
        <f aca="false">F565</f>
        <v>1</v>
      </c>
      <c r="I565" s="51" t="n">
        <v>1000</v>
      </c>
      <c r="J565" s="28" t="n">
        <f aca="false">H565*I565</f>
        <v>1000</v>
      </c>
      <c r="K565" s="53" t="s">
        <v>551</v>
      </c>
      <c r="L565" s="7" t="s">
        <v>1493</v>
      </c>
      <c r="M565" s="7" t="s">
        <v>1507</v>
      </c>
    </row>
    <row r="566" customFormat="false" ht="15" hidden="false" customHeight="false" outlineLevel="0" collapsed="false">
      <c r="A566" s="48" t="s">
        <v>202</v>
      </c>
      <c r="B566" s="48" t="s">
        <v>1510</v>
      </c>
      <c r="C566" s="48" t="s">
        <v>203</v>
      </c>
      <c r="D566" s="48"/>
      <c r="E566" s="48"/>
      <c r="F566" s="48"/>
      <c r="G566" s="48"/>
      <c r="H566" s="48" t="s">
        <v>765</v>
      </c>
      <c r="I566" s="49" t="n">
        <f aca="false">SUMPRODUCT(E567:E579,I567:I579)</f>
        <v>11447.29</v>
      </c>
      <c r="J566" s="49" t="n">
        <f aca="false">SUM(J567:J579)</f>
        <v>10261.853006993</v>
      </c>
      <c r="K566" s="48"/>
      <c r="L566" s="48"/>
      <c r="M566" s="48"/>
    </row>
    <row r="567" customFormat="false" ht="90.25" hidden="false" customHeight="false" outlineLevel="1" collapsed="false">
      <c r="A567" s="27"/>
      <c r="B567" s="27" t="s">
        <v>1510</v>
      </c>
      <c r="C567" s="7" t="s">
        <v>1470</v>
      </c>
      <c r="D567" s="27" t="s">
        <v>727</v>
      </c>
      <c r="E567" s="50" t="n">
        <v>1</v>
      </c>
      <c r="F567" s="50" t="n">
        <v>1</v>
      </c>
      <c r="G567" s="27" t="s">
        <v>767</v>
      </c>
      <c r="H567" s="50" t="n">
        <f aca="false">F567</f>
        <v>1</v>
      </c>
      <c r="I567" s="51" t="n">
        <v>2083.07</v>
      </c>
      <c r="J567" s="28" t="n">
        <f aca="false">H567*I567</f>
        <v>2083.07</v>
      </c>
      <c r="K567" s="52" t="s">
        <v>548</v>
      </c>
      <c r="L567" s="7" t="s">
        <v>1471</v>
      </c>
      <c r="M567" s="7" t="s">
        <v>1472</v>
      </c>
    </row>
    <row r="568" customFormat="false" ht="90.25" hidden="false" customHeight="false" outlineLevel="1" collapsed="false">
      <c r="A568" s="27"/>
      <c r="B568" s="27" t="s">
        <v>1510</v>
      </c>
      <c r="C568" s="7" t="s">
        <v>1473</v>
      </c>
      <c r="D568" s="27" t="s">
        <v>727</v>
      </c>
      <c r="E568" s="50" t="n">
        <v>12</v>
      </c>
      <c r="F568" s="50" t="n">
        <v>12</v>
      </c>
      <c r="G568" s="27" t="s">
        <v>829</v>
      </c>
      <c r="H568" s="50" t="n">
        <f aca="false">F568/IF(Varsayimlar!$B$21=1,1.3,1)</f>
        <v>9.23076923076923</v>
      </c>
      <c r="I568" s="51" t="n">
        <v>38.73</v>
      </c>
      <c r="J568" s="28" t="n">
        <f aca="false">H568*I568</f>
        <v>357.507692307692</v>
      </c>
      <c r="K568" s="52" t="s">
        <v>548</v>
      </c>
      <c r="L568" s="7" t="s">
        <v>1474</v>
      </c>
      <c r="M568" s="7" t="s">
        <v>1475</v>
      </c>
    </row>
    <row r="569" customFormat="false" ht="52.2" hidden="false" customHeight="false" outlineLevel="1" collapsed="false">
      <c r="A569" s="27"/>
      <c r="B569" s="27" t="s">
        <v>1510</v>
      </c>
      <c r="C569" s="7" t="s">
        <v>1476</v>
      </c>
      <c r="D569" s="27" t="s">
        <v>727</v>
      </c>
      <c r="E569" s="50" t="n">
        <v>6</v>
      </c>
      <c r="F569" s="50" t="n">
        <v>6</v>
      </c>
      <c r="G569" s="27" t="s">
        <v>829</v>
      </c>
      <c r="H569" s="50" t="n">
        <f aca="false">F569/IF(Varsayimlar!$B$21=1,1.3,1)</f>
        <v>4.61538461538462</v>
      </c>
      <c r="I569" s="51" t="n">
        <v>35.89</v>
      </c>
      <c r="J569" s="28" t="n">
        <f aca="false">H569*I569</f>
        <v>165.646153846154</v>
      </c>
      <c r="K569" s="52" t="s">
        <v>548</v>
      </c>
      <c r="L569" s="7" t="s">
        <v>1477</v>
      </c>
      <c r="M569" s="7" t="s">
        <v>1478</v>
      </c>
    </row>
    <row r="570" customFormat="false" ht="90.25" hidden="false" customHeight="false" outlineLevel="1" collapsed="false">
      <c r="A570" s="27"/>
      <c r="B570" s="27" t="s">
        <v>1510</v>
      </c>
      <c r="C570" s="7" t="s">
        <v>1479</v>
      </c>
      <c r="D570" s="27" t="s">
        <v>1480</v>
      </c>
      <c r="E570" s="50" t="n">
        <v>2</v>
      </c>
      <c r="F570" s="50" t="n">
        <v>2</v>
      </c>
      <c r="G570" s="27" t="s">
        <v>767</v>
      </c>
      <c r="H570" s="50" t="n">
        <f aca="false">F570</f>
        <v>2</v>
      </c>
      <c r="I570" s="51" t="n">
        <v>814.66</v>
      </c>
      <c r="J570" s="28" t="n">
        <f aca="false">H570*I570</f>
        <v>1629.32</v>
      </c>
      <c r="K570" s="52" t="s">
        <v>548</v>
      </c>
      <c r="L570" s="7" t="s">
        <v>1481</v>
      </c>
      <c r="M570" s="7" t="s">
        <v>1482</v>
      </c>
    </row>
    <row r="571" customFormat="false" ht="102.95" hidden="false" customHeight="false" outlineLevel="1" collapsed="false">
      <c r="A571" s="27"/>
      <c r="B571" s="27" t="s">
        <v>1510</v>
      </c>
      <c r="C571" s="7" t="s">
        <v>1483</v>
      </c>
      <c r="D571" s="27" t="s">
        <v>727</v>
      </c>
      <c r="E571" s="50" t="n">
        <v>11</v>
      </c>
      <c r="F571" s="50" t="n">
        <v>11</v>
      </c>
      <c r="G571" s="27" t="s">
        <v>767</v>
      </c>
      <c r="H571" s="50" t="n">
        <f aca="false">F571</f>
        <v>11</v>
      </c>
      <c r="I571" s="51" t="n">
        <v>64.58</v>
      </c>
      <c r="J571" s="28" t="n">
        <f aca="false">H571*I571</f>
        <v>710.38</v>
      </c>
      <c r="K571" s="52" t="s">
        <v>548</v>
      </c>
      <c r="L571" s="7" t="s">
        <v>1484</v>
      </c>
      <c r="M571" s="7" t="s">
        <v>1485</v>
      </c>
    </row>
    <row r="572" customFormat="false" ht="102.95" hidden="false" customHeight="false" outlineLevel="1" collapsed="false">
      <c r="A572" s="27"/>
      <c r="B572" s="27" t="s">
        <v>1510</v>
      </c>
      <c r="C572" s="7" t="s">
        <v>1486</v>
      </c>
      <c r="D572" s="27" t="s">
        <v>727</v>
      </c>
      <c r="E572" s="50" t="n">
        <v>7</v>
      </c>
      <c r="F572" s="50" t="n">
        <v>7</v>
      </c>
      <c r="G572" s="27" t="s">
        <v>767</v>
      </c>
      <c r="H572" s="50" t="n">
        <f aca="false">F572</f>
        <v>7</v>
      </c>
      <c r="I572" s="51" t="n">
        <v>62.39</v>
      </c>
      <c r="J572" s="28" t="n">
        <f aca="false">H572*I572</f>
        <v>436.73</v>
      </c>
      <c r="K572" s="52" t="s">
        <v>548</v>
      </c>
      <c r="L572" s="7" t="s">
        <v>1487</v>
      </c>
      <c r="M572" s="7" t="s">
        <v>1488</v>
      </c>
    </row>
    <row r="573" customFormat="false" ht="128.35" hidden="false" customHeight="false" outlineLevel="1" collapsed="false">
      <c r="A573" s="27"/>
      <c r="B573" s="27" t="s">
        <v>1510</v>
      </c>
      <c r="C573" s="7" t="s">
        <v>1489</v>
      </c>
      <c r="D573" s="27" t="s">
        <v>727</v>
      </c>
      <c r="E573" s="50" t="n">
        <v>8</v>
      </c>
      <c r="F573" s="50" t="n">
        <v>8</v>
      </c>
      <c r="G573" s="27" t="s">
        <v>767</v>
      </c>
      <c r="H573" s="50" t="n">
        <f aca="false">F573</f>
        <v>8</v>
      </c>
      <c r="I573" s="51" t="n">
        <v>68.42</v>
      </c>
      <c r="J573" s="28" t="n">
        <f aca="false">H573*I573</f>
        <v>547.36</v>
      </c>
      <c r="K573" s="52" t="s">
        <v>548</v>
      </c>
      <c r="L573" s="7" t="s">
        <v>1490</v>
      </c>
      <c r="M573" s="7" t="s">
        <v>1491</v>
      </c>
    </row>
    <row r="574" customFormat="false" ht="26.85" hidden="false" customHeight="false" outlineLevel="1" collapsed="false">
      <c r="A574" s="27"/>
      <c r="B574" s="27" t="s">
        <v>1510</v>
      </c>
      <c r="C574" s="7" t="s">
        <v>1492</v>
      </c>
      <c r="D574" s="27" t="s">
        <v>727</v>
      </c>
      <c r="E574" s="50" t="n">
        <v>4</v>
      </c>
      <c r="F574" s="50" t="n">
        <v>4</v>
      </c>
      <c r="G574" s="27" t="s">
        <v>767</v>
      </c>
      <c r="H574" s="50" t="n">
        <f aca="false">F574</f>
        <v>4</v>
      </c>
      <c r="I574" s="51" t="n">
        <v>35</v>
      </c>
      <c r="J574" s="28" t="n">
        <f aca="false">H574*I574</f>
        <v>140</v>
      </c>
      <c r="K574" s="53" t="s">
        <v>551</v>
      </c>
      <c r="L574" s="7" t="s">
        <v>1493</v>
      </c>
      <c r="M574" s="7" t="s">
        <v>1494</v>
      </c>
    </row>
    <row r="575" customFormat="false" ht="90.25" hidden="false" customHeight="false" outlineLevel="1" collapsed="false">
      <c r="A575" s="27"/>
      <c r="B575" s="27" t="s">
        <v>1510</v>
      </c>
      <c r="C575" s="7" t="s">
        <v>1495</v>
      </c>
      <c r="D575" s="27" t="s">
        <v>853</v>
      </c>
      <c r="E575" s="50" t="n">
        <v>687</v>
      </c>
      <c r="F575" s="50" t="n">
        <v>687</v>
      </c>
      <c r="G575" s="27" t="s">
        <v>865</v>
      </c>
      <c r="H575" s="50" t="n">
        <f aca="false">F575/IF(Varsayimlar!$B$21=1,1.43,1)</f>
        <v>480.41958041958</v>
      </c>
      <c r="I575" s="51" t="n">
        <v>2.22</v>
      </c>
      <c r="J575" s="28" t="n">
        <f aca="false">H575*I575</f>
        <v>1066.53146853147</v>
      </c>
      <c r="K575" s="52" t="s">
        <v>548</v>
      </c>
      <c r="L575" s="7" t="s">
        <v>1496</v>
      </c>
      <c r="M575" s="7" t="s">
        <v>1497</v>
      </c>
    </row>
    <row r="576" customFormat="false" ht="52.2" hidden="false" customHeight="false" outlineLevel="1" collapsed="false">
      <c r="A576" s="27"/>
      <c r="B576" s="27" t="s">
        <v>1510</v>
      </c>
      <c r="C576" s="7" t="s">
        <v>1498</v>
      </c>
      <c r="D576" s="27" t="s">
        <v>853</v>
      </c>
      <c r="E576" s="50" t="n">
        <v>301</v>
      </c>
      <c r="F576" s="50" t="n">
        <v>301</v>
      </c>
      <c r="G576" s="27" t="s">
        <v>865</v>
      </c>
      <c r="H576" s="50" t="n">
        <f aca="false">F576/IF(Varsayimlar!$B$21=1,1.43,1)</f>
        <v>210.489510489511</v>
      </c>
      <c r="I576" s="51" t="n">
        <v>1.8</v>
      </c>
      <c r="J576" s="28" t="n">
        <f aca="false">H576*I576</f>
        <v>378.881118881119</v>
      </c>
      <c r="K576" s="52" t="s">
        <v>548</v>
      </c>
      <c r="L576" s="7" t="s">
        <v>1499</v>
      </c>
      <c r="M576" s="7" t="s">
        <v>1500</v>
      </c>
    </row>
    <row r="577" customFormat="false" ht="52.2" hidden="false" customHeight="false" outlineLevel="1" collapsed="false">
      <c r="A577" s="27"/>
      <c r="B577" s="27" t="s">
        <v>1510</v>
      </c>
      <c r="C577" s="7" t="s">
        <v>1501</v>
      </c>
      <c r="D577" s="27" t="s">
        <v>853</v>
      </c>
      <c r="E577" s="50" t="n">
        <v>687</v>
      </c>
      <c r="F577" s="50" t="n">
        <v>687</v>
      </c>
      <c r="G577" s="27" t="s">
        <v>865</v>
      </c>
      <c r="H577" s="50" t="n">
        <f aca="false">F577/IF(Varsayimlar!$B$21=1,1.43,1)</f>
        <v>480.41958041958</v>
      </c>
      <c r="I577" s="51" t="n">
        <v>1.97</v>
      </c>
      <c r="J577" s="28" t="n">
        <f aca="false">H577*I577</f>
        <v>946.426573426573</v>
      </c>
      <c r="K577" s="52" t="s">
        <v>548</v>
      </c>
      <c r="L577" s="7" t="s">
        <v>1502</v>
      </c>
      <c r="M577" s="7" t="s">
        <v>1503</v>
      </c>
    </row>
    <row r="578" customFormat="false" ht="26.85" hidden="false" customHeight="false" outlineLevel="1" collapsed="false">
      <c r="A578" s="27"/>
      <c r="B578" s="27" t="s">
        <v>1510</v>
      </c>
      <c r="C578" s="7" t="s">
        <v>1504</v>
      </c>
      <c r="D578" s="27" t="s">
        <v>727</v>
      </c>
      <c r="E578" s="50" t="n">
        <v>1</v>
      </c>
      <c r="F578" s="50" t="n">
        <v>1</v>
      </c>
      <c r="G578" s="27" t="s">
        <v>767</v>
      </c>
      <c r="H578" s="50" t="n">
        <f aca="false">F578</f>
        <v>1</v>
      </c>
      <c r="I578" s="51" t="n">
        <v>800</v>
      </c>
      <c r="J578" s="28" t="n">
        <f aca="false">H578*I578</f>
        <v>800</v>
      </c>
      <c r="K578" s="53" t="s">
        <v>551</v>
      </c>
      <c r="L578" s="7" t="s">
        <v>1493</v>
      </c>
      <c r="M578" s="7" t="s">
        <v>1505</v>
      </c>
    </row>
    <row r="579" customFormat="false" ht="26.85" hidden="false" customHeight="false" outlineLevel="1" collapsed="false">
      <c r="A579" s="27"/>
      <c r="B579" s="27" t="s">
        <v>1510</v>
      </c>
      <c r="C579" s="7" t="s">
        <v>1506</v>
      </c>
      <c r="D579" s="27" t="s">
        <v>732</v>
      </c>
      <c r="E579" s="50" t="n">
        <v>1</v>
      </c>
      <c r="F579" s="50" t="n">
        <v>1</v>
      </c>
      <c r="G579" s="27" t="s">
        <v>767</v>
      </c>
      <c r="H579" s="50" t="n">
        <f aca="false">F579</f>
        <v>1</v>
      </c>
      <c r="I579" s="51" t="n">
        <v>1000</v>
      </c>
      <c r="J579" s="28" t="n">
        <f aca="false">H579*I579</f>
        <v>1000</v>
      </c>
      <c r="K579" s="53" t="s">
        <v>551</v>
      </c>
      <c r="L579" s="7" t="s">
        <v>1493</v>
      </c>
      <c r="M579" s="7" t="s">
        <v>1507</v>
      </c>
    </row>
    <row r="580" customFormat="false" ht="15" hidden="false" customHeight="false" outlineLevel="0" collapsed="false">
      <c r="A580" s="48" t="s">
        <v>204</v>
      </c>
      <c r="B580" s="48" t="s">
        <v>1511</v>
      </c>
      <c r="C580" s="48" t="s">
        <v>205</v>
      </c>
      <c r="D580" s="48"/>
      <c r="E580" s="48"/>
      <c r="F580" s="48"/>
      <c r="G580" s="48"/>
      <c r="H580" s="48" t="s">
        <v>765</v>
      </c>
      <c r="I580" s="49" t="n">
        <f aca="false">SUMPRODUCT(E581:E593,I581:I593)</f>
        <v>11447.29</v>
      </c>
      <c r="J580" s="49" t="n">
        <f aca="false">SUM(J581:J593)</f>
        <v>10261.853006993</v>
      </c>
      <c r="K580" s="48"/>
      <c r="L580" s="48"/>
      <c r="M580" s="48"/>
    </row>
    <row r="581" customFormat="false" ht="90.25" hidden="false" customHeight="false" outlineLevel="1" collapsed="false">
      <c r="A581" s="27"/>
      <c r="B581" s="27" t="s">
        <v>1511</v>
      </c>
      <c r="C581" s="7" t="s">
        <v>1470</v>
      </c>
      <c r="D581" s="27" t="s">
        <v>727</v>
      </c>
      <c r="E581" s="50" t="n">
        <v>1</v>
      </c>
      <c r="F581" s="50" t="n">
        <v>1</v>
      </c>
      <c r="G581" s="27" t="s">
        <v>767</v>
      </c>
      <c r="H581" s="50" t="n">
        <f aca="false">F581</f>
        <v>1</v>
      </c>
      <c r="I581" s="51" t="n">
        <v>2083.07</v>
      </c>
      <c r="J581" s="28" t="n">
        <f aca="false">H581*I581</f>
        <v>2083.07</v>
      </c>
      <c r="K581" s="52" t="s">
        <v>548</v>
      </c>
      <c r="L581" s="7" t="s">
        <v>1471</v>
      </c>
      <c r="M581" s="7" t="s">
        <v>1472</v>
      </c>
    </row>
    <row r="582" customFormat="false" ht="90.25" hidden="false" customHeight="false" outlineLevel="1" collapsed="false">
      <c r="A582" s="27"/>
      <c r="B582" s="27" t="s">
        <v>1511</v>
      </c>
      <c r="C582" s="7" t="s">
        <v>1473</v>
      </c>
      <c r="D582" s="27" t="s">
        <v>727</v>
      </c>
      <c r="E582" s="50" t="n">
        <v>12</v>
      </c>
      <c r="F582" s="50" t="n">
        <v>12</v>
      </c>
      <c r="G582" s="27" t="s">
        <v>829</v>
      </c>
      <c r="H582" s="50" t="n">
        <f aca="false">F582/IF(Varsayimlar!$B$21=1,1.3,1)</f>
        <v>9.23076923076923</v>
      </c>
      <c r="I582" s="51" t="n">
        <v>38.73</v>
      </c>
      <c r="J582" s="28" t="n">
        <f aca="false">H582*I582</f>
        <v>357.507692307692</v>
      </c>
      <c r="K582" s="52" t="s">
        <v>548</v>
      </c>
      <c r="L582" s="7" t="s">
        <v>1474</v>
      </c>
      <c r="M582" s="7" t="s">
        <v>1475</v>
      </c>
    </row>
    <row r="583" customFormat="false" ht="52.2" hidden="false" customHeight="false" outlineLevel="1" collapsed="false">
      <c r="A583" s="27"/>
      <c r="B583" s="27" t="s">
        <v>1511</v>
      </c>
      <c r="C583" s="7" t="s">
        <v>1476</v>
      </c>
      <c r="D583" s="27" t="s">
        <v>727</v>
      </c>
      <c r="E583" s="50" t="n">
        <v>6</v>
      </c>
      <c r="F583" s="50" t="n">
        <v>6</v>
      </c>
      <c r="G583" s="27" t="s">
        <v>829</v>
      </c>
      <c r="H583" s="50" t="n">
        <f aca="false">F583/IF(Varsayimlar!$B$21=1,1.3,1)</f>
        <v>4.61538461538462</v>
      </c>
      <c r="I583" s="51" t="n">
        <v>35.89</v>
      </c>
      <c r="J583" s="28" t="n">
        <f aca="false">H583*I583</f>
        <v>165.646153846154</v>
      </c>
      <c r="K583" s="52" t="s">
        <v>548</v>
      </c>
      <c r="L583" s="7" t="s">
        <v>1477</v>
      </c>
      <c r="M583" s="7" t="s">
        <v>1478</v>
      </c>
    </row>
    <row r="584" customFormat="false" ht="90.25" hidden="false" customHeight="false" outlineLevel="1" collapsed="false">
      <c r="A584" s="27"/>
      <c r="B584" s="27" t="s">
        <v>1511</v>
      </c>
      <c r="C584" s="7" t="s">
        <v>1479</v>
      </c>
      <c r="D584" s="27" t="s">
        <v>1480</v>
      </c>
      <c r="E584" s="50" t="n">
        <v>2</v>
      </c>
      <c r="F584" s="50" t="n">
        <v>2</v>
      </c>
      <c r="G584" s="27" t="s">
        <v>767</v>
      </c>
      <c r="H584" s="50" t="n">
        <f aca="false">F584</f>
        <v>2</v>
      </c>
      <c r="I584" s="51" t="n">
        <v>814.66</v>
      </c>
      <c r="J584" s="28" t="n">
        <f aca="false">H584*I584</f>
        <v>1629.32</v>
      </c>
      <c r="K584" s="52" t="s">
        <v>548</v>
      </c>
      <c r="L584" s="7" t="s">
        <v>1481</v>
      </c>
      <c r="M584" s="7" t="s">
        <v>1482</v>
      </c>
    </row>
    <row r="585" customFormat="false" ht="102.95" hidden="false" customHeight="false" outlineLevel="1" collapsed="false">
      <c r="A585" s="27"/>
      <c r="B585" s="27" t="s">
        <v>1511</v>
      </c>
      <c r="C585" s="7" t="s">
        <v>1483</v>
      </c>
      <c r="D585" s="27" t="s">
        <v>727</v>
      </c>
      <c r="E585" s="50" t="n">
        <v>11</v>
      </c>
      <c r="F585" s="50" t="n">
        <v>11</v>
      </c>
      <c r="G585" s="27" t="s">
        <v>767</v>
      </c>
      <c r="H585" s="50" t="n">
        <f aca="false">F585</f>
        <v>11</v>
      </c>
      <c r="I585" s="51" t="n">
        <v>64.58</v>
      </c>
      <c r="J585" s="28" t="n">
        <f aca="false">H585*I585</f>
        <v>710.38</v>
      </c>
      <c r="K585" s="52" t="s">
        <v>548</v>
      </c>
      <c r="L585" s="7" t="s">
        <v>1484</v>
      </c>
      <c r="M585" s="7" t="s">
        <v>1485</v>
      </c>
    </row>
    <row r="586" customFormat="false" ht="102.95" hidden="false" customHeight="false" outlineLevel="1" collapsed="false">
      <c r="A586" s="27"/>
      <c r="B586" s="27" t="s">
        <v>1511</v>
      </c>
      <c r="C586" s="7" t="s">
        <v>1486</v>
      </c>
      <c r="D586" s="27" t="s">
        <v>727</v>
      </c>
      <c r="E586" s="50" t="n">
        <v>7</v>
      </c>
      <c r="F586" s="50" t="n">
        <v>7</v>
      </c>
      <c r="G586" s="27" t="s">
        <v>767</v>
      </c>
      <c r="H586" s="50" t="n">
        <f aca="false">F586</f>
        <v>7</v>
      </c>
      <c r="I586" s="51" t="n">
        <v>62.39</v>
      </c>
      <c r="J586" s="28" t="n">
        <f aca="false">H586*I586</f>
        <v>436.73</v>
      </c>
      <c r="K586" s="52" t="s">
        <v>548</v>
      </c>
      <c r="L586" s="7" t="s">
        <v>1487</v>
      </c>
      <c r="M586" s="7" t="s">
        <v>1488</v>
      </c>
    </row>
    <row r="587" customFormat="false" ht="128.35" hidden="false" customHeight="false" outlineLevel="1" collapsed="false">
      <c r="A587" s="27"/>
      <c r="B587" s="27" t="s">
        <v>1511</v>
      </c>
      <c r="C587" s="7" t="s">
        <v>1489</v>
      </c>
      <c r="D587" s="27" t="s">
        <v>727</v>
      </c>
      <c r="E587" s="50" t="n">
        <v>8</v>
      </c>
      <c r="F587" s="50" t="n">
        <v>8</v>
      </c>
      <c r="G587" s="27" t="s">
        <v>767</v>
      </c>
      <c r="H587" s="50" t="n">
        <f aca="false">F587</f>
        <v>8</v>
      </c>
      <c r="I587" s="51" t="n">
        <v>68.42</v>
      </c>
      <c r="J587" s="28" t="n">
        <f aca="false">H587*I587</f>
        <v>547.36</v>
      </c>
      <c r="K587" s="52" t="s">
        <v>548</v>
      </c>
      <c r="L587" s="7" t="s">
        <v>1490</v>
      </c>
      <c r="M587" s="7" t="s">
        <v>1491</v>
      </c>
    </row>
    <row r="588" customFormat="false" ht="26.85" hidden="false" customHeight="false" outlineLevel="1" collapsed="false">
      <c r="A588" s="27"/>
      <c r="B588" s="27" t="s">
        <v>1511</v>
      </c>
      <c r="C588" s="7" t="s">
        <v>1492</v>
      </c>
      <c r="D588" s="27" t="s">
        <v>727</v>
      </c>
      <c r="E588" s="50" t="n">
        <v>4</v>
      </c>
      <c r="F588" s="50" t="n">
        <v>4</v>
      </c>
      <c r="G588" s="27" t="s">
        <v>767</v>
      </c>
      <c r="H588" s="50" t="n">
        <f aca="false">F588</f>
        <v>4</v>
      </c>
      <c r="I588" s="51" t="n">
        <v>35</v>
      </c>
      <c r="J588" s="28" t="n">
        <f aca="false">H588*I588</f>
        <v>140</v>
      </c>
      <c r="K588" s="53" t="s">
        <v>551</v>
      </c>
      <c r="L588" s="7" t="s">
        <v>1493</v>
      </c>
      <c r="M588" s="7" t="s">
        <v>1494</v>
      </c>
    </row>
    <row r="589" customFormat="false" ht="90.25" hidden="false" customHeight="false" outlineLevel="1" collapsed="false">
      <c r="A589" s="27"/>
      <c r="B589" s="27" t="s">
        <v>1511</v>
      </c>
      <c r="C589" s="7" t="s">
        <v>1495</v>
      </c>
      <c r="D589" s="27" t="s">
        <v>853</v>
      </c>
      <c r="E589" s="50" t="n">
        <v>687</v>
      </c>
      <c r="F589" s="50" t="n">
        <v>687</v>
      </c>
      <c r="G589" s="27" t="s">
        <v>865</v>
      </c>
      <c r="H589" s="50" t="n">
        <f aca="false">F589/IF(Varsayimlar!$B$21=1,1.43,1)</f>
        <v>480.41958041958</v>
      </c>
      <c r="I589" s="51" t="n">
        <v>2.22</v>
      </c>
      <c r="J589" s="28" t="n">
        <f aca="false">H589*I589</f>
        <v>1066.53146853147</v>
      </c>
      <c r="K589" s="52" t="s">
        <v>548</v>
      </c>
      <c r="L589" s="7" t="s">
        <v>1496</v>
      </c>
      <c r="M589" s="7" t="s">
        <v>1497</v>
      </c>
    </row>
    <row r="590" customFormat="false" ht="52.2" hidden="false" customHeight="false" outlineLevel="1" collapsed="false">
      <c r="A590" s="27"/>
      <c r="B590" s="27" t="s">
        <v>1511</v>
      </c>
      <c r="C590" s="7" t="s">
        <v>1498</v>
      </c>
      <c r="D590" s="27" t="s">
        <v>853</v>
      </c>
      <c r="E590" s="50" t="n">
        <v>301</v>
      </c>
      <c r="F590" s="50" t="n">
        <v>301</v>
      </c>
      <c r="G590" s="27" t="s">
        <v>865</v>
      </c>
      <c r="H590" s="50" t="n">
        <f aca="false">F590/IF(Varsayimlar!$B$21=1,1.43,1)</f>
        <v>210.489510489511</v>
      </c>
      <c r="I590" s="51" t="n">
        <v>1.8</v>
      </c>
      <c r="J590" s="28" t="n">
        <f aca="false">H590*I590</f>
        <v>378.881118881119</v>
      </c>
      <c r="K590" s="52" t="s">
        <v>548</v>
      </c>
      <c r="L590" s="7" t="s">
        <v>1499</v>
      </c>
      <c r="M590" s="7" t="s">
        <v>1500</v>
      </c>
    </row>
    <row r="591" customFormat="false" ht="52.2" hidden="false" customHeight="false" outlineLevel="1" collapsed="false">
      <c r="A591" s="27"/>
      <c r="B591" s="27" t="s">
        <v>1511</v>
      </c>
      <c r="C591" s="7" t="s">
        <v>1501</v>
      </c>
      <c r="D591" s="27" t="s">
        <v>853</v>
      </c>
      <c r="E591" s="50" t="n">
        <v>687</v>
      </c>
      <c r="F591" s="50" t="n">
        <v>687</v>
      </c>
      <c r="G591" s="27" t="s">
        <v>865</v>
      </c>
      <c r="H591" s="50" t="n">
        <f aca="false">F591/IF(Varsayimlar!$B$21=1,1.43,1)</f>
        <v>480.41958041958</v>
      </c>
      <c r="I591" s="51" t="n">
        <v>1.97</v>
      </c>
      <c r="J591" s="28" t="n">
        <f aca="false">H591*I591</f>
        <v>946.426573426573</v>
      </c>
      <c r="K591" s="52" t="s">
        <v>548</v>
      </c>
      <c r="L591" s="7" t="s">
        <v>1502</v>
      </c>
      <c r="M591" s="7" t="s">
        <v>1503</v>
      </c>
    </row>
    <row r="592" customFormat="false" ht="26.85" hidden="false" customHeight="false" outlineLevel="1" collapsed="false">
      <c r="A592" s="27"/>
      <c r="B592" s="27" t="s">
        <v>1511</v>
      </c>
      <c r="C592" s="7" t="s">
        <v>1504</v>
      </c>
      <c r="D592" s="27" t="s">
        <v>727</v>
      </c>
      <c r="E592" s="50" t="n">
        <v>1</v>
      </c>
      <c r="F592" s="50" t="n">
        <v>1</v>
      </c>
      <c r="G592" s="27" t="s">
        <v>767</v>
      </c>
      <c r="H592" s="50" t="n">
        <f aca="false">F592</f>
        <v>1</v>
      </c>
      <c r="I592" s="51" t="n">
        <v>800</v>
      </c>
      <c r="J592" s="28" t="n">
        <f aca="false">H592*I592</f>
        <v>800</v>
      </c>
      <c r="K592" s="53" t="s">
        <v>551</v>
      </c>
      <c r="L592" s="7" t="s">
        <v>1493</v>
      </c>
      <c r="M592" s="7" t="s">
        <v>1505</v>
      </c>
    </row>
    <row r="593" customFormat="false" ht="26.85" hidden="false" customHeight="false" outlineLevel="1" collapsed="false">
      <c r="A593" s="27"/>
      <c r="B593" s="27" t="s">
        <v>1511</v>
      </c>
      <c r="C593" s="7" t="s">
        <v>1506</v>
      </c>
      <c r="D593" s="27" t="s">
        <v>732</v>
      </c>
      <c r="E593" s="50" t="n">
        <v>1</v>
      </c>
      <c r="F593" s="50" t="n">
        <v>1</v>
      </c>
      <c r="G593" s="27" t="s">
        <v>767</v>
      </c>
      <c r="H593" s="50" t="n">
        <f aca="false">F593</f>
        <v>1</v>
      </c>
      <c r="I593" s="51" t="n">
        <v>1000</v>
      </c>
      <c r="J593" s="28" t="n">
        <f aca="false">H593*I593</f>
        <v>1000</v>
      </c>
      <c r="K593" s="53" t="s">
        <v>551</v>
      </c>
      <c r="L593" s="7" t="s">
        <v>1493</v>
      </c>
      <c r="M593" s="7" t="s">
        <v>1507</v>
      </c>
    </row>
    <row r="594" customFormat="false" ht="15" hidden="false" customHeight="false" outlineLevel="0" collapsed="false">
      <c r="A594" s="48" t="s">
        <v>206</v>
      </c>
      <c r="B594" s="48" t="s">
        <v>1512</v>
      </c>
      <c r="C594" s="48" t="s">
        <v>207</v>
      </c>
      <c r="D594" s="48"/>
      <c r="E594" s="48"/>
      <c r="F594" s="48"/>
      <c r="G594" s="48"/>
      <c r="H594" s="48" t="s">
        <v>765</v>
      </c>
      <c r="I594" s="49" t="n">
        <f aca="false">SUMPRODUCT(E595:E607,I595:I607)</f>
        <v>7711.2</v>
      </c>
      <c r="J594" s="49" t="n">
        <f aca="false">SUM(J595:J607)</f>
        <v>7240.72615384615</v>
      </c>
      <c r="K594" s="48"/>
      <c r="L594" s="48"/>
      <c r="M594" s="48"/>
    </row>
    <row r="595" customFormat="false" ht="90.25" hidden="false" customHeight="false" outlineLevel="1" collapsed="false">
      <c r="A595" s="27"/>
      <c r="B595" s="27" t="s">
        <v>1512</v>
      </c>
      <c r="C595" s="7" t="s">
        <v>1470</v>
      </c>
      <c r="D595" s="27" t="s">
        <v>727</v>
      </c>
      <c r="E595" s="50" t="n">
        <v>1</v>
      </c>
      <c r="F595" s="50" t="n">
        <v>1</v>
      </c>
      <c r="G595" s="27" t="s">
        <v>767</v>
      </c>
      <c r="H595" s="50" t="n">
        <f aca="false">F595</f>
        <v>1</v>
      </c>
      <c r="I595" s="51" t="n">
        <v>2083.07</v>
      </c>
      <c r="J595" s="28" t="n">
        <f aca="false">H595*I595</f>
        <v>2083.07</v>
      </c>
      <c r="K595" s="52" t="s">
        <v>548</v>
      </c>
      <c r="L595" s="7" t="s">
        <v>1471</v>
      </c>
      <c r="M595" s="7" t="s">
        <v>1472</v>
      </c>
    </row>
    <row r="596" customFormat="false" ht="90.25" hidden="false" customHeight="false" outlineLevel="1" collapsed="false">
      <c r="A596" s="27"/>
      <c r="B596" s="27" t="s">
        <v>1512</v>
      </c>
      <c r="C596" s="7" t="s">
        <v>1473</v>
      </c>
      <c r="D596" s="27" t="s">
        <v>727</v>
      </c>
      <c r="E596" s="50" t="n">
        <v>4</v>
      </c>
      <c r="F596" s="50" t="n">
        <v>4</v>
      </c>
      <c r="G596" s="27" t="s">
        <v>829</v>
      </c>
      <c r="H596" s="50" t="n">
        <f aca="false">F596/IF(Varsayimlar!$B$21=1,1.3,1)</f>
        <v>3.07692307692308</v>
      </c>
      <c r="I596" s="51" t="n">
        <v>38.73</v>
      </c>
      <c r="J596" s="28" t="n">
        <f aca="false">H596*I596</f>
        <v>119.169230769231</v>
      </c>
      <c r="K596" s="52" t="s">
        <v>548</v>
      </c>
      <c r="L596" s="7" t="s">
        <v>1474</v>
      </c>
      <c r="M596" s="7" t="s">
        <v>1475</v>
      </c>
    </row>
    <row r="597" customFormat="false" ht="52.2" hidden="false" customHeight="false" outlineLevel="1" collapsed="false">
      <c r="A597" s="27"/>
      <c r="B597" s="27" t="s">
        <v>1512</v>
      </c>
      <c r="C597" s="7" t="s">
        <v>1476</v>
      </c>
      <c r="D597" s="27" t="s">
        <v>727</v>
      </c>
      <c r="E597" s="50" t="n">
        <v>2</v>
      </c>
      <c r="F597" s="50" t="n">
        <v>2</v>
      </c>
      <c r="G597" s="27" t="s">
        <v>829</v>
      </c>
      <c r="H597" s="50" t="n">
        <f aca="false">F597/IF(Varsayimlar!$B$21=1,1.3,1)</f>
        <v>1.53846153846154</v>
      </c>
      <c r="I597" s="51" t="n">
        <v>35.89</v>
      </c>
      <c r="J597" s="28" t="n">
        <f aca="false">H597*I597</f>
        <v>55.2153846153846</v>
      </c>
      <c r="K597" s="52" t="s">
        <v>548</v>
      </c>
      <c r="L597" s="7" t="s">
        <v>1477</v>
      </c>
      <c r="M597" s="7" t="s">
        <v>1478</v>
      </c>
    </row>
    <row r="598" customFormat="false" ht="90.25" hidden="false" customHeight="false" outlineLevel="1" collapsed="false">
      <c r="A598" s="27"/>
      <c r="B598" s="27" t="s">
        <v>1512</v>
      </c>
      <c r="C598" s="7" t="s">
        <v>1479</v>
      </c>
      <c r="D598" s="27" t="s">
        <v>1480</v>
      </c>
      <c r="E598" s="50" t="n">
        <v>2</v>
      </c>
      <c r="F598" s="50" t="n">
        <v>2</v>
      </c>
      <c r="G598" s="27" t="s">
        <v>767</v>
      </c>
      <c r="H598" s="50" t="n">
        <f aca="false">F598</f>
        <v>2</v>
      </c>
      <c r="I598" s="51" t="n">
        <v>814.66</v>
      </c>
      <c r="J598" s="28" t="n">
        <f aca="false">H598*I598</f>
        <v>1629.32</v>
      </c>
      <c r="K598" s="52" t="s">
        <v>548</v>
      </c>
      <c r="L598" s="7" t="s">
        <v>1481</v>
      </c>
      <c r="M598" s="7" t="s">
        <v>1482</v>
      </c>
    </row>
    <row r="599" customFormat="false" ht="102.95" hidden="false" customHeight="false" outlineLevel="1" collapsed="false">
      <c r="A599" s="27"/>
      <c r="B599" s="27" t="s">
        <v>1512</v>
      </c>
      <c r="C599" s="7" t="s">
        <v>1483</v>
      </c>
      <c r="D599" s="27" t="s">
        <v>727</v>
      </c>
      <c r="E599" s="50" t="n">
        <v>6</v>
      </c>
      <c r="F599" s="50" t="n">
        <v>6</v>
      </c>
      <c r="G599" s="27" t="s">
        <v>767</v>
      </c>
      <c r="H599" s="50" t="n">
        <f aca="false">F599</f>
        <v>6</v>
      </c>
      <c r="I599" s="51" t="n">
        <v>64.58</v>
      </c>
      <c r="J599" s="28" t="n">
        <f aca="false">H599*I599</f>
        <v>387.48</v>
      </c>
      <c r="K599" s="52" t="s">
        <v>548</v>
      </c>
      <c r="L599" s="7" t="s">
        <v>1484</v>
      </c>
      <c r="M599" s="7" t="s">
        <v>1485</v>
      </c>
    </row>
    <row r="600" customFormat="false" ht="102.95" hidden="false" customHeight="false" outlineLevel="1" collapsed="false">
      <c r="A600" s="27"/>
      <c r="B600" s="27" t="s">
        <v>1512</v>
      </c>
      <c r="C600" s="7" t="s">
        <v>1486</v>
      </c>
      <c r="D600" s="27" t="s">
        <v>727</v>
      </c>
      <c r="E600" s="50" t="n">
        <v>3</v>
      </c>
      <c r="F600" s="50" t="n">
        <v>3</v>
      </c>
      <c r="G600" s="27" t="s">
        <v>767</v>
      </c>
      <c r="H600" s="50" t="n">
        <f aca="false">F600</f>
        <v>3</v>
      </c>
      <c r="I600" s="51" t="n">
        <v>62.39</v>
      </c>
      <c r="J600" s="28" t="n">
        <f aca="false">H600*I600</f>
        <v>187.17</v>
      </c>
      <c r="K600" s="52" t="s">
        <v>548</v>
      </c>
      <c r="L600" s="7" t="s">
        <v>1487</v>
      </c>
      <c r="M600" s="7" t="s">
        <v>1488</v>
      </c>
    </row>
    <row r="601" customFormat="false" ht="128.35" hidden="false" customHeight="false" outlineLevel="1" collapsed="false">
      <c r="A601" s="27"/>
      <c r="B601" s="27" t="s">
        <v>1512</v>
      </c>
      <c r="C601" s="7" t="s">
        <v>1489</v>
      </c>
      <c r="D601" s="27" t="s">
        <v>727</v>
      </c>
      <c r="E601" s="50" t="n">
        <v>2</v>
      </c>
      <c r="F601" s="50" t="n">
        <v>2</v>
      </c>
      <c r="G601" s="27" t="s">
        <v>767</v>
      </c>
      <c r="H601" s="50" t="n">
        <f aca="false">F601</f>
        <v>2</v>
      </c>
      <c r="I601" s="51" t="n">
        <v>68.42</v>
      </c>
      <c r="J601" s="28" t="n">
        <f aca="false">H601*I601</f>
        <v>136.84</v>
      </c>
      <c r="K601" s="52" t="s">
        <v>548</v>
      </c>
      <c r="L601" s="7" t="s">
        <v>1490</v>
      </c>
      <c r="M601" s="7" t="s">
        <v>1491</v>
      </c>
    </row>
    <row r="602" customFormat="false" ht="26.85" hidden="false" customHeight="false" outlineLevel="1" collapsed="false">
      <c r="A602" s="27"/>
      <c r="B602" s="27" t="s">
        <v>1512</v>
      </c>
      <c r="C602" s="7" t="s">
        <v>1492</v>
      </c>
      <c r="D602" s="27" t="s">
        <v>727</v>
      </c>
      <c r="E602" s="50" t="n">
        <v>2</v>
      </c>
      <c r="F602" s="50" t="n">
        <v>2</v>
      </c>
      <c r="G602" s="27" t="s">
        <v>767</v>
      </c>
      <c r="H602" s="50" t="n">
        <f aca="false">F602</f>
        <v>2</v>
      </c>
      <c r="I602" s="51" t="n">
        <v>35</v>
      </c>
      <c r="J602" s="28" t="n">
        <f aca="false">H602*I602</f>
        <v>70</v>
      </c>
      <c r="K602" s="53" t="s">
        <v>551</v>
      </c>
      <c r="L602" s="7" t="s">
        <v>1493</v>
      </c>
      <c r="M602" s="7" t="s">
        <v>1494</v>
      </c>
    </row>
    <row r="603" customFormat="false" ht="90.25" hidden="false" customHeight="false" outlineLevel="1" collapsed="false">
      <c r="A603" s="27"/>
      <c r="B603" s="27" t="s">
        <v>1512</v>
      </c>
      <c r="C603" s="7" t="s">
        <v>1495</v>
      </c>
      <c r="D603" s="27" t="s">
        <v>853</v>
      </c>
      <c r="E603" s="50" t="n">
        <v>258</v>
      </c>
      <c r="F603" s="50" t="n">
        <v>258</v>
      </c>
      <c r="G603" s="27" t="s">
        <v>865</v>
      </c>
      <c r="H603" s="50" t="n">
        <f aca="false">F603/IF(Varsayimlar!$B$21=1,1.43,1)</f>
        <v>180.41958041958</v>
      </c>
      <c r="I603" s="51" t="n">
        <v>2.22</v>
      </c>
      <c r="J603" s="28" t="n">
        <f aca="false">H603*I603</f>
        <v>400.531468531469</v>
      </c>
      <c r="K603" s="52" t="s">
        <v>548</v>
      </c>
      <c r="L603" s="7" t="s">
        <v>1496</v>
      </c>
      <c r="M603" s="7" t="s">
        <v>1497</v>
      </c>
    </row>
    <row r="604" customFormat="false" ht="52.2" hidden="false" customHeight="false" outlineLevel="1" collapsed="false">
      <c r="A604" s="27"/>
      <c r="B604" s="27" t="s">
        <v>1512</v>
      </c>
      <c r="C604" s="7" t="s">
        <v>1498</v>
      </c>
      <c r="D604" s="27" t="s">
        <v>853</v>
      </c>
      <c r="E604" s="50" t="n">
        <v>172</v>
      </c>
      <c r="F604" s="50" t="n">
        <v>172</v>
      </c>
      <c r="G604" s="27" t="s">
        <v>865</v>
      </c>
      <c r="H604" s="50" t="n">
        <f aca="false">F604/IF(Varsayimlar!$B$21=1,1.43,1)</f>
        <v>120.27972027972</v>
      </c>
      <c r="I604" s="51" t="n">
        <v>1.8</v>
      </c>
      <c r="J604" s="28" t="n">
        <f aca="false">H604*I604</f>
        <v>216.503496503497</v>
      </c>
      <c r="K604" s="52" t="s">
        <v>548</v>
      </c>
      <c r="L604" s="7" t="s">
        <v>1499</v>
      </c>
      <c r="M604" s="7" t="s">
        <v>1500</v>
      </c>
    </row>
    <row r="605" customFormat="false" ht="52.2" hidden="false" customHeight="false" outlineLevel="1" collapsed="false">
      <c r="A605" s="27"/>
      <c r="B605" s="27" t="s">
        <v>1512</v>
      </c>
      <c r="C605" s="7" t="s">
        <v>1501</v>
      </c>
      <c r="D605" s="27" t="s">
        <v>853</v>
      </c>
      <c r="E605" s="50" t="n">
        <v>258</v>
      </c>
      <c r="F605" s="50" t="n">
        <v>258</v>
      </c>
      <c r="G605" s="27" t="s">
        <v>865</v>
      </c>
      <c r="H605" s="50" t="n">
        <f aca="false">F605/IF(Varsayimlar!$B$21=1,1.43,1)</f>
        <v>180.41958041958</v>
      </c>
      <c r="I605" s="51" t="n">
        <v>1.97</v>
      </c>
      <c r="J605" s="28" t="n">
        <f aca="false">H605*I605</f>
        <v>355.426573426573</v>
      </c>
      <c r="K605" s="52" t="s">
        <v>548</v>
      </c>
      <c r="L605" s="7" t="s">
        <v>1502</v>
      </c>
      <c r="M605" s="7" t="s">
        <v>1503</v>
      </c>
    </row>
    <row r="606" customFormat="false" ht="26.85" hidden="false" customHeight="false" outlineLevel="1" collapsed="false">
      <c r="A606" s="27"/>
      <c r="B606" s="27" t="s">
        <v>1512</v>
      </c>
      <c r="C606" s="7" t="s">
        <v>1504</v>
      </c>
      <c r="D606" s="27" t="s">
        <v>727</v>
      </c>
      <c r="E606" s="50" t="n">
        <v>1</v>
      </c>
      <c r="F606" s="50" t="n">
        <v>1</v>
      </c>
      <c r="G606" s="27" t="s">
        <v>767</v>
      </c>
      <c r="H606" s="50" t="n">
        <f aca="false">F606</f>
        <v>1</v>
      </c>
      <c r="I606" s="51" t="n">
        <v>800</v>
      </c>
      <c r="J606" s="28" t="n">
        <f aca="false">H606*I606</f>
        <v>800</v>
      </c>
      <c r="K606" s="53" t="s">
        <v>551</v>
      </c>
      <c r="L606" s="7" t="s">
        <v>1493</v>
      </c>
      <c r="M606" s="7" t="s">
        <v>1505</v>
      </c>
    </row>
    <row r="607" customFormat="false" ht="26.85" hidden="false" customHeight="false" outlineLevel="1" collapsed="false">
      <c r="A607" s="27"/>
      <c r="B607" s="27" t="s">
        <v>1512</v>
      </c>
      <c r="C607" s="7" t="s">
        <v>1506</v>
      </c>
      <c r="D607" s="27" t="s">
        <v>732</v>
      </c>
      <c r="E607" s="50" t="n">
        <v>1</v>
      </c>
      <c r="F607" s="50" t="n">
        <v>1</v>
      </c>
      <c r="G607" s="27" t="s">
        <v>767</v>
      </c>
      <c r="H607" s="50" t="n">
        <f aca="false">F607</f>
        <v>1</v>
      </c>
      <c r="I607" s="51" t="n">
        <v>800</v>
      </c>
      <c r="J607" s="28" t="n">
        <f aca="false">H607*I607</f>
        <v>800</v>
      </c>
      <c r="K607" s="53" t="s">
        <v>551</v>
      </c>
      <c r="L607" s="7" t="s">
        <v>1493</v>
      </c>
      <c r="M607" s="7" t="s">
        <v>1507</v>
      </c>
    </row>
    <row r="608" customFormat="false" ht="15" hidden="false" customHeight="false" outlineLevel="0" collapsed="false">
      <c r="A608" s="48" t="s">
        <v>208</v>
      </c>
      <c r="B608" s="48" t="s">
        <v>1513</v>
      </c>
      <c r="C608" s="48" t="s">
        <v>209</v>
      </c>
      <c r="D608" s="48"/>
      <c r="E608" s="48"/>
      <c r="F608" s="48"/>
      <c r="G608" s="48"/>
      <c r="H608" s="48" t="s">
        <v>765</v>
      </c>
      <c r="I608" s="49" t="n">
        <f aca="false">SUMPRODUCT(E609:E653,I609:I653)</f>
        <v>63203.99</v>
      </c>
      <c r="J608" s="49" t="n">
        <f aca="false">SUM(J609:J653)</f>
        <v>55286.2234265734</v>
      </c>
      <c r="K608" s="48"/>
      <c r="L608" s="48"/>
      <c r="M608" s="48"/>
    </row>
    <row r="609" customFormat="false" ht="64.9" hidden="false" customHeight="false" outlineLevel="1" collapsed="false">
      <c r="A609" s="27"/>
      <c r="B609" s="27" t="s">
        <v>1513</v>
      </c>
      <c r="C609" s="7" t="s">
        <v>1514</v>
      </c>
      <c r="D609" s="27" t="s">
        <v>727</v>
      </c>
      <c r="E609" s="50" t="n">
        <v>1</v>
      </c>
      <c r="F609" s="50" t="n">
        <v>1</v>
      </c>
      <c r="G609" s="27" t="s">
        <v>767</v>
      </c>
      <c r="H609" s="50" t="n">
        <f aca="false">F609</f>
        <v>1</v>
      </c>
      <c r="I609" s="51" t="n">
        <v>4975</v>
      </c>
      <c r="J609" s="28" t="n">
        <f aca="false">H609*I609</f>
        <v>4975</v>
      </c>
      <c r="K609" s="52" t="s">
        <v>548</v>
      </c>
      <c r="L609" s="7" t="s">
        <v>1515</v>
      </c>
      <c r="M609" s="7" t="s">
        <v>1516</v>
      </c>
    </row>
    <row r="610" customFormat="false" ht="102.95" hidden="false" customHeight="false" outlineLevel="1" collapsed="false">
      <c r="A610" s="27"/>
      <c r="B610" s="27" t="s">
        <v>1513</v>
      </c>
      <c r="C610" s="7" t="s">
        <v>1517</v>
      </c>
      <c r="D610" s="27" t="s">
        <v>816</v>
      </c>
      <c r="E610" s="50" t="n">
        <v>1</v>
      </c>
      <c r="F610" s="50" t="n">
        <v>1</v>
      </c>
      <c r="G610" s="27" t="s">
        <v>767</v>
      </c>
      <c r="H610" s="50" t="n">
        <f aca="false">F610</f>
        <v>1</v>
      </c>
      <c r="I610" s="51" t="n">
        <v>3268.03</v>
      </c>
      <c r="J610" s="28" t="n">
        <f aca="false">H610*I610</f>
        <v>3268.03</v>
      </c>
      <c r="K610" s="52" t="s">
        <v>548</v>
      </c>
      <c r="L610" s="7" t="s">
        <v>1518</v>
      </c>
      <c r="M610" s="7" t="s">
        <v>1519</v>
      </c>
    </row>
    <row r="611" customFormat="false" ht="90.25" hidden="false" customHeight="false" outlineLevel="1" collapsed="false">
      <c r="A611" s="27"/>
      <c r="B611" s="27" t="s">
        <v>1513</v>
      </c>
      <c r="C611" s="7" t="s">
        <v>1520</v>
      </c>
      <c r="D611" s="27" t="s">
        <v>727</v>
      </c>
      <c r="E611" s="50" t="n">
        <v>56</v>
      </c>
      <c r="F611" s="50" t="n">
        <v>56</v>
      </c>
      <c r="G611" s="27" t="s">
        <v>829</v>
      </c>
      <c r="H611" s="50" t="n">
        <f aca="false">F611/IF(Varsayimlar!$B$21=1,1.3,1)</f>
        <v>43.0769230769231</v>
      </c>
      <c r="I611" s="51" t="n">
        <v>38.73</v>
      </c>
      <c r="J611" s="28" t="n">
        <f aca="false">H611*I611</f>
        <v>1668.36923076923</v>
      </c>
      <c r="K611" s="52" t="s">
        <v>548</v>
      </c>
      <c r="L611" s="7" t="s">
        <v>1474</v>
      </c>
      <c r="M611" s="7" t="s">
        <v>1521</v>
      </c>
    </row>
    <row r="612" customFormat="false" ht="102.95" hidden="false" customHeight="false" outlineLevel="1" collapsed="false">
      <c r="A612" s="27"/>
      <c r="B612" s="27" t="s">
        <v>1513</v>
      </c>
      <c r="C612" s="7" t="s">
        <v>1522</v>
      </c>
      <c r="D612" s="27" t="s">
        <v>727</v>
      </c>
      <c r="E612" s="50" t="n">
        <v>47</v>
      </c>
      <c r="F612" s="50" t="n">
        <v>47</v>
      </c>
      <c r="G612" s="27" t="s">
        <v>829</v>
      </c>
      <c r="H612" s="50" t="n">
        <f aca="false">F612/IF(Varsayimlar!$B$21=1,1.3,1)</f>
        <v>36.1538461538462</v>
      </c>
      <c r="I612" s="51" t="n">
        <v>53.73</v>
      </c>
      <c r="J612" s="28" t="n">
        <f aca="false">H612*I612</f>
        <v>1942.54615384615</v>
      </c>
      <c r="K612" s="52" t="s">
        <v>548</v>
      </c>
      <c r="L612" s="7" t="s">
        <v>1523</v>
      </c>
      <c r="M612" s="7" t="s">
        <v>1524</v>
      </c>
    </row>
    <row r="613" customFormat="false" ht="77.6" hidden="false" customHeight="false" outlineLevel="1" collapsed="false">
      <c r="A613" s="27"/>
      <c r="B613" s="27" t="s">
        <v>1513</v>
      </c>
      <c r="C613" s="7" t="s">
        <v>1525</v>
      </c>
      <c r="D613" s="27" t="s">
        <v>727</v>
      </c>
      <c r="E613" s="50" t="n">
        <v>13</v>
      </c>
      <c r="F613" s="50" t="n">
        <v>13</v>
      </c>
      <c r="G613" s="27" t="s">
        <v>829</v>
      </c>
      <c r="H613" s="50" t="n">
        <f aca="false">F613/IF(Varsayimlar!$B$21=1,1.3,1)</f>
        <v>10</v>
      </c>
      <c r="I613" s="51" t="n">
        <v>52.79</v>
      </c>
      <c r="J613" s="28" t="n">
        <f aca="false">H613*I613</f>
        <v>527.9</v>
      </c>
      <c r="K613" s="52" t="s">
        <v>548</v>
      </c>
      <c r="L613" s="7" t="s">
        <v>1526</v>
      </c>
      <c r="M613" s="7" t="s">
        <v>1527</v>
      </c>
    </row>
    <row r="614" customFormat="false" ht="52.2" hidden="false" customHeight="false" outlineLevel="1" collapsed="false">
      <c r="A614" s="27"/>
      <c r="B614" s="27" t="s">
        <v>1513</v>
      </c>
      <c r="C614" s="7" t="s">
        <v>1528</v>
      </c>
      <c r="D614" s="27" t="s">
        <v>727</v>
      </c>
      <c r="E614" s="50" t="n">
        <v>4</v>
      </c>
      <c r="F614" s="50" t="n">
        <v>4</v>
      </c>
      <c r="G614" s="27" t="s">
        <v>829</v>
      </c>
      <c r="H614" s="50" t="n">
        <f aca="false">F614/IF(Varsayimlar!$B$21=1,1.3,1)</f>
        <v>3.07692307692308</v>
      </c>
      <c r="I614" s="51" t="n">
        <v>35.89</v>
      </c>
      <c r="J614" s="28" t="n">
        <f aca="false">H614*I614</f>
        <v>110.430769230769</v>
      </c>
      <c r="K614" s="52" t="s">
        <v>548</v>
      </c>
      <c r="L614" s="7" t="s">
        <v>1477</v>
      </c>
      <c r="M614" s="7" t="s">
        <v>1529</v>
      </c>
    </row>
    <row r="615" customFormat="false" ht="26.85" hidden="false" customHeight="false" outlineLevel="1" collapsed="false">
      <c r="A615" s="27"/>
      <c r="B615" s="27" t="s">
        <v>1513</v>
      </c>
      <c r="C615" s="7" t="s">
        <v>1530</v>
      </c>
      <c r="D615" s="27" t="s">
        <v>727</v>
      </c>
      <c r="E615" s="50" t="n">
        <v>4</v>
      </c>
      <c r="F615" s="50" t="n">
        <v>4</v>
      </c>
      <c r="G615" s="27" t="s">
        <v>829</v>
      </c>
      <c r="H615" s="50" t="n">
        <f aca="false">F615/IF(Varsayimlar!$B$21=1,1.3,1)</f>
        <v>3.07692307692308</v>
      </c>
      <c r="I615" s="51" t="n">
        <v>250</v>
      </c>
      <c r="J615" s="28" t="n">
        <f aca="false">H615*I615</f>
        <v>769.230769230769</v>
      </c>
      <c r="K615" s="53" t="s">
        <v>551</v>
      </c>
      <c r="L615" s="7" t="s">
        <v>1493</v>
      </c>
      <c r="M615" s="7" t="s">
        <v>1531</v>
      </c>
    </row>
    <row r="616" customFormat="false" ht="90.25" hidden="false" customHeight="false" outlineLevel="1" collapsed="false">
      <c r="A616" s="27"/>
      <c r="B616" s="27" t="s">
        <v>1513</v>
      </c>
      <c r="C616" s="7" t="s">
        <v>1532</v>
      </c>
      <c r="D616" s="27" t="s">
        <v>1480</v>
      </c>
      <c r="E616" s="50" t="n">
        <v>7</v>
      </c>
      <c r="F616" s="50" t="n">
        <v>7</v>
      </c>
      <c r="G616" s="27" t="s">
        <v>767</v>
      </c>
      <c r="H616" s="50" t="n">
        <f aca="false">F616</f>
        <v>7</v>
      </c>
      <c r="I616" s="51" t="n">
        <v>814.66</v>
      </c>
      <c r="J616" s="28" t="n">
        <f aca="false">H616*I616</f>
        <v>5702.62</v>
      </c>
      <c r="K616" s="52" t="s">
        <v>548</v>
      </c>
      <c r="L616" s="7" t="s">
        <v>1481</v>
      </c>
      <c r="M616" s="7" t="s">
        <v>1533</v>
      </c>
    </row>
    <row r="617" customFormat="false" ht="26.85" hidden="false" customHeight="false" outlineLevel="1" collapsed="false">
      <c r="A617" s="27"/>
      <c r="B617" s="27" t="s">
        <v>1513</v>
      </c>
      <c r="C617" s="7" t="s">
        <v>1534</v>
      </c>
      <c r="D617" s="27" t="s">
        <v>816</v>
      </c>
      <c r="E617" s="50" t="n">
        <v>2</v>
      </c>
      <c r="F617" s="50" t="n">
        <v>2</v>
      </c>
      <c r="G617" s="27" t="s">
        <v>829</v>
      </c>
      <c r="H617" s="50" t="n">
        <f aca="false">F617/IF(Varsayimlar!$B$21=1,1.3,1)</f>
        <v>1.53846153846154</v>
      </c>
      <c r="I617" s="51" t="n">
        <v>1500</v>
      </c>
      <c r="J617" s="28" t="n">
        <f aca="false">H617*I617</f>
        <v>2307.69230769231</v>
      </c>
      <c r="K617" s="53" t="s">
        <v>551</v>
      </c>
      <c r="L617" s="7" t="s">
        <v>1493</v>
      </c>
      <c r="M617" s="7" t="s">
        <v>1535</v>
      </c>
    </row>
    <row r="618" customFormat="false" ht="77.6" hidden="false" customHeight="false" outlineLevel="1" collapsed="false">
      <c r="A618" s="27"/>
      <c r="B618" s="27" t="s">
        <v>1513</v>
      </c>
      <c r="C618" s="7" t="s">
        <v>1536</v>
      </c>
      <c r="D618" s="27" t="s">
        <v>727</v>
      </c>
      <c r="E618" s="50" t="n">
        <v>29</v>
      </c>
      <c r="F618" s="50" t="n">
        <v>29</v>
      </c>
      <c r="G618" s="27" t="s">
        <v>767</v>
      </c>
      <c r="H618" s="50" t="n">
        <f aca="false">F618</f>
        <v>29</v>
      </c>
      <c r="I618" s="51" t="n">
        <v>44.41</v>
      </c>
      <c r="J618" s="28" t="n">
        <f aca="false">H618*I618</f>
        <v>1287.89</v>
      </c>
      <c r="K618" s="52" t="s">
        <v>548</v>
      </c>
      <c r="L618" s="7" t="s">
        <v>1537</v>
      </c>
      <c r="M618" s="7" t="s">
        <v>1538</v>
      </c>
    </row>
    <row r="619" customFormat="false" ht="26.85" hidden="false" customHeight="false" outlineLevel="1" collapsed="false">
      <c r="A619" s="27"/>
      <c r="B619" s="27" t="s">
        <v>1513</v>
      </c>
      <c r="C619" s="7" t="s">
        <v>1539</v>
      </c>
      <c r="D619" s="27" t="s">
        <v>727</v>
      </c>
      <c r="E619" s="50" t="n">
        <v>13</v>
      </c>
      <c r="F619" s="50" t="n">
        <v>13</v>
      </c>
      <c r="G619" s="27" t="s">
        <v>767</v>
      </c>
      <c r="H619" s="50" t="n">
        <f aca="false">F619</f>
        <v>13</v>
      </c>
      <c r="I619" s="51" t="n">
        <v>60</v>
      </c>
      <c r="J619" s="28" t="n">
        <f aca="false">H619*I619</f>
        <v>780</v>
      </c>
      <c r="K619" s="53" t="s">
        <v>551</v>
      </c>
      <c r="L619" s="7" t="s">
        <v>1493</v>
      </c>
      <c r="M619" s="7" t="s">
        <v>1540</v>
      </c>
    </row>
    <row r="620" customFormat="false" ht="52.2" hidden="false" customHeight="false" outlineLevel="1" collapsed="false">
      <c r="A620" s="27"/>
      <c r="B620" s="27" t="s">
        <v>1513</v>
      </c>
      <c r="C620" s="7" t="s">
        <v>1541</v>
      </c>
      <c r="D620" s="27" t="s">
        <v>727</v>
      </c>
      <c r="E620" s="50" t="n">
        <v>34</v>
      </c>
      <c r="F620" s="50" t="n">
        <v>34</v>
      </c>
      <c r="G620" s="27" t="s">
        <v>767</v>
      </c>
      <c r="H620" s="50" t="n">
        <f aca="false">F620</f>
        <v>34</v>
      </c>
      <c r="I620" s="51" t="n">
        <v>48.74</v>
      </c>
      <c r="J620" s="28" t="n">
        <f aca="false">H620*I620</f>
        <v>1657.16</v>
      </c>
      <c r="K620" s="52" t="s">
        <v>548</v>
      </c>
      <c r="L620" s="7" t="s">
        <v>1542</v>
      </c>
      <c r="M620" s="7" t="s">
        <v>1543</v>
      </c>
    </row>
    <row r="621" customFormat="false" ht="128.35" hidden="false" customHeight="false" outlineLevel="1" collapsed="false">
      <c r="A621" s="27"/>
      <c r="B621" s="27" t="s">
        <v>1513</v>
      </c>
      <c r="C621" s="7" t="s">
        <v>1544</v>
      </c>
      <c r="D621" s="27" t="s">
        <v>727</v>
      </c>
      <c r="E621" s="50" t="n">
        <v>30</v>
      </c>
      <c r="F621" s="50" t="n">
        <v>30</v>
      </c>
      <c r="G621" s="27" t="s">
        <v>767</v>
      </c>
      <c r="H621" s="50" t="n">
        <f aca="false">F621</f>
        <v>30</v>
      </c>
      <c r="I621" s="51" t="n">
        <v>68.42</v>
      </c>
      <c r="J621" s="28" t="n">
        <f aca="false">H621*I621</f>
        <v>2052.6</v>
      </c>
      <c r="K621" s="52" t="s">
        <v>548</v>
      </c>
      <c r="L621" s="7" t="s">
        <v>1490</v>
      </c>
      <c r="M621" s="7" t="s">
        <v>1545</v>
      </c>
    </row>
    <row r="622" customFormat="false" ht="64.9" hidden="false" customHeight="false" outlineLevel="1" collapsed="false">
      <c r="A622" s="27"/>
      <c r="B622" s="27" t="s">
        <v>1513</v>
      </c>
      <c r="C622" s="7" t="s">
        <v>1546</v>
      </c>
      <c r="D622" s="27" t="s">
        <v>727</v>
      </c>
      <c r="E622" s="50" t="n">
        <v>10</v>
      </c>
      <c r="F622" s="50" t="n">
        <v>10</v>
      </c>
      <c r="G622" s="27" t="s">
        <v>767</v>
      </c>
      <c r="H622" s="50" t="n">
        <f aca="false">F622</f>
        <v>10</v>
      </c>
      <c r="I622" s="51" t="n">
        <v>80.33</v>
      </c>
      <c r="J622" s="28" t="n">
        <f aca="false">H622*I622</f>
        <v>803.3</v>
      </c>
      <c r="K622" s="52" t="s">
        <v>548</v>
      </c>
      <c r="L622" s="7" t="s">
        <v>1547</v>
      </c>
      <c r="M622" s="7" t="s">
        <v>1548</v>
      </c>
    </row>
    <row r="623" customFormat="false" ht="26.85" hidden="false" customHeight="false" outlineLevel="1" collapsed="false">
      <c r="A623" s="27"/>
      <c r="B623" s="27" t="s">
        <v>1513</v>
      </c>
      <c r="C623" s="7" t="s">
        <v>1549</v>
      </c>
      <c r="D623" s="27" t="s">
        <v>727</v>
      </c>
      <c r="E623" s="50" t="n">
        <v>12</v>
      </c>
      <c r="F623" s="50" t="n">
        <v>12</v>
      </c>
      <c r="G623" s="27" t="s">
        <v>767</v>
      </c>
      <c r="H623" s="50" t="n">
        <f aca="false">F623</f>
        <v>12</v>
      </c>
      <c r="I623" s="51" t="n">
        <v>35</v>
      </c>
      <c r="J623" s="28" t="n">
        <f aca="false">H623*I623</f>
        <v>420</v>
      </c>
      <c r="K623" s="53" t="s">
        <v>551</v>
      </c>
      <c r="L623" s="7" t="s">
        <v>1493</v>
      </c>
      <c r="M623" s="7" t="s">
        <v>1494</v>
      </c>
    </row>
    <row r="624" customFormat="false" ht="64.9" hidden="false" customHeight="false" outlineLevel="1" collapsed="false">
      <c r="A624" s="27"/>
      <c r="B624" s="27" t="s">
        <v>1513</v>
      </c>
      <c r="C624" s="7" t="s">
        <v>1550</v>
      </c>
      <c r="D624" s="27" t="s">
        <v>853</v>
      </c>
      <c r="E624" s="50" t="n">
        <v>1715</v>
      </c>
      <c r="F624" s="50" t="n">
        <v>1715</v>
      </c>
      <c r="G624" s="27" t="s">
        <v>865</v>
      </c>
      <c r="H624" s="50" t="n">
        <f aca="false">F624/IF(Varsayimlar!$B$21=1,1.43,1)</f>
        <v>1199.3006993007</v>
      </c>
      <c r="I624" s="51" t="n">
        <v>2.43</v>
      </c>
      <c r="J624" s="28" t="n">
        <f aca="false">H624*I624</f>
        <v>2914.3006993007</v>
      </c>
      <c r="K624" s="52" t="s">
        <v>548</v>
      </c>
      <c r="L624" s="7" t="s">
        <v>1551</v>
      </c>
      <c r="M624" s="7" t="s">
        <v>1552</v>
      </c>
    </row>
    <row r="625" customFormat="false" ht="64.9" hidden="false" customHeight="false" outlineLevel="1" collapsed="false">
      <c r="A625" s="27"/>
      <c r="B625" s="27" t="s">
        <v>1513</v>
      </c>
      <c r="C625" s="7" t="s">
        <v>1553</v>
      </c>
      <c r="D625" s="27" t="s">
        <v>853</v>
      </c>
      <c r="E625" s="50" t="n">
        <v>558</v>
      </c>
      <c r="F625" s="50" t="n">
        <v>558</v>
      </c>
      <c r="G625" s="27" t="s">
        <v>865</v>
      </c>
      <c r="H625" s="50" t="n">
        <f aca="false">F625/IF(Varsayimlar!$B$21=1,1.43,1)</f>
        <v>390.20979020979</v>
      </c>
      <c r="I625" s="51" t="n">
        <v>2.43</v>
      </c>
      <c r="J625" s="28" t="n">
        <f aca="false">H625*I625</f>
        <v>948.20979020979</v>
      </c>
      <c r="K625" s="52" t="s">
        <v>548</v>
      </c>
      <c r="L625" s="7" t="s">
        <v>1551</v>
      </c>
      <c r="M625" s="7" t="s">
        <v>1554</v>
      </c>
    </row>
    <row r="626" customFormat="false" ht="52.2" hidden="false" customHeight="false" outlineLevel="1" collapsed="false">
      <c r="A626" s="27"/>
      <c r="B626" s="27" t="s">
        <v>1513</v>
      </c>
      <c r="C626" s="7" t="s">
        <v>1555</v>
      </c>
      <c r="D626" s="27" t="s">
        <v>853</v>
      </c>
      <c r="E626" s="50" t="n">
        <v>587</v>
      </c>
      <c r="F626" s="50" t="n">
        <v>587</v>
      </c>
      <c r="G626" s="27" t="s">
        <v>865</v>
      </c>
      <c r="H626" s="50" t="n">
        <f aca="false">F626/IF(Varsayimlar!$B$21=1,1.43,1)</f>
        <v>410.489510489511</v>
      </c>
      <c r="I626" s="51" t="n">
        <v>2.16</v>
      </c>
      <c r="J626" s="28" t="n">
        <f aca="false">H626*I626</f>
        <v>886.657342657343</v>
      </c>
      <c r="K626" s="52" t="s">
        <v>548</v>
      </c>
      <c r="L626" s="7" t="s">
        <v>1556</v>
      </c>
      <c r="M626" s="7" t="s">
        <v>1557</v>
      </c>
    </row>
    <row r="627" customFormat="false" ht="52.2" hidden="false" customHeight="false" outlineLevel="1" collapsed="false">
      <c r="A627" s="27"/>
      <c r="B627" s="27" t="s">
        <v>1513</v>
      </c>
      <c r="C627" s="7" t="s">
        <v>1558</v>
      </c>
      <c r="D627" s="27" t="s">
        <v>853</v>
      </c>
      <c r="E627" s="50" t="n">
        <v>108</v>
      </c>
      <c r="F627" s="50" t="n">
        <v>108</v>
      </c>
      <c r="G627" s="27" t="s">
        <v>865</v>
      </c>
      <c r="H627" s="50" t="n">
        <f aca="false">F627/IF(Varsayimlar!$B$21=1,1.43,1)</f>
        <v>75.5244755244755</v>
      </c>
      <c r="I627" s="51" t="n">
        <v>1.8</v>
      </c>
      <c r="J627" s="28" t="n">
        <f aca="false">H627*I627</f>
        <v>135.944055944056</v>
      </c>
      <c r="K627" s="52" t="s">
        <v>548</v>
      </c>
      <c r="L627" s="7" t="s">
        <v>1499</v>
      </c>
      <c r="M627" s="7" t="s">
        <v>1559</v>
      </c>
    </row>
    <row r="628" customFormat="false" ht="39.55" hidden="false" customHeight="false" outlineLevel="1" collapsed="false">
      <c r="A628" s="27"/>
      <c r="B628" s="27" t="s">
        <v>1513</v>
      </c>
      <c r="C628" s="7" t="s">
        <v>1560</v>
      </c>
      <c r="D628" s="27" t="s">
        <v>853</v>
      </c>
      <c r="E628" s="50" t="n">
        <v>756</v>
      </c>
      <c r="F628" s="50" t="n">
        <v>756</v>
      </c>
      <c r="G628" s="27" t="s">
        <v>865</v>
      </c>
      <c r="H628" s="50" t="n">
        <f aca="false">F628/IF(Varsayimlar!$B$21=1,1.43,1)</f>
        <v>528.671328671329</v>
      </c>
      <c r="I628" s="51" t="n">
        <v>2.79</v>
      </c>
      <c r="J628" s="28" t="n">
        <f aca="false">H628*I628</f>
        <v>1474.99300699301</v>
      </c>
      <c r="K628" s="52" t="s">
        <v>548</v>
      </c>
      <c r="L628" s="7" t="s">
        <v>1561</v>
      </c>
      <c r="M628" s="7" t="s">
        <v>1562</v>
      </c>
    </row>
    <row r="629" customFormat="false" ht="52.2" hidden="false" customHeight="false" outlineLevel="1" collapsed="false">
      <c r="A629" s="27"/>
      <c r="B629" s="27" t="s">
        <v>1513</v>
      </c>
      <c r="C629" s="7" t="s">
        <v>1563</v>
      </c>
      <c r="D629" s="27" t="s">
        <v>853</v>
      </c>
      <c r="E629" s="50" t="n">
        <v>1286</v>
      </c>
      <c r="F629" s="50" t="n">
        <v>1286</v>
      </c>
      <c r="G629" s="27" t="s">
        <v>865</v>
      </c>
      <c r="H629" s="50" t="n">
        <f aca="false">F629/IF(Varsayimlar!$B$21=1,1.43,1)</f>
        <v>899.300699300699</v>
      </c>
      <c r="I629" s="51" t="n">
        <v>1.97</v>
      </c>
      <c r="J629" s="28" t="n">
        <f aca="false">H629*I629</f>
        <v>1771.62237762238</v>
      </c>
      <c r="K629" s="52" t="s">
        <v>548</v>
      </c>
      <c r="L629" s="7" t="s">
        <v>1502</v>
      </c>
      <c r="M629" s="7" t="s">
        <v>1503</v>
      </c>
    </row>
    <row r="630" customFormat="false" ht="90.25" hidden="false" customHeight="false" outlineLevel="1" collapsed="false">
      <c r="A630" s="27"/>
      <c r="B630" s="27" t="s">
        <v>1513</v>
      </c>
      <c r="C630" s="7" t="s">
        <v>1564</v>
      </c>
      <c r="D630" s="27" t="s">
        <v>727</v>
      </c>
      <c r="E630" s="50" t="n">
        <v>1</v>
      </c>
      <c r="F630" s="50" t="n">
        <v>1</v>
      </c>
      <c r="G630" s="27" t="s">
        <v>767</v>
      </c>
      <c r="H630" s="50" t="n">
        <f aca="false">F630</f>
        <v>1</v>
      </c>
      <c r="I630" s="51" t="n">
        <v>2083.07</v>
      </c>
      <c r="J630" s="28" t="n">
        <f aca="false">H630*I630</f>
        <v>2083.07</v>
      </c>
      <c r="K630" s="52" t="s">
        <v>548</v>
      </c>
      <c r="L630" s="7" t="s">
        <v>1471</v>
      </c>
      <c r="M630" s="7" t="s">
        <v>1565</v>
      </c>
    </row>
    <row r="631" customFormat="false" ht="90.25" hidden="false" customHeight="false" outlineLevel="1" collapsed="false">
      <c r="A631" s="27"/>
      <c r="B631" s="27" t="s">
        <v>1513</v>
      </c>
      <c r="C631" s="7" t="s">
        <v>1566</v>
      </c>
      <c r="D631" s="27" t="s">
        <v>727</v>
      </c>
      <c r="E631" s="50" t="n">
        <v>24</v>
      </c>
      <c r="F631" s="50" t="n">
        <v>24</v>
      </c>
      <c r="G631" s="27" t="s">
        <v>829</v>
      </c>
      <c r="H631" s="50" t="n">
        <f aca="false">F631/IF(Varsayimlar!$B$21=1,1.3,1)</f>
        <v>18.4615384615385</v>
      </c>
      <c r="I631" s="51" t="n">
        <v>45.76</v>
      </c>
      <c r="J631" s="28" t="n">
        <f aca="false">H631*I631</f>
        <v>844.8</v>
      </c>
      <c r="K631" s="52" t="s">
        <v>548</v>
      </c>
      <c r="L631" s="7" t="s">
        <v>1567</v>
      </c>
      <c r="M631" s="7" t="s">
        <v>1568</v>
      </c>
    </row>
    <row r="632" customFormat="false" ht="102.95" hidden="false" customHeight="false" outlineLevel="1" collapsed="false">
      <c r="A632" s="27"/>
      <c r="B632" s="27" t="s">
        <v>1513</v>
      </c>
      <c r="C632" s="7" t="s">
        <v>1569</v>
      </c>
      <c r="D632" s="27" t="s">
        <v>727</v>
      </c>
      <c r="E632" s="50" t="n">
        <v>3</v>
      </c>
      <c r="F632" s="50" t="n">
        <v>3</v>
      </c>
      <c r="G632" s="27" t="s">
        <v>767</v>
      </c>
      <c r="H632" s="50" t="n">
        <f aca="false">F632</f>
        <v>3</v>
      </c>
      <c r="I632" s="51" t="n">
        <v>64.58</v>
      </c>
      <c r="J632" s="28" t="n">
        <f aca="false">H632*I632</f>
        <v>193.74</v>
      </c>
      <c r="K632" s="52" t="s">
        <v>548</v>
      </c>
      <c r="L632" s="7" t="s">
        <v>1484</v>
      </c>
      <c r="M632" s="7" t="s">
        <v>1570</v>
      </c>
    </row>
    <row r="633" customFormat="false" ht="102.95" hidden="false" customHeight="false" outlineLevel="1" collapsed="false">
      <c r="A633" s="27"/>
      <c r="B633" s="27" t="s">
        <v>1513</v>
      </c>
      <c r="C633" s="7" t="s">
        <v>1571</v>
      </c>
      <c r="D633" s="27" t="s">
        <v>727</v>
      </c>
      <c r="E633" s="50" t="n">
        <v>4</v>
      </c>
      <c r="F633" s="50" t="n">
        <v>4</v>
      </c>
      <c r="G633" s="27" t="s">
        <v>767</v>
      </c>
      <c r="H633" s="50" t="n">
        <f aca="false">F633</f>
        <v>4</v>
      </c>
      <c r="I633" s="51" t="n">
        <v>62.39</v>
      </c>
      <c r="J633" s="28" t="n">
        <f aca="false">H633*I633</f>
        <v>249.56</v>
      </c>
      <c r="K633" s="52" t="s">
        <v>548</v>
      </c>
      <c r="L633" s="7" t="s">
        <v>1487</v>
      </c>
      <c r="M633" s="7" t="s">
        <v>1572</v>
      </c>
    </row>
    <row r="634" customFormat="false" ht="26.85" hidden="false" customHeight="false" outlineLevel="1" collapsed="false">
      <c r="A634" s="27"/>
      <c r="B634" s="27" t="s">
        <v>1513</v>
      </c>
      <c r="C634" s="7" t="s">
        <v>1573</v>
      </c>
      <c r="D634" s="27" t="s">
        <v>727</v>
      </c>
      <c r="E634" s="50" t="n">
        <v>4</v>
      </c>
      <c r="F634" s="50" t="n">
        <v>4</v>
      </c>
      <c r="G634" s="27" t="s">
        <v>767</v>
      </c>
      <c r="H634" s="50" t="n">
        <f aca="false">F634</f>
        <v>4</v>
      </c>
      <c r="I634" s="51" t="n">
        <v>35</v>
      </c>
      <c r="J634" s="28" t="n">
        <f aca="false">H634*I634</f>
        <v>140</v>
      </c>
      <c r="K634" s="53" t="s">
        <v>551</v>
      </c>
      <c r="L634" s="7" t="s">
        <v>1493</v>
      </c>
      <c r="M634" s="7" t="s">
        <v>1494</v>
      </c>
    </row>
    <row r="635" customFormat="false" ht="64.9" hidden="false" customHeight="false" outlineLevel="1" collapsed="false">
      <c r="A635" s="27"/>
      <c r="B635" s="27" t="s">
        <v>1513</v>
      </c>
      <c r="C635" s="7" t="s">
        <v>1574</v>
      </c>
      <c r="D635" s="27" t="s">
        <v>853</v>
      </c>
      <c r="E635" s="50" t="n">
        <v>252</v>
      </c>
      <c r="F635" s="50" t="n">
        <v>252</v>
      </c>
      <c r="G635" s="27" t="s">
        <v>865</v>
      </c>
      <c r="H635" s="50" t="n">
        <f aca="false">F635/IF(Varsayimlar!$B$21=1,1.43,1)</f>
        <v>176.223776223776</v>
      </c>
      <c r="I635" s="51" t="n">
        <v>2.48</v>
      </c>
      <c r="J635" s="28" t="n">
        <f aca="false">H635*I635</f>
        <v>437.034965034965</v>
      </c>
      <c r="K635" s="52" t="s">
        <v>548</v>
      </c>
      <c r="L635" s="7" t="s">
        <v>1575</v>
      </c>
      <c r="M635" s="7" t="s">
        <v>1576</v>
      </c>
    </row>
    <row r="636" customFormat="false" ht="90.25" hidden="false" customHeight="false" outlineLevel="1" collapsed="false">
      <c r="A636" s="27"/>
      <c r="B636" s="27" t="s">
        <v>1513</v>
      </c>
      <c r="C636" s="7" t="s">
        <v>1577</v>
      </c>
      <c r="D636" s="27" t="s">
        <v>727</v>
      </c>
      <c r="E636" s="50" t="n">
        <v>1</v>
      </c>
      <c r="F636" s="50" t="n">
        <v>1</v>
      </c>
      <c r="G636" s="27" t="s">
        <v>767</v>
      </c>
      <c r="H636" s="50" t="n">
        <f aca="false">F636</f>
        <v>1</v>
      </c>
      <c r="I636" s="51" t="n">
        <v>2083.07</v>
      </c>
      <c r="J636" s="28" t="n">
        <f aca="false">H636*I636</f>
        <v>2083.07</v>
      </c>
      <c r="K636" s="52" t="s">
        <v>548</v>
      </c>
      <c r="L636" s="7" t="s">
        <v>1471</v>
      </c>
      <c r="M636" s="7" t="s">
        <v>1578</v>
      </c>
    </row>
    <row r="637" customFormat="false" ht="77.6" hidden="false" customHeight="false" outlineLevel="1" collapsed="false">
      <c r="A637" s="27"/>
      <c r="B637" s="27" t="s">
        <v>1513</v>
      </c>
      <c r="C637" s="7" t="s">
        <v>1579</v>
      </c>
      <c r="D637" s="27" t="s">
        <v>727</v>
      </c>
      <c r="E637" s="50" t="n">
        <v>4</v>
      </c>
      <c r="F637" s="50" t="n">
        <v>4</v>
      </c>
      <c r="G637" s="27" t="s">
        <v>829</v>
      </c>
      <c r="H637" s="50" t="n">
        <f aca="false">F637/IF(Varsayimlar!$B$21=1,1.3,1)</f>
        <v>3.07692307692308</v>
      </c>
      <c r="I637" s="51" t="n">
        <v>37.31</v>
      </c>
      <c r="J637" s="28" t="n">
        <f aca="false">H637*I637</f>
        <v>114.8</v>
      </c>
      <c r="K637" s="52" t="s">
        <v>548</v>
      </c>
      <c r="L637" s="7" t="s">
        <v>1580</v>
      </c>
      <c r="M637" s="7" t="s">
        <v>1581</v>
      </c>
    </row>
    <row r="638" customFormat="false" ht="90.25" hidden="false" customHeight="false" outlineLevel="1" collapsed="false">
      <c r="A638" s="27"/>
      <c r="B638" s="27" t="s">
        <v>1513</v>
      </c>
      <c r="C638" s="7" t="s">
        <v>1582</v>
      </c>
      <c r="D638" s="27" t="s">
        <v>727</v>
      </c>
      <c r="E638" s="50" t="n">
        <v>3</v>
      </c>
      <c r="F638" s="50" t="n">
        <v>3</v>
      </c>
      <c r="G638" s="27" t="s">
        <v>767</v>
      </c>
      <c r="H638" s="50" t="n">
        <f aca="false">F638</f>
        <v>3</v>
      </c>
      <c r="I638" s="51" t="n">
        <v>56.41</v>
      </c>
      <c r="J638" s="28" t="n">
        <f aca="false">H638*I638</f>
        <v>169.23</v>
      </c>
      <c r="K638" s="52" t="s">
        <v>548</v>
      </c>
      <c r="L638" s="7" t="s">
        <v>1583</v>
      </c>
      <c r="M638" s="7" t="s">
        <v>1584</v>
      </c>
    </row>
    <row r="639" customFormat="false" ht="52.2" hidden="false" customHeight="false" outlineLevel="1" collapsed="false">
      <c r="A639" s="27"/>
      <c r="B639" s="27" t="s">
        <v>1513</v>
      </c>
      <c r="C639" s="7" t="s">
        <v>1585</v>
      </c>
      <c r="D639" s="27" t="s">
        <v>727</v>
      </c>
      <c r="E639" s="50" t="n">
        <v>3</v>
      </c>
      <c r="F639" s="50" t="n">
        <v>3</v>
      </c>
      <c r="G639" s="27" t="s">
        <v>767</v>
      </c>
      <c r="H639" s="50" t="n">
        <f aca="false">F639</f>
        <v>3</v>
      </c>
      <c r="I639" s="51" t="n">
        <v>48.74</v>
      </c>
      <c r="J639" s="28" t="n">
        <f aca="false">H639*I639</f>
        <v>146.22</v>
      </c>
      <c r="K639" s="52" t="s">
        <v>548</v>
      </c>
      <c r="L639" s="7" t="s">
        <v>1542</v>
      </c>
      <c r="M639" s="7" t="s">
        <v>1586</v>
      </c>
    </row>
    <row r="640" customFormat="false" ht="64.9" hidden="false" customHeight="false" outlineLevel="1" collapsed="false">
      <c r="A640" s="27"/>
      <c r="B640" s="27" t="s">
        <v>1513</v>
      </c>
      <c r="C640" s="7" t="s">
        <v>1587</v>
      </c>
      <c r="D640" s="27" t="s">
        <v>853</v>
      </c>
      <c r="E640" s="50" t="n">
        <v>212</v>
      </c>
      <c r="F640" s="50" t="n">
        <v>212</v>
      </c>
      <c r="G640" s="27" t="s">
        <v>865</v>
      </c>
      <c r="H640" s="50" t="n">
        <f aca="false">F640/IF(Varsayimlar!$B$21=1,1.43,1)</f>
        <v>148.251748251748</v>
      </c>
      <c r="I640" s="51" t="n">
        <v>2.12</v>
      </c>
      <c r="J640" s="28" t="n">
        <f aca="false">H640*I640</f>
        <v>314.293706293706</v>
      </c>
      <c r="K640" s="52" t="s">
        <v>548</v>
      </c>
      <c r="L640" s="7" t="s">
        <v>1588</v>
      </c>
      <c r="M640" s="7" t="s">
        <v>1589</v>
      </c>
    </row>
    <row r="641" customFormat="false" ht="77.6" hidden="false" customHeight="false" outlineLevel="1" collapsed="false">
      <c r="A641" s="27"/>
      <c r="B641" s="27" t="s">
        <v>1513</v>
      </c>
      <c r="C641" s="7" t="s">
        <v>1590</v>
      </c>
      <c r="D641" s="27" t="s">
        <v>727</v>
      </c>
      <c r="E641" s="50" t="n">
        <v>11</v>
      </c>
      <c r="F641" s="50" t="n">
        <v>11</v>
      </c>
      <c r="G641" s="27" t="s">
        <v>829</v>
      </c>
      <c r="H641" s="50" t="n">
        <f aca="false">F641/IF(Varsayimlar!$B$21=1,1.3,1)</f>
        <v>8.46153846153846</v>
      </c>
      <c r="I641" s="51" t="n">
        <v>52.79</v>
      </c>
      <c r="J641" s="28" t="n">
        <f aca="false">H641*I641</f>
        <v>446.684615384615</v>
      </c>
      <c r="K641" s="52" t="s">
        <v>548</v>
      </c>
      <c r="L641" s="7" t="s">
        <v>1526</v>
      </c>
      <c r="M641" s="7" t="s">
        <v>1568</v>
      </c>
    </row>
    <row r="642" customFormat="false" ht="90.25" hidden="false" customHeight="false" outlineLevel="1" collapsed="false">
      <c r="A642" s="27"/>
      <c r="B642" s="27" t="s">
        <v>1513</v>
      </c>
      <c r="C642" s="7" t="s">
        <v>1591</v>
      </c>
      <c r="D642" s="27" t="s">
        <v>727</v>
      </c>
      <c r="E642" s="50" t="n">
        <v>8</v>
      </c>
      <c r="F642" s="50" t="n">
        <v>8</v>
      </c>
      <c r="G642" s="27" t="s">
        <v>829</v>
      </c>
      <c r="H642" s="50" t="n">
        <f aca="false">F642/IF(Varsayimlar!$B$21=1,1.3,1)</f>
        <v>6.15384615384615</v>
      </c>
      <c r="I642" s="51" t="n">
        <v>38.73</v>
      </c>
      <c r="J642" s="28" t="n">
        <f aca="false">H642*I642</f>
        <v>238.338461538462</v>
      </c>
      <c r="K642" s="52" t="s">
        <v>548</v>
      </c>
      <c r="L642" s="7" t="s">
        <v>1474</v>
      </c>
      <c r="M642" s="7" t="s">
        <v>1592</v>
      </c>
    </row>
    <row r="643" customFormat="false" ht="77.6" hidden="false" customHeight="false" outlineLevel="1" collapsed="false">
      <c r="A643" s="27"/>
      <c r="B643" s="27" t="s">
        <v>1513</v>
      </c>
      <c r="C643" s="7" t="s">
        <v>1593</v>
      </c>
      <c r="D643" s="27" t="s">
        <v>727</v>
      </c>
      <c r="E643" s="50" t="n">
        <v>4</v>
      </c>
      <c r="F643" s="50" t="n">
        <v>4</v>
      </c>
      <c r="G643" s="27" t="s">
        <v>767</v>
      </c>
      <c r="H643" s="50" t="n">
        <f aca="false">F643</f>
        <v>4</v>
      </c>
      <c r="I643" s="51" t="n">
        <v>44.41</v>
      </c>
      <c r="J643" s="28" t="n">
        <f aca="false">H643*I643</f>
        <v>177.64</v>
      </c>
      <c r="K643" s="52" t="s">
        <v>548</v>
      </c>
      <c r="L643" s="7" t="s">
        <v>1537</v>
      </c>
      <c r="M643" s="7" t="s">
        <v>1538</v>
      </c>
    </row>
    <row r="644" customFormat="false" ht="90.25" hidden="false" customHeight="false" outlineLevel="1" collapsed="false">
      <c r="A644" s="27"/>
      <c r="B644" s="27" t="s">
        <v>1513</v>
      </c>
      <c r="C644" s="7" t="s">
        <v>1594</v>
      </c>
      <c r="D644" s="27" t="s">
        <v>727</v>
      </c>
      <c r="E644" s="50" t="n">
        <v>5</v>
      </c>
      <c r="F644" s="50" t="n">
        <v>5</v>
      </c>
      <c r="G644" s="27" t="s">
        <v>767</v>
      </c>
      <c r="H644" s="50" t="n">
        <f aca="false">F644</f>
        <v>5</v>
      </c>
      <c r="I644" s="51" t="n">
        <v>99.37</v>
      </c>
      <c r="J644" s="28" t="n">
        <f aca="false">H644*I644</f>
        <v>496.85</v>
      </c>
      <c r="K644" s="52" t="s">
        <v>548</v>
      </c>
      <c r="L644" s="7" t="s">
        <v>1595</v>
      </c>
      <c r="M644" s="7" t="s">
        <v>1596</v>
      </c>
    </row>
    <row r="645" customFormat="false" ht="26.85" hidden="false" customHeight="false" outlineLevel="1" collapsed="false">
      <c r="A645" s="27"/>
      <c r="B645" s="27" t="s">
        <v>1513</v>
      </c>
      <c r="C645" s="7" t="s">
        <v>1597</v>
      </c>
      <c r="D645" s="27" t="s">
        <v>727</v>
      </c>
      <c r="E645" s="50" t="n">
        <v>1</v>
      </c>
      <c r="F645" s="50" t="n">
        <v>1</v>
      </c>
      <c r="G645" s="27" t="s">
        <v>767</v>
      </c>
      <c r="H645" s="50" t="n">
        <f aca="false">F645</f>
        <v>1</v>
      </c>
      <c r="I645" s="51" t="n">
        <v>35</v>
      </c>
      <c r="J645" s="28" t="n">
        <f aca="false">H645*I645</f>
        <v>35</v>
      </c>
      <c r="K645" s="53" t="s">
        <v>551</v>
      </c>
      <c r="L645" s="7" t="s">
        <v>1493</v>
      </c>
      <c r="M645" s="7" t="s">
        <v>1494</v>
      </c>
    </row>
    <row r="646" customFormat="false" ht="64.9" hidden="false" customHeight="false" outlineLevel="1" collapsed="false">
      <c r="A646" s="27"/>
      <c r="B646" s="27" t="s">
        <v>1513</v>
      </c>
      <c r="C646" s="7" t="s">
        <v>1598</v>
      </c>
      <c r="D646" s="27" t="s">
        <v>853</v>
      </c>
      <c r="E646" s="50" t="n">
        <v>1070</v>
      </c>
      <c r="F646" s="50" t="n">
        <v>1070</v>
      </c>
      <c r="G646" s="27" t="s">
        <v>865</v>
      </c>
      <c r="H646" s="50" t="n">
        <f aca="false">F646/IF(Varsayimlar!$B$21=1,1.43,1)</f>
        <v>748.251748251748</v>
      </c>
      <c r="I646" s="51" t="n">
        <v>2.12</v>
      </c>
      <c r="J646" s="28" t="n">
        <f aca="false">H646*I646</f>
        <v>1586.29370629371</v>
      </c>
      <c r="K646" s="52" t="s">
        <v>548</v>
      </c>
      <c r="L646" s="7" t="s">
        <v>1588</v>
      </c>
      <c r="M646" s="7" t="s">
        <v>1589</v>
      </c>
    </row>
    <row r="647" customFormat="false" ht="90.25" hidden="false" customHeight="false" outlineLevel="1" collapsed="false">
      <c r="A647" s="27"/>
      <c r="B647" s="27" t="s">
        <v>1513</v>
      </c>
      <c r="C647" s="7" t="s">
        <v>1599</v>
      </c>
      <c r="D647" s="27" t="s">
        <v>727</v>
      </c>
      <c r="E647" s="50" t="n">
        <v>1</v>
      </c>
      <c r="F647" s="50" t="n">
        <v>1</v>
      </c>
      <c r="G647" s="27" t="s">
        <v>767</v>
      </c>
      <c r="H647" s="50" t="n">
        <f aca="false">F647</f>
        <v>1</v>
      </c>
      <c r="I647" s="51" t="n">
        <v>2083.07</v>
      </c>
      <c r="J647" s="28" t="n">
        <f aca="false">H647*I647</f>
        <v>2083.07</v>
      </c>
      <c r="K647" s="52" t="s">
        <v>548</v>
      </c>
      <c r="L647" s="7" t="s">
        <v>1471</v>
      </c>
      <c r="M647" s="7" t="s">
        <v>1600</v>
      </c>
    </row>
    <row r="648" customFormat="false" ht="52.2" hidden="false" customHeight="false" outlineLevel="1" collapsed="false">
      <c r="A648" s="27"/>
      <c r="B648" s="27" t="s">
        <v>1513</v>
      </c>
      <c r="C648" s="7" t="s">
        <v>1601</v>
      </c>
      <c r="D648" s="27" t="s">
        <v>727</v>
      </c>
      <c r="E648" s="50" t="n">
        <v>6</v>
      </c>
      <c r="F648" s="50" t="n">
        <v>6</v>
      </c>
      <c r="G648" s="27" t="s">
        <v>829</v>
      </c>
      <c r="H648" s="50" t="n">
        <f aca="false">F648/IF(Varsayimlar!$B$21=1,1.3,1)</f>
        <v>4.61538461538462</v>
      </c>
      <c r="I648" s="51" t="n">
        <v>35.89</v>
      </c>
      <c r="J648" s="28" t="n">
        <f aca="false">H648*I648</f>
        <v>165.646153846154</v>
      </c>
      <c r="K648" s="52" t="s">
        <v>548</v>
      </c>
      <c r="L648" s="7" t="s">
        <v>1477</v>
      </c>
      <c r="M648" s="7" t="s">
        <v>1592</v>
      </c>
    </row>
    <row r="649" customFormat="false" ht="141" hidden="false" customHeight="false" outlineLevel="1" collapsed="false">
      <c r="A649" s="27"/>
      <c r="B649" s="27" t="s">
        <v>1513</v>
      </c>
      <c r="C649" s="7" t="s">
        <v>1602</v>
      </c>
      <c r="D649" s="27" t="s">
        <v>727</v>
      </c>
      <c r="E649" s="50" t="n">
        <v>4</v>
      </c>
      <c r="F649" s="50" t="n">
        <v>4</v>
      </c>
      <c r="G649" s="27" t="s">
        <v>767</v>
      </c>
      <c r="H649" s="50" t="n">
        <f aca="false">F649</f>
        <v>4</v>
      </c>
      <c r="I649" s="51" t="n">
        <v>58.8</v>
      </c>
      <c r="J649" s="28" t="n">
        <f aca="false">H649*I649</f>
        <v>235.2</v>
      </c>
      <c r="K649" s="52" t="s">
        <v>548</v>
      </c>
      <c r="L649" s="7" t="s">
        <v>1603</v>
      </c>
      <c r="M649" s="7" t="s">
        <v>1604</v>
      </c>
    </row>
    <row r="650" customFormat="false" ht="64.9" hidden="false" customHeight="false" outlineLevel="1" collapsed="false">
      <c r="A650" s="27"/>
      <c r="B650" s="27" t="s">
        <v>1513</v>
      </c>
      <c r="C650" s="7" t="s">
        <v>1605</v>
      </c>
      <c r="D650" s="27" t="s">
        <v>853</v>
      </c>
      <c r="E650" s="50" t="n">
        <v>72</v>
      </c>
      <c r="F650" s="50" t="n">
        <v>72</v>
      </c>
      <c r="G650" s="27" t="s">
        <v>865</v>
      </c>
      <c r="H650" s="50" t="n">
        <f aca="false">F650/IF(Varsayimlar!$B$21=1,1.43,1)</f>
        <v>50.3496503496504</v>
      </c>
      <c r="I650" s="51" t="n">
        <v>2.12</v>
      </c>
      <c r="J650" s="28" t="n">
        <f aca="false">H650*I650</f>
        <v>106.741258741259</v>
      </c>
      <c r="K650" s="52" t="s">
        <v>548</v>
      </c>
      <c r="L650" s="7" t="s">
        <v>1588</v>
      </c>
      <c r="M650" s="7" t="s">
        <v>1589</v>
      </c>
    </row>
    <row r="651" customFormat="false" ht="128.35" hidden="false" customHeight="false" outlineLevel="1" collapsed="false">
      <c r="A651" s="27"/>
      <c r="B651" s="27" t="s">
        <v>1513</v>
      </c>
      <c r="C651" s="7" t="s">
        <v>1606</v>
      </c>
      <c r="D651" s="27" t="s">
        <v>727</v>
      </c>
      <c r="E651" s="50" t="n">
        <v>7</v>
      </c>
      <c r="F651" s="50" t="n">
        <v>7</v>
      </c>
      <c r="G651" s="27" t="s">
        <v>829</v>
      </c>
      <c r="H651" s="50" t="n">
        <f aca="false">F651/IF(Varsayimlar!$B$21=1,1.3,1)</f>
        <v>5.38461538461538</v>
      </c>
      <c r="I651" s="51" t="n">
        <v>43.85</v>
      </c>
      <c r="J651" s="28" t="n">
        <f aca="false">H651*I651</f>
        <v>236.115384615385</v>
      </c>
      <c r="K651" s="52" t="s">
        <v>548</v>
      </c>
      <c r="L651" s="7" t="s">
        <v>1607</v>
      </c>
      <c r="M651" s="7" t="s">
        <v>1608</v>
      </c>
    </row>
    <row r="652" customFormat="false" ht="64.9" hidden="false" customHeight="false" outlineLevel="1" collapsed="false">
      <c r="A652" s="27"/>
      <c r="B652" s="27" t="s">
        <v>1513</v>
      </c>
      <c r="C652" s="7" t="s">
        <v>1609</v>
      </c>
      <c r="D652" s="27" t="s">
        <v>853</v>
      </c>
      <c r="E652" s="50" t="n">
        <v>421</v>
      </c>
      <c r="F652" s="50" t="n">
        <v>421</v>
      </c>
      <c r="G652" s="27" t="s">
        <v>865</v>
      </c>
      <c r="H652" s="50" t="n">
        <f aca="false">F652/IF(Varsayimlar!$B$21=1,1.43,1)</f>
        <v>294.405594405594</v>
      </c>
      <c r="I652" s="51" t="n">
        <v>4.41</v>
      </c>
      <c r="J652" s="28" t="n">
        <f aca="false">H652*I652</f>
        <v>1298.32867132867</v>
      </c>
      <c r="K652" s="52" t="s">
        <v>548</v>
      </c>
      <c r="L652" s="7" t="s">
        <v>1610</v>
      </c>
      <c r="M652" s="7" t="s">
        <v>1611</v>
      </c>
    </row>
    <row r="653" customFormat="false" ht="39.55" hidden="false" customHeight="false" outlineLevel="1" collapsed="false">
      <c r="A653" s="27"/>
      <c r="B653" s="27" t="s">
        <v>1513</v>
      </c>
      <c r="C653" s="7" t="s">
        <v>1612</v>
      </c>
      <c r="D653" s="27" t="s">
        <v>732</v>
      </c>
      <c r="E653" s="50" t="n">
        <v>1</v>
      </c>
      <c r="F653" s="50" t="n">
        <v>1</v>
      </c>
      <c r="G653" s="27" t="s">
        <v>767</v>
      </c>
      <c r="H653" s="50" t="n">
        <f aca="false">F653</f>
        <v>1</v>
      </c>
      <c r="I653" s="51" t="n">
        <v>5000</v>
      </c>
      <c r="J653" s="28" t="n">
        <f aca="false">H653*I653</f>
        <v>5000</v>
      </c>
      <c r="K653" s="53" t="s">
        <v>551</v>
      </c>
      <c r="L653" s="7" t="s">
        <v>1613</v>
      </c>
      <c r="M653" s="7" t="s">
        <v>1614</v>
      </c>
    </row>
    <row r="654" customFormat="false" ht="15" hidden="false" customHeight="false" outlineLevel="0" collapsed="false">
      <c r="A654" s="48" t="s">
        <v>210</v>
      </c>
      <c r="B654" s="48" t="s">
        <v>1615</v>
      </c>
      <c r="C654" s="48" t="s">
        <v>211</v>
      </c>
      <c r="D654" s="48"/>
      <c r="E654" s="48"/>
      <c r="F654" s="48"/>
      <c r="G654" s="48"/>
      <c r="H654" s="48" t="s">
        <v>765</v>
      </c>
      <c r="I654" s="49" t="n">
        <f aca="false">SUMPRODUCT(E655:E664,I655:I664)</f>
        <v>22865.04</v>
      </c>
      <c r="J654" s="49" t="n">
        <f aca="false">SUM(J655:J664)</f>
        <v>21361.2425174825</v>
      </c>
      <c r="K654" s="48"/>
      <c r="L654" s="48"/>
      <c r="M654" s="48"/>
    </row>
    <row r="655" customFormat="false" ht="64.9" hidden="false" customHeight="false" outlineLevel="1" collapsed="false">
      <c r="A655" s="27"/>
      <c r="B655" s="27" t="s">
        <v>1615</v>
      </c>
      <c r="C655" s="7" t="s">
        <v>1616</v>
      </c>
      <c r="D655" s="27" t="s">
        <v>727</v>
      </c>
      <c r="E655" s="50" t="n">
        <v>4</v>
      </c>
      <c r="F655" s="50" t="n">
        <v>4</v>
      </c>
      <c r="G655" s="27" t="s">
        <v>767</v>
      </c>
      <c r="H655" s="50" t="n">
        <f aca="false">F655</f>
        <v>4</v>
      </c>
      <c r="I655" s="51" t="n">
        <v>2000</v>
      </c>
      <c r="J655" s="28" t="n">
        <f aca="false">H655*I655</f>
        <v>8000</v>
      </c>
      <c r="K655" s="52" t="s">
        <v>548</v>
      </c>
      <c r="L655" s="7" t="s">
        <v>1617</v>
      </c>
      <c r="M655" s="7" t="s">
        <v>1618</v>
      </c>
    </row>
    <row r="656" customFormat="false" ht="90.25" hidden="false" customHeight="false" outlineLevel="1" collapsed="false">
      <c r="A656" s="27"/>
      <c r="B656" s="27" t="s">
        <v>1615</v>
      </c>
      <c r="C656" s="7" t="s">
        <v>1619</v>
      </c>
      <c r="D656" s="27" t="s">
        <v>727</v>
      </c>
      <c r="E656" s="50" t="n">
        <v>64</v>
      </c>
      <c r="F656" s="50" t="n">
        <v>64</v>
      </c>
      <c r="G656" s="27" t="s">
        <v>829</v>
      </c>
      <c r="H656" s="50" t="n">
        <f aca="false">F656/IF(Varsayimlar!$B$21=1,1.3,1)</f>
        <v>49.2307692307692</v>
      </c>
      <c r="I656" s="51" t="n">
        <v>45.76</v>
      </c>
      <c r="J656" s="28" t="n">
        <f aca="false">H656*I656</f>
        <v>2252.8</v>
      </c>
      <c r="K656" s="52" t="s">
        <v>548</v>
      </c>
      <c r="L656" s="7" t="s">
        <v>1567</v>
      </c>
      <c r="M656" s="7" t="s">
        <v>1620</v>
      </c>
    </row>
    <row r="657" customFormat="false" ht="102.95" hidden="false" customHeight="false" outlineLevel="1" collapsed="false">
      <c r="A657" s="27"/>
      <c r="B657" s="27" t="s">
        <v>1615</v>
      </c>
      <c r="C657" s="7" t="s">
        <v>1621</v>
      </c>
      <c r="D657" s="27" t="s">
        <v>727</v>
      </c>
      <c r="E657" s="50" t="n">
        <v>12</v>
      </c>
      <c r="F657" s="50" t="n">
        <v>12</v>
      </c>
      <c r="G657" s="27" t="s">
        <v>767</v>
      </c>
      <c r="H657" s="50" t="n">
        <f aca="false">F657</f>
        <v>12</v>
      </c>
      <c r="I657" s="51" t="n">
        <v>64.58</v>
      </c>
      <c r="J657" s="28" t="n">
        <f aca="false">H657*I657</f>
        <v>774.96</v>
      </c>
      <c r="K657" s="52" t="s">
        <v>548</v>
      </c>
      <c r="L657" s="7" t="s">
        <v>1484</v>
      </c>
      <c r="M657" s="7" t="s">
        <v>1622</v>
      </c>
    </row>
    <row r="658" customFormat="false" ht="102.95" hidden="false" customHeight="false" outlineLevel="1" collapsed="false">
      <c r="A658" s="27"/>
      <c r="B658" s="27" t="s">
        <v>1615</v>
      </c>
      <c r="C658" s="7" t="s">
        <v>1623</v>
      </c>
      <c r="D658" s="27" t="s">
        <v>727</v>
      </c>
      <c r="E658" s="50" t="n">
        <v>16</v>
      </c>
      <c r="F658" s="50" t="n">
        <v>16</v>
      </c>
      <c r="G658" s="27" t="s">
        <v>767</v>
      </c>
      <c r="H658" s="50" t="n">
        <f aca="false">F658</f>
        <v>16</v>
      </c>
      <c r="I658" s="51" t="n">
        <v>62.39</v>
      </c>
      <c r="J658" s="28" t="n">
        <f aca="false">H658*I658</f>
        <v>998.24</v>
      </c>
      <c r="K658" s="52" t="s">
        <v>548</v>
      </c>
      <c r="L658" s="7" t="s">
        <v>1487</v>
      </c>
      <c r="M658" s="7" t="s">
        <v>1624</v>
      </c>
    </row>
    <row r="659" customFormat="false" ht="26.85" hidden="false" customHeight="false" outlineLevel="1" collapsed="false">
      <c r="A659" s="27"/>
      <c r="B659" s="27" t="s">
        <v>1615</v>
      </c>
      <c r="C659" s="7" t="s">
        <v>1492</v>
      </c>
      <c r="D659" s="27" t="s">
        <v>727</v>
      </c>
      <c r="E659" s="50" t="n">
        <v>16</v>
      </c>
      <c r="F659" s="50" t="n">
        <v>16</v>
      </c>
      <c r="G659" s="27" t="s">
        <v>767</v>
      </c>
      <c r="H659" s="50" t="n">
        <f aca="false">F659</f>
        <v>16</v>
      </c>
      <c r="I659" s="51" t="n">
        <v>35</v>
      </c>
      <c r="J659" s="28" t="n">
        <f aca="false">H659*I659</f>
        <v>560</v>
      </c>
      <c r="K659" s="53" t="s">
        <v>551</v>
      </c>
      <c r="L659" s="7" t="s">
        <v>1493</v>
      </c>
      <c r="M659" s="7" t="s">
        <v>1625</v>
      </c>
    </row>
    <row r="660" customFormat="false" ht="128.35" hidden="false" customHeight="false" outlineLevel="1" collapsed="false">
      <c r="A660" s="27"/>
      <c r="B660" s="27" t="s">
        <v>1615</v>
      </c>
      <c r="C660" s="7" t="s">
        <v>1626</v>
      </c>
      <c r="D660" s="27" t="s">
        <v>727</v>
      </c>
      <c r="E660" s="50" t="n">
        <v>8</v>
      </c>
      <c r="F660" s="50" t="n">
        <v>8</v>
      </c>
      <c r="G660" s="27" t="s">
        <v>767</v>
      </c>
      <c r="H660" s="50" t="n">
        <f aca="false">F660</f>
        <v>8</v>
      </c>
      <c r="I660" s="51" t="n">
        <v>68.42</v>
      </c>
      <c r="J660" s="28" t="n">
        <f aca="false">H660*I660</f>
        <v>547.36</v>
      </c>
      <c r="K660" s="52" t="s">
        <v>548</v>
      </c>
      <c r="L660" s="7" t="s">
        <v>1490</v>
      </c>
      <c r="M660" s="7" t="s">
        <v>1627</v>
      </c>
    </row>
    <row r="661" customFormat="false" ht="64.9" hidden="false" customHeight="false" outlineLevel="1" collapsed="false">
      <c r="A661" s="27"/>
      <c r="B661" s="27" t="s">
        <v>1615</v>
      </c>
      <c r="C661" s="7" t="s">
        <v>1628</v>
      </c>
      <c r="D661" s="27" t="s">
        <v>853</v>
      </c>
      <c r="E661" s="50" t="n">
        <v>596</v>
      </c>
      <c r="F661" s="50" t="n">
        <v>596</v>
      </c>
      <c r="G661" s="27" t="s">
        <v>865</v>
      </c>
      <c r="H661" s="50" t="n">
        <f aca="false">F661/IF(Varsayimlar!$B$21=1,1.43,1)</f>
        <v>416.783216783217</v>
      </c>
      <c r="I661" s="51" t="n">
        <v>2.43</v>
      </c>
      <c r="J661" s="28" t="n">
        <f aca="false">H661*I661</f>
        <v>1012.78321678322</v>
      </c>
      <c r="K661" s="52" t="s">
        <v>548</v>
      </c>
      <c r="L661" s="7" t="s">
        <v>1551</v>
      </c>
      <c r="M661" s="7" t="s">
        <v>1629</v>
      </c>
    </row>
    <row r="662" customFormat="false" ht="64.9" hidden="false" customHeight="false" outlineLevel="1" collapsed="false">
      <c r="A662" s="27"/>
      <c r="B662" s="27" t="s">
        <v>1615</v>
      </c>
      <c r="C662" s="7" t="s">
        <v>1630</v>
      </c>
      <c r="D662" s="27" t="s">
        <v>853</v>
      </c>
      <c r="E662" s="50" t="n">
        <v>172</v>
      </c>
      <c r="F662" s="50" t="n">
        <v>172</v>
      </c>
      <c r="G662" s="27" t="s">
        <v>889</v>
      </c>
      <c r="H662" s="50" t="n">
        <f aca="false">F662/IF(Varsayimlar!$B$21=1,1.1,1)</f>
        <v>156.363636363636</v>
      </c>
      <c r="I662" s="51" t="n">
        <v>2.52</v>
      </c>
      <c r="J662" s="28" t="n">
        <f aca="false">H662*I662</f>
        <v>394.036363636364</v>
      </c>
      <c r="K662" s="52" t="s">
        <v>548</v>
      </c>
      <c r="L662" s="7" t="s">
        <v>1631</v>
      </c>
      <c r="M662" s="7" t="s">
        <v>1632</v>
      </c>
    </row>
    <row r="663" customFormat="false" ht="52.2" hidden="false" customHeight="false" outlineLevel="1" collapsed="false">
      <c r="A663" s="27"/>
      <c r="B663" s="27" t="s">
        <v>1615</v>
      </c>
      <c r="C663" s="7" t="s">
        <v>1633</v>
      </c>
      <c r="D663" s="27" t="s">
        <v>853</v>
      </c>
      <c r="E663" s="50" t="n">
        <v>596</v>
      </c>
      <c r="F663" s="50" t="n">
        <v>596</v>
      </c>
      <c r="G663" s="27" t="s">
        <v>865</v>
      </c>
      <c r="H663" s="50" t="n">
        <f aca="false">F663/IF(Varsayimlar!$B$21=1,1.43,1)</f>
        <v>416.783216783217</v>
      </c>
      <c r="I663" s="51" t="n">
        <v>1.97</v>
      </c>
      <c r="J663" s="28" t="n">
        <f aca="false">H663*I663</f>
        <v>821.062937062937</v>
      </c>
      <c r="K663" s="52" t="s">
        <v>548</v>
      </c>
      <c r="L663" s="7" t="s">
        <v>1502</v>
      </c>
      <c r="M663" s="7" t="s">
        <v>1634</v>
      </c>
    </row>
    <row r="664" customFormat="false" ht="39.55" hidden="false" customHeight="false" outlineLevel="1" collapsed="false">
      <c r="A664" s="27"/>
      <c r="B664" s="27" t="s">
        <v>1615</v>
      </c>
      <c r="C664" s="7" t="s">
        <v>1635</v>
      </c>
      <c r="D664" s="27" t="s">
        <v>732</v>
      </c>
      <c r="E664" s="50" t="n">
        <v>4</v>
      </c>
      <c r="F664" s="50" t="n">
        <v>4</v>
      </c>
      <c r="G664" s="27" t="s">
        <v>767</v>
      </c>
      <c r="H664" s="50" t="n">
        <f aca="false">F664</f>
        <v>4</v>
      </c>
      <c r="I664" s="51" t="n">
        <v>1500</v>
      </c>
      <c r="J664" s="28" t="n">
        <f aca="false">H664*I664</f>
        <v>6000</v>
      </c>
      <c r="K664" s="53" t="s">
        <v>551</v>
      </c>
      <c r="L664" s="7" t="s">
        <v>1636</v>
      </c>
      <c r="M664" s="7" t="s">
        <v>1637</v>
      </c>
    </row>
    <row r="665" customFormat="false" ht="15" hidden="false" customHeight="false" outlineLevel="0" collapsed="false">
      <c r="A665" s="48" t="s">
        <v>212</v>
      </c>
      <c r="B665" s="48" t="s">
        <v>1638</v>
      </c>
      <c r="C665" s="48" t="s">
        <v>213</v>
      </c>
      <c r="D665" s="48"/>
      <c r="E665" s="48"/>
      <c r="F665" s="48"/>
      <c r="G665" s="48"/>
      <c r="H665" s="48" t="s">
        <v>765</v>
      </c>
      <c r="I665" s="49" t="n">
        <f aca="false">SUMPRODUCT(E666:E673,I666:I673)</f>
        <v>34184.5</v>
      </c>
      <c r="J665" s="49" t="n">
        <f aca="false">SUM(J666:J673)</f>
        <v>34184.5</v>
      </c>
      <c r="K665" s="48"/>
      <c r="L665" s="48"/>
      <c r="M665" s="48"/>
    </row>
    <row r="666" customFormat="false" ht="52.2" hidden="false" customHeight="false" outlineLevel="1" collapsed="false">
      <c r="A666" s="27"/>
      <c r="B666" s="27" t="s">
        <v>1638</v>
      </c>
      <c r="C666" s="7" t="s">
        <v>1639</v>
      </c>
      <c r="D666" s="27" t="s">
        <v>732</v>
      </c>
      <c r="E666" s="50" t="n">
        <v>1</v>
      </c>
      <c r="F666" s="50" t="n">
        <v>1</v>
      </c>
      <c r="G666" s="27" t="s">
        <v>767</v>
      </c>
      <c r="H666" s="50" t="n">
        <f aca="false">F666</f>
        <v>1</v>
      </c>
      <c r="I666" s="51" t="n">
        <v>11180</v>
      </c>
      <c r="J666" s="28" t="n">
        <f aca="false">H666*I666</f>
        <v>11180</v>
      </c>
      <c r="K666" s="52" t="s">
        <v>548</v>
      </c>
      <c r="L666" s="7" t="s">
        <v>1640</v>
      </c>
      <c r="M666" s="7" t="s">
        <v>1641</v>
      </c>
    </row>
    <row r="667" customFormat="false" ht="52.2" hidden="false" customHeight="false" outlineLevel="1" collapsed="false">
      <c r="A667" s="27"/>
      <c r="B667" s="27" t="s">
        <v>1638</v>
      </c>
      <c r="C667" s="7" t="s">
        <v>1642</v>
      </c>
      <c r="D667" s="27" t="s">
        <v>816</v>
      </c>
      <c r="E667" s="50" t="n">
        <v>1</v>
      </c>
      <c r="F667" s="50" t="n">
        <v>1</v>
      </c>
      <c r="G667" s="27" t="s">
        <v>767</v>
      </c>
      <c r="H667" s="50" t="n">
        <f aca="false">F667</f>
        <v>1</v>
      </c>
      <c r="I667" s="51" t="n">
        <v>2313.53</v>
      </c>
      <c r="J667" s="28" t="n">
        <f aca="false">H667*I667</f>
        <v>2313.53</v>
      </c>
      <c r="K667" s="52" t="s">
        <v>548</v>
      </c>
      <c r="L667" s="7" t="s">
        <v>1643</v>
      </c>
      <c r="M667" s="7" t="s">
        <v>1644</v>
      </c>
    </row>
    <row r="668" customFormat="false" ht="77.6" hidden="false" customHeight="false" outlineLevel="1" collapsed="false">
      <c r="A668" s="27"/>
      <c r="B668" s="27" t="s">
        <v>1638</v>
      </c>
      <c r="C668" s="7" t="s">
        <v>1645</v>
      </c>
      <c r="D668" s="27" t="s">
        <v>727</v>
      </c>
      <c r="E668" s="50" t="n">
        <v>1</v>
      </c>
      <c r="F668" s="50" t="n">
        <v>1</v>
      </c>
      <c r="G668" s="27" t="s">
        <v>767</v>
      </c>
      <c r="H668" s="50" t="n">
        <f aca="false">F668</f>
        <v>1</v>
      </c>
      <c r="I668" s="51" t="n">
        <v>1140.97</v>
      </c>
      <c r="J668" s="28" t="n">
        <f aca="false">H668*I668</f>
        <v>1140.97</v>
      </c>
      <c r="K668" s="52" t="s">
        <v>548</v>
      </c>
      <c r="L668" s="7" t="s">
        <v>1646</v>
      </c>
      <c r="M668" s="7" t="s">
        <v>1647</v>
      </c>
    </row>
    <row r="669" customFormat="false" ht="39.55" hidden="false" customHeight="false" outlineLevel="1" collapsed="false">
      <c r="A669" s="27"/>
      <c r="B669" s="27" t="s">
        <v>1638</v>
      </c>
      <c r="C669" s="7" t="s">
        <v>1648</v>
      </c>
      <c r="D669" s="27" t="s">
        <v>727</v>
      </c>
      <c r="E669" s="50" t="n">
        <v>17</v>
      </c>
      <c r="F669" s="50" t="n">
        <v>17</v>
      </c>
      <c r="G669" s="27" t="s">
        <v>767</v>
      </c>
      <c r="H669" s="50" t="n">
        <f aca="false">F669</f>
        <v>17</v>
      </c>
      <c r="I669" s="51" t="n">
        <v>450</v>
      </c>
      <c r="J669" s="28" t="n">
        <f aca="false">H669*I669</f>
        <v>7650</v>
      </c>
      <c r="K669" s="53" t="s">
        <v>551</v>
      </c>
      <c r="L669" s="7" t="s">
        <v>1649</v>
      </c>
      <c r="M669" s="7" t="s">
        <v>1650</v>
      </c>
    </row>
    <row r="670" customFormat="false" ht="26.85" hidden="false" customHeight="false" outlineLevel="1" collapsed="false">
      <c r="A670" s="27"/>
      <c r="B670" s="27" t="s">
        <v>1638</v>
      </c>
      <c r="C670" s="7" t="s">
        <v>1651</v>
      </c>
      <c r="D670" s="27" t="s">
        <v>727</v>
      </c>
      <c r="E670" s="50" t="n">
        <v>10</v>
      </c>
      <c r="F670" s="50" t="n">
        <v>10</v>
      </c>
      <c r="G670" s="27" t="s">
        <v>767</v>
      </c>
      <c r="H670" s="50" t="n">
        <f aca="false">F670</f>
        <v>10</v>
      </c>
      <c r="I670" s="51" t="n">
        <v>300</v>
      </c>
      <c r="J670" s="28" t="n">
        <f aca="false">H670*I670</f>
        <v>3000</v>
      </c>
      <c r="K670" s="53" t="s">
        <v>551</v>
      </c>
      <c r="L670" s="7" t="s">
        <v>1493</v>
      </c>
      <c r="M670" s="7" t="s">
        <v>1652</v>
      </c>
    </row>
    <row r="671" customFormat="false" ht="26.85" hidden="false" customHeight="false" outlineLevel="1" collapsed="false">
      <c r="A671" s="27"/>
      <c r="B671" s="27" t="s">
        <v>1638</v>
      </c>
      <c r="C671" s="7" t="s">
        <v>1653</v>
      </c>
      <c r="D671" s="27" t="s">
        <v>727</v>
      </c>
      <c r="E671" s="50" t="n">
        <v>1</v>
      </c>
      <c r="F671" s="50" t="n">
        <v>1</v>
      </c>
      <c r="G671" s="27" t="s">
        <v>767</v>
      </c>
      <c r="H671" s="50" t="n">
        <f aca="false">F671</f>
        <v>1</v>
      </c>
      <c r="I671" s="51" t="n">
        <v>2500</v>
      </c>
      <c r="J671" s="28" t="n">
        <f aca="false">H671*I671</f>
        <v>2500</v>
      </c>
      <c r="K671" s="53" t="s">
        <v>551</v>
      </c>
      <c r="L671" s="7" t="s">
        <v>1493</v>
      </c>
      <c r="M671" s="7" t="s">
        <v>1654</v>
      </c>
    </row>
    <row r="672" customFormat="false" ht="39.55" hidden="false" customHeight="false" outlineLevel="1" collapsed="false">
      <c r="A672" s="27"/>
      <c r="B672" s="27" t="s">
        <v>1638</v>
      </c>
      <c r="C672" s="7" t="s">
        <v>1655</v>
      </c>
      <c r="D672" s="27" t="s">
        <v>732</v>
      </c>
      <c r="E672" s="50" t="n">
        <v>1</v>
      </c>
      <c r="F672" s="50" t="n">
        <v>1</v>
      </c>
      <c r="G672" s="27" t="s">
        <v>767</v>
      </c>
      <c r="H672" s="50" t="n">
        <f aca="false">F672</f>
        <v>1</v>
      </c>
      <c r="I672" s="51" t="n">
        <v>400</v>
      </c>
      <c r="J672" s="28" t="n">
        <f aca="false">H672*I672</f>
        <v>400</v>
      </c>
      <c r="K672" s="53" t="s">
        <v>551</v>
      </c>
      <c r="L672" s="7" t="s">
        <v>1173</v>
      </c>
      <c r="M672" s="7" t="s">
        <v>1656</v>
      </c>
    </row>
    <row r="673" customFormat="false" ht="26.85" hidden="false" customHeight="false" outlineLevel="1" collapsed="false">
      <c r="A673" s="27"/>
      <c r="B673" s="27" t="s">
        <v>1638</v>
      </c>
      <c r="C673" s="7" t="s">
        <v>1657</v>
      </c>
      <c r="D673" s="27" t="s">
        <v>732</v>
      </c>
      <c r="E673" s="50" t="n">
        <v>1</v>
      </c>
      <c r="F673" s="50" t="n">
        <v>1</v>
      </c>
      <c r="G673" s="27" t="s">
        <v>767</v>
      </c>
      <c r="H673" s="50" t="n">
        <f aca="false">F673</f>
        <v>1</v>
      </c>
      <c r="I673" s="51" t="n">
        <v>6000</v>
      </c>
      <c r="J673" s="28" t="n">
        <f aca="false">H673*I673</f>
        <v>6000</v>
      </c>
      <c r="K673" s="53" t="s">
        <v>551</v>
      </c>
      <c r="L673" s="7" t="s">
        <v>1658</v>
      </c>
      <c r="M673" s="7" t="s">
        <v>1659</v>
      </c>
    </row>
    <row r="675" customFormat="false" ht="15" hidden="false" customHeight="false" outlineLevel="0" collapsed="false">
      <c r="C675" s="14" t="s">
        <v>1660</v>
      </c>
      <c r="J675" s="56" t="n">
        <f aca="false">J5+J14+J22+J30+J38+J46+J54+J71+J80+J89+J98+J107+J116+J134+J143+J151+J159+J169+J182+J195+J208+J221+J254+J264+J276+J285+J305+J326+J347+J368+J389+J409+J480+J490+J505+J518+J524+J538+J552+J566+J580+J594+J608+J654+J665</f>
        <v>3185849.67446993</v>
      </c>
    </row>
    <row r="676" customFormat="false" ht="15" hidden="false" customHeight="false" outlineLevel="0" collapsed="false">
      <c r="C676" s="14" t="s">
        <v>1661</v>
      </c>
      <c r="J676" s="56" t="n">
        <f aca="false">I5+I14+I22+I30+I38+I46+I54+I71+I80+I89+I98+I107+I116+I134+I143+I151+I159+I169+I182+I195+I208+I221+I254+I264+I276+I285+I305+I326+I347+I368+I389+I409+I480+I490+I505+I518+I524+I538+I552+I566+I580+I594+I608+I654+I665</f>
        <v>3503925.0184</v>
      </c>
    </row>
    <row r="677" customFormat="false" ht="15" hidden="false" customHeight="false" outlineLevel="0" collapsed="false">
      <c r="C677" s="14" t="s">
        <v>1662</v>
      </c>
      <c r="J677" s="56" t="n">
        <f aca="false">J675-J676</f>
        <v>-318075.343930071</v>
      </c>
    </row>
    <row r="679" customFormat="false" ht="15" hidden="false" customHeight="false" outlineLevel="0" collapsed="false">
      <c r="C679" s="19" t="s">
        <v>1663</v>
      </c>
    </row>
    <row r="680" customFormat="false" ht="15" hidden="false" customHeight="false" outlineLevel="0" collapsed="false">
      <c r="C680" s="57" t="s">
        <v>545</v>
      </c>
      <c r="J680" s="23" t="n">
        <f aca="false">SUMIF($K$5:$K$673,"2026 TEKLİF",$J$5:$J$673)</f>
        <v>0</v>
      </c>
      <c r="K680" s="58" t="n">
        <f aca="false">IF($J$675=0,0,J680/$J$675)</f>
        <v>0</v>
      </c>
    </row>
    <row r="681" customFormat="false" ht="15" hidden="false" customHeight="false" outlineLevel="0" collapsed="false">
      <c r="C681" s="59" t="s">
        <v>548</v>
      </c>
      <c r="J681" s="23" t="n">
        <f aca="false">SUMIF($K$5:$K$673,"GEÇMİŞ TEKLİF UYARLAMA",$J$5:$J$673)</f>
        <v>2357991.43670769</v>
      </c>
      <c r="K681" s="58" t="n">
        <f aca="false">IF($J$675=0,0,J681/$J$675)</f>
        <v>0.740145228949015</v>
      </c>
    </row>
    <row r="682" customFormat="false" ht="15" hidden="false" customHeight="false" outlineLevel="0" collapsed="false">
      <c r="C682" s="60" t="s">
        <v>551</v>
      </c>
      <c r="J682" s="23" t="n">
        <f aca="false">SUMIF($K$5:$K$673,"MÜHENDİSLİK TAHMİNİ",$J$5:$J$673)</f>
        <v>827858.237762238</v>
      </c>
      <c r="K682" s="58" t="n">
        <f aca="false">IF($J$675=0,0,J682/$J$675)</f>
        <v>0.259854771050985</v>
      </c>
    </row>
    <row r="683" customFormat="false" ht="15" hidden="false" customHeight="false" outlineLevel="0" collapsed="false">
      <c r="C683" s="61" t="s">
        <v>1664</v>
      </c>
      <c r="J683" s="23" t="n">
        <f aca="false">SUMPRODUCT(($K$5:$K$673="KAPSAM DIŞI (0)")*$E$5:$E$673*$I$5:$I$673)</f>
        <v>976.8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5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1665</v>
      </c>
    </row>
    <row r="2" customFormat="false" ht="48" hidden="false" customHeight="true" outlineLevel="0" collapsed="false">
      <c r="A2" s="2" t="s">
        <v>753</v>
      </c>
      <c r="B2" s="2"/>
      <c r="C2" s="2"/>
      <c r="D2" s="2"/>
      <c r="E2" s="2"/>
      <c r="F2" s="2"/>
      <c r="G2" s="2"/>
      <c r="H2" s="2"/>
      <c r="I2" s="2"/>
      <c r="J2" s="2"/>
      <c r="K2" s="2"/>
      <c r="L2" s="2"/>
      <c r="M2" s="2"/>
    </row>
    <row r="3" customFormat="false" ht="21.75" hidden="false" customHeight="true" outlineLevel="0" collapsed="false">
      <c r="A3" s="46" t="s">
        <v>754</v>
      </c>
      <c r="B3" s="46"/>
      <c r="C3" s="47" t="str">
        <f aca="false">"Kalem bazlı toplam: "&amp;TEXT(J543,"#,##0")&amp;" €   |   2026 teklif: "&amp;TEXT(K548,"0%")&amp;"   |   Geçmiş teklif uyarlaması: "&amp;TEXT(K549,"0%")&amp;"   |   Tahmin: "&amp;TEXT(K550,"0%")&amp;"   |   Kalem kalem görmek için sol kenardaki [+] / [1][2] düğmelerini kullanın"</f>
        <v>Kalem bazlı toplam: 2,178,896 €   |   2026 teklif: 11%   |   Geçmiş teklif uyarlaması: 67%   |   Tahmin: 23%   |   Kalem kalem görmek için sol kenardaki [+] / [1][2] düğmelerini kullanın</v>
      </c>
      <c r="D3" s="47"/>
      <c r="E3" s="47"/>
      <c r="F3" s="47"/>
      <c r="G3" s="47"/>
      <c r="H3" s="47"/>
      <c r="I3" s="47"/>
      <c r="J3" s="47"/>
      <c r="K3" s="47"/>
      <c r="L3" s="47"/>
      <c r="M3" s="47"/>
    </row>
    <row r="4" customFormat="false" ht="42" hidden="false" customHeight="true" outlineLevel="0" collapsed="false">
      <c r="A4" s="3" t="s">
        <v>120</v>
      </c>
      <c r="B4" s="3" t="s">
        <v>755</v>
      </c>
      <c r="C4" s="3" t="s">
        <v>756</v>
      </c>
      <c r="D4" s="3" t="s">
        <v>720</v>
      </c>
      <c r="E4" s="3" t="s">
        <v>757</v>
      </c>
      <c r="F4" s="3" t="s">
        <v>758</v>
      </c>
      <c r="G4" s="3" t="s">
        <v>759</v>
      </c>
      <c r="H4" s="3" t="s">
        <v>760</v>
      </c>
      <c r="I4" s="3" t="s">
        <v>761</v>
      </c>
      <c r="J4" s="3" t="s">
        <v>122</v>
      </c>
      <c r="K4" s="3" t="s">
        <v>95</v>
      </c>
      <c r="L4" s="3" t="s">
        <v>762</v>
      </c>
      <c r="M4" s="3" t="s">
        <v>763</v>
      </c>
    </row>
    <row r="5" customFormat="false" ht="15" hidden="false" customHeight="false" outlineLevel="0" collapsed="false">
      <c r="A5" s="48" t="s">
        <v>215</v>
      </c>
      <c r="B5" s="48" t="s">
        <v>1666</v>
      </c>
      <c r="C5" s="48" t="s">
        <v>216</v>
      </c>
      <c r="D5" s="48"/>
      <c r="E5" s="48"/>
      <c r="F5" s="48"/>
      <c r="G5" s="48"/>
      <c r="H5" s="48" t="s">
        <v>765</v>
      </c>
      <c r="I5" s="49" t="n">
        <f aca="false">SUMPRODUCT(E6:E7,I6:I7)</f>
        <v>23740</v>
      </c>
      <c r="J5" s="49" t="n">
        <f aca="false">SUM(J6:J7)</f>
        <v>23740</v>
      </c>
      <c r="K5" s="48"/>
      <c r="L5" s="48"/>
      <c r="M5" s="48"/>
    </row>
    <row r="6" customFormat="false" ht="39.55" hidden="false" customHeight="false" outlineLevel="1" collapsed="false">
      <c r="A6" s="27"/>
      <c r="B6" s="27" t="s">
        <v>1666</v>
      </c>
      <c r="C6" s="7" t="s">
        <v>1667</v>
      </c>
      <c r="D6" s="27" t="s">
        <v>732</v>
      </c>
      <c r="E6" s="50" t="n">
        <v>1</v>
      </c>
      <c r="F6" s="50" t="n">
        <v>1</v>
      </c>
      <c r="G6" s="27" t="s">
        <v>767</v>
      </c>
      <c r="H6" s="50" t="n">
        <f aca="false">F6</f>
        <v>1</v>
      </c>
      <c r="I6" s="51" t="n">
        <v>16740</v>
      </c>
      <c r="J6" s="28" t="n">
        <f aca="false">H6*I6</f>
        <v>16740</v>
      </c>
      <c r="K6" s="52" t="s">
        <v>548</v>
      </c>
      <c r="L6" s="7" t="s">
        <v>1668</v>
      </c>
      <c r="M6" s="7" t="s">
        <v>1669</v>
      </c>
    </row>
    <row r="7" customFormat="false" ht="39.55" hidden="false" customHeight="false" outlineLevel="1" collapsed="false">
      <c r="A7" s="27"/>
      <c r="B7" s="27" t="s">
        <v>1666</v>
      </c>
      <c r="C7" s="7" t="s">
        <v>1670</v>
      </c>
      <c r="D7" s="27" t="s">
        <v>732</v>
      </c>
      <c r="E7" s="50" t="n">
        <v>1</v>
      </c>
      <c r="F7" s="50" t="n">
        <v>1</v>
      </c>
      <c r="G7" s="27" t="s">
        <v>767</v>
      </c>
      <c r="H7" s="50" t="n">
        <f aca="false">F7</f>
        <v>1</v>
      </c>
      <c r="I7" s="51" t="n">
        <v>7000</v>
      </c>
      <c r="J7" s="28" t="n">
        <f aca="false">H7*I7</f>
        <v>7000</v>
      </c>
      <c r="K7" s="53" t="s">
        <v>551</v>
      </c>
      <c r="L7" s="7" t="s">
        <v>1671</v>
      </c>
      <c r="M7" s="7" t="s">
        <v>1672</v>
      </c>
    </row>
    <row r="8" customFormat="false" ht="15" hidden="false" customHeight="false" outlineLevel="0" collapsed="false">
      <c r="A8" s="48" t="s">
        <v>217</v>
      </c>
      <c r="B8" s="48" t="s">
        <v>1673</v>
      </c>
      <c r="C8" s="48" t="s">
        <v>218</v>
      </c>
      <c r="D8" s="48"/>
      <c r="E8" s="48"/>
      <c r="F8" s="48"/>
      <c r="G8" s="48"/>
      <c r="H8" s="48" t="s">
        <v>765</v>
      </c>
      <c r="I8" s="49" t="n">
        <f aca="false">SUMPRODUCT(E9:E19,I9:I19)</f>
        <v>30297.64</v>
      </c>
      <c r="J8" s="49" t="n">
        <f aca="false">SUM(J9:J19)</f>
        <v>26988.3436363636</v>
      </c>
      <c r="K8" s="48"/>
      <c r="L8" s="48"/>
      <c r="M8" s="48"/>
    </row>
    <row r="9" customFormat="false" ht="26.85" hidden="false" customHeight="false" outlineLevel="1" collapsed="false">
      <c r="A9" s="27"/>
      <c r="B9" s="27" t="s">
        <v>1673</v>
      </c>
      <c r="C9" s="7" t="s">
        <v>1674</v>
      </c>
      <c r="D9" s="27" t="s">
        <v>727</v>
      </c>
      <c r="E9" s="50" t="n">
        <v>2</v>
      </c>
      <c r="F9" s="50" t="n">
        <v>2</v>
      </c>
      <c r="G9" s="27" t="s">
        <v>767</v>
      </c>
      <c r="H9" s="50" t="n">
        <f aca="false">F9</f>
        <v>2</v>
      </c>
      <c r="I9" s="51" t="n">
        <v>2800</v>
      </c>
      <c r="J9" s="28" t="n">
        <f aca="false">H9*I9</f>
        <v>5600</v>
      </c>
      <c r="K9" s="53" t="s">
        <v>551</v>
      </c>
      <c r="L9" s="7" t="s">
        <v>1675</v>
      </c>
      <c r="M9" s="7" t="s">
        <v>1676</v>
      </c>
    </row>
    <row r="10" customFormat="false" ht="52.2" hidden="false" customHeight="false" outlineLevel="1" collapsed="false">
      <c r="A10" s="27"/>
      <c r="B10" s="27" t="s">
        <v>1673</v>
      </c>
      <c r="C10" s="7" t="s">
        <v>1677</v>
      </c>
      <c r="D10" s="27" t="s">
        <v>727</v>
      </c>
      <c r="E10" s="50" t="n">
        <v>4</v>
      </c>
      <c r="F10" s="50" t="n">
        <v>4</v>
      </c>
      <c r="G10" s="27" t="s">
        <v>767</v>
      </c>
      <c r="H10" s="50" t="n">
        <f aca="false">F10</f>
        <v>4</v>
      </c>
      <c r="I10" s="51" t="n">
        <v>2080</v>
      </c>
      <c r="J10" s="28" t="n">
        <f aca="false">H10*I10</f>
        <v>8320</v>
      </c>
      <c r="K10" s="52" t="s">
        <v>548</v>
      </c>
      <c r="L10" s="7" t="s">
        <v>1678</v>
      </c>
      <c r="M10" s="7" t="s">
        <v>1679</v>
      </c>
    </row>
    <row r="11" customFormat="false" ht="77.6" hidden="false" customHeight="false" outlineLevel="1" collapsed="false">
      <c r="A11" s="27"/>
      <c r="B11" s="27" t="s">
        <v>1673</v>
      </c>
      <c r="C11" s="7" t="s">
        <v>1680</v>
      </c>
      <c r="D11" s="27" t="s">
        <v>727</v>
      </c>
      <c r="E11" s="50" t="n">
        <v>12</v>
      </c>
      <c r="F11" s="50" t="n">
        <v>12</v>
      </c>
      <c r="G11" s="27" t="s">
        <v>767</v>
      </c>
      <c r="H11" s="50" t="n">
        <f aca="false">F11</f>
        <v>12</v>
      </c>
      <c r="I11" s="51" t="n">
        <v>162.97</v>
      </c>
      <c r="J11" s="28" t="n">
        <f aca="false">H11*I11</f>
        <v>1955.64</v>
      </c>
      <c r="K11" s="52" t="s">
        <v>548</v>
      </c>
      <c r="L11" s="7" t="s">
        <v>1681</v>
      </c>
      <c r="M11" s="7" t="s">
        <v>1682</v>
      </c>
    </row>
    <row r="12" customFormat="false" ht="64.9" hidden="false" customHeight="false" outlineLevel="1" collapsed="false">
      <c r="A12" s="27"/>
      <c r="B12" s="27" t="s">
        <v>1673</v>
      </c>
      <c r="C12" s="7" t="s">
        <v>1683</v>
      </c>
      <c r="D12" s="27" t="s">
        <v>727</v>
      </c>
      <c r="E12" s="50" t="n">
        <v>2</v>
      </c>
      <c r="F12" s="50" t="n">
        <v>2</v>
      </c>
      <c r="G12" s="27" t="s">
        <v>767</v>
      </c>
      <c r="H12" s="50" t="n">
        <f aca="false">F12</f>
        <v>2</v>
      </c>
      <c r="I12" s="51" t="n">
        <v>477.59</v>
      </c>
      <c r="J12" s="28" t="n">
        <f aca="false">H12*I12</f>
        <v>955.18</v>
      </c>
      <c r="K12" s="52" t="s">
        <v>548</v>
      </c>
      <c r="L12" s="7" t="s">
        <v>1684</v>
      </c>
      <c r="M12" s="7" t="s">
        <v>1685</v>
      </c>
    </row>
    <row r="13" customFormat="false" ht="39.55" hidden="false" customHeight="false" outlineLevel="1" collapsed="false">
      <c r="A13" s="27"/>
      <c r="B13" s="27" t="s">
        <v>1673</v>
      </c>
      <c r="C13" s="7" t="s">
        <v>1686</v>
      </c>
      <c r="D13" s="27" t="s">
        <v>727</v>
      </c>
      <c r="E13" s="50" t="n">
        <v>125</v>
      </c>
      <c r="F13" s="54" t="n">
        <v>42</v>
      </c>
      <c r="G13" s="27" t="s">
        <v>767</v>
      </c>
      <c r="H13" s="50" t="n">
        <f aca="false">F13</f>
        <v>42</v>
      </c>
      <c r="I13" s="51" t="n">
        <v>10.94</v>
      </c>
      <c r="J13" s="28" t="n">
        <f aca="false">H13*I13</f>
        <v>459.48</v>
      </c>
      <c r="K13" s="52" t="s">
        <v>548</v>
      </c>
      <c r="L13" s="7" t="s">
        <v>1687</v>
      </c>
      <c r="M13" s="7" t="s">
        <v>1688</v>
      </c>
    </row>
    <row r="14" customFormat="false" ht="52.2" hidden="false" customHeight="false" outlineLevel="1" collapsed="false">
      <c r="A14" s="27"/>
      <c r="B14" s="27" t="s">
        <v>1673</v>
      </c>
      <c r="C14" s="7" t="s">
        <v>1689</v>
      </c>
      <c r="D14" s="27" t="s">
        <v>727</v>
      </c>
      <c r="E14" s="50" t="n">
        <v>11</v>
      </c>
      <c r="F14" s="50" t="n">
        <v>11</v>
      </c>
      <c r="G14" s="27" t="s">
        <v>767</v>
      </c>
      <c r="H14" s="50" t="n">
        <f aca="false">F14</f>
        <v>11</v>
      </c>
      <c r="I14" s="51" t="n">
        <v>6.96</v>
      </c>
      <c r="J14" s="28" t="n">
        <f aca="false">H14*I14</f>
        <v>76.56</v>
      </c>
      <c r="K14" s="52" t="s">
        <v>548</v>
      </c>
      <c r="L14" s="7" t="s">
        <v>1690</v>
      </c>
      <c r="M14" s="7" t="s">
        <v>1691</v>
      </c>
    </row>
    <row r="15" customFormat="false" ht="115.65" hidden="false" customHeight="false" outlineLevel="1" collapsed="false">
      <c r="A15" s="27"/>
      <c r="B15" s="27" t="s">
        <v>1673</v>
      </c>
      <c r="C15" s="7" t="s">
        <v>1692</v>
      </c>
      <c r="D15" s="27" t="s">
        <v>732</v>
      </c>
      <c r="E15" s="50" t="n">
        <v>2</v>
      </c>
      <c r="F15" s="50" t="n">
        <v>2</v>
      </c>
      <c r="G15" s="27" t="s">
        <v>767</v>
      </c>
      <c r="H15" s="50" t="n">
        <f aca="false">F15</f>
        <v>2</v>
      </c>
      <c r="I15" s="51" t="n">
        <v>168.56</v>
      </c>
      <c r="J15" s="28" t="n">
        <f aca="false">H15*I15</f>
        <v>337.12</v>
      </c>
      <c r="K15" s="52" t="s">
        <v>548</v>
      </c>
      <c r="L15" s="7" t="s">
        <v>1693</v>
      </c>
      <c r="M15" s="7" t="s">
        <v>1694</v>
      </c>
    </row>
    <row r="16" customFormat="false" ht="26.85" hidden="false" customHeight="false" outlineLevel="1" collapsed="false">
      <c r="A16" s="27"/>
      <c r="B16" s="27" t="s">
        <v>1673</v>
      </c>
      <c r="C16" s="7" t="s">
        <v>1695</v>
      </c>
      <c r="D16" s="27" t="s">
        <v>732</v>
      </c>
      <c r="E16" s="50" t="n">
        <v>2</v>
      </c>
      <c r="F16" s="50" t="n">
        <v>2</v>
      </c>
      <c r="G16" s="27" t="s">
        <v>767</v>
      </c>
      <c r="H16" s="50" t="n">
        <f aca="false">F16</f>
        <v>2</v>
      </c>
      <c r="I16" s="51" t="n">
        <v>600</v>
      </c>
      <c r="J16" s="28" t="n">
        <f aca="false">H16*I16</f>
        <v>1200</v>
      </c>
      <c r="K16" s="53" t="s">
        <v>551</v>
      </c>
      <c r="L16" s="7" t="s">
        <v>1696</v>
      </c>
      <c r="M16" s="7" t="s">
        <v>1697</v>
      </c>
    </row>
    <row r="17" customFormat="false" ht="64.9" hidden="false" customHeight="false" outlineLevel="1" collapsed="false">
      <c r="A17" s="27"/>
      <c r="B17" s="27" t="s">
        <v>1673</v>
      </c>
      <c r="C17" s="7" t="s">
        <v>1698</v>
      </c>
      <c r="D17" s="27" t="s">
        <v>853</v>
      </c>
      <c r="E17" s="50" t="n">
        <v>58</v>
      </c>
      <c r="F17" s="50" t="n">
        <v>58</v>
      </c>
      <c r="G17" s="27" t="s">
        <v>865</v>
      </c>
      <c r="H17" s="50" t="n">
        <f aca="false">F17/IF(Varsayimlar!$B$21=1,1.43,1)</f>
        <v>40.5594405594406</v>
      </c>
      <c r="I17" s="51" t="n">
        <v>2.08</v>
      </c>
      <c r="J17" s="28" t="n">
        <f aca="false">H17*I17</f>
        <v>84.3636363636364</v>
      </c>
      <c r="K17" s="52" t="s">
        <v>548</v>
      </c>
      <c r="L17" s="7" t="s">
        <v>1699</v>
      </c>
      <c r="M17" s="7" t="s">
        <v>1700</v>
      </c>
    </row>
    <row r="18" customFormat="false" ht="26.85" hidden="false" customHeight="false" outlineLevel="1" collapsed="false">
      <c r="A18" s="27"/>
      <c r="B18" s="27" t="s">
        <v>1673</v>
      </c>
      <c r="C18" s="7" t="s">
        <v>1701</v>
      </c>
      <c r="D18" s="27" t="s">
        <v>853</v>
      </c>
      <c r="E18" s="50" t="n">
        <v>1430</v>
      </c>
      <c r="F18" s="50" t="n">
        <v>1430</v>
      </c>
      <c r="G18" s="27" t="s">
        <v>865</v>
      </c>
      <c r="H18" s="50" t="n">
        <f aca="false">F18/IF(Varsayimlar!$B$21=1,1.43,1)</f>
        <v>1000</v>
      </c>
      <c r="I18" s="51" t="n">
        <v>5.5</v>
      </c>
      <c r="J18" s="28" t="n">
        <f aca="false">H18*I18</f>
        <v>5500</v>
      </c>
      <c r="K18" s="53" t="s">
        <v>551</v>
      </c>
      <c r="L18" s="7" t="s">
        <v>1702</v>
      </c>
      <c r="M18" s="7" t="s">
        <v>1703</v>
      </c>
    </row>
    <row r="19" customFormat="false" ht="39.55" hidden="false" customHeight="false" outlineLevel="1" collapsed="false">
      <c r="A19" s="27"/>
      <c r="B19" s="27" t="s">
        <v>1673</v>
      </c>
      <c r="C19" s="7" t="s">
        <v>1704</v>
      </c>
      <c r="D19" s="27" t="s">
        <v>732</v>
      </c>
      <c r="E19" s="50" t="n">
        <v>1</v>
      </c>
      <c r="F19" s="50" t="n">
        <v>1</v>
      </c>
      <c r="G19" s="27" t="s">
        <v>767</v>
      </c>
      <c r="H19" s="50" t="n">
        <f aca="false">F19</f>
        <v>1</v>
      </c>
      <c r="I19" s="51" t="n">
        <v>2500</v>
      </c>
      <c r="J19" s="28" t="n">
        <f aca="false">H19*I19</f>
        <v>2500</v>
      </c>
      <c r="K19" s="53" t="s">
        <v>551</v>
      </c>
      <c r="L19" s="7" t="s">
        <v>1705</v>
      </c>
      <c r="M19" s="7" t="s">
        <v>1706</v>
      </c>
    </row>
    <row r="20" customFormat="false" ht="15" hidden="false" customHeight="false" outlineLevel="0" collapsed="false">
      <c r="A20" s="48" t="s">
        <v>219</v>
      </c>
      <c r="B20" s="48" t="s">
        <v>1707</v>
      </c>
      <c r="C20" s="48" t="s">
        <v>220</v>
      </c>
      <c r="D20" s="48"/>
      <c r="E20" s="48"/>
      <c r="F20" s="48"/>
      <c r="G20" s="48"/>
      <c r="H20" s="48" t="s">
        <v>765</v>
      </c>
      <c r="I20" s="49" t="n">
        <f aca="false">SUMPRODUCT(E21:E30,I21:I30)</f>
        <v>22457.79</v>
      </c>
      <c r="J20" s="49" t="n">
        <f aca="false">SUM(J21:J30)</f>
        <v>19491.41</v>
      </c>
      <c r="K20" s="48"/>
      <c r="L20" s="48"/>
      <c r="M20" s="48"/>
    </row>
    <row r="21" customFormat="false" ht="26.85" hidden="false" customHeight="false" outlineLevel="1" collapsed="false">
      <c r="A21" s="27"/>
      <c r="B21" s="27" t="s">
        <v>1707</v>
      </c>
      <c r="C21" s="7" t="s">
        <v>1674</v>
      </c>
      <c r="D21" s="27" t="s">
        <v>727</v>
      </c>
      <c r="E21" s="50" t="n">
        <v>1</v>
      </c>
      <c r="F21" s="50" t="n">
        <v>1</v>
      </c>
      <c r="G21" s="27" t="s">
        <v>767</v>
      </c>
      <c r="H21" s="50" t="n">
        <f aca="false">F21</f>
        <v>1</v>
      </c>
      <c r="I21" s="51" t="n">
        <v>2800</v>
      </c>
      <c r="J21" s="28" t="n">
        <f aca="false">H21*I21</f>
        <v>2800</v>
      </c>
      <c r="K21" s="53" t="s">
        <v>551</v>
      </c>
      <c r="L21" s="7" t="s">
        <v>1708</v>
      </c>
      <c r="M21" s="7" t="s">
        <v>1676</v>
      </c>
    </row>
    <row r="22" customFormat="false" ht="52.2" hidden="false" customHeight="false" outlineLevel="1" collapsed="false">
      <c r="A22" s="27"/>
      <c r="B22" s="27" t="s">
        <v>1707</v>
      </c>
      <c r="C22" s="7" t="s">
        <v>1677</v>
      </c>
      <c r="D22" s="27" t="s">
        <v>727</v>
      </c>
      <c r="E22" s="50" t="n">
        <v>3</v>
      </c>
      <c r="F22" s="50" t="n">
        <v>3</v>
      </c>
      <c r="G22" s="27" t="s">
        <v>767</v>
      </c>
      <c r="H22" s="50" t="n">
        <f aca="false">F22</f>
        <v>3</v>
      </c>
      <c r="I22" s="51" t="n">
        <v>2080</v>
      </c>
      <c r="J22" s="28" t="n">
        <f aca="false">H22*I22</f>
        <v>6240</v>
      </c>
      <c r="K22" s="52" t="s">
        <v>548</v>
      </c>
      <c r="L22" s="7" t="s">
        <v>1678</v>
      </c>
      <c r="M22" s="7" t="s">
        <v>1679</v>
      </c>
    </row>
    <row r="23" customFormat="false" ht="77.6" hidden="false" customHeight="false" outlineLevel="1" collapsed="false">
      <c r="A23" s="27"/>
      <c r="B23" s="27" t="s">
        <v>1707</v>
      </c>
      <c r="C23" s="7" t="s">
        <v>1680</v>
      </c>
      <c r="D23" s="27" t="s">
        <v>727</v>
      </c>
      <c r="E23" s="50" t="n">
        <v>8</v>
      </c>
      <c r="F23" s="50" t="n">
        <v>8</v>
      </c>
      <c r="G23" s="27" t="s">
        <v>767</v>
      </c>
      <c r="H23" s="50" t="n">
        <f aca="false">F23</f>
        <v>8</v>
      </c>
      <c r="I23" s="51" t="n">
        <v>162.97</v>
      </c>
      <c r="J23" s="28" t="n">
        <f aca="false">H23*I23</f>
        <v>1303.76</v>
      </c>
      <c r="K23" s="52" t="s">
        <v>548</v>
      </c>
      <c r="L23" s="7" t="s">
        <v>1681</v>
      </c>
      <c r="M23" s="7" t="s">
        <v>1682</v>
      </c>
    </row>
    <row r="24" customFormat="false" ht="64.9" hidden="false" customHeight="false" outlineLevel="1" collapsed="false">
      <c r="A24" s="27"/>
      <c r="B24" s="27" t="s">
        <v>1707</v>
      </c>
      <c r="C24" s="7" t="s">
        <v>1683</v>
      </c>
      <c r="D24" s="27" t="s">
        <v>727</v>
      </c>
      <c r="E24" s="50" t="n">
        <v>1</v>
      </c>
      <c r="F24" s="50" t="n">
        <v>1</v>
      </c>
      <c r="G24" s="27" t="s">
        <v>767</v>
      </c>
      <c r="H24" s="50" t="n">
        <f aca="false">F24</f>
        <v>1</v>
      </c>
      <c r="I24" s="51" t="n">
        <v>477.59</v>
      </c>
      <c r="J24" s="28" t="n">
        <f aca="false">H24*I24</f>
        <v>477.59</v>
      </c>
      <c r="K24" s="52" t="s">
        <v>548</v>
      </c>
      <c r="L24" s="7" t="s">
        <v>1684</v>
      </c>
      <c r="M24" s="7" t="s">
        <v>1685</v>
      </c>
    </row>
    <row r="25" customFormat="false" ht="39.55" hidden="false" customHeight="false" outlineLevel="1" collapsed="false">
      <c r="A25" s="27"/>
      <c r="B25" s="27" t="s">
        <v>1707</v>
      </c>
      <c r="C25" s="7" t="s">
        <v>1686</v>
      </c>
      <c r="D25" s="27" t="s">
        <v>727</v>
      </c>
      <c r="E25" s="50" t="n">
        <v>63</v>
      </c>
      <c r="F25" s="54" t="n">
        <v>21</v>
      </c>
      <c r="G25" s="27" t="s">
        <v>767</v>
      </c>
      <c r="H25" s="50" t="n">
        <f aca="false">F25</f>
        <v>21</v>
      </c>
      <c r="I25" s="51" t="n">
        <v>10.94</v>
      </c>
      <c r="J25" s="28" t="n">
        <f aca="false">H25*I25</f>
        <v>229.74</v>
      </c>
      <c r="K25" s="52" t="s">
        <v>548</v>
      </c>
      <c r="L25" s="7" t="s">
        <v>1687</v>
      </c>
      <c r="M25" s="7" t="s">
        <v>1688</v>
      </c>
    </row>
    <row r="26" customFormat="false" ht="52.2" hidden="false" customHeight="false" outlineLevel="1" collapsed="false">
      <c r="A26" s="27"/>
      <c r="B26" s="27" t="s">
        <v>1707</v>
      </c>
      <c r="C26" s="7" t="s">
        <v>1689</v>
      </c>
      <c r="D26" s="27" t="s">
        <v>727</v>
      </c>
      <c r="E26" s="50" t="n">
        <v>6</v>
      </c>
      <c r="F26" s="50" t="n">
        <v>6</v>
      </c>
      <c r="G26" s="27" t="s">
        <v>767</v>
      </c>
      <c r="H26" s="50" t="n">
        <f aca="false">F26</f>
        <v>6</v>
      </c>
      <c r="I26" s="51" t="n">
        <v>6.96</v>
      </c>
      <c r="J26" s="28" t="n">
        <f aca="false">H26*I26</f>
        <v>41.76</v>
      </c>
      <c r="K26" s="52" t="s">
        <v>548</v>
      </c>
      <c r="L26" s="7" t="s">
        <v>1690</v>
      </c>
      <c r="M26" s="7" t="s">
        <v>1691</v>
      </c>
    </row>
    <row r="27" customFormat="false" ht="115.65" hidden="false" customHeight="false" outlineLevel="1" collapsed="false">
      <c r="A27" s="27"/>
      <c r="B27" s="27" t="s">
        <v>1707</v>
      </c>
      <c r="C27" s="7" t="s">
        <v>1692</v>
      </c>
      <c r="D27" s="27" t="s">
        <v>732</v>
      </c>
      <c r="E27" s="50" t="n">
        <v>1</v>
      </c>
      <c r="F27" s="50" t="n">
        <v>1</v>
      </c>
      <c r="G27" s="27" t="s">
        <v>767</v>
      </c>
      <c r="H27" s="50" t="n">
        <f aca="false">F27</f>
        <v>1</v>
      </c>
      <c r="I27" s="51" t="n">
        <v>168.56</v>
      </c>
      <c r="J27" s="28" t="n">
        <f aca="false">H27*I27</f>
        <v>168.56</v>
      </c>
      <c r="K27" s="52" t="s">
        <v>548</v>
      </c>
      <c r="L27" s="7" t="s">
        <v>1693</v>
      </c>
      <c r="M27" s="7" t="s">
        <v>1694</v>
      </c>
    </row>
    <row r="28" customFormat="false" ht="26.85" hidden="false" customHeight="false" outlineLevel="1" collapsed="false">
      <c r="A28" s="27"/>
      <c r="B28" s="27" t="s">
        <v>1707</v>
      </c>
      <c r="C28" s="7" t="s">
        <v>1695</v>
      </c>
      <c r="D28" s="27" t="s">
        <v>732</v>
      </c>
      <c r="E28" s="50" t="n">
        <v>1</v>
      </c>
      <c r="F28" s="50" t="n">
        <v>1</v>
      </c>
      <c r="G28" s="27" t="s">
        <v>767</v>
      </c>
      <c r="H28" s="50" t="n">
        <f aca="false">F28</f>
        <v>1</v>
      </c>
      <c r="I28" s="51" t="n">
        <v>600</v>
      </c>
      <c r="J28" s="28" t="n">
        <f aca="false">H28*I28</f>
        <v>600</v>
      </c>
      <c r="K28" s="53" t="s">
        <v>551</v>
      </c>
      <c r="L28" s="7" t="s">
        <v>1696</v>
      </c>
      <c r="M28" s="7" t="s">
        <v>1697</v>
      </c>
    </row>
    <row r="29" customFormat="false" ht="52.2" hidden="false" customHeight="false" outlineLevel="1" collapsed="false">
      <c r="A29" s="27"/>
      <c r="B29" s="27" t="s">
        <v>1707</v>
      </c>
      <c r="C29" s="7" t="s">
        <v>1701</v>
      </c>
      <c r="D29" s="27" t="s">
        <v>853</v>
      </c>
      <c r="E29" s="50" t="n">
        <v>1210</v>
      </c>
      <c r="F29" s="50" t="n">
        <v>1210</v>
      </c>
      <c r="G29" s="27" t="s">
        <v>865</v>
      </c>
      <c r="H29" s="50" t="n">
        <f aca="false">F29/IF(Varsayimlar!$B$21=1,1.43,1)</f>
        <v>846.153846153846</v>
      </c>
      <c r="I29" s="51" t="n">
        <v>6.89</v>
      </c>
      <c r="J29" s="28" t="n">
        <f aca="false">H29*I29</f>
        <v>5830</v>
      </c>
      <c r="K29" s="52" t="s">
        <v>548</v>
      </c>
      <c r="L29" s="7" t="s">
        <v>1709</v>
      </c>
      <c r="M29" s="7" t="s">
        <v>1710</v>
      </c>
    </row>
    <row r="30" customFormat="false" ht="39.55" hidden="false" customHeight="false" outlineLevel="1" collapsed="false">
      <c r="A30" s="27"/>
      <c r="B30" s="27" t="s">
        <v>1707</v>
      </c>
      <c r="C30" s="7" t="s">
        <v>1704</v>
      </c>
      <c r="D30" s="27" t="s">
        <v>732</v>
      </c>
      <c r="E30" s="50" t="n">
        <v>1</v>
      </c>
      <c r="F30" s="50" t="n">
        <v>1</v>
      </c>
      <c r="G30" s="27" t="s">
        <v>767</v>
      </c>
      <c r="H30" s="50" t="n">
        <f aca="false">F30</f>
        <v>1</v>
      </c>
      <c r="I30" s="51" t="n">
        <v>1800</v>
      </c>
      <c r="J30" s="28" t="n">
        <f aca="false">H30*I30</f>
        <v>1800</v>
      </c>
      <c r="K30" s="53" t="s">
        <v>551</v>
      </c>
      <c r="L30" s="7" t="s">
        <v>1705</v>
      </c>
      <c r="M30" s="7"/>
    </row>
    <row r="31" customFormat="false" ht="15" hidden="false" customHeight="false" outlineLevel="0" collapsed="false">
      <c r="A31" s="48" t="s">
        <v>221</v>
      </c>
      <c r="B31" s="48" t="s">
        <v>1711</v>
      </c>
      <c r="C31" s="48" t="s">
        <v>222</v>
      </c>
      <c r="D31" s="48"/>
      <c r="E31" s="48"/>
      <c r="F31" s="48"/>
      <c r="G31" s="48"/>
      <c r="H31" s="48" t="s">
        <v>765</v>
      </c>
      <c r="I31" s="49" t="n">
        <f aca="false">SUMPRODUCT(E32:E41,I32:I41)</f>
        <v>22457.79</v>
      </c>
      <c r="J31" s="49" t="n">
        <f aca="false">SUM(J32:J41)</f>
        <v>19491.41</v>
      </c>
      <c r="K31" s="48"/>
      <c r="L31" s="48"/>
      <c r="M31" s="48"/>
    </row>
    <row r="32" customFormat="false" ht="26.85" hidden="false" customHeight="false" outlineLevel="1" collapsed="false">
      <c r="A32" s="27"/>
      <c r="B32" s="27" t="s">
        <v>1711</v>
      </c>
      <c r="C32" s="7" t="s">
        <v>1674</v>
      </c>
      <c r="D32" s="27" t="s">
        <v>727</v>
      </c>
      <c r="E32" s="50" t="n">
        <v>1</v>
      </c>
      <c r="F32" s="50" t="n">
        <v>1</v>
      </c>
      <c r="G32" s="27" t="s">
        <v>767</v>
      </c>
      <c r="H32" s="50" t="n">
        <f aca="false">F32</f>
        <v>1</v>
      </c>
      <c r="I32" s="51" t="n">
        <v>2800</v>
      </c>
      <c r="J32" s="28" t="n">
        <f aca="false">H32*I32</f>
        <v>2800</v>
      </c>
      <c r="K32" s="53" t="s">
        <v>551</v>
      </c>
      <c r="L32" s="7" t="s">
        <v>1708</v>
      </c>
      <c r="M32" s="7" t="s">
        <v>1676</v>
      </c>
    </row>
    <row r="33" customFormat="false" ht="52.2" hidden="false" customHeight="false" outlineLevel="1" collapsed="false">
      <c r="A33" s="27"/>
      <c r="B33" s="27" t="s">
        <v>1711</v>
      </c>
      <c r="C33" s="7" t="s">
        <v>1677</v>
      </c>
      <c r="D33" s="27" t="s">
        <v>727</v>
      </c>
      <c r="E33" s="50" t="n">
        <v>3</v>
      </c>
      <c r="F33" s="50" t="n">
        <v>3</v>
      </c>
      <c r="G33" s="27" t="s">
        <v>767</v>
      </c>
      <c r="H33" s="50" t="n">
        <f aca="false">F33</f>
        <v>3</v>
      </c>
      <c r="I33" s="51" t="n">
        <v>2080</v>
      </c>
      <c r="J33" s="28" t="n">
        <f aca="false">H33*I33</f>
        <v>6240</v>
      </c>
      <c r="K33" s="52" t="s">
        <v>548</v>
      </c>
      <c r="L33" s="7" t="s">
        <v>1678</v>
      </c>
      <c r="M33" s="7" t="s">
        <v>1679</v>
      </c>
    </row>
    <row r="34" customFormat="false" ht="77.6" hidden="false" customHeight="false" outlineLevel="1" collapsed="false">
      <c r="A34" s="27"/>
      <c r="B34" s="27" t="s">
        <v>1711</v>
      </c>
      <c r="C34" s="7" t="s">
        <v>1680</v>
      </c>
      <c r="D34" s="27" t="s">
        <v>727</v>
      </c>
      <c r="E34" s="50" t="n">
        <v>8</v>
      </c>
      <c r="F34" s="50" t="n">
        <v>8</v>
      </c>
      <c r="G34" s="27" t="s">
        <v>767</v>
      </c>
      <c r="H34" s="50" t="n">
        <f aca="false">F34</f>
        <v>8</v>
      </c>
      <c r="I34" s="51" t="n">
        <v>162.97</v>
      </c>
      <c r="J34" s="28" t="n">
        <f aca="false">H34*I34</f>
        <v>1303.76</v>
      </c>
      <c r="K34" s="52" t="s">
        <v>548</v>
      </c>
      <c r="L34" s="7" t="s">
        <v>1681</v>
      </c>
      <c r="M34" s="7" t="s">
        <v>1682</v>
      </c>
    </row>
    <row r="35" customFormat="false" ht="64.9" hidden="false" customHeight="false" outlineLevel="1" collapsed="false">
      <c r="A35" s="27"/>
      <c r="B35" s="27" t="s">
        <v>1711</v>
      </c>
      <c r="C35" s="7" t="s">
        <v>1683</v>
      </c>
      <c r="D35" s="27" t="s">
        <v>727</v>
      </c>
      <c r="E35" s="50" t="n">
        <v>1</v>
      </c>
      <c r="F35" s="50" t="n">
        <v>1</v>
      </c>
      <c r="G35" s="27" t="s">
        <v>767</v>
      </c>
      <c r="H35" s="50" t="n">
        <f aca="false">F35</f>
        <v>1</v>
      </c>
      <c r="I35" s="51" t="n">
        <v>477.59</v>
      </c>
      <c r="J35" s="28" t="n">
        <f aca="false">H35*I35</f>
        <v>477.59</v>
      </c>
      <c r="K35" s="52" t="s">
        <v>548</v>
      </c>
      <c r="L35" s="7" t="s">
        <v>1684</v>
      </c>
      <c r="M35" s="7" t="s">
        <v>1685</v>
      </c>
    </row>
    <row r="36" customFormat="false" ht="39.55" hidden="false" customHeight="false" outlineLevel="1" collapsed="false">
      <c r="A36" s="27"/>
      <c r="B36" s="27" t="s">
        <v>1711</v>
      </c>
      <c r="C36" s="7" t="s">
        <v>1686</v>
      </c>
      <c r="D36" s="27" t="s">
        <v>727</v>
      </c>
      <c r="E36" s="50" t="n">
        <v>63</v>
      </c>
      <c r="F36" s="54" t="n">
        <v>21</v>
      </c>
      <c r="G36" s="27" t="s">
        <v>767</v>
      </c>
      <c r="H36" s="50" t="n">
        <f aca="false">F36</f>
        <v>21</v>
      </c>
      <c r="I36" s="51" t="n">
        <v>10.94</v>
      </c>
      <c r="J36" s="28" t="n">
        <f aca="false">H36*I36</f>
        <v>229.74</v>
      </c>
      <c r="K36" s="52" t="s">
        <v>548</v>
      </c>
      <c r="L36" s="7" t="s">
        <v>1687</v>
      </c>
      <c r="M36" s="7" t="s">
        <v>1688</v>
      </c>
    </row>
    <row r="37" customFormat="false" ht="52.2" hidden="false" customHeight="false" outlineLevel="1" collapsed="false">
      <c r="A37" s="27"/>
      <c r="B37" s="27" t="s">
        <v>1711</v>
      </c>
      <c r="C37" s="7" t="s">
        <v>1689</v>
      </c>
      <c r="D37" s="27" t="s">
        <v>727</v>
      </c>
      <c r="E37" s="50" t="n">
        <v>6</v>
      </c>
      <c r="F37" s="50" t="n">
        <v>6</v>
      </c>
      <c r="G37" s="27" t="s">
        <v>767</v>
      </c>
      <c r="H37" s="50" t="n">
        <f aca="false">F37</f>
        <v>6</v>
      </c>
      <c r="I37" s="51" t="n">
        <v>6.96</v>
      </c>
      <c r="J37" s="28" t="n">
        <f aca="false">H37*I37</f>
        <v>41.76</v>
      </c>
      <c r="K37" s="52" t="s">
        <v>548</v>
      </c>
      <c r="L37" s="7" t="s">
        <v>1690</v>
      </c>
      <c r="M37" s="7" t="s">
        <v>1691</v>
      </c>
    </row>
    <row r="38" customFormat="false" ht="115.65" hidden="false" customHeight="false" outlineLevel="1" collapsed="false">
      <c r="A38" s="27"/>
      <c r="B38" s="27" t="s">
        <v>1711</v>
      </c>
      <c r="C38" s="7" t="s">
        <v>1692</v>
      </c>
      <c r="D38" s="27" t="s">
        <v>732</v>
      </c>
      <c r="E38" s="50" t="n">
        <v>1</v>
      </c>
      <c r="F38" s="50" t="n">
        <v>1</v>
      </c>
      <c r="G38" s="27" t="s">
        <v>767</v>
      </c>
      <c r="H38" s="50" t="n">
        <f aca="false">F38</f>
        <v>1</v>
      </c>
      <c r="I38" s="51" t="n">
        <v>168.56</v>
      </c>
      <c r="J38" s="28" t="n">
        <f aca="false">H38*I38</f>
        <v>168.56</v>
      </c>
      <c r="K38" s="52" t="s">
        <v>548</v>
      </c>
      <c r="L38" s="7" t="s">
        <v>1693</v>
      </c>
      <c r="M38" s="7" t="s">
        <v>1694</v>
      </c>
    </row>
    <row r="39" customFormat="false" ht="26.85" hidden="false" customHeight="false" outlineLevel="1" collapsed="false">
      <c r="A39" s="27"/>
      <c r="B39" s="27" t="s">
        <v>1711</v>
      </c>
      <c r="C39" s="7" t="s">
        <v>1695</v>
      </c>
      <c r="D39" s="27" t="s">
        <v>732</v>
      </c>
      <c r="E39" s="50" t="n">
        <v>1</v>
      </c>
      <c r="F39" s="50" t="n">
        <v>1</v>
      </c>
      <c r="G39" s="27" t="s">
        <v>767</v>
      </c>
      <c r="H39" s="50" t="n">
        <f aca="false">F39</f>
        <v>1</v>
      </c>
      <c r="I39" s="51" t="n">
        <v>600</v>
      </c>
      <c r="J39" s="28" t="n">
        <f aca="false">H39*I39</f>
        <v>600</v>
      </c>
      <c r="K39" s="53" t="s">
        <v>551</v>
      </c>
      <c r="L39" s="7" t="s">
        <v>1696</v>
      </c>
      <c r="M39" s="7" t="s">
        <v>1697</v>
      </c>
    </row>
    <row r="40" customFormat="false" ht="52.2" hidden="false" customHeight="false" outlineLevel="1" collapsed="false">
      <c r="A40" s="27"/>
      <c r="B40" s="27" t="s">
        <v>1711</v>
      </c>
      <c r="C40" s="7" t="s">
        <v>1701</v>
      </c>
      <c r="D40" s="27" t="s">
        <v>853</v>
      </c>
      <c r="E40" s="50" t="n">
        <v>1210</v>
      </c>
      <c r="F40" s="50" t="n">
        <v>1210</v>
      </c>
      <c r="G40" s="27" t="s">
        <v>865</v>
      </c>
      <c r="H40" s="50" t="n">
        <f aca="false">F40/IF(Varsayimlar!$B$21=1,1.43,1)</f>
        <v>846.153846153846</v>
      </c>
      <c r="I40" s="51" t="n">
        <v>6.89</v>
      </c>
      <c r="J40" s="28" t="n">
        <f aca="false">H40*I40</f>
        <v>5830</v>
      </c>
      <c r="K40" s="52" t="s">
        <v>548</v>
      </c>
      <c r="L40" s="7" t="s">
        <v>1709</v>
      </c>
      <c r="M40" s="7" t="s">
        <v>1710</v>
      </c>
    </row>
    <row r="41" customFormat="false" ht="39.55" hidden="false" customHeight="false" outlineLevel="1" collapsed="false">
      <c r="A41" s="27"/>
      <c r="B41" s="27" t="s">
        <v>1711</v>
      </c>
      <c r="C41" s="7" t="s">
        <v>1704</v>
      </c>
      <c r="D41" s="27" t="s">
        <v>732</v>
      </c>
      <c r="E41" s="50" t="n">
        <v>1</v>
      </c>
      <c r="F41" s="50" t="n">
        <v>1</v>
      </c>
      <c r="G41" s="27" t="s">
        <v>767</v>
      </c>
      <c r="H41" s="50" t="n">
        <f aca="false">F41</f>
        <v>1</v>
      </c>
      <c r="I41" s="51" t="n">
        <v>1800</v>
      </c>
      <c r="J41" s="28" t="n">
        <f aca="false">H41*I41</f>
        <v>1800</v>
      </c>
      <c r="K41" s="53" t="s">
        <v>551</v>
      </c>
      <c r="L41" s="7" t="s">
        <v>1705</v>
      </c>
      <c r="M41" s="7"/>
    </row>
    <row r="42" customFormat="false" ht="15" hidden="false" customHeight="false" outlineLevel="0" collapsed="false">
      <c r="A42" s="48" t="s">
        <v>223</v>
      </c>
      <c r="B42" s="48" t="s">
        <v>1712</v>
      </c>
      <c r="C42" s="48" t="s">
        <v>224</v>
      </c>
      <c r="D42" s="48"/>
      <c r="E42" s="48"/>
      <c r="F42" s="48"/>
      <c r="G42" s="48"/>
      <c r="H42" s="48" t="s">
        <v>765</v>
      </c>
      <c r="I42" s="49" t="n">
        <f aca="false">SUMPRODUCT(E43:E52,I43:I52)</f>
        <v>22457.79</v>
      </c>
      <c r="J42" s="49" t="n">
        <f aca="false">SUM(J43:J52)</f>
        <v>19491.41</v>
      </c>
      <c r="K42" s="48"/>
      <c r="L42" s="48"/>
      <c r="M42" s="48"/>
    </row>
    <row r="43" customFormat="false" ht="26.85" hidden="false" customHeight="false" outlineLevel="1" collapsed="false">
      <c r="A43" s="27"/>
      <c r="B43" s="27" t="s">
        <v>1712</v>
      </c>
      <c r="C43" s="7" t="s">
        <v>1674</v>
      </c>
      <c r="D43" s="27" t="s">
        <v>727</v>
      </c>
      <c r="E43" s="50" t="n">
        <v>1</v>
      </c>
      <c r="F43" s="50" t="n">
        <v>1</v>
      </c>
      <c r="G43" s="27" t="s">
        <v>767</v>
      </c>
      <c r="H43" s="50" t="n">
        <f aca="false">F43</f>
        <v>1</v>
      </c>
      <c r="I43" s="51" t="n">
        <v>2800</v>
      </c>
      <c r="J43" s="28" t="n">
        <f aca="false">H43*I43</f>
        <v>2800</v>
      </c>
      <c r="K43" s="53" t="s">
        <v>551</v>
      </c>
      <c r="L43" s="7" t="s">
        <v>1708</v>
      </c>
      <c r="M43" s="7" t="s">
        <v>1676</v>
      </c>
    </row>
    <row r="44" customFormat="false" ht="52.2" hidden="false" customHeight="false" outlineLevel="1" collapsed="false">
      <c r="A44" s="27"/>
      <c r="B44" s="27" t="s">
        <v>1712</v>
      </c>
      <c r="C44" s="7" t="s">
        <v>1677</v>
      </c>
      <c r="D44" s="27" t="s">
        <v>727</v>
      </c>
      <c r="E44" s="50" t="n">
        <v>3</v>
      </c>
      <c r="F44" s="50" t="n">
        <v>3</v>
      </c>
      <c r="G44" s="27" t="s">
        <v>767</v>
      </c>
      <c r="H44" s="50" t="n">
        <f aca="false">F44</f>
        <v>3</v>
      </c>
      <c r="I44" s="51" t="n">
        <v>2080</v>
      </c>
      <c r="J44" s="28" t="n">
        <f aca="false">H44*I44</f>
        <v>6240</v>
      </c>
      <c r="K44" s="52" t="s">
        <v>548</v>
      </c>
      <c r="L44" s="7" t="s">
        <v>1678</v>
      </c>
      <c r="M44" s="7" t="s">
        <v>1679</v>
      </c>
    </row>
    <row r="45" customFormat="false" ht="77.6" hidden="false" customHeight="false" outlineLevel="1" collapsed="false">
      <c r="A45" s="27"/>
      <c r="B45" s="27" t="s">
        <v>1712</v>
      </c>
      <c r="C45" s="7" t="s">
        <v>1680</v>
      </c>
      <c r="D45" s="27" t="s">
        <v>727</v>
      </c>
      <c r="E45" s="50" t="n">
        <v>8</v>
      </c>
      <c r="F45" s="50" t="n">
        <v>8</v>
      </c>
      <c r="G45" s="27" t="s">
        <v>767</v>
      </c>
      <c r="H45" s="50" t="n">
        <f aca="false">F45</f>
        <v>8</v>
      </c>
      <c r="I45" s="51" t="n">
        <v>162.97</v>
      </c>
      <c r="J45" s="28" t="n">
        <f aca="false">H45*I45</f>
        <v>1303.76</v>
      </c>
      <c r="K45" s="52" t="s">
        <v>548</v>
      </c>
      <c r="L45" s="7" t="s">
        <v>1681</v>
      </c>
      <c r="M45" s="7" t="s">
        <v>1682</v>
      </c>
    </row>
    <row r="46" customFormat="false" ht="64.9" hidden="false" customHeight="false" outlineLevel="1" collapsed="false">
      <c r="A46" s="27"/>
      <c r="B46" s="27" t="s">
        <v>1712</v>
      </c>
      <c r="C46" s="7" t="s">
        <v>1683</v>
      </c>
      <c r="D46" s="27" t="s">
        <v>727</v>
      </c>
      <c r="E46" s="50" t="n">
        <v>1</v>
      </c>
      <c r="F46" s="50" t="n">
        <v>1</v>
      </c>
      <c r="G46" s="27" t="s">
        <v>767</v>
      </c>
      <c r="H46" s="50" t="n">
        <f aca="false">F46</f>
        <v>1</v>
      </c>
      <c r="I46" s="51" t="n">
        <v>477.59</v>
      </c>
      <c r="J46" s="28" t="n">
        <f aca="false">H46*I46</f>
        <v>477.59</v>
      </c>
      <c r="K46" s="52" t="s">
        <v>548</v>
      </c>
      <c r="L46" s="7" t="s">
        <v>1684</v>
      </c>
      <c r="M46" s="7" t="s">
        <v>1685</v>
      </c>
    </row>
    <row r="47" customFormat="false" ht="39.55" hidden="false" customHeight="false" outlineLevel="1" collapsed="false">
      <c r="A47" s="27"/>
      <c r="B47" s="27" t="s">
        <v>1712</v>
      </c>
      <c r="C47" s="7" t="s">
        <v>1686</v>
      </c>
      <c r="D47" s="27" t="s">
        <v>727</v>
      </c>
      <c r="E47" s="50" t="n">
        <v>63</v>
      </c>
      <c r="F47" s="54" t="n">
        <v>21</v>
      </c>
      <c r="G47" s="27" t="s">
        <v>767</v>
      </c>
      <c r="H47" s="50" t="n">
        <f aca="false">F47</f>
        <v>21</v>
      </c>
      <c r="I47" s="51" t="n">
        <v>10.94</v>
      </c>
      <c r="J47" s="28" t="n">
        <f aca="false">H47*I47</f>
        <v>229.74</v>
      </c>
      <c r="K47" s="52" t="s">
        <v>548</v>
      </c>
      <c r="L47" s="7" t="s">
        <v>1687</v>
      </c>
      <c r="M47" s="7" t="s">
        <v>1688</v>
      </c>
    </row>
    <row r="48" customFormat="false" ht="52.2" hidden="false" customHeight="false" outlineLevel="1" collapsed="false">
      <c r="A48" s="27"/>
      <c r="B48" s="27" t="s">
        <v>1712</v>
      </c>
      <c r="C48" s="7" t="s">
        <v>1689</v>
      </c>
      <c r="D48" s="27" t="s">
        <v>727</v>
      </c>
      <c r="E48" s="50" t="n">
        <v>6</v>
      </c>
      <c r="F48" s="50" t="n">
        <v>6</v>
      </c>
      <c r="G48" s="27" t="s">
        <v>767</v>
      </c>
      <c r="H48" s="50" t="n">
        <f aca="false">F48</f>
        <v>6</v>
      </c>
      <c r="I48" s="51" t="n">
        <v>6.96</v>
      </c>
      <c r="J48" s="28" t="n">
        <f aca="false">H48*I48</f>
        <v>41.76</v>
      </c>
      <c r="K48" s="52" t="s">
        <v>548</v>
      </c>
      <c r="L48" s="7" t="s">
        <v>1690</v>
      </c>
      <c r="M48" s="7" t="s">
        <v>1691</v>
      </c>
    </row>
    <row r="49" customFormat="false" ht="115.65" hidden="false" customHeight="false" outlineLevel="1" collapsed="false">
      <c r="A49" s="27"/>
      <c r="B49" s="27" t="s">
        <v>1712</v>
      </c>
      <c r="C49" s="7" t="s">
        <v>1692</v>
      </c>
      <c r="D49" s="27" t="s">
        <v>732</v>
      </c>
      <c r="E49" s="50" t="n">
        <v>1</v>
      </c>
      <c r="F49" s="50" t="n">
        <v>1</v>
      </c>
      <c r="G49" s="27" t="s">
        <v>767</v>
      </c>
      <c r="H49" s="50" t="n">
        <f aca="false">F49</f>
        <v>1</v>
      </c>
      <c r="I49" s="51" t="n">
        <v>168.56</v>
      </c>
      <c r="J49" s="28" t="n">
        <f aca="false">H49*I49</f>
        <v>168.56</v>
      </c>
      <c r="K49" s="52" t="s">
        <v>548</v>
      </c>
      <c r="L49" s="7" t="s">
        <v>1693</v>
      </c>
      <c r="M49" s="7" t="s">
        <v>1694</v>
      </c>
    </row>
    <row r="50" customFormat="false" ht="26.85" hidden="false" customHeight="false" outlineLevel="1" collapsed="false">
      <c r="A50" s="27"/>
      <c r="B50" s="27" t="s">
        <v>1712</v>
      </c>
      <c r="C50" s="7" t="s">
        <v>1695</v>
      </c>
      <c r="D50" s="27" t="s">
        <v>732</v>
      </c>
      <c r="E50" s="50" t="n">
        <v>1</v>
      </c>
      <c r="F50" s="50" t="n">
        <v>1</v>
      </c>
      <c r="G50" s="27" t="s">
        <v>767</v>
      </c>
      <c r="H50" s="50" t="n">
        <f aca="false">F50</f>
        <v>1</v>
      </c>
      <c r="I50" s="51" t="n">
        <v>600</v>
      </c>
      <c r="J50" s="28" t="n">
        <f aca="false">H50*I50</f>
        <v>600</v>
      </c>
      <c r="K50" s="53" t="s">
        <v>551</v>
      </c>
      <c r="L50" s="7" t="s">
        <v>1696</v>
      </c>
      <c r="M50" s="7" t="s">
        <v>1697</v>
      </c>
    </row>
    <row r="51" customFormat="false" ht="52.2" hidden="false" customHeight="false" outlineLevel="1" collapsed="false">
      <c r="A51" s="27"/>
      <c r="B51" s="27" t="s">
        <v>1712</v>
      </c>
      <c r="C51" s="7" t="s">
        <v>1701</v>
      </c>
      <c r="D51" s="27" t="s">
        <v>853</v>
      </c>
      <c r="E51" s="50" t="n">
        <v>1210</v>
      </c>
      <c r="F51" s="50" t="n">
        <v>1210</v>
      </c>
      <c r="G51" s="27" t="s">
        <v>865</v>
      </c>
      <c r="H51" s="50" t="n">
        <f aca="false">F51/IF(Varsayimlar!$B$21=1,1.43,1)</f>
        <v>846.153846153846</v>
      </c>
      <c r="I51" s="51" t="n">
        <v>6.89</v>
      </c>
      <c r="J51" s="28" t="n">
        <f aca="false">H51*I51</f>
        <v>5830</v>
      </c>
      <c r="K51" s="52" t="s">
        <v>548</v>
      </c>
      <c r="L51" s="7" t="s">
        <v>1709</v>
      </c>
      <c r="M51" s="7" t="s">
        <v>1710</v>
      </c>
    </row>
    <row r="52" customFormat="false" ht="39.55" hidden="false" customHeight="false" outlineLevel="1" collapsed="false">
      <c r="A52" s="27"/>
      <c r="B52" s="27" t="s">
        <v>1712</v>
      </c>
      <c r="C52" s="7" t="s">
        <v>1704</v>
      </c>
      <c r="D52" s="27" t="s">
        <v>732</v>
      </c>
      <c r="E52" s="50" t="n">
        <v>1</v>
      </c>
      <c r="F52" s="50" t="n">
        <v>1</v>
      </c>
      <c r="G52" s="27" t="s">
        <v>767</v>
      </c>
      <c r="H52" s="50" t="n">
        <f aca="false">F52</f>
        <v>1</v>
      </c>
      <c r="I52" s="51" t="n">
        <v>1800</v>
      </c>
      <c r="J52" s="28" t="n">
        <f aca="false">H52*I52</f>
        <v>1800</v>
      </c>
      <c r="K52" s="53" t="s">
        <v>551</v>
      </c>
      <c r="L52" s="7" t="s">
        <v>1705</v>
      </c>
      <c r="M52" s="7"/>
    </row>
    <row r="53" customFormat="false" ht="15" hidden="false" customHeight="false" outlineLevel="0" collapsed="false">
      <c r="A53" s="48" t="s">
        <v>225</v>
      </c>
      <c r="B53" s="48" t="s">
        <v>1713</v>
      </c>
      <c r="C53" s="48" t="s">
        <v>226</v>
      </c>
      <c r="D53" s="48"/>
      <c r="E53" s="48"/>
      <c r="F53" s="48"/>
      <c r="G53" s="48"/>
      <c r="H53" s="48" t="s">
        <v>765</v>
      </c>
      <c r="I53" s="49" t="n">
        <f aca="false">SUMPRODUCT(E54:E63,I54:I63)</f>
        <v>22457.79</v>
      </c>
      <c r="J53" s="49" t="n">
        <f aca="false">SUM(J54:J63)</f>
        <v>19491.41</v>
      </c>
      <c r="K53" s="48"/>
      <c r="L53" s="48"/>
      <c r="M53" s="48"/>
    </row>
    <row r="54" customFormat="false" ht="26.85" hidden="false" customHeight="false" outlineLevel="1" collapsed="false">
      <c r="A54" s="27"/>
      <c r="B54" s="27" t="s">
        <v>1713</v>
      </c>
      <c r="C54" s="7" t="s">
        <v>1674</v>
      </c>
      <c r="D54" s="27" t="s">
        <v>727</v>
      </c>
      <c r="E54" s="50" t="n">
        <v>1</v>
      </c>
      <c r="F54" s="50" t="n">
        <v>1</v>
      </c>
      <c r="G54" s="27" t="s">
        <v>767</v>
      </c>
      <c r="H54" s="50" t="n">
        <f aca="false">F54</f>
        <v>1</v>
      </c>
      <c r="I54" s="51" t="n">
        <v>2800</v>
      </c>
      <c r="J54" s="28" t="n">
        <f aca="false">H54*I54</f>
        <v>2800</v>
      </c>
      <c r="K54" s="53" t="s">
        <v>551</v>
      </c>
      <c r="L54" s="7" t="s">
        <v>1708</v>
      </c>
      <c r="M54" s="7" t="s">
        <v>1676</v>
      </c>
    </row>
    <row r="55" customFormat="false" ht="52.2" hidden="false" customHeight="false" outlineLevel="1" collapsed="false">
      <c r="A55" s="27"/>
      <c r="B55" s="27" t="s">
        <v>1713</v>
      </c>
      <c r="C55" s="7" t="s">
        <v>1677</v>
      </c>
      <c r="D55" s="27" t="s">
        <v>727</v>
      </c>
      <c r="E55" s="50" t="n">
        <v>3</v>
      </c>
      <c r="F55" s="50" t="n">
        <v>3</v>
      </c>
      <c r="G55" s="27" t="s">
        <v>767</v>
      </c>
      <c r="H55" s="50" t="n">
        <f aca="false">F55</f>
        <v>3</v>
      </c>
      <c r="I55" s="51" t="n">
        <v>2080</v>
      </c>
      <c r="J55" s="28" t="n">
        <f aca="false">H55*I55</f>
        <v>6240</v>
      </c>
      <c r="K55" s="52" t="s">
        <v>548</v>
      </c>
      <c r="L55" s="7" t="s">
        <v>1678</v>
      </c>
      <c r="M55" s="7" t="s">
        <v>1679</v>
      </c>
    </row>
    <row r="56" customFormat="false" ht="77.6" hidden="false" customHeight="false" outlineLevel="1" collapsed="false">
      <c r="A56" s="27"/>
      <c r="B56" s="27" t="s">
        <v>1713</v>
      </c>
      <c r="C56" s="7" t="s">
        <v>1680</v>
      </c>
      <c r="D56" s="27" t="s">
        <v>727</v>
      </c>
      <c r="E56" s="50" t="n">
        <v>8</v>
      </c>
      <c r="F56" s="50" t="n">
        <v>8</v>
      </c>
      <c r="G56" s="27" t="s">
        <v>767</v>
      </c>
      <c r="H56" s="50" t="n">
        <f aca="false">F56</f>
        <v>8</v>
      </c>
      <c r="I56" s="51" t="n">
        <v>162.97</v>
      </c>
      <c r="J56" s="28" t="n">
        <f aca="false">H56*I56</f>
        <v>1303.76</v>
      </c>
      <c r="K56" s="52" t="s">
        <v>548</v>
      </c>
      <c r="L56" s="7" t="s">
        <v>1681</v>
      </c>
      <c r="M56" s="7" t="s">
        <v>1682</v>
      </c>
    </row>
    <row r="57" customFormat="false" ht="64.9" hidden="false" customHeight="false" outlineLevel="1" collapsed="false">
      <c r="A57" s="27"/>
      <c r="B57" s="27" t="s">
        <v>1713</v>
      </c>
      <c r="C57" s="7" t="s">
        <v>1683</v>
      </c>
      <c r="D57" s="27" t="s">
        <v>727</v>
      </c>
      <c r="E57" s="50" t="n">
        <v>1</v>
      </c>
      <c r="F57" s="50" t="n">
        <v>1</v>
      </c>
      <c r="G57" s="27" t="s">
        <v>767</v>
      </c>
      <c r="H57" s="50" t="n">
        <f aca="false">F57</f>
        <v>1</v>
      </c>
      <c r="I57" s="51" t="n">
        <v>477.59</v>
      </c>
      <c r="J57" s="28" t="n">
        <f aca="false">H57*I57</f>
        <v>477.59</v>
      </c>
      <c r="K57" s="52" t="s">
        <v>548</v>
      </c>
      <c r="L57" s="7" t="s">
        <v>1684</v>
      </c>
      <c r="M57" s="7" t="s">
        <v>1685</v>
      </c>
    </row>
    <row r="58" customFormat="false" ht="39.55" hidden="false" customHeight="false" outlineLevel="1" collapsed="false">
      <c r="A58" s="27"/>
      <c r="B58" s="27" t="s">
        <v>1713</v>
      </c>
      <c r="C58" s="7" t="s">
        <v>1686</v>
      </c>
      <c r="D58" s="27" t="s">
        <v>727</v>
      </c>
      <c r="E58" s="50" t="n">
        <v>63</v>
      </c>
      <c r="F58" s="54" t="n">
        <v>21</v>
      </c>
      <c r="G58" s="27" t="s">
        <v>767</v>
      </c>
      <c r="H58" s="50" t="n">
        <f aca="false">F58</f>
        <v>21</v>
      </c>
      <c r="I58" s="51" t="n">
        <v>10.94</v>
      </c>
      <c r="J58" s="28" t="n">
        <f aca="false">H58*I58</f>
        <v>229.74</v>
      </c>
      <c r="K58" s="52" t="s">
        <v>548</v>
      </c>
      <c r="L58" s="7" t="s">
        <v>1687</v>
      </c>
      <c r="M58" s="7" t="s">
        <v>1688</v>
      </c>
    </row>
    <row r="59" customFormat="false" ht="52.2" hidden="false" customHeight="false" outlineLevel="1" collapsed="false">
      <c r="A59" s="27"/>
      <c r="B59" s="27" t="s">
        <v>1713</v>
      </c>
      <c r="C59" s="7" t="s">
        <v>1689</v>
      </c>
      <c r="D59" s="27" t="s">
        <v>727</v>
      </c>
      <c r="E59" s="50" t="n">
        <v>6</v>
      </c>
      <c r="F59" s="50" t="n">
        <v>6</v>
      </c>
      <c r="G59" s="27" t="s">
        <v>767</v>
      </c>
      <c r="H59" s="50" t="n">
        <f aca="false">F59</f>
        <v>6</v>
      </c>
      <c r="I59" s="51" t="n">
        <v>6.96</v>
      </c>
      <c r="J59" s="28" t="n">
        <f aca="false">H59*I59</f>
        <v>41.76</v>
      </c>
      <c r="K59" s="52" t="s">
        <v>548</v>
      </c>
      <c r="L59" s="7" t="s">
        <v>1690</v>
      </c>
      <c r="M59" s="7" t="s">
        <v>1691</v>
      </c>
    </row>
    <row r="60" customFormat="false" ht="115.65" hidden="false" customHeight="false" outlineLevel="1" collapsed="false">
      <c r="A60" s="27"/>
      <c r="B60" s="27" t="s">
        <v>1713</v>
      </c>
      <c r="C60" s="7" t="s">
        <v>1692</v>
      </c>
      <c r="D60" s="27" t="s">
        <v>732</v>
      </c>
      <c r="E60" s="50" t="n">
        <v>1</v>
      </c>
      <c r="F60" s="50" t="n">
        <v>1</v>
      </c>
      <c r="G60" s="27" t="s">
        <v>767</v>
      </c>
      <c r="H60" s="50" t="n">
        <f aca="false">F60</f>
        <v>1</v>
      </c>
      <c r="I60" s="51" t="n">
        <v>168.56</v>
      </c>
      <c r="J60" s="28" t="n">
        <f aca="false">H60*I60</f>
        <v>168.56</v>
      </c>
      <c r="K60" s="52" t="s">
        <v>548</v>
      </c>
      <c r="L60" s="7" t="s">
        <v>1693</v>
      </c>
      <c r="M60" s="7" t="s">
        <v>1694</v>
      </c>
    </row>
    <row r="61" customFormat="false" ht="26.85" hidden="false" customHeight="false" outlineLevel="1" collapsed="false">
      <c r="A61" s="27"/>
      <c r="B61" s="27" t="s">
        <v>1713</v>
      </c>
      <c r="C61" s="7" t="s">
        <v>1695</v>
      </c>
      <c r="D61" s="27" t="s">
        <v>732</v>
      </c>
      <c r="E61" s="50" t="n">
        <v>1</v>
      </c>
      <c r="F61" s="50" t="n">
        <v>1</v>
      </c>
      <c r="G61" s="27" t="s">
        <v>767</v>
      </c>
      <c r="H61" s="50" t="n">
        <f aca="false">F61</f>
        <v>1</v>
      </c>
      <c r="I61" s="51" t="n">
        <v>600</v>
      </c>
      <c r="J61" s="28" t="n">
        <f aca="false">H61*I61</f>
        <v>600</v>
      </c>
      <c r="K61" s="53" t="s">
        <v>551</v>
      </c>
      <c r="L61" s="7" t="s">
        <v>1696</v>
      </c>
      <c r="M61" s="7" t="s">
        <v>1697</v>
      </c>
    </row>
    <row r="62" customFormat="false" ht="52.2" hidden="false" customHeight="false" outlineLevel="1" collapsed="false">
      <c r="A62" s="27"/>
      <c r="B62" s="27" t="s">
        <v>1713</v>
      </c>
      <c r="C62" s="7" t="s">
        <v>1701</v>
      </c>
      <c r="D62" s="27" t="s">
        <v>853</v>
      </c>
      <c r="E62" s="50" t="n">
        <v>1210</v>
      </c>
      <c r="F62" s="50" t="n">
        <v>1210</v>
      </c>
      <c r="G62" s="27" t="s">
        <v>865</v>
      </c>
      <c r="H62" s="50" t="n">
        <f aca="false">F62/IF(Varsayimlar!$B$21=1,1.43,1)</f>
        <v>846.153846153846</v>
      </c>
      <c r="I62" s="51" t="n">
        <v>6.89</v>
      </c>
      <c r="J62" s="28" t="n">
        <f aca="false">H62*I62</f>
        <v>5830</v>
      </c>
      <c r="K62" s="52" t="s">
        <v>548</v>
      </c>
      <c r="L62" s="7" t="s">
        <v>1709</v>
      </c>
      <c r="M62" s="7" t="s">
        <v>1710</v>
      </c>
    </row>
    <row r="63" customFormat="false" ht="39.55" hidden="false" customHeight="false" outlineLevel="1" collapsed="false">
      <c r="A63" s="27"/>
      <c r="B63" s="27" t="s">
        <v>1713</v>
      </c>
      <c r="C63" s="7" t="s">
        <v>1704</v>
      </c>
      <c r="D63" s="27" t="s">
        <v>732</v>
      </c>
      <c r="E63" s="50" t="n">
        <v>1</v>
      </c>
      <c r="F63" s="50" t="n">
        <v>1</v>
      </c>
      <c r="G63" s="27" t="s">
        <v>767</v>
      </c>
      <c r="H63" s="50" t="n">
        <f aca="false">F63</f>
        <v>1</v>
      </c>
      <c r="I63" s="51" t="n">
        <v>1800</v>
      </c>
      <c r="J63" s="28" t="n">
        <f aca="false">H63*I63</f>
        <v>1800</v>
      </c>
      <c r="K63" s="53" t="s">
        <v>551</v>
      </c>
      <c r="L63" s="7" t="s">
        <v>1705</v>
      </c>
      <c r="M63" s="7"/>
    </row>
    <row r="64" customFormat="false" ht="15" hidden="false" customHeight="false" outlineLevel="0" collapsed="false">
      <c r="A64" s="48" t="s">
        <v>227</v>
      </c>
      <c r="B64" s="48" t="s">
        <v>1714</v>
      </c>
      <c r="C64" s="48" t="s">
        <v>228</v>
      </c>
      <c r="D64" s="48"/>
      <c r="E64" s="48"/>
      <c r="F64" s="48"/>
      <c r="G64" s="48"/>
      <c r="H64" s="48" t="s">
        <v>765</v>
      </c>
      <c r="I64" s="49" t="n">
        <f aca="false">SUMPRODUCT(E65:E74,I65:I74)</f>
        <v>20032.51</v>
      </c>
      <c r="J64" s="49" t="n">
        <f aca="false">SUM(J65:J74)</f>
        <v>17795.41</v>
      </c>
      <c r="K64" s="48"/>
      <c r="L64" s="48"/>
      <c r="M64" s="48"/>
    </row>
    <row r="65" customFormat="false" ht="26.85" hidden="false" customHeight="false" outlineLevel="1" collapsed="false">
      <c r="A65" s="27"/>
      <c r="B65" s="27" t="s">
        <v>1714</v>
      </c>
      <c r="C65" s="7" t="s">
        <v>1674</v>
      </c>
      <c r="D65" s="27" t="s">
        <v>727</v>
      </c>
      <c r="E65" s="50" t="n">
        <v>1</v>
      </c>
      <c r="F65" s="50" t="n">
        <v>1</v>
      </c>
      <c r="G65" s="27" t="s">
        <v>767</v>
      </c>
      <c r="H65" s="50" t="n">
        <f aca="false">F65</f>
        <v>1</v>
      </c>
      <c r="I65" s="51" t="n">
        <v>2800</v>
      </c>
      <c r="J65" s="28" t="n">
        <f aca="false">H65*I65</f>
        <v>2800</v>
      </c>
      <c r="K65" s="53" t="s">
        <v>551</v>
      </c>
      <c r="L65" s="7" t="s">
        <v>1708</v>
      </c>
      <c r="M65" s="7" t="s">
        <v>1676</v>
      </c>
    </row>
    <row r="66" customFormat="false" ht="52.2" hidden="false" customHeight="false" outlineLevel="1" collapsed="false">
      <c r="A66" s="27"/>
      <c r="B66" s="27" t="s">
        <v>1714</v>
      </c>
      <c r="C66" s="7" t="s">
        <v>1677</v>
      </c>
      <c r="D66" s="27" t="s">
        <v>727</v>
      </c>
      <c r="E66" s="50" t="n">
        <v>3</v>
      </c>
      <c r="F66" s="50" t="n">
        <v>3</v>
      </c>
      <c r="G66" s="27" t="s">
        <v>767</v>
      </c>
      <c r="H66" s="50" t="n">
        <f aca="false">F66</f>
        <v>3</v>
      </c>
      <c r="I66" s="51" t="n">
        <v>2080</v>
      </c>
      <c r="J66" s="28" t="n">
        <f aca="false">H66*I66</f>
        <v>6240</v>
      </c>
      <c r="K66" s="52" t="s">
        <v>548</v>
      </c>
      <c r="L66" s="7" t="s">
        <v>1678</v>
      </c>
      <c r="M66" s="7" t="s">
        <v>1679</v>
      </c>
    </row>
    <row r="67" customFormat="false" ht="77.6" hidden="false" customHeight="false" outlineLevel="1" collapsed="false">
      <c r="A67" s="27"/>
      <c r="B67" s="27" t="s">
        <v>1714</v>
      </c>
      <c r="C67" s="7" t="s">
        <v>1680</v>
      </c>
      <c r="D67" s="27" t="s">
        <v>727</v>
      </c>
      <c r="E67" s="50" t="n">
        <v>8</v>
      </c>
      <c r="F67" s="50" t="n">
        <v>8</v>
      </c>
      <c r="G67" s="27" t="s">
        <v>767</v>
      </c>
      <c r="H67" s="50" t="n">
        <f aca="false">F67</f>
        <v>8</v>
      </c>
      <c r="I67" s="51" t="n">
        <v>162.97</v>
      </c>
      <c r="J67" s="28" t="n">
        <f aca="false">H67*I67</f>
        <v>1303.76</v>
      </c>
      <c r="K67" s="52" t="s">
        <v>548</v>
      </c>
      <c r="L67" s="7" t="s">
        <v>1681</v>
      </c>
      <c r="M67" s="7" t="s">
        <v>1682</v>
      </c>
    </row>
    <row r="68" customFormat="false" ht="64.9" hidden="false" customHeight="false" outlineLevel="1" collapsed="false">
      <c r="A68" s="27"/>
      <c r="B68" s="27" t="s">
        <v>1714</v>
      </c>
      <c r="C68" s="7" t="s">
        <v>1683</v>
      </c>
      <c r="D68" s="27" t="s">
        <v>727</v>
      </c>
      <c r="E68" s="50" t="n">
        <v>1</v>
      </c>
      <c r="F68" s="50" t="n">
        <v>1</v>
      </c>
      <c r="G68" s="27" t="s">
        <v>767</v>
      </c>
      <c r="H68" s="50" t="n">
        <f aca="false">F68</f>
        <v>1</v>
      </c>
      <c r="I68" s="51" t="n">
        <v>477.59</v>
      </c>
      <c r="J68" s="28" t="n">
        <f aca="false">H68*I68</f>
        <v>477.59</v>
      </c>
      <c r="K68" s="52" t="s">
        <v>548</v>
      </c>
      <c r="L68" s="7" t="s">
        <v>1684</v>
      </c>
      <c r="M68" s="7" t="s">
        <v>1685</v>
      </c>
    </row>
    <row r="69" customFormat="false" ht="39.55" hidden="false" customHeight="false" outlineLevel="1" collapsed="false">
      <c r="A69" s="27"/>
      <c r="B69" s="27" t="s">
        <v>1714</v>
      </c>
      <c r="C69" s="7" t="s">
        <v>1686</v>
      </c>
      <c r="D69" s="27" t="s">
        <v>727</v>
      </c>
      <c r="E69" s="50" t="n">
        <v>63</v>
      </c>
      <c r="F69" s="54" t="n">
        <v>21</v>
      </c>
      <c r="G69" s="27" t="s">
        <v>767</v>
      </c>
      <c r="H69" s="50" t="n">
        <f aca="false">F69</f>
        <v>21</v>
      </c>
      <c r="I69" s="51" t="n">
        <v>10.94</v>
      </c>
      <c r="J69" s="28" t="n">
        <f aca="false">H69*I69</f>
        <v>229.74</v>
      </c>
      <c r="K69" s="52" t="s">
        <v>548</v>
      </c>
      <c r="L69" s="7" t="s">
        <v>1687</v>
      </c>
      <c r="M69" s="7" t="s">
        <v>1688</v>
      </c>
    </row>
    <row r="70" customFormat="false" ht="52.2" hidden="false" customHeight="false" outlineLevel="1" collapsed="false">
      <c r="A70" s="27"/>
      <c r="B70" s="27" t="s">
        <v>1714</v>
      </c>
      <c r="C70" s="7" t="s">
        <v>1689</v>
      </c>
      <c r="D70" s="27" t="s">
        <v>727</v>
      </c>
      <c r="E70" s="50" t="n">
        <v>6</v>
      </c>
      <c r="F70" s="50" t="n">
        <v>6</v>
      </c>
      <c r="G70" s="27" t="s">
        <v>767</v>
      </c>
      <c r="H70" s="50" t="n">
        <f aca="false">F70</f>
        <v>6</v>
      </c>
      <c r="I70" s="51" t="n">
        <v>6.96</v>
      </c>
      <c r="J70" s="28" t="n">
        <f aca="false">H70*I70</f>
        <v>41.76</v>
      </c>
      <c r="K70" s="52" t="s">
        <v>548</v>
      </c>
      <c r="L70" s="7" t="s">
        <v>1690</v>
      </c>
      <c r="M70" s="7" t="s">
        <v>1691</v>
      </c>
    </row>
    <row r="71" customFormat="false" ht="115.65" hidden="false" customHeight="false" outlineLevel="1" collapsed="false">
      <c r="A71" s="27"/>
      <c r="B71" s="27" t="s">
        <v>1714</v>
      </c>
      <c r="C71" s="7" t="s">
        <v>1692</v>
      </c>
      <c r="D71" s="27" t="s">
        <v>732</v>
      </c>
      <c r="E71" s="50" t="n">
        <v>1</v>
      </c>
      <c r="F71" s="50" t="n">
        <v>1</v>
      </c>
      <c r="G71" s="27" t="s">
        <v>767</v>
      </c>
      <c r="H71" s="50" t="n">
        <f aca="false">F71</f>
        <v>1</v>
      </c>
      <c r="I71" s="51" t="n">
        <v>168.56</v>
      </c>
      <c r="J71" s="28" t="n">
        <f aca="false">H71*I71</f>
        <v>168.56</v>
      </c>
      <c r="K71" s="52" t="s">
        <v>548</v>
      </c>
      <c r="L71" s="7" t="s">
        <v>1693</v>
      </c>
      <c r="M71" s="7" t="s">
        <v>1694</v>
      </c>
    </row>
    <row r="72" customFormat="false" ht="26.85" hidden="false" customHeight="false" outlineLevel="1" collapsed="false">
      <c r="A72" s="27"/>
      <c r="B72" s="27" t="s">
        <v>1714</v>
      </c>
      <c r="C72" s="7" t="s">
        <v>1695</v>
      </c>
      <c r="D72" s="27" t="s">
        <v>732</v>
      </c>
      <c r="E72" s="50" t="n">
        <v>1</v>
      </c>
      <c r="F72" s="50" t="n">
        <v>1</v>
      </c>
      <c r="G72" s="27" t="s">
        <v>767</v>
      </c>
      <c r="H72" s="50" t="n">
        <f aca="false">F72</f>
        <v>1</v>
      </c>
      <c r="I72" s="51" t="n">
        <v>600</v>
      </c>
      <c r="J72" s="28" t="n">
        <f aca="false">H72*I72</f>
        <v>600</v>
      </c>
      <c r="K72" s="53" t="s">
        <v>551</v>
      </c>
      <c r="L72" s="7" t="s">
        <v>1696</v>
      </c>
      <c r="M72" s="7" t="s">
        <v>1697</v>
      </c>
    </row>
    <row r="73" customFormat="false" ht="52.2" hidden="false" customHeight="false" outlineLevel="1" collapsed="false">
      <c r="A73" s="27"/>
      <c r="B73" s="27" t="s">
        <v>1714</v>
      </c>
      <c r="C73" s="7" t="s">
        <v>1701</v>
      </c>
      <c r="D73" s="27" t="s">
        <v>853</v>
      </c>
      <c r="E73" s="50" t="n">
        <v>858</v>
      </c>
      <c r="F73" s="50" t="n">
        <v>858</v>
      </c>
      <c r="G73" s="27" t="s">
        <v>865</v>
      </c>
      <c r="H73" s="50" t="n">
        <f aca="false">F73/IF(Varsayimlar!$B$21=1,1.43,1)</f>
        <v>600</v>
      </c>
      <c r="I73" s="51" t="n">
        <v>6.89</v>
      </c>
      <c r="J73" s="28" t="n">
        <f aca="false">H73*I73</f>
        <v>4134</v>
      </c>
      <c r="K73" s="52" t="s">
        <v>548</v>
      </c>
      <c r="L73" s="7" t="s">
        <v>1709</v>
      </c>
      <c r="M73" s="7" t="s">
        <v>1710</v>
      </c>
    </row>
    <row r="74" customFormat="false" ht="39.55" hidden="false" customHeight="false" outlineLevel="1" collapsed="false">
      <c r="A74" s="27"/>
      <c r="B74" s="27" t="s">
        <v>1714</v>
      </c>
      <c r="C74" s="7" t="s">
        <v>1704</v>
      </c>
      <c r="D74" s="27" t="s">
        <v>732</v>
      </c>
      <c r="E74" s="50" t="n">
        <v>1</v>
      </c>
      <c r="F74" s="50" t="n">
        <v>1</v>
      </c>
      <c r="G74" s="27" t="s">
        <v>767</v>
      </c>
      <c r="H74" s="50" t="n">
        <f aca="false">F74</f>
        <v>1</v>
      </c>
      <c r="I74" s="51" t="n">
        <v>1800</v>
      </c>
      <c r="J74" s="28" t="n">
        <f aca="false">H74*I74</f>
        <v>1800</v>
      </c>
      <c r="K74" s="53" t="s">
        <v>551</v>
      </c>
      <c r="L74" s="7" t="s">
        <v>1705</v>
      </c>
      <c r="M74" s="7"/>
    </row>
    <row r="75" customFormat="false" ht="15" hidden="false" customHeight="false" outlineLevel="0" collapsed="false">
      <c r="A75" s="48" t="s">
        <v>229</v>
      </c>
      <c r="B75" s="48" t="s">
        <v>1715</v>
      </c>
      <c r="C75" s="48" t="s">
        <v>230</v>
      </c>
      <c r="D75" s="48"/>
      <c r="E75" s="48"/>
      <c r="F75" s="48"/>
      <c r="G75" s="48"/>
      <c r="H75" s="48" t="s">
        <v>765</v>
      </c>
      <c r="I75" s="49" t="n">
        <f aca="false">SUMPRODUCT(E76:E84,I76:I84)</f>
        <v>20133.62</v>
      </c>
      <c r="J75" s="49" t="n">
        <f aca="false">SUM(J76:J84)</f>
        <v>19635.3281818182</v>
      </c>
      <c r="K75" s="48"/>
      <c r="L75" s="48"/>
      <c r="M75" s="48"/>
    </row>
    <row r="76" customFormat="false" ht="64.9" hidden="false" customHeight="false" outlineLevel="1" collapsed="false">
      <c r="A76" s="27"/>
      <c r="B76" s="27" t="s">
        <v>1715</v>
      </c>
      <c r="C76" s="7" t="s">
        <v>1716</v>
      </c>
      <c r="D76" s="27" t="s">
        <v>727</v>
      </c>
      <c r="E76" s="50" t="n">
        <v>3</v>
      </c>
      <c r="F76" s="50" t="n">
        <v>3</v>
      </c>
      <c r="G76" s="27" t="s">
        <v>767</v>
      </c>
      <c r="H76" s="50" t="n">
        <f aca="false">F76</f>
        <v>3</v>
      </c>
      <c r="I76" s="51" t="n">
        <v>1650</v>
      </c>
      <c r="J76" s="28" t="n">
        <f aca="false">H76*I76</f>
        <v>4950</v>
      </c>
      <c r="K76" s="52" t="s">
        <v>548</v>
      </c>
      <c r="L76" s="7" t="s">
        <v>1717</v>
      </c>
      <c r="M76" s="7" t="s">
        <v>1718</v>
      </c>
    </row>
    <row r="77" customFormat="false" ht="52.2" hidden="false" customHeight="false" outlineLevel="1" collapsed="false">
      <c r="A77" s="27"/>
      <c r="B77" s="27" t="s">
        <v>1715</v>
      </c>
      <c r="C77" s="7" t="s">
        <v>1719</v>
      </c>
      <c r="D77" s="27" t="s">
        <v>727</v>
      </c>
      <c r="E77" s="50" t="n">
        <v>4</v>
      </c>
      <c r="F77" s="50" t="n">
        <v>4</v>
      </c>
      <c r="G77" s="27" t="s">
        <v>767</v>
      </c>
      <c r="H77" s="50" t="n">
        <f aca="false">F77</f>
        <v>4</v>
      </c>
      <c r="I77" s="51" t="n">
        <v>1057</v>
      </c>
      <c r="J77" s="28" t="n">
        <f aca="false">H77*I77</f>
        <v>4228</v>
      </c>
      <c r="K77" s="52" t="s">
        <v>548</v>
      </c>
      <c r="L77" s="7" t="s">
        <v>1720</v>
      </c>
      <c r="M77" s="7" t="s">
        <v>1721</v>
      </c>
    </row>
    <row r="78" customFormat="false" ht="52.2" hidden="false" customHeight="false" outlineLevel="1" collapsed="false">
      <c r="A78" s="27"/>
      <c r="B78" s="27" t="s">
        <v>1715</v>
      </c>
      <c r="C78" s="7" t="s">
        <v>1722</v>
      </c>
      <c r="D78" s="27" t="s">
        <v>727</v>
      </c>
      <c r="E78" s="50" t="n">
        <v>5</v>
      </c>
      <c r="F78" s="50" t="n">
        <v>5</v>
      </c>
      <c r="G78" s="27" t="s">
        <v>767</v>
      </c>
      <c r="H78" s="50" t="n">
        <f aca="false">F78</f>
        <v>5</v>
      </c>
      <c r="I78" s="51" t="n">
        <v>494</v>
      </c>
      <c r="J78" s="28" t="n">
        <f aca="false">H78*I78</f>
        <v>2470</v>
      </c>
      <c r="K78" s="52" t="s">
        <v>548</v>
      </c>
      <c r="L78" s="7" t="s">
        <v>1723</v>
      </c>
      <c r="M78" s="7" t="s">
        <v>1724</v>
      </c>
    </row>
    <row r="79" customFormat="false" ht="77.6" hidden="false" customHeight="false" outlineLevel="1" collapsed="false">
      <c r="A79" s="27"/>
      <c r="B79" s="27" t="s">
        <v>1715</v>
      </c>
      <c r="C79" s="7" t="s">
        <v>1725</v>
      </c>
      <c r="D79" s="27" t="s">
        <v>853</v>
      </c>
      <c r="E79" s="50" t="n">
        <v>325</v>
      </c>
      <c r="F79" s="50" t="n">
        <v>325</v>
      </c>
      <c r="G79" s="27" t="s">
        <v>865</v>
      </c>
      <c r="H79" s="50" t="n">
        <f aca="false">F79/IF(Varsayimlar!$B$21=1,1.43,1)</f>
        <v>227.272727272727</v>
      </c>
      <c r="I79" s="51" t="n">
        <v>4.35</v>
      </c>
      <c r="J79" s="28" t="n">
        <f aca="false">H79*I79</f>
        <v>988.636363636364</v>
      </c>
      <c r="K79" s="52" t="s">
        <v>548</v>
      </c>
      <c r="L79" s="7" t="s">
        <v>1726</v>
      </c>
      <c r="M79" s="7" t="s">
        <v>1727</v>
      </c>
    </row>
    <row r="80" customFormat="false" ht="64.9" hidden="false" customHeight="false" outlineLevel="1" collapsed="false">
      <c r="A80" s="27"/>
      <c r="B80" s="27" t="s">
        <v>1715</v>
      </c>
      <c r="C80" s="7" t="s">
        <v>1728</v>
      </c>
      <c r="D80" s="27" t="s">
        <v>853</v>
      </c>
      <c r="E80" s="50" t="n">
        <v>117</v>
      </c>
      <c r="F80" s="50" t="n">
        <v>117</v>
      </c>
      <c r="G80" s="27" t="s">
        <v>865</v>
      </c>
      <c r="H80" s="50" t="n">
        <f aca="false">F80/IF(Varsayimlar!$B$21=1,1.43,1)</f>
        <v>81.8181818181818</v>
      </c>
      <c r="I80" s="51" t="n">
        <v>2.08</v>
      </c>
      <c r="J80" s="28" t="n">
        <f aca="false">H80*I80</f>
        <v>170.181818181818</v>
      </c>
      <c r="K80" s="52" t="s">
        <v>548</v>
      </c>
      <c r="L80" s="7" t="s">
        <v>1699</v>
      </c>
      <c r="M80" s="7" t="s">
        <v>1729</v>
      </c>
    </row>
    <row r="81" customFormat="false" ht="64.9" hidden="false" customHeight="false" outlineLevel="1" collapsed="false">
      <c r="A81" s="27"/>
      <c r="B81" s="27" t="s">
        <v>1715</v>
      </c>
      <c r="C81" s="7" t="s">
        <v>1730</v>
      </c>
      <c r="D81" s="27" t="s">
        <v>853</v>
      </c>
      <c r="E81" s="50" t="n">
        <v>82</v>
      </c>
      <c r="F81" s="50" t="n">
        <v>82</v>
      </c>
      <c r="G81" s="27" t="s">
        <v>767</v>
      </c>
      <c r="H81" s="50" t="n">
        <f aca="false">F81</f>
        <v>82</v>
      </c>
      <c r="I81" s="51" t="n">
        <v>2.08</v>
      </c>
      <c r="J81" s="28" t="n">
        <f aca="false">H81*I81</f>
        <v>170.56</v>
      </c>
      <c r="K81" s="52" t="s">
        <v>548</v>
      </c>
      <c r="L81" s="7" t="s">
        <v>1699</v>
      </c>
      <c r="M81" s="7" t="s">
        <v>1729</v>
      </c>
    </row>
    <row r="82" customFormat="false" ht="64.9" hidden="false" customHeight="false" outlineLevel="1" collapsed="false">
      <c r="A82" s="27"/>
      <c r="B82" s="27" t="s">
        <v>1715</v>
      </c>
      <c r="C82" s="7" t="s">
        <v>1731</v>
      </c>
      <c r="D82" s="27" t="s">
        <v>727</v>
      </c>
      <c r="E82" s="50" t="n">
        <v>5</v>
      </c>
      <c r="F82" s="50" t="n">
        <v>5</v>
      </c>
      <c r="G82" s="27" t="s">
        <v>767</v>
      </c>
      <c r="H82" s="50" t="n">
        <f aca="false">F82</f>
        <v>5</v>
      </c>
      <c r="I82" s="51" t="n">
        <v>477.59</v>
      </c>
      <c r="J82" s="28" t="n">
        <f aca="false">H82*I82</f>
        <v>2387.95</v>
      </c>
      <c r="K82" s="52" t="s">
        <v>548</v>
      </c>
      <c r="L82" s="7" t="s">
        <v>1732</v>
      </c>
      <c r="M82" s="7" t="s">
        <v>1733</v>
      </c>
    </row>
    <row r="83" customFormat="false" ht="15" hidden="false" customHeight="false" outlineLevel="1" collapsed="false">
      <c r="A83" s="27"/>
      <c r="B83" s="27" t="s">
        <v>1715</v>
      </c>
      <c r="C83" s="7" t="s">
        <v>1734</v>
      </c>
      <c r="D83" s="27" t="s">
        <v>727</v>
      </c>
      <c r="E83" s="50" t="n">
        <v>14</v>
      </c>
      <c r="F83" s="50" t="n">
        <v>14</v>
      </c>
      <c r="G83" s="27" t="s">
        <v>767</v>
      </c>
      <c r="H83" s="50" t="n">
        <f aca="false">F83</f>
        <v>14</v>
      </c>
      <c r="I83" s="51" t="n">
        <v>180</v>
      </c>
      <c r="J83" s="28" t="n">
        <f aca="false">H83*I83</f>
        <v>2520</v>
      </c>
      <c r="K83" s="53" t="s">
        <v>551</v>
      </c>
      <c r="L83" s="7" t="s">
        <v>1735</v>
      </c>
      <c r="M83" s="7"/>
    </row>
    <row r="84" customFormat="false" ht="15" hidden="false" customHeight="false" outlineLevel="1" collapsed="false">
      <c r="A84" s="27"/>
      <c r="B84" s="27" t="s">
        <v>1715</v>
      </c>
      <c r="C84" s="7" t="s">
        <v>1736</v>
      </c>
      <c r="D84" s="27" t="s">
        <v>732</v>
      </c>
      <c r="E84" s="50" t="n">
        <v>5</v>
      </c>
      <c r="F84" s="50" t="n">
        <v>5</v>
      </c>
      <c r="G84" s="27" t="s">
        <v>767</v>
      </c>
      <c r="H84" s="50" t="n">
        <f aca="false">F84</f>
        <v>5</v>
      </c>
      <c r="I84" s="51" t="n">
        <v>350</v>
      </c>
      <c r="J84" s="28" t="n">
        <f aca="false">H84*I84</f>
        <v>1750</v>
      </c>
      <c r="K84" s="53" t="s">
        <v>551</v>
      </c>
      <c r="L84" s="7" t="s">
        <v>1737</v>
      </c>
      <c r="M84" s="7"/>
    </row>
    <row r="85" customFormat="false" ht="15" hidden="false" customHeight="false" outlineLevel="0" collapsed="false">
      <c r="A85" s="48" t="s">
        <v>231</v>
      </c>
      <c r="B85" s="48" t="s">
        <v>1738</v>
      </c>
      <c r="C85" s="48" t="s">
        <v>232</v>
      </c>
      <c r="D85" s="48"/>
      <c r="E85" s="48"/>
      <c r="F85" s="48"/>
      <c r="G85" s="48"/>
      <c r="H85" s="48" t="s">
        <v>765</v>
      </c>
      <c r="I85" s="49" t="n">
        <f aca="false">SUMPRODUCT(E86:E91,I86:I91)</f>
        <v>20875.94</v>
      </c>
      <c r="J85" s="49" t="n">
        <f aca="false">SUM(J86:J91)</f>
        <v>20703.5490909091</v>
      </c>
      <c r="K85" s="48"/>
      <c r="L85" s="48"/>
      <c r="M85" s="48"/>
    </row>
    <row r="86" customFormat="false" ht="64.9" hidden="false" customHeight="false" outlineLevel="1" collapsed="false">
      <c r="A86" s="27"/>
      <c r="B86" s="27" t="s">
        <v>1738</v>
      </c>
      <c r="C86" s="7" t="s">
        <v>1739</v>
      </c>
      <c r="D86" s="27" t="s">
        <v>727</v>
      </c>
      <c r="E86" s="50" t="n">
        <v>4</v>
      </c>
      <c r="F86" s="50" t="n">
        <v>4</v>
      </c>
      <c r="G86" s="27" t="s">
        <v>767</v>
      </c>
      <c r="H86" s="50" t="n">
        <f aca="false">F86</f>
        <v>4</v>
      </c>
      <c r="I86" s="51" t="n">
        <v>1650</v>
      </c>
      <c r="J86" s="28" t="n">
        <f aca="false">H86*I86</f>
        <v>6600</v>
      </c>
      <c r="K86" s="52" t="s">
        <v>548</v>
      </c>
      <c r="L86" s="7" t="s">
        <v>1717</v>
      </c>
      <c r="M86" s="7" t="s">
        <v>1718</v>
      </c>
    </row>
    <row r="87" customFormat="false" ht="39.55" hidden="false" customHeight="false" outlineLevel="1" collapsed="false">
      <c r="A87" s="27"/>
      <c r="B87" s="27" t="s">
        <v>1738</v>
      </c>
      <c r="C87" s="7" t="s">
        <v>1740</v>
      </c>
      <c r="D87" s="27" t="s">
        <v>727</v>
      </c>
      <c r="E87" s="50" t="n">
        <v>4</v>
      </c>
      <c r="F87" s="50" t="n">
        <v>4</v>
      </c>
      <c r="G87" s="27" t="s">
        <v>767</v>
      </c>
      <c r="H87" s="50" t="n">
        <f aca="false">F87</f>
        <v>4</v>
      </c>
      <c r="I87" s="51" t="n">
        <v>1070</v>
      </c>
      <c r="J87" s="28" t="n">
        <f aca="false">H87*I87</f>
        <v>4280</v>
      </c>
      <c r="K87" s="52" t="s">
        <v>548</v>
      </c>
      <c r="L87" s="7" t="s">
        <v>1741</v>
      </c>
      <c r="M87" s="7" t="s">
        <v>1742</v>
      </c>
    </row>
    <row r="88" customFormat="false" ht="77.6" hidden="false" customHeight="false" outlineLevel="1" collapsed="false">
      <c r="A88" s="27"/>
      <c r="B88" s="27" t="s">
        <v>1738</v>
      </c>
      <c r="C88" s="7" t="s">
        <v>1743</v>
      </c>
      <c r="D88" s="27" t="s">
        <v>727</v>
      </c>
      <c r="E88" s="50" t="n">
        <v>4</v>
      </c>
      <c r="F88" s="50" t="n">
        <v>4</v>
      </c>
      <c r="G88" s="27" t="s">
        <v>767</v>
      </c>
      <c r="H88" s="50" t="n">
        <f aca="false">F88</f>
        <v>4</v>
      </c>
      <c r="I88" s="51" t="n">
        <v>931.2</v>
      </c>
      <c r="J88" s="28" t="n">
        <f aca="false">H88*I88</f>
        <v>3724.8</v>
      </c>
      <c r="K88" s="52" t="s">
        <v>548</v>
      </c>
      <c r="L88" s="7" t="s">
        <v>1744</v>
      </c>
      <c r="M88" s="7" t="s">
        <v>1745</v>
      </c>
    </row>
    <row r="89" customFormat="false" ht="77.6" hidden="false" customHeight="false" outlineLevel="1" collapsed="false">
      <c r="A89" s="27"/>
      <c r="B89" s="27" t="s">
        <v>1738</v>
      </c>
      <c r="C89" s="7" t="s">
        <v>1746</v>
      </c>
      <c r="D89" s="27" t="s">
        <v>727</v>
      </c>
      <c r="E89" s="50" t="n">
        <v>24</v>
      </c>
      <c r="F89" s="50" t="n">
        <v>24</v>
      </c>
      <c r="G89" s="27" t="s">
        <v>767</v>
      </c>
      <c r="H89" s="50" t="n">
        <f aca="false">F89</f>
        <v>24</v>
      </c>
      <c r="I89" s="51" t="n">
        <v>187.41</v>
      </c>
      <c r="J89" s="28" t="n">
        <f aca="false">H89*I89</f>
        <v>4497.84</v>
      </c>
      <c r="K89" s="52" t="s">
        <v>548</v>
      </c>
      <c r="L89" s="7" t="s">
        <v>1747</v>
      </c>
      <c r="M89" s="7" t="s">
        <v>1748</v>
      </c>
    </row>
    <row r="90" customFormat="false" ht="64.9" hidden="false" customHeight="false" outlineLevel="1" collapsed="false">
      <c r="A90" s="27"/>
      <c r="B90" s="27" t="s">
        <v>1738</v>
      </c>
      <c r="C90" s="7" t="s">
        <v>1749</v>
      </c>
      <c r="D90" s="27" t="s">
        <v>853</v>
      </c>
      <c r="E90" s="50" t="n">
        <v>315</v>
      </c>
      <c r="F90" s="50" t="n">
        <v>315</v>
      </c>
      <c r="G90" s="27" t="s">
        <v>865</v>
      </c>
      <c r="H90" s="50" t="n">
        <f aca="false">F90/IF(Varsayimlar!$B$21=1,1.43,1)</f>
        <v>220.27972027972</v>
      </c>
      <c r="I90" s="51" t="n">
        <v>1.82</v>
      </c>
      <c r="J90" s="28" t="n">
        <f aca="false">H90*I90</f>
        <v>400.909090909091</v>
      </c>
      <c r="K90" s="52" t="s">
        <v>548</v>
      </c>
      <c r="L90" s="7" t="s">
        <v>1750</v>
      </c>
      <c r="M90" s="7" t="s">
        <v>1751</v>
      </c>
    </row>
    <row r="91" customFormat="false" ht="15" hidden="false" customHeight="false" outlineLevel="1" collapsed="false">
      <c r="A91" s="27"/>
      <c r="B91" s="27" t="s">
        <v>1738</v>
      </c>
      <c r="C91" s="7" t="s">
        <v>1752</v>
      </c>
      <c r="D91" s="27" t="s">
        <v>732</v>
      </c>
      <c r="E91" s="50" t="n">
        <v>4</v>
      </c>
      <c r="F91" s="50" t="n">
        <v>4</v>
      </c>
      <c r="G91" s="27" t="s">
        <v>767</v>
      </c>
      <c r="H91" s="50" t="n">
        <f aca="false">F91</f>
        <v>4</v>
      </c>
      <c r="I91" s="51" t="n">
        <v>300</v>
      </c>
      <c r="J91" s="28" t="n">
        <f aca="false">H91*I91</f>
        <v>1200</v>
      </c>
      <c r="K91" s="53" t="s">
        <v>551</v>
      </c>
      <c r="L91" s="7" t="s">
        <v>1737</v>
      </c>
      <c r="M91" s="7"/>
    </row>
    <row r="92" customFormat="false" ht="15" hidden="false" customHeight="false" outlineLevel="0" collapsed="false">
      <c r="A92" s="48" t="s">
        <v>233</v>
      </c>
      <c r="B92" s="48" t="s">
        <v>1753</v>
      </c>
      <c r="C92" s="48" t="s">
        <v>234</v>
      </c>
      <c r="D92" s="48"/>
      <c r="E92" s="48"/>
      <c r="F92" s="48"/>
      <c r="G92" s="48"/>
      <c r="H92" s="48" t="s">
        <v>765</v>
      </c>
      <c r="I92" s="49" t="n">
        <f aca="false">SUMPRODUCT(E93:E97,I93:I97)</f>
        <v>42633.84</v>
      </c>
      <c r="J92" s="49" t="n">
        <f aca="false">SUM(J93:J97)</f>
        <v>42633.84</v>
      </c>
      <c r="K92" s="48"/>
      <c r="L92" s="48"/>
      <c r="M92" s="48"/>
    </row>
    <row r="93" customFormat="false" ht="52.2" hidden="false" customHeight="false" outlineLevel="1" collapsed="false">
      <c r="A93" s="27"/>
      <c r="B93" s="27" t="s">
        <v>1753</v>
      </c>
      <c r="C93" s="7" t="s">
        <v>1754</v>
      </c>
      <c r="D93" s="27" t="s">
        <v>727</v>
      </c>
      <c r="E93" s="50" t="n">
        <v>9</v>
      </c>
      <c r="F93" s="50" t="n">
        <v>9</v>
      </c>
      <c r="G93" s="27" t="s">
        <v>767</v>
      </c>
      <c r="H93" s="50" t="n">
        <f aca="false">F93</f>
        <v>9</v>
      </c>
      <c r="I93" s="51" t="n">
        <v>1355</v>
      </c>
      <c r="J93" s="28" t="n">
        <f aca="false">H93*I93</f>
        <v>12195</v>
      </c>
      <c r="K93" s="52" t="s">
        <v>548</v>
      </c>
      <c r="L93" s="7" t="s">
        <v>1755</v>
      </c>
      <c r="M93" s="7" t="s">
        <v>1756</v>
      </c>
    </row>
    <row r="94" customFormat="false" ht="64.9" hidden="false" customHeight="false" outlineLevel="1" collapsed="false">
      <c r="A94" s="27"/>
      <c r="B94" s="27" t="s">
        <v>1753</v>
      </c>
      <c r="C94" s="7" t="s">
        <v>1757</v>
      </c>
      <c r="D94" s="27" t="s">
        <v>727</v>
      </c>
      <c r="E94" s="50" t="n">
        <v>2</v>
      </c>
      <c r="F94" s="50" t="n">
        <v>2</v>
      </c>
      <c r="G94" s="27" t="s">
        <v>767</v>
      </c>
      <c r="H94" s="50" t="n">
        <f aca="false">F94</f>
        <v>2</v>
      </c>
      <c r="I94" s="51" t="n">
        <v>809.29</v>
      </c>
      <c r="J94" s="28" t="n">
        <f aca="false">H94*I94</f>
        <v>1618.58</v>
      </c>
      <c r="K94" s="52" t="s">
        <v>548</v>
      </c>
      <c r="L94" s="7" t="s">
        <v>1758</v>
      </c>
      <c r="M94" s="7" t="s">
        <v>1759</v>
      </c>
    </row>
    <row r="95" customFormat="false" ht="26.85" hidden="false" customHeight="false" outlineLevel="1" collapsed="false">
      <c r="A95" s="27"/>
      <c r="B95" s="27" t="s">
        <v>1753</v>
      </c>
      <c r="C95" s="7" t="s">
        <v>1760</v>
      </c>
      <c r="D95" s="27" t="s">
        <v>727</v>
      </c>
      <c r="E95" s="50" t="n">
        <v>9</v>
      </c>
      <c r="F95" s="50" t="n">
        <v>9</v>
      </c>
      <c r="G95" s="27" t="s">
        <v>767</v>
      </c>
      <c r="H95" s="50" t="n">
        <f aca="false">F95</f>
        <v>9</v>
      </c>
      <c r="I95" s="51" t="n">
        <v>2500</v>
      </c>
      <c r="J95" s="28" t="n">
        <f aca="false">H95*I95</f>
        <v>22500</v>
      </c>
      <c r="K95" s="53" t="s">
        <v>551</v>
      </c>
      <c r="L95" s="7" t="s">
        <v>1761</v>
      </c>
      <c r="M95" s="7"/>
    </row>
    <row r="96" customFormat="false" ht="52.2" hidden="false" customHeight="false" outlineLevel="1" collapsed="false">
      <c r="A96" s="27"/>
      <c r="B96" s="27" t="s">
        <v>1753</v>
      </c>
      <c r="C96" s="7" t="s">
        <v>1762</v>
      </c>
      <c r="D96" s="27" t="s">
        <v>727</v>
      </c>
      <c r="E96" s="50" t="n">
        <v>9</v>
      </c>
      <c r="F96" s="50" t="n">
        <v>9</v>
      </c>
      <c r="G96" s="27" t="s">
        <v>767</v>
      </c>
      <c r="H96" s="50" t="n">
        <f aca="false">F96</f>
        <v>9</v>
      </c>
      <c r="I96" s="51" t="n">
        <v>303.88</v>
      </c>
      <c r="J96" s="28" t="n">
        <f aca="false">H96*I96</f>
        <v>2734.92</v>
      </c>
      <c r="K96" s="52" t="s">
        <v>548</v>
      </c>
      <c r="L96" s="7" t="s">
        <v>1763</v>
      </c>
      <c r="M96" s="7" t="s">
        <v>1764</v>
      </c>
    </row>
    <row r="97" customFormat="false" ht="77.6" hidden="false" customHeight="false" outlineLevel="1" collapsed="false">
      <c r="A97" s="27"/>
      <c r="B97" s="27" t="s">
        <v>1753</v>
      </c>
      <c r="C97" s="7" t="s">
        <v>1765</v>
      </c>
      <c r="D97" s="27" t="s">
        <v>727</v>
      </c>
      <c r="E97" s="50" t="n">
        <v>22</v>
      </c>
      <c r="F97" s="50" t="n">
        <v>22</v>
      </c>
      <c r="G97" s="27" t="s">
        <v>767</v>
      </c>
      <c r="H97" s="50" t="n">
        <f aca="false">F97</f>
        <v>22</v>
      </c>
      <c r="I97" s="51" t="n">
        <v>162.97</v>
      </c>
      <c r="J97" s="28" t="n">
        <f aca="false">H97*I97</f>
        <v>3585.34</v>
      </c>
      <c r="K97" s="52" t="s">
        <v>548</v>
      </c>
      <c r="L97" s="7" t="s">
        <v>1681</v>
      </c>
      <c r="M97" s="7" t="s">
        <v>1682</v>
      </c>
    </row>
    <row r="98" customFormat="false" ht="15" hidden="false" customHeight="false" outlineLevel="0" collapsed="false">
      <c r="A98" s="48" t="s">
        <v>235</v>
      </c>
      <c r="B98" s="48" t="s">
        <v>1766</v>
      </c>
      <c r="C98" s="48" t="s">
        <v>236</v>
      </c>
      <c r="D98" s="48"/>
      <c r="E98" s="48"/>
      <c r="F98" s="48"/>
      <c r="G98" s="48"/>
      <c r="H98" s="48" t="s">
        <v>765</v>
      </c>
      <c r="I98" s="49" t="n">
        <f aca="false">SUMPRODUCT(E99:E106,I99:I106)</f>
        <v>83885.64</v>
      </c>
      <c r="J98" s="49" t="n">
        <f aca="false">SUM(J99:J106)</f>
        <v>65885.64</v>
      </c>
      <c r="K98" s="48"/>
      <c r="L98" s="48"/>
      <c r="M98" s="48"/>
    </row>
    <row r="99" customFormat="false" ht="64.9" hidden="false" customHeight="false" outlineLevel="1" collapsed="false">
      <c r="A99" s="27"/>
      <c r="B99" s="27" t="s">
        <v>1766</v>
      </c>
      <c r="C99" s="7" t="s">
        <v>1767</v>
      </c>
      <c r="D99" s="27" t="s">
        <v>727</v>
      </c>
      <c r="E99" s="50" t="n">
        <v>2</v>
      </c>
      <c r="F99" s="50" t="n">
        <v>2</v>
      </c>
      <c r="G99" s="27" t="s">
        <v>767</v>
      </c>
      <c r="H99" s="50" t="n">
        <f aca="false">F99</f>
        <v>2</v>
      </c>
      <c r="I99" s="51" t="n">
        <v>5630</v>
      </c>
      <c r="J99" s="28" t="n">
        <f aca="false">H99*I99</f>
        <v>11260</v>
      </c>
      <c r="K99" s="52" t="s">
        <v>548</v>
      </c>
      <c r="L99" s="7" t="s">
        <v>1768</v>
      </c>
      <c r="M99" s="7" t="s">
        <v>1769</v>
      </c>
    </row>
    <row r="100" customFormat="false" ht="39.55" hidden="false" customHeight="false" outlineLevel="1" collapsed="false">
      <c r="A100" s="27"/>
      <c r="B100" s="27" t="s">
        <v>1766</v>
      </c>
      <c r="C100" s="7" t="s">
        <v>1770</v>
      </c>
      <c r="D100" s="27" t="s">
        <v>727</v>
      </c>
      <c r="E100" s="50" t="n">
        <v>2</v>
      </c>
      <c r="F100" s="50" t="n">
        <v>2</v>
      </c>
      <c r="G100" s="27" t="s">
        <v>767</v>
      </c>
      <c r="H100" s="50" t="n">
        <f aca="false">F100</f>
        <v>2</v>
      </c>
      <c r="I100" s="51" t="n">
        <v>9700</v>
      </c>
      <c r="J100" s="28" t="n">
        <f aca="false">H100*I100</f>
        <v>19400</v>
      </c>
      <c r="K100" s="52" t="s">
        <v>548</v>
      </c>
      <c r="L100" s="7" t="s">
        <v>1771</v>
      </c>
      <c r="M100" s="7" t="s">
        <v>1772</v>
      </c>
    </row>
    <row r="101" customFormat="false" ht="52.2" hidden="false" customHeight="false" outlineLevel="1" collapsed="false">
      <c r="A101" s="27"/>
      <c r="B101" s="27" t="s">
        <v>1766</v>
      </c>
      <c r="C101" s="7" t="s">
        <v>1773</v>
      </c>
      <c r="D101" s="27" t="s">
        <v>732</v>
      </c>
      <c r="E101" s="50" t="n">
        <v>1</v>
      </c>
      <c r="F101" s="50" t="n">
        <v>1</v>
      </c>
      <c r="G101" s="27" t="s">
        <v>767</v>
      </c>
      <c r="H101" s="50" t="n">
        <f aca="false">F101</f>
        <v>1</v>
      </c>
      <c r="I101" s="51" t="n">
        <v>14600</v>
      </c>
      <c r="J101" s="28" t="n">
        <f aca="false">H101*I101</f>
        <v>14600</v>
      </c>
      <c r="K101" s="52" t="s">
        <v>548</v>
      </c>
      <c r="L101" s="7" t="s">
        <v>1774</v>
      </c>
      <c r="M101" s="7" t="s">
        <v>1775</v>
      </c>
    </row>
    <row r="102" customFormat="false" ht="128.35" hidden="false" customHeight="false" outlineLevel="1" collapsed="false">
      <c r="A102" s="27"/>
      <c r="B102" s="27" t="s">
        <v>1766</v>
      </c>
      <c r="C102" s="7" t="s">
        <v>1776</v>
      </c>
      <c r="D102" s="27" t="s">
        <v>727</v>
      </c>
      <c r="E102" s="50" t="n">
        <v>2</v>
      </c>
      <c r="F102" s="50" t="n">
        <v>2</v>
      </c>
      <c r="G102" s="27" t="s">
        <v>767</v>
      </c>
      <c r="H102" s="50" t="n">
        <f aca="false">F102</f>
        <v>2</v>
      </c>
      <c r="I102" s="51" t="n">
        <v>1212.91</v>
      </c>
      <c r="J102" s="28" t="n">
        <f aca="false">H102*I102</f>
        <v>2425.82</v>
      </c>
      <c r="K102" s="52" t="s">
        <v>548</v>
      </c>
      <c r="L102" s="7" t="s">
        <v>1777</v>
      </c>
      <c r="M102" s="7" t="s">
        <v>1778</v>
      </c>
    </row>
    <row r="103" customFormat="false" ht="77.6" hidden="false" customHeight="false" outlineLevel="1" collapsed="false">
      <c r="A103" s="27"/>
      <c r="B103" s="27" t="s">
        <v>1766</v>
      </c>
      <c r="C103" s="7" t="s">
        <v>1779</v>
      </c>
      <c r="D103" s="27" t="s">
        <v>727</v>
      </c>
      <c r="E103" s="50" t="n">
        <v>2</v>
      </c>
      <c r="F103" s="50" t="n">
        <v>2</v>
      </c>
      <c r="G103" s="27" t="s">
        <v>767</v>
      </c>
      <c r="H103" s="50" t="n">
        <f aca="false">F103</f>
        <v>2</v>
      </c>
      <c r="I103" s="51" t="n">
        <v>1599.91</v>
      </c>
      <c r="J103" s="28" t="n">
        <f aca="false">H103*I103</f>
        <v>3199.82</v>
      </c>
      <c r="K103" s="52" t="s">
        <v>548</v>
      </c>
      <c r="L103" s="7" t="s">
        <v>1780</v>
      </c>
      <c r="M103" s="7" t="s">
        <v>1756</v>
      </c>
    </row>
    <row r="104" customFormat="false" ht="26.85" hidden="false" customHeight="false" outlineLevel="1" collapsed="false">
      <c r="A104" s="27"/>
      <c r="B104" s="27" t="s">
        <v>1766</v>
      </c>
      <c r="C104" s="7" t="s">
        <v>1781</v>
      </c>
      <c r="D104" s="27" t="s">
        <v>732</v>
      </c>
      <c r="E104" s="50" t="n">
        <v>1</v>
      </c>
      <c r="F104" s="54" t="n">
        <v>0</v>
      </c>
      <c r="G104" s="27" t="s">
        <v>767</v>
      </c>
      <c r="H104" s="50" t="n">
        <f aca="false">F104</f>
        <v>0</v>
      </c>
      <c r="I104" s="51" t="n">
        <v>3000</v>
      </c>
      <c r="J104" s="28" t="n">
        <f aca="false">H104*I104</f>
        <v>0</v>
      </c>
      <c r="K104" s="55" t="s">
        <v>555</v>
      </c>
      <c r="L104" s="7" t="s">
        <v>1782</v>
      </c>
      <c r="M104" s="7" t="s">
        <v>1783</v>
      </c>
    </row>
    <row r="105" customFormat="false" ht="26.85" hidden="false" customHeight="false" outlineLevel="1" collapsed="false">
      <c r="A105" s="27"/>
      <c r="B105" s="27" t="s">
        <v>1766</v>
      </c>
      <c r="C105" s="7" t="s">
        <v>1784</v>
      </c>
      <c r="D105" s="27" t="s">
        <v>732</v>
      </c>
      <c r="E105" s="50" t="n">
        <v>1</v>
      </c>
      <c r="F105" s="50" t="n">
        <v>1</v>
      </c>
      <c r="G105" s="27" t="s">
        <v>767</v>
      </c>
      <c r="H105" s="50" t="n">
        <f aca="false">F105</f>
        <v>1</v>
      </c>
      <c r="I105" s="51" t="n">
        <v>15000</v>
      </c>
      <c r="J105" s="28" t="n">
        <f aca="false">H105*I105</f>
        <v>15000</v>
      </c>
      <c r="K105" s="53" t="s">
        <v>551</v>
      </c>
      <c r="L105" s="7" t="s">
        <v>1785</v>
      </c>
      <c r="M105" s="7"/>
    </row>
    <row r="106" customFormat="false" ht="26.85" hidden="false" customHeight="false" outlineLevel="1" collapsed="false">
      <c r="A106" s="27"/>
      <c r="B106" s="27" t="s">
        <v>1766</v>
      </c>
      <c r="C106" s="7" t="s">
        <v>1786</v>
      </c>
      <c r="D106" s="27" t="s">
        <v>732</v>
      </c>
      <c r="E106" s="50" t="n">
        <v>1</v>
      </c>
      <c r="F106" s="54" t="n">
        <v>0</v>
      </c>
      <c r="G106" s="27" t="s">
        <v>767</v>
      </c>
      <c r="H106" s="50" t="n">
        <f aca="false">F106</f>
        <v>0</v>
      </c>
      <c r="I106" s="51" t="n">
        <v>15000</v>
      </c>
      <c r="J106" s="28" t="n">
        <f aca="false">H106*I106</f>
        <v>0</v>
      </c>
      <c r="K106" s="55" t="s">
        <v>555</v>
      </c>
      <c r="L106" s="7" t="s">
        <v>1782</v>
      </c>
      <c r="M106" s="7" t="s">
        <v>1783</v>
      </c>
    </row>
    <row r="107" customFormat="false" ht="15" hidden="false" customHeight="false" outlineLevel="0" collapsed="false">
      <c r="A107" s="48" t="s">
        <v>237</v>
      </c>
      <c r="B107" s="48" t="s">
        <v>1787</v>
      </c>
      <c r="C107" s="48" t="s">
        <v>238</v>
      </c>
      <c r="D107" s="48"/>
      <c r="E107" s="48"/>
      <c r="F107" s="48"/>
      <c r="G107" s="48"/>
      <c r="H107" s="48" t="s">
        <v>765</v>
      </c>
      <c r="I107" s="49" t="n">
        <f aca="false">SUMPRODUCT(E108:E113,I108:I113)</f>
        <v>121271.5</v>
      </c>
      <c r="J107" s="49" t="n">
        <f aca="false">SUM(J108:J113)</f>
        <v>80006.1552447553</v>
      </c>
      <c r="K107" s="48"/>
      <c r="L107" s="48"/>
      <c r="M107" s="48"/>
    </row>
    <row r="108" customFormat="false" ht="39.55" hidden="false" customHeight="false" outlineLevel="1" collapsed="false">
      <c r="A108" s="27"/>
      <c r="B108" s="27" t="s">
        <v>1787</v>
      </c>
      <c r="C108" s="7" t="s">
        <v>1788</v>
      </c>
      <c r="D108" s="27" t="s">
        <v>853</v>
      </c>
      <c r="E108" s="50" t="n">
        <v>18762</v>
      </c>
      <c r="F108" s="54" t="n">
        <v>18418.8</v>
      </c>
      <c r="G108" s="27" t="s">
        <v>865</v>
      </c>
      <c r="H108" s="50" t="n">
        <f aca="false">F108/IF(Varsayimlar!$B$21=1,1.43,1)</f>
        <v>12880.2797202797</v>
      </c>
      <c r="I108" s="51" t="n">
        <v>2.7</v>
      </c>
      <c r="J108" s="28" t="n">
        <f aca="false">H108*I108</f>
        <v>34776.7552447553</v>
      </c>
      <c r="K108" s="52" t="s">
        <v>548</v>
      </c>
      <c r="L108" s="7" t="s">
        <v>1789</v>
      </c>
      <c r="M108" s="7" t="s">
        <v>1790</v>
      </c>
    </row>
    <row r="109" customFormat="false" ht="39.55" hidden="false" customHeight="false" outlineLevel="1" collapsed="false">
      <c r="A109" s="27"/>
      <c r="B109" s="27" t="s">
        <v>1787</v>
      </c>
      <c r="C109" s="7" t="s">
        <v>1791</v>
      </c>
      <c r="D109" s="27" t="s">
        <v>853</v>
      </c>
      <c r="E109" s="50" t="n">
        <v>9381</v>
      </c>
      <c r="F109" s="54" t="n">
        <v>9209.4</v>
      </c>
      <c r="G109" s="27" t="s">
        <v>767</v>
      </c>
      <c r="H109" s="50" t="n">
        <f aca="false">F109</f>
        <v>9209.4</v>
      </c>
      <c r="I109" s="51" t="n">
        <v>2</v>
      </c>
      <c r="J109" s="28" t="n">
        <f aca="false">H109*I109</f>
        <v>18418.8</v>
      </c>
      <c r="K109" s="52" t="s">
        <v>548</v>
      </c>
      <c r="L109" s="7" t="s">
        <v>1792</v>
      </c>
      <c r="M109" s="7" t="s">
        <v>1793</v>
      </c>
    </row>
    <row r="110" customFormat="false" ht="39.55" hidden="false" customHeight="false" outlineLevel="1" collapsed="false">
      <c r="A110" s="27"/>
      <c r="B110" s="27" t="s">
        <v>1787</v>
      </c>
      <c r="C110" s="7" t="s">
        <v>1794</v>
      </c>
      <c r="D110" s="27" t="s">
        <v>727</v>
      </c>
      <c r="E110" s="50" t="n">
        <v>33</v>
      </c>
      <c r="F110" s="50" t="n">
        <v>33</v>
      </c>
      <c r="G110" s="27" t="s">
        <v>767</v>
      </c>
      <c r="H110" s="50" t="n">
        <f aca="false">F110</f>
        <v>33</v>
      </c>
      <c r="I110" s="51" t="n">
        <v>250</v>
      </c>
      <c r="J110" s="28" t="n">
        <f aca="false">H110*I110</f>
        <v>8250</v>
      </c>
      <c r="K110" s="53" t="s">
        <v>551</v>
      </c>
      <c r="L110" s="7" t="s">
        <v>1795</v>
      </c>
      <c r="M110" s="7" t="s">
        <v>1796</v>
      </c>
    </row>
    <row r="111" customFormat="false" ht="39.55" hidden="false" customHeight="false" outlineLevel="1" collapsed="false">
      <c r="A111" s="27"/>
      <c r="B111" s="27" t="s">
        <v>1787</v>
      </c>
      <c r="C111" s="7" t="s">
        <v>1797</v>
      </c>
      <c r="D111" s="27" t="s">
        <v>727</v>
      </c>
      <c r="E111" s="50" t="n">
        <v>2153</v>
      </c>
      <c r="F111" s="54" t="n">
        <v>558</v>
      </c>
      <c r="G111" s="27" t="s">
        <v>767</v>
      </c>
      <c r="H111" s="50" t="n">
        <f aca="false">F111</f>
        <v>558</v>
      </c>
      <c r="I111" s="51" t="n">
        <v>15.7</v>
      </c>
      <c r="J111" s="28" t="n">
        <f aca="false">H111*I111</f>
        <v>8760.6</v>
      </c>
      <c r="K111" s="52" t="s">
        <v>548</v>
      </c>
      <c r="L111" s="7" t="s">
        <v>1798</v>
      </c>
      <c r="M111" s="7" t="s">
        <v>1799</v>
      </c>
    </row>
    <row r="112" customFormat="false" ht="39.55" hidden="false" customHeight="false" outlineLevel="1" collapsed="false">
      <c r="A112" s="27"/>
      <c r="B112" s="27" t="s">
        <v>1787</v>
      </c>
      <c r="C112" s="7" t="s">
        <v>1800</v>
      </c>
      <c r="D112" s="27" t="s">
        <v>732</v>
      </c>
      <c r="E112" s="50" t="n">
        <v>1</v>
      </c>
      <c r="F112" s="50" t="n">
        <v>1</v>
      </c>
      <c r="G112" s="27" t="s">
        <v>767</v>
      </c>
      <c r="H112" s="50" t="n">
        <f aca="false">F112</f>
        <v>1</v>
      </c>
      <c r="I112" s="51" t="n">
        <v>5800</v>
      </c>
      <c r="J112" s="28" t="n">
        <f aca="false">H112*I112</f>
        <v>5800</v>
      </c>
      <c r="K112" s="52" t="s">
        <v>548</v>
      </c>
      <c r="L112" s="7" t="s">
        <v>1801</v>
      </c>
      <c r="M112" s="7" t="s">
        <v>1802</v>
      </c>
    </row>
    <row r="113" customFormat="false" ht="15" hidden="false" customHeight="false" outlineLevel="1" collapsed="false">
      <c r="A113" s="27"/>
      <c r="B113" s="27" t="s">
        <v>1787</v>
      </c>
      <c r="C113" s="7" t="s">
        <v>1803</v>
      </c>
      <c r="D113" s="27" t="s">
        <v>732</v>
      </c>
      <c r="E113" s="50" t="n">
        <v>1</v>
      </c>
      <c r="F113" s="50" t="n">
        <v>1</v>
      </c>
      <c r="G113" s="27" t="s">
        <v>767</v>
      </c>
      <c r="H113" s="50" t="n">
        <f aca="false">F113</f>
        <v>1</v>
      </c>
      <c r="I113" s="51" t="n">
        <v>4000</v>
      </c>
      <c r="J113" s="28" t="n">
        <f aca="false">H113*I113</f>
        <v>4000</v>
      </c>
      <c r="K113" s="53" t="s">
        <v>551</v>
      </c>
      <c r="L113" s="7" t="s">
        <v>1804</v>
      </c>
      <c r="M113" s="7"/>
    </row>
    <row r="114" customFormat="false" ht="15" hidden="false" customHeight="false" outlineLevel="0" collapsed="false">
      <c r="A114" s="48" t="s">
        <v>239</v>
      </c>
      <c r="B114" s="48" t="s">
        <v>1805</v>
      </c>
      <c r="C114" s="48" t="s">
        <v>240</v>
      </c>
      <c r="D114" s="48"/>
      <c r="E114" s="48"/>
      <c r="F114" s="48"/>
      <c r="G114" s="48"/>
      <c r="H114" s="48" t="s">
        <v>765</v>
      </c>
      <c r="I114" s="49" t="n">
        <f aca="false">SUMPRODUCT(E115:E116,I115:I116)</f>
        <v>11560</v>
      </c>
      <c r="J114" s="49" t="n">
        <f aca="false">SUM(J115:J116)</f>
        <v>11560</v>
      </c>
      <c r="K114" s="48"/>
      <c r="L114" s="48"/>
      <c r="M114" s="48"/>
    </row>
    <row r="115" customFormat="false" ht="39.55" hidden="false" customHeight="false" outlineLevel="1" collapsed="false">
      <c r="A115" s="27"/>
      <c r="B115" s="27" t="s">
        <v>1805</v>
      </c>
      <c r="C115" s="7" t="s">
        <v>1806</v>
      </c>
      <c r="D115" s="27" t="s">
        <v>732</v>
      </c>
      <c r="E115" s="50" t="n">
        <v>1</v>
      </c>
      <c r="F115" s="50" t="n">
        <v>1</v>
      </c>
      <c r="G115" s="27" t="s">
        <v>767</v>
      </c>
      <c r="H115" s="50" t="n">
        <f aca="false">F115</f>
        <v>1</v>
      </c>
      <c r="I115" s="51" t="n">
        <v>7560</v>
      </c>
      <c r="J115" s="28" t="n">
        <f aca="false">H115*I115</f>
        <v>7560</v>
      </c>
      <c r="K115" s="52" t="s">
        <v>548</v>
      </c>
      <c r="L115" s="7" t="s">
        <v>1807</v>
      </c>
      <c r="M115" s="7" t="s">
        <v>1808</v>
      </c>
    </row>
    <row r="116" customFormat="false" ht="52.2" hidden="false" customHeight="false" outlineLevel="1" collapsed="false">
      <c r="A116" s="27"/>
      <c r="B116" s="27" t="s">
        <v>1805</v>
      </c>
      <c r="C116" s="7" t="s">
        <v>1670</v>
      </c>
      <c r="D116" s="27" t="s">
        <v>732</v>
      </c>
      <c r="E116" s="50" t="n">
        <v>1</v>
      </c>
      <c r="F116" s="50" t="n">
        <v>1</v>
      </c>
      <c r="G116" s="27" t="s">
        <v>767</v>
      </c>
      <c r="H116" s="50" t="n">
        <f aca="false">F116</f>
        <v>1</v>
      </c>
      <c r="I116" s="51" t="n">
        <v>4000</v>
      </c>
      <c r="J116" s="28" t="n">
        <f aca="false">H116*I116</f>
        <v>4000</v>
      </c>
      <c r="K116" s="53" t="s">
        <v>551</v>
      </c>
      <c r="L116" s="7" t="s">
        <v>1809</v>
      </c>
      <c r="M116" s="7" t="s">
        <v>1672</v>
      </c>
    </row>
    <row r="117" customFormat="false" ht="15" hidden="false" customHeight="false" outlineLevel="0" collapsed="false">
      <c r="A117" s="48" t="s">
        <v>241</v>
      </c>
      <c r="B117" s="48" t="s">
        <v>1810</v>
      </c>
      <c r="C117" s="48" t="s">
        <v>242</v>
      </c>
      <c r="D117" s="48"/>
      <c r="E117" s="48"/>
      <c r="F117" s="48"/>
      <c r="G117" s="48"/>
      <c r="H117" s="48" t="s">
        <v>765</v>
      </c>
      <c r="I117" s="49" t="n">
        <f aca="false">SUMPRODUCT(E118:E122,I118:I122)</f>
        <v>3813.8</v>
      </c>
      <c r="J117" s="49" t="n">
        <f aca="false">SUM(J118:J122)</f>
        <v>3609.64755244755</v>
      </c>
      <c r="K117" s="48"/>
      <c r="L117" s="48"/>
      <c r="M117" s="48"/>
    </row>
    <row r="118" customFormat="false" ht="77.6" hidden="false" customHeight="false" outlineLevel="1" collapsed="false">
      <c r="A118" s="27"/>
      <c r="B118" s="27" t="s">
        <v>1810</v>
      </c>
      <c r="C118" s="7" t="s">
        <v>1811</v>
      </c>
      <c r="D118" s="27" t="s">
        <v>727</v>
      </c>
      <c r="E118" s="50" t="n">
        <v>4</v>
      </c>
      <c r="F118" s="50" t="n">
        <v>4</v>
      </c>
      <c r="G118" s="27" t="s">
        <v>767</v>
      </c>
      <c r="H118" s="50" t="n">
        <f aca="false">F118</f>
        <v>4</v>
      </c>
      <c r="I118" s="51" t="n">
        <v>712.15</v>
      </c>
      <c r="J118" s="28" t="n">
        <f aca="false">H118*I118</f>
        <v>2848.6</v>
      </c>
      <c r="K118" s="52" t="s">
        <v>548</v>
      </c>
      <c r="L118" s="7" t="s">
        <v>1812</v>
      </c>
      <c r="M118" s="7" t="s">
        <v>1813</v>
      </c>
    </row>
    <row r="119" customFormat="false" ht="64.9" hidden="false" customHeight="false" outlineLevel="1" collapsed="false">
      <c r="A119" s="27"/>
      <c r="B119" s="27" t="s">
        <v>1810</v>
      </c>
      <c r="C119" s="7" t="s">
        <v>1814</v>
      </c>
      <c r="D119" s="27" t="s">
        <v>727</v>
      </c>
      <c r="E119" s="50" t="n">
        <v>6</v>
      </c>
      <c r="F119" s="50" t="n">
        <v>6</v>
      </c>
      <c r="G119" s="27" t="s">
        <v>829</v>
      </c>
      <c r="H119" s="50" t="n">
        <f aca="false">F119/IF(Varsayimlar!$B$21=1,1.3,1)</f>
        <v>4.61538461538462</v>
      </c>
      <c r="I119" s="51" t="n">
        <v>8.08</v>
      </c>
      <c r="J119" s="28" t="n">
        <f aca="false">H119*I119</f>
        <v>37.2923076923077</v>
      </c>
      <c r="K119" s="52" t="s">
        <v>548</v>
      </c>
      <c r="L119" s="7" t="s">
        <v>1815</v>
      </c>
      <c r="M119" s="7" t="s">
        <v>1816</v>
      </c>
    </row>
    <row r="120" customFormat="false" ht="52.2" hidden="false" customHeight="false" outlineLevel="1" collapsed="false">
      <c r="A120" s="27"/>
      <c r="B120" s="27" t="s">
        <v>1810</v>
      </c>
      <c r="C120" s="7" t="s">
        <v>1817</v>
      </c>
      <c r="D120" s="27" t="s">
        <v>853</v>
      </c>
      <c r="E120" s="50" t="n">
        <v>225</v>
      </c>
      <c r="F120" s="50" t="n">
        <v>225</v>
      </c>
      <c r="G120" s="27" t="s">
        <v>865</v>
      </c>
      <c r="H120" s="50" t="n">
        <f aca="false">F120/IF(Varsayimlar!$B$21=1,1.43,1)</f>
        <v>157.342657342657</v>
      </c>
      <c r="I120" s="51" t="n">
        <v>2.48</v>
      </c>
      <c r="J120" s="28" t="n">
        <f aca="false">H120*I120</f>
        <v>390.20979020979</v>
      </c>
      <c r="K120" s="52" t="s">
        <v>548</v>
      </c>
      <c r="L120" s="7" t="s">
        <v>1818</v>
      </c>
      <c r="M120" s="7" t="s">
        <v>1819</v>
      </c>
    </row>
    <row r="121" customFormat="false" ht="64.9" hidden="false" customHeight="false" outlineLevel="1" collapsed="false">
      <c r="A121" s="27"/>
      <c r="B121" s="27" t="s">
        <v>1810</v>
      </c>
      <c r="C121" s="7" t="s">
        <v>1820</v>
      </c>
      <c r="D121" s="27" t="s">
        <v>853</v>
      </c>
      <c r="E121" s="50" t="n">
        <v>46</v>
      </c>
      <c r="F121" s="50" t="n">
        <v>46</v>
      </c>
      <c r="G121" s="27" t="s">
        <v>865</v>
      </c>
      <c r="H121" s="50" t="n">
        <f aca="false">F121/IF(Varsayimlar!$B$21=1,1.43,1)</f>
        <v>32.1678321678322</v>
      </c>
      <c r="I121" s="51" t="n">
        <v>1.82</v>
      </c>
      <c r="J121" s="28" t="n">
        <f aca="false">H121*I121</f>
        <v>58.5454545454546</v>
      </c>
      <c r="K121" s="52" t="s">
        <v>548</v>
      </c>
      <c r="L121" s="7" t="s">
        <v>1750</v>
      </c>
      <c r="M121" s="7" t="s">
        <v>1821</v>
      </c>
    </row>
    <row r="122" customFormat="false" ht="26.85" hidden="false" customHeight="false" outlineLevel="1" collapsed="false">
      <c r="A122" s="27"/>
      <c r="B122" s="27" t="s">
        <v>1810</v>
      </c>
      <c r="C122" s="7" t="s">
        <v>1822</v>
      </c>
      <c r="D122" s="27" t="s">
        <v>727</v>
      </c>
      <c r="E122" s="50" t="n">
        <v>11</v>
      </c>
      <c r="F122" s="50" t="n">
        <v>11</v>
      </c>
      <c r="G122" s="27" t="s">
        <v>767</v>
      </c>
      <c r="H122" s="50" t="n">
        <f aca="false">F122</f>
        <v>11</v>
      </c>
      <c r="I122" s="51" t="n">
        <v>25</v>
      </c>
      <c r="J122" s="28" t="n">
        <f aca="false">H122*I122</f>
        <v>275</v>
      </c>
      <c r="K122" s="53" t="s">
        <v>551</v>
      </c>
      <c r="L122" s="7" t="s">
        <v>1823</v>
      </c>
      <c r="M122" s="7"/>
    </row>
    <row r="123" customFormat="false" ht="15" hidden="false" customHeight="false" outlineLevel="0" collapsed="false">
      <c r="A123" s="48" t="s">
        <v>243</v>
      </c>
      <c r="B123" s="48" t="s">
        <v>1824</v>
      </c>
      <c r="C123" s="48" t="s">
        <v>244</v>
      </c>
      <c r="D123" s="48"/>
      <c r="E123" s="48"/>
      <c r="F123" s="48"/>
      <c r="G123" s="48"/>
      <c r="H123" s="48" t="s">
        <v>765</v>
      </c>
      <c r="I123" s="49" t="n">
        <f aca="false">SUMPRODUCT(E124:E128,I124:I128)</f>
        <v>1967.76</v>
      </c>
      <c r="J123" s="49" t="n">
        <f aca="false">SUM(J124:J128)</f>
        <v>1851.14195804196</v>
      </c>
      <c r="K123" s="48"/>
      <c r="L123" s="48"/>
      <c r="M123" s="48"/>
    </row>
    <row r="124" customFormat="false" ht="77.6" hidden="false" customHeight="false" outlineLevel="1" collapsed="false">
      <c r="A124" s="27"/>
      <c r="B124" s="27" t="s">
        <v>1824</v>
      </c>
      <c r="C124" s="7" t="s">
        <v>1811</v>
      </c>
      <c r="D124" s="27" t="s">
        <v>727</v>
      </c>
      <c r="E124" s="50" t="n">
        <v>2</v>
      </c>
      <c r="F124" s="50" t="n">
        <v>2</v>
      </c>
      <c r="G124" s="27" t="s">
        <v>767</v>
      </c>
      <c r="H124" s="50" t="n">
        <f aca="false">F124</f>
        <v>2</v>
      </c>
      <c r="I124" s="51" t="n">
        <v>712.15</v>
      </c>
      <c r="J124" s="28" t="n">
        <f aca="false">H124*I124</f>
        <v>1424.3</v>
      </c>
      <c r="K124" s="52" t="s">
        <v>548</v>
      </c>
      <c r="L124" s="7" t="s">
        <v>1812</v>
      </c>
      <c r="M124" s="7" t="s">
        <v>1813</v>
      </c>
    </row>
    <row r="125" customFormat="false" ht="64.9" hidden="false" customHeight="false" outlineLevel="1" collapsed="false">
      <c r="A125" s="27"/>
      <c r="B125" s="27" t="s">
        <v>1824</v>
      </c>
      <c r="C125" s="7" t="s">
        <v>1814</v>
      </c>
      <c r="D125" s="27" t="s">
        <v>727</v>
      </c>
      <c r="E125" s="50" t="n">
        <v>3</v>
      </c>
      <c r="F125" s="50" t="n">
        <v>3</v>
      </c>
      <c r="G125" s="27" t="s">
        <v>829</v>
      </c>
      <c r="H125" s="50" t="n">
        <f aca="false">F125/IF(Varsayimlar!$B$21=1,1.3,1)</f>
        <v>2.30769230769231</v>
      </c>
      <c r="I125" s="51" t="n">
        <v>8.08</v>
      </c>
      <c r="J125" s="28" t="n">
        <f aca="false">H125*I125</f>
        <v>18.6461538461538</v>
      </c>
      <c r="K125" s="52" t="s">
        <v>548</v>
      </c>
      <c r="L125" s="7" t="s">
        <v>1815</v>
      </c>
      <c r="M125" s="7" t="s">
        <v>1816</v>
      </c>
    </row>
    <row r="126" customFormat="false" ht="52.2" hidden="false" customHeight="false" outlineLevel="1" collapsed="false">
      <c r="A126" s="27"/>
      <c r="B126" s="27" t="s">
        <v>1824</v>
      </c>
      <c r="C126" s="7" t="s">
        <v>1817</v>
      </c>
      <c r="D126" s="27" t="s">
        <v>853</v>
      </c>
      <c r="E126" s="50" t="n">
        <v>132</v>
      </c>
      <c r="F126" s="50" t="n">
        <v>132</v>
      </c>
      <c r="G126" s="27" t="s">
        <v>865</v>
      </c>
      <c r="H126" s="50" t="n">
        <f aca="false">F126/IF(Varsayimlar!$B$21=1,1.43,1)</f>
        <v>92.3076923076923</v>
      </c>
      <c r="I126" s="51" t="n">
        <v>2.48</v>
      </c>
      <c r="J126" s="28" t="n">
        <f aca="false">H126*I126</f>
        <v>228.923076923077</v>
      </c>
      <c r="K126" s="52" t="s">
        <v>548</v>
      </c>
      <c r="L126" s="7" t="s">
        <v>1818</v>
      </c>
      <c r="M126" s="7" t="s">
        <v>1819</v>
      </c>
    </row>
    <row r="127" customFormat="false" ht="64.9" hidden="false" customHeight="false" outlineLevel="1" collapsed="false">
      <c r="A127" s="27"/>
      <c r="B127" s="27" t="s">
        <v>1824</v>
      </c>
      <c r="C127" s="7" t="s">
        <v>1820</v>
      </c>
      <c r="D127" s="27" t="s">
        <v>853</v>
      </c>
      <c r="E127" s="50" t="n">
        <v>23</v>
      </c>
      <c r="F127" s="50" t="n">
        <v>23</v>
      </c>
      <c r="G127" s="27" t="s">
        <v>865</v>
      </c>
      <c r="H127" s="50" t="n">
        <f aca="false">F127/IF(Varsayimlar!$B$21=1,1.43,1)</f>
        <v>16.0839160839161</v>
      </c>
      <c r="I127" s="51" t="n">
        <v>1.82</v>
      </c>
      <c r="J127" s="28" t="n">
        <f aca="false">H127*I127</f>
        <v>29.2727272727273</v>
      </c>
      <c r="K127" s="52" t="s">
        <v>548</v>
      </c>
      <c r="L127" s="7" t="s">
        <v>1750</v>
      </c>
      <c r="M127" s="7" t="s">
        <v>1821</v>
      </c>
    </row>
    <row r="128" customFormat="false" ht="26.85" hidden="false" customHeight="false" outlineLevel="1" collapsed="false">
      <c r="A128" s="27"/>
      <c r="B128" s="27" t="s">
        <v>1824</v>
      </c>
      <c r="C128" s="7" t="s">
        <v>1822</v>
      </c>
      <c r="D128" s="27" t="s">
        <v>727</v>
      </c>
      <c r="E128" s="50" t="n">
        <v>6</v>
      </c>
      <c r="F128" s="50" t="n">
        <v>6</v>
      </c>
      <c r="G128" s="27" t="s">
        <v>767</v>
      </c>
      <c r="H128" s="50" t="n">
        <f aca="false">F128</f>
        <v>6</v>
      </c>
      <c r="I128" s="51" t="n">
        <v>25</v>
      </c>
      <c r="J128" s="28" t="n">
        <f aca="false">H128*I128</f>
        <v>150</v>
      </c>
      <c r="K128" s="53" t="s">
        <v>551</v>
      </c>
      <c r="L128" s="7" t="s">
        <v>1823</v>
      </c>
      <c r="M128" s="7"/>
    </row>
    <row r="129" customFormat="false" ht="15" hidden="false" customHeight="false" outlineLevel="0" collapsed="false">
      <c r="A129" s="48" t="s">
        <v>245</v>
      </c>
      <c r="B129" s="48" t="s">
        <v>1825</v>
      </c>
      <c r="C129" s="48" t="s">
        <v>246</v>
      </c>
      <c r="D129" s="48"/>
      <c r="E129" s="48"/>
      <c r="F129" s="48"/>
      <c r="G129" s="48"/>
      <c r="H129" s="48" t="s">
        <v>765</v>
      </c>
      <c r="I129" s="49" t="n">
        <f aca="false">SUMPRODUCT(E130:E134,I130:I134)</f>
        <v>1967.76</v>
      </c>
      <c r="J129" s="49" t="n">
        <f aca="false">SUM(J130:J134)</f>
        <v>1851.14195804196</v>
      </c>
      <c r="K129" s="48"/>
      <c r="L129" s="48"/>
      <c r="M129" s="48"/>
    </row>
    <row r="130" customFormat="false" ht="77.6" hidden="false" customHeight="false" outlineLevel="1" collapsed="false">
      <c r="A130" s="27"/>
      <c r="B130" s="27" t="s">
        <v>1825</v>
      </c>
      <c r="C130" s="7" t="s">
        <v>1811</v>
      </c>
      <c r="D130" s="27" t="s">
        <v>727</v>
      </c>
      <c r="E130" s="50" t="n">
        <v>2</v>
      </c>
      <c r="F130" s="50" t="n">
        <v>2</v>
      </c>
      <c r="G130" s="27" t="s">
        <v>767</v>
      </c>
      <c r="H130" s="50" t="n">
        <f aca="false">F130</f>
        <v>2</v>
      </c>
      <c r="I130" s="51" t="n">
        <v>712.15</v>
      </c>
      <c r="J130" s="28" t="n">
        <f aca="false">H130*I130</f>
        <v>1424.3</v>
      </c>
      <c r="K130" s="52" t="s">
        <v>548</v>
      </c>
      <c r="L130" s="7" t="s">
        <v>1812</v>
      </c>
      <c r="M130" s="7" t="s">
        <v>1813</v>
      </c>
    </row>
    <row r="131" customFormat="false" ht="64.9" hidden="false" customHeight="false" outlineLevel="1" collapsed="false">
      <c r="A131" s="27"/>
      <c r="B131" s="27" t="s">
        <v>1825</v>
      </c>
      <c r="C131" s="7" t="s">
        <v>1814</v>
      </c>
      <c r="D131" s="27" t="s">
        <v>727</v>
      </c>
      <c r="E131" s="50" t="n">
        <v>3</v>
      </c>
      <c r="F131" s="50" t="n">
        <v>3</v>
      </c>
      <c r="G131" s="27" t="s">
        <v>829</v>
      </c>
      <c r="H131" s="50" t="n">
        <f aca="false">F131/IF(Varsayimlar!$B$21=1,1.3,1)</f>
        <v>2.30769230769231</v>
      </c>
      <c r="I131" s="51" t="n">
        <v>8.08</v>
      </c>
      <c r="J131" s="28" t="n">
        <f aca="false">H131*I131</f>
        <v>18.6461538461538</v>
      </c>
      <c r="K131" s="52" t="s">
        <v>548</v>
      </c>
      <c r="L131" s="7" t="s">
        <v>1815</v>
      </c>
      <c r="M131" s="7" t="s">
        <v>1816</v>
      </c>
    </row>
    <row r="132" customFormat="false" ht="52.2" hidden="false" customHeight="false" outlineLevel="1" collapsed="false">
      <c r="A132" s="27"/>
      <c r="B132" s="27" t="s">
        <v>1825</v>
      </c>
      <c r="C132" s="7" t="s">
        <v>1817</v>
      </c>
      <c r="D132" s="27" t="s">
        <v>853</v>
      </c>
      <c r="E132" s="50" t="n">
        <v>132</v>
      </c>
      <c r="F132" s="50" t="n">
        <v>132</v>
      </c>
      <c r="G132" s="27" t="s">
        <v>865</v>
      </c>
      <c r="H132" s="50" t="n">
        <f aca="false">F132/IF(Varsayimlar!$B$21=1,1.43,1)</f>
        <v>92.3076923076923</v>
      </c>
      <c r="I132" s="51" t="n">
        <v>2.48</v>
      </c>
      <c r="J132" s="28" t="n">
        <f aca="false">H132*I132</f>
        <v>228.923076923077</v>
      </c>
      <c r="K132" s="52" t="s">
        <v>548</v>
      </c>
      <c r="L132" s="7" t="s">
        <v>1818</v>
      </c>
      <c r="M132" s="7" t="s">
        <v>1819</v>
      </c>
    </row>
    <row r="133" customFormat="false" ht="64.9" hidden="false" customHeight="false" outlineLevel="1" collapsed="false">
      <c r="A133" s="27"/>
      <c r="B133" s="27" t="s">
        <v>1825</v>
      </c>
      <c r="C133" s="7" t="s">
        <v>1820</v>
      </c>
      <c r="D133" s="27" t="s">
        <v>853</v>
      </c>
      <c r="E133" s="50" t="n">
        <v>23</v>
      </c>
      <c r="F133" s="50" t="n">
        <v>23</v>
      </c>
      <c r="G133" s="27" t="s">
        <v>865</v>
      </c>
      <c r="H133" s="50" t="n">
        <f aca="false">F133/IF(Varsayimlar!$B$21=1,1.43,1)</f>
        <v>16.0839160839161</v>
      </c>
      <c r="I133" s="51" t="n">
        <v>1.82</v>
      </c>
      <c r="J133" s="28" t="n">
        <f aca="false">H133*I133</f>
        <v>29.2727272727273</v>
      </c>
      <c r="K133" s="52" t="s">
        <v>548</v>
      </c>
      <c r="L133" s="7" t="s">
        <v>1750</v>
      </c>
      <c r="M133" s="7" t="s">
        <v>1821</v>
      </c>
    </row>
    <row r="134" customFormat="false" ht="26.85" hidden="false" customHeight="false" outlineLevel="1" collapsed="false">
      <c r="A134" s="27"/>
      <c r="B134" s="27" t="s">
        <v>1825</v>
      </c>
      <c r="C134" s="7" t="s">
        <v>1822</v>
      </c>
      <c r="D134" s="27" t="s">
        <v>727</v>
      </c>
      <c r="E134" s="50" t="n">
        <v>6</v>
      </c>
      <c r="F134" s="50" t="n">
        <v>6</v>
      </c>
      <c r="G134" s="27" t="s">
        <v>767</v>
      </c>
      <c r="H134" s="50" t="n">
        <f aca="false">F134</f>
        <v>6</v>
      </c>
      <c r="I134" s="51" t="n">
        <v>25</v>
      </c>
      <c r="J134" s="28" t="n">
        <f aca="false">H134*I134</f>
        <v>150</v>
      </c>
      <c r="K134" s="53" t="s">
        <v>551</v>
      </c>
      <c r="L134" s="7" t="s">
        <v>1823</v>
      </c>
      <c r="M134" s="7"/>
    </row>
    <row r="135" customFormat="false" ht="15" hidden="false" customHeight="false" outlineLevel="0" collapsed="false">
      <c r="A135" s="48" t="s">
        <v>247</v>
      </c>
      <c r="B135" s="48" t="s">
        <v>1826</v>
      </c>
      <c r="C135" s="48" t="s">
        <v>248</v>
      </c>
      <c r="D135" s="48"/>
      <c r="E135" s="48"/>
      <c r="F135" s="48"/>
      <c r="G135" s="48"/>
      <c r="H135" s="48" t="s">
        <v>765</v>
      </c>
      <c r="I135" s="49" t="n">
        <f aca="false">SUMPRODUCT(E136:E140,I136:I140)</f>
        <v>1967.76</v>
      </c>
      <c r="J135" s="49" t="n">
        <f aca="false">SUM(J136:J140)</f>
        <v>1851.14195804196</v>
      </c>
      <c r="K135" s="48"/>
      <c r="L135" s="48"/>
      <c r="M135" s="48"/>
    </row>
    <row r="136" customFormat="false" ht="77.6" hidden="false" customHeight="false" outlineLevel="1" collapsed="false">
      <c r="A136" s="27"/>
      <c r="B136" s="27" t="s">
        <v>1826</v>
      </c>
      <c r="C136" s="7" t="s">
        <v>1811</v>
      </c>
      <c r="D136" s="27" t="s">
        <v>727</v>
      </c>
      <c r="E136" s="50" t="n">
        <v>2</v>
      </c>
      <c r="F136" s="50" t="n">
        <v>2</v>
      </c>
      <c r="G136" s="27" t="s">
        <v>767</v>
      </c>
      <c r="H136" s="50" t="n">
        <f aca="false">F136</f>
        <v>2</v>
      </c>
      <c r="I136" s="51" t="n">
        <v>712.15</v>
      </c>
      <c r="J136" s="28" t="n">
        <f aca="false">H136*I136</f>
        <v>1424.3</v>
      </c>
      <c r="K136" s="52" t="s">
        <v>548</v>
      </c>
      <c r="L136" s="7" t="s">
        <v>1812</v>
      </c>
      <c r="M136" s="7" t="s">
        <v>1813</v>
      </c>
    </row>
    <row r="137" customFormat="false" ht="64.9" hidden="false" customHeight="false" outlineLevel="1" collapsed="false">
      <c r="A137" s="27"/>
      <c r="B137" s="27" t="s">
        <v>1826</v>
      </c>
      <c r="C137" s="7" t="s">
        <v>1814</v>
      </c>
      <c r="D137" s="27" t="s">
        <v>727</v>
      </c>
      <c r="E137" s="50" t="n">
        <v>3</v>
      </c>
      <c r="F137" s="50" t="n">
        <v>3</v>
      </c>
      <c r="G137" s="27" t="s">
        <v>829</v>
      </c>
      <c r="H137" s="50" t="n">
        <f aca="false">F137/IF(Varsayimlar!$B$21=1,1.3,1)</f>
        <v>2.30769230769231</v>
      </c>
      <c r="I137" s="51" t="n">
        <v>8.08</v>
      </c>
      <c r="J137" s="28" t="n">
        <f aca="false">H137*I137</f>
        <v>18.6461538461538</v>
      </c>
      <c r="K137" s="52" t="s">
        <v>548</v>
      </c>
      <c r="L137" s="7" t="s">
        <v>1815</v>
      </c>
      <c r="M137" s="7" t="s">
        <v>1816</v>
      </c>
    </row>
    <row r="138" customFormat="false" ht="52.2" hidden="false" customHeight="false" outlineLevel="1" collapsed="false">
      <c r="A138" s="27"/>
      <c r="B138" s="27" t="s">
        <v>1826</v>
      </c>
      <c r="C138" s="7" t="s">
        <v>1817</v>
      </c>
      <c r="D138" s="27" t="s">
        <v>853</v>
      </c>
      <c r="E138" s="50" t="n">
        <v>132</v>
      </c>
      <c r="F138" s="50" t="n">
        <v>132</v>
      </c>
      <c r="G138" s="27" t="s">
        <v>865</v>
      </c>
      <c r="H138" s="50" t="n">
        <f aca="false">F138/IF(Varsayimlar!$B$21=1,1.43,1)</f>
        <v>92.3076923076923</v>
      </c>
      <c r="I138" s="51" t="n">
        <v>2.48</v>
      </c>
      <c r="J138" s="28" t="n">
        <f aca="false">H138*I138</f>
        <v>228.923076923077</v>
      </c>
      <c r="K138" s="52" t="s">
        <v>548</v>
      </c>
      <c r="L138" s="7" t="s">
        <v>1818</v>
      </c>
      <c r="M138" s="7" t="s">
        <v>1819</v>
      </c>
    </row>
    <row r="139" customFormat="false" ht="64.9" hidden="false" customHeight="false" outlineLevel="1" collapsed="false">
      <c r="A139" s="27"/>
      <c r="B139" s="27" t="s">
        <v>1826</v>
      </c>
      <c r="C139" s="7" t="s">
        <v>1820</v>
      </c>
      <c r="D139" s="27" t="s">
        <v>853</v>
      </c>
      <c r="E139" s="50" t="n">
        <v>23</v>
      </c>
      <c r="F139" s="50" t="n">
        <v>23</v>
      </c>
      <c r="G139" s="27" t="s">
        <v>865</v>
      </c>
      <c r="H139" s="50" t="n">
        <f aca="false">F139/IF(Varsayimlar!$B$21=1,1.43,1)</f>
        <v>16.0839160839161</v>
      </c>
      <c r="I139" s="51" t="n">
        <v>1.82</v>
      </c>
      <c r="J139" s="28" t="n">
        <f aca="false">H139*I139</f>
        <v>29.2727272727273</v>
      </c>
      <c r="K139" s="52" t="s">
        <v>548</v>
      </c>
      <c r="L139" s="7" t="s">
        <v>1750</v>
      </c>
      <c r="M139" s="7" t="s">
        <v>1821</v>
      </c>
    </row>
    <row r="140" customFormat="false" ht="26.85" hidden="false" customHeight="false" outlineLevel="1" collapsed="false">
      <c r="A140" s="27"/>
      <c r="B140" s="27" t="s">
        <v>1826</v>
      </c>
      <c r="C140" s="7" t="s">
        <v>1822</v>
      </c>
      <c r="D140" s="27" t="s">
        <v>727</v>
      </c>
      <c r="E140" s="50" t="n">
        <v>6</v>
      </c>
      <c r="F140" s="50" t="n">
        <v>6</v>
      </c>
      <c r="G140" s="27" t="s">
        <v>767</v>
      </c>
      <c r="H140" s="50" t="n">
        <f aca="false">F140</f>
        <v>6</v>
      </c>
      <c r="I140" s="51" t="n">
        <v>25</v>
      </c>
      <c r="J140" s="28" t="n">
        <f aca="false">H140*I140</f>
        <v>150</v>
      </c>
      <c r="K140" s="53" t="s">
        <v>551</v>
      </c>
      <c r="L140" s="7" t="s">
        <v>1823</v>
      </c>
      <c r="M140" s="7"/>
    </row>
    <row r="141" customFormat="false" ht="15" hidden="false" customHeight="false" outlineLevel="0" collapsed="false">
      <c r="A141" s="48" t="s">
        <v>249</v>
      </c>
      <c r="B141" s="48" t="s">
        <v>1827</v>
      </c>
      <c r="C141" s="48" t="s">
        <v>250</v>
      </c>
      <c r="D141" s="48"/>
      <c r="E141" s="48"/>
      <c r="F141" s="48"/>
      <c r="G141" s="48"/>
      <c r="H141" s="48" t="s">
        <v>765</v>
      </c>
      <c r="I141" s="49" t="n">
        <f aca="false">SUMPRODUCT(E142:E146,I142:I146)</f>
        <v>1967.76</v>
      </c>
      <c r="J141" s="49" t="n">
        <f aca="false">SUM(J142:J146)</f>
        <v>1851.14195804196</v>
      </c>
      <c r="K141" s="48"/>
      <c r="L141" s="48"/>
      <c r="M141" s="48"/>
    </row>
    <row r="142" customFormat="false" ht="77.6" hidden="false" customHeight="false" outlineLevel="1" collapsed="false">
      <c r="A142" s="27"/>
      <c r="B142" s="27" t="s">
        <v>1827</v>
      </c>
      <c r="C142" s="7" t="s">
        <v>1811</v>
      </c>
      <c r="D142" s="27" t="s">
        <v>727</v>
      </c>
      <c r="E142" s="50" t="n">
        <v>2</v>
      </c>
      <c r="F142" s="50" t="n">
        <v>2</v>
      </c>
      <c r="G142" s="27" t="s">
        <v>767</v>
      </c>
      <c r="H142" s="50" t="n">
        <f aca="false">F142</f>
        <v>2</v>
      </c>
      <c r="I142" s="51" t="n">
        <v>712.15</v>
      </c>
      <c r="J142" s="28" t="n">
        <f aca="false">H142*I142</f>
        <v>1424.3</v>
      </c>
      <c r="K142" s="52" t="s">
        <v>548</v>
      </c>
      <c r="L142" s="7" t="s">
        <v>1812</v>
      </c>
      <c r="M142" s="7" t="s">
        <v>1813</v>
      </c>
    </row>
    <row r="143" customFormat="false" ht="64.9" hidden="false" customHeight="false" outlineLevel="1" collapsed="false">
      <c r="A143" s="27"/>
      <c r="B143" s="27" t="s">
        <v>1827</v>
      </c>
      <c r="C143" s="7" t="s">
        <v>1814</v>
      </c>
      <c r="D143" s="27" t="s">
        <v>727</v>
      </c>
      <c r="E143" s="50" t="n">
        <v>3</v>
      </c>
      <c r="F143" s="50" t="n">
        <v>3</v>
      </c>
      <c r="G143" s="27" t="s">
        <v>829</v>
      </c>
      <c r="H143" s="50" t="n">
        <f aca="false">F143/IF(Varsayimlar!$B$21=1,1.3,1)</f>
        <v>2.30769230769231</v>
      </c>
      <c r="I143" s="51" t="n">
        <v>8.08</v>
      </c>
      <c r="J143" s="28" t="n">
        <f aca="false">H143*I143</f>
        <v>18.6461538461538</v>
      </c>
      <c r="K143" s="52" t="s">
        <v>548</v>
      </c>
      <c r="L143" s="7" t="s">
        <v>1815</v>
      </c>
      <c r="M143" s="7" t="s">
        <v>1816</v>
      </c>
    </row>
    <row r="144" customFormat="false" ht="52.2" hidden="false" customHeight="false" outlineLevel="1" collapsed="false">
      <c r="A144" s="27"/>
      <c r="B144" s="27" t="s">
        <v>1827</v>
      </c>
      <c r="C144" s="7" t="s">
        <v>1817</v>
      </c>
      <c r="D144" s="27" t="s">
        <v>853</v>
      </c>
      <c r="E144" s="50" t="n">
        <v>132</v>
      </c>
      <c r="F144" s="50" t="n">
        <v>132</v>
      </c>
      <c r="G144" s="27" t="s">
        <v>865</v>
      </c>
      <c r="H144" s="50" t="n">
        <f aca="false">F144/IF(Varsayimlar!$B$21=1,1.43,1)</f>
        <v>92.3076923076923</v>
      </c>
      <c r="I144" s="51" t="n">
        <v>2.48</v>
      </c>
      <c r="J144" s="28" t="n">
        <f aca="false">H144*I144</f>
        <v>228.923076923077</v>
      </c>
      <c r="K144" s="52" t="s">
        <v>548</v>
      </c>
      <c r="L144" s="7" t="s">
        <v>1818</v>
      </c>
      <c r="M144" s="7" t="s">
        <v>1819</v>
      </c>
    </row>
    <row r="145" customFormat="false" ht="64.9" hidden="false" customHeight="false" outlineLevel="1" collapsed="false">
      <c r="A145" s="27"/>
      <c r="B145" s="27" t="s">
        <v>1827</v>
      </c>
      <c r="C145" s="7" t="s">
        <v>1820</v>
      </c>
      <c r="D145" s="27" t="s">
        <v>853</v>
      </c>
      <c r="E145" s="50" t="n">
        <v>23</v>
      </c>
      <c r="F145" s="50" t="n">
        <v>23</v>
      </c>
      <c r="G145" s="27" t="s">
        <v>865</v>
      </c>
      <c r="H145" s="50" t="n">
        <f aca="false">F145/IF(Varsayimlar!$B$21=1,1.43,1)</f>
        <v>16.0839160839161</v>
      </c>
      <c r="I145" s="51" t="n">
        <v>1.82</v>
      </c>
      <c r="J145" s="28" t="n">
        <f aca="false">H145*I145</f>
        <v>29.2727272727273</v>
      </c>
      <c r="K145" s="52" t="s">
        <v>548</v>
      </c>
      <c r="L145" s="7" t="s">
        <v>1750</v>
      </c>
      <c r="M145" s="7" t="s">
        <v>1821</v>
      </c>
    </row>
    <row r="146" customFormat="false" ht="26.85" hidden="false" customHeight="false" outlineLevel="1" collapsed="false">
      <c r="A146" s="27"/>
      <c r="B146" s="27" t="s">
        <v>1827</v>
      </c>
      <c r="C146" s="7" t="s">
        <v>1822</v>
      </c>
      <c r="D146" s="27" t="s">
        <v>727</v>
      </c>
      <c r="E146" s="50" t="n">
        <v>6</v>
      </c>
      <c r="F146" s="50" t="n">
        <v>6</v>
      </c>
      <c r="G146" s="27" t="s">
        <v>767</v>
      </c>
      <c r="H146" s="50" t="n">
        <f aca="false">F146</f>
        <v>6</v>
      </c>
      <c r="I146" s="51" t="n">
        <v>25</v>
      </c>
      <c r="J146" s="28" t="n">
        <f aca="false">H146*I146</f>
        <v>150</v>
      </c>
      <c r="K146" s="53" t="s">
        <v>551</v>
      </c>
      <c r="L146" s="7" t="s">
        <v>1823</v>
      </c>
      <c r="M146" s="7"/>
    </row>
    <row r="147" customFormat="false" ht="15" hidden="false" customHeight="false" outlineLevel="0" collapsed="false">
      <c r="A147" s="48" t="s">
        <v>251</v>
      </c>
      <c r="B147" s="48" t="s">
        <v>1828</v>
      </c>
      <c r="C147" s="48" t="s">
        <v>252</v>
      </c>
      <c r="D147" s="48"/>
      <c r="E147" s="48"/>
      <c r="F147" s="48"/>
      <c r="G147" s="48"/>
      <c r="H147" s="48" t="s">
        <v>765</v>
      </c>
      <c r="I147" s="49" t="n">
        <f aca="false">SUMPRODUCT(E148:E152,I148:I152)</f>
        <v>1960.32</v>
      </c>
      <c r="J147" s="49" t="n">
        <f aca="false">SUM(J148:J152)</f>
        <v>1845.93916083916</v>
      </c>
      <c r="K147" s="48"/>
      <c r="L147" s="48"/>
      <c r="M147" s="48"/>
    </row>
    <row r="148" customFormat="false" ht="77.6" hidden="false" customHeight="false" outlineLevel="1" collapsed="false">
      <c r="A148" s="27"/>
      <c r="B148" s="27" t="s">
        <v>1828</v>
      </c>
      <c r="C148" s="7" t="s">
        <v>1811</v>
      </c>
      <c r="D148" s="27" t="s">
        <v>727</v>
      </c>
      <c r="E148" s="50" t="n">
        <v>2</v>
      </c>
      <c r="F148" s="50" t="n">
        <v>2</v>
      </c>
      <c r="G148" s="27" t="s">
        <v>767</v>
      </c>
      <c r="H148" s="50" t="n">
        <f aca="false">F148</f>
        <v>2</v>
      </c>
      <c r="I148" s="51" t="n">
        <v>712.15</v>
      </c>
      <c r="J148" s="28" t="n">
        <f aca="false">H148*I148</f>
        <v>1424.3</v>
      </c>
      <c r="K148" s="52" t="s">
        <v>548</v>
      </c>
      <c r="L148" s="7" t="s">
        <v>1812</v>
      </c>
      <c r="M148" s="7" t="s">
        <v>1813</v>
      </c>
    </row>
    <row r="149" customFormat="false" ht="64.9" hidden="false" customHeight="false" outlineLevel="1" collapsed="false">
      <c r="A149" s="27"/>
      <c r="B149" s="27" t="s">
        <v>1828</v>
      </c>
      <c r="C149" s="7" t="s">
        <v>1814</v>
      </c>
      <c r="D149" s="27" t="s">
        <v>727</v>
      </c>
      <c r="E149" s="50" t="n">
        <v>3</v>
      </c>
      <c r="F149" s="50" t="n">
        <v>3</v>
      </c>
      <c r="G149" s="27" t="s">
        <v>829</v>
      </c>
      <c r="H149" s="50" t="n">
        <f aca="false">F149/IF(Varsayimlar!$B$21=1,1.3,1)</f>
        <v>2.30769230769231</v>
      </c>
      <c r="I149" s="51" t="n">
        <v>8.08</v>
      </c>
      <c r="J149" s="28" t="n">
        <f aca="false">H149*I149</f>
        <v>18.6461538461538</v>
      </c>
      <c r="K149" s="52" t="s">
        <v>548</v>
      </c>
      <c r="L149" s="7" t="s">
        <v>1815</v>
      </c>
      <c r="M149" s="7" t="s">
        <v>1816</v>
      </c>
    </row>
    <row r="150" customFormat="false" ht="52.2" hidden="false" customHeight="false" outlineLevel="1" collapsed="false">
      <c r="A150" s="27"/>
      <c r="B150" s="27" t="s">
        <v>1828</v>
      </c>
      <c r="C150" s="7" t="s">
        <v>1817</v>
      </c>
      <c r="D150" s="27" t="s">
        <v>853</v>
      </c>
      <c r="E150" s="50" t="n">
        <v>129</v>
      </c>
      <c r="F150" s="50" t="n">
        <v>129</v>
      </c>
      <c r="G150" s="27" t="s">
        <v>865</v>
      </c>
      <c r="H150" s="50" t="n">
        <f aca="false">F150/IF(Varsayimlar!$B$21=1,1.43,1)</f>
        <v>90.2097902097902</v>
      </c>
      <c r="I150" s="51" t="n">
        <v>2.48</v>
      </c>
      <c r="J150" s="28" t="n">
        <f aca="false">H150*I150</f>
        <v>223.72027972028</v>
      </c>
      <c r="K150" s="52" t="s">
        <v>548</v>
      </c>
      <c r="L150" s="7" t="s">
        <v>1818</v>
      </c>
      <c r="M150" s="7" t="s">
        <v>1819</v>
      </c>
    </row>
    <row r="151" customFormat="false" ht="64.9" hidden="false" customHeight="false" outlineLevel="1" collapsed="false">
      <c r="A151" s="27"/>
      <c r="B151" s="27" t="s">
        <v>1828</v>
      </c>
      <c r="C151" s="7" t="s">
        <v>1820</v>
      </c>
      <c r="D151" s="27" t="s">
        <v>853</v>
      </c>
      <c r="E151" s="50" t="n">
        <v>23</v>
      </c>
      <c r="F151" s="50" t="n">
        <v>23</v>
      </c>
      <c r="G151" s="27" t="s">
        <v>865</v>
      </c>
      <c r="H151" s="50" t="n">
        <f aca="false">F151/IF(Varsayimlar!$B$21=1,1.43,1)</f>
        <v>16.0839160839161</v>
      </c>
      <c r="I151" s="51" t="n">
        <v>1.82</v>
      </c>
      <c r="J151" s="28" t="n">
        <f aca="false">H151*I151</f>
        <v>29.2727272727273</v>
      </c>
      <c r="K151" s="52" t="s">
        <v>548</v>
      </c>
      <c r="L151" s="7" t="s">
        <v>1750</v>
      </c>
      <c r="M151" s="7" t="s">
        <v>1821</v>
      </c>
    </row>
    <row r="152" customFormat="false" ht="26.85" hidden="false" customHeight="false" outlineLevel="1" collapsed="false">
      <c r="A152" s="27"/>
      <c r="B152" s="27" t="s">
        <v>1828</v>
      </c>
      <c r="C152" s="7" t="s">
        <v>1822</v>
      </c>
      <c r="D152" s="27" t="s">
        <v>727</v>
      </c>
      <c r="E152" s="50" t="n">
        <v>6</v>
      </c>
      <c r="F152" s="50" t="n">
        <v>6</v>
      </c>
      <c r="G152" s="27" t="s">
        <v>767</v>
      </c>
      <c r="H152" s="50" t="n">
        <f aca="false">F152</f>
        <v>6</v>
      </c>
      <c r="I152" s="51" t="n">
        <v>25</v>
      </c>
      <c r="J152" s="28" t="n">
        <f aca="false">H152*I152</f>
        <v>150</v>
      </c>
      <c r="K152" s="53" t="s">
        <v>551</v>
      </c>
      <c r="L152" s="7" t="s">
        <v>1823</v>
      </c>
      <c r="M152" s="7"/>
    </row>
    <row r="153" customFormat="false" ht="15" hidden="false" customHeight="false" outlineLevel="0" collapsed="false">
      <c r="A153" s="48" t="s">
        <v>253</v>
      </c>
      <c r="B153" s="48" t="s">
        <v>1829</v>
      </c>
      <c r="C153" s="48" t="s">
        <v>254</v>
      </c>
      <c r="D153" s="48"/>
      <c r="E153" s="48"/>
      <c r="F153" s="48"/>
      <c r="G153" s="48"/>
      <c r="H153" s="48" t="s">
        <v>765</v>
      </c>
      <c r="I153" s="49" t="n">
        <f aca="false">SUMPRODUCT(E154:E158,I154:I158)</f>
        <v>19905.98</v>
      </c>
      <c r="J153" s="49" t="n">
        <f aca="false">SUM(J154:J158)</f>
        <v>16806.0702097902</v>
      </c>
      <c r="K153" s="48"/>
      <c r="L153" s="48"/>
      <c r="M153" s="48"/>
    </row>
    <row r="154" customFormat="false" ht="39.55" hidden="false" customHeight="false" outlineLevel="1" collapsed="false">
      <c r="A154" s="27"/>
      <c r="B154" s="27" t="s">
        <v>1829</v>
      </c>
      <c r="C154" s="7" t="s">
        <v>1830</v>
      </c>
      <c r="D154" s="27" t="s">
        <v>727</v>
      </c>
      <c r="E154" s="50" t="n">
        <v>55</v>
      </c>
      <c r="F154" s="50" t="n">
        <v>55</v>
      </c>
      <c r="G154" s="27" t="s">
        <v>767</v>
      </c>
      <c r="H154" s="50" t="n">
        <f aca="false">F154</f>
        <v>55</v>
      </c>
      <c r="I154" s="51" t="n">
        <v>166</v>
      </c>
      <c r="J154" s="28" t="n">
        <f aca="false">H154*I154</f>
        <v>9130</v>
      </c>
      <c r="K154" s="52" t="s">
        <v>548</v>
      </c>
      <c r="L154" s="7" t="s">
        <v>1831</v>
      </c>
      <c r="M154" s="7" t="s">
        <v>1832</v>
      </c>
    </row>
    <row r="155" customFormat="false" ht="64.9" hidden="false" customHeight="false" outlineLevel="1" collapsed="false">
      <c r="A155" s="27"/>
      <c r="B155" s="27" t="s">
        <v>1829</v>
      </c>
      <c r="C155" s="7" t="s">
        <v>1833</v>
      </c>
      <c r="D155" s="27" t="s">
        <v>727</v>
      </c>
      <c r="E155" s="50" t="n">
        <v>72</v>
      </c>
      <c r="F155" s="50" t="n">
        <v>72</v>
      </c>
      <c r="G155" s="27" t="s">
        <v>829</v>
      </c>
      <c r="H155" s="50" t="n">
        <f aca="false">F155/IF(Varsayimlar!$B$21=1,1.3,1)</f>
        <v>55.3846153846154</v>
      </c>
      <c r="I155" s="51" t="n">
        <v>8.08</v>
      </c>
      <c r="J155" s="28" t="n">
        <f aca="false">H155*I155</f>
        <v>447.507692307692</v>
      </c>
      <c r="K155" s="52" t="s">
        <v>548</v>
      </c>
      <c r="L155" s="7" t="s">
        <v>1815</v>
      </c>
      <c r="M155" s="7" t="s">
        <v>1834</v>
      </c>
    </row>
    <row r="156" customFormat="false" ht="64.9" hidden="false" customHeight="false" outlineLevel="1" collapsed="false">
      <c r="A156" s="27"/>
      <c r="B156" s="27" t="s">
        <v>1829</v>
      </c>
      <c r="C156" s="7" t="s">
        <v>1835</v>
      </c>
      <c r="D156" s="27" t="s">
        <v>727</v>
      </c>
      <c r="E156" s="50" t="n">
        <v>81</v>
      </c>
      <c r="F156" s="50" t="n">
        <v>81</v>
      </c>
      <c r="G156" s="27" t="s">
        <v>829</v>
      </c>
      <c r="H156" s="50" t="n">
        <f aca="false">F156/IF(Varsayimlar!$B$21=1,1.3,1)</f>
        <v>62.3076923076923</v>
      </c>
      <c r="I156" s="51" t="n">
        <v>8.08</v>
      </c>
      <c r="J156" s="28" t="n">
        <f aca="false">H156*I156</f>
        <v>503.446153846154</v>
      </c>
      <c r="K156" s="52" t="s">
        <v>548</v>
      </c>
      <c r="L156" s="7" t="s">
        <v>1815</v>
      </c>
      <c r="M156" s="7" t="s">
        <v>1816</v>
      </c>
    </row>
    <row r="157" customFormat="false" ht="64.9" hidden="false" customHeight="false" outlineLevel="1" collapsed="false">
      <c r="A157" s="27"/>
      <c r="B157" s="27" t="s">
        <v>1829</v>
      </c>
      <c r="C157" s="7" t="s">
        <v>1836</v>
      </c>
      <c r="D157" s="27" t="s">
        <v>853</v>
      </c>
      <c r="E157" s="50" t="n">
        <v>5143</v>
      </c>
      <c r="F157" s="50" t="n">
        <v>5143</v>
      </c>
      <c r="G157" s="27" t="s">
        <v>865</v>
      </c>
      <c r="H157" s="50" t="n">
        <f aca="false">F157/IF(Varsayimlar!$B$21=1,1.43,1)</f>
        <v>3596.5034965035</v>
      </c>
      <c r="I157" s="51" t="n">
        <v>1.82</v>
      </c>
      <c r="J157" s="28" t="n">
        <f aca="false">H157*I157</f>
        <v>6545.63636363636</v>
      </c>
      <c r="K157" s="52" t="s">
        <v>548</v>
      </c>
      <c r="L157" s="7" t="s">
        <v>1750</v>
      </c>
      <c r="M157" s="7" t="s">
        <v>1837</v>
      </c>
    </row>
    <row r="158" customFormat="false" ht="90.25" hidden="false" customHeight="false" outlineLevel="1" collapsed="false">
      <c r="A158" s="27"/>
      <c r="B158" s="27" t="s">
        <v>1829</v>
      </c>
      <c r="C158" s="7" t="s">
        <v>1838</v>
      </c>
      <c r="D158" s="27" t="s">
        <v>727</v>
      </c>
      <c r="E158" s="50" t="n">
        <v>2</v>
      </c>
      <c r="F158" s="50" t="n">
        <v>2</v>
      </c>
      <c r="G158" s="27" t="s">
        <v>767</v>
      </c>
      <c r="H158" s="50" t="n">
        <f aca="false">F158</f>
        <v>2</v>
      </c>
      <c r="I158" s="51" t="n">
        <v>89.74</v>
      </c>
      <c r="J158" s="28" t="n">
        <f aca="false">H158*I158</f>
        <v>179.48</v>
      </c>
      <c r="K158" s="52" t="s">
        <v>548</v>
      </c>
      <c r="L158" s="7" t="s">
        <v>1839</v>
      </c>
      <c r="M158" s="7"/>
    </row>
    <row r="159" customFormat="false" ht="15" hidden="false" customHeight="false" outlineLevel="0" collapsed="false">
      <c r="A159" s="48" t="s">
        <v>255</v>
      </c>
      <c r="B159" s="48" t="s">
        <v>1840</v>
      </c>
      <c r="C159" s="48" t="s">
        <v>256</v>
      </c>
      <c r="D159" s="48"/>
      <c r="E159" s="48"/>
      <c r="F159" s="48"/>
      <c r="G159" s="48"/>
      <c r="H159" s="48" t="s">
        <v>765</v>
      </c>
      <c r="I159" s="49" t="n">
        <f aca="false">SUMPRODUCT(E160:E162,I160:I162)</f>
        <v>1785.22</v>
      </c>
      <c r="J159" s="49" t="n">
        <f aca="false">SUM(J160:J162)</f>
        <v>1701.77286713287</v>
      </c>
      <c r="K159" s="48"/>
      <c r="L159" s="48"/>
      <c r="M159" s="48"/>
    </row>
    <row r="160" customFormat="false" ht="64.9" hidden="false" customHeight="false" outlineLevel="1" collapsed="false">
      <c r="A160" s="27"/>
      <c r="B160" s="27" t="s">
        <v>1840</v>
      </c>
      <c r="C160" s="7" t="s">
        <v>1841</v>
      </c>
      <c r="D160" s="27" t="s">
        <v>727</v>
      </c>
      <c r="E160" s="50" t="n">
        <v>8</v>
      </c>
      <c r="F160" s="50" t="n">
        <v>8</v>
      </c>
      <c r="G160" s="27" t="s">
        <v>767</v>
      </c>
      <c r="H160" s="50" t="n">
        <f aca="false">F160</f>
        <v>8</v>
      </c>
      <c r="I160" s="51" t="n">
        <v>185.88</v>
      </c>
      <c r="J160" s="28" t="n">
        <f aca="false">H160*I160</f>
        <v>1487.04</v>
      </c>
      <c r="K160" s="52" t="s">
        <v>548</v>
      </c>
      <c r="L160" s="7" t="s">
        <v>1842</v>
      </c>
      <c r="M160" s="7" t="s">
        <v>1843</v>
      </c>
    </row>
    <row r="161" customFormat="false" ht="64.9" hidden="false" customHeight="false" outlineLevel="1" collapsed="false">
      <c r="A161" s="27"/>
      <c r="B161" s="27" t="s">
        <v>1840</v>
      </c>
      <c r="C161" s="7" t="s">
        <v>1833</v>
      </c>
      <c r="D161" s="27" t="s">
        <v>727</v>
      </c>
      <c r="E161" s="50" t="n">
        <v>11</v>
      </c>
      <c r="F161" s="50" t="n">
        <v>11</v>
      </c>
      <c r="G161" s="27" t="s">
        <v>829</v>
      </c>
      <c r="H161" s="50" t="n">
        <f aca="false">F161/IF(Varsayimlar!$B$21=1,1.3,1)</f>
        <v>8.46153846153846</v>
      </c>
      <c r="I161" s="51" t="n">
        <v>8.08</v>
      </c>
      <c r="J161" s="28" t="n">
        <f aca="false">H161*I161</f>
        <v>68.3692307692308</v>
      </c>
      <c r="K161" s="52" t="s">
        <v>548</v>
      </c>
      <c r="L161" s="7" t="s">
        <v>1815</v>
      </c>
      <c r="M161" s="7" t="s">
        <v>1834</v>
      </c>
    </row>
    <row r="162" customFormat="false" ht="64.9" hidden="false" customHeight="false" outlineLevel="1" collapsed="false">
      <c r="A162" s="27"/>
      <c r="B162" s="27" t="s">
        <v>1840</v>
      </c>
      <c r="C162" s="7" t="s">
        <v>1844</v>
      </c>
      <c r="D162" s="27" t="s">
        <v>853</v>
      </c>
      <c r="E162" s="50" t="n">
        <v>115</v>
      </c>
      <c r="F162" s="50" t="n">
        <v>115</v>
      </c>
      <c r="G162" s="27" t="s">
        <v>865</v>
      </c>
      <c r="H162" s="50" t="n">
        <f aca="false">F162/IF(Varsayimlar!$B$21=1,1.43,1)</f>
        <v>80.4195804195804</v>
      </c>
      <c r="I162" s="51" t="n">
        <v>1.82</v>
      </c>
      <c r="J162" s="28" t="n">
        <f aca="false">H162*I162</f>
        <v>146.363636363636</v>
      </c>
      <c r="K162" s="52" t="s">
        <v>548</v>
      </c>
      <c r="L162" s="7" t="s">
        <v>1750</v>
      </c>
      <c r="M162" s="7" t="s">
        <v>1837</v>
      </c>
    </row>
    <row r="163" customFormat="false" ht="15" hidden="false" customHeight="false" outlineLevel="0" collapsed="false">
      <c r="A163" s="48" t="s">
        <v>257</v>
      </c>
      <c r="B163" s="48" t="s">
        <v>1845</v>
      </c>
      <c r="C163" s="48" t="s">
        <v>258</v>
      </c>
      <c r="D163" s="48"/>
      <c r="E163" s="48"/>
      <c r="F163" s="48"/>
      <c r="G163" s="48"/>
      <c r="H163" s="48" t="s">
        <v>765</v>
      </c>
      <c r="I163" s="49" t="n">
        <f aca="false">SUMPRODUCT(E164:E168,I164:I168)</f>
        <v>29225.94</v>
      </c>
      <c r="J163" s="49" t="n">
        <f aca="false">SUM(J164:J168)</f>
        <v>21225.94</v>
      </c>
      <c r="K163" s="48"/>
      <c r="L163" s="48"/>
      <c r="M163" s="48"/>
    </row>
    <row r="164" customFormat="false" ht="39.55" hidden="false" customHeight="false" outlineLevel="1" collapsed="false">
      <c r="A164" s="27"/>
      <c r="B164" s="27" t="s">
        <v>1845</v>
      </c>
      <c r="C164" s="7" t="s">
        <v>1846</v>
      </c>
      <c r="D164" s="27" t="s">
        <v>727</v>
      </c>
      <c r="E164" s="50" t="n">
        <v>1</v>
      </c>
      <c r="F164" s="50" t="n">
        <v>1</v>
      </c>
      <c r="G164" s="27" t="s">
        <v>767</v>
      </c>
      <c r="H164" s="50" t="n">
        <f aca="false">F164</f>
        <v>1</v>
      </c>
      <c r="I164" s="51" t="n">
        <v>13266</v>
      </c>
      <c r="J164" s="28" t="n">
        <f aca="false">H164*I164</f>
        <v>13266</v>
      </c>
      <c r="K164" s="52" t="s">
        <v>548</v>
      </c>
      <c r="L164" s="7" t="s">
        <v>1847</v>
      </c>
      <c r="M164" s="7" t="s">
        <v>1848</v>
      </c>
    </row>
    <row r="165" customFormat="false" ht="77.6" hidden="false" customHeight="false" outlineLevel="1" collapsed="false">
      <c r="A165" s="27"/>
      <c r="B165" s="27" t="s">
        <v>1845</v>
      </c>
      <c r="C165" s="7" t="s">
        <v>1849</v>
      </c>
      <c r="D165" s="27" t="s">
        <v>732</v>
      </c>
      <c r="E165" s="50" t="n">
        <v>1</v>
      </c>
      <c r="F165" s="50" t="n">
        <v>1</v>
      </c>
      <c r="G165" s="27" t="s">
        <v>767</v>
      </c>
      <c r="H165" s="50" t="n">
        <f aca="false">F165</f>
        <v>1</v>
      </c>
      <c r="I165" s="51" t="n">
        <v>327.03</v>
      </c>
      <c r="J165" s="28" t="n">
        <f aca="false">H165*I165</f>
        <v>327.03</v>
      </c>
      <c r="K165" s="52" t="s">
        <v>548</v>
      </c>
      <c r="L165" s="7" t="s">
        <v>1850</v>
      </c>
      <c r="M165" s="7" t="s">
        <v>1843</v>
      </c>
    </row>
    <row r="166" customFormat="false" ht="128.35" hidden="false" customHeight="false" outlineLevel="1" collapsed="false">
      <c r="A166" s="27"/>
      <c r="B166" s="27" t="s">
        <v>1845</v>
      </c>
      <c r="C166" s="7" t="s">
        <v>1851</v>
      </c>
      <c r="D166" s="27" t="s">
        <v>727</v>
      </c>
      <c r="E166" s="50" t="n">
        <v>1</v>
      </c>
      <c r="F166" s="50" t="n">
        <v>1</v>
      </c>
      <c r="G166" s="27" t="s">
        <v>767</v>
      </c>
      <c r="H166" s="50" t="n">
        <f aca="false">F166</f>
        <v>1</v>
      </c>
      <c r="I166" s="51" t="n">
        <v>1212.91</v>
      </c>
      <c r="J166" s="28" t="n">
        <f aca="false">H166*I166</f>
        <v>1212.91</v>
      </c>
      <c r="K166" s="52" t="s">
        <v>548</v>
      </c>
      <c r="L166" s="7" t="s">
        <v>1852</v>
      </c>
      <c r="M166" s="7" t="s">
        <v>1756</v>
      </c>
    </row>
    <row r="167" customFormat="false" ht="39.55" hidden="false" customHeight="false" outlineLevel="1" collapsed="false">
      <c r="A167" s="27"/>
      <c r="B167" s="27" t="s">
        <v>1845</v>
      </c>
      <c r="C167" s="7" t="s">
        <v>1853</v>
      </c>
      <c r="D167" s="27" t="s">
        <v>732</v>
      </c>
      <c r="E167" s="50" t="n">
        <v>1</v>
      </c>
      <c r="F167" s="50" t="n">
        <v>1</v>
      </c>
      <c r="G167" s="27" t="s">
        <v>767</v>
      </c>
      <c r="H167" s="50" t="n">
        <f aca="false">F167</f>
        <v>1</v>
      </c>
      <c r="I167" s="51" t="n">
        <v>6420</v>
      </c>
      <c r="J167" s="28" t="n">
        <f aca="false">H167*I167</f>
        <v>6420</v>
      </c>
      <c r="K167" s="52" t="s">
        <v>548</v>
      </c>
      <c r="L167" s="7" t="s">
        <v>1854</v>
      </c>
      <c r="M167" s="7" t="s">
        <v>1855</v>
      </c>
    </row>
    <row r="168" customFormat="false" ht="26.85" hidden="false" customHeight="false" outlineLevel="1" collapsed="false">
      <c r="A168" s="27"/>
      <c r="B168" s="27" t="s">
        <v>1845</v>
      </c>
      <c r="C168" s="7" t="s">
        <v>1856</v>
      </c>
      <c r="D168" s="27" t="s">
        <v>732</v>
      </c>
      <c r="E168" s="50" t="n">
        <v>1</v>
      </c>
      <c r="F168" s="54" t="n">
        <v>0</v>
      </c>
      <c r="G168" s="27" t="s">
        <v>767</v>
      </c>
      <c r="H168" s="50" t="n">
        <f aca="false">F168</f>
        <v>0</v>
      </c>
      <c r="I168" s="51" t="n">
        <v>8000</v>
      </c>
      <c r="J168" s="28" t="n">
        <f aca="false">H168*I168</f>
        <v>0</v>
      </c>
      <c r="K168" s="55" t="s">
        <v>555</v>
      </c>
      <c r="L168" s="7" t="s">
        <v>1857</v>
      </c>
      <c r="M168" s="7" t="s">
        <v>1783</v>
      </c>
    </row>
    <row r="169" customFormat="false" ht="15" hidden="false" customHeight="false" outlineLevel="0" collapsed="false">
      <c r="A169" s="48" t="s">
        <v>259</v>
      </c>
      <c r="B169" s="48" t="s">
        <v>1858</v>
      </c>
      <c r="C169" s="48" t="s">
        <v>260</v>
      </c>
      <c r="D169" s="48"/>
      <c r="E169" s="48"/>
      <c r="F169" s="48"/>
      <c r="G169" s="48"/>
      <c r="H169" s="48" t="s">
        <v>765</v>
      </c>
      <c r="I169" s="49" t="n">
        <f aca="false">SUMPRODUCT(E170:E171,I170:I171)</f>
        <v>29560</v>
      </c>
      <c r="J169" s="49" t="n">
        <f aca="false">SUM(J170:J171)</f>
        <v>29560</v>
      </c>
      <c r="K169" s="48"/>
      <c r="L169" s="48"/>
      <c r="M169" s="48"/>
    </row>
    <row r="170" customFormat="false" ht="39.55" hidden="false" customHeight="false" outlineLevel="1" collapsed="false">
      <c r="A170" s="27"/>
      <c r="B170" s="27" t="s">
        <v>1858</v>
      </c>
      <c r="C170" s="7" t="s">
        <v>1859</v>
      </c>
      <c r="D170" s="27" t="s">
        <v>732</v>
      </c>
      <c r="E170" s="50" t="n">
        <v>1</v>
      </c>
      <c r="F170" s="50" t="n">
        <v>1</v>
      </c>
      <c r="G170" s="27" t="s">
        <v>767</v>
      </c>
      <c r="H170" s="50" t="n">
        <f aca="false">F170</f>
        <v>1</v>
      </c>
      <c r="I170" s="51" t="n">
        <v>23560</v>
      </c>
      <c r="J170" s="28" t="n">
        <f aca="false">H170*I170</f>
        <v>23560</v>
      </c>
      <c r="K170" s="52" t="s">
        <v>548</v>
      </c>
      <c r="L170" s="7" t="s">
        <v>1860</v>
      </c>
      <c r="M170" s="7" t="s">
        <v>1861</v>
      </c>
    </row>
    <row r="171" customFormat="false" ht="26.85" hidden="false" customHeight="false" outlineLevel="1" collapsed="false">
      <c r="A171" s="27"/>
      <c r="B171" s="27" t="s">
        <v>1858</v>
      </c>
      <c r="C171" s="7" t="s">
        <v>1670</v>
      </c>
      <c r="D171" s="27" t="s">
        <v>732</v>
      </c>
      <c r="E171" s="50" t="n">
        <v>1</v>
      </c>
      <c r="F171" s="50" t="n">
        <v>1</v>
      </c>
      <c r="G171" s="27" t="s">
        <v>767</v>
      </c>
      <c r="H171" s="50" t="n">
        <f aca="false">F171</f>
        <v>1</v>
      </c>
      <c r="I171" s="51" t="n">
        <v>6000</v>
      </c>
      <c r="J171" s="28" t="n">
        <f aca="false">H171*I171</f>
        <v>6000</v>
      </c>
      <c r="K171" s="53" t="s">
        <v>551</v>
      </c>
      <c r="L171" s="7" t="s">
        <v>1862</v>
      </c>
      <c r="M171" s="7" t="s">
        <v>1672</v>
      </c>
    </row>
    <row r="172" customFormat="false" ht="15" hidden="false" customHeight="false" outlineLevel="0" collapsed="false">
      <c r="A172" s="48" t="s">
        <v>261</v>
      </c>
      <c r="B172" s="48" t="s">
        <v>1863</v>
      </c>
      <c r="C172" s="48" t="s">
        <v>262</v>
      </c>
      <c r="D172" s="48"/>
      <c r="E172" s="48"/>
      <c r="F172" s="48"/>
      <c r="G172" s="48"/>
      <c r="H172" s="48" t="s">
        <v>765</v>
      </c>
      <c r="I172" s="49" t="n">
        <f aca="false">SUMPRODUCT(E173:E180,I173:I180)</f>
        <v>354390</v>
      </c>
      <c r="J172" s="49" t="n">
        <f aca="false">SUM(J173:J180)</f>
        <v>346390</v>
      </c>
      <c r="K172" s="48"/>
      <c r="L172" s="48"/>
      <c r="M172" s="48"/>
    </row>
    <row r="173" customFormat="false" ht="52.2" hidden="false" customHeight="false" outlineLevel="1" collapsed="false">
      <c r="A173" s="27"/>
      <c r="B173" s="27" t="s">
        <v>1863</v>
      </c>
      <c r="C173" s="7" t="s">
        <v>1864</v>
      </c>
      <c r="D173" s="27" t="s">
        <v>727</v>
      </c>
      <c r="E173" s="50" t="n">
        <v>2</v>
      </c>
      <c r="F173" s="50" t="n">
        <v>2</v>
      </c>
      <c r="G173" s="27" t="s">
        <v>767</v>
      </c>
      <c r="H173" s="50" t="n">
        <f aca="false">F173</f>
        <v>2</v>
      </c>
      <c r="I173" s="51" t="n">
        <v>59940</v>
      </c>
      <c r="J173" s="28" t="n">
        <f aca="false">H173*I173</f>
        <v>119880</v>
      </c>
      <c r="K173" s="52" t="s">
        <v>548</v>
      </c>
      <c r="L173" s="7" t="s">
        <v>1865</v>
      </c>
      <c r="M173" s="7" t="s">
        <v>1866</v>
      </c>
    </row>
    <row r="174" customFormat="false" ht="52.2" hidden="false" customHeight="false" outlineLevel="1" collapsed="false">
      <c r="A174" s="27"/>
      <c r="B174" s="27" t="s">
        <v>1863</v>
      </c>
      <c r="C174" s="7" t="s">
        <v>1867</v>
      </c>
      <c r="D174" s="27" t="s">
        <v>727</v>
      </c>
      <c r="E174" s="50" t="n">
        <v>2</v>
      </c>
      <c r="F174" s="50" t="n">
        <v>2</v>
      </c>
      <c r="G174" s="27" t="s">
        <v>767</v>
      </c>
      <c r="H174" s="50" t="n">
        <f aca="false">F174</f>
        <v>2</v>
      </c>
      <c r="I174" s="51" t="n">
        <v>13900</v>
      </c>
      <c r="J174" s="28" t="n">
        <f aca="false">H174*I174</f>
        <v>27800</v>
      </c>
      <c r="K174" s="52" t="s">
        <v>548</v>
      </c>
      <c r="L174" s="7" t="s">
        <v>1868</v>
      </c>
      <c r="M174" s="7" t="s">
        <v>1869</v>
      </c>
    </row>
    <row r="175" customFormat="false" ht="39.55" hidden="false" customHeight="false" outlineLevel="1" collapsed="false">
      <c r="A175" s="27"/>
      <c r="B175" s="27" t="s">
        <v>1863</v>
      </c>
      <c r="C175" s="7" t="s">
        <v>1870</v>
      </c>
      <c r="D175" s="27" t="s">
        <v>732</v>
      </c>
      <c r="E175" s="50" t="n">
        <v>2</v>
      </c>
      <c r="F175" s="50" t="n">
        <v>2</v>
      </c>
      <c r="G175" s="27" t="s">
        <v>767</v>
      </c>
      <c r="H175" s="50" t="n">
        <f aca="false">F175</f>
        <v>2</v>
      </c>
      <c r="I175" s="51" t="n">
        <v>3500</v>
      </c>
      <c r="J175" s="28" t="n">
        <f aca="false">H175*I175</f>
        <v>7000</v>
      </c>
      <c r="K175" s="53" t="s">
        <v>551</v>
      </c>
      <c r="L175" s="7" t="s">
        <v>1871</v>
      </c>
      <c r="M175" s="7"/>
    </row>
    <row r="176" customFormat="false" ht="39.55" hidden="false" customHeight="false" outlineLevel="1" collapsed="false">
      <c r="A176" s="27"/>
      <c r="B176" s="27" t="s">
        <v>1863</v>
      </c>
      <c r="C176" s="7" t="s">
        <v>1872</v>
      </c>
      <c r="D176" s="27" t="s">
        <v>727</v>
      </c>
      <c r="E176" s="50" t="n">
        <v>2</v>
      </c>
      <c r="F176" s="50" t="n">
        <v>2</v>
      </c>
      <c r="G176" s="27" t="s">
        <v>767</v>
      </c>
      <c r="H176" s="50" t="n">
        <f aca="false">F176</f>
        <v>2</v>
      </c>
      <c r="I176" s="51" t="n">
        <v>7000</v>
      </c>
      <c r="J176" s="28" t="n">
        <f aca="false">H176*I176</f>
        <v>14000</v>
      </c>
      <c r="K176" s="53" t="s">
        <v>551</v>
      </c>
      <c r="L176" s="7" t="s">
        <v>1873</v>
      </c>
      <c r="M176" s="7"/>
    </row>
    <row r="177" customFormat="false" ht="15" hidden="false" customHeight="false" outlineLevel="1" collapsed="false">
      <c r="A177" s="27"/>
      <c r="B177" s="27" t="s">
        <v>1863</v>
      </c>
      <c r="C177" s="7" t="s">
        <v>1874</v>
      </c>
      <c r="D177" s="27" t="s">
        <v>732</v>
      </c>
      <c r="E177" s="50" t="n">
        <v>2</v>
      </c>
      <c r="F177" s="50" t="n">
        <v>2</v>
      </c>
      <c r="G177" s="27" t="s">
        <v>767</v>
      </c>
      <c r="H177" s="50" t="n">
        <f aca="false">F177</f>
        <v>2</v>
      </c>
      <c r="I177" s="51" t="n">
        <v>2500</v>
      </c>
      <c r="J177" s="28" t="n">
        <f aca="false">H177*I177</f>
        <v>5000</v>
      </c>
      <c r="K177" s="53" t="s">
        <v>551</v>
      </c>
      <c r="L177" s="7" t="s">
        <v>1875</v>
      </c>
      <c r="M177" s="7"/>
    </row>
    <row r="178" customFormat="false" ht="26.85" hidden="false" customHeight="false" outlineLevel="1" collapsed="false">
      <c r="A178" s="27"/>
      <c r="B178" s="27" t="s">
        <v>1863</v>
      </c>
      <c r="C178" s="7" t="s">
        <v>1876</v>
      </c>
      <c r="D178" s="27" t="s">
        <v>727</v>
      </c>
      <c r="E178" s="50" t="n">
        <v>30</v>
      </c>
      <c r="F178" s="50" t="n">
        <v>30</v>
      </c>
      <c r="G178" s="27" t="s">
        <v>767</v>
      </c>
      <c r="H178" s="50" t="n">
        <f aca="false">F178</f>
        <v>30</v>
      </c>
      <c r="I178" s="51" t="n">
        <v>857</v>
      </c>
      <c r="J178" s="28" t="n">
        <f aca="false">H178*I178</f>
        <v>25710</v>
      </c>
      <c r="K178" s="52" t="s">
        <v>548</v>
      </c>
      <c r="L178" s="7" t="s">
        <v>1877</v>
      </c>
      <c r="M178" s="7" t="s">
        <v>1878</v>
      </c>
    </row>
    <row r="179" customFormat="false" ht="64.9" hidden="false" customHeight="false" outlineLevel="1" collapsed="false">
      <c r="A179" s="27"/>
      <c r="B179" s="27" t="s">
        <v>1863</v>
      </c>
      <c r="C179" s="7" t="s">
        <v>1879</v>
      </c>
      <c r="D179" s="27" t="s">
        <v>727</v>
      </c>
      <c r="E179" s="50" t="n">
        <v>30</v>
      </c>
      <c r="F179" s="54" t="n">
        <v>28</v>
      </c>
      <c r="G179" s="27" t="s">
        <v>767</v>
      </c>
      <c r="H179" s="50" t="n">
        <f aca="false">F179</f>
        <v>28</v>
      </c>
      <c r="I179" s="51" t="n">
        <v>4000</v>
      </c>
      <c r="J179" s="28" t="n">
        <f aca="false">H179*I179</f>
        <v>112000</v>
      </c>
      <c r="K179" s="52" t="s">
        <v>548</v>
      </c>
      <c r="L179" s="7" t="s">
        <v>1880</v>
      </c>
      <c r="M179" s="7" t="s">
        <v>1881</v>
      </c>
    </row>
    <row r="180" customFormat="false" ht="26.85" hidden="false" customHeight="false" outlineLevel="1" collapsed="false">
      <c r="A180" s="27"/>
      <c r="B180" s="27" t="s">
        <v>1863</v>
      </c>
      <c r="C180" s="7" t="s">
        <v>1882</v>
      </c>
      <c r="D180" s="27" t="s">
        <v>732</v>
      </c>
      <c r="E180" s="50" t="n">
        <v>1</v>
      </c>
      <c r="F180" s="50" t="n">
        <v>1</v>
      </c>
      <c r="G180" s="27" t="s">
        <v>767</v>
      </c>
      <c r="H180" s="50" t="n">
        <f aca="false">F180</f>
        <v>1</v>
      </c>
      <c r="I180" s="51" t="n">
        <v>35000</v>
      </c>
      <c r="J180" s="28" t="n">
        <f aca="false">H180*I180</f>
        <v>35000</v>
      </c>
      <c r="K180" s="53" t="s">
        <v>551</v>
      </c>
      <c r="L180" s="7" t="s">
        <v>1883</v>
      </c>
      <c r="M180" s="7" t="s">
        <v>1884</v>
      </c>
    </row>
    <row r="181" customFormat="false" ht="15" hidden="false" customHeight="false" outlineLevel="0" collapsed="false">
      <c r="A181" s="48" t="s">
        <v>263</v>
      </c>
      <c r="B181" s="48" t="s">
        <v>1885</v>
      </c>
      <c r="C181" s="48" t="s">
        <v>264</v>
      </c>
      <c r="D181" s="48"/>
      <c r="E181" s="48"/>
      <c r="F181" s="48"/>
      <c r="G181" s="48"/>
      <c r="H181" s="48" t="s">
        <v>765</v>
      </c>
      <c r="I181" s="49" t="n">
        <f aca="false">SUMPRODUCT(E182:E187,I182:I187)</f>
        <v>83329.29</v>
      </c>
      <c r="J181" s="49" t="n">
        <f aca="false">SUM(J182:J187)</f>
        <v>75329.29</v>
      </c>
      <c r="K181" s="48"/>
      <c r="L181" s="48"/>
      <c r="M181" s="48"/>
    </row>
    <row r="182" customFormat="false" ht="52.2" hidden="false" customHeight="false" outlineLevel="1" collapsed="false">
      <c r="A182" s="27"/>
      <c r="B182" s="27" t="s">
        <v>1885</v>
      </c>
      <c r="C182" s="7" t="s">
        <v>1886</v>
      </c>
      <c r="D182" s="27" t="s">
        <v>732</v>
      </c>
      <c r="E182" s="50" t="n">
        <v>1</v>
      </c>
      <c r="F182" s="50" t="n">
        <v>1</v>
      </c>
      <c r="G182" s="27" t="s">
        <v>767</v>
      </c>
      <c r="H182" s="50" t="n">
        <f aca="false">F182</f>
        <v>1</v>
      </c>
      <c r="I182" s="51" t="n">
        <v>40000</v>
      </c>
      <c r="J182" s="28" t="n">
        <f aca="false">H182*I182</f>
        <v>40000</v>
      </c>
      <c r="K182" s="53" t="s">
        <v>551</v>
      </c>
      <c r="L182" s="7" t="s">
        <v>1887</v>
      </c>
      <c r="M182" s="7" t="s">
        <v>1888</v>
      </c>
    </row>
    <row r="183" customFormat="false" ht="39.55" hidden="false" customHeight="false" outlineLevel="1" collapsed="false">
      <c r="A183" s="27"/>
      <c r="B183" s="27" t="s">
        <v>1885</v>
      </c>
      <c r="C183" s="7" t="s">
        <v>1889</v>
      </c>
      <c r="D183" s="27" t="s">
        <v>732</v>
      </c>
      <c r="E183" s="50" t="n">
        <v>2</v>
      </c>
      <c r="F183" s="50" t="n">
        <v>2</v>
      </c>
      <c r="G183" s="27" t="s">
        <v>767</v>
      </c>
      <c r="H183" s="50" t="n">
        <f aca="false">F183</f>
        <v>2</v>
      </c>
      <c r="I183" s="51" t="n">
        <v>7008</v>
      </c>
      <c r="J183" s="28" t="n">
        <f aca="false">H183*I183</f>
        <v>14016</v>
      </c>
      <c r="K183" s="52" t="s">
        <v>548</v>
      </c>
      <c r="L183" s="7" t="s">
        <v>1890</v>
      </c>
      <c r="M183" s="7" t="s">
        <v>1891</v>
      </c>
    </row>
    <row r="184" customFormat="false" ht="52.2" hidden="false" customHeight="false" outlineLevel="1" collapsed="false">
      <c r="A184" s="27"/>
      <c r="B184" s="27" t="s">
        <v>1885</v>
      </c>
      <c r="C184" s="7" t="s">
        <v>1892</v>
      </c>
      <c r="D184" s="27" t="s">
        <v>727</v>
      </c>
      <c r="E184" s="50" t="n">
        <v>1</v>
      </c>
      <c r="F184" s="50" t="n">
        <v>1</v>
      </c>
      <c r="G184" s="27" t="s">
        <v>767</v>
      </c>
      <c r="H184" s="50" t="n">
        <f aca="false">F184</f>
        <v>1</v>
      </c>
      <c r="I184" s="51" t="n">
        <v>6832</v>
      </c>
      <c r="J184" s="28" t="n">
        <f aca="false">H184*I184</f>
        <v>6832</v>
      </c>
      <c r="K184" s="52" t="s">
        <v>548</v>
      </c>
      <c r="L184" s="7" t="s">
        <v>1893</v>
      </c>
      <c r="M184" s="7" t="s">
        <v>1894</v>
      </c>
    </row>
    <row r="185" customFormat="false" ht="52.2" hidden="false" customHeight="false" outlineLevel="1" collapsed="false">
      <c r="A185" s="27"/>
      <c r="B185" s="27" t="s">
        <v>1885</v>
      </c>
      <c r="C185" s="7" t="s">
        <v>1895</v>
      </c>
      <c r="D185" s="27" t="s">
        <v>727</v>
      </c>
      <c r="E185" s="50" t="n">
        <v>1</v>
      </c>
      <c r="F185" s="50" t="n">
        <v>1</v>
      </c>
      <c r="G185" s="27" t="s">
        <v>767</v>
      </c>
      <c r="H185" s="50" t="n">
        <f aca="false">F185</f>
        <v>1</v>
      </c>
      <c r="I185" s="51" t="n">
        <v>4481.29</v>
      </c>
      <c r="J185" s="28" t="n">
        <f aca="false">H185*I185</f>
        <v>4481.29</v>
      </c>
      <c r="K185" s="52" t="s">
        <v>548</v>
      </c>
      <c r="L185" s="7" t="s">
        <v>1896</v>
      </c>
      <c r="M185" s="7" t="s">
        <v>1897</v>
      </c>
    </row>
    <row r="186" customFormat="false" ht="26.85" hidden="false" customHeight="false" outlineLevel="1" collapsed="false">
      <c r="A186" s="27"/>
      <c r="B186" s="27" t="s">
        <v>1885</v>
      </c>
      <c r="C186" s="7" t="s">
        <v>1898</v>
      </c>
      <c r="D186" s="27" t="s">
        <v>732</v>
      </c>
      <c r="E186" s="50" t="n">
        <v>1</v>
      </c>
      <c r="F186" s="50" t="n">
        <v>1</v>
      </c>
      <c r="G186" s="27" t="s">
        <v>767</v>
      </c>
      <c r="H186" s="50" t="n">
        <f aca="false">F186</f>
        <v>1</v>
      </c>
      <c r="I186" s="51" t="n">
        <v>10000</v>
      </c>
      <c r="J186" s="28" t="n">
        <f aca="false">H186*I186</f>
        <v>10000</v>
      </c>
      <c r="K186" s="53" t="s">
        <v>551</v>
      </c>
      <c r="L186" s="7" t="s">
        <v>1899</v>
      </c>
      <c r="M186" s="7"/>
    </row>
    <row r="187" customFormat="false" ht="26.85" hidden="false" customHeight="false" outlineLevel="1" collapsed="false">
      <c r="A187" s="27"/>
      <c r="B187" s="27" t="s">
        <v>1885</v>
      </c>
      <c r="C187" s="7" t="s">
        <v>1900</v>
      </c>
      <c r="D187" s="27" t="s">
        <v>732</v>
      </c>
      <c r="E187" s="50" t="n">
        <v>1</v>
      </c>
      <c r="F187" s="54" t="n">
        <v>0</v>
      </c>
      <c r="G187" s="27" t="s">
        <v>767</v>
      </c>
      <c r="H187" s="50" t="n">
        <f aca="false">F187</f>
        <v>0</v>
      </c>
      <c r="I187" s="51" t="n">
        <v>8000</v>
      </c>
      <c r="J187" s="28" t="n">
        <f aca="false">H187*I187</f>
        <v>0</v>
      </c>
      <c r="K187" s="55" t="s">
        <v>555</v>
      </c>
      <c r="L187" s="7" t="s">
        <v>1782</v>
      </c>
      <c r="M187" s="7" t="s">
        <v>1783</v>
      </c>
    </row>
    <row r="188" customFormat="false" ht="15" hidden="false" customHeight="false" outlineLevel="0" collapsed="false">
      <c r="A188" s="48" t="s">
        <v>265</v>
      </c>
      <c r="B188" s="48" t="s">
        <v>1901</v>
      </c>
      <c r="C188" s="48" t="s">
        <v>266</v>
      </c>
      <c r="D188" s="48"/>
      <c r="E188" s="48"/>
      <c r="F188" s="48"/>
      <c r="G188" s="48"/>
      <c r="H188" s="48" t="s">
        <v>765</v>
      </c>
      <c r="I188" s="49" t="n">
        <f aca="false">SUMPRODUCT(E189:E190,I189:I190)</f>
        <v>13655</v>
      </c>
      <c r="J188" s="49" t="n">
        <f aca="false">SUM(J189:J190)</f>
        <v>13655</v>
      </c>
      <c r="K188" s="48"/>
      <c r="L188" s="48"/>
      <c r="M188" s="48"/>
    </row>
    <row r="189" customFormat="false" ht="39.55" hidden="false" customHeight="false" outlineLevel="1" collapsed="false">
      <c r="A189" s="27"/>
      <c r="B189" s="27" t="s">
        <v>1901</v>
      </c>
      <c r="C189" s="7" t="s">
        <v>1902</v>
      </c>
      <c r="D189" s="27" t="s">
        <v>732</v>
      </c>
      <c r="E189" s="50" t="n">
        <v>1</v>
      </c>
      <c r="F189" s="50" t="n">
        <v>1</v>
      </c>
      <c r="G189" s="27" t="s">
        <v>767</v>
      </c>
      <c r="H189" s="50" t="n">
        <f aca="false">F189</f>
        <v>1</v>
      </c>
      <c r="I189" s="51" t="n">
        <v>9655</v>
      </c>
      <c r="J189" s="28" t="n">
        <f aca="false">H189*I189</f>
        <v>9655</v>
      </c>
      <c r="K189" s="52" t="s">
        <v>548</v>
      </c>
      <c r="L189" s="7" t="s">
        <v>1903</v>
      </c>
      <c r="M189" s="7" t="s">
        <v>1904</v>
      </c>
    </row>
    <row r="190" customFormat="false" ht="52.2" hidden="false" customHeight="false" outlineLevel="1" collapsed="false">
      <c r="A190" s="27"/>
      <c r="B190" s="27" t="s">
        <v>1901</v>
      </c>
      <c r="C190" s="7" t="s">
        <v>1670</v>
      </c>
      <c r="D190" s="27" t="s">
        <v>732</v>
      </c>
      <c r="E190" s="50" t="n">
        <v>1</v>
      </c>
      <c r="F190" s="50" t="n">
        <v>1</v>
      </c>
      <c r="G190" s="27" t="s">
        <v>767</v>
      </c>
      <c r="H190" s="50" t="n">
        <f aca="false">F190</f>
        <v>1</v>
      </c>
      <c r="I190" s="51" t="n">
        <v>4000</v>
      </c>
      <c r="J190" s="28" t="n">
        <f aca="false">H190*I190</f>
        <v>4000</v>
      </c>
      <c r="K190" s="53" t="s">
        <v>551</v>
      </c>
      <c r="L190" s="7" t="s">
        <v>1809</v>
      </c>
      <c r="M190" s="7" t="s">
        <v>1672</v>
      </c>
    </row>
    <row r="191" customFormat="false" ht="15" hidden="false" customHeight="false" outlineLevel="0" collapsed="false">
      <c r="A191" s="48" t="s">
        <v>267</v>
      </c>
      <c r="B191" s="48" t="s">
        <v>1905</v>
      </c>
      <c r="C191" s="48" t="s">
        <v>268</v>
      </c>
      <c r="D191" s="48"/>
      <c r="E191" s="48"/>
      <c r="F191" s="48"/>
      <c r="G191" s="48"/>
      <c r="H191" s="48" t="s">
        <v>765</v>
      </c>
      <c r="I191" s="49" t="n">
        <f aca="false">SUMPRODUCT(E192:E196,I192:I196)</f>
        <v>7065.21</v>
      </c>
      <c r="J191" s="49" t="n">
        <f aca="false">SUM(J192:J196)</f>
        <v>6202.62531468532</v>
      </c>
      <c r="K191" s="48"/>
      <c r="L191" s="48"/>
      <c r="M191" s="48"/>
    </row>
    <row r="192" customFormat="false" ht="77.6" hidden="false" customHeight="false" outlineLevel="1" collapsed="false">
      <c r="A192" s="27"/>
      <c r="B192" s="27" t="s">
        <v>1905</v>
      </c>
      <c r="C192" s="7" t="s">
        <v>1906</v>
      </c>
      <c r="D192" s="27" t="s">
        <v>727</v>
      </c>
      <c r="E192" s="50" t="n">
        <v>19</v>
      </c>
      <c r="F192" s="50" t="n">
        <v>19</v>
      </c>
      <c r="G192" s="27" t="s">
        <v>767</v>
      </c>
      <c r="H192" s="50" t="n">
        <f aca="false">F192</f>
        <v>19</v>
      </c>
      <c r="I192" s="51" t="n">
        <v>131.72</v>
      </c>
      <c r="J192" s="28" t="n">
        <f aca="false">H192*I192</f>
        <v>2502.68</v>
      </c>
      <c r="K192" s="52" t="s">
        <v>548</v>
      </c>
      <c r="L192" s="7" t="s">
        <v>1907</v>
      </c>
      <c r="M192" s="7" t="s">
        <v>1908</v>
      </c>
    </row>
    <row r="193" customFormat="false" ht="52.2" hidden="false" customHeight="false" outlineLevel="1" collapsed="false">
      <c r="A193" s="27"/>
      <c r="B193" s="27" t="s">
        <v>1905</v>
      </c>
      <c r="C193" s="7" t="s">
        <v>1909</v>
      </c>
      <c r="D193" s="27" t="s">
        <v>853</v>
      </c>
      <c r="E193" s="50" t="n">
        <v>259</v>
      </c>
      <c r="F193" s="50" t="n">
        <v>259</v>
      </c>
      <c r="G193" s="27" t="s">
        <v>865</v>
      </c>
      <c r="H193" s="50" t="n">
        <f aca="false">F193/IF(Varsayimlar!$B$21=1,1.43,1)</f>
        <v>181.118881118881</v>
      </c>
      <c r="I193" s="51" t="n">
        <v>1.85</v>
      </c>
      <c r="J193" s="28" t="n">
        <f aca="false">H193*I193</f>
        <v>335.06993006993</v>
      </c>
      <c r="K193" s="52" t="s">
        <v>548</v>
      </c>
      <c r="L193" s="7" t="s">
        <v>1910</v>
      </c>
      <c r="M193" s="7" t="s">
        <v>1911</v>
      </c>
    </row>
    <row r="194" customFormat="false" ht="64.9" hidden="false" customHeight="false" outlineLevel="1" collapsed="false">
      <c r="A194" s="27"/>
      <c r="B194" s="27" t="s">
        <v>1905</v>
      </c>
      <c r="C194" s="7" t="s">
        <v>1912</v>
      </c>
      <c r="D194" s="27" t="s">
        <v>727</v>
      </c>
      <c r="E194" s="50" t="n">
        <v>2</v>
      </c>
      <c r="F194" s="50" t="n">
        <v>2</v>
      </c>
      <c r="G194" s="27" t="s">
        <v>829</v>
      </c>
      <c r="H194" s="50" t="n">
        <f aca="false">F194/IF(Varsayimlar!$B$21=1,1.3,1)</f>
        <v>1.53846153846154</v>
      </c>
      <c r="I194" s="51" t="n">
        <v>1556.76</v>
      </c>
      <c r="J194" s="28" t="n">
        <f aca="false">H194*I194</f>
        <v>2395.01538461538</v>
      </c>
      <c r="K194" s="52" t="s">
        <v>548</v>
      </c>
      <c r="L194" s="7" t="s">
        <v>1913</v>
      </c>
      <c r="M194" s="7" t="s">
        <v>1756</v>
      </c>
    </row>
    <row r="195" customFormat="false" ht="77.6" hidden="false" customHeight="false" outlineLevel="1" collapsed="false">
      <c r="A195" s="27"/>
      <c r="B195" s="27" t="s">
        <v>1905</v>
      </c>
      <c r="C195" s="7" t="s">
        <v>1914</v>
      </c>
      <c r="D195" s="27" t="s">
        <v>727</v>
      </c>
      <c r="E195" s="50" t="n">
        <v>2</v>
      </c>
      <c r="F195" s="50" t="n">
        <v>2</v>
      </c>
      <c r="G195" s="27" t="s">
        <v>767</v>
      </c>
      <c r="H195" s="50" t="n">
        <f aca="false">F195</f>
        <v>2</v>
      </c>
      <c r="I195" s="51" t="n">
        <v>423.15</v>
      </c>
      <c r="J195" s="28" t="n">
        <f aca="false">H195*I195</f>
        <v>846.3</v>
      </c>
      <c r="K195" s="52" t="s">
        <v>548</v>
      </c>
      <c r="L195" s="7" t="s">
        <v>1915</v>
      </c>
      <c r="M195" s="7" t="s">
        <v>1764</v>
      </c>
    </row>
    <row r="196" customFormat="false" ht="64.9" hidden="false" customHeight="false" outlineLevel="1" collapsed="false">
      <c r="A196" s="27"/>
      <c r="B196" s="27" t="s">
        <v>1905</v>
      </c>
      <c r="C196" s="7" t="s">
        <v>1916</v>
      </c>
      <c r="D196" s="27" t="s">
        <v>732</v>
      </c>
      <c r="E196" s="50" t="n">
        <v>2</v>
      </c>
      <c r="F196" s="50" t="n">
        <v>2</v>
      </c>
      <c r="G196" s="27" t="s">
        <v>767</v>
      </c>
      <c r="H196" s="50" t="n">
        <f aca="false">F196</f>
        <v>2</v>
      </c>
      <c r="I196" s="51" t="n">
        <v>61.78</v>
      </c>
      <c r="J196" s="28" t="n">
        <f aca="false">H196*I196</f>
        <v>123.56</v>
      </c>
      <c r="K196" s="52" t="s">
        <v>548</v>
      </c>
      <c r="L196" s="7" t="s">
        <v>1917</v>
      </c>
      <c r="M196" s="7" t="s">
        <v>1918</v>
      </c>
    </row>
    <row r="197" customFormat="false" ht="15" hidden="false" customHeight="false" outlineLevel="0" collapsed="false">
      <c r="A197" s="48" t="s">
        <v>269</v>
      </c>
      <c r="B197" s="48" t="s">
        <v>1919</v>
      </c>
      <c r="C197" s="48" t="s">
        <v>270</v>
      </c>
      <c r="D197" s="48"/>
      <c r="E197" s="48"/>
      <c r="F197" s="48"/>
      <c r="G197" s="48"/>
      <c r="H197" s="48" t="s">
        <v>765</v>
      </c>
      <c r="I197" s="49" t="n">
        <f aca="false">SUMPRODUCT(E198:E202,I198:I202)</f>
        <v>4042.89</v>
      </c>
      <c r="J197" s="49" t="n">
        <f aca="false">SUM(J198:J202)</f>
        <v>3605.20027972028</v>
      </c>
      <c r="K197" s="48"/>
      <c r="L197" s="48"/>
      <c r="M197" s="48"/>
    </row>
    <row r="198" customFormat="false" ht="77.6" hidden="false" customHeight="false" outlineLevel="1" collapsed="false">
      <c r="A198" s="27"/>
      <c r="B198" s="27" t="s">
        <v>1919</v>
      </c>
      <c r="C198" s="7" t="s">
        <v>1906</v>
      </c>
      <c r="D198" s="27" t="s">
        <v>727</v>
      </c>
      <c r="E198" s="50" t="n">
        <v>10</v>
      </c>
      <c r="F198" s="50" t="n">
        <v>10</v>
      </c>
      <c r="G198" s="27" t="s">
        <v>767</v>
      </c>
      <c r="H198" s="50" t="n">
        <f aca="false">F198</f>
        <v>10</v>
      </c>
      <c r="I198" s="51" t="n">
        <v>131.72</v>
      </c>
      <c r="J198" s="28" t="n">
        <f aca="false">H198*I198</f>
        <v>1317.2</v>
      </c>
      <c r="K198" s="52" t="s">
        <v>548</v>
      </c>
      <c r="L198" s="7" t="s">
        <v>1907</v>
      </c>
      <c r="M198" s="7" t="s">
        <v>1908</v>
      </c>
    </row>
    <row r="199" customFormat="false" ht="52.2" hidden="false" customHeight="false" outlineLevel="1" collapsed="false">
      <c r="A199" s="27"/>
      <c r="B199" s="27" t="s">
        <v>1919</v>
      </c>
      <c r="C199" s="7" t="s">
        <v>1909</v>
      </c>
      <c r="D199" s="27" t="s">
        <v>853</v>
      </c>
      <c r="E199" s="50" t="n">
        <v>141</v>
      </c>
      <c r="F199" s="50" t="n">
        <v>141</v>
      </c>
      <c r="G199" s="27" t="s">
        <v>865</v>
      </c>
      <c r="H199" s="50" t="n">
        <f aca="false">F199/IF(Varsayimlar!$B$21=1,1.43,1)</f>
        <v>98.6013986013986</v>
      </c>
      <c r="I199" s="51" t="n">
        <v>1.85</v>
      </c>
      <c r="J199" s="28" t="n">
        <f aca="false">H199*I199</f>
        <v>182.412587412587</v>
      </c>
      <c r="K199" s="52" t="s">
        <v>548</v>
      </c>
      <c r="L199" s="7" t="s">
        <v>1910</v>
      </c>
      <c r="M199" s="7" t="s">
        <v>1911</v>
      </c>
    </row>
    <row r="200" customFormat="false" ht="64.9" hidden="false" customHeight="false" outlineLevel="1" collapsed="false">
      <c r="A200" s="27"/>
      <c r="B200" s="27" t="s">
        <v>1919</v>
      </c>
      <c r="C200" s="7" t="s">
        <v>1912</v>
      </c>
      <c r="D200" s="27" t="s">
        <v>727</v>
      </c>
      <c r="E200" s="50" t="n">
        <v>1</v>
      </c>
      <c r="F200" s="50" t="n">
        <v>1</v>
      </c>
      <c r="G200" s="27" t="s">
        <v>829</v>
      </c>
      <c r="H200" s="50" t="n">
        <f aca="false">F200/IF(Varsayimlar!$B$21=1,1.3,1)</f>
        <v>0.769230769230769</v>
      </c>
      <c r="I200" s="51" t="n">
        <v>1556.76</v>
      </c>
      <c r="J200" s="28" t="n">
        <f aca="false">H200*I200</f>
        <v>1197.50769230769</v>
      </c>
      <c r="K200" s="52" t="s">
        <v>548</v>
      </c>
      <c r="L200" s="7" t="s">
        <v>1913</v>
      </c>
      <c r="M200" s="7" t="s">
        <v>1756</v>
      </c>
    </row>
    <row r="201" customFormat="false" ht="77.6" hidden="false" customHeight="false" outlineLevel="1" collapsed="false">
      <c r="A201" s="27"/>
      <c r="B201" s="27" t="s">
        <v>1919</v>
      </c>
      <c r="C201" s="7" t="s">
        <v>1914</v>
      </c>
      <c r="D201" s="27" t="s">
        <v>727</v>
      </c>
      <c r="E201" s="50" t="n">
        <v>2</v>
      </c>
      <c r="F201" s="50" t="n">
        <v>2</v>
      </c>
      <c r="G201" s="27" t="s">
        <v>767</v>
      </c>
      <c r="H201" s="50" t="n">
        <f aca="false">F201</f>
        <v>2</v>
      </c>
      <c r="I201" s="51" t="n">
        <v>423.15</v>
      </c>
      <c r="J201" s="28" t="n">
        <f aca="false">H201*I201</f>
        <v>846.3</v>
      </c>
      <c r="K201" s="52" t="s">
        <v>548</v>
      </c>
      <c r="L201" s="7" t="s">
        <v>1915</v>
      </c>
      <c r="M201" s="7" t="s">
        <v>1764</v>
      </c>
    </row>
    <row r="202" customFormat="false" ht="64.9" hidden="false" customHeight="false" outlineLevel="1" collapsed="false">
      <c r="A202" s="27"/>
      <c r="B202" s="27" t="s">
        <v>1919</v>
      </c>
      <c r="C202" s="7" t="s">
        <v>1916</v>
      </c>
      <c r="D202" s="27" t="s">
        <v>732</v>
      </c>
      <c r="E202" s="50" t="n">
        <v>1</v>
      </c>
      <c r="F202" s="50" t="n">
        <v>1</v>
      </c>
      <c r="G202" s="27" t="s">
        <v>767</v>
      </c>
      <c r="H202" s="50" t="n">
        <f aca="false">F202</f>
        <v>1</v>
      </c>
      <c r="I202" s="51" t="n">
        <v>61.78</v>
      </c>
      <c r="J202" s="28" t="n">
        <f aca="false">H202*I202</f>
        <v>61.78</v>
      </c>
      <c r="K202" s="52" t="s">
        <v>548</v>
      </c>
      <c r="L202" s="7" t="s">
        <v>1917</v>
      </c>
      <c r="M202" s="7" t="s">
        <v>1918</v>
      </c>
    </row>
    <row r="203" customFormat="false" ht="15" hidden="false" customHeight="false" outlineLevel="0" collapsed="false">
      <c r="A203" s="48" t="s">
        <v>271</v>
      </c>
      <c r="B203" s="48" t="s">
        <v>1920</v>
      </c>
      <c r="C203" s="48" t="s">
        <v>272</v>
      </c>
      <c r="D203" s="48"/>
      <c r="E203" s="48"/>
      <c r="F203" s="48"/>
      <c r="G203" s="48"/>
      <c r="H203" s="48" t="s">
        <v>765</v>
      </c>
      <c r="I203" s="49" t="n">
        <f aca="false">SUMPRODUCT(E204:E208,I204:I208)</f>
        <v>4042.89</v>
      </c>
      <c r="J203" s="49" t="n">
        <f aca="false">SUM(J204:J208)</f>
        <v>3605.20027972028</v>
      </c>
      <c r="K203" s="48"/>
      <c r="L203" s="48"/>
      <c r="M203" s="48"/>
    </row>
    <row r="204" customFormat="false" ht="77.6" hidden="false" customHeight="false" outlineLevel="1" collapsed="false">
      <c r="A204" s="27"/>
      <c r="B204" s="27" t="s">
        <v>1920</v>
      </c>
      <c r="C204" s="7" t="s">
        <v>1906</v>
      </c>
      <c r="D204" s="27" t="s">
        <v>727</v>
      </c>
      <c r="E204" s="50" t="n">
        <v>10</v>
      </c>
      <c r="F204" s="50" t="n">
        <v>10</v>
      </c>
      <c r="G204" s="27" t="s">
        <v>767</v>
      </c>
      <c r="H204" s="50" t="n">
        <f aca="false">F204</f>
        <v>10</v>
      </c>
      <c r="I204" s="51" t="n">
        <v>131.72</v>
      </c>
      <c r="J204" s="28" t="n">
        <f aca="false">H204*I204</f>
        <v>1317.2</v>
      </c>
      <c r="K204" s="52" t="s">
        <v>548</v>
      </c>
      <c r="L204" s="7" t="s">
        <v>1907</v>
      </c>
      <c r="M204" s="7" t="s">
        <v>1908</v>
      </c>
    </row>
    <row r="205" customFormat="false" ht="52.2" hidden="false" customHeight="false" outlineLevel="1" collapsed="false">
      <c r="A205" s="27"/>
      <c r="B205" s="27" t="s">
        <v>1920</v>
      </c>
      <c r="C205" s="7" t="s">
        <v>1909</v>
      </c>
      <c r="D205" s="27" t="s">
        <v>853</v>
      </c>
      <c r="E205" s="50" t="n">
        <v>141</v>
      </c>
      <c r="F205" s="50" t="n">
        <v>141</v>
      </c>
      <c r="G205" s="27" t="s">
        <v>865</v>
      </c>
      <c r="H205" s="50" t="n">
        <f aca="false">F205/IF(Varsayimlar!$B$21=1,1.43,1)</f>
        <v>98.6013986013986</v>
      </c>
      <c r="I205" s="51" t="n">
        <v>1.85</v>
      </c>
      <c r="J205" s="28" t="n">
        <f aca="false">H205*I205</f>
        <v>182.412587412587</v>
      </c>
      <c r="K205" s="52" t="s">
        <v>548</v>
      </c>
      <c r="L205" s="7" t="s">
        <v>1910</v>
      </c>
      <c r="M205" s="7" t="s">
        <v>1911</v>
      </c>
    </row>
    <row r="206" customFormat="false" ht="64.9" hidden="false" customHeight="false" outlineLevel="1" collapsed="false">
      <c r="A206" s="27"/>
      <c r="B206" s="27" t="s">
        <v>1920</v>
      </c>
      <c r="C206" s="7" t="s">
        <v>1912</v>
      </c>
      <c r="D206" s="27" t="s">
        <v>727</v>
      </c>
      <c r="E206" s="50" t="n">
        <v>1</v>
      </c>
      <c r="F206" s="50" t="n">
        <v>1</v>
      </c>
      <c r="G206" s="27" t="s">
        <v>829</v>
      </c>
      <c r="H206" s="50" t="n">
        <f aca="false">F206/IF(Varsayimlar!$B$21=1,1.3,1)</f>
        <v>0.769230769230769</v>
      </c>
      <c r="I206" s="51" t="n">
        <v>1556.76</v>
      </c>
      <c r="J206" s="28" t="n">
        <f aca="false">H206*I206</f>
        <v>1197.50769230769</v>
      </c>
      <c r="K206" s="52" t="s">
        <v>548</v>
      </c>
      <c r="L206" s="7" t="s">
        <v>1913</v>
      </c>
      <c r="M206" s="7" t="s">
        <v>1756</v>
      </c>
    </row>
    <row r="207" customFormat="false" ht="77.6" hidden="false" customHeight="false" outlineLevel="1" collapsed="false">
      <c r="A207" s="27"/>
      <c r="B207" s="27" t="s">
        <v>1920</v>
      </c>
      <c r="C207" s="7" t="s">
        <v>1914</v>
      </c>
      <c r="D207" s="27" t="s">
        <v>727</v>
      </c>
      <c r="E207" s="50" t="n">
        <v>2</v>
      </c>
      <c r="F207" s="50" t="n">
        <v>2</v>
      </c>
      <c r="G207" s="27" t="s">
        <v>767</v>
      </c>
      <c r="H207" s="50" t="n">
        <f aca="false">F207</f>
        <v>2</v>
      </c>
      <c r="I207" s="51" t="n">
        <v>423.15</v>
      </c>
      <c r="J207" s="28" t="n">
        <f aca="false">H207*I207</f>
        <v>846.3</v>
      </c>
      <c r="K207" s="52" t="s">
        <v>548</v>
      </c>
      <c r="L207" s="7" t="s">
        <v>1915</v>
      </c>
      <c r="M207" s="7" t="s">
        <v>1764</v>
      </c>
    </row>
    <row r="208" customFormat="false" ht="64.9" hidden="false" customHeight="false" outlineLevel="1" collapsed="false">
      <c r="A208" s="27"/>
      <c r="B208" s="27" t="s">
        <v>1920</v>
      </c>
      <c r="C208" s="7" t="s">
        <v>1916</v>
      </c>
      <c r="D208" s="27" t="s">
        <v>732</v>
      </c>
      <c r="E208" s="50" t="n">
        <v>1</v>
      </c>
      <c r="F208" s="50" t="n">
        <v>1</v>
      </c>
      <c r="G208" s="27" t="s">
        <v>767</v>
      </c>
      <c r="H208" s="50" t="n">
        <f aca="false">F208</f>
        <v>1</v>
      </c>
      <c r="I208" s="51" t="n">
        <v>61.78</v>
      </c>
      <c r="J208" s="28" t="n">
        <f aca="false">H208*I208</f>
        <v>61.78</v>
      </c>
      <c r="K208" s="52" t="s">
        <v>548</v>
      </c>
      <c r="L208" s="7" t="s">
        <v>1917</v>
      </c>
      <c r="M208" s="7" t="s">
        <v>1918</v>
      </c>
    </row>
    <row r="209" customFormat="false" ht="15" hidden="false" customHeight="false" outlineLevel="0" collapsed="false">
      <c r="A209" s="48" t="s">
        <v>273</v>
      </c>
      <c r="B209" s="48" t="s">
        <v>1921</v>
      </c>
      <c r="C209" s="48" t="s">
        <v>274</v>
      </c>
      <c r="D209" s="48"/>
      <c r="E209" s="48"/>
      <c r="F209" s="48"/>
      <c r="G209" s="48"/>
      <c r="H209" s="48" t="s">
        <v>765</v>
      </c>
      <c r="I209" s="49" t="n">
        <f aca="false">SUMPRODUCT(E210:E214,I210:I214)</f>
        <v>4042.89</v>
      </c>
      <c r="J209" s="49" t="n">
        <f aca="false">SUM(J210:J214)</f>
        <v>3605.20027972028</v>
      </c>
      <c r="K209" s="48"/>
      <c r="L209" s="48"/>
      <c r="M209" s="48"/>
    </row>
    <row r="210" customFormat="false" ht="77.6" hidden="false" customHeight="false" outlineLevel="1" collapsed="false">
      <c r="A210" s="27"/>
      <c r="B210" s="27" t="s">
        <v>1921</v>
      </c>
      <c r="C210" s="7" t="s">
        <v>1906</v>
      </c>
      <c r="D210" s="27" t="s">
        <v>727</v>
      </c>
      <c r="E210" s="50" t="n">
        <v>10</v>
      </c>
      <c r="F210" s="50" t="n">
        <v>10</v>
      </c>
      <c r="G210" s="27" t="s">
        <v>767</v>
      </c>
      <c r="H210" s="50" t="n">
        <f aca="false">F210</f>
        <v>10</v>
      </c>
      <c r="I210" s="51" t="n">
        <v>131.72</v>
      </c>
      <c r="J210" s="28" t="n">
        <f aca="false">H210*I210</f>
        <v>1317.2</v>
      </c>
      <c r="K210" s="52" t="s">
        <v>548</v>
      </c>
      <c r="L210" s="7" t="s">
        <v>1907</v>
      </c>
      <c r="M210" s="7" t="s">
        <v>1908</v>
      </c>
    </row>
    <row r="211" customFormat="false" ht="52.2" hidden="false" customHeight="false" outlineLevel="1" collapsed="false">
      <c r="A211" s="27"/>
      <c r="B211" s="27" t="s">
        <v>1921</v>
      </c>
      <c r="C211" s="7" t="s">
        <v>1909</v>
      </c>
      <c r="D211" s="27" t="s">
        <v>853</v>
      </c>
      <c r="E211" s="50" t="n">
        <v>141</v>
      </c>
      <c r="F211" s="50" t="n">
        <v>141</v>
      </c>
      <c r="G211" s="27" t="s">
        <v>865</v>
      </c>
      <c r="H211" s="50" t="n">
        <f aca="false">F211/IF(Varsayimlar!$B$21=1,1.43,1)</f>
        <v>98.6013986013986</v>
      </c>
      <c r="I211" s="51" t="n">
        <v>1.85</v>
      </c>
      <c r="J211" s="28" t="n">
        <f aca="false">H211*I211</f>
        <v>182.412587412587</v>
      </c>
      <c r="K211" s="52" t="s">
        <v>548</v>
      </c>
      <c r="L211" s="7" t="s">
        <v>1910</v>
      </c>
      <c r="M211" s="7" t="s">
        <v>1911</v>
      </c>
    </row>
    <row r="212" customFormat="false" ht="64.9" hidden="false" customHeight="false" outlineLevel="1" collapsed="false">
      <c r="A212" s="27"/>
      <c r="B212" s="27" t="s">
        <v>1921</v>
      </c>
      <c r="C212" s="7" t="s">
        <v>1912</v>
      </c>
      <c r="D212" s="27" t="s">
        <v>727</v>
      </c>
      <c r="E212" s="50" t="n">
        <v>1</v>
      </c>
      <c r="F212" s="50" t="n">
        <v>1</v>
      </c>
      <c r="G212" s="27" t="s">
        <v>829</v>
      </c>
      <c r="H212" s="50" t="n">
        <f aca="false">F212/IF(Varsayimlar!$B$21=1,1.3,1)</f>
        <v>0.769230769230769</v>
      </c>
      <c r="I212" s="51" t="n">
        <v>1556.76</v>
      </c>
      <c r="J212" s="28" t="n">
        <f aca="false">H212*I212</f>
        <v>1197.50769230769</v>
      </c>
      <c r="K212" s="52" t="s">
        <v>548</v>
      </c>
      <c r="L212" s="7" t="s">
        <v>1913</v>
      </c>
      <c r="M212" s="7" t="s">
        <v>1756</v>
      </c>
    </row>
    <row r="213" customFormat="false" ht="77.6" hidden="false" customHeight="false" outlineLevel="1" collapsed="false">
      <c r="A213" s="27"/>
      <c r="B213" s="27" t="s">
        <v>1921</v>
      </c>
      <c r="C213" s="7" t="s">
        <v>1914</v>
      </c>
      <c r="D213" s="27" t="s">
        <v>727</v>
      </c>
      <c r="E213" s="50" t="n">
        <v>2</v>
      </c>
      <c r="F213" s="50" t="n">
        <v>2</v>
      </c>
      <c r="G213" s="27" t="s">
        <v>767</v>
      </c>
      <c r="H213" s="50" t="n">
        <f aca="false">F213</f>
        <v>2</v>
      </c>
      <c r="I213" s="51" t="n">
        <v>423.15</v>
      </c>
      <c r="J213" s="28" t="n">
        <f aca="false">H213*I213</f>
        <v>846.3</v>
      </c>
      <c r="K213" s="52" t="s">
        <v>548</v>
      </c>
      <c r="L213" s="7" t="s">
        <v>1915</v>
      </c>
      <c r="M213" s="7" t="s">
        <v>1764</v>
      </c>
    </row>
    <row r="214" customFormat="false" ht="64.9" hidden="false" customHeight="false" outlineLevel="1" collapsed="false">
      <c r="A214" s="27"/>
      <c r="B214" s="27" t="s">
        <v>1921</v>
      </c>
      <c r="C214" s="7" t="s">
        <v>1916</v>
      </c>
      <c r="D214" s="27" t="s">
        <v>732</v>
      </c>
      <c r="E214" s="50" t="n">
        <v>1</v>
      </c>
      <c r="F214" s="50" t="n">
        <v>1</v>
      </c>
      <c r="G214" s="27" t="s">
        <v>767</v>
      </c>
      <c r="H214" s="50" t="n">
        <f aca="false">F214</f>
        <v>1</v>
      </c>
      <c r="I214" s="51" t="n">
        <v>61.78</v>
      </c>
      <c r="J214" s="28" t="n">
        <f aca="false">H214*I214</f>
        <v>61.78</v>
      </c>
      <c r="K214" s="52" t="s">
        <v>548</v>
      </c>
      <c r="L214" s="7" t="s">
        <v>1917</v>
      </c>
      <c r="M214" s="7" t="s">
        <v>1918</v>
      </c>
    </row>
    <row r="215" customFormat="false" ht="15" hidden="false" customHeight="false" outlineLevel="0" collapsed="false">
      <c r="A215" s="48" t="s">
        <v>275</v>
      </c>
      <c r="B215" s="48" t="s">
        <v>1922</v>
      </c>
      <c r="C215" s="48" t="s">
        <v>276</v>
      </c>
      <c r="D215" s="48"/>
      <c r="E215" s="48"/>
      <c r="F215" s="48"/>
      <c r="G215" s="48"/>
      <c r="H215" s="48" t="s">
        <v>765</v>
      </c>
      <c r="I215" s="49" t="n">
        <f aca="false">SUMPRODUCT(E216:E220,I216:I220)</f>
        <v>4042.89</v>
      </c>
      <c r="J215" s="49" t="n">
        <f aca="false">SUM(J216:J220)</f>
        <v>3605.20027972028</v>
      </c>
      <c r="K215" s="48"/>
      <c r="L215" s="48"/>
      <c r="M215" s="48"/>
    </row>
    <row r="216" customFormat="false" ht="77.6" hidden="false" customHeight="false" outlineLevel="1" collapsed="false">
      <c r="A216" s="27"/>
      <c r="B216" s="27" t="s">
        <v>1922</v>
      </c>
      <c r="C216" s="7" t="s">
        <v>1906</v>
      </c>
      <c r="D216" s="27" t="s">
        <v>727</v>
      </c>
      <c r="E216" s="50" t="n">
        <v>10</v>
      </c>
      <c r="F216" s="50" t="n">
        <v>10</v>
      </c>
      <c r="G216" s="27" t="s">
        <v>767</v>
      </c>
      <c r="H216" s="50" t="n">
        <f aca="false">F216</f>
        <v>10</v>
      </c>
      <c r="I216" s="51" t="n">
        <v>131.72</v>
      </c>
      <c r="J216" s="28" t="n">
        <f aca="false">H216*I216</f>
        <v>1317.2</v>
      </c>
      <c r="K216" s="52" t="s">
        <v>548</v>
      </c>
      <c r="L216" s="7" t="s">
        <v>1907</v>
      </c>
      <c r="M216" s="7" t="s">
        <v>1908</v>
      </c>
    </row>
    <row r="217" customFormat="false" ht="52.2" hidden="false" customHeight="false" outlineLevel="1" collapsed="false">
      <c r="A217" s="27"/>
      <c r="B217" s="27" t="s">
        <v>1922</v>
      </c>
      <c r="C217" s="7" t="s">
        <v>1909</v>
      </c>
      <c r="D217" s="27" t="s">
        <v>853</v>
      </c>
      <c r="E217" s="50" t="n">
        <v>141</v>
      </c>
      <c r="F217" s="50" t="n">
        <v>141</v>
      </c>
      <c r="G217" s="27" t="s">
        <v>865</v>
      </c>
      <c r="H217" s="50" t="n">
        <f aca="false">F217/IF(Varsayimlar!$B$21=1,1.43,1)</f>
        <v>98.6013986013986</v>
      </c>
      <c r="I217" s="51" t="n">
        <v>1.85</v>
      </c>
      <c r="J217" s="28" t="n">
        <f aca="false">H217*I217</f>
        <v>182.412587412587</v>
      </c>
      <c r="K217" s="52" t="s">
        <v>548</v>
      </c>
      <c r="L217" s="7" t="s">
        <v>1910</v>
      </c>
      <c r="M217" s="7" t="s">
        <v>1911</v>
      </c>
    </row>
    <row r="218" customFormat="false" ht="64.9" hidden="false" customHeight="false" outlineLevel="1" collapsed="false">
      <c r="A218" s="27"/>
      <c r="B218" s="27" t="s">
        <v>1922</v>
      </c>
      <c r="C218" s="7" t="s">
        <v>1912</v>
      </c>
      <c r="D218" s="27" t="s">
        <v>727</v>
      </c>
      <c r="E218" s="50" t="n">
        <v>1</v>
      </c>
      <c r="F218" s="50" t="n">
        <v>1</v>
      </c>
      <c r="G218" s="27" t="s">
        <v>829</v>
      </c>
      <c r="H218" s="50" t="n">
        <f aca="false">F218/IF(Varsayimlar!$B$21=1,1.3,1)</f>
        <v>0.769230769230769</v>
      </c>
      <c r="I218" s="51" t="n">
        <v>1556.76</v>
      </c>
      <c r="J218" s="28" t="n">
        <f aca="false">H218*I218</f>
        <v>1197.50769230769</v>
      </c>
      <c r="K218" s="52" t="s">
        <v>548</v>
      </c>
      <c r="L218" s="7" t="s">
        <v>1913</v>
      </c>
      <c r="M218" s="7" t="s">
        <v>1756</v>
      </c>
    </row>
    <row r="219" customFormat="false" ht="77.6" hidden="false" customHeight="false" outlineLevel="1" collapsed="false">
      <c r="A219" s="27"/>
      <c r="B219" s="27" t="s">
        <v>1922</v>
      </c>
      <c r="C219" s="7" t="s">
        <v>1914</v>
      </c>
      <c r="D219" s="27" t="s">
        <v>727</v>
      </c>
      <c r="E219" s="50" t="n">
        <v>2</v>
      </c>
      <c r="F219" s="50" t="n">
        <v>2</v>
      </c>
      <c r="G219" s="27" t="s">
        <v>767</v>
      </c>
      <c r="H219" s="50" t="n">
        <f aca="false">F219</f>
        <v>2</v>
      </c>
      <c r="I219" s="51" t="n">
        <v>423.15</v>
      </c>
      <c r="J219" s="28" t="n">
        <f aca="false">H219*I219</f>
        <v>846.3</v>
      </c>
      <c r="K219" s="52" t="s">
        <v>548</v>
      </c>
      <c r="L219" s="7" t="s">
        <v>1915</v>
      </c>
      <c r="M219" s="7" t="s">
        <v>1764</v>
      </c>
    </row>
    <row r="220" customFormat="false" ht="64.9" hidden="false" customHeight="false" outlineLevel="1" collapsed="false">
      <c r="A220" s="27"/>
      <c r="B220" s="27" t="s">
        <v>1922</v>
      </c>
      <c r="C220" s="7" t="s">
        <v>1916</v>
      </c>
      <c r="D220" s="27" t="s">
        <v>732</v>
      </c>
      <c r="E220" s="50" t="n">
        <v>1</v>
      </c>
      <c r="F220" s="50" t="n">
        <v>1</v>
      </c>
      <c r="G220" s="27" t="s">
        <v>767</v>
      </c>
      <c r="H220" s="50" t="n">
        <f aca="false">F220</f>
        <v>1</v>
      </c>
      <c r="I220" s="51" t="n">
        <v>61.78</v>
      </c>
      <c r="J220" s="28" t="n">
        <f aca="false">H220*I220</f>
        <v>61.78</v>
      </c>
      <c r="K220" s="52" t="s">
        <v>548</v>
      </c>
      <c r="L220" s="7" t="s">
        <v>1917</v>
      </c>
      <c r="M220" s="7" t="s">
        <v>1918</v>
      </c>
    </row>
    <row r="221" customFormat="false" ht="15" hidden="false" customHeight="false" outlineLevel="0" collapsed="false">
      <c r="A221" s="48" t="s">
        <v>277</v>
      </c>
      <c r="B221" s="48" t="s">
        <v>1923</v>
      </c>
      <c r="C221" s="48" t="s">
        <v>278</v>
      </c>
      <c r="D221" s="48"/>
      <c r="E221" s="48"/>
      <c r="F221" s="48"/>
      <c r="G221" s="48"/>
      <c r="H221" s="48" t="s">
        <v>765</v>
      </c>
      <c r="I221" s="49" t="n">
        <f aca="false">SUMPRODUCT(E222:E226,I222:I226)</f>
        <v>4039.19</v>
      </c>
      <c r="J221" s="49" t="n">
        <f aca="false">SUM(J222:J226)</f>
        <v>3602.61286713287</v>
      </c>
      <c r="K221" s="48"/>
      <c r="L221" s="48"/>
      <c r="M221" s="48"/>
    </row>
    <row r="222" customFormat="false" ht="77.6" hidden="false" customHeight="false" outlineLevel="1" collapsed="false">
      <c r="A222" s="27"/>
      <c r="B222" s="27" t="s">
        <v>1923</v>
      </c>
      <c r="C222" s="7" t="s">
        <v>1906</v>
      </c>
      <c r="D222" s="27" t="s">
        <v>727</v>
      </c>
      <c r="E222" s="50" t="n">
        <v>10</v>
      </c>
      <c r="F222" s="50" t="n">
        <v>10</v>
      </c>
      <c r="G222" s="27" t="s">
        <v>767</v>
      </c>
      <c r="H222" s="50" t="n">
        <f aca="false">F222</f>
        <v>10</v>
      </c>
      <c r="I222" s="51" t="n">
        <v>131.72</v>
      </c>
      <c r="J222" s="28" t="n">
        <f aca="false">H222*I222</f>
        <v>1317.2</v>
      </c>
      <c r="K222" s="52" t="s">
        <v>548</v>
      </c>
      <c r="L222" s="7" t="s">
        <v>1907</v>
      </c>
      <c r="M222" s="7" t="s">
        <v>1908</v>
      </c>
    </row>
    <row r="223" customFormat="false" ht="52.2" hidden="false" customHeight="false" outlineLevel="1" collapsed="false">
      <c r="A223" s="27"/>
      <c r="B223" s="27" t="s">
        <v>1923</v>
      </c>
      <c r="C223" s="7" t="s">
        <v>1909</v>
      </c>
      <c r="D223" s="27" t="s">
        <v>853</v>
      </c>
      <c r="E223" s="50" t="n">
        <v>139</v>
      </c>
      <c r="F223" s="50" t="n">
        <v>139</v>
      </c>
      <c r="G223" s="27" t="s">
        <v>865</v>
      </c>
      <c r="H223" s="50" t="n">
        <f aca="false">F223/IF(Varsayimlar!$B$21=1,1.43,1)</f>
        <v>97.2027972027972</v>
      </c>
      <c r="I223" s="51" t="n">
        <v>1.85</v>
      </c>
      <c r="J223" s="28" t="n">
        <f aca="false">H223*I223</f>
        <v>179.825174825175</v>
      </c>
      <c r="K223" s="52" t="s">
        <v>548</v>
      </c>
      <c r="L223" s="7" t="s">
        <v>1910</v>
      </c>
      <c r="M223" s="7" t="s">
        <v>1911</v>
      </c>
    </row>
    <row r="224" customFormat="false" ht="64.9" hidden="false" customHeight="false" outlineLevel="1" collapsed="false">
      <c r="A224" s="27"/>
      <c r="B224" s="27" t="s">
        <v>1923</v>
      </c>
      <c r="C224" s="7" t="s">
        <v>1912</v>
      </c>
      <c r="D224" s="27" t="s">
        <v>727</v>
      </c>
      <c r="E224" s="50" t="n">
        <v>1</v>
      </c>
      <c r="F224" s="50" t="n">
        <v>1</v>
      </c>
      <c r="G224" s="27" t="s">
        <v>829</v>
      </c>
      <c r="H224" s="50" t="n">
        <f aca="false">F224/IF(Varsayimlar!$B$21=1,1.3,1)</f>
        <v>0.769230769230769</v>
      </c>
      <c r="I224" s="51" t="n">
        <v>1556.76</v>
      </c>
      <c r="J224" s="28" t="n">
        <f aca="false">H224*I224</f>
        <v>1197.50769230769</v>
      </c>
      <c r="K224" s="52" t="s">
        <v>548</v>
      </c>
      <c r="L224" s="7" t="s">
        <v>1913</v>
      </c>
      <c r="M224" s="7" t="s">
        <v>1756</v>
      </c>
    </row>
    <row r="225" customFormat="false" ht="77.6" hidden="false" customHeight="false" outlineLevel="1" collapsed="false">
      <c r="A225" s="27"/>
      <c r="B225" s="27" t="s">
        <v>1923</v>
      </c>
      <c r="C225" s="7" t="s">
        <v>1914</v>
      </c>
      <c r="D225" s="27" t="s">
        <v>727</v>
      </c>
      <c r="E225" s="50" t="n">
        <v>2</v>
      </c>
      <c r="F225" s="50" t="n">
        <v>2</v>
      </c>
      <c r="G225" s="27" t="s">
        <v>767</v>
      </c>
      <c r="H225" s="50" t="n">
        <f aca="false">F225</f>
        <v>2</v>
      </c>
      <c r="I225" s="51" t="n">
        <v>423.15</v>
      </c>
      <c r="J225" s="28" t="n">
        <f aca="false">H225*I225</f>
        <v>846.3</v>
      </c>
      <c r="K225" s="52" t="s">
        <v>548</v>
      </c>
      <c r="L225" s="7" t="s">
        <v>1915</v>
      </c>
      <c r="M225" s="7" t="s">
        <v>1764</v>
      </c>
    </row>
    <row r="226" customFormat="false" ht="64.9" hidden="false" customHeight="false" outlineLevel="1" collapsed="false">
      <c r="A226" s="27"/>
      <c r="B226" s="27" t="s">
        <v>1923</v>
      </c>
      <c r="C226" s="7" t="s">
        <v>1916</v>
      </c>
      <c r="D226" s="27" t="s">
        <v>732</v>
      </c>
      <c r="E226" s="50" t="n">
        <v>1</v>
      </c>
      <c r="F226" s="50" t="n">
        <v>1</v>
      </c>
      <c r="G226" s="27" t="s">
        <v>767</v>
      </c>
      <c r="H226" s="50" t="n">
        <f aca="false">F226</f>
        <v>1</v>
      </c>
      <c r="I226" s="51" t="n">
        <v>61.78</v>
      </c>
      <c r="J226" s="28" t="n">
        <f aca="false">H226*I226</f>
        <v>61.78</v>
      </c>
      <c r="K226" s="52" t="s">
        <v>548</v>
      </c>
      <c r="L226" s="7" t="s">
        <v>1917</v>
      </c>
      <c r="M226" s="7" t="s">
        <v>1918</v>
      </c>
    </row>
    <row r="227" customFormat="false" ht="15" hidden="false" customHeight="false" outlineLevel="0" collapsed="false">
      <c r="A227" s="48" t="s">
        <v>279</v>
      </c>
      <c r="B227" s="48" t="s">
        <v>1924</v>
      </c>
      <c r="C227" s="48" t="s">
        <v>280</v>
      </c>
      <c r="D227" s="48"/>
      <c r="E227" s="48"/>
      <c r="F227" s="48"/>
      <c r="G227" s="48"/>
      <c r="H227" s="48" t="s">
        <v>765</v>
      </c>
      <c r="I227" s="49" t="n">
        <f aca="false">SUMPRODUCT(E228:E236,I228:I236)</f>
        <v>44246.28</v>
      </c>
      <c r="J227" s="49" t="n">
        <f aca="false">SUM(J228:J236)</f>
        <v>42108.4299300699</v>
      </c>
      <c r="K227" s="48"/>
      <c r="L227" s="48"/>
      <c r="M227" s="48"/>
    </row>
    <row r="228" customFormat="false" ht="52.2" hidden="false" customHeight="false" outlineLevel="1" collapsed="false">
      <c r="A228" s="27"/>
      <c r="B228" s="27" t="s">
        <v>1924</v>
      </c>
      <c r="C228" s="7" t="s">
        <v>1925</v>
      </c>
      <c r="D228" s="27" t="s">
        <v>727</v>
      </c>
      <c r="E228" s="50" t="n">
        <v>69</v>
      </c>
      <c r="F228" s="50" t="n">
        <v>69</v>
      </c>
      <c r="G228" s="27" t="s">
        <v>767</v>
      </c>
      <c r="H228" s="50" t="n">
        <f aca="false">F228</f>
        <v>69</v>
      </c>
      <c r="I228" s="51" t="n">
        <v>150</v>
      </c>
      <c r="J228" s="28" t="n">
        <f aca="false">H228*I228</f>
        <v>10350</v>
      </c>
      <c r="K228" s="52" t="s">
        <v>548</v>
      </c>
      <c r="L228" s="7" t="s">
        <v>1926</v>
      </c>
      <c r="M228" s="7" t="s">
        <v>1927</v>
      </c>
    </row>
    <row r="229" customFormat="false" ht="90.25" hidden="false" customHeight="false" outlineLevel="1" collapsed="false">
      <c r="A229" s="27"/>
      <c r="B229" s="27" t="s">
        <v>1924</v>
      </c>
      <c r="C229" s="7" t="s">
        <v>1928</v>
      </c>
      <c r="D229" s="27" t="s">
        <v>727</v>
      </c>
      <c r="E229" s="50" t="n">
        <v>36</v>
      </c>
      <c r="F229" s="50" t="n">
        <v>36</v>
      </c>
      <c r="G229" s="27" t="s">
        <v>829</v>
      </c>
      <c r="H229" s="50" t="n">
        <f aca="false">F229/IF(Varsayimlar!$B$21=1,1.3,1)</f>
        <v>27.6923076923077</v>
      </c>
      <c r="I229" s="51" t="n">
        <v>55.27</v>
      </c>
      <c r="J229" s="28" t="n">
        <f aca="false">H229*I229</f>
        <v>1530.55384615385</v>
      </c>
      <c r="K229" s="52" t="s">
        <v>548</v>
      </c>
      <c r="L229" s="7" t="s">
        <v>1929</v>
      </c>
      <c r="M229" s="7" t="s">
        <v>1918</v>
      </c>
    </row>
    <row r="230" customFormat="false" ht="64.9" hidden="false" customHeight="false" outlineLevel="1" collapsed="false">
      <c r="A230" s="27"/>
      <c r="B230" s="27" t="s">
        <v>1924</v>
      </c>
      <c r="C230" s="7" t="s">
        <v>1930</v>
      </c>
      <c r="D230" s="27" t="s">
        <v>727</v>
      </c>
      <c r="E230" s="50" t="n">
        <v>4</v>
      </c>
      <c r="F230" s="50" t="n">
        <v>4</v>
      </c>
      <c r="G230" s="27" t="s">
        <v>767</v>
      </c>
      <c r="H230" s="50" t="n">
        <f aca="false">F230</f>
        <v>4</v>
      </c>
      <c r="I230" s="51" t="n">
        <v>2715</v>
      </c>
      <c r="J230" s="28" t="n">
        <f aca="false">H230*I230</f>
        <v>10860</v>
      </c>
      <c r="K230" s="52" t="s">
        <v>548</v>
      </c>
      <c r="L230" s="7" t="s">
        <v>1931</v>
      </c>
      <c r="M230" s="7" t="s">
        <v>1742</v>
      </c>
    </row>
    <row r="231" customFormat="false" ht="64.9" hidden="false" customHeight="false" outlineLevel="1" collapsed="false">
      <c r="A231" s="27"/>
      <c r="B231" s="27" t="s">
        <v>1924</v>
      </c>
      <c r="C231" s="7" t="s">
        <v>1932</v>
      </c>
      <c r="D231" s="27" t="s">
        <v>727</v>
      </c>
      <c r="E231" s="50" t="n">
        <v>3</v>
      </c>
      <c r="F231" s="50" t="n">
        <v>3</v>
      </c>
      <c r="G231" s="27" t="s">
        <v>767</v>
      </c>
      <c r="H231" s="50" t="n">
        <f aca="false">F231</f>
        <v>3</v>
      </c>
      <c r="I231" s="51" t="n">
        <v>1855.18</v>
      </c>
      <c r="J231" s="28" t="n">
        <f aca="false">H231*I231</f>
        <v>5565.54</v>
      </c>
      <c r="K231" s="52" t="s">
        <v>548</v>
      </c>
      <c r="L231" s="7" t="s">
        <v>1933</v>
      </c>
      <c r="M231" s="7" t="s">
        <v>1759</v>
      </c>
    </row>
    <row r="232" customFormat="false" ht="64.9" hidden="false" customHeight="false" outlineLevel="1" collapsed="false">
      <c r="A232" s="27"/>
      <c r="B232" s="27" t="s">
        <v>1924</v>
      </c>
      <c r="C232" s="7" t="s">
        <v>1934</v>
      </c>
      <c r="D232" s="27" t="s">
        <v>732</v>
      </c>
      <c r="E232" s="50" t="n">
        <v>1</v>
      </c>
      <c r="F232" s="50" t="n">
        <v>1</v>
      </c>
      <c r="G232" s="27" t="s">
        <v>767</v>
      </c>
      <c r="H232" s="50" t="n">
        <f aca="false">F232</f>
        <v>1</v>
      </c>
      <c r="I232" s="51" t="n">
        <v>6068</v>
      </c>
      <c r="J232" s="28" t="n">
        <f aca="false">H232*I232</f>
        <v>6068</v>
      </c>
      <c r="K232" s="52" t="s">
        <v>548</v>
      </c>
      <c r="L232" s="7" t="s">
        <v>1935</v>
      </c>
      <c r="M232" s="7" t="s">
        <v>1936</v>
      </c>
    </row>
    <row r="233" customFormat="false" ht="90.25" hidden="false" customHeight="false" outlineLevel="1" collapsed="false">
      <c r="A233" s="27"/>
      <c r="B233" s="27" t="s">
        <v>1924</v>
      </c>
      <c r="C233" s="7" t="s">
        <v>1937</v>
      </c>
      <c r="D233" s="27" t="s">
        <v>727</v>
      </c>
      <c r="E233" s="50" t="n">
        <v>2</v>
      </c>
      <c r="F233" s="50" t="n">
        <v>2</v>
      </c>
      <c r="G233" s="27" t="s">
        <v>767</v>
      </c>
      <c r="H233" s="50" t="n">
        <f aca="false">F233</f>
        <v>2</v>
      </c>
      <c r="I233" s="51" t="n">
        <v>1461.45</v>
      </c>
      <c r="J233" s="28" t="n">
        <f aca="false">H233*I233</f>
        <v>2922.9</v>
      </c>
      <c r="K233" s="52" t="s">
        <v>548</v>
      </c>
      <c r="L233" s="7" t="s">
        <v>1938</v>
      </c>
      <c r="M233" s="7" t="s">
        <v>1759</v>
      </c>
    </row>
    <row r="234" customFormat="false" ht="52.2" hidden="false" customHeight="false" outlineLevel="1" collapsed="false">
      <c r="A234" s="27"/>
      <c r="B234" s="27" t="s">
        <v>1924</v>
      </c>
      <c r="C234" s="7" t="s">
        <v>1939</v>
      </c>
      <c r="D234" s="27" t="s">
        <v>727</v>
      </c>
      <c r="E234" s="50" t="n">
        <v>6</v>
      </c>
      <c r="F234" s="50" t="n">
        <v>6</v>
      </c>
      <c r="G234" s="27" t="s">
        <v>767</v>
      </c>
      <c r="H234" s="50" t="n">
        <f aca="false">F234</f>
        <v>6</v>
      </c>
      <c r="I234" s="51" t="n">
        <v>45.32</v>
      </c>
      <c r="J234" s="28" t="n">
        <f aca="false">H234*I234</f>
        <v>271.92</v>
      </c>
      <c r="K234" s="52" t="s">
        <v>548</v>
      </c>
      <c r="L234" s="7" t="s">
        <v>1940</v>
      </c>
      <c r="M234" s="7" t="s">
        <v>1918</v>
      </c>
    </row>
    <row r="235" customFormat="false" ht="52.2" hidden="false" customHeight="false" outlineLevel="1" collapsed="false">
      <c r="A235" s="27"/>
      <c r="B235" s="27" t="s">
        <v>1924</v>
      </c>
      <c r="C235" s="7" t="s">
        <v>1941</v>
      </c>
      <c r="D235" s="27" t="s">
        <v>727</v>
      </c>
      <c r="E235" s="50" t="n">
        <v>20</v>
      </c>
      <c r="F235" s="50" t="n">
        <v>20</v>
      </c>
      <c r="G235" s="27" t="s">
        <v>767</v>
      </c>
      <c r="H235" s="50" t="n">
        <f aca="false">F235</f>
        <v>20</v>
      </c>
      <c r="I235" s="51" t="n">
        <v>31.78</v>
      </c>
      <c r="J235" s="28" t="n">
        <f aca="false">H235*I235</f>
        <v>635.6</v>
      </c>
      <c r="K235" s="52" t="s">
        <v>548</v>
      </c>
      <c r="L235" s="7" t="s">
        <v>1942</v>
      </c>
      <c r="M235" s="7" t="s">
        <v>1816</v>
      </c>
    </row>
    <row r="236" customFormat="false" ht="52.2" hidden="false" customHeight="false" outlineLevel="1" collapsed="false">
      <c r="A236" s="27"/>
      <c r="B236" s="27" t="s">
        <v>1924</v>
      </c>
      <c r="C236" s="7" t="s">
        <v>1943</v>
      </c>
      <c r="D236" s="27" t="s">
        <v>853</v>
      </c>
      <c r="E236" s="50" t="n">
        <v>2060</v>
      </c>
      <c r="F236" s="50" t="n">
        <v>2060</v>
      </c>
      <c r="G236" s="27" t="s">
        <v>865</v>
      </c>
      <c r="H236" s="50" t="n">
        <f aca="false">F236/IF(Varsayimlar!$B$21=1,1.43,1)</f>
        <v>1440.55944055944</v>
      </c>
      <c r="I236" s="51" t="n">
        <v>2.71</v>
      </c>
      <c r="J236" s="28" t="n">
        <f aca="false">H236*I236</f>
        <v>3903.91608391608</v>
      </c>
      <c r="K236" s="52" t="s">
        <v>548</v>
      </c>
      <c r="L236" s="7" t="s">
        <v>1944</v>
      </c>
      <c r="M236" s="7" t="s">
        <v>1945</v>
      </c>
    </row>
    <row r="237" customFormat="false" ht="15" hidden="false" customHeight="false" outlineLevel="0" collapsed="false">
      <c r="A237" s="48" t="s">
        <v>281</v>
      </c>
      <c r="B237" s="48" t="s">
        <v>1946</v>
      </c>
      <c r="C237" s="48" t="s">
        <v>282</v>
      </c>
      <c r="D237" s="48"/>
      <c r="E237" s="48"/>
      <c r="F237" s="48"/>
      <c r="G237" s="48"/>
      <c r="H237" s="48" t="s">
        <v>765</v>
      </c>
      <c r="I237" s="49" t="n">
        <f aca="false">SUMPRODUCT(E238:E241,I238:I241)</f>
        <v>20701.47</v>
      </c>
      <c r="J237" s="49" t="n">
        <f aca="false">SUM(J238:J241)</f>
        <v>9729.91</v>
      </c>
      <c r="K237" s="48"/>
      <c r="L237" s="48"/>
      <c r="M237" s="48"/>
    </row>
    <row r="238" customFormat="false" ht="102.95" hidden="false" customHeight="false" outlineLevel="1" collapsed="false">
      <c r="A238" s="27"/>
      <c r="B238" s="27" t="s">
        <v>1946</v>
      </c>
      <c r="C238" s="7" t="s">
        <v>1947</v>
      </c>
      <c r="D238" s="27" t="s">
        <v>732</v>
      </c>
      <c r="E238" s="50" t="n">
        <v>1</v>
      </c>
      <c r="F238" s="50" t="n">
        <v>1</v>
      </c>
      <c r="G238" s="27" t="s">
        <v>767</v>
      </c>
      <c r="H238" s="50" t="n">
        <f aca="false">F238</f>
        <v>1</v>
      </c>
      <c r="I238" s="51" t="n">
        <v>2126.6</v>
      </c>
      <c r="J238" s="28" t="n">
        <f aca="false">H238*I238</f>
        <v>2126.6</v>
      </c>
      <c r="K238" s="52" t="s">
        <v>548</v>
      </c>
      <c r="L238" s="7" t="s">
        <v>1948</v>
      </c>
      <c r="M238" s="7" t="s">
        <v>1949</v>
      </c>
    </row>
    <row r="239" customFormat="false" ht="64.9" hidden="false" customHeight="false" outlineLevel="1" collapsed="false">
      <c r="A239" s="27"/>
      <c r="B239" s="27" t="s">
        <v>1946</v>
      </c>
      <c r="C239" s="7" t="s">
        <v>1950</v>
      </c>
      <c r="D239" s="27" t="s">
        <v>732</v>
      </c>
      <c r="E239" s="50" t="n">
        <v>1</v>
      </c>
      <c r="F239" s="50" t="n">
        <v>1</v>
      </c>
      <c r="G239" s="27" t="s">
        <v>767</v>
      </c>
      <c r="H239" s="50" t="n">
        <f aca="false">F239</f>
        <v>1</v>
      </c>
      <c r="I239" s="51" t="n">
        <v>5024.96</v>
      </c>
      <c r="J239" s="28" t="n">
        <f aca="false">H239*I239</f>
        <v>5024.96</v>
      </c>
      <c r="K239" s="52" t="s">
        <v>548</v>
      </c>
      <c r="L239" s="7" t="s">
        <v>1951</v>
      </c>
      <c r="M239" s="7" t="s">
        <v>1952</v>
      </c>
    </row>
    <row r="240" customFormat="false" ht="77.6" hidden="false" customHeight="false" outlineLevel="1" collapsed="false">
      <c r="A240" s="27"/>
      <c r="B240" s="27" t="s">
        <v>1946</v>
      </c>
      <c r="C240" s="7" t="s">
        <v>1953</v>
      </c>
      <c r="D240" s="27" t="s">
        <v>732</v>
      </c>
      <c r="E240" s="50" t="n">
        <v>1</v>
      </c>
      <c r="F240" s="50" t="n">
        <v>1</v>
      </c>
      <c r="G240" s="27" t="s">
        <v>767</v>
      </c>
      <c r="H240" s="50" t="n">
        <f aca="false">F240</f>
        <v>1</v>
      </c>
      <c r="I240" s="51" t="n">
        <v>2578.35</v>
      </c>
      <c r="J240" s="28" t="n">
        <f aca="false">H240*I240</f>
        <v>2578.35</v>
      </c>
      <c r="K240" s="52" t="s">
        <v>548</v>
      </c>
      <c r="L240" s="7" t="s">
        <v>1954</v>
      </c>
      <c r="M240" s="7" t="s">
        <v>1897</v>
      </c>
    </row>
    <row r="241" customFormat="false" ht="90.25" hidden="false" customHeight="false" outlineLevel="1" collapsed="false">
      <c r="A241" s="27"/>
      <c r="B241" s="27" t="s">
        <v>1946</v>
      </c>
      <c r="C241" s="7" t="s">
        <v>1955</v>
      </c>
      <c r="D241" s="27" t="s">
        <v>732</v>
      </c>
      <c r="E241" s="50" t="n">
        <v>1</v>
      </c>
      <c r="F241" s="54" t="n">
        <v>0</v>
      </c>
      <c r="G241" s="27" t="s">
        <v>767</v>
      </c>
      <c r="H241" s="50" t="n">
        <f aca="false">F241</f>
        <v>0</v>
      </c>
      <c r="I241" s="51" t="n">
        <v>10971.56</v>
      </c>
      <c r="J241" s="28" t="n">
        <f aca="false">H241*I241</f>
        <v>0</v>
      </c>
      <c r="K241" s="55" t="s">
        <v>555</v>
      </c>
      <c r="L241" s="7" t="s">
        <v>1956</v>
      </c>
      <c r="M241" s="7" t="s">
        <v>1957</v>
      </c>
    </row>
    <row r="242" customFormat="false" ht="15" hidden="false" customHeight="false" outlineLevel="0" collapsed="false">
      <c r="A242" s="48" t="s">
        <v>283</v>
      </c>
      <c r="B242" s="48" t="s">
        <v>1958</v>
      </c>
      <c r="C242" s="48" t="s">
        <v>284</v>
      </c>
      <c r="D242" s="48"/>
      <c r="E242" s="48"/>
      <c r="F242" s="48"/>
      <c r="G242" s="48"/>
      <c r="H242" s="48" t="s">
        <v>765</v>
      </c>
      <c r="I242" s="49" t="n">
        <f aca="false">SUMPRODUCT(E243:E244,I243:I244)</f>
        <v>15430</v>
      </c>
      <c r="J242" s="49" t="n">
        <f aca="false">SUM(J243:J244)</f>
        <v>15430</v>
      </c>
      <c r="K242" s="48"/>
      <c r="L242" s="48"/>
      <c r="M242" s="48"/>
    </row>
    <row r="243" customFormat="false" ht="39.55" hidden="false" customHeight="false" outlineLevel="1" collapsed="false">
      <c r="A243" s="27"/>
      <c r="B243" s="27" t="s">
        <v>1958</v>
      </c>
      <c r="C243" s="7" t="s">
        <v>1959</v>
      </c>
      <c r="D243" s="27" t="s">
        <v>732</v>
      </c>
      <c r="E243" s="50" t="n">
        <v>1</v>
      </c>
      <c r="F243" s="50" t="n">
        <v>1</v>
      </c>
      <c r="G243" s="27" t="s">
        <v>767</v>
      </c>
      <c r="H243" s="50" t="n">
        <f aca="false">F243</f>
        <v>1</v>
      </c>
      <c r="I243" s="51" t="n">
        <v>11430</v>
      </c>
      <c r="J243" s="28" t="n">
        <f aca="false">H243*I243</f>
        <v>11430</v>
      </c>
      <c r="K243" s="52" t="s">
        <v>548</v>
      </c>
      <c r="L243" s="7" t="s">
        <v>1960</v>
      </c>
      <c r="M243" s="7" t="s">
        <v>1904</v>
      </c>
    </row>
    <row r="244" customFormat="false" ht="52.2" hidden="false" customHeight="false" outlineLevel="1" collapsed="false">
      <c r="A244" s="27"/>
      <c r="B244" s="27" t="s">
        <v>1958</v>
      </c>
      <c r="C244" s="7" t="s">
        <v>1670</v>
      </c>
      <c r="D244" s="27" t="s">
        <v>732</v>
      </c>
      <c r="E244" s="50" t="n">
        <v>1</v>
      </c>
      <c r="F244" s="50" t="n">
        <v>1</v>
      </c>
      <c r="G244" s="27" t="s">
        <v>767</v>
      </c>
      <c r="H244" s="50" t="n">
        <f aca="false">F244</f>
        <v>1</v>
      </c>
      <c r="I244" s="51" t="n">
        <v>4000</v>
      </c>
      <c r="J244" s="28" t="n">
        <f aca="false">H244*I244</f>
        <v>4000</v>
      </c>
      <c r="K244" s="53" t="s">
        <v>551</v>
      </c>
      <c r="L244" s="7" t="s">
        <v>1809</v>
      </c>
      <c r="M244" s="7" t="s">
        <v>1672</v>
      </c>
    </row>
    <row r="245" customFormat="false" ht="15" hidden="false" customHeight="false" outlineLevel="0" collapsed="false">
      <c r="A245" s="48" t="s">
        <v>285</v>
      </c>
      <c r="B245" s="48" t="s">
        <v>1961</v>
      </c>
      <c r="C245" s="48" t="s">
        <v>286</v>
      </c>
      <c r="D245" s="48"/>
      <c r="E245" s="48"/>
      <c r="F245" s="48"/>
      <c r="G245" s="48"/>
      <c r="H245" s="48" t="s">
        <v>765</v>
      </c>
      <c r="I245" s="49" t="n">
        <f aca="false">SUMPRODUCT(E246:E251,I246:I251)</f>
        <v>15008.05</v>
      </c>
      <c r="J245" s="49" t="n">
        <f aca="false">SUM(J246:J251)</f>
        <v>13076.698041958</v>
      </c>
      <c r="K245" s="48"/>
      <c r="L245" s="48"/>
      <c r="M245" s="48"/>
    </row>
    <row r="246" customFormat="false" ht="77.6" hidden="false" customHeight="false" outlineLevel="1" collapsed="false">
      <c r="A246" s="27"/>
      <c r="B246" s="27" t="s">
        <v>1961</v>
      </c>
      <c r="C246" s="7" t="s">
        <v>1962</v>
      </c>
      <c r="D246" s="27" t="s">
        <v>727</v>
      </c>
      <c r="E246" s="50" t="n">
        <v>8</v>
      </c>
      <c r="F246" s="50" t="n">
        <v>8</v>
      </c>
      <c r="G246" s="27" t="s">
        <v>829</v>
      </c>
      <c r="H246" s="50" t="n">
        <f aca="false">F246/IF(Varsayimlar!$B$21=1,1.3,1)</f>
        <v>6.15384615384615</v>
      </c>
      <c r="I246" s="51" t="n">
        <v>508.65</v>
      </c>
      <c r="J246" s="28" t="n">
        <f aca="false">H246*I246</f>
        <v>3130.15384615385</v>
      </c>
      <c r="K246" s="52" t="s">
        <v>548</v>
      </c>
      <c r="L246" s="7" t="s">
        <v>1963</v>
      </c>
      <c r="M246" s="7" t="s">
        <v>1964</v>
      </c>
    </row>
    <row r="247" customFormat="false" ht="52.2" hidden="false" customHeight="false" outlineLevel="1" collapsed="false">
      <c r="A247" s="27"/>
      <c r="B247" s="27" t="s">
        <v>1961</v>
      </c>
      <c r="C247" s="7" t="s">
        <v>1965</v>
      </c>
      <c r="D247" s="27" t="s">
        <v>727</v>
      </c>
      <c r="E247" s="50" t="n">
        <v>3</v>
      </c>
      <c r="F247" s="50" t="n">
        <v>3</v>
      </c>
      <c r="G247" s="27" t="s">
        <v>829</v>
      </c>
      <c r="H247" s="50" t="n">
        <f aca="false">F247/IF(Varsayimlar!$B$21=1,1.3,1)</f>
        <v>2.30769230769231</v>
      </c>
      <c r="I247" s="51" t="n">
        <v>770.87</v>
      </c>
      <c r="J247" s="28" t="n">
        <f aca="false">H247*I247</f>
        <v>1778.93076923077</v>
      </c>
      <c r="K247" s="52" t="s">
        <v>548</v>
      </c>
      <c r="L247" s="7" t="s">
        <v>1966</v>
      </c>
      <c r="M247" s="7" t="s">
        <v>1967</v>
      </c>
    </row>
    <row r="248" customFormat="false" ht="52.2" hidden="false" customHeight="false" outlineLevel="1" collapsed="false">
      <c r="A248" s="27"/>
      <c r="B248" s="27" t="s">
        <v>1961</v>
      </c>
      <c r="C248" s="7" t="s">
        <v>1968</v>
      </c>
      <c r="D248" s="27" t="s">
        <v>853</v>
      </c>
      <c r="E248" s="50" t="n">
        <v>615</v>
      </c>
      <c r="F248" s="50" t="n">
        <v>615</v>
      </c>
      <c r="G248" s="27" t="s">
        <v>865</v>
      </c>
      <c r="H248" s="50" t="n">
        <f aca="false">F248/IF(Varsayimlar!$B$21=1,1.43,1)</f>
        <v>430.06993006993</v>
      </c>
      <c r="I248" s="51" t="n">
        <v>2.48</v>
      </c>
      <c r="J248" s="28" t="n">
        <f aca="false">H248*I248</f>
        <v>1066.57342657343</v>
      </c>
      <c r="K248" s="52" t="s">
        <v>548</v>
      </c>
      <c r="L248" s="7" t="s">
        <v>1818</v>
      </c>
      <c r="M248" s="7" t="s">
        <v>1729</v>
      </c>
    </row>
    <row r="249" customFormat="false" ht="102.95" hidden="false" customHeight="false" outlineLevel="1" collapsed="false">
      <c r="A249" s="27"/>
      <c r="B249" s="27" t="s">
        <v>1961</v>
      </c>
      <c r="C249" s="7" t="s">
        <v>1969</v>
      </c>
      <c r="D249" s="27" t="s">
        <v>853</v>
      </c>
      <c r="E249" s="50" t="n">
        <v>178</v>
      </c>
      <c r="F249" s="50" t="n">
        <v>178</v>
      </c>
      <c r="G249" s="27" t="s">
        <v>767</v>
      </c>
      <c r="H249" s="50" t="n">
        <f aca="false">F249</f>
        <v>178</v>
      </c>
      <c r="I249" s="51" t="n">
        <v>1.84</v>
      </c>
      <c r="J249" s="28" t="n">
        <f aca="false">H249*I249</f>
        <v>327.52</v>
      </c>
      <c r="K249" s="52" t="s">
        <v>548</v>
      </c>
      <c r="L249" s="7" t="s">
        <v>1970</v>
      </c>
      <c r="M249" s="7" t="s">
        <v>1945</v>
      </c>
    </row>
    <row r="250" customFormat="false" ht="64.9" hidden="false" customHeight="false" outlineLevel="1" collapsed="false">
      <c r="A250" s="27"/>
      <c r="B250" s="27" t="s">
        <v>1961</v>
      </c>
      <c r="C250" s="7" t="s">
        <v>1971</v>
      </c>
      <c r="D250" s="27" t="s">
        <v>732</v>
      </c>
      <c r="E250" s="50" t="n">
        <v>8</v>
      </c>
      <c r="F250" s="50" t="n">
        <v>8</v>
      </c>
      <c r="G250" s="27" t="s">
        <v>767</v>
      </c>
      <c r="H250" s="50" t="n">
        <f aca="false">F250</f>
        <v>8</v>
      </c>
      <c r="I250" s="51" t="n">
        <v>94.19</v>
      </c>
      <c r="J250" s="28" t="n">
        <f aca="false">H250*I250</f>
        <v>753.52</v>
      </c>
      <c r="K250" s="52" t="s">
        <v>548</v>
      </c>
      <c r="L250" s="7" t="s">
        <v>1972</v>
      </c>
      <c r="M250" s="7" t="s">
        <v>1973</v>
      </c>
    </row>
    <row r="251" customFormat="false" ht="52.2" hidden="false" customHeight="false" outlineLevel="1" collapsed="false">
      <c r="A251" s="27"/>
      <c r="B251" s="27" t="s">
        <v>1961</v>
      </c>
      <c r="C251" s="7" t="s">
        <v>1974</v>
      </c>
      <c r="D251" s="27" t="s">
        <v>727</v>
      </c>
      <c r="E251" s="50" t="n">
        <v>2</v>
      </c>
      <c r="F251" s="50" t="n">
        <v>2</v>
      </c>
      <c r="G251" s="27" t="s">
        <v>767</v>
      </c>
      <c r="H251" s="50" t="n">
        <f aca="false">F251</f>
        <v>2</v>
      </c>
      <c r="I251" s="51" t="n">
        <v>3010</v>
      </c>
      <c r="J251" s="28" t="n">
        <f aca="false">H251*I251</f>
        <v>6020</v>
      </c>
      <c r="K251" s="52" t="s">
        <v>548</v>
      </c>
      <c r="L251" s="7" t="s">
        <v>1975</v>
      </c>
      <c r="M251" s="7" t="s">
        <v>1976</v>
      </c>
    </row>
    <row r="252" customFormat="false" ht="15" hidden="false" customHeight="false" outlineLevel="0" collapsed="false">
      <c r="A252" s="48" t="s">
        <v>287</v>
      </c>
      <c r="B252" s="48" t="s">
        <v>1977</v>
      </c>
      <c r="C252" s="48" t="s">
        <v>288</v>
      </c>
      <c r="D252" s="48"/>
      <c r="E252" s="48"/>
      <c r="F252" s="48"/>
      <c r="G252" s="48"/>
      <c r="H252" s="48" t="s">
        <v>765</v>
      </c>
      <c r="I252" s="49" t="n">
        <f aca="false">SUMPRODUCT(E253:E258,I253:I258)</f>
        <v>14201.52</v>
      </c>
      <c r="J252" s="49" t="n">
        <f aca="false">SUM(J253:J258)</f>
        <v>11756.0935664336</v>
      </c>
      <c r="K252" s="48"/>
      <c r="L252" s="48"/>
      <c r="M252" s="48"/>
    </row>
    <row r="253" customFormat="false" ht="77.6" hidden="false" customHeight="false" outlineLevel="1" collapsed="false">
      <c r="A253" s="27"/>
      <c r="B253" s="27" t="s">
        <v>1977</v>
      </c>
      <c r="C253" s="7" t="s">
        <v>1962</v>
      </c>
      <c r="D253" s="27" t="s">
        <v>727</v>
      </c>
      <c r="E253" s="50" t="n">
        <v>10</v>
      </c>
      <c r="F253" s="50" t="n">
        <v>10</v>
      </c>
      <c r="G253" s="27" t="s">
        <v>829</v>
      </c>
      <c r="H253" s="50" t="n">
        <f aca="false">F253/IF(Varsayimlar!$B$21=1,1.3,1)</f>
        <v>7.69230769230769</v>
      </c>
      <c r="I253" s="51" t="n">
        <v>508.65</v>
      </c>
      <c r="J253" s="28" t="n">
        <f aca="false">H253*I253</f>
        <v>3912.69230769231</v>
      </c>
      <c r="K253" s="52" t="s">
        <v>548</v>
      </c>
      <c r="L253" s="7" t="s">
        <v>1963</v>
      </c>
      <c r="M253" s="7" t="s">
        <v>1964</v>
      </c>
    </row>
    <row r="254" customFormat="false" ht="52.2" hidden="false" customHeight="false" outlineLevel="1" collapsed="false">
      <c r="A254" s="27"/>
      <c r="B254" s="27" t="s">
        <v>1977</v>
      </c>
      <c r="C254" s="7" t="s">
        <v>1965</v>
      </c>
      <c r="D254" s="27" t="s">
        <v>727</v>
      </c>
      <c r="E254" s="50" t="n">
        <v>4</v>
      </c>
      <c r="F254" s="50" t="n">
        <v>4</v>
      </c>
      <c r="G254" s="27" t="s">
        <v>829</v>
      </c>
      <c r="H254" s="50" t="n">
        <f aca="false">F254/IF(Varsayimlar!$B$21=1,1.3,1)</f>
        <v>3.07692307692308</v>
      </c>
      <c r="I254" s="51" t="n">
        <v>770.87</v>
      </c>
      <c r="J254" s="28" t="n">
        <f aca="false">H254*I254</f>
        <v>2371.90769230769</v>
      </c>
      <c r="K254" s="52" t="s">
        <v>548</v>
      </c>
      <c r="L254" s="7" t="s">
        <v>1966</v>
      </c>
      <c r="M254" s="7" t="s">
        <v>1967</v>
      </c>
    </row>
    <row r="255" customFormat="false" ht="52.2" hidden="false" customHeight="false" outlineLevel="1" collapsed="false">
      <c r="A255" s="27"/>
      <c r="B255" s="27" t="s">
        <v>1977</v>
      </c>
      <c r="C255" s="7" t="s">
        <v>1968</v>
      </c>
      <c r="D255" s="27" t="s">
        <v>853</v>
      </c>
      <c r="E255" s="50" t="n">
        <v>751</v>
      </c>
      <c r="F255" s="50" t="n">
        <v>751</v>
      </c>
      <c r="G255" s="27" t="s">
        <v>865</v>
      </c>
      <c r="H255" s="50" t="n">
        <f aca="false">F255/IF(Varsayimlar!$B$21=1,1.43,1)</f>
        <v>525.174825174825</v>
      </c>
      <c r="I255" s="51" t="n">
        <v>2.48</v>
      </c>
      <c r="J255" s="28" t="n">
        <f aca="false">H255*I255</f>
        <v>1302.43356643357</v>
      </c>
      <c r="K255" s="52" t="s">
        <v>548</v>
      </c>
      <c r="L255" s="7" t="s">
        <v>1818</v>
      </c>
      <c r="M255" s="7" t="s">
        <v>1729</v>
      </c>
    </row>
    <row r="256" customFormat="false" ht="102.95" hidden="false" customHeight="false" outlineLevel="1" collapsed="false">
      <c r="A256" s="27"/>
      <c r="B256" s="27" t="s">
        <v>1977</v>
      </c>
      <c r="C256" s="7" t="s">
        <v>1969</v>
      </c>
      <c r="D256" s="27" t="s">
        <v>853</v>
      </c>
      <c r="E256" s="50" t="n">
        <v>225</v>
      </c>
      <c r="F256" s="50" t="n">
        <v>225</v>
      </c>
      <c r="G256" s="27" t="s">
        <v>767</v>
      </c>
      <c r="H256" s="50" t="n">
        <f aca="false">F256</f>
        <v>225</v>
      </c>
      <c r="I256" s="51" t="n">
        <v>1.84</v>
      </c>
      <c r="J256" s="28" t="n">
        <f aca="false">H256*I256</f>
        <v>414</v>
      </c>
      <c r="K256" s="52" t="s">
        <v>548</v>
      </c>
      <c r="L256" s="7" t="s">
        <v>1970</v>
      </c>
      <c r="M256" s="7" t="s">
        <v>1945</v>
      </c>
    </row>
    <row r="257" customFormat="false" ht="64.9" hidden="false" customHeight="false" outlineLevel="1" collapsed="false">
      <c r="A257" s="27"/>
      <c r="B257" s="27" t="s">
        <v>1977</v>
      </c>
      <c r="C257" s="7" t="s">
        <v>1971</v>
      </c>
      <c r="D257" s="27" t="s">
        <v>732</v>
      </c>
      <c r="E257" s="50" t="n">
        <v>10</v>
      </c>
      <c r="F257" s="50" t="n">
        <v>10</v>
      </c>
      <c r="G257" s="27" t="s">
        <v>767</v>
      </c>
      <c r="H257" s="50" t="n">
        <f aca="false">F257</f>
        <v>10</v>
      </c>
      <c r="I257" s="51" t="n">
        <v>94.19</v>
      </c>
      <c r="J257" s="28" t="n">
        <f aca="false">H257*I257</f>
        <v>941.9</v>
      </c>
      <c r="K257" s="52" t="s">
        <v>548</v>
      </c>
      <c r="L257" s="7" t="s">
        <v>1972</v>
      </c>
      <c r="M257" s="7" t="s">
        <v>1973</v>
      </c>
    </row>
    <row r="258" customFormat="false" ht="52.2" hidden="false" customHeight="false" outlineLevel="1" collapsed="false">
      <c r="A258" s="27"/>
      <c r="B258" s="27" t="s">
        <v>1977</v>
      </c>
      <c r="C258" s="7" t="s">
        <v>1974</v>
      </c>
      <c r="D258" s="27" t="s">
        <v>727</v>
      </c>
      <c r="E258" s="50" t="n">
        <v>1</v>
      </c>
      <c r="F258" s="50" t="n">
        <v>1</v>
      </c>
      <c r="G258" s="27" t="s">
        <v>767</v>
      </c>
      <c r="H258" s="50" t="n">
        <f aca="false">F258</f>
        <v>1</v>
      </c>
      <c r="I258" s="51" t="n">
        <v>2813.16</v>
      </c>
      <c r="J258" s="28" t="n">
        <f aca="false">H258*I258</f>
        <v>2813.16</v>
      </c>
      <c r="K258" s="52" t="s">
        <v>548</v>
      </c>
      <c r="L258" s="7" t="s">
        <v>1978</v>
      </c>
      <c r="M258" s="7" t="s">
        <v>1976</v>
      </c>
    </row>
    <row r="259" customFormat="false" ht="15" hidden="false" customHeight="false" outlineLevel="0" collapsed="false">
      <c r="A259" s="48" t="s">
        <v>289</v>
      </c>
      <c r="B259" s="48" t="s">
        <v>1979</v>
      </c>
      <c r="C259" s="48" t="s">
        <v>290</v>
      </c>
      <c r="D259" s="48"/>
      <c r="E259" s="48"/>
      <c r="F259" s="48"/>
      <c r="G259" s="48"/>
      <c r="H259" s="48" t="s">
        <v>765</v>
      </c>
      <c r="I259" s="49" t="n">
        <f aca="false">SUMPRODUCT(E260:E265,I260:I265)</f>
        <v>14201.52</v>
      </c>
      <c r="J259" s="49" t="n">
        <f aca="false">SUM(J260:J265)</f>
        <v>11756.0935664336</v>
      </c>
      <c r="K259" s="48"/>
      <c r="L259" s="48"/>
      <c r="M259" s="48"/>
    </row>
    <row r="260" customFormat="false" ht="77.6" hidden="false" customHeight="false" outlineLevel="1" collapsed="false">
      <c r="A260" s="27"/>
      <c r="B260" s="27" t="s">
        <v>1979</v>
      </c>
      <c r="C260" s="7" t="s">
        <v>1962</v>
      </c>
      <c r="D260" s="27" t="s">
        <v>727</v>
      </c>
      <c r="E260" s="50" t="n">
        <v>10</v>
      </c>
      <c r="F260" s="50" t="n">
        <v>10</v>
      </c>
      <c r="G260" s="27" t="s">
        <v>829</v>
      </c>
      <c r="H260" s="50" t="n">
        <f aca="false">F260/IF(Varsayimlar!$B$21=1,1.3,1)</f>
        <v>7.69230769230769</v>
      </c>
      <c r="I260" s="51" t="n">
        <v>508.65</v>
      </c>
      <c r="J260" s="28" t="n">
        <f aca="false">H260*I260</f>
        <v>3912.69230769231</v>
      </c>
      <c r="K260" s="52" t="s">
        <v>548</v>
      </c>
      <c r="L260" s="7" t="s">
        <v>1963</v>
      </c>
      <c r="M260" s="7" t="s">
        <v>1964</v>
      </c>
    </row>
    <row r="261" customFormat="false" ht="52.2" hidden="false" customHeight="false" outlineLevel="1" collapsed="false">
      <c r="A261" s="27"/>
      <c r="B261" s="27" t="s">
        <v>1979</v>
      </c>
      <c r="C261" s="7" t="s">
        <v>1965</v>
      </c>
      <c r="D261" s="27" t="s">
        <v>727</v>
      </c>
      <c r="E261" s="50" t="n">
        <v>4</v>
      </c>
      <c r="F261" s="50" t="n">
        <v>4</v>
      </c>
      <c r="G261" s="27" t="s">
        <v>829</v>
      </c>
      <c r="H261" s="50" t="n">
        <f aca="false">F261/IF(Varsayimlar!$B$21=1,1.3,1)</f>
        <v>3.07692307692308</v>
      </c>
      <c r="I261" s="51" t="n">
        <v>770.87</v>
      </c>
      <c r="J261" s="28" t="n">
        <f aca="false">H261*I261</f>
        <v>2371.90769230769</v>
      </c>
      <c r="K261" s="52" t="s">
        <v>548</v>
      </c>
      <c r="L261" s="7" t="s">
        <v>1966</v>
      </c>
      <c r="M261" s="7" t="s">
        <v>1967</v>
      </c>
    </row>
    <row r="262" customFormat="false" ht="52.2" hidden="false" customHeight="false" outlineLevel="1" collapsed="false">
      <c r="A262" s="27"/>
      <c r="B262" s="27" t="s">
        <v>1979</v>
      </c>
      <c r="C262" s="7" t="s">
        <v>1968</v>
      </c>
      <c r="D262" s="27" t="s">
        <v>853</v>
      </c>
      <c r="E262" s="50" t="n">
        <v>751</v>
      </c>
      <c r="F262" s="50" t="n">
        <v>751</v>
      </c>
      <c r="G262" s="27" t="s">
        <v>865</v>
      </c>
      <c r="H262" s="50" t="n">
        <f aca="false">F262/IF(Varsayimlar!$B$21=1,1.43,1)</f>
        <v>525.174825174825</v>
      </c>
      <c r="I262" s="51" t="n">
        <v>2.48</v>
      </c>
      <c r="J262" s="28" t="n">
        <f aca="false">H262*I262</f>
        <v>1302.43356643357</v>
      </c>
      <c r="K262" s="52" t="s">
        <v>548</v>
      </c>
      <c r="L262" s="7" t="s">
        <v>1818</v>
      </c>
      <c r="M262" s="7" t="s">
        <v>1729</v>
      </c>
    </row>
    <row r="263" customFormat="false" ht="102.95" hidden="false" customHeight="false" outlineLevel="1" collapsed="false">
      <c r="A263" s="27"/>
      <c r="B263" s="27" t="s">
        <v>1979</v>
      </c>
      <c r="C263" s="7" t="s">
        <v>1969</v>
      </c>
      <c r="D263" s="27" t="s">
        <v>853</v>
      </c>
      <c r="E263" s="50" t="n">
        <v>225</v>
      </c>
      <c r="F263" s="50" t="n">
        <v>225</v>
      </c>
      <c r="G263" s="27" t="s">
        <v>767</v>
      </c>
      <c r="H263" s="50" t="n">
        <f aca="false">F263</f>
        <v>225</v>
      </c>
      <c r="I263" s="51" t="n">
        <v>1.84</v>
      </c>
      <c r="J263" s="28" t="n">
        <f aca="false">H263*I263</f>
        <v>414</v>
      </c>
      <c r="K263" s="52" t="s">
        <v>548</v>
      </c>
      <c r="L263" s="7" t="s">
        <v>1970</v>
      </c>
      <c r="M263" s="7" t="s">
        <v>1945</v>
      </c>
    </row>
    <row r="264" customFormat="false" ht="64.9" hidden="false" customHeight="false" outlineLevel="1" collapsed="false">
      <c r="A264" s="27"/>
      <c r="B264" s="27" t="s">
        <v>1979</v>
      </c>
      <c r="C264" s="7" t="s">
        <v>1971</v>
      </c>
      <c r="D264" s="27" t="s">
        <v>732</v>
      </c>
      <c r="E264" s="50" t="n">
        <v>10</v>
      </c>
      <c r="F264" s="50" t="n">
        <v>10</v>
      </c>
      <c r="G264" s="27" t="s">
        <v>767</v>
      </c>
      <c r="H264" s="50" t="n">
        <f aca="false">F264</f>
        <v>10</v>
      </c>
      <c r="I264" s="51" t="n">
        <v>94.19</v>
      </c>
      <c r="J264" s="28" t="n">
        <f aca="false">H264*I264</f>
        <v>941.9</v>
      </c>
      <c r="K264" s="52" t="s">
        <v>548</v>
      </c>
      <c r="L264" s="7" t="s">
        <v>1972</v>
      </c>
      <c r="M264" s="7" t="s">
        <v>1973</v>
      </c>
    </row>
    <row r="265" customFormat="false" ht="52.2" hidden="false" customHeight="false" outlineLevel="1" collapsed="false">
      <c r="A265" s="27"/>
      <c r="B265" s="27" t="s">
        <v>1979</v>
      </c>
      <c r="C265" s="7" t="s">
        <v>1974</v>
      </c>
      <c r="D265" s="27" t="s">
        <v>727</v>
      </c>
      <c r="E265" s="50" t="n">
        <v>1</v>
      </c>
      <c r="F265" s="50" t="n">
        <v>1</v>
      </c>
      <c r="G265" s="27" t="s">
        <v>767</v>
      </c>
      <c r="H265" s="50" t="n">
        <f aca="false">F265</f>
        <v>1</v>
      </c>
      <c r="I265" s="51" t="n">
        <v>2813.16</v>
      </c>
      <c r="J265" s="28" t="n">
        <f aca="false">H265*I265</f>
        <v>2813.16</v>
      </c>
      <c r="K265" s="52" t="s">
        <v>548</v>
      </c>
      <c r="L265" s="7" t="s">
        <v>1978</v>
      </c>
      <c r="M265" s="7" t="s">
        <v>1976</v>
      </c>
    </row>
    <row r="266" customFormat="false" ht="15" hidden="false" customHeight="false" outlineLevel="0" collapsed="false">
      <c r="A266" s="48" t="s">
        <v>291</v>
      </c>
      <c r="B266" s="48" t="s">
        <v>1980</v>
      </c>
      <c r="C266" s="48" t="s">
        <v>292</v>
      </c>
      <c r="D266" s="48"/>
      <c r="E266" s="48"/>
      <c r="F266" s="48"/>
      <c r="G266" s="48"/>
      <c r="H266" s="48" t="s">
        <v>765</v>
      </c>
      <c r="I266" s="49" t="n">
        <f aca="false">SUMPRODUCT(E267:E272,I267:I272)</f>
        <v>14201.52</v>
      </c>
      <c r="J266" s="49" t="n">
        <f aca="false">SUM(J267:J272)</f>
        <v>11756.0935664336</v>
      </c>
      <c r="K266" s="48"/>
      <c r="L266" s="48"/>
      <c r="M266" s="48"/>
    </row>
    <row r="267" customFormat="false" ht="77.6" hidden="false" customHeight="false" outlineLevel="1" collapsed="false">
      <c r="A267" s="27"/>
      <c r="B267" s="27" t="s">
        <v>1980</v>
      </c>
      <c r="C267" s="7" t="s">
        <v>1962</v>
      </c>
      <c r="D267" s="27" t="s">
        <v>727</v>
      </c>
      <c r="E267" s="50" t="n">
        <v>10</v>
      </c>
      <c r="F267" s="50" t="n">
        <v>10</v>
      </c>
      <c r="G267" s="27" t="s">
        <v>829</v>
      </c>
      <c r="H267" s="50" t="n">
        <f aca="false">F267/IF(Varsayimlar!$B$21=1,1.3,1)</f>
        <v>7.69230769230769</v>
      </c>
      <c r="I267" s="51" t="n">
        <v>508.65</v>
      </c>
      <c r="J267" s="28" t="n">
        <f aca="false">H267*I267</f>
        <v>3912.69230769231</v>
      </c>
      <c r="K267" s="52" t="s">
        <v>548</v>
      </c>
      <c r="L267" s="7" t="s">
        <v>1963</v>
      </c>
      <c r="M267" s="7" t="s">
        <v>1964</v>
      </c>
    </row>
    <row r="268" customFormat="false" ht="52.2" hidden="false" customHeight="false" outlineLevel="1" collapsed="false">
      <c r="A268" s="27"/>
      <c r="B268" s="27" t="s">
        <v>1980</v>
      </c>
      <c r="C268" s="7" t="s">
        <v>1965</v>
      </c>
      <c r="D268" s="27" t="s">
        <v>727</v>
      </c>
      <c r="E268" s="50" t="n">
        <v>4</v>
      </c>
      <c r="F268" s="50" t="n">
        <v>4</v>
      </c>
      <c r="G268" s="27" t="s">
        <v>829</v>
      </c>
      <c r="H268" s="50" t="n">
        <f aca="false">F268/IF(Varsayimlar!$B$21=1,1.3,1)</f>
        <v>3.07692307692308</v>
      </c>
      <c r="I268" s="51" t="n">
        <v>770.87</v>
      </c>
      <c r="J268" s="28" t="n">
        <f aca="false">H268*I268</f>
        <v>2371.90769230769</v>
      </c>
      <c r="K268" s="52" t="s">
        <v>548</v>
      </c>
      <c r="L268" s="7" t="s">
        <v>1966</v>
      </c>
      <c r="M268" s="7" t="s">
        <v>1967</v>
      </c>
    </row>
    <row r="269" customFormat="false" ht="52.2" hidden="false" customHeight="false" outlineLevel="1" collapsed="false">
      <c r="A269" s="27"/>
      <c r="B269" s="27" t="s">
        <v>1980</v>
      </c>
      <c r="C269" s="7" t="s">
        <v>1968</v>
      </c>
      <c r="D269" s="27" t="s">
        <v>853</v>
      </c>
      <c r="E269" s="50" t="n">
        <v>751</v>
      </c>
      <c r="F269" s="50" t="n">
        <v>751</v>
      </c>
      <c r="G269" s="27" t="s">
        <v>865</v>
      </c>
      <c r="H269" s="50" t="n">
        <f aca="false">F269/IF(Varsayimlar!$B$21=1,1.43,1)</f>
        <v>525.174825174825</v>
      </c>
      <c r="I269" s="51" t="n">
        <v>2.48</v>
      </c>
      <c r="J269" s="28" t="n">
        <f aca="false">H269*I269</f>
        <v>1302.43356643357</v>
      </c>
      <c r="K269" s="52" t="s">
        <v>548</v>
      </c>
      <c r="L269" s="7" t="s">
        <v>1818</v>
      </c>
      <c r="M269" s="7" t="s">
        <v>1729</v>
      </c>
    </row>
    <row r="270" customFormat="false" ht="102.95" hidden="false" customHeight="false" outlineLevel="1" collapsed="false">
      <c r="A270" s="27"/>
      <c r="B270" s="27" t="s">
        <v>1980</v>
      </c>
      <c r="C270" s="7" t="s">
        <v>1969</v>
      </c>
      <c r="D270" s="27" t="s">
        <v>853</v>
      </c>
      <c r="E270" s="50" t="n">
        <v>225</v>
      </c>
      <c r="F270" s="50" t="n">
        <v>225</v>
      </c>
      <c r="G270" s="27" t="s">
        <v>767</v>
      </c>
      <c r="H270" s="50" t="n">
        <f aca="false">F270</f>
        <v>225</v>
      </c>
      <c r="I270" s="51" t="n">
        <v>1.84</v>
      </c>
      <c r="J270" s="28" t="n">
        <f aca="false">H270*I270</f>
        <v>414</v>
      </c>
      <c r="K270" s="52" t="s">
        <v>548</v>
      </c>
      <c r="L270" s="7" t="s">
        <v>1970</v>
      </c>
      <c r="M270" s="7" t="s">
        <v>1945</v>
      </c>
    </row>
    <row r="271" customFormat="false" ht="64.9" hidden="false" customHeight="false" outlineLevel="1" collapsed="false">
      <c r="A271" s="27"/>
      <c r="B271" s="27" t="s">
        <v>1980</v>
      </c>
      <c r="C271" s="7" t="s">
        <v>1971</v>
      </c>
      <c r="D271" s="27" t="s">
        <v>732</v>
      </c>
      <c r="E271" s="50" t="n">
        <v>10</v>
      </c>
      <c r="F271" s="50" t="n">
        <v>10</v>
      </c>
      <c r="G271" s="27" t="s">
        <v>767</v>
      </c>
      <c r="H271" s="50" t="n">
        <f aca="false">F271</f>
        <v>10</v>
      </c>
      <c r="I271" s="51" t="n">
        <v>94.19</v>
      </c>
      <c r="J271" s="28" t="n">
        <f aca="false">H271*I271</f>
        <v>941.9</v>
      </c>
      <c r="K271" s="52" t="s">
        <v>548</v>
      </c>
      <c r="L271" s="7" t="s">
        <v>1972</v>
      </c>
      <c r="M271" s="7" t="s">
        <v>1973</v>
      </c>
    </row>
    <row r="272" customFormat="false" ht="52.2" hidden="false" customHeight="false" outlineLevel="1" collapsed="false">
      <c r="A272" s="27"/>
      <c r="B272" s="27" t="s">
        <v>1980</v>
      </c>
      <c r="C272" s="7" t="s">
        <v>1974</v>
      </c>
      <c r="D272" s="27" t="s">
        <v>727</v>
      </c>
      <c r="E272" s="50" t="n">
        <v>1</v>
      </c>
      <c r="F272" s="50" t="n">
        <v>1</v>
      </c>
      <c r="G272" s="27" t="s">
        <v>767</v>
      </c>
      <c r="H272" s="50" t="n">
        <f aca="false">F272</f>
        <v>1</v>
      </c>
      <c r="I272" s="51" t="n">
        <v>2813.16</v>
      </c>
      <c r="J272" s="28" t="n">
        <f aca="false">H272*I272</f>
        <v>2813.16</v>
      </c>
      <c r="K272" s="52" t="s">
        <v>548</v>
      </c>
      <c r="L272" s="7" t="s">
        <v>1978</v>
      </c>
      <c r="M272" s="7" t="s">
        <v>1976</v>
      </c>
    </row>
    <row r="273" customFormat="false" ht="15" hidden="false" customHeight="false" outlineLevel="0" collapsed="false">
      <c r="A273" s="48" t="s">
        <v>293</v>
      </c>
      <c r="B273" s="48" t="s">
        <v>1981</v>
      </c>
      <c r="C273" s="48" t="s">
        <v>294</v>
      </c>
      <c r="D273" s="48"/>
      <c r="E273" s="48"/>
      <c r="F273" s="48"/>
      <c r="G273" s="48"/>
      <c r="H273" s="48" t="s">
        <v>765</v>
      </c>
      <c r="I273" s="49" t="n">
        <f aca="false">SUMPRODUCT(E274:E279,I274:I279)</f>
        <v>14201.52</v>
      </c>
      <c r="J273" s="49" t="n">
        <f aca="false">SUM(J274:J279)</f>
        <v>11756.0935664336</v>
      </c>
      <c r="K273" s="48"/>
      <c r="L273" s="48"/>
      <c r="M273" s="48"/>
    </row>
    <row r="274" customFormat="false" ht="77.6" hidden="false" customHeight="false" outlineLevel="1" collapsed="false">
      <c r="A274" s="27"/>
      <c r="B274" s="27" t="s">
        <v>1981</v>
      </c>
      <c r="C274" s="7" t="s">
        <v>1962</v>
      </c>
      <c r="D274" s="27" t="s">
        <v>727</v>
      </c>
      <c r="E274" s="50" t="n">
        <v>10</v>
      </c>
      <c r="F274" s="50" t="n">
        <v>10</v>
      </c>
      <c r="G274" s="27" t="s">
        <v>829</v>
      </c>
      <c r="H274" s="50" t="n">
        <f aca="false">F274/IF(Varsayimlar!$B$21=1,1.3,1)</f>
        <v>7.69230769230769</v>
      </c>
      <c r="I274" s="51" t="n">
        <v>508.65</v>
      </c>
      <c r="J274" s="28" t="n">
        <f aca="false">H274*I274</f>
        <v>3912.69230769231</v>
      </c>
      <c r="K274" s="52" t="s">
        <v>548</v>
      </c>
      <c r="L274" s="7" t="s">
        <v>1963</v>
      </c>
      <c r="M274" s="7" t="s">
        <v>1964</v>
      </c>
    </row>
    <row r="275" customFormat="false" ht="52.2" hidden="false" customHeight="false" outlineLevel="1" collapsed="false">
      <c r="A275" s="27"/>
      <c r="B275" s="27" t="s">
        <v>1981</v>
      </c>
      <c r="C275" s="7" t="s">
        <v>1965</v>
      </c>
      <c r="D275" s="27" t="s">
        <v>727</v>
      </c>
      <c r="E275" s="50" t="n">
        <v>4</v>
      </c>
      <c r="F275" s="50" t="n">
        <v>4</v>
      </c>
      <c r="G275" s="27" t="s">
        <v>829</v>
      </c>
      <c r="H275" s="50" t="n">
        <f aca="false">F275/IF(Varsayimlar!$B$21=1,1.3,1)</f>
        <v>3.07692307692308</v>
      </c>
      <c r="I275" s="51" t="n">
        <v>770.87</v>
      </c>
      <c r="J275" s="28" t="n">
        <f aca="false">H275*I275</f>
        <v>2371.90769230769</v>
      </c>
      <c r="K275" s="52" t="s">
        <v>548</v>
      </c>
      <c r="L275" s="7" t="s">
        <v>1966</v>
      </c>
      <c r="M275" s="7" t="s">
        <v>1967</v>
      </c>
    </row>
    <row r="276" customFormat="false" ht="52.2" hidden="false" customHeight="false" outlineLevel="1" collapsed="false">
      <c r="A276" s="27"/>
      <c r="B276" s="27" t="s">
        <v>1981</v>
      </c>
      <c r="C276" s="7" t="s">
        <v>1968</v>
      </c>
      <c r="D276" s="27" t="s">
        <v>853</v>
      </c>
      <c r="E276" s="50" t="n">
        <v>751</v>
      </c>
      <c r="F276" s="50" t="n">
        <v>751</v>
      </c>
      <c r="G276" s="27" t="s">
        <v>865</v>
      </c>
      <c r="H276" s="50" t="n">
        <f aca="false">F276/IF(Varsayimlar!$B$21=1,1.43,1)</f>
        <v>525.174825174825</v>
      </c>
      <c r="I276" s="51" t="n">
        <v>2.48</v>
      </c>
      <c r="J276" s="28" t="n">
        <f aca="false">H276*I276</f>
        <v>1302.43356643357</v>
      </c>
      <c r="K276" s="52" t="s">
        <v>548</v>
      </c>
      <c r="L276" s="7" t="s">
        <v>1818</v>
      </c>
      <c r="M276" s="7" t="s">
        <v>1729</v>
      </c>
    </row>
    <row r="277" customFormat="false" ht="102.95" hidden="false" customHeight="false" outlineLevel="1" collapsed="false">
      <c r="A277" s="27"/>
      <c r="B277" s="27" t="s">
        <v>1981</v>
      </c>
      <c r="C277" s="7" t="s">
        <v>1969</v>
      </c>
      <c r="D277" s="27" t="s">
        <v>853</v>
      </c>
      <c r="E277" s="50" t="n">
        <v>225</v>
      </c>
      <c r="F277" s="50" t="n">
        <v>225</v>
      </c>
      <c r="G277" s="27" t="s">
        <v>767</v>
      </c>
      <c r="H277" s="50" t="n">
        <f aca="false">F277</f>
        <v>225</v>
      </c>
      <c r="I277" s="51" t="n">
        <v>1.84</v>
      </c>
      <c r="J277" s="28" t="n">
        <f aca="false">H277*I277</f>
        <v>414</v>
      </c>
      <c r="K277" s="52" t="s">
        <v>548</v>
      </c>
      <c r="L277" s="7" t="s">
        <v>1970</v>
      </c>
      <c r="M277" s="7" t="s">
        <v>1945</v>
      </c>
    </row>
    <row r="278" customFormat="false" ht="64.9" hidden="false" customHeight="false" outlineLevel="1" collapsed="false">
      <c r="A278" s="27"/>
      <c r="B278" s="27" t="s">
        <v>1981</v>
      </c>
      <c r="C278" s="7" t="s">
        <v>1971</v>
      </c>
      <c r="D278" s="27" t="s">
        <v>732</v>
      </c>
      <c r="E278" s="50" t="n">
        <v>10</v>
      </c>
      <c r="F278" s="50" t="n">
        <v>10</v>
      </c>
      <c r="G278" s="27" t="s">
        <v>767</v>
      </c>
      <c r="H278" s="50" t="n">
        <f aca="false">F278</f>
        <v>10</v>
      </c>
      <c r="I278" s="51" t="n">
        <v>94.19</v>
      </c>
      <c r="J278" s="28" t="n">
        <f aca="false">H278*I278</f>
        <v>941.9</v>
      </c>
      <c r="K278" s="52" t="s">
        <v>548</v>
      </c>
      <c r="L278" s="7" t="s">
        <v>1972</v>
      </c>
      <c r="M278" s="7" t="s">
        <v>1973</v>
      </c>
    </row>
    <row r="279" customFormat="false" ht="52.2" hidden="false" customHeight="false" outlineLevel="1" collapsed="false">
      <c r="A279" s="27"/>
      <c r="B279" s="27" t="s">
        <v>1981</v>
      </c>
      <c r="C279" s="7" t="s">
        <v>1974</v>
      </c>
      <c r="D279" s="27" t="s">
        <v>727</v>
      </c>
      <c r="E279" s="50" t="n">
        <v>1</v>
      </c>
      <c r="F279" s="50" t="n">
        <v>1</v>
      </c>
      <c r="G279" s="27" t="s">
        <v>767</v>
      </c>
      <c r="H279" s="50" t="n">
        <f aca="false">F279</f>
        <v>1</v>
      </c>
      <c r="I279" s="51" t="n">
        <v>2813.16</v>
      </c>
      <c r="J279" s="28" t="n">
        <f aca="false">H279*I279</f>
        <v>2813.16</v>
      </c>
      <c r="K279" s="52" t="s">
        <v>548</v>
      </c>
      <c r="L279" s="7" t="s">
        <v>1978</v>
      </c>
      <c r="M279" s="7" t="s">
        <v>1976</v>
      </c>
    </row>
    <row r="280" customFormat="false" ht="15" hidden="false" customHeight="false" outlineLevel="0" collapsed="false">
      <c r="A280" s="48" t="s">
        <v>295</v>
      </c>
      <c r="B280" s="48" t="s">
        <v>1982</v>
      </c>
      <c r="C280" s="48" t="s">
        <v>296</v>
      </c>
      <c r="D280" s="48"/>
      <c r="E280" s="48"/>
      <c r="F280" s="48"/>
      <c r="G280" s="48"/>
      <c r="H280" s="48" t="s">
        <v>765</v>
      </c>
      <c r="I280" s="49" t="n">
        <f aca="false">SUMPRODUCT(E281:E286,I281:I286)</f>
        <v>10257.37</v>
      </c>
      <c r="J280" s="49" t="n">
        <f aca="false">SUM(J281:J286)</f>
        <v>8635.35300699301</v>
      </c>
      <c r="K280" s="48"/>
      <c r="L280" s="48"/>
      <c r="M280" s="48"/>
    </row>
    <row r="281" customFormat="false" ht="77.6" hidden="false" customHeight="false" outlineLevel="1" collapsed="false">
      <c r="A281" s="27"/>
      <c r="B281" s="27" t="s">
        <v>1982</v>
      </c>
      <c r="C281" s="7" t="s">
        <v>1962</v>
      </c>
      <c r="D281" s="27" t="s">
        <v>727</v>
      </c>
      <c r="E281" s="50" t="n">
        <v>6</v>
      </c>
      <c r="F281" s="50" t="n">
        <v>6</v>
      </c>
      <c r="G281" s="27" t="s">
        <v>829</v>
      </c>
      <c r="H281" s="50" t="n">
        <f aca="false">F281/IF(Varsayimlar!$B$21=1,1.3,1)</f>
        <v>4.61538461538462</v>
      </c>
      <c r="I281" s="51" t="n">
        <v>508.65</v>
      </c>
      <c r="J281" s="28" t="n">
        <f aca="false">H281*I281</f>
        <v>2347.61538461538</v>
      </c>
      <c r="K281" s="52" t="s">
        <v>548</v>
      </c>
      <c r="L281" s="7" t="s">
        <v>1963</v>
      </c>
      <c r="M281" s="7" t="s">
        <v>1964</v>
      </c>
    </row>
    <row r="282" customFormat="false" ht="52.2" hidden="false" customHeight="false" outlineLevel="1" collapsed="false">
      <c r="A282" s="27"/>
      <c r="B282" s="27" t="s">
        <v>1982</v>
      </c>
      <c r="C282" s="7" t="s">
        <v>1965</v>
      </c>
      <c r="D282" s="27" t="s">
        <v>727</v>
      </c>
      <c r="E282" s="50" t="n">
        <v>3</v>
      </c>
      <c r="F282" s="50" t="n">
        <v>3</v>
      </c>
      <c r="G282" s="27" t="s">
        <v>829</v>
      </c>
      <c r="H282" s="50" t="n">
        <f aca="false">F282/IF(Varsayimlar!$B$21=1,1.3,1)</f>
        <v>2.30769230769231</v>
      </c>
      <c r="I282" s="51" t="n">
        <v>770.87</v>
      </c>
      <c r="J282" s="28" t="n">
        <f aca="false">H282*I282</f>
        <v>1778.93076923077</v>
      </c>
      <c r="K282" s="52" t="s">
        <v>548</v>
      </c>
      <c r="L282" s="7" t="s">
        <v>1966</v>
      </c>
      <c r="M282" s="7" t="s">
        <v>1967</v>
      </c>
    </row>
    <row r="283" customFormat="false" ht="52.2" hidden="false" customHeight="false" outlineLevel="1" collapsed="false">
      <c r="A283" s="27"/>
      <c r="B283" s="27" t="s">
        <v>1982</v>
      </c>
      <c r="C283" s="7" t="s">
        <v>1968</v>
      </c>
      <c r="D283" s="27" t="s">
        <v>853</v>
      </c>
      <c r="E283" s="50" t="n">
        <v>515</v>
      </c>
      <c r="F283" s="50" t="n">
        <v>515</v>
      </c>
      <c r="G283" s="27" t="s">
        <v>865</v>
      </c>
      <c r="H283" s="50" t="n">
        <f aca="false">F283/IF(Varsayimlar!$B$21=1,1.43,1)</f>
        <v>360.13986013986</v>
      </c>
      <c r="I283" s="51" t="n">
        <v>2.48</v>
      </c>
      <c r="J283" s="28" t="n">
        <f aca="false">H283*I283</f>
        <v>893.146853146853</v>
      </c>
      <c r="K283" s="52" t="s">
        <v>548</v>
      </c>
      <c r="L283" s="7" t="s">
        <v>1818</v>
      </c>
      <c r="M283" s="7" t="s">
        <v>1729</v>
      </c>
    </row>
    <row r="284" customFormat="false" ht="102.95" hidden="false" customHeight="false" outlineLevel="1" collapsed="false">
      <c r="A284" s="27"/>
      <c r="B284" s="27" t="s">
        <v>1982</v>
      </c>
      <c r="C284" s="7" t="s">
        <v>1969</v>
      </c>
      <c r="D284" s="27" t="s">
        <v>853</v>
      </c>
      <c r="E284" s="50" t="n">
        <v>129</v>
      </c>
      <c r="F284" s="50" t="n">
        <v>129</v>
      </c>
      <c r="G284" s="27" t="s">
        <v>767</v>
      </c>
      <c r="H284" s="50" t="n">
        <f aca="false">F284</f>
        <v>129</v>
      </c>
      <c r="I284" s="51" t="n">
        <v>1.84</v>
      </c>
      <c r="J284" s="28" t="n">
        <f aca="false">H284*I284</f>
        <v>237.36</v>
      </c>
      <c r="K284" s="52" t="s">
        <v>548</v>
      </c>
      <c r="L284" s="7" t="s">
        <v>1970</v>
      </c>
      <c r="M284" s="7" t="s">
        <v>1945</v>
      </c>
    </row>
    <row r="285" customFormat="false" ht="64.9" hidden="false" customHeight="false" outlineLevel="1" collapsed="false">
      <c r="A285" s="27"/>
      <c r="B285" s="27" t="s">
        <v>1982</v>
      </c>
      <c r="C285" s="7" t="s">
        <v>1971</v>
      </c>
      <c r="D285" s="27" t="s">
        <v>732</v>
      </c>
      <c r="E285" s="50" t="n">
        <v>6</v>
      </c>
      <c r="F285" s="50" t="n">
        <v>6</v>
      </c>
      <c r="G285" s="27" t="s">
        <v>767</v>
      </c>
      <c r="H285" s="50" t="n">
        <f aca="false">F285</f>
        <v>6</v>
      </c>
      <c r="I285" s="51" t="n">
        <v>94.19</v>
      </c>
      <c r="J285" s="28" t="n">
        <f aca="false">H285*I285</f>
        <v>565.14</v>
      </c>
      <c r="K285" s="52" t="s">
        <v>548</v>
      </c>
      <c r="L285" s="7" t="s">
        <v>1972</v>
      </c>
      <c r="M285" s="7" t="s">
        <v>1973</v>
      </c>
    </row>
    <row r="286" customFormat="false" ht="52.2" hidden="false" customHeight="false" outlineLevel="1" collapsed="false">
      <c r="A286" s="27"/>
      <c r="B286" s="27" t="s">
        <v>1982</v>
      </c>
      <c r="C286" s="7" t="s">
        <v>1974</v>
      </c>
      <c r="D286" s="27" t="s">
        <v>727</v>
      </c>
      <c r="E286" s="50" t="n">
        <v>1</v>
      </c>
      <c r="F286" s="50" t="n">
        <v>1</v>
      </c>
      <c r="G286" s="27" t="s">
        <v>767</v>
      </c>
      <c r="H286" s="50" t="n">
        <f aca="false">F286</f>
        <v>1</v>
      </c>
      <c r="I286" s="51" t="n">
        <v>2813.16</v>
      </c>
      <c r="J286" s="28" t="n">
        <f aca="false">H286*I286</f>
        <v>2813.16</v>
      </c>
      <c r="K286" s="52" t="s">
        <v>548</v>
      </c>
      <c r="L286" s="7" t="s">
        <v>1978</v>
      </c>
      <c r="M286" s="7" t="s">
        <v>1976</v>
      </c>
    </row>
    <row r="287" customFormat="false" ht="15" hidden="false" customHeight="false" outlineLevel="0" collapsed="false">
      <c r="A287" s="48" t="s">
        <v>297</v>
      </c>
      <c r="B287" s="48" t="s">
        <v>1983</v>
      </c>
      <c r="C287" s="48" t="s">
        <v>298</v>
      </c>
      <c r="D287" s="48"/>
      <c r="E287" s="48"/>
      <c r="F287" s="48"/>
      <c r="G287" s="48"/>
      <c r="H287" s="48" t="s">
        <v>765</v>
      </c>
      <c r="I287" s="49" t="n">
        <f aca="false">SUMPRODUCT(E288:E305,I288:I305)</f>
        <v>144478.58</v>
      </c>
      <c r="J287" s="49" t="n">
        <f aca="false">SUM(J288:J305)</f>
        <v>117006.831188811</v>
      </c>
      <c r="K287" s="48"/>
      <c r="L287" s="48"/>
      <c r="M287" s="48"/>
    </row>
    <row r="288" customFormat="false" ht="64.9" hidden="false" customHeight="false" outlineLevel="1" collapsed="false">
      <c r="A288" s="27"/>
      <c r="B288" s="27" t="s">
        <v>1983</v>
      </c>
      <c r="C288" s="7" t="s">
        <v>1984</v>
      </c>
      <c r="D288" s="27" t="s">
        <v>727</v>
      </c>
      <c r="E288" s="50" t="n">
        <v>25</v>
      </c>
      <c r="F288" s="50" t="n">
        <v>25</v>
      </c>
      <c r="G288" s="27" t="s">
        <v>829</v>
      </c>
      <c r="H288" s="50" t="n">
        <f aca="false">F288/IF(Varsayimlar!$B$21=1,1.3,1)</f>
        <v>19.2307692307692</v>
      </c>
      <c r="I288" s="51" t="n">
        <v>482.5</v>
      </c>
      <c r="J288" s="28" t="n">
        <f aca="false">H288*I288</f>
        <v>9278.84615384615</v>
      </c>
      <c r="K288" s="52" t="s">
        <v>548</v>
      </c>
      <c r="L288" s="7" t="s">
        <v>1985</v>
      </c>
      <c r="M288" s="7" t="s">
        <v>1964</v>
      </c>
    </row>
    <row r="289" customFormat="false" ht="64.9" hidden="false" customHeight="false" outlineLevel="1" collapsed="false">
      <c r="A289" s="27"/>
      <c r="B289" s="27" t="s">
        <v>1983</v>
      </c>
      <c r="C289" s="7" t="s">
        <v>1986</v>
      </c>
      <c r="D289" s="27" t="s">
        <v>727</v>
      </c>
      <c r="E289" s="50" t="n">
        <v>3</v>
      </c>
      <c r="F289" s="50" t="n">
        <v>3</v>
      </c>
      <c r="G289" s="27" t="s">
        <v>829</v>
      </c>
      <c r="H289" s="50" t="n">
        <f aca="false">F289/IF(Varsayimlar!$B$21=1,1.3,1)</f>
        <v>2.30769230769231</v>
      </c>
      <c r="I289" s="51" t="n">
        <v>2180.18</v>
      </c>
      <c r="J289" s="28" t="n">
        <f aca="false">H289*I289</f>
        <v>5031.18461538461</v>
      </c>
      <c r="K289" s="52" t="s">
        <v>548</v>
      </c>
      <c r="L289" s="7" t="s">
        <v>1987</v>
      </c>
      <c r="M289" s="7" t="s">
        <v>1988</v>
      </c>
    </row>
    <row r="290" customFormat="false" ht="64.9" hidden="false" customHeight="false" outlineLevel="1" collapsed="false">
      <c r="A290" s="27"/>
      <c r="B290" s="27" t="s">
        <v>1983</v>
      </c>
      <c r="C290" s="7" t="s">
        <v>1989</v>
      </c>
      <c r="D290" s="27" t="s">
        <v>853</v>
      </c>
      <c r="E290" s="50" t="n">
        <v>1670</v>
      </c>
      <c r="F290" s="50" t="n">
        <v>1670</v>
      </c>
      <c r="G290" s="27" t="s">
        <v>865</v>
      </c>
      <c r="H290" s="50" t="n">
        <f aca="false">F290/IF(Varsayimlar!$B$21=1,1.43,1)</f>
        <v>1167.83216783217</v>
      </c>
      <c r="I290" s="51" t="n">
        <v>1.82</v>
      </c>
      <c r="J290" s="28" t="n">
        <f aca="false">H290*I290</f>
        <v>2125.45454545455</v>
      </c>
      <c r="K290" s="52" t="s">
        <v>548</v>
      </c>
      <c r="L290" s="7" t="s">
        <v>1750</v>
      </c>
      <c r="M290" s="7" t="s">
        <v>1837</v>
      </c>
    </row>
    <row r="291" customFormat="false" ht="64.9" hidden="false" customHeight="false" outlineLevel="1" collapsed="false">
      <c r="A291" s="27"/>
      <c r="B291" s="27" t="s">
        <v>1983</v>
      </c>
      <c r="C291" s="7" t="s">
        <v>1990</v>
      </c>
      <c r="D291" s="27" t="s">
        <v>727</v>
      </c>
      <c r="E291" s="50" t="n">
        <v>104</v>
      </c>
      <c r="F291" s="50" t="n">
        <v>104</v>
      </c>
      <c r="G291" s="27" t="s">
        <v>829</v>
      </c>
      <c r="H291" s="50" t="n">
        <f aca="false">F291/IF(Varsayimlar!$B$21=1,1.3,1)</f>
        <v>80</v>
      </c>
      <c r="I291" s="51" t="n">
        <v>482.5</v>
      </c>
      <c r="J291" s="28" t="n">
        <f aca="false">H291*I291</f>
        <v>38600</v>
      </c>
      <c r="K291" s="52" t="s">
        <v>548</v>
      </c>
      <c r="L291" s="7" t="s">
        <v>1985</v>
      </c>
      <c r="M291" s="7" t="s">
        <v>1964</v>
      </c>
    </row>
    <row r="292" customFormat="false" ht="52.2" hidden="false" customHeight="false" outlineLevel="1" collapsed="false">
      <c r="A292" s="27"/>
      <c r="B292" s="27" t="s">
        <v>1983</v>
      </c>
      <c r="C292" s="7" t="s">
        <v>1991</v>
      </c>
      <c r="D292" s="27" t="s">
        <v>727</v>
      </c>
      <c r="E292" s="50" t="n">
        <v>21</v>
      </c>
      <c r="F292" s="50" t="n">
        <v>21</v>
      </c>
      <c r="G292" s="27" t="s">
        <v>829</v>
      </c>
      <c r="H292" s="50" t="n">
        <f aca="false">F292/IF(Varsayimlar!$B$21=1,1.3,1)</f>
        <v>16.1538461538462</v>
      </c>
      <c r="I292" s="51" t="n">
        <v>500</v>
      </c>
      <c r="J292" s="28" t="n">
        <f aca="false">H292*I292</f>
        <v>8076.92307692308</v>
      </c>
      <c r="K292" s="52" t="s">
        <v>548</v>
      </c>
      <c r="L292" s="7" t="s">
        <v>1992</v>
      </c>
      <c r="M292" s="7" t="s">
        <v>1993</v>
      </c>
    </row>
    <row r="293" customFormat="false" ht="52.2" hidden="false" customHeight="false" outlineLevel="1" collapsed="false">
      <c r="A293" s="27"/>
      <c r="B293" s="27" t="s">
        <v>1983</v>
      </c>
      <c r="C293" s="7" t="s">
        <v>1994</v>
      </c>
      <c r="D293" s="27" t="s">
        <v>727</v>
      </c>
      <c r="E293" s="50" t="n">
        <v>5</v>
      </c>
      <c r="F293" s="50" t="n">
        <v>5</v>
      </c>
      <c r="G293" s="27" t="s">
        <v>767</v>
      </c>
      <c r="H293" s="50" t="n">
        <f aca="false">F293</f>
        <v>5</v>
      </c>
      <c r="I293" s="51" t="n">
        <v>2250</v>
      </c>
      <c r="J293" s="28" t="n">
        <f aca="false">H293*I293</f>
        <v>11250</v>
      </c>
      <c r="K293" s="52" t="s">
        <v>548</v>
      </c>
      <c r="L293" s="7" t="s">
        <v>1995</v>
      </c>
      <c r="M293" s="7" t="s">
        <v>1996</v>
      </c>
    </row>
    <row r="294" customFormat="false" ht="39.55" hidden="false" customHeight="false" outlineLevel="1" collapsed="false">
      <c r="A294" s="27"/>
      <c r="B294" s="27" t="s">
        <v>1983</v>
      </c>
      <c r="C294" s="7" t="s">
        <v>1997</v>
      </c>
      <c r="D294" s="27" t="s">
        <v>727</v>
      </c>
      <c r="E294" s="50" t="n">
        <v>21</v>
      </c>
      <c r="F294" s="50" t="n">
        <v>21</v>
      </c>
      <c r="G294" s="27" t="s">
        <v>829</v>
      </c>
      <c r="H294" s="50" t="n">
        <f aca="false">F294/IF(Varsayimlar!$B$21=1,1.3,1)</f>
        <v>16.1538461538462</v>
      </c>
      <c r="I294" s="51" t="n">
        <v>908</v>
      </c>
      <c r="J294" s="28" t="n">
        <f aca="false">H294*I294</f>
        <v>14667.6923076923</v>
      </c>
      <c r="K294" s="52" t="s">
        <v>548</v>
      </c>
      <c r="L294" s="7" t="s">
        <v>1998</v>
      </c>
      <c r="M294" s="7" t="s">
        <v>1999</v>
      </c>
    </row>
    <row r="295" customFormat="false" ht="39.55" hidden="false" customHeight="false" outlineLevel="1" collapsed="false">
      <c r="A295" s="27"/>
      <c r="B295" s="27" t="s">
        <v>1983</v>
      </c>
      <c r="C295" s="7" t="s">
        <v>2000</v>
      </c>
      <c r="D295" s="27" t="s">
        <v>853</v>
      </c>
      <c r="E295" s="50" t="n">
        <v>1521</v>
      </c>
      <c r="F295" s="50" t="n">
        <v>1521</v>
      </c>
      <c r="G295" s="27" t="s">
        <v>865</v>
      </c>
      <c r="H295" s="50" t="n">
        <f aca="false">F295/IF(Varsayimlar!$B$21=1,1.43,1)</f>
        <v>1063.63636363636</v>
      </c>
      <c r="I295" s="51" t="n">
        <v>1.86</v>
      </c>
      <c r="J295" s="28" t="n">
        <f aca="false">H295*I295</f>
        <v>1978.36363636364</v>
      </c>
      <c r="K295" s="52" t="s">
        <v>548</v>
      </c>
      <c r="L295" s="7" t="s">
        <v>2001</v>
      </c>
      <c r="M295" s="7" t="s">
        <v>1751</v>
      </c>
    </row>
    <row r="296" customFormat="false" ht="52.2" hidden="false" customHeight="false" outlineLevel="1" collapsed="false">
      <c r="A296" s="27"/>
      <c r="B296" s="27" t="s">
        <v>1983</v>
      </c>
      <c r="C296" s="7" t="s">
        <v>2002</v>
      </c>
      <c r="D296" s="27" t="s">
        <v>853</v>
      </c>
      <c r="E296" s="50" t="n">
        <v>1394</v>
      </c>
      <c r="F296" s="50" t="n">
        <v>1394</v>
      </c>
      <c r="G296" s="27" t="s">
        <v>865</v>
      </c>
      <c r="H296" s="50" t="n">
        <f aca="false">F296/IF(Varsayimlar!$B$21=1,1.43,1)</f>
        <v>974.825174825175</v>
      </c>
      <c r="I296" s="51" t="n">
        <v>2.48</v>
      </c>
      <c r="J296" s="28" t="n">
        <f aca="false">H296*I296</f>
        <v>2417.56643356643</v>
      </c>
      <c r="K296" s="52" t="s">
        <v>548</v>
      </c>
      <c r="L296" s="7" t="s">
        <v>1818</v>
      </c>
      <c r="M296" s="7" t="s">
        <v>2003</v>
      </c>
    </row>
    <row r="297" customFormat="false" ht="52.2" hidden="false" customHeight="false" outlineLevel="1" collapsed="false">
      <c r="A297" s="27"/>
      <c r="B297" s="27" t="s">
        <v>1983</v>
      </c>
      <c r="C297" s="7" t="s">
        <v>2004</v>
      </c>
      <c r="D297" s="27" t="s">
        <v>853</v>
      </c>
      <c r="E297" s="50" t="n">
        <v>708</v>
      </c>
      <c r="F297" s="50" t="n">
        <v>708</v>
      </c>
      <c r="G297" s="27" t="s">
        <v>865</v>
      </c>
      <c r="H297" s="50" t="n">
        <f aca="false">F297/IF(Varsayimlar!$B$21=1,1.43,1)</f>
        <v>495.104895104895</v>
      </c>
      <c r="I297" s="51" t="n">
        <v>4.17</v>
      </c>
      <c r="J297" s="28" t="n">
        <f aca="false">H297*I297</f>
        <v>2064.58741258741</v>
      </c>
      <c r="K297" s="52" t="s">
        <v>548</v>
      </c>
      <c r="L297" s="7" t="s">
        <v>2005</v>
      </c>
      <c r="M297" s="7" t="s">
        <v>2006</v>
      </c>
    </row>
    <row r="298" customFormat="false" ht="52.2" hidden="false" customHeight="false" outlineLevel="1" collapsed="false">
      <c r="A298" s="27"/>
      <c r="B298" s="27" t="s">
        <v>1983</v>
      </c>
      <c r="C298" s="7" t="s">
        <v>2007</v>
      </c>
      <c r="D298" s="27" t="s">
        <v>727</v>
      </c>
      <c r="E298" s="50" t="n">
        <v>3</v>
      </c>
      <c r="F298" s="50" t="n">
        <v>3</v>
      </c>
      <c r="G298" s="27" t="s">
        <v>829</v>
      </c>
      <c r="H298" s="50" t="n">
        <f aca="false">F298/IF(Varsayimlar!$B$21=1,1.3,1)</f>
        <v>2.30769230769231</v>
      </c>
      <c r="I298" s="51" t="n">
        <v>770.87</v>
      </c>
      <c r="J298" s="28" t="n">
        <f aca="false">H298*I298</f>
        <v>1778.93076923077</v>
      </c>
      <c r="K298" s="52" t="s">
        <v>548</v>
      </c>
      <c r="L298" s="7" t="s">
        <v>1966</v>
      </c>
      <c r="M298" s="7" t="s">
        <v>2008</v>
      </c>
    </row>
    <row r="299" customFormat="false" ht="64.9" hidden="false" customHeight="false" outlineLevel="1" collapsed="false">
      <c r="A299" s="27"/>
      <c r="B299" s="27" t="s">
        <v>1983</v>
      </c>
      <c r="C299" s="7" t="s">
        <v>2009</v>
      </c>
      <c r="D299" s="27" t="s">
        <v>853</v>
      </c>
      <c r="E299" s="50" t="n">
        <v>72</v>
      </c>
      <c r="F299" s="50" t="n">
        <v>72</v>
      </c>
      <c r="G299" s="27" t="s">
        <v>865</v>
      </c>
      <c r="H299" s="50" t="n">
        <f aca="false">F299/IF(Varsayimlar!$B$21=1,1.43,1)</f>
        <v>50.3496503496504</v>
      </c>
      <c r="I299" s="51" t="n">
        <v>1.82</v>
      </c>
      <c r="J299" s="28" t="n">
        <f aca="false">H299*I299</f>
        <v>91.6363636363636</v>
      </c>
      <c r="K299" s="52" t="s">
        <v>548</v>
      </c>
      <c r="L299" s="7" t="s">
        <v>1750</v>
      </c>
      <c r="M299" s="7" t="s">
        <v>1821</v>
      </c>
    </row>
    <row r="300" customFormat="false" ht="77.6" hidden="false" customHeight="false" outlineLevel="1" collapsed="false">
      <c r="A300" s="27"/>
      <c r="B300" s="27" t="s">
        <v>1983</v>
      </c>
      <c r="C300" s="7" t="s">
        <v>2010</v>
      </c>
      <c r="D300" s="27" t="s">
        <v>727</v>
      </c>
      <c r="E300" s="50" t="n">
        <v>3</v>
      </c>
      <c r="F300" s="50" t="n">
        <v>3</v>
      </c>
      <c r="G300" s="27" t="s">
        <v>829</v>
      </c>
      <c r="H300" s="50" t="n">
        <f aca="false">F300/IF(Varsayimlar!$B$21=1,1.3,1)</f>
        <v>2.30769230769231</v>
      </c>
      <c r="I300" s="51" t="n">
        <v>508.65</v>
      </c>
      <c r="J300" s="28" t="n">
        <f aca="false">H300*I300</f>
        <v>1173.80769230769</v>
      </c>
      <c r="K300" s="52" t="s">
        <v>548</v>
      </c>
      <c r="L300" s="7" t="s">
        <v>1963</v>
      </c>
      <c r="M300" s="7" t="s">
        <v>1964</v>
      </c>
    </row>
    <row r="301" customFormat="false" ht="64.9" hidden="false" customHeight="false" outlineLevel="1" collapsed="false">
      <c r="A301" s="27"/>
      <c r="B301" s="27" t="s">
        <v>1983</v>
      </c>
      <c r="C301" s="7" t="s">
        <v>2011</v>
      </c>
      <c r="D301" s="27" t="s">
        <v>853</v>
      </c>
      <c r="E301" s="50" t="n">
        <v>69</v>
      </c>
      <c r="F301" s="50" t="n">
        <v>69</v>
      </c>
      <c r="G301" s="27" t="s">
        <v>865</v>
      </c>
      <c r="H301" s="50" t="n">
        <f aca="false">F301/IF(Varsayimlar!$B$21=1,1.43,1)</f>
        <v>48.2517482517483</v>
      </c>
      <c r="I301" s="51" t="n">
        <v>1.82</v>
      </c>
      <c r="J301" s="28" t="n">
        <f aca="false">H301*I301</f>
        <v>87.8181818181818</v>
      </c>
      <c r="K301" s="52" t="s">
        <v>548</v>
      </c>
      <c r="L301" s="7" t="s">
        <v>1750</v>
      </c>
      <c r="M301" s="7" t="s">
        <v>1837</v>
      </c>
    </row>
    <row r="302" customFormat="false" ht="77.6" hidden="false" customHeight="false" outlineLevel="1" collapsed="false">
      <c r="A302" s="27"/>
      <c r="B302" s="27" t="s">
        <v>1983</v>
      </c>
      <c r="C302" s="7" t="s">
        <v>2012</v>
      </c>
      <c r="D302" s="27" t="s">
        <v>727</v>
      </c>
      <c r="E302" s="50" t="n">
        <v>11</v>
      </c>
      <c r="F302" s="50" t="n">
        <v>11</v>
      </c>
      <c r="G302" s="27" t="s">
        <v>767</v>
      </c>
      <c r="H302" s="50" t="n">
        <f aca="false">F302</f>
        <v>11</v>
      </c>
      <c r="I302" s="51" t="n">
        <v>508.65</v>
      </c>
      <c r="J302" s="28" t="n">
        <f aca="false">H302*I302</f>
        <v>5595.15</v>
      </c>
      <c r="K302" s="52" t="s">
        <v>548</v>
      </c>
      <c r="L302" s="7" t="s">
        <v>1963</v>
      </c>
      <c r="M302" s="7" t="s">
        <v>1964</v>
      </c>
    </row>
    <row r="303" customFormat="false" ht="64.9" hidden="false" customHeight="false" outlineLevel="1" collapsed="false">
      <c r="A303" s="27"/>
      <c r="B303" s="27" t="s">
        <v>1983</v>
      </c>
      <c r="C303" s="7" t="s">
        <v>2013</v>
      </c>
      <c r="D303" s="27" t="s">
        <v>853</v>
      </c>
      <c r="E303" s="50" t="n">
        <v>220</v>
      </c>
      <c r="F303" s="50" t="n">
        <v>220</v>
      </c>
      <c r="G303" s="27" t="s">
        <v>865</v>
      </c>
      <c r="H303" s="50" t="n">
        <f aca="false">F303/IF(Varsayimlar!$B$21=1,1.43,1)</f>
        <v>153.846153846154</v>
      </c>
      <c r="I303" s="51" t="n">
        <v>1.82</v>
      </c>
      <c r="J303" s="28" t="n">
        <f aca="false">H303*I303</f>
        <v>280</v>
      </c>
      <c r="K303" s="52" t="s">
        <v>548</v>
      </c>
      <c r="L303" s="7" t="s">
        <v>1750</v>
      </c>
      <c r="M303" s="7" t="s">
        <v>1821</v>
      </c>
    </row>
    <row r="304" customFormat="false" ht="64.9" hidden="false" customHeight="false" outlineLevel="1" collapsed="false">
      <c r="A304" s="27"/>
      <c r="B304" s="27" t="s">
        <v>1983</v>
      </c>
      <c r="C304" s="7" t="s">
        <v>2014</v>
      </c>
      <c r="D304" s="27" t="s">
        <v>732</v>
      </c>
      <c r="E304" s="50" t="n">
        <v>1</v>
      </c>
      <c r="F304" s="50" t="n">
        <v>1</v>
      </c>
      <c r="G304" s="27" t="s">
        <v>767</v>
      </c>
      <c r="H304" s="50" t="n">
        <f aca="false">F304</f>
        <v>1</v>
      </c>
      <c r="I304" s="51" t="n">
        <v>1865.4</v>
      </c>
      <c r="J304" s="28" t="n">
        <f aca="false">H304*I304</f>
        <v>1865.4</v>
      </c>
      <c r="K304" s="52" t="s">
        <v>548</v>
      </c>
      <c r="L304" s="7" t="s">
        <v>2015</v>
      </c>
      <c r="M304" s="7" t="s">
        <v>1759</v>
      </c>
    </row>
    <row r="305" customFormat="false" ht="64.9" hidden="false" customHeight="false" outlineLevel="1" collapsed="false">
      <c r="A305" s="27"/>
      <c r="B305" s="27" t="s">
        <v>1983</v>
      </c>
      <c r="C305" s="7" t="s">
        <v>2016</v>
      </c>
      <c r="D305" s="27" t="s">
        <v>732</v>
      </c>
      <c r="E305" s="50" t="n">
        <v>113</v>
      </c>
      <c r="F305" s="50" t="n">
        <v>113</v>
      </c>
      <c r="G305" s="27" t="s">
        <v>767</v>
      </c>
      <c r="H305" s="50" t="n">
        <f aca="false">F305</f>
        <v>113</v>
      </c>
      <c r="I305" s="51" t="n">
        <v>94.19</v>
      </c>
      <c r="J305" s="28" t="n">
        <f aca="false">H305*I305</f>
        <v>10643.47</v>
      </c>
      <c r="K305" s="52" t="s">
        <v>548</v>
      </c>
      <c r="L305" s="7" t="s">
        <v>1972</v>
      </c>
      <c r="M305" s="7" t="s">
        <v>2017</v>
      </c>
    </row>
    <row r="306" customFormat="false" ht="15" hidden="false" customHeight="false" outlineLevel="0" collapsed="false">
      <c r="A306" s="48" t="s">
        <v>299</v>
      </c>
      <c r="B306" s="48" t="s">
        <v>2018</v>
      </c>
      <c r="C306" s="48" t="s">
        <v>300</v>
      </c>
      <c r="D306" s="48"/>
      <c r="E306" s="48"/>
      <c r="F306" s="48"/>
      <c r="G306" s="48"/>
      <c r="H306" s="48" t="s">
        <v>765</v>
      </c>
      <c r="I306" s="49" t="n">
        <f aca="false">SUMPRODUCT(E307:E309,I307:I309)</f>
        <v>6557.97</v>
      </c>
      <c r="J306" s="49" t="n">
        <f aca="false">SUM(J307:J309)</f>
        <v>5203.84517482517</v>
      </c>
      <c r="K306" s="48"/>
      <c r="L306" s="48"/>
      <c r="M306" s="48"/>
    </row>
    <row r="307" customFormat="false" ht="77.6" hidden="false" customHeight="false" outlineLevel="1" collapsed="false">
      <c r="A307" s="27"/>
      <c r="B307" s="27" t="s">
        <v>2018</v>
      </c>
      <c r="C307" s="7" t="s">
        <v>2019</v>
      </c>
      <c r="D307" s="27" t="s">
        <v>727</v>
      </c>
      <c r="E307" s="50" t="n">
        <v>11</v>
      </c>
      <c r="F307" s="50" t="n">
        <v>11</v>
      </c>
      <c r="G307" s="27" t="s">
        <v>829</v>
      </c>
      <c r="H307" s="50" t="n">
        <f aca="false">F307/IF(Varsayimlar!$B$21=1,1.3,1)</f>
        <v>8.46153846153846</v>
      </c>
      <c r="I307" s="51" t="n">
        <v>508.65</v>
      </c>
      <c r="J307" s="28" t="n">
        <f aca="false">H307*I307</f>
        <v>4303.96153846154</v>
      </c>
      <c r="K307" s="52" t="s">
        <v>548</v>
      </c>
      <c r="L307" s="7" t="s">
        <v>1963</v>
      </c>
      <c r="M307" s="7" t="s">
        <v>1964</v>
      </c>
    </row>
    <row r="308" customFormat="false" ht="64.9" hidden="false" customHeight="false" outlineLevel="1" collapsed="false">
      <c r="A308" s="27"/>
      <c r="B308" s="27" t="s">
        <v>2018</v>
      </c>
      <c r="C308" s="7" t="s">
        <v>2020</v>
      </c>
      <c r="D308" s="27" t="s">
        <v>853</v>
      </c>
      <c r="E308" s="50" t="n">
        <v>115</v>
      </c>
      <c r="F308" s="50" t="n">
        <v>115</v>
      </c>
      <c r="G308" s="27" t="s">
        <v>865</v>
      </c>
      <c r="H308" s="50" t="n">
        <f aca="false">F308/IF(Varsayimlar!$B$21=1,1.43,1)</f>
        <v>80.4195804195804</v>
      </c>
      <c r="I308" s="51" t="n">
        <v>1.82</v>
      </c>
      <c r="J308" s="28" t="n">
        <f aca="false">H308*I308</f>
        <v>146.363636363636</v>
      </c>
      <c r="K308" s="52" t="s">
        <v>548</v>
      </c>
      <c r="L308" s="7" t="s">
        <v>1750</v>
      </c>
      <c r="M308" s="7" t="s">
        <v>1821</v>
      </c>
    </row>
    <row r="309" customFormat="false" ht="64.9" hidden="false" customHeight="false" outlineLevel="1" collapsed="false">
      <c r="A309" s="27"/>
      <c r="B309" s="27" t="s">
        <v>2018</v>
      </c>
      <c r="C309" s="7" t="s">
        <v>2021</v>
      </c>
      <c r="D309" s="27" t="s">
        <v>732</v>
      </c>
      <c r="E309" s="50" t="n">
        <v>8</v>
      </c>
      <c r="F309" s="50" t="n">
        <v>8</v>
      </c>
      <c r="G309" s="27" t="s">
        <v>767</v>
      </c>
      <c r="H309" s="50" t="n">
        <f aca="false">F309</f>
        <v>8</v>
      </c>
      <c r="I309" s="51" t="n">
        <v>94.19</v>
      </c>
      <c r="J309" s="28" t="n">
        <f aca="false">H309*I309</f>
        <v>753.52</v>
      </c>
      <c r="K309" s="52" t="s">
        <v>548</v>
      </c>
      <c r="L309" s="7" t="s">
        <v>1972</v>
      </c>
      <c r="M309" s="7" t="s">
        <v>2017</v>
      </c>
    </row>
    <row r="310" customFormat="false" ht="15" hidden="false" customHeight="false" outlineLevel="0" collapsed="false">
      <c r="A310" s="48" t="s">
        <v>301</v>
      </c>
      <c r="B310" s="48" t="s">
        <v>2022</v>
      </c>
      <c r="C310" s="48" t="s">
        <v>302</v>
      </c>
      <c r="D310" s="48"/>
      <c r="E310" s="48"/>
      <c r="F310" s="48"/>
      <c r="G310" s="48"/>
      <c r="H310" s="48" t="s">
        <v>765</v>
      </c>
      <c r="I310" s="49" t="n">
        <f aca="false">SUMPRODUCT(E311:E314,I311:I314)</f>
        <v>47061.65</v>
      </c>
      <c r="J310" s="49" t="n">
        <f aca="false">SUM(J311:J314)</f>
        <v>35792.5307692308</v>
      </c>
      <c r="K310" s="48"/>
      <c r="L310" s="48"/>
      <c r="M310" s="48"/>
    </row>
    <row r="311" customFormat="false" ht="64.9" hidden="false" customHeight="false" outlineLevel="1" collapsed="false">
      <c r="A311" s="27"/>
      <c r="B311" s="27" t="s">
        <v>2022</v>
      </c>
      <c r="C311" s="7" t="s">
        <v>2023</v>
      </c>
      <c r="D311" s="27" t="s">
        <v>727</v>
      </c>
      <c r="E311" s="50" t="n">
        <v>16</v>
      </c>
      <c r="F311" s="50" t="n">
        <v>16</v>
      </c>
      <c r="G311" s="27" t="s">
        <v>829</v>
      </c>
      <c r="H311" s="50" t="n">
        <f aca="false">F311/IF(Varsayimlar!$B$21=1,1.3,1)</f>
        <v>12.3076923076923</v>
      </c>
      <c r="I311" s="51" t="n">
        <v>1540</v>
      </c>
      <c r="J311" s="28" t="n">
        <f aca="false">H311*I311</f>
        <v>18953.8461538462</v>
      </c>
      <c r="K311" s="52" t="s">
        <v>548</v>
      </c>
      <c r="L311" s="7" t="s">
        <v>2024</v>
      </c>
      <c r="M311" s="7" t="s">
        <v>2025</v>
      </c>
    </row>
    <row r="312" customFormat="false" ht="52.2" hidden="false" customHeight="false" outlineLevel="1" collapsed="false">
      <c r="A312" s="27"/>
      <c r="B312" s="27" t="s">
        <v>2022</v>
      </c>
      <c r="C312" s="7" t="s">
        <v>2026</v>
      </c>
      <c r="D312" s="27" t="s">
        <v>727</v>
      </c>
      <c r="E312" s="50" t="n">
        <v>11</v>
      </c>
      <c r="F312" s="50" t="n">
        <v>11</v>
      </c>
      <c r="G312" s="27" t="s">
        <v>829</v>
      </c>
      <c r="H312" s="50" t="n">
        <f aca="false">F312/IF(Varsayimlar!$B$21=1,1.3,1)</f>
        <v>8.46153846153846</v>
      </c>
      <c r="I312" s="51" t="n">
        <v>770.87</v>
      </c>
      <c r="J312" s="28" t="n">
        <f aca="false">H312*I312</f>
        <v>6522.74615384615</v>
      </c>
      <c r="K312" s="52" t="s">
        <v>548</v>
      </c>
      <c r="L312" s="7" t="s">
        <v>1966</v>
      </c>
      <c r="M312" s="7" t="s">
        <v>1733</v>
      </c>
    </row>
    <row r="313" customFormat="false" ht="52.2" hidden="false" customHeight="false" outlineLevel="1" collapsed="false">
      <c r="A313" s="27"/>
      <c r="B313" s="27" t="s">
        <v>2022</v>
      </c>
      <c r="C313" s="7" t="s">
        <v>2027</v>
      </c>
      <c r="D313" s="27" t="s">
        <v>727</v>
      </c>
      <c r="E313" s="50" t="n">
        <v>20</v>
      </c>
      <c r="F313" s="50" t="n">
        <v>20</v>
      </c>
      <c r="G313" s="27" t="s">
        <v>829</v>
      </c>
      <c r="H313" s="50" t="n">
        <f aca="false">F313/IF(Varsayimlar!$B$21=1,1.3,1)</f>
        <v>15.3846153846154</v>
      </c>
      <c r="I313" s="51" t="n">
        <v>450</v>
      </c>
      <c r="J313" s="28" t="n">
        <f aca="false">H313*I313</f>
        <v>6923.07692307692</v>
      </c>
      <c r="K313" s="52" t="s">
        <v>548</v>
      </c>
      <c r="L313" s="7" t="s">
        <v>2028</v>
      </c>
      <c r="M313" s="7" t="s">
        <v>2029</v>
      </c>
    </row>
    <row r="314" customFormat="false" ht="141" hidden="false" customHeight="false" outlineLevel="1" collapsed="false">
      <c r="A314" s="27"/>
      <c r="B314" s="27" t="s">
        <v>2022</v>
      </c>
      <c r="C314" s="7" t="s">
        <v>2030</v>
      </c>
      <c r="D314" s="27" t="s">
        <v>853</v>
      </c>
      <c r="E314" s="50" t="n">
        <v>1144</v>
      </c>
      <c r="F314" s="54" t="n">
        <v>1123.1</v>
      </c>
      <c r="G314" s="27" t="s">
        <v>865</v>
      </c>
      <c r="H314" s="50" t="n">
        <f aca="false">F314/IF(Varsayimlar!$B$21=1,1.43,1)</f>
        <v>785.384615384615</v>
      </c>
      <c r="I314" s="51" t="n">
        <v>4.32</v>
      </c>
      <c r="J314" s="28" t="n">
        <f aca="false">H314*I314</f>
        <v>3392.86153846154</v>
      </c>
      <c r="K314" s="52" t="s">
        <v>548</v>
      </c>
      <c r="L314" s="7" t="s">
        <v>2031</v>
      </c>
      <c r="M314" s="7" t="s">
        <v>2032</v>
      </c>
    </row>
    <row r="315" customFormat="false" ht="15" hidden="false" customHeight="false" outlineLevel="0" collapsed="false">
      <c r="A315" s="48" t="s">
        <v>303</v>
      </c>
      <c r="B315" s="48" t="s">
        <v>2033</v>
      </c>
      <c r="C315" s="48" t="s">
        <v>304</v>
      </c>
      <c r="D315" s="48"/>
      <c r="E315" s="48"/>
      <c r="F315" s="48"/>
      <c r="G315" s="48"/>
      <c r="H315" s="48" t="s">
        <v>765</v>
      </c>
      <c r="I315" s="49" t="n">
        <f aca="false">SUMPRODUCT(E316:E323,I316:I323)</f>
        <v>98394.23</v>
      </c>
      <c r="J315" s="49" t="n">
        <f aca="false">SUM(J316:J323)</f>
        <v>77822.67</v>
      </c>
      <c r="K315" s="48"/>
      <c r="L315" s="48"/>
      <c r="M315" s="48"/>
    </row>
    <row r="316" customFormat="false" ht="39.55" hidden="false" customHeight="false" outlineLevel="1" collapsed="false">
      <c r="A316" s="27"/>
      <c r="B316" s="27" t="s">
        <v>2033</v>
      </c>
      <c r="C316" s="7" t="s">
        <v>2034</v>
      </c>
      <c r="D316" s="27" t="s">
        <v>727</v>
      </c>
      <c r="E316" s="50" t="n">
        <v>13</v>
      </c>
      <c r="F316" s="50" t="n">
        <v>13</v>
      </c>
      <c r="G316" s="27" t="s">
        <v>829</v>
      </c>
      <c r="H316" s="50" t="n">
        <f aca="false">F316/IF(Varsayimlar!$B$21=1,1.3,1)</f>
        <v>10</v>
      </c>
      <c r="I316" s="51" t="n">
        <v>3200</v>
      </c>
      <c r="J316" s="28" t="n">
        <f aca="false">H316*I316</f>
        <v>32000</v>
      </c>
      <c r="K316" s="53" t="s">
        <v>551</v>
      </c>
      <c r="L316" s="7" t="s">
        <v>2035</v>
      </c>
      <c r="M316" s="7" t="s">
        <v>2036</v>
      </c>
    </row>
    <row r="317" customFormat="false" ht="52.2" hidden="false" customHeight="false" outlineLevel="1" collapsed="false">
      <c r="A317" s="27"/>
      <c r="B317" s="27" t="s">
        <v>2033</v>
      </c>
      <c r="C317" s="7" t="s">
        <v>2037</v>
      </c>
      <c r="D317" s="27" t="s">
        <v>732</v>
      </c>
      <c r="E317" s="50" t="n">
        <v>1</v>
      </c>
      <c r="F317" s="50" t="n">
        <v>1</v>
      </c>
      <c r="G317" s="27" t="s">
        <v>767</v>
      </c>
      <c r="H317" s="50" t="n">
        <f aca="false">F317</f>
        <v>1</v>
      </c>
      <c r="I317" s="51" t="n">
        <v>14520</v>
      </c>
      <c r="J317" s="28" t="n">
        <f aca="false">H317*I317</f>
        <v>14520</v>
      </c>
      <c r="K317" s="52" t="s">
        <v>548</v>
      </c>
      <c r="L317" s="7" t="s">
        <v>2038</v>
      </c>
      <c r="M317" s="7" t="s">
        <v>2039</v>
      </c>
    </row>
    <row r="318" customFormat="false" ht="64.9" hidden="false" customHeight="false" outlineLevel="1" collapsed="false">
      <c r="A318" s="27"/>
      <c r="B318" s="27" t="s">
        <v>2033</v>
      </c>
      <c r="C318" s="7" t="s">
        <v>2040</v>
      </c>
      <c r="D318" s="27" t="s">
        <v>727</v>
      </c>
      <c r="E318" s="50" t="n">
        <v>2</v>
      </c>
      <c r="F318" s="50" t="n">
        <v>2</v>
      </c>
      <c r="G318" s="27" t="s">
        <v>767</v>
      </c>
      <c r="H318" s="50" t="n">
        <f aca="false">F318</f>
        <v>2</v>
      </c>
      <c r="I318" s="51" t="n">
        <v>593.68</v>
      </c>
      <c r="J318" s="28" t="n">
        <f aca="false">H318*I318</f>
        <v>1187.36</v>
      </c>
      <c r="K318" s="52" t="s">
        <v>548</v>
      </c>
      <c r="L318" s="7" t="s">
        <v>2041</v>
      </c>
      <c r="M318" s="7" t="s">
        <v>2042</v>
      </c>
    </row>
    <row r="319" customFormat="false" ht="77.6" hidden="false" customHeight="false" outlineLevel="1" collapsed="false">
      <c r="A319" s="27"/>
      <c r="B319" s="27" t="s">
        <v>2033</v>
      </c>
      <c r="C319" s="7" t="s">
        <v>2043</v>
      </c>
      <c r="D319" s="27" t="s">
        <v>727</v>
      </c>
      <c r="E319" s="50" t="n">
        <v>4</v>
      </c>
      <c r="F319" s="50" t="n">
        <v>4</v>
      </c>
      <c r="G319" s="27" t="s">
        <v>767</v>
      </c>
      <c r="H319" s="50" t="n">
        <f aca="false">F319</f>
        <v>4</v>
      </c>
      <c r="I319" s="51" t="n">
        <v>350.6</v>
      </c>
      <c r="J319" s="28" t="n">
        <f aca="false">H319*I319</f>
        <v>1402.4</v>
      </c>
      <c r="K319" s="52" t="s">
        <v>548</v>
      </c>
      <c r="L319" s="7" t="s">
        <v>2044</v>
      </c>
      <c r="M319" s="7" t="s">
        <v>2045</v>
      </c>
    </row>
    <row r="320" customFormat="false" ht="26.85" hidden="false" customHeight="false" outlineLevel="1" collapsed="false">
      <c r="A320" s="27"/>
      <c r="B320" s="27" t="s">
        <v>2033</v>
      </c>
      <c r="C320" s="7" t="s">
        <v>2046</v>
      </c>
      <c r="D320" s="27" t="s">
        <v>727</v>
      </c>
      <c r="E320" s="50" t="n">
        <v>1</v>
      </c>
      <c r="F320" s="50" t="n">
        <v>1</v>
      </c>
      <c r="G320" s="27" t="s">
        <v>767</v>
      </c>
      <c r="H320" s="50" t="n">
        <f aca="false">F320</f>
        <v>1</v>
      </c>
      <c r="I320" s="51" t="n">
        <v>2500</v>
      </c>
      <c r="J320" s="28" t="n">
        <f aca="false">H320*I320</f>
        <v>2500</v>
      </c>
      <c r="K320" s="53" t="s">
        <v>551</v>
      </c>
      <c r="L320" s="7" t="s">
        <v>2047</v>
      </c>
      <c r="M320" s="7"/>
    </row>
    <row r="321" customFormat="false" ht="64.9" hidden="false" customHeight="false" outlineLevel="1" collapsed="false">
      <c r="A321" s="27"/>
      <c r="B321" s="27" t="s">
        <v>2033</v>
      </c>
      <c r="C321" s="7" t="s">
        <v>2048</v>
      </c>
      <c r="D321" s="27" t="s">
        <v>732</v>
      </c>
      <c r="E321" s="50" t="n">
        <v>1</v>
      </c>
      <c r="F321" s="50" t="n">
        <v>1</v>
      </c>
      <c r="G321" s="27" t="s">
        <v>767</v>
      </c>
      <c r="H321" s="50" t="n">
        <f aca="false">F321</f>
        <v>1</v>
      </c>
      <c r="I321" s="51" t="n">
        <v>25000</v>
      </c>
      <c r="J321" s="28" t="n">
        <f aca="false">H321*I321</f>
        <v>25000</v>
      </c>
      <c r="K321" s="52" t="s">
        <v>548</v>
      </c>
      <c r="L321" s="7" t="s">
        <v>2049</v>
      </c>
      <c r="M321" s="7"/>
    </row>
    <row r="322" customFormat="false" ht="128.35" hidden="false" customHeight="false" outlineLevel="1" collapsed="false">
      <c r="A322" s="27"/>
      <c r="B322" s="27" t="s">
        <v>2033</v>
      </c>
      <c r="C322" s="7" t="s">
        <v>2050</v>
      </c>
      <c r="D322" s="27" t="s">
        <v>727</v>
      </c>
      <c r="E322" s="50" t="n">
        <v>1</v>
      </c>
      <c r="F322" s="50" t="n">
        <v>1</v>
      </c>
      <c r="G322" s="27" t="s">
        <v>767</v>
      </c>
      <c r="H322" s="50" t="n">
        <f aca="false">F322</f>
        <v>1</v>
      </c>
      <c r="I322" s="51" t="n">
        <v>1212.91</v>
      </c>
      <c r="J322" s="28" t="n">
        <f aca="false">H322*I322</f>
        <v>1212.91</v>
      </c>
      <c r="K322" s="52" t="s">
        <v>548</v>
      </c>
      <c r="L322" s="7" t="s">
        <v>1852</v>
      </c>
      <c r="M322" s="7" t="s">
        <v>1756</v>
      </c>
    </row>
    <row r="323" customFormat="false" ht="90.25" hidden="false" customHeight="false" outlineLevel="1" collapsed="false">
      <c r="A323" s="27"/>
      <c r="B323" s="27" t="s">
        <v>2033</v>
      </c>
      <c r="C323" s="7" t="s">
        <v>2051</v>
      </c>
      <c r="D323" s="27" t="s">
        <v>732</v>
      </c>
      <c r="E323" s="50" t="n">
        <v>1</v>
      </c>
      <c r="F323" s="54" t="n">
        <v>0</v>
      </c>
      <c r="G323" s="27" t="s">
        <v>767</v>
      </c>
      <c r="H323" s="50" t="n">
        <f aca="false">F323</f>
        <v>0</v>
      </c>
      <c r="I323" s="51" t="n">
        <v>10971.56</v>
      </c>
      <c r="J323" s="28" t="n">
        <f aca="false">H323*I323</f>
        <v>0</v>
      </c>
      <c r="K323" s="55" t="s">
        <v>555</v>
      </c>
      <c r="L323" s="7" t="s">
        <v>1956</v>
      </c>
      <c r="M323" s="7" t="s">
        <v>1957</v>
      </c>
    </row>
    <row r="324" customFormat="false" ht="15" hidden="false" customHeight="false" outlineLevel="0" collapsed="false">
      <c r="A324" s="48" t="s">
        <v>305</v>
      </c>
      <c r="B324" s="48" t="s">
        <v>2052</v>
      </c>
      <c r="C324" s="48" t="s">
        <v>306</v>
      </c>
      <c r="D324" s="48"/>
      <c r="E324" s="48"/>
      <c r="F324" s="48"/>
      <c r="G324" s="48"/>
      <c r="H324" s="48" t="s">
        <v>765</v>
      </c>
      <c r="I324" s="49" t="n">
        <f aca="false">SUMPRODUCT(E325:E326,I325:I326)</f>
        <v>10000</v>
      </c>
      <c r="J324" s="49" t="n">
        <f aca="false">SUM(J325:J326)</f>
        <v>10000</v>
      </c>
      <c r="K324" s="48"/>
      <c r="L324" s="48"/>
      <c r="M324" s="48"/>
    </row>
    <row r="325" customFormat="false" ht="26.85" hidden="false" customHeight="false" outlineLevel="1" collapsed="false">
      <c r="A325" s="27"/>
      <c r="B325" s="27" t="s">
        <v>2052</v>
      </c>
      <c r="C325" s="7" t="s">
        <v>2053</v>
      </c>
      <c r="D325" s="27" t="s">
        <v>732</v>
      </c>
      <c r="E325" s="50" t="n">
        <v>1</v>
      </c>
      <c r="F325" s="50" t="n">
        <v>1</v>
      </c>
      <c r="G325" s="27" t="s">
        <v>767</v>
      </c>
      <c r="H325" s="50" t="n">
        <f aca="false">F325</f>
        <v>1</v>
      </c>
      <c r="I325" s="51" t="n">
        <v>5000</v>
      </c>
      <c r="J325" s="28" t="n">
        <f aca="false">H325*I325</f>
        <v>5000</v>
      </c>
      <c r="K325" s="62" t="s">
        <v>545</v>
      </c>
      <c r="L325" s="7" t="s">
        <v>2054</v>
      </c>
      <c r="M325" s="7" t="s">
        <v>2055</v>
      </c>
    </row>
    <row r="326" customFormat="false" ht="26.85" hidden="false" customHeight="false" outlineLevel="1" collapsed="false">
      <c r="A326" s="27"/>
      <c r="B326" s="27" t="s">
        <v>2052</v>
      </c>
      <c r="C326" s="7" t="s">
        <v>1670</v>
      </c>
      <c r="D326" s="27" t="s">
        <v>732</v>
      </c>
      <c r="E326" s="50" t="n">
        <v>1</v>
      </c>
      <c r="F326" s="50" t="n">
        <v>1</v>
      </c>
      <c r="G326" s="27" t="s">
        <v>767</v>
      </c>
      <c r="H326" s="50" t="n">
        <f aca="false">F326</f>
        <v>1</v>
      </c>
      <c r="I326" s="51" t="n">
        <v>5000</v>
      </c>
      <c r="J326" s="28" t="n">
        <f aca="false">H326*I326</f>
        <v>5000</v>
      </c>
      <c r="K326" s="62" t="s">
        <v>545</v>
      </c>
      <c r="L326" s="7" t="s">
        <v>2054</v>
      </c>
      <c r="M326" s="7" t="s">
        <v>2056</v>
      </c>
    </row>
    <row r="327" customFormat="false" ht="15" hidden="false" customHeight="false" outlineLevel="0" collapsed="false">
      <c r="A327" s="48" t="s">
        <v>307</v>
      </c>
      <c r="B327" s="48" t="s">
        <v>2057</v>
      </c>
      <c r="C327" s="48" t="s">
        <v>308</v>
      </c>
      <c r="D327" s="48"/>
      <c r="E327" s="48"/>
      <c r="F327" s="48"/>
      <c r="G327" s="48"/>
      <c r="H327" s="48" t="s">
        <v>765</v>
      </c>
      <c r="I327" s="49" t="n">
        <f aca="false">SUMPRODUCT(E328:E330,I328:I330)</f>
        <v>6213.28</v>
      </c>
      <c r="J327" s="49" t="n">
        <f aca="false">SUM(J328:J330)</f>
        <v>6149.14685314685</v>
      </c>
      <c r="K327" s="48"/>
      <c r="L327" s="48"/>
      <c r="M327" s="48"/>
    </row>
    <row r="328" customFormat="false" ht="26.85" hidden="false" customHeight="false" outlineLevel="1" collapsed="false">
      <c r="A328" s="27"/>
      <c r="B328" s="27" t="s">
        <v>2057</v>
      </c>
      <c r="C328" s="7" t="s">
        <v>2058</v>
      </c>
      <c r="D328" s="27" t="s">
        <v>727</v>
      </c>
      <c r="E328" s="50" t="n">
        <v>2</v>
      </c>
      <c r="F328" s="50" t="n">
        <v>2</v>
      </c>
      <c r="G328" s="27" t="s">
        <v>767</v>
      </c>
      <c r="H328" s="50" t="n">
        <f aca="false">F328</f>
        <v>2</v>
      </c>
      <c r="I328" s="51" t="n">
        <v>3000</v>
      </c>
      <c r="J328" s="28" t="n">
        <f aca="false">H328*I328</f>
        <v>6000</v>
      </c>
      <c r="K328" s="62" t="s">
        <v>545</v>
      </c>
      <c r="L328" s="7" t="s">
        <v>2059</v>
      </c>
      <c r="M328" s="7" t="s">
        <v>2060</v>
      </c>
    </row>
    <row r="329" customFormat="false" ht="52.2" hidden="false" customHeight="false" outlineLevel="1" collapsed="false">
      <c r="A329" s="27"/>
      <c r="B329" s="27" t="s">
        <v>2057</v>
      </c>
      <c r="C329" s="7" t="s">
        <v>2061</v>
      </c>
      <c r="D329" s="27" t="s">
        <v>853</v>
      </c>
      <c r="E329" s="50" t="n">
        <v>86</v>
      </c>
      <c r="F329" s="50" t="n">
        <v>86</v>
      </c>
      <c r="G329" s="27" t="s">
        <v>865</v>
      </c>
      <c r="H329" s="50" t="n">
        <f aca="false">F329/IF(Varsayimlar!$B$21=1,1.43,1)</f>
        <v>60.1398601398601</v>
      </c>
      <c r="I329" s="51" t="n">
        <v>2.48</v>
      </c>
      <c r="J329" s="28" t="n">
        <f aca="false">H329*I329</f>
        <v>149.146853146853</v>
      </c>
      <c r="K329" s="52" t="s">
        <v>548</v>
      </c>
      <c r="L329" s="7" t="s">
        <v>1818</v>
      </c>
      <c r="M329" s="7" t="s">
        <v>2062</v>
      </c>
    </row>
    <row r="330" customFormat="false" ht="39.55" hidden="false" customHeight="false" outlineLevel="1" collapsed="false">
      <c r="A330" s="27"/>
      <c r="B330" s="27" t="s">
        <v>2057</v>
      </c>
      <c r="C330" s="7" t="s">
        <v>2063</v>
      </c>
      <c r="D330" s="27" t="s">
        <v>727</v>
      </c>
      <c r="E330" s="50" t="n">
        <v>2</v>
      </c>
      <c r="F330" s="50" t="n">
        <v>2</v>
      </c>
      <c r="G330" s="27" t="s">
        <v>767</v>
      </c>
      <c r="H330" s="50" t="n">
        <f aca="false">F330</f>
        <v>2</v>
      </c>
      <c r="I330" s="51" t="n">
        <v>0</v>
      </c>
      <c r="J330" s="28" t="n">
        <f aca="false">H330*I330</f>
        <v>0</v>
      </c>
      <c r="K330" s="62" t="s">
        <v>545</v>
      </c>
      <c r="L330" s="7" t="s">
        <v>2064</v>
      </c>
      <c r="M330" s="7" t="s">
        <v>2065</v>
      </c>
    </row>
    <row r="331" customFormat="false" ht="15" hidden="false" customHeight="false" outlineLevel="0" collapsed="false">
      <c r="A331" s="48" t="s">
        <v>309</v>
      </c>
      <c r="B331" s="48" t="s">
        <v>2066</v>
      </c>
      <c r="C331" s="48" t="s">
        <v>310</v>
      </c>
      <c r="D331" s="48"/>
      <c r="E331" s="48"/>
      <c r="F331" s="48"/>
      <c r="G331" s="48"/>
      <c r="H331" s="48" t="s">
        <v>765</v>
      </c>
      <c r="I331" s="49" t="n">
        <f aca="false">SUMPRODUCT(E332:E334,I332:I334)</f>
        <v>6319.92</v>
      </c>
      <c r="J331" s="49" t="n">
        <f aca="false">SUM(J332:J334)</f>
        <v>6223.72027972028</v>
      </c>
      <c r="K331" s="48"/>
      <c r="L331" s="48"/>
      <c r="M331" s="48"/>
    </row>
    <row r="332" customFormat="false" ht="26.85" hidden="false" customHeight="false" outlineLevel="1" collapsed="false">
      <c r="A332" s="27"/>
      <c r="B332" s="27" t="s">
        <v>2066</v>
      </c>
      <c r="C332" s="7" t="s">
        <v>2058</v>
      </c>
      <c r="D332" s="27" t="s">
        <v>727</v>
      </c>
      <c r="E332" s="50" t="n">
        <v>2</v>
      </c>
      <c r="F332" s="50" t="n">
        <v>2</v>
      </c>
      <c r="G332" s="27" t="s">
        <v>767</v>
      </c>
      <c r="H332" s="50" t="n">
        <f aca="false">F332</f>
        <v>2</v>
      </c>
      <c r="I332" s="51" t="n">
        <v>3000</v>
      </c>
      <c r="J332" s="28" t="n">
        <f aca="false">H332*I332</f>
        <v>6000</v>
      </c>
      <c r="K332" s="62" t="s">
        <v>545</v>
      </c>
      <c r="L332" s="7" t="s">
        <v>2059</v>
      </c>
      <c r="M332" s="7" t="s">
        <v>2060</v>
      </c>
    </row>
    <row r="333" customFormat="false" ht="52.2" hidden="false" customHeight="false" outlineLevel="1" collapsed="false">
      <c r="A333" s="27"/>
      <c r="B333" s="27" t="s">
        <v>2066</v>
      </c>
      <c r="C333" s="7" t="s">
        <v>2061</v>
      </c>
      <c r="D333" s="27" t="s">
        <v>853</v>
      </c>
      <c r="E333" s="50" t="n">
        <v>129</v>
      </c>
      <c r="F333" s="50" t="n">
        <v>129</v>
      </c>
      <c r="G333" s="27" t="s">
        <v>865</v>
      </c>
      <c r="H333" s="50" t="n">
        <f aca="false">F333/IF(Varsayimlar!$B$21=1,1.43,1)</f>
        <v>90.2097902097902</v>
      </c>
      <c r="I333" s="51" t="n">
        <v>2.48</v>
      </c>
      <c r="J333" s="28" t="n">
        <f aca="false">H333*I333</f>
        <v>223.72027972028</v>
      </c>
      <c r="K333" s="52" t="s">
        <v>548</v>
      </c>
      <c r="L333" s="7" t="s">
        <v>1818</v>
      </c>
      <c r="M333" s="7" t="s">
        <v>2062</v>
      </c>
    </row>
    <row r="334" customFormat="false" ht="39.55" hidden="false" customHeight="false" outlineLevel="1" collapsed="false">
      <c r="A334" s="27"/>
      <c r="B334" s="27" t="s">
        <v>2066</v>
      </c>
      <c r="C334" s="7" t="s">
        <v>2063</v>
      </c>
      <c r="D334" s="27" t="s">
        <v>727</v>
      </c>
      <c r="E334" s="50" t="n">
        <v>2</v>
      </c>
      <c r="F334" s="50" t="n">
        <v>2</v>
      </c>
      <c r="G334" s="27" t="s">
        <v>767</v>
      </c>
      <c r="H334" s="50" t="n">
        <f aca="false">F334</f>
        <v>2</v>
      </c>
      <c r="I334" s="51" t="n">
        <v>0</v>
      </c>
      <c r="J334" s="28" t="n">
        <f aca="false">H334*I334</f>
        <v>0</v>
      </c>
      <c r="K334" s="62" t="s">
        <v>545</v>
      </c>
      <c r="L334" s="7" t="s">
        <v>2064</v>
      </c>
      <c r="M334" s="7" t="s">
        <v>2065</v>
      </c>
    </row>
    <row r="335" customFormat="false" ht="15" hidden="false" customHeight="false" outlineLevel="0" collapsed="false">
      <c r="A335" s="48" t="s">
        <v>311</v>
      </c>
      <c r="B335" s="48" t="s">
        <v>2067</v>
      </c>
      <c r="C335" s="48" t="s">
        <v>312</v>
      </c>
      <c r="D335" s="48"/>
      <c r="E335" s="48"/>
      <c r="F335" s="48"/>
      <c r="G335" s="48"/>
      <c r="H335" s="48" t="s">
        <v>765</v>
      </c>
      <c r="I335" s="49" t="n">
        <f aca="false">SUMPRODUCT(E336:E338,I336:I338)</f>
        <v>6319.92</v>
      </c>
      <c r="J335" s="49" t="n">
        <f aca="false">SUM(J336:J338)</f>
        <v>6223.72027972028</v>
      </c>
      <c r="K335" s="48"/>
      <c r="L335" s="48"/>
      <c r="M335" s="48"/>
    </row>
    <row r="336" customFormat="false" ht="26.85" hidden="false" customHeight="false" outlineLevel="1" collapsed="false">
      <c r="A336" s="27"/>
      <c r="B336" s="27" t="s">
        <v>2067</v>
      </c>
      <c r="C336" s="7" t="s">
        <v>2058</v>
      </c>
      <c r="D336" s="27" t="s">
        <v>727</v>
      </c>
      <c r="E336" s="50" t="n">
        <v>2</v>
      </c>
      <c r="F336" s="50" t="n">
        <v>2</v>
      </c>
      <c r="G336" s="27" t="s">
        <v>767</v>
      </c>
      <c r="H336" s="50" t="n">
        <f aca="false">F336</f>
        <v>2</v>
      </c>
      <c r="I336" s="51" t="n">
        <v>3000</v>
      </c>
      <c r="J336" s="28" t="n">
        <f aca="false">H336*I336</f>
        <v>6000</v>
      </c>
      <c r="K336" s="62" t="s">
        <v>545</v>
      </c>
      <c r="L336" s="7" t="s">
        <v>2059</v>
      </c>
      <c r="M336" s="7" t="s">
        <v>2060</v>
      </c>
    </row>
    <row r="337" customFormat="false" ht="52.2" hidden="false" customHeight="false" outlineLevel="1" collapsed="false">
      <c r="A337" s="27"/>
      <c r="B337" s="27" t="s">
        <v>2067</v>
      </c>
      <c r="C337" s="7" t="s">
        <v>2061</v>
      </c>
      <c r="D337" s="27" t="s">
        <v>853</v>
      </c>
      <c r="E337" s="50" t="n">
        <v>129</v>
      </c>
      <c r="F337" s="50" t="n">
        <v>129</v>
      </c>
      <c r="G337" s="27" t="s">
        <v>865</v>
      </c>
      <c r="H337" s="50" t="n">
        <f aca="false">F337/IF(Varsayimlar!$B$21=1,1.43,1)</f>
        <v>90.2097902097902</v>
      </c>
      <c r="I337" s="51" t="n">
        <v>2.48</v>
      </c>
      <c r="J337" s="28" t="n">
        <f aca="false">H337*I337</f>
        <v>223.72027972028</v>
      </c>
      <c r="K337" s="52" t="s">
        <v>548</v>
      </c>
      <c r="L337" s="7" t="s">
        <v>1818</v>
      </c>
      <c r="M337" s="7" t="s">
        <v>2062</v>
      </c>
    </row>
    <row r="338" customFormat="false" ht="39.55" hidden="false" customHeight="false" outlineLevel="1" collapsed="false">
      <c r="A338" s="27"/>
      <c r="B338" s="27" t="s">
        <v>2067</v>
      </c>
      <c r="C338" s="7" t="s">
        <v>2063</v>
      </c>
      <c r="D338" s="27" t="s">
        <v>727</v>
      </c>
      <c r="E338" s="50" t="n">
        <v>2</v>
      </c>
      <c r="F338" s="50" t="n">
        <v>2</v>
      </c>
      <c r="G338" s="27" t="s">
        <v>767</v>
      </c>
      <c r="H338" s="50" t="n">
        <f aca="false">F338</f>
        <v>2</v>
      </c>
      <c r="I338" s="51" t="n">
        <v>0</v>
      </c>
      <c r="J338" s="28" t="n">
        <f aca="false">H338*I338</f>
        <v>0</v>
      </c>
      <c r="K338" s="62" t="s">
        <v>545</v>
      </c>
      <c r="L338" s="7" t="s">
        <v>2064</v>
      </c>
      <c r="M338" s="7" t="s">
        <v>2065</v>
      </c>
    </row>
    <row r="339" customFormat="false" ht="15" hidden="false" customHeight="false" outlineLevel="0" collapsed="false">
      <c r="A339" s="48" t="s">
        <v>313</v>
      </c>
      <c r="B339" s="48" t="s">
        <v>2068</v>
      </c>
      <c r="C339" s="48" t="s">
        <v>314</v>
      </c>
      <c r="D339" s="48"/>
      <c r="E339" s="48"/>
      <c r="F339" s="48"/>
      <c r="G339" s="48"/>
      <c r="H339" s="48" t="s">
        <v>765</v>
      </c>
      <c r="I339" s="49" t="n">
        <f aca="false">SUMPRODUCT(E340:E342,I340:I342)</f>
        <v>6319.92</v>
      </c>
      <c r="J339" s="49" t="n">
        <f aca="false">SUM(J340:J342)</f>
        <v>6223.72027972028</v>
      </c>
      <c r="K339" s="48"/>
      <c r="L339" s="48"/>
      <c r="M339" s="48"/>
    </row>
    <row r="340" customFormat="false" ht="26.85" hidden="false" customHeight="false" outlineLevel="1" collapsed="false">
      <c r="A340" s="27"/>
      <c r="B340" s="27" t="s">
        <v>2068</v>
      </c>
      <c r="C340" s="7" t="s">
        <v>2058</v>
      </c>
      <c r="D340" s="27" t="s">
        <v>727</v>
      </c>
      <c r="E340" s="50" t="n">
        <v>2</v>
      </c>
      <c r="F340" s="50" t="n">
        <v>2</v>
      </c>
      <c r="G340" s="27" t="s">
        <v>767</v>
      </c>
      <c r="H340" s="50" t="n">
        <f aca="false">F340</f>
        <v>2</v>
      </c>
      <c r="I340" s="51" t="n">
        <v>3000</v>
      </c>
      <c r="J340" s="28" t="n">
        <f aca="false">H340*I340</f>
        <v>6000</v>
      </c>
      <c r="K340" s="62" t="s">
        <v>545</v>
      </c>
      <c r="L340" s="7" t="s">
        <v>2059</v>
      </c>
      <c r="M340" s="7" t="s">
        <v>2060</v>
      </c>
    </row>
    <row r="341" customFormat="false" ht="52.2" hidden="false" customHeight="false" outlineLevel="1" collapsed="false">
      <c r="A341" s="27"/>
      <c r="B341" s="27" t="s">
        <v>2068</v>
      </c>
      <c r="C341" s="7" t="s">
        <v>2061</v>
      </c>
      <c r="D341" s="27" t="s">
        <v>853</v>
      </c>
      <c r="E341" s="50" t="n">
        <v>129</v>
      </c>
      <c r="F341" s="50" t="n">
        <v>129</v>
      </c>
      <c r="G341" s="27" t="s">
        <v>865</v>
      </c>
      <c r="H341" s="50" t="n">
        <f aca="false">F341/IF(Varsayimlar!$B$21=1,1.43,1)</f>
        <v>90.2097902097902</v>
      </c>
      <c r="I341" s="51" t="n">
        <v>2.48</v>
      </c>
      <c r="J341" s="28" t="n">
        <f aca="false">H341*I341</f>
        <v>223.72027972028</v>
      </c>
      <c r="K341" s="52" t="s">
        <v>548</v>
      </c>
      <c r="L341" s="7" t="s">
        <v>1818</v>
      </c>
      <c r="M341" s="7" t="s">
        <v>2062</v>
      </c>
    </row>
    <row r="342" customFormat="false" ht="39.55" hidden="false" customHeight="false" outlineLevel="1" collapsed="false">
      <c r="A342" s="27"/>
      <c r="B342" s="27" t="s">
        <v>2068</v>
      </c>
      <c r="C342" s="7" t="s">
        <v>2063</v>
      </c>
      <c r="D342" s="27" t="s">
        <v>727</v>
      </c>
      <c r="E342" s="50" t="n">
        <v>2</v>
      </c>
      <c r="F342" s="50" t="n">
        <v>2</v>
      </c>
      <c r="G342" s="27" t="s">
        <v>767</v>
      </c>
      <c r="H342" s="50" t="n">
        <f aca="false">F342</f>
        <v>2</v>
      </c>
      <c r="I342" s="51" t="n">
        <v>0</v>
      </c>
      <c r="J342" s="28" t="n">
        <f aca="false">H342*I342</f>
        <v>0</v>
      </c>
      <c r="K342" s="62" t="s">
        <v>545</v>
      </c>
      <c r="L342" s="7" t="s">
        <v>2064</v>
      </c>
      <c r="M342" s="7" t="s">
        <v>2065</v>
      </c>
    </row>
    <row r="343" customFormat="false" ht="15" hidden="false" customHeight="false" outlineLevel="0" collapsed="false">
      <c r="A343" s="48" t="s">
        <v>315</v>
      </c>
      <c r="B343" s="48" t="s">
        <v>2069</v>
      </c>
      <c r="C343" s="48" t="s">
        <v>316</v>
      </c>
      <c r="D343" s="48"/>
      <c r="E343" s="48"/>
      <c r="F343" s="48"/>
      <c r="G343" s="48"/>
      <c r="H343" s="48" t="s">
        <v>765</v>
      </c>
      <c r="I343" s="49" t="n">
        <f aca="false">SUMPRODUCT(E344:E346,I344:I346)</f>
        <v>6319.92</v>
      </c>
      <c r="J343" s="49" t="n">
        <f aca="false">SUM(J344:J346)</f>
        <v>6223.72027972028</v>
      </c>
      <c r="K343" s="48"/>
      <c r="L343" s="48"/>
      <c r="M343" s="48"/>
    </row>
    <row r="344" customFormat="false" ht="26.85" hidden="false" customHeight="false" outlineLevel="1" collapsed="false">
      <c r="A344" s="27"/>
      <c r="B344" s="27" t="s">
        <v>2069</v>
      </c>
      <c r="C344" s="7" t="s">
        <v>2058</v>
      </c>
      <c r="D344" s="27" t="s">
        <v>727</v>
      </c>
      <c r="E344" s="50" t="n">
        <v>2</v>
      </c>
      <c r="F344" s="50" t="n">
        <v>2</v>
      </c>
      <c r="G344" s="27" t="s">
        <v>767</v>
      </c>
      <c r="H344" s="50" t="n">
        <f aca="false">F344</f>
        <v>2</v>
      </c>
      <c r="I344" s="51" t="n">
        <v>3000</v>
      </c>
      <c r="J344" s="28" t="n">
        <f aca="false">H344*I344</f>
        <v>6000</v>
      </c>
      <c r="K344" s="62" t="s">
        <v>545</v>
      </c>
      <c r="L344" s="7" t="s">
        <v>2059</v>
      </c>
      <c r="M344" s="7" t="s">
        <v>2060</v>
      </c>
    </row>
    <row r="345" customFormat="false" ht="52.2" hidden="false" customHeight="false" outlineLevel="1" collapsed="false">
      <c r="A345" s="27"/>
      <c r="B345" s="27" t="s">
        <v>2069</v>
      </c>
      <c r="C345" s="7" t="s">
        <v>2061</v>
      </c>
      <c r="D345" s="27" t="s">
        <v>853</v>
      </c>
      <c r="E345" s="50" t="n">
        <v>129</v>
      </c>
      <c r="F345" s="50" t="n">
        <v>129</v>
      </c>
      <c r="G345" s="27" t="s">
        <v>865</v>
      </c>
      <c r="H345" s="50" t="n">
        <f aca="false">F345/IF(Varsayimlar!$B$21=1,1.43,1)</f>
        <v>90.2097902097902</v>
      </c>
      <c r="I345" s="51" t="n">
        <v>2.48</v>
      </c>
      <c r="J345" s="28" t="n">
        <f aca="false">H345*I345</f>
        <v>223.72027972028</v>
      </c>
      <c r="K345" s="52" t="s">
        <v>548</v>
      </c>
      <c r="L345" s="7" t="s">
        <v>1818</v>
      </c>
      <c r="M345" s="7" t="s">
        <v>2062</v>
      </c>
    </row>
    <row r="346" customFormat="false" ht="39.55" hidden="false" customHeight="false" outlineLevel="1" collapsed="false">
      <c r="A346" s="27"/>
      <c r="B346" s="27" t="s">
        <v>2069</v>
      </c>
      <c r="C346" s="7" t="s">
        <v>2063</v>
      </c>
      <c r="D346" s="27" t="s">
        <v>727</v>
      </c>
      <c r="E346" s="50" t="n">
        <v>2</v>
      </c>
      <c r="F346" s="50" t="n">
        <v>2</v>
      </c>
      <c r="G346" s="27" t="s">
        <v>767</v>
      </c>
      <c r="H346" s="50" t="n">
        <f aca="false">F346</f>
        <v>2</v>
      </c>
      <c r="I346" s="51" t="n">
        <v>0</v>
      </c>
      <c r="J346" s="28" t="n">
        <f aca="false">H346*I346</f>
        <v>0</v>
      </c>
      <c r="K346" s="62" t="s">
        <v>545</v>
      </c>
      <c r="L346" s="7" t="s">
        <v>2064</v>
      </c>
      <c r="M346" s="7" t="s">
        <v>2065</v>
      </c>
    </row>
    <row r="347" customFormat="false" ht="15" hidden="false" customHeight="false" outlineLevel="0" collapsed="false">
      <c r="A347" s="48" t="s">
        <v>317</v>
      </c>
      <c r="B347" s="48" t="s">
        <v>2070</v>
      </c>
      <c r="C347" s="48" t="s">
        <v>318</v>
      </c>
      <c r="D347" s="48"/>
      <c r="E347" s="48"/>
      <c r="F347" s="48"/>
      <c r="G347" s="48"/>
      <c r="H347" s="48" t="s">
        <v>765</v>
      </c>
      <c r="I347" s="49" t="n">
        <f aca="false">SUMPRODUCT(E348:E350,I348:I350)</f>
        <v>6319.92</v>
      </c>
      <c r="J347" s="49" t="n">
        <f aca="false">SUM(J348:J350)</f>
        <v>6223.72027972028</v>
      </c>
      <c r="K347" s="48"/>
      <c r="L347" s="48"/>
      <c r="M347" s="48"/>
    </row>
    <row r="348" customFormat="false" ht="26.85" hidden="false" customHeight="false" outlineLevel="1" collapsed="false">
      <c r="A348" s="27"/>
      <c r="B348" s="27" t="s">
        <v>2070</v>
      </c>
      <c r="C348" s="7" t="s">
        <v>2058</v>
      </c>
      <c r="D348" s="27" t="s">
        <v>727</v>
      </c>
      <c r="E348" s="50" t="n">
        <v>2</v>
      </c>
      <c r="F348" s="50" t="n">
        <v>2</v>
      </c>
      <c r="G348" s="27" t="s">
        <v>767</v>
      </c>
      <c r="H348" s="50" t="n">
        <f aca="false">F348</f>
        <v>2</v>
      </c>
      <c r="I348" s="51" t="n">
        <v>3000</v>
      </c>
      <c r="J348" s="28" t="n">
        <f aca="false">H348*I348</f>
        <v>6000</v>
      </c>
      <c r="K348" s="62" t="s">
        <v>545</v>
      </c>
      <c r="L348" s="7" t="s">
        <v>2059</v>
      </c>
      <c r="M348" s="7" t="s">
        <v>2060</v>
      </c>
    </row>
    <row r="349" customFormat="false" ht="52.2" hidden="false" customHeight="false" outlineLevel="1" collapsed="false">
      <c r="A349" s="27"/>
      <c r="B349" s="27" t="s">
        <v>2070</v>
      </c>
      <c r="C349" s="7" t="s">
        <v>2061</v>
      </c>
      <c r="D349" s="27" t="s">
        <v>853</v>
      </c>
      <c r="E349" s="50" t="n">
        <v>129</v>
      </c>
      <c r="F349" s="50" t="n">
        <v>129</v>
      </c>
      <c r="G349" s="27" t="s">
        <v>865</v>
      </c>
      <c r="H349" s="50" t="n">
        <f aca="false">F349/IF(Varsayimlar!$B$21=1,1.43,1)</f>
        <v>90.2097902097902</v>
      </c>
      <c r="I349" s="51" t="n">
        <v>2.48</v>
      </c>
      <c r="J349" s="28" t="n">
        <f aca="false">H349*I349</f>
        <v>223.72027972028</v>
      </c>
      <c r="K349" s="52" t="s">
        <v>548</v>
      </c>
      <c r="L349" s="7" t="s">
        <v>1818</v>
      </c>
      <c r="M349" s="7" t="s">
        <v>2062</v>
      </c>
    </row>
    <row r="350" customFormat="false" ht="39.55" hidden="false" customHeight="false" outlineLevel="1" collapsed="false">
      <c r="A350" s="27"/>
      <c r="B350" s="27" t="s">
        <v>2070</v>
      </c>
      <c r="C350" s="7" t="s">
        <v>2063</v>
      </c>
      <c r="D350" s="27" t="s">
        <v>727</v>
      </c>
      <c r="E350" s="50" t="n">
        <v>2</v>
      </c>
      <c r="F350" s="50" t="n">
        <v>2</v>
      </c>
      <c r="G350" s="27" t="s">
        <v>767</v>
      </c>
      <c r="H350" s="50" t="n">
        <f aca="false">F350</f>
        <v>2</v>
      </c>
      <c r="I350" s="51" t="n">
        <v>0</v>
      </c>
      <c r="J350" s="28" t="n">
        <f aca="false">H350*I350</f>
        <v>0</v>
      </c>
      <c r="K350" s="62" t="s">
        <v>545</v>
      </c>
      <c r="L350" s="7" t="s">
        <v>2064</v>
      </c>
      <c r="M350" s="7" t="s">
        <v>2065</v>
      </c>
    </row>
    <row r="351" customFormat="false" ht="15" hidden="false" customHeight="false" outlineLevel="0" collapsed="false">
      <c r="A351" s="48" t="s">
        <v>319</v>
      </c>
      <c r="B351" s="48" t="s">
        <v>2071</v>
      </c>
      <c r="C351" s="48" t="s">
        <v>320</v>
      </c>
      <c r="D351" s="48"/>
      <c r="E351" s="48"/>
      <c r="F351" s="48"/>
      <c r="G351" s="48"/>
      <c r="H351" s="48" t="s">
        <v>765</v>
      </c>
      <c r="I351" s="49" t="n">
        <f aca="false">SUMPRODUCT(E352:E356,I352:I356)</f>
        <v>29672.98</v>
      </c>
      <c r="J351" s="49" t="n">
        <f aca="false">SUM(J352:J356)</f>
        <v>29049.6363636364</v>
      </c>
      <c r="K351" s="48"/>
      <c r="L351" s="48"/>
      <c r="M351" s="48"/>
    </row>
    <row r="352" customFormat="false" ht="26.85" hidden="false" customHeight="false" outlineLevel="1" collapsed="false">
      <c r="A352" s="27"/>
      <c r="B352" s="27" t="s">
        <v>2071</v>
      </c>
      <c r="C352" s="7" t="s">
        <v>2072</v>
      </c>
      <c r="D352" s="27" t="s">
        <v>727</v>
      </c>
      <c r="E352" s="50" t="n">
        <v>14</v>
      </c>
      <c r="F352" s="50" t="n">
        <v>14</v>
      </c>
      <c r="G352" s="27" t="s">
        <v>767</v>
      </c>
      <c r="H352" s="50" t="n">
        <f aca="false">F352</f>
        <v>14</v>
      </c>
      <c r="I352" s="51" t="n">
        <v>850</v>
      </c>
      <c r="J352" s="28" t="n">
        <f aca="false">H352*I352</f>
        <v>11900</v>
      </c>
      <c r="K352" s="62" t="s">
        <v>545</v>
      </c>
      <c r="L352" s="7" t="s">
        <v>2073</v>
      </c>
      <c r="M352" s="7" t="s">
        <v>2074</v>
      </c>
    </row>
    <row r="353" customFormat="false" ht="26.85" hidden="false" customHeight="false" outlineLevel="1" collapsed="false">
      <c r="A353" s="27"/>
      <c r="B353" s="27" t="s">
        <v>2071</v>
      </c>
      <c r="C353" s="7" t="s">
        <v>2075</v>
      </c>
      <c r="D353" s="27" t="s">
        <v>727</v>
      </c>
      <c r="E353" s="50" t="n">
        <v>3</v>
      </c>
      <c r="F353" s="50" t="n">
        <v>3</v>
      </c>
      <c r="G353" s="27" t="s">
        <v>767</v>
      </c>
      <c r="H353" s="50" t="n">
        <f aca="false">F353</f>
        <v>3</v>
      </c>
      <c r="I353" s="51" t="n">
        <v>1500</v>
      </c>
      <c r="J353" s="28" t="n">
        <f aca="false">H353*I353</f>
        <v>4500</v>
      </c>
      <c r="K353" s="62" t="s">
        <v>545</v>
      </c>
      <c r="L353" s="7" t="s">
        <v>2076</v>
      </c>
      <c r="M353" s="7" t="s">
        <v>2074</v>
      </c>
    </row>
    <row r="354" customFormat="false" ht="26.85" hidden="false" customHeight="false" outlineLevel="1" collapsed="false">
      <c r="A354" s="27"/>
      <c r="B354" s="27" t="s">
        <v>2071</v>
      </c>
      <c r="C354" s="7" t="s">
        <v>2077</v>
      </c>
      <c r="D354" s="27" t="s">
        <v>727</v>
      </c>
      <c r="E354" s="50" t="n">
        <v>2</v>
      </c>
      <c r="F354" s="50" t="n">
        <v>2</v>
      </c>
      <c r="G354" s="27" t="s">
        <v>767</v>
      </c>
      <c r="H354" s="50" t="n">
        <f aca="false">F354</f>
        <v>2</v>
      </c>
      <c r="I354" s="51" t="n">
        <v>3000</v>
      </c>
      <c r="J354" s="28" t="n">
        <f aca="false">H354*I354</f>
        <v>6000</v>
      </c>
      <c r="K354" s="62" t="s">
        <v>545</v>
      </c>
      <c r="L354" s="7" t="s">
        <v>2059</v>
      </c>
      <c r="M354" s="7" t="s">
        <v>2078</v>
      </c>
    </row>
    <row r="355" customFormat="false" ht="64.9" hidden="false" customHeight="false" outlineLevel="1" collapsed="false">
      <c r="A355" s="27"/>
      <c r="B355" s="27" t="s">
        <v>2071</v>
      </c>
      <c r="C355" s="7" t="s">
        <v>2079</v>
      </c>
      <c r="D355" s="27" t="s">
        <v>853</v>
      </c>
      <c r="E355" s="50" t="n">
        <v>1139</v>
      </c>
      <c r="F355" s="50" t="n">
        <v>1139</v>
      </c>
      <c r="G355" s="27" t="s">
        <v>865</v>
      </c>
      <c r="H355" s="50" t="n">
        <f aca="false">F355/IF(Varsayimlar!$B$21=1,1.43,1)</f>
        <v>796.503496503497</v>
      </c>
      <c r="I355" s="51" t="n">
        <v>1.82</v>
      </c>
      <c r="J355" s="28" t="n">
        <f aca="false">H355*I355</f>
        <v>1449.63636363636</v>
      </c>
      <c r="K355" s="52" t="s">
        <v>548</v>
      </c>
      <c r="L355" s="7" t="s">
        <v>1750</v>
      </c>
      <c r="M355" s="7" t="s">
        <v>1821</v>
      </c>
    </row>
    <row r="356" customFormat="false" ht="26.85" hidden="false" customHeight="false" outlineLevel="1" collapsed="false">
      <c r="A356" s="27"/>
      <c r="B356" s="27" t="s">
        <v>2071</v>
      </c>
      <c r="C356" s="7" t="s">
        <v>2080</v>
      </c>
      <c r="D356" s="27" t="s">
        <v>732</v>
      </c>
      <c r="E356" s="50" t="n">
        <v>4</v>
      </c>
      <c r="F356" s="50" t="n">
        <v>4</v>
      </c>
      <c r="G356" s="27" t="s">
        <v>767</v>
      </c>
      <c r="H356" s="50" t="n">
        <f aca="false">F356</f>
        <v>4</v>
      </c>
      <c r="I356" s="51" t="n">
        <v>1300</v>
      </c>
      <c r="J356" s="28" t="n">
        <f aca="false">H356*I356</f>
        <v>5200</v>
      </c>
      <c r="K356" s="62" t="s">
        <v>545</v>
      </c>
      <c r="L356" s="7" t="s">
        <v>2081</v>
      </c>
      <c r="M356" s="7" t="s">
        <v>2082</v>
      </c>
    </row>
    <row r="357" customFormat="false" ht="15" hidden="false" customHeight="false" outlineLevel="0" collapsed="false">
      <c r="A357" s="48" t="s">
        <v>321</v>
      </c>
      <c r="B357" s="48" t="s">
        <v>2083</v>
      </c>
      <c r="C357" s="48" t="s">
        <v>322</v>
      </c>
      <c r="D357" s="48"/>
      <c r="E357" s="48"/>
      <c r="F357" s="48"/>
      <c r="G357" s="48"/>
      <c r="H357" s="48" t="s">
        <v>765</v>
      </c>
      <c r="I357" s="49" t="n">
        <f aca="false">SUMPRODUCT(E358:E360,I358:I360)</f>
        <v>8000</v>
      </c>
      <c r="J357" s="49" t="n">
        <f aca="false">SUM(J358:J360)</f>
        <v>5500</v>
      </c>
      <c r="K357" s="48"/>
      <c r="L357" s="48"/>
      <c r="M357" s="48"/>
    </row>
    <row r="358" customFormat="false" ht="26.85" hidden="false" customHeight="false" outlineLevel="1" collapsed="false">
      <c r="A358" s="27"/>
      <c r="B358" s="27" t="s">
        <v>2083</v>
      </c>
      <c r="C358" s="7" t="s">
        <v>2084</v>
      </c>
      <c r="D358" s="27" t="s">
        <v>732</v>
      </c>
      <c r="E358" s="50" t="n">
        <v>1</v>
      </c>
      <c r="F358" s="50" t="n">
        <v>1</v>
      </c>
      <c r="G358" s="27" t="s">
        <v>767</v>
      </c>
      <c r="H358" s="50" t="n">
        <f aca="false">F358</f>
        <v>1</v>
      </c>
      <c r="I358" s="51" t="n">
        <v>4500</v>
      </c>
      <c r="J358" s="28" t="n">
        <f aca="false">H358*I358</f>
        <v>4500</v>
      </c>
      <c r="K358" s="62" t="s">
        <v>545</v>
      </c>
      <c r="L358" s="7" t="s">
        <v>2085</v>
      </c>
      <c r="M358" s="7" t="s">
        <v>2086</v>
      </c>
    </row>
    <row r="359" customFormat="false" ht="26.85" hidden="false" customHeight="false" outlineLevel="1" collapsed="false">
      <c r="A359" s="27"/>
      <c r="B359" s="27" t="s">
        <v>2083</v>
      </c>
      <c r="C359" s="7" t="s">
        <v>2087</v>
      </c>
      <c r="D359" s="27" t="s">
        <v>732</v>
      </c>
      <c r="E359" s="50" t="n">
        <v>1</v>
      </c>
      <c r="F359" s="50" t="n">
        <v>1</v>
      </c>
      <c r="G359" s="27" t="s">
        <v>767</v>
      </c>
      <c r="H359" s="50" t="n">
        <f aca="false">F359</f>
        <v>1</v>
      </c>
      <c r="I359" s="51" t="n">
        <v>1000</v>
      </c>
      <c r="J359" s="28" t="n">
        <f aca="false">H359*I359</f>
        <v>1000</v>
      </c>
      <c r="K359" s="62" t="s">
        <v>545</v>
      </c>
      <c r="L359" s="7" t="s">
        <v>2088</v>
      </c>
      <c r="M359" s="7" t="s">
        <v>2089</v>
      </c>
    </row>
    <row r="360" customFormat="false" ht="26.85" hidden="false" customHeight="false" outlineLevel="1" collapsed="false">
      <c r="A360" s="27"/>
      <c r="B360" s="27" t="s">
        <v>2083</v>
      </c>
      <c r="C360" s="7" t="s">
        <v>2090</v>
      </c>
      <c r="D360" s="27" t="s">
        <v>732</v>
      </c>
      <c r="E360" s="50" t="n">
        <v>1</v>
      </c>
      <c r="F360" s="54" t="n">
        <v>0</v>
      </c>
      <c r="G360" s="27" t="s">
        <v>767</v>
      </c>
      <c r="H360" s="50" t="n">
        <f aca="false">F360</f>
        <v>0</v>
      </c>
      <c r="I360" s="51" t="n">
        <v>2500</v>
      </c>
      <c r="J360" s="28" t="n">
        <f aca="false">H360*I360</f>
        <v>0</v>
      </c>
      <c r="K360" s="55" t="s">
        <v>555</v>
      </c>
      <c r="L360" s="7" t="s">
        <v>2091</v>
      </c>
      <c r="M360" s="7" t="s">
        <v>2092</v>
      </c>
    </row>
    <row r="361" customFormat="false" ht="15" hidden="false" customHeight="false" outlineLevel="0" collapsed="false">
      <c r="A361" s="48" t="s">
        <v>323</v>
      </c>
      <c r="B361" s="48" t="s">
        <v>2093</v>
      </c>
      <c r="C361" s="48" t="s">
        <v>324</v>
      </c>
      <c r="D361" s="48"/>
      <c r="E361" s="48"/>
      <c r="F361" s="48"/>
      <c r="G361" s="48"/>
      <c r="H361" s="48" t="s">
        <v>765</v>
      </c>
      <c r="I361" s="49" t="n">
        <f aca="false">SUMPRODUCT(E362:E363,I362:I363)</f>
        <v>7500</v>
      </c>
      <c r="J361" s="49" t="n">
        <f aca="false">SUM(J362:J363)</f>
        <v>7500</v>
      </c>
      <c r="K361" s="48"/>
      <c r="L361" s="48"/>
      <c r="M361" s="48"/>
    </row>
    <row r="362" customFormat="false" ht="39.55" hidden="false" customHeight="false" outlineLevel="1" collapsed="false">
      <c r="A362" s="27"/>
      <c r="B362" s="27" t="s">
        <v>2093</v>
      </c>
      <c r="C362" s="7" t="s">
        <v>2094</v>
      </c>
      <c r="D362" s="27" t="s">
        <v>732</v>
      </c>
      <c r="E362" s="50" t="n">
        <v>1</v>
      </c>
      <c r="F362" s="50" t="n">
        <v>1</v>
      </c>
      <c r="G362" s="27" t="s">
        <v>767</v>
      </c>
      <c r="H362" s="50" t="n">
        <f aca="false">F362</f>
        <v>1</v>
      </c>
      <c r="I362" s="51" t="n">
        <v>5000</v>
      </c>
      <c r="J362" s="28" t="n">
        <f aca="false">H362*I362</f>
        <v>5000</v>
      </c>
      <c r="K362" s="53" t="s">
        <v>551</v>
      </c>
      <c r="L362" s="7" t="s">
        <v>2095</v>
      </c>
      <c r="M362" s="7" t="s">
        <v>1672</v>
      </c>
    </row>
    <row r="363" customFormat="false" ht="52.2" hidden="false" customHeight="false" outlineLevel="1" collapsed="false">
      <c r="A363" s="27"/>
      <c r="B363" s="27" t="s">
        <v>2093</v>
      </c>
      <c r="C363" s="7" t="s">
        <v>1670</v>
      </c>
      <c r="D363" s="27" t="s">
        <v>732</v>
      </c>
      <c r="E363" s="50" t="n">
        <v>1</v>
      </c>
      <c r="F363" s="50" t="n">
        <v>1</v>
      </c>
      <c r="G363" s="27" t="s">
        <v>767</v>
      </c>
      <c r="H363" s="50" t="n">
        <f aca="false">F363</f>
        <v>1</v>
      </c>
      <c r="I363" s="51" t="n">
        <v>2500</v>
      </c>
      <c r="J363" s="28" t="n">
        <f aca="false">H363*I363</f>
        <v>2500</v>
      </c>
      <c r="K363" s="53" t="s">
        <v>551</v>
      </c>
      <c r="L363" s="7" t="s">
        <v>1809</v>
      </c>
      <c r="M363" s="7" t="s">
        <v>1672</v>
      </c>
    </row>
    <row r="364" customFormat="false" ht="15" hidden="false" customHeight="false" outlineLevel="0" collapsed="false">
      <c r="A364" s="48" t="s">
        <v>325</v>
      </c>
      <c r="B364" s="48" t="s">
        <v>2096</v>
      </c>
      <c r="C364" s="48" t="s">
        <v>326</v>
      </c>
      <c r="D364" s="48"/>
      <c r="E364" s="48"/>
      <c r="F364" s="48"/>
      <c r="G364" s="48"/>
      <c r="H364" s="48" t="s">
        <v>765</v>
      </c>
      <c r="I364" s="49" t="n">
        <f aca="false">SUMPRODUCT(E365:E369,I365:I369)</f>
        <v>2236.7</v>
      </c>
      <c r="J364" s="49" t="n">
        <f aca="false">SUM(J365:J369)</f>
        <v>2178.24405594406</v>
      </c>
      <c r="K364" s="48"/>
      <c r="L364" s="48"/>
      <c r="M364" s="48"/>
    </row>
    <row r="365" customFormat="false" ht="90.25" hidden="false" customHeight="false" outlineLevel="1" collapsed="false">
      <c r="A365" s="27"/>
      <c r="B365" s="27" t="s">
        <v>2096</v>
      </c>
      <c r="C365" s="7" t="s">
        <v>2097</v>
      </c>
      <c r="D365" s="27" t="s">
        <v>727</v>
      </c>
      <c r="E365" s="50" t="n">
        <v>2</v>
      </c>
      <c r="F365" s="50" t="n">
        <v>2</v>
      </c>
      <c r="G365" s="27" t="s">
        <v>767</v>
      </c>
      <c r="H365" s="50" t="n">
        <f aca="false">F365</f>
        <v>2</v>
      </c>
      <c r="I365" s="51" t="n">
        <v>683.99</v>
      </c>
      <c r="J365" s="28" t="n">
        <f aca="false">H365*I365</f>
        <v>1367.98</v>
      </c>
      <c r="K365" s="52" t="s">
        <v>548</v>
      </c>
      <c r="L365" s="7" t="s">
        <v>2098</v>
      </c>
      <c r="M365" s="7" t="s">
        <v>2099</v>
      </c>
    </row>
    <row r="366" customFormat="false" ht="102.95" hidden="false" customHeight="false" outlineLevel="1" collapsed="false">
      <c r="A366" s="27"/>
      <c r="B366" s="27" t="s">
        <v>2096</v>
      </c>
      <c r="C366" s="7" t="s">
        <v>2100</v>
      </c>
      <c r="D366" s="27" t="s">
        <v>727</v>
      </c>
      <c r="E366" s="50" t="n">
        <v>2</v>
      </c>
      <c r="F366" s="50" t="n">
        <v>2</v>
      </c>
      <c r="G366" s="27" t="s">
        <v>767</v>
      </c>
      <c r="H366" s="50" t="n">
        <f aca="false">F366</f>
        <v>2</v>
      </c>
      <c r="I366" s="51" t="n">
        <v>107.61</v>
      </c>
      <c r="J366" s="28" t="n">
        <f aca="false">H366*I366</f>
        <v>215.22</v>
      </c>
      <c r="K366" s="52" t="s">
        <v>548</v>
      </c>
      <c r="L366" s="7" t="s">
        <v>2101</v>
      </c>
      <c r="M366" s="7" t="s">
        <v>2102</v>
      </c>
    </row>
    <row r="367" customFormat="false" ht="166.4" hidden="false" customHeight="false" outlineLevel="1" collapsed="false">
      <c r="A367" s="27"/>
      <c r="B367" s="27" t="s">
        <v>2096</v>
      </c>
      <c r="C367" s="7" t="s">
        <v>2103</v>
      </c>
      <c r="D367" s="27" t="s">
        <v>732</v>
      </c>
      <c r="E367" s="50" t="n">
        <v>2</v>
      </c>
      <c r="F367" s="50" t="n">
        <v>2</v>
      </c>
      <c r="G367" s="27" t="s">
        <v>767</v>
      </c>
      <c r="H367" s="50" t="n">
        <f aca="false">F367</f>
        <v>2</v>
      </c>
      <c r="I367" s="51" t="n">
        <v>185.89</v>
      </c>
      <c r="J367" s="28" t="n">
        <f aca="false">H367*I367</f>
        <v>371.78</v>
      </c>
      <c r="K367" s="52" t="s">
        <v>548</v>
      </c>
      <c r="L367" s="7" t="s">
        <v>2104</v>
      </c>
      <c r="M367" s="7" t="s">
        <v>2105</v>
      </c>
    </row>
    <row r="368" customFormat="false" ht="52.2" hidden="false" customHeight="false" outlineLevel="1" collapsed="false">
      <c r="A368" s="27"/>
      <c r="B368" s="27" t="s">
        <v>2096</v>
      </c>
      <c r="C368" s="7" t="s">
        <v>2106</v>
      </c>
      <c r="D368" s="27" t="s">
        <v>727</v>
      </c>
      <c r="E368" s="50" t="n">
        <v>4</v>
      </c>
      <c r="F368" s="50" t="n">
        <v>4</v>
      </c>
      <c r="G368" s="27" t="s">
        <v>767</v>
      </c>
      <c r="H368" s="50" t="n">
        <f aca="false">F368</f>
        <v>4</v>
      </c>
      <c r="I368" s="51" t="n">
        <v>21.83</v>
      </c>
      <c r="J368" s="28" t="n">
        <f aca="false">H368*I368</f>
        <v>87.32</v>
      </c>
      <c r="K368" s="52" t="s">
        <v>548</v>
      </c>
      <c r="L368" s="7" t="s">
        <v>2107</v>
      </c>
      <c r="M368" s="7" t="s">
        <v>2108</v>
      </c>
    </row>
    <row r="369" customFormat="false" ht="52.2" hidden="false" customHeight="false" outlineLevel="1" collapsed="false">
      <c r="A369" s="27"/>
      <c r="B369" s="27" t="s">
        <v>2096</v>
      </c>
      <c r="C369" s="7" t="s">
        <v>2109</v>
      </c>
      <c r="D369" s="27" t="s">
        <v>853</v>
      </c>
      <c r="E369" s="50" t="n">
        <v>72</v>
      </c>
      <c r="F369" s="50" t="n">
        <v>72</v>
      </c>
      <c r="G369" s="27" t="s">
        <v>865</v>
      </c>
      <c r="H369" s="50" t="n">
        <f aca="false">F369/IF(Varsayimlar!$B$21=1,1.43,1)</f>
        <v>50.3496503496504</v>
      </c>
      <c r="I369" s="51" t="n">
        <v>2.7</v>
      </c>
      <c r="J369" s="28" t="n">
        <f aca="false">H369*I369</f>
        <v>135.944055944056</v>
      </c>
      <c r="K369" s="52" t="s">
        <v>548</v>
      </c>
      <c r="L369" s="7" t="s">
        <v>2110</v>
      </c>
      <c r="M369" s="7" t="s">
        <v>1729</v>
      </c>
    </row>
    <row r="370" customFormat="false" ht="15" hidden="false" customHeight="false" outlineLevel="0" collapsed="false">
      <c r="A370" s="48" t="s">
        <v>327</v>
      </c>
      <c r="B370" s="48" t="s">
        <v>2111</v>
      </c>
      <c r="C370" s="48" t="s">
        <v>328</v>
      </c>
      <c r="D370" s="48"/>
      <c r="E370" s="48"/>
      <c r="F370" s="48"/>
      <c r="G370" s="48"/>
      <c r="H370" s="48" t="s">
        <v>765</v>
      </c>
      <c r="I370" s="49" t="n">
        <f aca="false">SUMPRODUCT(E371:E375,I371:I375)</f>
        <v>1118.35</v>
      </c>
      <c r="J370" s="49" t="n">
        <f aca="false">SUM(J371:J375)</f>
        <v>1089.12202797203</v>
      </c>
      <c r="K370" s="48"/>
      <c r="L370" s="48"/>
      <c r="M370" s="48"/>
    </row>
    <row r="371" customFormat="false" ht="90.25" hidden="false" customHeight="false" outlineLevel="1" collapsed="false">
      <c r="A371" s="27"/>
      <c r="B371" s="27" t="s">
        <v>2111</v>
      </c>
      <c r="C371" s="7" t="s">
        <v>2097</v>
      </c>
      <c r="D371" s="27" t="s">
        <v>727</v>
      </c>
      <c r="E371" s="50" t="n">
        <v>1</v>
      </c>
      <c r="F371" s="50" t="n">
        <v>1</v>
      </c>
      <c r="G371" s="27" t="s">
        <v>767</v>
      </c>
      <c r="H371" s="50" t="n">
        <f aca="false">F371</f>
        <v>1</v>
      </c>
      <c r="I371" s="51" t="n">
        <v>683.99</v>
      </c>
      <c r="J371" s="28" t="n">
        <f aca="false">H371*I371</f>
        <v>683.99</v>
      </c>
      <c r="K371" s="52" t="s">
        <v>548</v>
      </c>
      <c r="L371" s="7" t="s">
        <v>2098</v>
      </c>
      <c r="M371" s="7" t="s">
        <v>2099</v>
      </c>
    </row>
    <row r="372" customFormat="false" ht="102.95" hidden="false" customHeight="false" outlineLevel="1" collapsed="false">
      <c r="A372" s="27"/>
      <c r="B372" s="27" t="s">
        <v>2111</v>
      </c>
      <c r="C372" s="7" t="s">
        <v>2100</v>
      </c>
      <c r="D372" s="27" t="s">
        <v>727</v>
      </c>
      <c r="E372" s="50" t="n">
        <v>1</v>
      </c>
      <c r="F372" s="50" t="n">
        <v>1</v>
      </c>
      <c r="G372" s="27" t="s">
        <v>767</v>
      </c>
      <c r="H372" s="50" t="n">
        <f aca="false">F372</f>
        <v>1</v>
      </c>
      <c r="I372" s="51" t="n">
        <v>107.61</v>
      </c>
      <c r="J372" s="28" t="n">
        <f aca="false">H372*I372</f>
        <v>107.61</v>
      </c>
      <c r="K372" s="52" t="s">
        <v>548</v>
      </c>
      <c r="L372" s="7" t="s">
        <v>2101</v>
      </c>
      <c r="M372" s="7" t="s">
        <v>2102</v>
      </c>
    </row>
    <row r="373" customFormat="false" ht="166.4" hidden="false" customHeight="false" outlineLevel="1" collapsed="false">
      <c r="A373" s="27"/>
      <c r="B373" s="27" t="s">
        <v>2111</v>
      </c>
      <c r="C373" s="7" t="s">
        <v>2103</v>
      </c>
      <c r="D373" s="27" t="s">
        <v>732</v>
      </c>
      <c r="E373" s="50" t="n">
        <v>1</v>
      </c>
      <c r="F373" s="50" t="n">
        <v>1</v>
      </c>
      <c r="G373" s="27" t="s">
        <v>767</v>
      </c>
      <c r="H373" s="50" t="n">
        <f aca="false">F373</f>
        <v>1</v>
      </c>
      <c r="I373" s="51" t="n">
        <v>185.89</v>
      </c>
      <c r="J373" s="28" t="n">
        <f aca="false">H373*I373</f>
        <v>185.89</v>
      </c>
      <c r="K373" s="52" t="s">
        <v>548</v>
      </c>
      <c r="L373" s="7" t="s">
        <v>2104</v>
      </c>
      <c r="M373" s="7" t="s">
        <v>2105</v>
      </c>
    </row>
    <row r="374" customFormat="false" ht="52.2" hidden="false" customHeight="false" outlineLevel="1" collapsed="false">
      <c r="A374" s="27"/>
      <c r="B374" s="27" t="s">
        <v>2111</v>
      </c>
      <c r="C374" s="7" t="s">
        <v>2106</v>
      </c>
      <c r="D374" s="27" t="s">
        <v>727</v>
      </c>
      <c r="E374" s="50" t="n">
        <v>2</v>
      </c>
      <c r="F374" s="50" t="n">
        <v>2</v>
      </c>
      <c r="G374" s="27" t="s">
        <v>767</v>
      </c>
      <c r="H374" s="50" t="n">
        <f aca="false">F374</f>
        <v>2</v>
      </c>
      <c r="I374" s="51" t="n">
        <v>21.83</v>
      </c>
      <c r="J374" s="28" t="n">
        <f aca="false">H374*I374</f>
        <v>43.66</v>
      </c>
      <c r="K374" s="52" t="s">
        <v>548</v>
      </c>
      <c r="L374" s="7" t="s">
        <v>2107</v>
      </c>
      <c r="M374" s="7" t="s">
        <v>2108</v>
      </c>
    </row>
    <row r="375" customFormat="false" ht="52.2" hidden="false" customHeight="false" outlineLevel="1" collapsed="false">
      <c r="A375" s="27"/>
      <c r="B375" s="27" t="s">
        <v>2111</v>
      </c>
      <c r="C375" s="7" t="s">
        <v>2109</v>
      </c>
      <c r="D375" s="27" t="s">
        <v>853</v>
      </c>
      <c r="E375" s="50" t="n">
        <v>36</v>
      </c>
      <c r="F375" s="50" t="n">
        <v>36</v>
      </c>
      <c r="G375" s="27" t="s">
        <v>865</v>
      </c>
      <c r="H375" s="50" t="n">
        <f aca="false">F375/IF(Varsayimlar!$B$21=1,1.43,1)</f>
        <v>25.1748251748252</v>
      </c>
      <c r="I375" s="51" t="n">
        <v>2.7</v>
      </c>
      <c r="J375" s="28" t="n">
        <f aca="false">H375*I375</f>
        <v>67.972027972028</v>
      </c>
      <c r="K375" s="52" t="s">
        <v>548</v>
      </c>
      <c r="L375" s="7" t="s">
        <v>2110</v>
      </c>
      <c r="M375" s="7" t="s">
        <v>1729</v>
      </c>
    </row>
    <row r="376" customFormat="false" ht="15" hidden="false" customHeight="false" outlineLevel="0" collapsed="false">
      <c r="A376" s="48" t="s">
        <v>329</v>
      </c>
      <c r="B376" s="48" t="s">
        <v>2112</v>
      </c>
      <c r="C376" s="48" t="s">
        <v>330</v>
      </c>
      <c r="D376" s="48"/>
      <c r="E376" s="48"/>
      <c r="F376" s="48"/>
      <c r="G376" s="48"/>
      <c r="H376" s="48" t="s">
        <v>765</v>
      </c>
      <c r="I376" s="49" t="n">
        <f aca="false">SUMPRODUCT(E377:E381,I377:I381)</f>
        <v>1118.35</v>
      </c>
      <c r="J376" s="49" t="n">
        <f aca="false">SUM(J377:J381)</f>
        <v>1089.12202797203</v>
      </c>
      <c r="K376" s="48"/>
      <c r="L376" s="48"/>
      <c r="M376" s="48"/>
    </row>
    <row r="377" customFormat="false" ht="90.25" hidden="false" customHeight="false" outlineLevel="1" collapsed="false">
      <c r="A377" s="27"/>
      <c r="B377" s="27" t="s">
        <v>2112</v>
      </c>
      <c r="C377" s="7" t="s">
        <v>2097</v>
      </c>
      <c r="D377" s="27" t="s">
        <v>727</v>
      </c>
      <c r="E377" s="50" t="n">
        <v>1</v>
      </c>
      <c r="F377" s="50" t="n">
        <v>1</v>
      </c>
      <c r="G377" s="27" t="s">
        <v>767</v>
      </c>
      <c r="H377" s="50" t="n">
        <f aca="false">F377</f>
        <v>1</v>
      </c>
      <c r="I377" s="51" t="n">
        <v>683.99</v>
      </c>
      <c r="J377" s="28" t="n">
        <f aca="false">H377*I377</f>
        <v>683.99</v>
      </c>
      <c r="K377" s="52" t="s">
        <v>548</v>
      </c>
      <c r="L377" s="7" t="s">
        <v>2098</v>
      </c>
      <c r="M377" s="7" t="s">
        <v>2099</v>
      </c>
    </row>
    <row r="378" customFormat="false" ht="102.95" hidden="false" customHeight="false" outlineLevel="1" collapsed="false">
      <c r="A378" s="27"/>
      <c r="B378" s="27" t="s">
        <v>2112</v>
      </c>
      <c r="C378" s="7" t="s">
        <v>2100</v>
      </c>
      <c r="D378" s="27" t="s">
        <v>727</v>
      </c>
      <c r="E378" s="50" t="n">
        <v>1</v>
      </c>
      <c r="F378" s="50" t="n">
        <v>1</v>
      </c>
      <c r="G378" s="27" t="s">
        <v>767</v>
      </c>
      <c r="H378" s="50" t="n">
        <f aca="false">F378</f>
        <v>1</v>
      </c>
      <c r="I378" s="51" t="n">
        <v>107.61</v>
      </c>
      <c r="J378" s="28" t="n">
        <f aca="false">H378*I378</f>
        <v>107.61</v>
      </c>
      <c r="K378" s="52" t="s">
        <v>548</v>
      </c>
      <c r="L378" s="7" t="s">
        <v>2101</v>
      </c>
      <c r="M378" s="7" t="s">
        <v>2102</v>
      </c>
    </row>
    <row r="379" customFormat="false" ht="166.4" hidden="false" customHeight="false" outlineLevel="1" collapsed="false">
      <c r="A379" s="27"/>
      <c r="B379" s="27" t="s">
        <v>2112</v>
      </c>
      <c r="C379" s="7" t="s">
        <v>2103</v>
      </c>
      <c r="D379" s="27" t="s">
        <v>732</v>
      </c>
      <c r="E379" s="50" t="n">
        <v>1</v>
      </c>
      <c r="F379" s="50" t="n">
        <v>1</v>
      </c>
      <c r="G379" s="27" t="s">
        <v>767</v>
      </c>
      <c r="H379" s="50" t="n">
        <f aca="false">F379</f>
        <v>1</v>
      </c>
      <c r="I379" s="51" t="n">
        <v>185.89</v>
      </c>
      <c r="J379" s="28" t="n">
        <f aca="false">H379*I379</f>
        <v>185.89</v>
      </c>
      <c r="K379" s="52" t="s">
        <v>548</v>
      </c>
      <c r="L379" s="7" t="s">
        <v>2104</v>
      </c>
      <c r="M379" s="7" t="s">
        <v>2105</v>
      </c>
    </row>
    <row r="380" customFormat="false" ht="52.2" hidden="false" customHeight="false" outlineLevel="1" collapsed="false">
      <c r="A380" s="27"/>
      <c r="B380" s="27" t="s">
        <v>2112</v>
      </c>
      <c r="C380" s="7" t="s">
        <v>2106</v>
      </c>
      <c r="D380" s="27" t="s">
        <v>727</v>
      </c>
      <c r="E380" s="50" t="n">
        <v>2</v>
      </c>
      <c r="F380" s="50" t="n">
        <v>2</v>
      </c>
      <c r="G380" s="27" t="s">
        <v>767</v>
      </c>
      <c r="H380" s="50" t="n">
        <f aca="false">F380</f>
        <v>2</v>
      </c>
      <c r="I380" s="51" t="n">
        <v>21.83</v>
      </c>
      <c r="J380" s="28" t="n">
        <f aca="false">H380*I380</f>
        <v>43.66</v>
      </c>
      <c r="K380" s="52" t="s">
        <v>548</v>
      </c>
      <c r="L380" s="7" t="s">
        <v>2107</v>
      </c>
      <c r="M380" s="7" t="s">
        <v>2108</v>
      </c>
    </row>
    <row r="381" customFormat="false" ht="52.2" hidden="false" customHeight="false" outlineLevel="1" collapsed="false">
      <c r="A381" s="27"/>
      <c r="B381" s="27" t="s">
        <v>2112</v>
      </c>
      <c r="C381" s="7" t="s">
        <v>2109</v>
      </c>
      <c r="D381" s="27" t="s">
        <v>853</v>
      </c>
      <c r="E381" s="50" t="n">
        <v>36</v>
      </c>
      <c r="F381" s="50" t="n">
        <v>36</v>
      </c>
      <c r="G381" s="27" t="s">
        <v>865</v>
      </c>
      <c r="H381" s="50" t="n">
        <f aca="false">F381/IF(Varsayimlar!$B$21=1,1.43,1)</f>
        <v>25.1748251748252</v>
      </c>
      <c r="I381" s="51" t="n">
        <v>2.7</v>
      </c>
      <c r="J381" s="28" t="n">
        <f aca="false">H381*I381</f>
        <v>67.972027972028</v>
      </c>
      <c r="K381" s="52" t="s">
        <v>548</v>
      </c>
      <c r="L381" s="7" t="s">
        <v>2110</v>
      </c>
      <c r="M381" s="7" t="s">
        <v>1729</v>
      </c>
    </row>
    <row r="382" customFormat="false" ht="15" hidden="false" customHeight="false" outlineLevel="0" collapsed="false">
      <c r="A382" s="48" t="s">
        <v>331</v>
      </c>
      <c r="B382" s="48" t="s">
        <v>2113</v>
      </c>
      <c r="C382" s="48" t="s">
        <v>332</v>
      </c>
      <c r="D382" s="48"/>
      <c r="E382" s="48"/>
      <c r="F382" s="48"/>
      <c r="G382" s="48"/>
      <c r="H382" s="48" t="s">
        <v>765</v>
      </c>
      <c r="I382" s="49" t="n">
        <f aca="false">SUMPRODUCT(E383:E387,I383:I387)</f>
        <v>1118.35</v>
      </c>
      <c r="J382" s="49" t="n">
        <f aca="false">SUM(J383:J387)</f>
        <v>1089.12202797203</v>
      </c>
      <c r="K382" s="48"/>
      <c r="L382" s="48"/>
      <c r="M382" s="48"/>
    </row>
    <row r="383" customFormat="false" ht="90.25" hidden="false" customHeight="false" outlineLevel="1" collapsed="false">
      <c r="A383" s="27"/>
      <c r="B383" s="27" t="s">
        <v>2113</v>
      </c>
      <c r="C383" s="7" t="s">
        <v>2097</v>
      </c>
      <c r="D383" s="27" t="s">
        <v>727</v>
      </c>
      <c r="E383" s="50" t="n">
        <v>1</v>
      </c>
      <c r="F383" s="50" t="n">
        <v>1</v>
      </c>
      <c r="G383" s="27" t="s">
        <v>767</v>
      </c>
      <c r="H383" s="50" t="n">
        <f aca="false">F383</f>
        <v>1</v>
      </c>
      <c r="I383" s="51" t="n">
        <v>683.99</v>
      </c>
      <c r="J383" s="28" t="n">
        <f aca="false">H383*I383</f>
        <v>683.99</v>
      </c>
      <c r="K383" s="52" t="s">
        <v>548</v>
      </c>
      <c r="L383" s="7" t="s">
        <v>2098</v>
      </c>
      <c r="M383" s="7" t="s">
        <v>2099</v>
      </c>
    </row>
    <row r="384" customFormat="false" ht="102.95" hidden="false" customHeight="false" outlineLevel="1" collapsed="false">
      <c r="A384" s="27"/>
      <c r="B384" s="27" t="s">
        <v>2113</v>
      </c>
      <c r="C384" s="7" t="s">
        <v>2100</v>
      </c>
      <c r="D384" s="27" t="s">
        <v>727</v>
      </c>
      <c r="E384" s="50" t="n">
        <v>1</v>
      </c>
      <c r="F384" s="50" t="n">
        <v>1</v>
      </c>
      <c r="G384" s="27" t="s">
        <v>767</v>
      </c>
      <c r="H384" s="50" t="n">
        <f aca="false">F384</f>
        <v>1</v>
      </c>
      <c r="I384" s="51" t="n">
        <v>107.61</v>
      </c>
      <c r="J384" s="28" t="n">
        <f aca="false">H384*I384</f>
        <v>107.61</v>
      </c>
      <c r="K384" s="52" t="s">
        <v>548</v>
      </c>
      <c r="L384" s="7" t="s">
        <v>2101</v>
      </c>
      <c r="M384" s="7" t="s">
        <v>2102</v>
      </c>
    </row>
    <row r="385" customFormat="false" ht="166.4" hidden="false" customHeight="false" outlineLevel="1" collapsed="false">
      <c r="A385" s="27"/>
      <c r="B385" s="27" t="s">
        <v>2113</v>
      </c>
      <c r="C385" s="7" t="s">
        <v>2103</v>
      </c>
      <c r="D385" s="27" t="s">
        <v>732</v>
      </c>
      <c r="E385" s="50" t="n">
        <v>1</v>
      </c>
      <c r="F385" s="50" t="n">
        <v>1</v>
      </c>
      <c r="G385" s="27" t="s">
        <v>767</v>
      </c>
      <c r="H385" s="50" t="n">
        <f aca="false">F385</f>
        <v>1</v>
      </c>
      <c r="I385" s="51" t="n">
        <v>185.89</v>
      </c>
      <c r="J385" s="28" t="n">
        <f aca="false">H385*I385</f>
        <v>185.89</v>
      </c>
      <c r="K385" s="52" t="s">
        <v>548</v>
      </c>
      <c r="L385" s="7" t="s">
        <v>2104</v>
      </c>
      <c r="M385" s="7" t="s">
        <v>2105</v>
      </c>
    </row>
    <row r="386" customFormat="false" ht="52.2" hidden="false" customHeight="false" outlineLevel="1" collapsed="false">
      <c r="A386" s="27"/>
      <c r="B386" s="27" t="s">
        <v>2113</v>
      </c>
      <c r="C386" s="7" t="s">
        <v>2106</v>
      </c>
      <c r="D386" s="27" t="s">
        <v>727</v>
      </c>
      <c r="E386" s="50" t="n">
        <v>2</v>
      </c>
      <c r="F386" s="50" t="n">
        <v>2</v>
      </c>
      <c r="G386" s="27" t="s">
        <v>767</v>
      </c>
      <c r="H386" s="50" t="n">
        <f aca="false">F386</f>
        <v>2</v>
      </c>
      <c r="I386" s="51" t="n">
        <v>21.83</v>
      </c>
      <c r="J386" s="28" t="n">
        <f aca="false">H386*I386</f>
        <v>43.66</v>
      </c>
      <c r="K386" s="52" t="s">
        <v>548</v>
      </c>
      <c r="L386" s="7" t="s">
        <v>2107</v>
      </c>
      <c r="M386" s="7" t="s">
        <v>2108</v>
      </c>
    </row>
    <row r="387" customFormat="false" ht="52.2" hidden="false" customHeight="false" outlineLevel="1" collapsed="false">
      <c r="A387" s="27"/>
      <c r="B387" s="27" t="s">
        <v>2113</v>
      </c>
      <c r="C387" s="7" t="s">
        <v>2109</v>
      </c>
      <c r="D387" s="27" t="s">
        <v>853</v>
      </c>
      <c r="E387" s="50" t="n">
        <v>36</v>
      </c>
      <c r="F387" s="50" t="n">
        <v>36</v>
      </c>
      <c r="G387" s="27" t="s">
        <v>865</v>
      </c>
      <c r="H387" s="50" t="n">
        <f aca="false">F387/IF(Varsayimlar!$B$21=1,1.43,1)</f>
        <v>25.1748251748252</v>
      </c>
      <c r="I387" s="51" t="n">
        <v>2.7</v>
      </c>
      <c r="J387" s="28" t="n">
        <f aca="false">H387*I387</f>
        <v>67.972027972028</v>
      </c>
      <c r="K387" s="52" t="s">
        <v>548</v>
      </c>
      <c r="L387" s="7" t="s">
        <v>2110</v>
      </c>
      <c r="M387" s="7" t="s">
        <v>1729</v>
      </c>
    </row>
    <row r="388" customFormat="false" ht="15" hidden="false" customHeight="false" outlineLevel="0" collapsed="false">
      <c r="A388" s="48" t="s">
        <v>333</v>
      </c>
      <c r="B388" s="48" t="s">
        <v>2114</v>
      </c>
      <c r="C388" s="48" t="s">
        <v>334</v>
      </c>
      <c r="D388" s="48"/>
      <c r="E388" s="48"/>
      <c r="F388" s="48"/>
      <c r="G388" s="48"/>
      <c r="H388" s="48" t="s">
        <v>765</v>
      </c>
      <c r="I388" s="49" t="n">
        <f aca="false">SUMPRODUCT(E389:E393,I389:I393)</f>
        <v>1118.35</v>
      </c>
      <c r="J388" s="49" t="n">
        <f aca="false">SUM(J389:J393)</f>
        <v>1089.12202797203</v>
      </c>
      <c r="K388" s="48"/>
      <c r="L388" s="48"/>
      <c r="M388" s="48"/>
    </row>
    <row r="389" customFormat="false" ht="90.25" hidden="false" customHeight="false" outlineLevel="1" collapsed="false">
      <c r="A389" s="27"/>
      <c r="B389" s="27" t="s">
        <v>2114</v>
      </c>
      <c r="C389" s="7" t="s">
        <v>2097</v>
      </c>
      <c r="D389" s="27" t="s">
        <v>727</v>
      </c>
      <c r="E389" s="50" t="n">
        <v>1</v>
      </c>
      <c r="F389" s="50" t="n">
        <v>1</v>
      </c>
      <c r="G389" s="27" t="s">
        <v>767</v>
      </c>
      <c r="H389" s="50" t="n">
        <f aca="false">F389</f>
        <v>1</v>
      </c>
      <c r="I389" s="51" t="n">
        <v>683.99</v>
      </c>
      <c r="J389" s="28" t="n">
        <f aca="false">H389*I389</f>
        <v>683.99</v>
      </c>
      <c r="K389" s="52" t="s">
        <v>548</v>
      </c>
      <c r="L389" s="7" t="s">
        <v>2098</v>
      </c>
      <c r="M389" s="7" t="s">
        <v>2099</v>
      </c>
    </row>
    <row r="390" customFormat="false" ht="102.95" hidden="false" customHeight="false" outlineLevel="1" collapsed="false">
      <c r="A390" s="27"/>
      <c r="B390" s="27" t="s">
        <v>2114</v>
      </c>
      <c r="C390" s="7" t="s">
        <v>2100</v>
      </c>
      <c r="D390" s="27" t="s">
        <v>727</v>
      </c>
      <c r="E390" s="50" t="n">
        <v>1</v>
      </c>
      <c r="F390" s="50" t="n">
        <v>1</v>
      </c>
      <c r="G390" s="27" t="s">
        <v>767</v>
      </c>
      <c r="H390" s="50" t="n">
        <f aca="false">F390</f>
        <v>1</v>
      </c>
      <c r="I390" s="51" t="n">
        <v>107.61</v>
      </c>
      <c r="J390" s="28" t="n">
        <f aca="false">H390*I390</f>
        <v>107.61</v>
      </c>
      <c r="K390" s="52" t="s">
        <v>548</v>
      </c>
      <c r="L390" s="7" t="s">
        <v>2101</v>
      </c>
      <c r="M390" s="7" t="s">
        <v>2102</v>
      </c>
    </row>
    <row r="391" customFormat="false" ht="166.4" hidden="false" customHeight="false" outlineLevel="1" collapsed="false">
      <c r="A391" s="27"/>
      <c r="B391" s="27" t="s">
        <v>2114</v>
      </c>
      <c r="C391" s="7" t="s">
        <v>2103</v>
      </c>
      <c r="D391" s="27" t="s">
        <v>732</v>
      </c>
      <c r="E391" s="50" t="n">
        <v>1</v>
      </c>
      <c r="F391" s="50" t="n">
        <v>1</v>
      </c>
      <c r="G391" s="27" t="s">
        <v>767</v>
      </c>
      <c r="H391" s="50" t="n">
        <f aca="false">F391</f>
        <v>1</v>
      </c>
      <c r="I391" s="51" t="n">
        <v>185.89</v>
      </c>
      <c r="J391" s="28" t="n">
        <f aca="false">H391*I391</f>
        <v>185.89</v>
      </c>
      <c r="K391" s="52" t="s">
        <v>548</v>
      </c>
      <c r="L391" s="7" t="s">
        <v>2104</v>
      </c>
      <c r="M391" s="7" t="s">
        <v>2105</v>
      </c>
    </row>
    <row r="392" customFormat="false" ht="52.2" hidden="false" customHeight="false" outlineLevel="1" collapsed="false">
      <c r="A392" s="27"/>
      <c r="B392" s="27" t="s">
        <v>2114</v>
      </c>
      <c r="C392" s="7" t="s">
        <v>2106</v>
      </c>
      <c r="D392" s="27" t="s">
        <v>727</v>
      </c>
      <c r="E392" s="50" t="n">
        <v>2</v>
      </c>
      <c r="F392" s="50" t="n">
        <v>2</v>
      </c>
      <c r="G392" s="27" t="s">
        <v>767</v>
      </c>
      <c r="H392" s="50" t="n">
        <f aca="false">F392</f>
        <v>2</v>
      </c>
      <c r="I392" s="51" t="n">
        <v>21.83</v>
      </c>
      <c r="J392" s="28" t="n">
        <f aca="false">H392*I392</f>
        <v>43.66</v>
      </c>
      <c r="K392" s="52" t="s">
        <v>548</v>
      </c>
      <c r="L392" s="7" t="s">
        <v>2107</v>
      </c>
      <c r="M392" s="7" t="s">
        <v>2108</v>
      </c>
    </row>
    <row r="393" customFormat="false" ht="52.2" hidden="false" customHeight="false" outlineLevel="1" collapsed="false">
      <c r="A393" s="27"/>
      <c r="B393" s="27" t="s">
        <v>2114</v>
      </c>
      <c r="C393" s="7" t="s">
        <v>2109</v>
      </c>
      <c r="D393" s="27" t="s">
        <v>853</v>
      </c>
      <c r="E393" s="50" t="n">
        <v>36</v>
      </c>
      <c r="F393" s="50" t="n">
        <v>36</v>
      </c>
      <c r="G393" s="27" t="s">
        <v>865</v>
      </c>
      <c r="H393" s="50" t="n">
        <f aca="false">F393/IF(Varsayimlar!$B$21=1,1.43,1)</f>
        <v>25.1748251748252</v>
      </c>
      <c r="I393" s="51" t="n">
        <v>2.7</v>
      </c>
      <c r="J393" s="28" t="n">
        <f aca="false">H393*I393</f>
        <v>67.972027972028</v>
      </c>
      <c r="K393" s="52" t="s">
        <v>548</v>
      </c>
      <c r="L393" s="7" t="s">
        <v>2110</v>
      </c>
      <c r="M393" s="7" t="s">
        <v>1729</v>
      </c>
    </row>
    <row r="394" customFormat="false" ht="15" hidden="false" customHeight="false" outlineLevel="0" collapsed="false">
      <c r="A394" s="48" t="s">
        <v>335</v>
      </c>
      <c r="B394" s="48" t="s">
        <v>2115</v>
      </c>
      <c r="C394" s="48" t="s">
        <v>336</v>
      </c>
      <c r="D394" s="48"/>
      <c r="E394" s="48"/>
      <c r="F394" s="48"/>
      <c r="G394" s="48"/>
      <c r="H394" s="48" t="s">
        <v>765</v>
      </c>
      <c r="I394" s="49" t="n">
        <f aca="false">SUMPRODUCT(E395:E399,I395:I399)</f>
        <v>1118.35</v>
      </c>
      <c r="J394" s="49" t="n">
        <f aca="false">SUM(J395:J399)</f>
        <v>1089.12202797203</v>
      </c>
      <c r="K394" s="48"/>
      <c r="L394" s="48"/>
      <c r="M394" s="48"/>
    </row>
    <row r="395" customFormat="false" ht="90.25" hidden="false" customHeight="false" outlineLevel="1" collapsed="false">
      <c r="A395" s="27"/>
      <c r="B395" s="27" t="s">
        <v>2115</v>
      </c>
      <c r="C395" s="7" t="s">
        <v>2097</v>
      </c>
      <c r="D395" s="27" t="s">
        <v>727</v>
      </c>
      <c r="E395" s="50" t="n">
        <v>1</v>
      </c>
      <c r="F395" s="50" t="n">
        <v>1</v>
      </c>
      <c r="G395" s="27" t="s">
        <v>767</v>
      </c>
      <c r="H395" s="50" t="n">
        <f aca="false">F395</f>
        <v>1</v>
      </c>
      <c r="I395" s="51" t="n">
        <v>683.99</v>
      </c>
      <c r="J395" s="28" t="n">
        <f aca="false">H395*I395</f>
        <v>683.99</v>
      </c>
      <c r="K395" s="52" t="s">
        <v>548</v>
      </c>
      <c r="L395" s="7" t="s">
        <v>2098</v>
      </c>
      <c r="M395" s="7" t="s">
        <v>2099</v>
      </c>
    </row>
    <row r="396" customFormat="false" ht="102.95" hidden="false" customHeight="false" outlineLevel="1" collapsed="false">
      <c r="A396" s="27"/>
      <c r="B396" s="27" t="s">
        <v>2115</v>
      </c>
      <c r="C396" s="7" t="s">
        <v>2100</v>
      </c>
      <c r="D396" s="27" t="s">
        <v>727</v>
      </c>
      <c r="E396" s="50" t="n">
        <v>1</v>
      </c>
      <c r="F396" s="50" t="n">
        <v>1</v>
      </c>
      <c r="G396" s="27" t="s">
        <v>767</v>
      </c>
      <c r="H396" s="50" t="n">
        <f aca="false">F396</f>
        <v>1</v>
      </c>
      <c r="I396" s="51" t="n">
        <v>107.61</v>
      </c>
      <c r="J396" s="28" t="n">
        <f aca="false">H396*I396</f>
        <v>107.61</v>
      </c>
      <c r="K396" s="52" t="s">
        <v>548</v>
      </c>
      <c r="L396" s="7" t="s">
        <v>2101</v>
      </c>
      <c r="M396" s="7" t="s">
        <v>2102</v>
      </c>
    </row>
    <row r="397" customFormat="false" ht="166.4" hidden="false" customHeight="false" outlineLevel="1" collapsed="false">
      <c r="A397" s="27"/>
      <c r="B397" s="27" t="s">
        <v>2115</v>
      </c>
      <c r="C397" s="7" t="s">
        <v>2103</v>
      </c>
      <c r="D397" s="27" t="s">
        <v>732</v>
      </c>
      <c r="E397" s="50" t="n">
        <v>1</v>
      </c>
      <c r="F397" s="50" t="n">
        <v>1</v>
      </c>
      <c r="G397" s="27" t="s">
        <v>767</v>
      </c>
      <c r="H397" s="50" t="n">
        <f aca="false">F397</f>
        <v>1</v>
      </c>
      <c r="I397" s="51" t="n">
        <v>185.89</v>
      </c>
      <c r="J397" s="28" t="n">
        <f aca="false">H397*I397</f>
        <v>185.89</v>
      </c>
      <c r="K397" s="52" t="s">
        <v>548</v>
      </c>
      <c r="L397" s="7" t="s">
        <v>2104</v>
      </c>
      <c r="M397" s="7" t="s">
        <v>2105</v>
      </c>
    </row>
    <row r="398" customFormat="false" ht="52.2" hidden="false" customHeight="false" outlineLevel="1" collapsed="false">
      <c r="A398" s="27"/>
      <c r="B398" s="27" t="s">
        <v>2115</v>
      </c>
      <c r="C398" s="7" t="s">
        <v>2106</v>
      </c>
      <c r="D398" s="27" t="s">
        <v>727</v>
      </c>
      <c r="E398" s="50" t="n">
        <v>2</v>
      </c>
      <c r="F398" s="50" t="n">
        <v>2</v>
      </c>
      <c r="G398" s="27" t="s">
        <v>767</v>
      </c>
      <c r="H398" s="50" t="n">
        <f aca="false">F398</f>
        <v>2</v>
      </c>
      <c r="I398" s="51" t="n">
        <v>21.83</v>
      </c>
      <c r="J398" s="28" t="n">
        <f aca="false">H398*I398</f>
        <v>43.66</v>
      </c>
      <c r="K398" s="52" t="s">
        <v>548</v>
      </c>
      <c r="L398" s="7" t="s">
        <v>2107</v>
      </c>
      <c r="M398" s="7" t="s">
        <v>2108</v>
      </c>
    </row>
    <row r="399" customFormat="false" ht="52.2" hidden="false" customHeight="false" outlineLevel="1" collapsed="false">
      <c r="A399" s="27"/>
      <c r="B399" s="27" t="s">
        <v>2115</v>
      </c>
      <c r="C399" s="7" t="s">
        <v>2109</v>
      </c>
      <c r="D399" s="27" t="s">
        <v>853</v>
      </c>
      <c r="E399" s="50" t="n">
        <v>36</v>
      </c>
      <c r="F399" s="50" t="n">
        <v>36</v>
      </c>
      <c r="G399" s="27" t="s">
        <v>865</v>
      </c>
      <c r="H399" s="50" t="n">
        <f aca="false">F399/IF(Varsayimlar!$B$21=1,1.43,1)</f>
        <v>25.1748251748252</v>
      </c>
      <c r="I399" s="51" t="n">
        <v>2.7</v>
      </c>
      <c r="J399" s="28" t="n">
        <f aca="false">H399*I399</f>
        <v>67.972027972028</v>
      </c>
      <c r="K399" s="52" t="s">
        <v>548</v>
      </c>
      <c r="L399" s="7" t="s">
        <v>2110</v>
      </c>
      <c r="M399" s="7" t="s">
        <v>1729</v>
      </c>
    </row>
    <row r="400" customFormat="false" ht="15" hidden="false" customHeight="false" outlineLevel="0" collapsed="false">
      <c r="A400" s="48" t="s">
        <v>337</v>
      </c>
      <c r="B400" s="48" t="s">
        <v>2116</v>
      </c>
      <c r="C400" s="48" t="s">
        <v>338</v>
      </c>
      <c r="D400" s="48"/>
      <c r="E400" s="48"/>
      <c r="F400" s="48"/>
      <c r="G400" s="48"/>
      <c r="H400" s="48" t="s">
        <v>765</v>
      </c>
      <c r="I400" s="49" t="n">
        <f aca="false">SUMPRODUCT(E401:E405,I401:I405)</f>
        <v>13317.21</v>
      </c>
      <c r="J400" s="49" t="n">
        <f aca="false">SUM(J401:J405)</f>
        <v>12865.8002097902</v>
      </c>
      <c r="K400" s="48"/>
      <c r="L400" s="48"/>
      <c r="M400" s="48"/>
    </row>
    <row r="401" customFormat="false" ht="64.9" hidden="false" customHeight="false" outlineLevel="1" collapsed="false">
      <c r="A401" s="27"/>
      <c r="B401" s="27" t="s">
        <v>2116</v>
      </c>
      <c r="C401" s="7" t="s">
        <v>2117</v>
      </c>
      <c r="D401" s="27" t="s">
        <v>732</v>
      </c>
      <c r="E401" s="50" t="n">
        <v>9</v>
      </c>
      <c r="F401" s="50" t="n">
        <v>9</v>
      </c>
      <c r="G401" s="27" t="s">
        <v>767</v>
      </c>
      <c r="H401" s="50" t="n">
        <f aca="false">F401</f>
        <v>9</v>
      </c>
      <c r="I401" s="51" t="n">
        <v>700</v>
      </c>
      <c r="J401" s="28" t="n">
        <f aca="false">H401*I401</f>
        <v>6300</v>
      </c>
      <c r="K401" s="52" t="s">
        <v>548</v>
      </c>
      <c r="L401" s="7" t="s">
        <v>2118</v>
      </c>
      <c r="M401" s="7" t="s">
        <v>2119</v>
      </c>
    </row>
    <row r="402" customFormat="false" ht="77.6" hidden="false" customHeight="false" outlineLevel="1" collapsed="false">
      <c r="A402" s="27"/>
      <c r="B402" s="27" t="s">
        <v>2116</v>
      </c>
      <c r="C402" s="7" t="s">
        <v>2120</v>
      </c>
      <c r="D402" s="27" t="s">
        <v>727</v>
      </c>
      <c r="E402" s="50" t="n">
        <v>3</v>
      </c>
      <c r="F402" s="50" t="n">
        <v>3</v>
      </c>
      <c r="G402" s="27" t="s">
        <v>767</v>
      </c>
      <c r="H402" s="50" t="n">
        <f aca="false">F402</f>
        <v>3</v>
      </c>
      <c r="I402" s="51" t="n">
        <v>1080.17</v>
      </c>
      <c r="J402" s="28" t="n">
        <f aca="false">H402*I402</f>
        <v>3240.51</v>
      </c>
      <c r="K402" s="52" t="s">
        <v>548</v>
      </c>
      <c r="L402" s="7" t="s">
        <v>2121</v>
      </c>
      <c r="M402" s="7" t="s">
        <v>2122</v>
      </c>
    </row>
    <row r="403" customFormat="false" ht="26.85" hidden="false" customHeight="false" outlineLevel="1" collapsed="false">
      <c r="A403" s="27"/>
      <c r="B403" s="27" t="s">
        <v>2116</v>
      </c>
      <c r="C403" s="7" t="s">
        <v>2123</v>
      </c>
      <c r="D403" s="27" t="s">
        <v>732</v>
      </c>
      <c r="E403" s="50" t="n">
        <v>1</v>
      </c>
      <c r="F403" s="50" t="n">
        <v>1</v>
      </c>
      <c r="G403" s="27" t="s">
        <v>767</v>
      </c>
      <c r="H403" s="50" t="n">
        <f aca="false">F403</f>
        <v>1</v>
      </c>
      <c r="I403" s="51" t="n">
        <v>1200</v>
      </c>
      <c r="J403" s="28" t="n">
        <f aca="false">H403*I403</f>
        <v>1200</v>
      </c>
      <c r="K403" s="53" t="s">
        <v>551</v>
      </c>
      <c r="L403" s="7" t="s">
        <v>2124</v>
      </c>
      <c r="M403" s="7"/>
    </row>
    <row r="404" customFormat="false" ht="52.2" hidden="false" customHeight="false" outlineLevel="1" collapsed="false">
      <c r="A404" s="27"/>
      <c r="B404" s="27" t="s">
        <v>2116</v>
      </c>
      <c r="C404" s="7" t="s">
        <v>2125</v>
      </c>
      <c r="D404" s="27" t="s">
        <v>853</v>
      </c>
      <c r="E404" s="50" t="n">
        <v>556</v>
      </c>
      <c r="F404" s="50" t="n">
        <v>556</v>
      </c>
      <c r="G404" s="27" t="s">
        <v>865</v>
      </c>
      <c r="H404" s="50" t="n">
        <f aca="false">F404/IF(Varsayimlar!$B$21=1,1.43,1)</f>
        <v>388.811188811189</v>
      </c>
      <c r="I404" s="51" t="n">
        <v>2.7</v>
      </c>
      <c r="J404" s="28" t="n">
        <f aca="false">H404*I404</f>
        <v>1049.79020979021</v>
      </c>
      <c r="K404" s="52" t="s">
        <v>548</v>
      </c>
      <c r="L404" s="7" t="s">
        <v>2110</v>
      </c>
      <c r="M404" s="7" t="s">
        <v>2003</v>
      </c>
    </row>
    <row r="405" customFormat="false" ht="39.55" hidden="false" customHeight="false" outlineLevel="1" collapsed="false">
      <c r="A405" s="27"/>
      <c r="B405" s="27" t="s">
        <v>2116</v>
      </c>
      <c r="C405" s="7" t="s">
        <v>2126</v>
      </c>
      <c r="D405" s="27" t="s">
        <v>727</v>
      </c>
      <c r="E405" s="50" t="n">
        <v>150</v>
      </c>
      <c r="F405" s="50" t="n">
        <v>150</v>
      </c>
      <c r="G405" s="27" t="s">
        <v>767</v>
      </c>
      <c r="H405" s="50" t="n">
        <f aca="false">F405</f>
        <v>150</v>
      </c>
      <c r="I405" s="51" t="n">
        <v>7.17</v>
      </c>
      <c r="J405" s="28" t="n">
        <f aca="false">H405*I405</f>
        <v>1075.5</v>
      </c>
      <c r="K405" s="52" t="s">
        <v>548</v>
      </c>
      <c r="L405" s="7" t="s">
        <v>2127</v>
      </c>
      <c r="M405" s="7" t="s">
        <v>2128</v>
      </c>
    </row>
    <row r="406" customFormat="false" ht="15" hidden="false" customHeight="false" outlineLevel="0" collapsed="false">
      <c r="A406" s="48" t="s">
        <v>339</v>
      </c>
      <c r="B406" s="48" t="s">
        <v>2129</v>
      </c>
      <c r="C406" s="48" t="s">
        <v>340</v>
      </c>
      <c r="D406" s="48"/>
      <c r="E406" s="48"/>
      <c r="F406" s="48"/>
      <c r="G406" s="48"/>
      <c r="H406" s="48" t="s">
        <v>765</v>
      </c>
      <c r="I406" s="49" t="n">
        <f aca="false">SUMPRODUCT(E407:E411,I407:I411)</f>
        <v>6701.72</v>
      </c>
      <c r="J406" s="49" t="n">
        <f aca="false">SUM(J407:J411)</f>
        <v>6674.68</v>
      </c>
      <c r="K406" s="48"/>
      <c r="L406" s="48"/>
      <c r="M406" s="48"/>
    </row>
    <row r="407" customFormat="false" ht="26.85" hidden="false" customHeight="false" outlineLevel="1" collapsed="false">
      <c r="A407" s="27"/>
      <c r="B407" s="27" t="s">
        <v>2129</v>
      </c>
      <c r="C407" s="7" t="s">
        <v>2130</v>
      </c>
      <c r="D407" s="27" t="s">
        <v>727</v>
      </c>
      <c r="E407" s="50" t="n">
        <v>4</v>
      </c>
      <c r="F407" s="50" t="n">
        <v>4</v>
      </c>
      <c r="G407" s="27" t="s">
        <v>767</v>
      </c>
      <c r="H407" s="50" t="n">
        <f aca="false">F407</f>
        <v>4</v>
      </c>
      <c r="I407" s="51" t="n">
        <v>900</v>
      </c>
      <c r="J407" s="28" t="n">
        <f aca="false">H407*I407</f>
        <v>3600</v>
      </c>
      <c r="K407" s="53" t="s">
        <v>551</v>
      </c>
      <c r="L407" s="7" t="s">
        <v>2131</v>
      </c>
      <c r="M407" s="7"/>
    </row>
    <row r="408" customFormat="false" ht="52.2" hidden="false" customHeight="false" outlineLevel="1" collapsed="false">
      <c r="A408" s="27"/>
      <c r="B408" s="27" t="s">
        <v>2129</v>
      </c>
      <c r="C408" s="7" t="s">
        <v>2132</v>
      </c>
      <c r="D408" s="27" t="s">
        <v>727</v>
      </c>
      <c r="E408" s="50" t="n">
        <v>4</v>
      </c>
      <c r="F408" s="50" t="n">
        <v>4</v>
      </c>
      <c r="G408" s="27" t="s">
        <v>767</v>
      </c>
      <c r="H408" s="50" t="n">
        <f aca="false">F408</f>
        <v>4</v>
      </c>
      <c r="I408" s="51" t="n">
        <v>254.76</v>
      </c>
      <c r="J408" s="28" t="n">
        <f aca="false">H408*I408</f>
        <v>1019.04</v>
      </c>
      <c r="K408" s="52" t="s">
        <v>548</v>
      </c>
      <c r="L408" s="7" t="s">
        <v>2133</v>
      </c>
      <c r="M408" s="7" t="s">
        <v>2134</v>
      </c>
    </row>
    <row r="409" customFormat="false" ht="52.2" hidden="false" customHeight="false" outlineLevel="1" collapsed="false">
      <c r="A409" s="27"/>
      <c r="B409" s="27" t="s">
        <v>2129</v>
      </c>
      <c r="C409" s="7" t="s">
        <v>2135</v>
      </c>
      <c r="D409" s="27" t="s">
        <v>727</v>
      </c>
      <c r="E409" s="50" t="n">
        <v>28</v>
      </c>
      <c r="F409" s="50" t="n">
        <v>28</v>
      </c>
      <c r="G409" s="27" t="s">
        <v>767</v>
      </c>
      <c r="H409" s="50" t="n">
        <f aca="false">F409</f>
        <v>28</v>
      </c>
      <c r="I409" s="51" t="n">
        <v>21.83</v>
      </c>
      <c r="J409" s="28" t="n">
        <f aca="false">H409*I409</f>
        <v>611.24</v>
      </c>
      <c r="K409" s="52" t="s">
        <v>548</v>
      </c>
      <c r="L409" s="7" t="s">
        <v>2107</v>
      </c>
      <c r="M409" s="7" t="s">
        <v>2108</v>
      </c>
    </row>
    <row r="410" customFormat="false" ht="52.2" hidden="false" customHeight="false" outlineLevel="1" collapsed="false">
      <c r="A410" s="27"/>
      <c r="B410" s="27" t="s">
        <v>2129</v>
      </c>
      <c r="C410" s="7" t="s">
        <v>2136</v>
      </c>
      <c r="D410" s="27" t="s">
        <v>853</v>
      </c>
      <c r="E410" s="50" t="n">
        <v>176</v>
      </c>
      <c r="F410" s="50" t="n">
        <v>176</v>
      </c>
      <c r="G410" s="27" t="s">
        <v>889</v>
      </c>
      <c r="H410" s="50" t="n">
        <f aca="false">F410/IF(Varsayimlar!$B$21=1,1.1,1)</f>
        <v>160</v>
      </c>
      <c r="I410" s="51" t="n">
        <v>1.69</v>
      </c>
      <c r="J410" s="28" t="n">
        <f aca="false">H410*I410</f>
        <v>270.4</v>
      </c>
      <c r="K410" s="52" t="s">
        <v>548</v>
      </c>
      <c r="L410" s="7" t="s">
        <v>2137</v>
      </c>
      <c r="M410" s="7" t="s">
        <v>1729</v>
      </c>
    </row>
    <row r="411" customFormat="false" ht="229.85" hidden="false" customHeight="false" outlineLevel="1" collapsed="false">
      <c r="A411" s="27"/>
      <c r="B411" s="27" t="s">
        <v>2129</v>
      </c>
      <c r="C411" s="7" t="s">
        <v>2138</v>
      </c>
      <c r="D411" s="27" t="s">
        <v>732</v>
      </c>
      <c r="E411" s="50" t="n">
        <v>4</v>
      </c>
      <c r="F411" s="50" t="n">
        <v>4</v>
      </c>
      <c r="G411" s="27" t="s">
        <v>767</v>
      </c>
      <c r="H411" s="50" t="n">
        <f aca="false">F411</f>
        <v>4</v>
      </c>
      <c r="I411" s="51" t="n">
        <v>293.5</v>
      </c>
      <c r="J411" s="28" t="n">
        <f aca="false">H411*I411</f>
        <v>1174</v>
      </c>
      <c r="K411" s="52" t="s">
        <v>548</v>
      </c>
      <c r="L411" s="7" t="s">
        <v>2139</v>
      </c>
      <c r="M411" s="7" t="s">
        <v>2140</v>
      </c>
    </row>
    <row r="412" customFormat="false" ht="15" hidden="false" customHeight="false" outlineLevel="0" collapsed="false">
      <c r="A412" s="48" t="s">
        <v>341</v>
      </c>
      <c r="B412" s="48" t="s">
        <v>2141</v>
      </c>
      <c r="C412" s="48" t="s">
        <v>342</v>
      </c>
      <c r="D412" s="48"/>
      <c r="E412" s="48"/>
      <c r="F412" s="48"/>
      <c r="G412" s="48"/>
      <c r="H412" s="48" t="s">
        <v>765</v>
      </c>
      <c r="I412" s="49" t="n">
        <f aca="false">SUMPRODUCT(E413:E415,I413:I415)</f>
        <v>15641.09</v>
      </c>
      <c r="J412" s="49" t="n">
        <f aca="false">SUM(J413:J415)</f>
        <v>10641.09</v>
      </c>
      <c r="K412" s="48"/>
      <c r="L412" s="48"/>
      <c r="M412" s="48"/>
    </row>
    <row r="413" customFormat="false" ht="52.2" hidden="false" customHeight="false" outlineLevel="1" collapsed="false">
      <c r="A413" s="27"/>
      <c r="B413" s="27" t="s">
        <v>2141</v>
      </c>
      <c r="C413" s="7" t="s">
        <v>2142</v>
      </c>
      <c r="D413" s="27" t="s">
        <v>732</v>
      </c>
      <c r="E413" s="50" t="n">
        <v>1</v>
      </c>
      <c r="F413" s="50" t="n">
        <v>1</v>
      </c>
      <c r="G413" s="27" t="s">
        <v>767</v>
      </c>
      <c r="H413" s="50" t="n">
        <f aca="false">F413</f>
        <v>1</v>
      </c>
      <c r="I413" s="51" t="n">
        <v>8650</v>
      </c>
      <c r="J413" s="28" t="n">
        <f aca="false">H413*I413</f>
        <v>8650</v>
      </c>
      <c r="K413" s="52" t="s">
        <v>548</v>
      </c>
      <c r="L413" s="7" t="s">
        <v>2143</v>
      </c>
      <c r="M413" s="7" t="s">
        <v>2144</v>
      </c>
    </row>
    <row r="414" customFormat="false" ht="52.2" hidden="false" customHeight="false" outlineLevel="1" collapsed="false">
      <c r="A414" s="27"/>
      <c r="B414" s="27" t="s">
        <v>2141</v>
      </c>
      <c r="C414" s="7" t="s">
        <v>2145</v>
      </c>
      <c r="D414" s="27" t="s">
        <v>732</v>
      </c>
      <c r="E414" s="50" t="n">
        <v>1</v>
      </c>
      <c r="F414" s="50" t="n">
        <v>1</v>
      </c>
      <c r="G414" s="27" t="s">
        <v>767</v>
      </c>
      <c r="H414" s="50" t="n">
        <f aca="false">F414</f>
        <v>1</v>
      </c>
      <c r="I414" s="51" t="n">
        <v>1991.09</v>
      </c>
      <c r="J414" s="28" t="n">
        <f aca="false">H414*I414</f>
        <v>1991.09</v>
      </c>
      <c r="K414" s="52" t="s">
        <v>548</v>
      </c>
      <c r="L414" s="7" t="s">
        <v>2146</v>
      </c>
      <c r="M414" s="7" t="s">
        <v>1949</v>
      </c>
    </row>
    <row r="415" customFormat="false" ht="26.85" hidden="false" customHeight="false" outlineLevel="1" collapsed="false">
      <c r="A415" s="27"/>
      <c r="B415" s="27" t="s">
        <v>2141</v>
      </c>
      <c r="C415" s="7" t="s">
        <v>2147</v>
      </c>
      <c r="D415" s="27" t="s">
        <v>732</v>
      </c>
      <c r="E415" s="50" t="n">
        <v>1</v>
      </c>
      <c r="F415" s="54" t="n">
        <v>0</v>
      </c>
      <c r="G415" s="27" t="s">
        <v>767</v>
      </c>
      <c r="H415" s="50" t="n">
        <f aca="false">F415</f>
        <v>0</v>
      </c>
      <c r="I415" s="51" t="n">
        <v>5000</v>
      </c>
      <c r="J415" s="28" t="n">
        <f aca="false">H415*I415</f>
        <v>0</v>
      </c>
      <c r="K415" s="55" t="s">
        <v>555</v>
      </c>
      <c r="L415" s="7" t="s">
        <v>1782</v>
      </c>
      <c r="M415" s="7" t="s">
        <v>1783</v>
      </c>
    </row>
    <row r="416" customFormat="false" ht="15" hidden="false" customHeight="false" outlineLevel="0" collapsed="false">
      <c r="A416" s="48" t="s">
        <v>343</v>
      </c>
      <c r="B416" s="48" t="s">
        <v>2148</v>
      </c>
      <c r="C416" s="48" t="s">
        <v>344</v>
      </c>
      <c r="D416" s="48"/>
      <c r="E416" s="48"/>
      <c r="F416" s="48"/>
      <c r="G416" s="48"/>
      <c r="H416" s="48" t="s">
        <v>765</v>
      </c>
      <c r="I416" s="49" t="n">
        <f aca="false">SUMPRODUCT(E417:E418,I417:I418)</f>
        <v>40440</v>
      </c>
      <c r="J416" s="49" t="n">
        <f aca="false">SUM(J417:J418)</f>
        <v>40440</v>
      </c>
      <c r="K416" s="48"/>
      <c r="L416" s="48"/>
      <c r="M416" s="48"/>
    </row>
    <row r="417" customFormat="false" ht="39.55" hidden="false" customHeight="false" outlineLevel="1" collapsed="false">
      <c r="A417" s="27"/>
      <c r="B417" s="27" t="s">
        <v>2148</v>
      </c>
      <c r="C417" s="7" t="s">
        <v>2149</v>
      </c>
      <c r="D417" s="27" t="s">
        <v>732</v>
      </c>
      <c r="E417" s="50" t="n">
        <v>1</v>
      </c>
      <c r="F417" s="50" t="n">
        <v>1</v>
      </c>
      <c r="G417" s="27" t="s">
        <v>767</v>
      </c>
      <c r="H417" s="50" t="n">
        <f aca="false">F417</f>
        <v>1</v>
      </c>
      <c r="I417" s="51" t="n">
        <v>30440</v>
      </c>
      <c r="J417" s="28" t="n">
        <f aca="false">H417*I417</f>
        <v>30440</v>
      </c>
      <c r="K417" s="52" t="s">
        <v>548</v>
      </c>
      <c r="L417" s="7" t="s">
        <v>2150</v>
      </c>
      <c r="M417" s="7" t="s">
        <v>2151</v>
      </c>
    </row>
    <row r="418" customFormat="false" ht="26.85" hidden="false" customHeight="false" outlineLevel="1" collapsed="false">
      <c r="A418" s="27"/>
      <c r="B418" s="27" t="s">
        <v>2148</v>
      </c>
      <c r="C418" s="7" t="s">
        <v>1670</v>
      </c>
      <c r="D418" s="27" t="s">
        <v>732</v>
      </c>
      <c r="E418" s="50" t="n">
        <v>1</v>
      </c>
      <c r="F418" s="50" t="n">
        <v>1</v>
      </c>
      <c r="G418" s="27" t="s">
        <v>767</v>
      </c>
      <c r="H418" s="50" t="n">
        <f aca="false">F418</f>
        <v>1</v>
      </c>
      <c r="I418" s="51" t="n">
        <v>10000</v>
      </c>
      <c r="J418" s="28" t="n">
        <f aca="false">H418*I418</f>
        <v>10000</v>
      </c>
      <c r="K418" s="53" t="s">
        <v>551</v>
      </c>
      <c r="L418" s="7" t="s">
        <v>2152</v>
      </c>
      <c r="M418" s="7" t="s">
        <v>1672</v>
      </c>
    </row>
    <row r="419" customFormat="false" ht="15" hidden="false" customHeight="false" outlineLevel="0" collapsed="false">
      <c r="A419" s="48" t="s">
        <v>345</v>
      </c>
      <c r="B419" s="48" t="s">
        <v>2153</v>
      </c>
      <c r="C419" s="48" t="s">
        <v>346</v>
      </c>
      <c r="D419" s="48"/>
      <c r="E419" s="48"/>
      <c r="F419" s="48"/>
      <c r="G419" s="48"/>
      <c r="H419" s="48" t="s">
        <v>765</v>
      </c>
      <c r="I419" s="49" t="n">
        <f aca="false">SUMPRODUCT(E420:E422,I420:I422)</f>
        <v>9501</v>
      </c>
      <c r="J419" s="49" t="n">
        <f aca="false">SUM(J420:J422)</f>
        <v>9474.83916083916</v>
      </c>
      <c r="K419" s="48"/>
      <c r="L419" s="48"/>
      <c r="M419" s="48"/>
    </row>
    <row r="420" customFormat="false" ht="39.55" hidden="false" customHeight="false" outlineLevel="1" collapsed="false">
      <c r="A420" s="27"/>
      <c r="B420" s="27" t="s">
        <v>2153</v>
      </c>
      <c r="C420" s="7" t="s">
        <v>2154</v>
      </c>
      <c r="D420" s="27" t="s">
        <v>727</v>
      </c>
      <c r="E420" s="50" t="n">
        <v>2</v>
      </c>
      <c r="F420" s="50" t="n">
        <v>2</v>
      </c>
      <c r="G420" s="27" t="s">
        <v>767</v>
      </c>
      <c r="H420" s="50" t="n">
        <f aca="false">F420</f>
        <v>2</v>
      </c>
      <c r="I420" s="51" t="n">
        <v>4500</v>
      </c>
      <c r="J420" s="28" t="n">
        <f aca="false">H420*I420</f>
        <v>9000</v>
      </c>
      <c r="K420" s="53" t="s">
        <v>551</v>
      </c>
      <c r="L420" s="7" t="s">
        <v>2155</v>
      </c>
      <c r="M420" s="7"/>
    </row>
    <row r="421" customFormat="false" ht="26.85" hidden="false" customHeight="false" outlineLevel="1" collapsed="false">
      <c r="A421" s="27"/>
      <c r="B421" s="27" t="s">
        <v>2153</v>
      </c>
      <c r="C421" s="7" t="s">
        <v>2156</v>
      </c>
      <c r="D421" s="27" t="s">
        <v>853</v>
      </c>
      <c r="E421" s="50" t="n">
        <v>92</v>
      </c>
      <c r="F421" s="50" t="n">
        <v>92</v>
      </c>
      <c r="G421" s="27" t="s">
        <v>767</v>
      </c>
      <c r="H421" s="50" t="n">
        <f aca="false">F421</f>
        <v>92</v>
      </c>
      <c r="I421" s="51" t="n">
        <v>4.5</v>
      </c>
      <c r="J421" s="28" t="n">
        <f aca="false">H421*I421</f>
        <v>414</v>
      </c>
      <c r="K421" s="53" t="s">
        <v>551</v>
      </c>
      <c r="L421" s="7" t="s">
        <v>2157</v>
      </c>
      <c r="M421" s="7"/>
    </row>
    <row r="422" customFormat="false" ht="52.2" hidden="false" customHeight="false" outlineLevel="1" collapsed="false">
      <c r="A422" s="27"/>
      <c r="B422" s="27" t="s">
        <v>2153</v>
      </c>
      <c r="C422" s="7" t="s">
        <v>2158</v>
      </c>
      <c r="D422" s="27" t="s">
        <v>853</v>
      </c>
      <c r="E422" s="50" t="n">
        <v>58</v>
      </c>
      <c r="F422" s="50" t="n">
        <v>58</v>
      </c>
      <c r="G422" s="27" t="s">
        <v>865</v>
      </c>
      <c r="H422" s="50" t="n">
        <f aca="false">F422/IF(Varsayimlar!$B$21=1,1.43,1)</f>
        <v>40.5594405594406</v>
      </c>
      <c r="I422" s="51" t="n">
        <v>1.5</v>
      </c>
      <c r="J422" s="28" t="n">
        <f aca="false">H422*I422</f>
        <v>60.8391608391608</v>
      </c>
      <c r="K422" s="52" t="s">
        <v>548</v>
      </c>
      <c r="L422" s="7" t="s">
        <v>2159</v>
      </c>
      <c r="M422" s="7" t="s">
        <v>1751</v>
      </c>
    </row>
    <row r="423" customFormat="false" ht="15" hidden="false" customHeight="false" outlineLevel="0" collapsed="false">
      <c r="A423" s="48" t="s">
        <v>347</v>
      </c>
      <c r="B423" s="48" t="s">
        <v>2160</v>
      </c>
      <c r="C423" s="48" t="s">
        <v>348</v>
      </c>
      <c r="D423" s="48"/>
      <c r="E423" s="48"/>
      <c r="F423" s="48"/>
      <c r="G423" s="48"/>
      <c r="H423" s="48" t="s">
        <v>765</v>
      </c>
      <c r="I423" s="49" t="n">
        <f aca="false">SUMPRODUCT(E424:E426,I424:I426)</f>
        <v>4871.57</v>
      </c>
      <c r="J423" s="49" t="n">
        <f aca="false">SUM(J424:J426)</f>
        <v>4858.48958041958</v>
      </c>
      <c r="K423" s="48"/>
      <c r="L423" s="48"/>
      <c r="M423" s="48"/>
    </row>
    <row r="424" customFormat="false" ht="90.25" hidden="false" customHeight="false" outlineLevel="1" collapsed="false">
      <c r="A424" s="27"/>
      <c r="B424" s="27" t="s">
        <v>2160</v>
      </c>
      <c r="C424" s="7" t="s">
        <v>2154</v>
      </c>
      <c r="D424" s="27" t="s">
        <v>727</v>
      </c>
      <c r="E424" s="50" t="n">
        <v>1</v>
      </c>
      <c r="F424" s="50" t="n">
        <v>1</v>
      </c>
      <c r="G424" s="27" t="s">
        <v>767</v>
      </c>
      <c r="H424" s="50" t="n">
        <f aca="false">F424</f>
        <v>1</v>
      </c>
      <c r="I424" s="51" t="n">
        <v>4621.07</v>
      </c>
      <c r="J424" s="28" t="n">
        <f aca="false">H424*I424</f>
        <v>4621.07</v>
      </c>
      <c r="K424" s="52" t="s">
        <v>548</v>
      </c>
      <c r="L424" s="7" t="s">
        <v>2161</v>
      </c>
      <c r="M424" s="7" t="s">
        <v>2162</v>
      </c>
    </row>
    <row r="425" customFormat="false" ht="26.85" hidden="false" customHeight="false" outlineLevel="1" collapsed="false">
      <c r="A425" s="27"/>
      <c r="B425" s="27" t="s">
        <v>2160</v>
      </c>
      <c r="C425" s="7" t="s">
        <v>2156</v>
      </c>
      <c r="D425" s="27" t="s">
        <v>853</v>
      </c>
      <c r="E425" s="50" t="n">
        <v>46</v>
      </c>
      <c r="F425" s="50" t="n">
        <v>46</v>
      </c>
      <c r="G425" s="27" t="s">
        <v>767</v>
      </c>
      <c r="H425" s="50" t="n">
        <f aca="false">F425</f>
        <v>46</v>
      </c>
      <c r="I425" s="51" t="n">
        <v>4.5</v>
      </c>
      <c r="J425" s="28" t="n">
        <f aca="false">H425*I425</f>
        <v>207</v>
      </c>
      <c r="K425" s="53" t="s">
        <v>551</v>
      </c>
      <c r="L425" s="7" t="s">
        <v>2157</v>
      </c>
      <c r="M425" s="7"/>
    </row>
    <row r="426" customFormat="false" ht="52.2" hidden="false" customHeight="false" outlineLevel="1" collapsed="false">
      <c r="A426" s="27"/>
      <c r="B426" s="27" t="s">
        <v>2160</v>
      </c>
      <c r="C426" s="7" t="s">
        <v>2158</v>
      </c>
      <c r="D426" s="27" t="s">
        <v>853</v>
      </c>
      <c r="E426" s="50" t="n">
        <v>29</v>
      </c>
      <c r="F426" s="50" t="n">
        <v>29</v>
      </c>
      <c r="G426" s="27" t="s">
        <v>865</v>
      </c>
      <c r="H426" s="50" t="n">
        <f aca="false">F426/IF(Varsayimlar!$B$21=1,1.43,1)</f>
        <v>20.2797202797203</v>
      </c>
      <c r="I426" s="51" t="n">
        <v>1.5</v>
      </c>
      <c r="J426" s="28" t="n">
        <f aca="false">H426*I426</f>
        <v>30.4195804195804</v>
      </c>
      <c r="K426" s="52" t="s">
        <v>548</v>
      </c>
      <c r="L426" s="7" t="s">
        <v>2159</v>
      </c>
      <c r="M426" s="7" t="s">
        <v>1751</v>
      </c>
    </row>
    <row r="427" customFormat="false" ht="15" hidden="false" customHeight="false" outlineLevel="0" collapsed="false">
      <c r="A427" s="48" t="s">
        <v>349</v>
      </c>
      <c r="B427" s="48" t="s">
        <v>2163</v>
      </c>
      <c r="C427" s="48" t="s">
        <v>350</v>
      </c>
      <c r="D427" s="48"/>
      <c r="E427" s="48"/>
      <c r="F427" s="48"/>
      <c r="G427" s="48"/>
      <c r="H427" s="48" t="s">
        <v>765</v>
      </c>
      <c r="I427" s="49" t="n">
        <f aca="false">SUMPRODUCT(E428:E430,I428:I430)</f>
        <v>4871.57</v>
      </c>
      <c r="J427" s="49" t="n">
        <f aca="false">SUM(J428:J430)</f>
        <v>4858.48958041958</v>
      </c>
      <c r="K427" s="48"/>
      <c r="L427" s="48"/>
      <c r="M427" s="48"/>
    </row>
    <row r="428" customFormat="false" ht="90.25" hidden="false" customHeight="false" outlineLevel="1" collapsed="false">
      <c r="A428" s="27"/>
      <c r="B428" s="27" t="s">
        <v>2163</v>
      </c>
      <c r="C428" s="7" t="s">
        <v>2154</v>
      </c>
      <c r="D428" s="27" t="s">
        <v>727</v>
      </c>
      <c r="E428" s="50" t="n">
        <v>1</v>
      </c>
      <c r="F428" s="50" t="n">
        <v>1</v>
      </c>
      <c r="G428" s="27" t="s">
        <v>767</v>
      </c>
      <c r="H428" s="50" t="n">
        <f aca="false">F428</f>
        <v>1</v>
      </c>
      <c r="I428" s="51" t="n">
        <v>4621.07</v>
      </c>
      <c r="J428" s="28" t="n">
        <f aca="false">H428*I428</f>
        <v>4621.07</v>
      </c>
      <c r="K428" s="52" t="s">
        <v>548</v>
      </c>
      <c r="L428" s="7" t="s">
        <v>2161</v>
      </c>
      <c r="M428" s="7" t="s">
        <v>2162</v>
      </c>
    </row>
    <row r="429" customFormat="false" ht="26.85" hidden="false" customHeight="false" outlineLevel="1" collapsed="false">
      <c r="A429" s="27"/>
      <c r="B429" s="27" t="s">
        <v>2163</v>
      </c>
      <c r="C429" s="7" t="s">
        <v>2156</v>
      </c>
      <c r="D429" s="27" t="s">
        <v>853</v>
      </c>
      <c r="E429" s="50" t="n">
        <v>46</v>
      </c>
      <c r="F429" s="50" t="n">
        <v>46</v>
      </c>
      <c r="G429" s="27" t="s">
        <v>767</v>
      </c>
      <c r="H429" s="50" t="n">
        <f aca="false">F429</f>
        <v>46</v>
      </c>
      <c r="I429" s="51" t="n">
        <v>4.5</v>
      </c>
      <c r="J429" s="28" t="n">
        <f aca="false">H429*I429</f>
        <v>207</v>
      </c>
      <c r="K429" s="53" t="s">
        <v>551</v>
      </c>
      <c r="L429" s="7" t="s">
        <v>2157</v>
      </c>
      <c r="M429" s="7"/>
    </row>
    <row r="430" customFormat="false" ht="52.2" hidden="false" customHeight="false" outlineLevel="1" collapsed="false">
      <c r="A430" s="27"/>
      <c r="B430" s="27" t="s">
        <v>2163</v>
      </c>
      <c r="C430" s="7" t="s">
        <v>2158</v>
      </c>
      <c r="D430" s="27" t="s">
        <v>853</v>
      </c>
      <c r="E430" s="50" t="n">
        <v>29</v>
      </c>
      <c r="F430" s="50" t="n">
        <v>29</v>
      </c>
      <c r="G430" s="27" t="s">
        <v>865</v>
      </c>
      <c r="H430" s="50" t="n">
        <f aca="false">F430/IF(Varsayimlar!$B$21=1,1.43,1)</f>
        <v>20.2797202797203</v>
      </c>
      <c r="I430" s="51" t="n">
        <v>1.5</v>
      </c>
      <c r="J430" s="28" t="n">
        <f aca="false">H430*I430</f>
        <v>30.4195804195804</v>
      </c>
      <c r="K430" s="52" t="s">
        <v>548</v>
      </c>
      <c r="L430" s="7" t="s">
        <v>2159</v>
      </c>
      <c r="M430" s="7" t="s">
        <v>1751</v>
      </c>
    </row>
    <row r="431" customFormat="false" ht="15" hidden="false" customHeight="false" outlineLevel="0" collapsed="false">
      <c r="A431" s="48" t="s">
        <v>351</v>
      </c>
      <c r="B431" s="48" t="s">
        <v>2164</v>
      </c>
      <c r="C431" s="48" t="s">
        <v>352</v>
      </c>
      <c r="D431" s="48"/>
      <c r="E431" s="48"/>
      <c r="F431" s="48"/>
      <c r="G431" s="48"/>
      <c r="H431" s="48" t="s">
        <v>765</v>
      </c>
      <c r="I431" s="49" t="n">
        <f aca="false">SUMPRODUCT(E432:E434,I432:I434)</f>
        <v>4871.57</v>
      </c>
      <c r="J431" s="49" t="n">
        <f aca="false">SUM(J432:J434)</f>
        <v>4858.48958041958</v>
      </c>
      <c r="K431" s="48"/>
      <c r="L431" s="48"/>
      <c r="M431" s="48"/>
    </row>
    <row r="432" customFormat="false" ht="90.25" hidden="false" customHeight="false" outlineLevel="1" collapsed="false">
      <c r="A432" s="27"/>
      <c r="B432" s="27" t="s">
        <v>2164</v>
      </c>
      <c r="C432" s="7" t="s">
        <v>2154</v>
      </c>
      <c r="D432" s="27" t="s">
        <v>727</v>
      </c>
      <c r="E432" s="50" t="n">
        <v>1</v>
      </c>
      <c r="F432" s="50" t="n">
        <v>1</v>
      </c>
      <c r="G432" s="27" t="s">
        <v>767</v>
      </c>
      <c r="H432" s="50" t="n">
        <f aca="false">F432</f>
        <v>1</v>
      </c>
      <c r="I432" s="51" t="n">
        <v>4621.07</v>
      </c>
      <c r="J432" s="28" t="n">
        <f aca="false">H432*I432</f>
        <v>4621.07</v>
      </c>
      <c r="K432" s="52" t="s">
        <v>548</v>
      </c>
      <c r="L432" s="7" t="s">
        <v>2161</v>
      </c>
      <c r="M432" s="7" t="s">
        <v>2162</v>
      </c>
    </row>
    <row r="433" customFormat="false" ht="26.85" hidden="false" customHeight="false" outlineLevel="1" collapsed="false">
      <c r="A433" s="27"/>
      <c r="B433" s="27" t="s">
        <v>2164</v>
      </c>
      <c r="C433" s="7" t="s">
        <v>2156</v>
      </c>
      <c r="D433" s="27" t="s">
        <v>853</v>
      </c>
      <c r="E433" s="50" t="n">
        <v>46</v>
      </c>
      <c r="F433" s="50" t="n">
        <v>46</v>
      </c>
      <c r="G433" s="27" t="s">
        <v>767</v>
      </c>
      <c r="H433" s="50" t="n">
        <f aca="false">F433</f>
        <v>46</v>
      </c>
      <c r="I433" s="51" t="n">
        <v>4.5</v>
      </c>
      <c r="J433" s="28" t="n">
        <f aca="false">H433*I433</f>
        <v>207</v>
      </c>
      <c r="K433" s="53" t="s">
        <v>551</v>
      </c>
      <c r="L433" s="7" t="s">
        <v>2157</v>
      </c>
      <c r="M433" s="7"/>
    </row>
    <row r="434" customFormat="false" ht="52.2" hidden="false" customHeight="false" outlineLevel="1" collapsed="false">
      <c r="A434" s="27"/>
      <c r="B434" s="27" t="s">
        <v>2164</v>
      </c>
      <c r="C434" s="7" t="s">
        <v>2158</v>
      </c>
      <c r="D434" s="27" t="s">
        <v>853</v>
      </c>
      <c r="E434" s="50" t="n">
        <v>29</v>
      </c>
      <c r="F434" s="50" t="n">
        <v>29</v>
      </c>
      <c r="G434" s="27" t="s">
        <v>865</v>
      </c>
      <c r="H434" s="50" t="n">
        <f aca="false">F434/IF(Varsayimlar!$B$21=1,1.43,1)</f>
        <v>20.2797202797203</v>
      </c>
      <c r="I434" s="51" t="n">
        <v>1.5</v>
      </c>
      <c r="J434" s="28" t="n">
        <f aca="false">H434*I434</f>
        <v>30.4195804195804</v>
      </c>
      <c r="K434" s="52" t="s">
        <v>548</v>
      </c>
      <c r="L434" s="7" t="s">
        <v>2159</v>
      </c>
      <c r="M434" s="7" t="s">
        <v>1751</v>
      </c>
    </row>
    <row r="435" customFormat="false" ht="15" hidden="false" customHeight="false" outlineLevel="0" collapsed="false">
      <c r="A435" s="48" t="s">
        <v>353</v>
      </c>
      <c r="B435" s="48" t="s">
        <v>2165</v>
      </c>
      <c r="C435" s="48" t="s">
        <v>354</v>
      </c>
      <c r="D435" s="48"/>
      <c r="E435" s="48"/>
      <c r="F435" s="48"/>
      <c r="G435" s="48"/>
      <c r="H435" s="48" t="s">
        <v>765</v>
      </c>
      <c r="I435" s="49" t="n">
        <f aca="false">SUMPRODUCT(E436:E438,I436:I438)</f>
        <v>4871.57</v>
      </c>
      <c r="J435" s="49" t="n">
        <f aca="false">SUM(J436:J438)</f>
        <v>4858.48958041958</v>
      </c>
      <c r="K435" s="48"/>
      <c r="L435" s="48"/>
      <c r="M435" s="48"/>
    </row>
    <row r="436" customFormat="false" ht="90.25" hidden="false" customHeight="false" outlineLevel="1" collapsed="false">
      <c r="A436" s="27"/>
      <c r="B436" s="27" t="s">
        <v>2165</v>
      </c>
      <c r="C436" s="7" t="s">
        <v>2154</v>
      </c>
      <c r="D436" s="27" t="s">
        <v>727</v>
      </c>
      <c r="E436" s="50" t="n">
        <v>1</v>
      </c>
      <c r="F436" s="50" t="n">
        <v>1</v>
      </c>
      <c r="G436" s="27" t="s">
        <v>767</v>
      </c>
      <c r="H436" s="50" t="n">
        <f aca="false">F436</f>
        <v>1</v>
      </c>
      <c r="I436" s="51" t="n">
        <v>4621.07</v>
      </c>
      <c r="J436" s="28" t="n">
        <f aca="false">H436*I436</f>
        <v>4621.07</v>
      </c>
      <c r="K436" s="52" t="s">
        <v>548</v>
      </c>
      <c r="L436" s="7" t="s">
        <v>2161</v>
      </c>
      <c r="M436" s="7" t="s">
        <v>2162</v>
      </c>
    </row>
    <row r="437" customFormat="false" ht="26.85" hidden="false" customHeight="false" outlineLevel="1" collapsed="false">
      <c r="A437" s="27"/>
      <c r="B437" s="27" t="s">
        <v>2165</v>
      </c>
      <c r="C437" s="7" t="s">
        <v>2156</v>
      </c>
      <c r="D437" s="27" t="s">
        <v>853</v>
      </c>
      <c r="E437" s="50" t="n">
        <v>46</v>
      </c>
      <c r="F437" s="50" t="n">
        <v>46</v>
      </c>
      <c r="G437" s="27" t="s">
        <v>767</v>
      </c>
      <c r="H437" s="50" t="n">
        <f aca="false">F437</f>
        <v>46</v>
      </c>
      <c r="I437" s="51" t="n">
        <v>4.5</v>
      </c>
      <c r="J437" s="28" t="n">
        <f aca="false">H437*I437</f>
        <v>207</v>
      </c>
      <c r="K437" s="53" t="s">
        <v>551</v>
      </c>
      <c r="L437" s="7" t="s">
        <v>2157</v>
      </c>
      <c r="M437" s="7"/>
    </row>
    <row r="438" customFormat="false" ht="52.2" hidden="false" customHeight="false" outlineLevel="1" collapsed="false">
      <c r="A438" s="27"/>
      <c r="B438" s="27" t="s">
        <v>2165</v>
      </c>
      <c r="C438" s="7" t="s">
        <v>2158</v>
      </c>
      <c r="D438" s="27" t="s">
        <v>853</v>
      </c>
      <c r="E438" s="50" t="n">
        <v>29</v>
      </c>
      <c r="F438" s="50" t="n">
        <v>29</v>
      </c>
      <c r="G438" s="27" t="s">
        <v>865</v>
      </c>
      <c r="H438" s="50" t="n">
        <f aca="false">F438/IF(Varsayimlar!$B$21=1,1.43,1)</f>
        <v>20.2797202797203</v>
      </c>
      <c r="I438" s="51" t="n">
        <v>1.5</v>
      </c>
      <c r="J438" s="28" t="n">
        <f aca="false">H438*I438</f>
        <v>30.4195804195804</v>
      </c>
      <c r="K438" s="52" t="s">
        <v>548</v>
      </c>
      <c r="L438" s="7" t="s">
        <v>2159</v>
      </c>
      <c r="M438" s="7" t="s">
        <v>1751</v>
      </c>
    </row>
    <row r="439" customFormat="false" ht="15" hidden="false" customHeight="false" outlineLevel="0" collapsed="false">
      <c r="A439" s="48" t="s">
        <v>355</v>
      </c>
      <c r="B439" s="48" t="s">
        <v>2166</v>
      </c>
      <c r="C439" s="48" t="s">
        <v>356</v>
      </c>
      <c r="D439" s="48"/>
      <c r="E439" s="48"/>
      <c r="F439" s="48"/>
      <c r="G439" s="48"/>
      <c r="H439" s="48" t="s">
        <v>765</v>
      </c>
      <c r="I439" s="49" t="n">
        <f aca="false">SUMPRODUCT(E440:E442,I440:I442)</f>
        <v>4871.57</v>
      </c>
      <c r="J439" s="49" t="n">
        <f aca="false">SUM(J440:J442)</f>
        <v>4858.48958041958</v>
      </c>
      <c r="K439" s="48"/>
      <c r="L439" s="48"/>
      <c r="M439" s="48"/>
    </row>
    <row r="440" customFormat="false" ht="90.25" hidden="false" customHeight="false" outlineLevel="1" collapsed="false">
      <c r="A440" s="27"/>
      <c r="B440" s="27" t="s">
        <v>2166</v>
      </c>
      <c r="C440" s="7" t="s">
        <v>2154</v>
      </c>
      <c r="D440" s="27" t="s">
        <v>727</v>
      </c>
      <c r="E440" s="50" t="n">
        <v>1</v>
      </c>
      <c r="F440" s="50" t="n">
        <v>1</v>
      </c>
      <c r="G440" s="27" t="s">
        <v>767</v>
      </c>
      <c r="H440" s="50" t="n">
        <f aca="false">F440</f>
        <v>1</v>
      </c>
      <c r="I440" s="51" t="n">
        <v>4621.07</v>
      </c>
      <c r="J440" s="28" t="n">
        <f aca="false">H440*I440</f>
        <v>4621.07</v>
      </c>
      <c r="K440" s="52" t="s">
        <v>548</v>
      </c>
      <c r="L440" s="7" t="s">
        <v>2161</v>
      </c>
      <c r="M440" s="7" t="s">
        <v>2162</v>
      </c>
    </row>
    <row r="441" customFormat="false" ht="26.85" hidden="false" customHeight="false" outlineLevel="1" collapsed="false">
      <c r="A441" s="27"/>
      <c r="B441" s="27" t="s">
        <v>2166</v>
      </c>
      <c r="C441" s="7" t="s">
        <v>2156</v>
      </c>
      <c r="D441" s="27" t="s">
        <v>853</v>
      </c>
      <c r="E441" s="50" t="n">
        <v>46</v>
      </c>
      <c r="F441" s="50" t="n">
        <v>46</v>
      </c>
      <c r="G441" s="27" t="s">
        <v>767</v>
      </c>
      <c r="H441" s="50" t="n">
        <f aca="false">F441</f>
        <v>46</v>
      </c>
      <c r="I441" s="51" t="n">
        <v>4.5</v>
      </c>
      <c r="J441" s="28" t="n">
        <f aca="false">H441*I441</f>
        <v>207</v>
      </c>
      <c r="K441" s="53" t="s">
        <v>551</v>
      </c>
      <c r="L441" s="7" t="s">
        <v>2157</v>
      </c>
      <c r="M441" s="7"/>
    </row>
    <row r="442" customFormat="false" ht="52.2" hidden="false" customHeight="false" outlineLevel="1" collapsed="false">
      <c r="A442" s="27"/>
      <c r="B442" s="27" t="s">
        <v>2166</v>
      </c>
      <c r="C442" s="7" t="s">
        <v>2158</v>
      </c>
      <c r="D442" s="27" t="s">
        <v>853</v>
      </c>
      <c r="E442" s="50" t="n">
        <v>29</v>
      </c>
      <c r="F442" s="50" t="n">
        <v>29</v>
      </c>
      <c r="G442" s="27" t="s">
        <v>865</v>
      </c>
      <c r="H442" s="50" t="n">
        <f aca="false">F442/IF(Varsayimlar!$B$21=1,1.43,1)</f>
        <v>20.2797202797203</v>
      </c>
      <c r="I442" s="51" t="n">
        <v>1.5</v>
      </c>
      <c r="J442" s="28" t="n">
        <f aca="false">H442*I442</f>
        <v>30.4195804195804</v>
      </c>
      <c r="K442" s="52" t="s">
        <v>548</v>
      </c>
      <c r="L442" s="7" t="s">
        <v>2159</v>
      </c>
      <c r="M442" s="7" t="s">
        <v>1751</v>
      </c>
    </row>
    <row r="443" customFormat="false" ht="15" hidden="false" customHeight="false" outlineLevel="0" collapsed="false">
      <c r="A443" s="48" t="s">
        <v>357</v>
      </c>
      <c r="B443" s="48" t="s">
        <v>2167</v>
      </c>
      <c r="C443" s="48" t="s">
        <v>358</v>
      </c>
      <c r="D443" s="48"/>
      <c r="E443" s="48"/>
      <c r="F443" s="48"/>
      <c r="G443" s="48"/>
      <c r="H443" s="48" t="s">
        <v>765</v>
      </c>
      <c r="I443" s="49" t="n">
        <f aca="false">SUMPRODUCT(E444:E446,I444:I446)</f>
        <v>62576</v>
      </c>
      <c r="J443" s="49" t="n">
        <f aca="false">SUM(J444:J446)</f>
        <v>61028</v>
      </c>
      <c r="K443" s="48"/>
      <c r="L443" s="48"/>
      <c r="M443" s="48"/>
    </row>
    <row r="444" customFormat="false" ht="39.55" hidden="false" customHeight="false" outlineLevel="1" collapsed="false">
      <c r="A444" s="27"/>
      <c r="B444" s="27" t="s">
        <v>2167</v>
      </c>
      <c r="C444" s="7" t="s">
        <v>2168</v>
      </c>
      <c r="D444" s="27" t="s">
        <v>727</v>
      </c>
      <c r="E444" s="50" t="n">
        <v>2</v>
      </c>
      <c r="F444" s="50" t="n">
        <v>2</v>
      </c>
      <c r="G444" s="27" t="s">
        <v>767</v>
      </c>
      <c r="H444" s="50" t="n">
        <f aca="false">F444</f>
        <v>2</v>
      </c>
      <c r="I444" s="51" t="n">
        <v>18714</v>
      </c>
      <c r="J444" s="28" t="n">
        <f aca="false">H444*I444</f>
        <v>37428</v>
      </c>
      <c r="K444" s="52" t="s">
        <v>548</v>
      </c>
      <c r="L444" s="7" t="s">
        <v>2169</v>
      </c>
      <c r="M444" s="7" t="s">
        <v>1848</v>
      </c>
    </row>
    <row r="445" customFormat="false" ht="26.85" hidden="false" customHeight="false" outlineLevel="1" collapsed="false">
      <c r="A445" s="27"/>
      <c r="B445" s="27" t="s">
        <v>2167</v>
      </c>
      <c r="C445" s="7" t="s">
        <v>2170</v>
      </c>
      <c r="D445" s="27" t="s">
        <v>727</v>
      </c>
      <c r="E445" s="50" t="n">
        <v>4</v>
      </c>
      <c r="F445" s="50" t="n">
        <v>4</v>
      </c>
      <c r="G445" s="27" t="s">
        <v>767</v>
      </c>
      <c r="H445" s="50" t="n">
        <f aca="false">F445</f>
        <v>4</v>
      </c>
      <c r="I445" s="51" t="n">
        <v>5000</v>
      </c>
      <c r="J445" s="28" t="n">
        <f aca="false">H445*I445</f>
        <v>20000</v>
      </c>
      <c r="K445" s="53" t="s">
        <v>551</v>
      </c>
      <c r="L445" s="7" t="s">
        <v>2171</v>
      </c>
      <c r="M445" s="7"/>
    </row>
    <row r="446" customFormat="false" ht="15" hidden="false" customHeight="false" outlineLevel="1" collapsed="false">
      <c r="A446" s="27"/>
      <c r="B446" s="27" t="s">
        <v>2167</v>
      </c>
      <c r="C446" s="7" t="s">
        <v>2172</v>
      </c>
      <c r="D446" s="27" t="s">
        <v>853</v>
      </c>
      <c r="E446" s="50" t="n">
        <v>1144</v>
      </c>
      <c r="F446" s="50" t="n">
        <v>1144</v>
      </c>
      <c r="G446" s="27" t="s">
        <v>865</v>
      </c>
      <c r="H446" s="50" t="n">
        <f aca="false">F446/IF(Varsayimlar!$B$21=1,1.43,1)</f>
        <v>800</v>
      </c>
      <c r="I446" s="51" t="n">
        <v>4.5</v>
      </c>
      <c r="J446" s="28" t="n">
        <f aca="false">H446*I446</f>
        <v>3600</v>
      </c>
      <c r="K446" s="53" t="s">
        <v>551</v>
      </c>
      <c r="L446" s="7" t="s">
        <v>2173</v>
      </c>
      <c r="M446" s="7"/>
    </row>
    <row r="447" customFormat="false" ht="15" hidden="false" customHeight="false" outlineLevel="0" collapsed="false">
      <c r="A447" s="48" t="s">
        <v>359</v>
      </c>
      <c r="B447" s="48" t="s">
        <v>2174</v>
      </c>
      <c r="C447" s="48" t="s">
        <v>360</v>
      </c>
      <c r="D447" s="48"/>
      <c r="E447" s="48"/>
      <c r="F447" s="48"/>
      <c r="G447" s="48"/>
      <c r="H447" s="48" t="s">
        <v>765</v>
      </c>
      <c r="I447" s="49" t="n">
        <f aca="false">SUMPRODUCT(E448:E449,I448:I449)</f>
        <v>128668</v>
      </c>
      <c r="J447" s="49" t="n">
        <f aca="false">SUM(J448:J449)</f>
        <v>128668</v>
      </c>
      <c r="K447" s="48"/>
      <c r="L447" s="48"/>
      <c r="M447" s="48"/>
    </row>
    <row r="448" customFormat="false" ht="64.9" hidden="false" customHeight="false" outlineLevel="1" collapsed="false">
      <c r="A448" s="27"/>
      <c r="B448" s="27" t="s">
        <v>2174</v>
      </c>
      <c r="C448" s="7" t="s">
        <v>2175</v>
      </c>
      <c r="D448" s="27" t="s">
        <v>727</v>
      </c>
      <c r="E448" s="50" t="n">
        <v>4</v>
      </c>
      <c r="F448" s="50" t="n">
        <v>4</v>
      </c>
      <c r="G448" s="27" t="s">
        <v>767</v>
      </c>
      <c r="H448" s="50" t="n">
        <f aca="false">F448</f>
        <v>4</v>
      </c>
      <c r="I448" s="51" t="n">
        <v>31480</v>
      </c>
      <c r="J448" s="28" t="n">
        <f aca="false">H448*I448</f>
        <v>125920</v>
      </c>
      <c r="K448" s="52" t="s">
        <v>548</v>
      </c>
      <c r="L448" s="7" t="s">
        <v>2176</v>
      </c>
      <c r="M448" s="7" t="s">
        <v>2177</v>
      </c>
    </row>
    <row r="449" customFormat="false" ht="26.85" hidden="false" customHeight="false" outlineLevel="1" collapsed="false">
      <c r="A449" s="27"/>
      <c r="B449" s="27" t="s">
        <v>2174</v>
      </c>
      <c r="C449" s="7" t="s">
        <v>2178</v>
      </c>
      <c r="D449" s="27" t="s">
        <v>853</v>
      </c>
      <c r="E449" s="50" t="n">
        <v>687</v>
      </c>
      <c r="F449" s="50" t="n">
        <v>687</v>
      </c>
      <c r="G449" s="27" t="s">
        <v>767</v>
      </c>
      <c r="H449" s="50" t="n">
        <f aca="false">F449</f>
        <v>687</v>
      </c>
      <c r="I449" s="51" t="n">
        <v>4</v>
      </c>
      <c r="J449" s="28" t="n">
        <f aca="false">H449*I449</f>
        <v>2748</v>
      </c>
      <c r="K449" s="53" t="s">
        <v>551</v>
      </c>
      <c r="L449" s="7" t="s">
        <v>2179</v>
      </c>
      <c r="M449" s="7"/>
    </row>
    <row r="450" customFormat="false" ht="15" hidden="false" customHeight="false" outlineLevel="0" collapsed="false">
      <c r="A450" s="48" t="s">
        <v>361</v>
      </c>
      <c r="B450" s="48" t="s">
        <v>2180</v>
      </c>
      <c r="C450" s="48" t="s">
        <v>362</v>
      </c>
      <c r="D450" s="48"/>
      <c r="E450" s="48"/>
      <c r="F450" s="48"/>
      <c r="G450" s="48"/>
      <c r="H450" s="48" t="s">
        <v>765</v>
      </c>
      <c r="I450" s="49" t="n">
        <f aca="false">SUMPRODUCT(E451:E460,I451:I460)</f>
        <v>117144.08</v>
      </c>
      <c r="J450" s="49" t="n">
        <f aca="false">SUM(J451:J460)</f>
        <v>100874.61</v>
      </c>
      <c r="K450" s="48"/>
      <c r="L450" s="48"/>
      <c r="M450" s="48"/>
    </row>
    <row r="451" customFormat="false" ht="64.9" hidden="false" customHeight="false" outlineLevel="1" collapsed="false">
      <c r="A451" s="27"/>
      <c r="B451" s="27" t="s">
        <v>2180</v>
      </c>
      <c r="C451" s="7" t="s">
        <v>2181</v>
      </c>
      <c r="D451" s="27" t="s">
        <v>732</v>
      </c>
      <c r="E451" s="50" t="n">
        <v>1</v>
      </c>
      <c r="F451" s="50" t="n">
        <v>1</v>
      </c>
      <c r="G451" s="27" t="s">
        <v>767</v>
      </c>
      <c r="H451" s="50" t="n">
        <f aca="false">F451</f>
        <v>1</v>
      </c>
      <c r="I451" s="51" t="n">
        <v>21000</v>
      </c>
      <c r="J451" s="28" t="n">
        <f aca="false">H451*I451</f>
        <v>21000</v>
      </c>
      <c r="K451" s="52" t="s">
        <v>548</v>
      </c>
      <c r="L451" s="7" t="s">
        <v>2182</v>
      </c>
      <c r="M451" s="7" t="s">
        <v>2183</v>
      </c>
    </row>
    <row r="452" customFormat="false" ht="64.9" hidden="false" customHeight="false" outlineLevel="1" collapsed="false">
      <c r="A452" s="27"/>
      <c r="B452" s="27" t="s">
        <v>2180</v>
      </c>
      <c r="C452" s="7" t="s">
        <v>2184</v>
      </c>
      <c r="D452" s="27" t="s">
        <v>727</v>
      </c>
      <c r="E452" s="50" t="n">
        <v>2</v>
      </c>
      <c r="F452" s="50" t="n">
        <v>2</v>
      </c>
      <c r="G452" s="27" t="s">
        <v>767</v>
      </c>
      <c r="H452" s="50" t="n">
        <f aca="false">F452</f>
        <v>2</v>
      </c>
      <c r="I452" s="51" t="n">
        <v>2166</v>
      </c>
      <c r="J452" s="28" t="n">
        <f aca="false">H452*I452</f>
        <v>4332</v>
      </c>
      <c r="K452" s="52" t="s">
        <v>548</v>
      </c>
      <c r="L452" s="7" t="s">
        <v>2185</v>
      </c>
      <c r="M452" s="7" t="s">
        <v>2186</v>
      </c>
    </row>
    <row r="453" customFormat="false" ht="64.9" hidden="false" customHeight="false" outlineLevel="1" collapsed="false">
      <c r="A453" s="27"/>
      <c r="B453" s="27" t="s">
        <v>2180</v>
      </c>
      <c r="C453" s="7" t="s">
        <v>2187</v>
      </c>
      <c r="D453" s="27" t="s">
        <v>727</v>
      </c>
      <c r="E453" s="50" t="n">
        <v>1</v>
      </c>
      <c r="F453" s="50" t="n">
        <v>1</v>
      </c>
      <c r="G453" s="27" t="s">
        <v>767</v>
      </c>
      <c r="H453" s="50" t="n">
        <f aca="false">F453</f>
        <v>1</v>
      </c>
      <c r="I453" s="51" t="n">
        <v>1865.4</v>
      </c>
      <c r="J453" s="28" t="n">
        <f aca="false">H453*I453</f>
        <v>1865.4</v>
      </c>
      <c r="K453" s="52" t="s">
        <v>548</v>
      </c>
      <c r="L453" s="7" t="s">
        <v>2015</v>
      </c>
      <c r="M453" s="7" t="s">
        <v>2188</v>
      </c>
    </row>
    <row r="454" customFormat="false" ht="141" hidden="false" customHeight="false" outlineLevel="1" collapsed="false">
      <c r="A454" s="27"/>
      <c r="B454" s="27" t="s">
        <v>2180</v>
      </c>
      <c r="C454" s="7" t="s">
        <v>2189</v>
      </c>
      <c r="D454" s="27" t="s">
        <v>732</v>
      </c>
      <c r="E454" s="50" t="n">
        <v>1</v>
      </c>
      <c r="F454" s="50" t="n">
        <v>1</v>
      </c>
      <c r="G454" s="27" t="s">
        <v>767</v>
      </c>
      <c r="H454" s="50" t="n">
        <f aca="false">F454</f>
        <v>1</v>
      </c>
      <c r="I454" s="51" t="n">
        <v>1712.91</v>
      </c>
      <c r="J454" s="28" t="n">
        <f aca="false">H454*I454</f>
        <v>1712.91</v>
      </c>
      <c r="K454" s="52" t="s">
        <v>548</v>
      </c>
      <c r="L454" s="7" t="s">
        <v>2190</v>
      </c>
      <c r="M454" s="7" t="s">
        <v>2191</v>
      </c>
    </row>
    <row r="455" customFormat="false" ht="52.2" hidden="false" customHeight="false" outlineLevel="1" collapsed="false">
      <c r="A455" s="27"/>
      <c r="B455" s="27" t="s">
        <v>2180</v>
      </c>
      <c r="C455" s="7" t="s">
        <v>2192</v>
      </c>
      <c r="D455" s="27" t="s">
        <v>727</v>
      </c>
      <c r="E455" s="50" t="n">
        <v>1</v>
      </c>
      <c r="F455" s="50" t="n">
        <v>1</v>
      </c>
      <c r="G455" s="27" t="s">
        <v>767</v>
      </c>
      <c r="H455" s="50" t="n">
        <f aca="false">F455</f>
        <v>1</v>
      </c>
      <c r="I455" s="51" t="n">
        <v>1688.83</v>
      </c>
      <c r="J455" s="28" t="n">
        <f aca="false">H455*I455</f>
        <v>1688.83</v>
      </c>
      <c r="K455" s="52" t="s">
        <v>548</v>
      </c>
      <c r="L455" s="7" t="s">
        <v>2193</v>
      </c>
      <c r="M455" s="7" t="s">
        <v>2188</v>
      </c>
    </row>
    <row r="456" customFormat="false" ht="39.55" hidden="false" customHeight="false" outlineLevel="1" collapsed="false">
      <c r="A456" s="27"/>
      <c r="B456" s="27" t="s">
        <v>2180</v>
      </c>
      <c r="C456" s="7" t="s">
        <v>2194</v>
      </c>
      <c r="D456" s="27" t="s">
        <v>727</v>
      </c>
      <c r="E456" s="50" t="n">
        <v>2</v>
      </c>
      <c r="F456" s="50" t="n">
        <v>2</v>
      </c>
      <c r="G456" s="27" t="s">
        <v>767</v>
      </c>
      <c r="H456" s="50" t="n">
        <f aca="false">F456</f>
        <v>2</v>
      </c>
      <c r="I456" s="51" t="n">
        <v>2500</v>
      </c>
      <c r="J456" s="28" t="n">
        <f aca="false">H456*I456</f>
        <v>5000</v>
      </c>
      <c r="K456" s="53" t="s">
        <v>551</v>
      </c>
      <c r="L456" s="7" t="s">
        <v>2195</v>
      </c>
      <c r="M456" s="7"/>
    </row>
    <row r="457" customFormat="false" ht="26.85" hidden="false" customHeight="false" outlineLevel="1" collapsed="false">
      <c r="A457" s="27"/>
      <c r="B457" s="27" t="s">
        <v>2180</v>
      </c>
      <c r="C457" s="7" t="s">
        <v>2196</v>
      </c>
      <c r="D457" s="27" t="s">
        <v>732</v>
      </c>
      <c r="E457" s="50" t="n">
        <v>1</v>
      </c>
      <c r="F457" s="50" t="n">
        <v>1</v>
      </c>
      <c r="G457" s="27" t="s">
        <v>767</v>
      </c>
      <c r="H457" s="50" t="n">
        <f aca="false">F457</f>
        <v>1</v>
      </c>
      <c r="I457" s="51" t="n">
        <v>22000</v>
      </c>
      <c r="J457" s="28" t="n">
        <f aca="false">H457*I457</f>
        <v>22000</v>
      </c>
      <c r="K457" s="53" t="s">
        <v>551</v>
      </c>
      <c r="L457" s="7" t="s">
        <v>2197</v>
      </c>
      <c r="M457" s="7"/>
    </row>
    <row r="458" customFormat="false" ht="52.2" hidden="false" customHeight="false" outlineLevel="1" collapsed="false">
      <c r="A458" s="27"/>
      <c r="B458" s="27" t="s">
        <v>2180</v>
      </c>
      <c r="C458" s="7" t="s">
        <v>2198</v>
      </c>
      <c r="D458" s="27" t="s">
        <v>732</v>
      </c>
      <c r="E458" s="50" t="n">
        <v>1</v>
      </c>
      <c r="F458" s="50" t="n">
        <v>1</v>
      </c>
      <c r="G458" s="27" t="s">
        <v>767</v>
      </c>
      <c r="H458" s="50" t="n">
        <f aca="false">F458</f>
        <v>1</v>
      </c>
      <c r="I458" s="51" t="n">
        <v>41580</v>
      </c>
      <c r="J458" s="28" t="n">
        <f aca="false">H458*I458</f>
        <v>41580</v>
      </c>
      <c r="K458" s="52" t="s">
        <v>548</v>
      </c>
      <c r="L458" s="7" t="s">
        <v>2199</v>
      </c>
      <c r="M458" s="7" t="s">
        <v>2200</v>
      </c>
    </row>
    <row r="459" customFormat="false" ht="52.2" hidden="false" customHeight="false" outlineLevel="1" collapsed="false">
      <c r="A459" s="27"/>
      <c r="B459" s="27" t="s">
        <v>2180</v>
      </c>
      <c r="C459" s="7" t="s">
        <v>2201</v>
      </c>
      <c r="D459" s="27" t="s">
        <v>727</v>
      </c>
      <c r="E459" s="50" t="n">
        <v>1</v>
      </c>
      <c r="F459" s="50" t="n">
        <v>1</v>
      </c>
      <c r="G459" s="27" t="s">
        <v>767</v>
      </c>
      <c r="H459" s="50" t="n">
        <f aca="false">F459</f>
        <v>1</v>
      </c>
      <c r="I459" s="51" t="n">
        <v>1695.47</v>
      </c>
      <c r="J459" s="28" t="n">
        <f aca="false">H459*I459</f>
        <v>1695.47</v>
      </c>
      <c r="K459" s="52" t="s">
        <v>548</v>
      </c>
      <c r="L459" s="7" t="s">
        <v>2202</v>
      </c>
      <c r="M459" s="7" t="s">
        <v>1756</v>
      </c>
    </row>
    <row r="460" customFormat="false" ht="52.2" hidden="false" customHeight="false" outlineLevel="1" collapsed="false">
      <c r="A460" s="27"/>
      <c r="B460" s="27" t="s">
        <v>2180</v>
      </c>
      <c r="C460" s="7" t="s">
        <v>2203</v>
      </c>
      <c r="D460" s="27" t="s">
        <v>732</v>
      </c>
      <c r="E460" s="50" t="n">
        <v>1</v>
      </c>
      <c r="F460" s="54" t="n">
        <v>0</v>
      </c>
      <c r="G460" s="27" t="s">
        <v>767</v>
      </c>
      <c r="H460" s="50" t="n">
        <f aca="false">F460</f>
        <v>0</v>
      </c>
      <c r="I460" s="51" t="n">
        <v>16269.47</v>
      </c>
      <c r="J460" s="28" t="n">
        <f aca="false">H460*I460</f>
        <v>0</v>
      </c>
      <c r="K460" s="55" t="s">
        <v>555</v>
      </c>
      <c r="L460" s="7" t="s">
        <v>2204</v>
      </c>
      <c r="M460" s="7" t="s">
        <v>2205</v>
      </c>
    </row>
    <row r="461" customFormat="false" ht="15" hidden="false" customHeight="false" outlineLevel="0" collapsed="false">
      <c r="A461" s="48" t="s">
        <v>363</v>
      </c>
      <c r="B461" s="48" t="s">
        <v>2206</v>
      </c>
      <c r="C461" s="48" t="s">
        <v>364</v>
      </c>
      <c r="D461" s="48"/>
      <c r="E461" s="48"/>
      <c r="F461" s="48"/>
      <c r="G461" s="48"/>
      <c r="H461" s="48" t="s">
        <v>765</v>
      </c>
      <c r="I461" s="49" t="n">
        <f aca="false">SUMPRODUCT(E462:E463,I462:I463)</f>
        <v>26000</v>
      </c>
      <c r="J461" s="49" t="n">
        <f aca="false">SUM(J462:J463)</f>
        <v>26000</v>
      </c>
      <c r="K461" s="48"/>
      <c r="L461" s="48"/>
      <c r="M461" s="48"/>
    </row>
    <row r="462" customFormat="false" ht="26.85" hidden="false" customHeight="false" outlineLevel="1" collapsed="false">
      <c r="A462" s="27"/>
      <c r="B462" s="27" t="s">
        <v>2206</v>
      </c>
      <c r="C462" s="7" t="s">
        <v>2207</v>
      </c>
      <c r="D462" s="27" t="s">
        <v>732</v>
      </c>
      <c r="E462" s="50" t="n">
        <v>1</v>
      </c>
      <c r="F462" s="50" t="n">
        <v>1</v>
      </c>
      <c r="G462" s="27" t="s">
        <v>767</v>
      </c>
      <c r="H462" s="50" t="n">
        <f aca="false">F462</f>
        <v>1</v>
      </c>
      <c r="I462" s="51" t="n">
        <v>16000</v>
      </c>
      <c r="J462" s="28" t="n">
        <f aca="false">H462*I462</f>
        <v>16000</v>
      </c>
      <c r="K462" s="62" t="s">
        <v>545</v>
      </c>
      <c r="L462" s="7" t="s">
        <v>2208</v>
      </c>
      <c r="M462" s="7" t="s">
        <v>2209</v>
      </c>
    </row>
    <row r="463" customFormat="false" ht="26.85" hidden="false" customHeight="false" outlineLevel="1" collapsed="false">
      <c r="A463" s="27"/>
      <c r="B463" s="27" t="s">
        <v>2206</v>
      </c>
      <c r="C463" s="7" t="s">
        <v>1670</v>
      </c>
      <c r="D463" s="27" t="s">
        <v>732</v>
      </c>
      <c r="E463" s="50" t="n">
        <v>1</v>
      </c>
      <c r="F463" s="50" t="n">
        <v>1</v>
      </c>
      <c r="G463" s="27" t="s">
        <v>767</v>
      </c>
      <c r="H463" s="50" t="n">
        <f aca="false">F463</f>
        <v>1</v>
      </c>
      <c r="I463" s="51" t="n">
        <v>10000</v>
      </c>
      <c r="J463" s="28" t="n">
        <f aca="false">H463*I463</f>
        <v>10000</v>
      </c>
      <c r="K463" s="62" t="s">
        <v>545</v>
      </c>
      <c r="L463" s="7" t="s">
        <v>2210</v>
      </c>
      <c r="M463" s="7" t="s">
        <v>2211</v>
      </c>
    </row>
    <row r="464" customFormat="false" ht="15" hidden="false" customHeight="false" outlineLevel="0" collapsed="false">
      <c r="A464" s="48" t="s">
        <v>365</v>
      </c>
      <c r="B464" s="48" t="s">
        <v>2212</v>
      </c>
      <c r="C464" s="48" t="s">
        <v>366</v>
      </c>
      <c r="D464" s="48"/>
      <c r="E464" s="48"/>
      <c r="F464" s="48"/>
      <c r="G464" s="48"/>
      <c r="H464" s="48" t="s">
        <v>765</v>
      </c>
      <c r="I464" s="49" t="n">
        <f aca="false">SUMPRODUCT(E465:E468,I465:I468)</f>
        <v>19607.6</v>
      </c>
      <c r="J464" s="49" t="n">
        <f aca="false">SUM(J465:J468)</f>
        <v>18271.048951049</v>
      </c>
      <c r="K464" s="48"/>
      <c r="L464" s="48"/>
      <c r="M464" s="48"/>
    </row>
    <row r="465" customFormat="false" ht="26.85" hidden="false" customHeight="false" outlineLevel="1" collapsed="false">
      <c r="A465" s="27"/>
      <c r="B465" s="27" t="s">
        <v>2212</v>
      </c>
      <c r="C465" s="7" t="s">
        <v>2213</v>
      </c>
      <c r="D465" s="27" t="s">
        <v>727</v>
      </c>
      <c r="E465" s="50" t="n">
        <v>4</v>
      </c>
      <c r="F465" s="50" t="n">
        <v>4</v>
      </c>
      <c r="G465" s="27" t="s">
        <v>767</v>
      </c>
      <c r="H465" s="50" t="n">
        <f aca="false">F465</f>
        <v>4</v>
      </c>
      <c r="I465" s="51" t="n">
        <v>3500</v>
      </c>
      <c r="J465" s="28" t="n">
        <f aca="false">H465*I465</f>
        <v>14000</v>
      </c>
      <c r="K465" s="62" t="s">
        <v>545</v>
      </c>
      <c r="L465" s="7" t="s">
        <v>2214</v>
      </c>
      <c r="M465" s="7" t="s">
        <v>2215</v>
      </c>
    </row>
    <row r="466" customFormat="false" ht="26.85" hidden="false" customHeight="false" outlineLevel="1" collapsed="false">
      <c r="A466" s="27"/>
      <c r="B466" s="27" t="s">
        <v>2212</v>
      </c>
      <c r="C466" s="7" t="s">
        <v>2216</v>
      </c>
      <c r="D466" s="27" t="s">
        <v>727</v>
      </c>
      <c r="E466" s="50" t="n">
        <v>4</v>
      </c>
      <c r="F466" s="50" t="n">
        <v>4</v>
      </c>
      <c r="G466" s="27" t="s">
        <v>829</v>
      </c>
      <c r="H466" s="50" t="n">
        <f aca="false">F466/IF(Varsayimlar!$B$21=1,1.3,1)</f>
        <v>3.07692307692308</v>
      </c>
      <c r="I466" s="51" t="n">
        <v>1250</v>
      </c>
      <c r="J466" s="28" t="n">
        <f aca="false">H466*I466</f>
        <v>3846.15384615385</v>
      </c>
      <c r="K466" s="62" t="s">
        <v>545</v>
      </c>
      <c r="L466" s="7" t="s">
        <v>2217</v>
      </c>
      <c r="M466" s="7" t="s">
        <v>2218</v>
      </c>
    </row>
    <row r="467" customFormat="false" ht="26.85" hidden="false" customHeight="false" outlineLevel="1" collapsed="false">
      <c r="A467" s="27"/>
      <c r="B467" s="27" t="s">
        <v>2212</v>
      </c>
      <c r="C467" s="7" t="s">
        <v>2219</v>
      </c>
      <c r="D467" s="27" t="s">
        <v>727</v>
      </c>
      <c r="E467" s="50" t="n">
        <v>4</v>
      </c>
      <c r="F467" s="50" t="n">
        <v>4</v>
      </c>
      <c r="G467" s="27" t="s">
        <v>767</v>
      </c>
      <c r="H467" s="50" t="n">
        <f aca="false">F467</f>
        <v>4</v>
      </c>
      <c r="I467" s="51" t="n">
        <v>0</v>
      </c>
      <c r="J467" s="28" t="n">
        <f aca="false">H467*I467</f>
        <v>0</v>
      </c>
      <c r="K467" s="62" t="s">
        <v>545</v>
      </c>
      <c r="L467" s="7" t="s">
        <v>2220</v>
      </c>
      <c r="M467" s="7" t="s">
        <v>2221</v>
      </c>
    </row>
    <row r="468" customFormat="false" ht="52.2" hidden="false" customHeight="false" outlineLevel="1" collapsed="false">
      <c r="A468" s="27"/>
      <c r="B468" s="27" t="s">
        <v>2212</v>
      </c>
      <c r="C468" s="7" t="s">
        <v>2222</v>
      </c>
      <c r="D468" s="27" t="s">
        <v>853</v>
      </c>
      <c r="E468" s="50" t="n">
        <v>245</v>
      </c>
      <c r="F468" s="50" t="n">
        <v>245</v>
      </c>
      <c r="G468" s="27" t="s">
        <v>865</v>
      </c>
      <c r="H468" s="50" t="n">
        <f aca="false">F468/IF(Varsayimlar!$B$21=1,1.43,1)</f>
        <v>171.328671328671</v>
      </c>
      <c r="I468" s="51" t="n">
        <v>2.48</v>
      </c>
      <c r="J468" s="28" t="n">
        <f aca="false">H468*I468</f>
        <v>424.895104895105</v>
      </c>
      <c r="K468" s="52" t="s">
        <v>548</v>
      </c>
      <c r="L468" s="7" t="s">
        <v>1818</v>
      </c>
      <c r="M468" s="7" t="s">
        <v>2003</v>
      </c>
    </row>
    <row r="469" customFormat="false" ht="15" hidden="false" customHeight="false" outlineLevel="0" collapsed="false">
      <c r="A469" s="48" t="s">
        <v>367</v>
      </c>
      <c r="B469" s="48" t="s">
        <v>2223</v>
      </c>
      <c r="C469" s="48" t="s">
        <v>368</v>
      </c>
      <c r="D469" s="48"/>
      <c r="E469" s="48"/>
      <c r="F469" s="48"/>
      <c r="G469" s="48"/>
      <c r="H469" s="48" t="s">
        <v>765</v>
      </c>
      <c r="I469" s="49" t="n">
        <f aca="false">SUMPRODUCT(E470:E473,I470:I473)</f>
        <v>17209.28</v>
      </c>
      <c r="J469" s="49" t="n">
        <f aca="false">SUM(J470:J473)</f>
        <v>16419.0769230769</v>
      </c>
      <c r="K469" s="48"/>
      <c r="L469" s="48"/>
      <c r="M469" s="48"/>
    </row>
    <row r="470" customFormat="false" ht="26.85" hidden="false" customHeight="false" outlineLevel="1" collapsed="false">
      <c r="A470" s="27"/>
      <c r="B470" s="27" t="s">
        <v>2223</v>
      </c>
      <c r="C470" s="7" t="s">
        <v>2213</v>
      </c>
      <c r="D470" s="27" t="s">
        <v>727</v>
      </c>
      <c r="E470" s="50" t="n">
        <v>4</v>
      </c>
      <c r="F470" s="50" t="n">
        <v>4</v>
      </c>
      <c r="G470" s="27" t="s">
        <v>767</v>
      </c>
      <c r="H470" s="50" t="n">
        <f aca="false">F470</f>
        <v>4</v>
      </c>
      <c r="I470" s="51" t="n">
        <v>3500</v>
      </c>
      <c r="J470" s="28" t="n">
        <f aca="false">H470*I470</f>
        <v>14000</v>
      </c>
      <c r="K470" s="62" t="s">
        <v>545</v>
      </c>
      <c r="L470" s="7" t="s">
        <v>2214</v>
      </c>
      <c r="M470" s="7" t="s">
        <v>2215</v>
      </c>
    </row>
    <row r="471" customFormat="false" ht="26.85" hidden="false" customHeight="false" outlineLevel="1" collapsed="false">
      <c r="A471" s="27"/>
      <c r="B471" s="27" t="s">
        <v>2223</v>
      </c>
      <c r="C471" s="7" t="s">
        <v>2216</v>
      </c>
      <c r="D471" s="27" t="s">
        <v>727</v>
      </c>
      <c r="E471" s="50" t="n">
        <v>2</v>
      </c>
      <c r="F471" s="50" t="n">
        <v>2</v>
      </c>
      <c r="G471" s="27" t="s">
        <v>829</v>
      </c>
      <c r="H471" s="50" t="n">
        <f aca="false">F471/IF(Varsayimlar!$B$21=1,1.3,1)</f>
        <v>1.53846153846154</v>
      </c>
      <c r="I471" s="51" t="n">
        <v>1250</v>
      </c>
      <c r="J471" s="28" t="n">
        <f aca="false">H471*I471</f>
        <v>1923.07692307692</v>
      </c>
      <c r="K471" s="62" t="s">
        <v>545</v>
      </c>
      <c r="L471" s="7" t="s">
        <v>2217</v>
      </c>
      <c r="M471" s="7" t="s">
        <v>2218</v>
      </c>
    </row>
    <row r="472" customFormat="false" ht="26.85" hidden="false" customHeight="false" outlineLevel="1" collapsed="false">
      <c r="A472" s="27"/>
      <c r="B472" s="27" t="s">
        <v>2223</v>
      </c>
      <c r="C472" s="7" t="s">
        <v>2219</v>
      </c>
      <c r="D472" s="27" t="s">
        <v>727</v>
      </c>
      <c r="E472" s="50" t="n">
        <v>4</v>
      </c>
      <c r="F472" s="50" t="n">
        <v>4</v>
      </c>
      <c r="G472" s="27" t="s">
        <v>767</v>
      </c>
      <c r="H472" s="50" t="n">
        <f aca="false">F472</f>
        <v>4</v>
      </c>
      <c r="I472" s="51" t="n">
        <v>0</v>
      </c>
      <c r="J472" s="28" t="n">
        <f aca="false">H472*I472</f>
        <v>0</v>
      </c>
      <c r="K472" s="62" t="s">
        <v>545</v>
      </c>
      <c r="L472" s="7" t="s">
        <v>2220</v>
      </c>
      <c r="M472" s="7" t="s">
        <v>2221</v>
      </c>
    </row>
    <row r="473" customFormat="false" ht="52.2" hidden="false" customHeight="false" outlineLevel="1" collapsed="false">
      <c r="A473" s="27"/>
      <c r="B473" s="27" t="s">
        <v>2223</v>
      </c>
      <c r="C473" s="7" t="s">
        <v>2222</v>
      </c>
      <c r="D473" s="27" t="s">
        <v>853</v>
      </c>
      <c r="E473" s="50" t="n">
        <v>286</v>
      </c>
      <c r="F473" s="50" t="n">
        <v>286</v>
      </c>
      <c r="G473" s="27" t="s">
        <v>865</v>
      </c>
      <c r="H473" s="50" t="n">
        <f aca="false">F473/IF(Varsayimlar!$B$21=1,1.43,1)</f>
        <v>200</v>
      </c>
      <c r="I473" s="51" t="n">
        <v>2.48</v>
      </c>
      <c r="J473" s="28" t="n">
        <f aca="false">H473*I473</f>
        <v>496</v>
      </c>
      <c r="K473" s="52" t="s">
        <v>548</v>
      </c>
      <c r="L473" s="7" t="s">
        <v>1818</v>
      </c>
      <c r="M473" s="7" t="s">
        <v>2003</v>
      </c>
    </row>
    <row r="474" customFormat="false" ht="15" hidden="false" customHeight="false" outlineLevel="0" collapsed="false">
      <c r="A474" s="48" t="s">
        <v>369</v>
      </c>
      <c r="B474" s="48" t="s">
        <v>2224</v>
      </c>
      <c r="C474" s="48" t="s">
        <v>370</v>
      </c>
      <c r="D474" s="48"/>
      <c r="E474" s="48"/>
      <c r="F474" s="48"/>
      <c r="G474" s="48"/>
      <c r="H474" s="48" t="s">
        <v>765</v>
      </c>
      <c r="I474" s="49" t="n">
        <f aca="false">SUMPRODUCT(E475:E478,I475:I478)</f>
        <v>17209.28</v>
      </c>
      <c r="J474" s="49" t="n">
        <f aca="false">SUM(J475:J478)</f>
        <v>16419.0769230769</v>
      </c>
      <c r="K474" s="48"/>
      <c r="L474" s="48"/>
      <c r="M474" s="48"/>
    </row>
    <row r="475" customFormat="false" ht="26.85" hidden="false" customHeight="false" outlineLevel="1" collapsed="false">
      <c r="A475" s="27"/>
      <c r="B475" s="27" t="s">
        <v>2224</v>
      </c>
      <c r="C475" s="7" t="s">
        <v>2213</v>
      </c>
      <c r="D475" s="27" t="s">
        <v>727</v>
      </c>
      <c r="E475" s="50" t="n">
        <v>4</v>
      </c>
      <c r="F475" s="50" t="n">
        <v>4</v>
      </c>
      <c r="G475" s="27" t="s">
        <v>767</v>
      </c>
      <c r="H475" s="50" t="n">
        <f aca="false">F475</f>
        <v>4</v>
      </c>
      <c r="I475" s="51" t="n">
        <v>3500</v>
      </c>
      <c r="J475" s="28" t="n">
        <f aca="false">H475*I475</f>
        <v>14000</v>
      </c>
      <c r="K475" s="62" t="s">
        <v>545</v>
      </c>
      <c r="L475" s="7" t="s">
        <v>2214</v>
      </c>
      <c r="M475" s="7" t="s">
        <v>2215</v>
      </c>
    </row>
    <row r="476" customFormat="false" ht="26.85" hidden="false" customHeight="false" outlineLevel="1" collapsed="false">
      <c r="A476" s="27"/>
      <c r="B476" s="27" t="s">
        <v>2224</v>
      </c>
      <c r="C476" s="7" t="s">
        <v>2216</v>
      </c>
      <c r="D476" s="27" t="s">
        <v>727</v>
      </c>
      <c r="E476" s="50" t="n">
        <v>2</v>
      </c>
      <c r="F476" s="50" t="n">
        <v>2</v>
      </c>
      <c r="G476" s="27" t="s">
        <v>829</v>
      </c>
      <c r="H476" s="50" t="n">
        <f aca="false">F476/IF(Varsayimlar!$B$21=1,1.3,1)</f>
        <v>1.53846153846154</v>
      </c>
      <c r="I476" s="51" t="n">
        <v>1250</v>
      </c>
      <c r="J476" s="28" t="n">
        <f aca="false">H476*I476</f>
        <v>1923.07692307692</v>
      </c>
      <c r="K476" s="62" t="s">
        <v>545</v>
      </c>
      <c r="L476" s="7" t="s">
        <v>2217</v>
      </c>
      <c r="M476" s="7" t="s">
        <v>2218</v>
      </c>
    </row>
    <row r="477" customFormat="false" ht="26.85" hidden="false" customHeight="false" outlineLevel="1" collapsed="false">
      <c r="A477" s="27"/>
      <c r="B477" s="27" t="s">
        <v>2224</v>
      </c>
      <c r="C477" s="7" t="s">
        <v>2219</v>
      </c>
      <c r="D477" s="27" t="s">
        <v>727</v>
      </c>
      <c r="E477" s="50" t="n">
        <v>4</v>
      </c>
      <c r="F477" s="50" t="n">
        <v>4</v>
      </c>
      <c r="G477" s="27" t="s">
        <v>767</v>
      </c>
      <c r="H477" s="50" t="n">
        <f aca="false">F477</f>
        <v>4</v>
      </c>
      <c r="I477" s="51" t="n">
        <v>0</v>
      </c>
      <c r="J477" s="28" t="n">
        <f aca="false">H477*I477</f>
        <v>0</v>
      </c>
      <c r="K477" s="62" t="s">
        <v>545</v>
      </c>
      <c r="L477" s="7" t="s">
        <v>2220</v>
      </c>
      <c r="M477" s="7" t="s">
        <v>2221</v>
      </c>
    </row>
    <row r="478" customFormat="false" ht="52.2" hidden="false" customHeight="false" outlineLevel="1" collapsed="false">
      <c r="A478" s="27"/>
      <c r="B478" s="27" t="s">
        <v>2224</v>
      </c>
      <c r="C478" s="7" t="s">
        <v>2222</v>
      </c>
      <c r="D478" s="27" t="s">
        <v>853</v>
      </c>
      <c r="E478" s="50" t="n">
        <v>286</v>
      </c>
      <c r="F478" s="50" t="n">
        <v>286</v>
      </c>
      <c r="G478" s="27" t="s">
        <v>865</v>
      </c>
      <c r="H478" s="50" t="n">
        <f aca="false">F478/IF(Varsayimlar!$B$21=1,1.43,1)</f>
        <v>200</v>
      </c>
      <c r="I478" s="51" t="n">
        <v>2.48</v>
      </c>
      <c r="J478" s="28" t="n">
        <f aca="false">H478*I478</f>
        <v>496</v>
      </c>
      <c r="K478" s="52" t="s">
        <v>548</v>
      </c>
      <c r="L478" s="7" t="s">
        <v>1818</v>
      </c>
      <c r="M478" s="7" t="s">
        <v>2003</v>
      </c>
    </row>
    <row r="479" customFormat="false" ht="15" hidden="false" customHeight="false" outlineLevel="0" collapsed="false">
      <c r="A479" s="48" t="s">
        <v>371</v>
      </c>
      <c r="B479" s="48" t="s">
        <v>2225</v>
      </c>
      <c r="C479" s="48" t="s">
        <v>372</v>
      </c>
      <c r="D479" s="48"/>
      <c r="E479" s="48"/>
      <c r="F479" s="48"/>
      <c r="G479" s="48"/>
      <c r="H479" s="48" t="s">
        <v>765</v>
      </c>
      <c r="I479" s="49" t="n">
        <f aca="false">SUMPRODUCT(E480:E483,I480:I483)</f>
        <v>17209.28</v>
      </c>
      <c r="J479" s="49" t="n">
        <f aca="false">SUM(J480:J483)</f>
        <v>16419.0769230769</v>
      </c>
      <c r="K479" s="48"/>
      <c r="L479" s="48"/>
      <c r="M479" s="48"/>
    </row>
    <row r="480" customFormat="false" ht="26.85" hidden="false" customHeight="false" outlineLevel="1" collapsed="false">
      <c r="A480" s="27"/>
      <c r="B480" s="27" t="s">
        <v>2225</v>
      </c>
      <c r="C480" s="7" t="s">
        <v>2213</v>
      </c>
      <c r="D480" s="27" t="s">
        <v>727</v>
      </c>
      <c r="E480" s="50" t="n">
        <v>4</v>
      </c>
      <c r="F480" s="50" t="n">
        <v>4</v>
      </c>
      <c r="G480" s="27" t="s">
        <v>767</v>
      </c>
      <c r="H480" s="50" t="n">
        <f aca="false">F480</f>
        <v>4</v>
      </c>
      <c r="I480" s="51" t="n">
        <v>3500</v>
      </c>
      <c r="J480" s="28" t="n">
        <f aca="false">H480*I480</f>
        <v>14000</v>
      </c>
      <c r="K480" s="62" t="s">
        <v>545</v>
      </c>
      <c r="L480" s="7" t="s">
        <v>2214</v>
      </c>
      <c r="M480" s="7" t="s">
        <v>2215</v>
      </c>
    </row>
    <row r="481" customFormat="false" ht="26.85" hidden="false" customHeight="false" outlineLevel="1" collapsed="false">
      <c r="A481" s="27"/>
      <c r="B481" s="27" t="s">
        <v>2225</v>
      </c>
      <c r="C481" s="7" t="s">
        <v>2216</v>
      </c>
      <c r="D481" s="27" t="s">
        <v>727</v>
      </c>
      <c r="E481" s="50" t="n">
        <v>2</v>
      </c>
      <c r="F481" s="50" t="n">
        <v>2</v>
      </c>
      <c r="G481" s="27" t="s">
        <v>829</v>
      </c>
      <c r="H481" s="50" t="n">
        <f aca="false">F481/IF(Varsayimlar!$B$21=1,1.3,1)</f>
        <v>1.53846153846154</v>
      </c>
      <c r="I481" s="51" t="n">
        <v>1250</v>
      </c>
      <c r="J481" s="28" t="n">
        <f aca="false">H481*I481</f>
        <v>1923.07692307692</v>
      </c>
      <c r="K481" s="62" t="s">
        <v>545</v>
      </c>
      <c r="L481" s="7" t="s">
        <v>2217</v>
      </c>
      <c r="M481" s="7" t="s">
        <v>2218</v>
      </c>
    </row>
    <row r="482" customFormat="false" ht="26.85" hidden="false" customHeight="false" outlineLevel="1" collapsed="false">
      <c r="A482" s="27"/>
      <c r="B482" s="27" t="s">
        <v>2225</v>
      </c>
      <c r="C482" s="7" t="s">
        <v>2219</v>
      </c>
      <c r="D482" s="27" t="s">
        <v>727</v>
      </c>
      <c r="E482" s="50" t="n">
        <v>4</v>
      </c>
      <c r="F482" s="50" t="n">
        <v>4</v>
      </c>
      <c r="G482" s="27" t="s">
        <v>767</v>
      </c>
      <c r="H482" s="50" t="n">
        <f aca="false">F482</f>
        <v>4</v>
      </c>
      <c r="I482" s="51" t="n">
        <v>0</v>
      </c>
      <c r="J482" s="28" t="n">
        <f aca="false">H482*I482</f>
        <v>0</v>
      </c>
      <c r="K482" s="62" t="s">
        <v>545</v>
      </c>
      <c r="L482" s="7" t="s">
        <v>2220</v>
      </c>
      <c r="M482" s="7" t="s">
        <v>2221</v>
      </c>
    </row>
    <row r="483" customFormat="false" ht="52.2" hidden="false" customHeight="false" outlineLevel="1" collapsed="false">
      <c r="A483" s="27"/>
      <c r="B483" s="27" t="s">
        <v>2225</v>
      </c>
      <c r="C483" s="7" t="s">
        <v>2222</v>
      </c>
      <c r="D483" s="27" t="s">
        <v>853</v>
      </c>
      <c r="E483" s="50" t="n">
        <v>286</v>
      </c>
      <c r="F483" s="50" t="n">
        <v>286</v>
      </c>
      <c r="G483" s="27" t="s">
        <v>865</v>
      </c>
      <c r="H483" s="50" t="n">
        <f aca="false">F483/IF(Varsayimlar!$B$21=1,1.43,1)</f>
        <v>200</v>
      </c>
      <c r="I483" s="51" t="n">
        <v>2.48</v>
      </c>
      <c r="J483" s="28" t="n">
        <f aca="false">H483*I483</f>
        <v>496</v>
      </c>
      <c r="K483" s="52" t="s">
        <v>548</v>
      </c>
      <c r="L483" s="7" t="s">
        <v>1818</v>
      </c>
      <c r="M483" s="7" t="s">
        <v>2003</v>
      </c>
    </row>
    <row r="484" customFormat="false" ht="15" hidden="false" customHeight="false" outlineLevel="0" collapsed="false">
      <c r="A484" s="48" t="s">
        <v>373</v>
      </c>
      <c r="B484" s="48" t="s">
        <v>2226</v>
      </c>
      <c r="C484" s="48" t="s">
        <v>374</v>
      </c>
      <c r="D484" s="48"/>
      <c r="E484" s="48"/>
      <c r="F484" s="48"/>
      <c r="G484" s="48"/>
      <c r="H484" s="48" t="s">
        <v>765</v>
      </c>
      <c r="I484" s="49" t="n">
        <f aca="false">SUMPRODUCT(E485:E488,I485:I488)</f>
        <v>17209.28</v>
      </c>
      <c r="J484" s="49" t="n">
        <f aca="false">SUM(J485:J488)</f>
        <v>16419.0769230769</v>
      </c>
      <c r="K484" s="48"/>
      <c r="L484" s="48"/>
      <c r="M484" s="48"/>
    </row>
    <row r="485" customFormat="false" ht="26.85" hidden="false" customHeight="false" outlineLevel="1" collapsed="false">
      <c r="A485" s="27"/>
      <c r="B485" s="27" t="s">
        <v>2226</v>
      </c>
      <c r="C485" s="7" t="s">
        <v>2213</v>
      </c>
      <c r="D485" s="27" t="s">
        <v>727</v>
      </c>
      <c r="E485" s="50" t="n">
        <v>4</v>
      </c>
      <c r="F485" s="50" t="n">
        <v>4</v>
      </c>
      <c r="G485" s="27" t="s">
        <v>767</v>
      </c>
      <c r="H485" s="50" t="n">
        <f aca="false">F485</f>
        <v>4</v>
      </c>
      <c r="I485" s="51" t="n">
        <v>3500</v>
      </c>
      <c r="J485" s="28" t="n">
        <f aca="false">H485*I485</f>
        <v>14000</v>
      </c>
      <c r="K485" s="62" t="s">
        <v>545</v>
      </c>
      <c r="L485" s="7" t="s">
        <v>2214</v>
      </c>
      <c r="M485" s="7" t="s">
        <v>2215</v>
      </c>
    </row>
    <row r="486" customFormat="false" ht="26.85" hidden="false" customHeight="false" outlineLevel="1" collapsed="false">
      <c r="A486" s="27"/>
      <c r="B486" s="27" t="s">
        <v>2226</v>
      </c>
      <c r="C486" s="7" t="s">
        <v>2216</v>
      </c>
      <c r="D486" s="27" t="s">
        <v>727</v>
      </c>
      <c r="E486" s="50" t="n">
        <v>2</v>
      </c>
      <c r="F486" s="50" t="n">
        <v>2</v>
      </c>
      <c r="G486" s="27" t="s">
        <v>829</v>
      </c>
      <c r="H486" s="50" t="n">
        <f aca="false">F486/IF(Varsayimlar!$B$21=1,1.3,1)</f>
        <v>1.53846153846154</v>
      </c>
      <c r="I486" s="51" t="n">
        <v>1250</v>
      </c>
      <c r="J486" s="28" t="n">
        <f aca="false">H486*I486</f>
        <v>1923.07692307692</v>
      </c>
      <c r="K486" s="62" t="s">
        <v>545</v>
      </c>
      <c r="L486" s="7" t="s">
        <v>2217</v>
      </c>
      <c r="M486" s="7" t="s">
        <v>2218</v>
      </c>
    </row>
    <row r="487" customFormat="false" ht="26.85" hidden="false" customHeight="false" outlineLevel="1" collapsed="false">
      <c r="A487" s="27"/>
      <c r="B487" s="27" t="s">
        <v>2226</v>
      </c>
      <c r="C487" s="7" t="s">
        <v>2219</v>
      </c>
      <c r="D487" s="27" t="s">
        <v>727</v>
      </c>
      <c r="E487" s="50" t="n">
        <v>4</v>
      </c>
      <c r="F487" s="50" t="n">
        <v>4</v>
      </c>
      <c r="G487" s="27" t="s">
        <v>767</v>
      </c>
      <c r="H487" s="50" t="n">
        <f aca="false">F487</f>
        <v>4</v>
      </c>
      <c r="I487" s="51" t="n">
        <v>0</v>
      </c>
      <c r="J487" s="28" t="n">
        <f aca="false">H487*I487</f>
        <v>0</v>
      </c>
      <c r="K487" s="62" t="s">
        <v>545</v>
      </c>
      <c r="L487" s="7" t="s">
        <v>2220</v>
      </c>
      <c r="M487" s="7" t="s">
        <v>2221</v>
      </c>
    </row>
    <row r="488" customFormat="false" ht="52.2" hidden="false" customHeight="false" outlineLevel="1" collapsed="false">
      <c r="A488" s="27"/>
      <c r="B488" s="27" t="s">
        <v>2226</v>
      </c>
      <c r="C488" s="7" t="s">
        <v>2222</v>
      </c>
      <c r="D488" s="27" t="s">
        <v>853</v>
      </c>
      <c r="E488" s="50" t="n">
        <v>286</v>
      </c>
      <c r="F488" s="50" t="n">
        <v>286</v>
      </c>
      <c r="G488" s="27" t="s">
        <v>865</v>
      </c>
      <c r="H488" s="50" t="n">
        <f aca="false">F488/IF(Varsayimlar!$B$21=1,1.43,1)</f>
        <v>200</v>
      </c>
      <c r="I488" s="51" t="n">
        <v>2.48</v>
      </c>
      <c r="J488" s="28" t="n">
        <f aca="false">H488*I488</f>
        <v>496</v>
      </c>
      <c r="K488" s="52" t="s">
        <v>548</v>
      </c>
      <c r="L488" s="7" t="s">
        <v>1818</v>
      </c>
      <c r="M488" s="7" t="s">
        <v>2003</v>
      </c>
    </row>
    <row r="489" customFormat="false" ht="15" hidden="false" customHeight="false" outlineLevel="0" collapsed="false">
      <c r="A489" s="48" t="s">
        <v>375</v>
      </c>
      <c r="B489" s="48" t="s">
        <v>2227</v>
      </c>
      <c r="C489" s="48" t="s">
        <v>376</v>
      </c>
      <c r="D489" s="48"/>
      <c r="E489" s="48"/>
      <c r="F489" s="48"/>
      <c r="G489" s="48"/>
      <c r="H489" s="48" t="s">
        <v>765</v>
      </c>
      <c r="I489" s="49" t="n">
        <f aca="false">SUMPRODUCT(E490:E493,I490:I493)</f>
        <v>17256.4</v>
      </c>
      <c r="J489" s="49" t="n">
        <f aca="false">SUM(J490:J493)</f>
        <v>16452.027972028</v>
      </c>
      <c r="K489" s="48"/>
      <c r="L489" s="48"/>
      <c r="M489" s="48"/>
    </row>
    <row r="490" customFormat="false" ht="26.85" hidden="false" customHeight="false" outlineLevel="1" collapsed="false">
      <c r="A490" s="27"/>
      <c r="B490" s="27" t="s">
        <v>2227</v>
      </c>
      <c r="C490" s="7" t="s">
        <v>2213</v>
      </c>
      <c r="D490" s="27" t="s">
        <v>727</v>
      </c>
      <c r="E490" s="50" t="n">
        <v>4</v>
      </c>
      <c r="F490" s="50" t="n">
        <v>4</v>
      </c>
      <c r="G490" s="27" t="s">
        <v>767</v>
      </c>
      <c r="H490" s="50" t="n">
        <f aca="false">F490</f>
        <v>4</v>
      </c>
      <c r="I490" s="51" t="n">
        <v>3500</v>
      </c>
      <c r="J490" s="28" t="n">
        <f aca="false">H490*I490</f>
        <v>14000</v>
      </c>
      <c r="K490" s="62" t="s">
        <v>545</v>
      </c>
      <c r="L490" s="7" t="s">
        <v>2214</v>
      </c>
      <c r="M490" s="7" t="s">
        <v>2215</v>
      </c>
    </row>
    <row r="491" customFormat="false" ht="26.85" hidden="false" customHeight="false" outlineLevel="1" collapsed="false">
      <c r="A491" s="27"/>
      <c r="B491" s="27" t="s">
        <v>2227</v>
      </c>
      <c r="C491" s="7" t="s">
        <v>2216</v>
      </c>
      <c r="D491" s="27" t="s">
        <v>727</v>
      </c>
      <c r="E491" s="50" t="n">
        <v>2</v>
      </c>
      <c r="F491" s="50" t="n">
        <v>2</v>
      </c>
      <c r="G491" s="27" t="s">
        <v>829</v>
      </c>
      <c r="H491" s="50" t="n">
        <f aca="false">F491/IF(Varsayimlar!$B$21=1,1.3,1)</f>
        <v>1.53846153846154</v>
      </c>
      <c r="I491" s="51" t="n">
        <v>1250</v>
      </c>
      <c r="J491" s="28" t="n">
        <f aca="false">H491*I491</f>
        <v>1923.07692307692</v>
      </c>
      <c r="K491" s="62" t="s">
        <v>545</v>
      </c>
      <c r="L491" s="7" t="s">
        <v>2217</v>
      </c>
      <c r="M491" s="7" t="s">
        <v>2218</v>
      </c>
    </row>
    <row r="492" customFormat="false" ht="26.85" hidden="false" customHeight="false" outlineLevel="1" collapsed="false">
      <c r="A492" s="27"/>
      <c r="B492" s="27" t="s">
        <v>2227</v>
      </c>
      <c r="C492" s="7" t="s">
        <v>2219</v>
      </c>
      <c r="D492" s="27" t="s">
        <v>727</v>
      </c>
      <c r="E492" s="50" t="n">
        <v>4</v>
      </c>
      <c r="F492" s="50" t="n">
        <v>4</v>
      </c>
      <c r="G492" s="27" t="s">
        <v>767</v>
      </c>
      <c r="H492" s="50" t="n">
        <f aca="false">F492</f>
        <v>4</v>
      </c>
      <c r="I492" s="51" t="n">
        <v>0</v>
      </c>
      <c r="J492" s="28" t="n">
        <f aca="false">H492*I492</f>
        <v>0</v>
      </c>
      <c r="K492" s="62" t="s">
        <v>545</v>
      </c>
      <c r="L492" s="7" t="s">
        <v>2220</v>
      </c>
      <c r="M492" s="7" t="s">
        <v>2221</v>
      </c>
    </row>
    <row r="493" customFormat="false" ht="52.2" hidden="false" customHeight="false" outlineLevel="1" collapsed="false">
      <c r="A493" s="27"/>
      <c r="B493" s="27" t="s">
        <v>2227</v>
      </c>
      <c r="C493" s="7" t="s">
        <v>2222</v>
      </c>
      <c r="D493" s="27" t="s">
        <v>853</v>
      </c>
      <c r="E493" s="50" t="n">
        <v>305</v>
      </c>
      <c r="F493" s="50" t="n">
        <v>305</v>
      </c>
      <c r="G493" s="27" t="s">
        <v>865</v>
      </c>
      <c r="H493" s="50" t="n">
        <f aca="false">F493/IF(Varsayimlar!$B$21=1,1.43,1)</f>
        <v>213.286713286713</v>
      </c>
      <c r="I493" s="51" t="n">
        <v>2.48</v>
      </c>
      <c r="J493" s="28" t="n">
        <f aca="false">H493*I493</f>
        <v>528.951048951049</v>
      </c>
      <c r="K493" s="52" t="s">
        <v>548</v>
      </c>
      <c r="L493" s="7" t="s">
        <v>1818</v>
      </c>
      <c r="M493" s="7" t="s">
        <v>2003</v>
      </c>
    </row>
    <row r="494" customFormat="false" ht="15" hidden="false" customHeight="false" outlineLevel="0" collapsed="false">
      <c r="A494" s="48" t="s">
        <v>377</v>
      </c>
      <c r="B494" s="48" t="s">
        <v>2228</v>
      </c>
      <c r="C494" s="48" t="s">
        <v>378</v>
      </c>
      <c r="D494" s="48"/>
      <c r="E494" s="48"/>
      <c r="F494" s="48"/>
      <c r="G494" s="48"/>
      <c r="H494" s="48" t="s">
        <v>765</v>
      </c>
      <c r="I494" s="49" t="n">
        <f aca="false">SUMPRODUCT(E495:E498,I495:I498)</f>
        <v>46000</v>
      </c>
      <c r="J494" s="49" t="n">
        <f aca="false">SUM(J495:J498)</f>
        <v>35000</v>
      </c>
      <c r="K494" s="48"/>
      <c r="L494" s="48"/>
      <c r="M494" s="48"/>
    </row>
    <row r="495" customFormat="false" ht="26.85" hidden="false" customHeight="false" outlineLevel="1" collapsed="false">
      <c r="A495" s="27"/>
      <c r="B495" s="27" t="s">
        <v>2228</v>
      </c>
      <c r="C495" s="7" t="s">
        <v>2229</v>
      </c>
      <c r="D495" s="27" t="s">
        <v>732</v>
      </c>
      <c r="E495" s="50" t="n">
        <v>1</v>
      </c>
      <c r="F495" s="50" t="n">
        <v>1</v>
      </c>
      <c r="G495" s="27" t="s">
        <v>767</v>
      </c>
      <c r="H495" s="50" t="n">
        <f aca="false">F495</f>
        <v>1</v>
      </c>
      <c r="I495" s="51" t="n">
        <v>6000</v>
      </c>
      <c r="J495" s="28" t="n">
        <f aca="false">H495*I495</f>
        <v>6000</v>
      </c>
      <c r="K495" s="62" t="s">
        <v>545</v>
      </c>
      <c r="L495" s="7" t="s">
        <v>2230</v>
      </c>
      <c r="M495" s="7" t="s">
        <v>2231</v>
      </c>
    </row>
    <row r="496" customFormat="false" ht="26.85" hidden="false" customHeight="false" outlineLevel="1" collapsed="false">
      <c r="A496" s="27"/>
      <c r="B496" s="27" t="s">
        <v>2228</v>
      </c>
      <c r="C496" s="7" t="s">
        <v>2232</v>
      </c>
      <c r="D496" s="27" t="s">
        <v>732</v>
      </c>
      <c r="E496" s="50" t="n">
        <v>1</v>
      </c>
      <c r="F496" s="50" t="n">
        <v>1</v>
      </c>
      <c r="G496" s="27" t="s">
        <v>767</v>
      </c>
      <c r="H496" s="50" t="n">
        <f aca="false">F496</f>
        <v>1</v>
      </c>
      <c r="I496" s="51" t="n">
        <v>25000</v>
      </c>
      <c r="J496" s="28" t="n">
        <f aca="false">H496*I496</f>
        <v>25000</v>
      </c>
      <c r="K496" s="62" t="s">
        <v>545</v>
      </c>
      <c r="L496" s="7" t="s">
        <v>2233</v>
      </c>
      <c r="M496" s="7"/>
    </row>
    <row r="497" customFormat="false" ht="26.85" hidden="false" customHeight="false" outlineLevel="1" collapsed="false">
      <c r="A497" s="27"/>
      <c r="B497" s="27" t="s">
        <v>2228</v>
      </c>
      <c r="C497" s="7" t="s">
        <v>2234</v>
      </c>
      <c r="D497" s="27" t="s">
        <v>727</v>
      </c>
      <c r="E497" s="50" t="n">
        <v>2</v>
      </c>
      <c r="F497" s="50" t="n">
        <v>2</v>
      </c>
      <c r="G497" s="27" t="s">
        <v>767</v>
      </c>
      <c r="H497" s="50" t="n">
        <f aca="false">F497</f>
        <v>2</v>
      </c>
      <c r="I497" s="51" t="n">
        <v>2000</v>
      </c>
      <c r="J497" s="28" t="n">
        <f aca="false">H497*I497</f>
        <v>4000</v>
      </c>
      <c r="K497" s="62" t="s">
        <v>545</v>
      </c>
      <c r="L497" s="7" t="s">
        <v>2235</v>
      </c>
      <c r="M497" s="7" t="s">
        <v>2236</v>
      </c>
    </row>
    <row r="498" customFormat="false" ht="26.85" hidden="false" customHeight="false" outlineLevel="1" collapsed="false">
      <c r="A498" s="27"/>
      <c r="B498" s="27" t="s">
        <v>2228</v>
      </c>
      <c r="C498" s="7" t="s">
        <v>2237</v>
      </c>
      <c r="D498" s="27" t="s">
        <v>732</v>
      </c>
      <c r="E498" s="50" t="n">
        <v>1</v>
      </c>
      <c r="F498" s="54" t="n">
        <v>0</v>
      </c>
      <c r="G498" s="27" t="s">
        <v>767</v>
      </c>
      <c r="H498" s="50" t="n">
        <f aca="false">F498</f>
        <v>0</v>
      </c>
      <c r="I498" s="51" t="n">
        <v>11000</v>
      </c>
      <c r="J498" s="28" t="n">
        <f aca="false">H498*I498</f>
        <v>0</v>
      </c>
      <c r="K498" s="55" t="s">
        <v>555</v>
      </c>
      <c r="L498" s="7" t="s">
        <v>2238</v>
      </c>
      <c r="M498" s="7" t="s">
        <v>2239</v>
      </c>
    </row>
    <row r="499" customFormat="false" ht="15" hidden="false" customHeight="false" outlineLevel="0" collapsed="false">
      <c r="A499" s="48" t="s">
        <v>379</v>
      </c>
      <c r="B499" s="48" t="s">
        <v>2240</v>
      </c>
      <c r="C499" s="48" t="s">
        <v>380</v>
      </c>
      <c r="D499" s="48"/>
      <c r="E499" s="48"/>
      <c r="F499" s="48"/>
      <c r="G499" s="48"/>
      <c r="H499" s="48" t="s">
        <v>765</v>
      </c>
      <c r="I499" s="49" t="n">
        <f aca="false">SUMPRODUCT(E500:E501,I500:I501)</f>
        <v>9000</v>
      </c>
      <c r="J499" s="49" t="n">
        <f aca="false">SUM(J500:J501)</f>
        <v>9000</v>
      </c>
      <c r="K499" s="48"/>
      <c r="L499" s="48"/>
      <c r="M499" s="48"/>
    </row>
    <row r="500" customFormat="false" ht="26.85" hidden="false" customHeight="false" outlineLevel="1" collapsed="false">
      <c r="A500" s="27"/>
      <c r="B500" s="27" t="s">
        <v>2240</v>
      </c>
      <c r="C500" s="7" t="s">
        <v>2241</v>
      </c>
      <c r="D500" s="27" t="s">
        <v>732</v>
      </c>
      <c r="E500" s="50" t="n">
        <v>1</v>
      </c>
      <c r="F500" s="50" t="n">
        <v>1</v>
      </c>
      <c r="G500" s="27" t="s">
        <v>767</v>
      </c>
      <c r="H500" s="50" t="n">
        <f aca="false">F500</f>
        <v>1</v>
      </c>
      <c r="I500" s="51" t="n">
        <v>6000</v>
      </c>
      <c r="J500" s="28" t="n">
        <f aca="false">H500*I500</f>
        <v>6000</v>
      </c>
      <c r="K500" s="53" t="s">
        <v>551</v>
      </c>
      <c r="L500" s="7" t="s">
        <v>2242</v>
      </c>
      <c r="M500" s="7" t="s">
        <v>1672</v>
      </c>
    </row>
    <row r="501" customFormat="false" ht="52.2" hidden="false" customHeight="false" outlineLevel="1" collapsed="false">
      <c r="A501" s="27"/>
      <c r="B501" s="27" t="s">
        <v>2240</v>
      </c>
      <c r="C501" s="7" t="s">
        <v>1670</v>
      </c>
      <c r="D501" s="27" t="s">
        <v>732</v>
      </c>
      <c r="E501" s="50" t="n">
        <v>1</v>
      </c>
      <c r="F501" s="50" t="n">
        <v>1</v>
      </c>
      <c r="G501" s="27" t="s">
        <v>767</v>
      </c>
      <c r="H501" s="50" t="n">
        <f aca="false">F501</f>
        <v>1</v>
      </c>
      <c r="I501" s="51" t="n">
        <v>3000</v>
      </c>
      <c r="J501" s="28" t="n">
        <f aca="false">H501*I501</f>
        <v>3000</v>
      </c>
      <c r="K501" s="53" t="s">
        <v>551</v>
      </c>
      <c r="L501" s="7" t="s">
        <v>1809</v>
      </c>
      <c r="M501" s="7" t="s">
        <v>1672</v>
      </c>
    </row>
    <row r="502" customFormat="false" ht="15" hidden="false" customHeight="false" outlineLevel="0" collapsed="false">
      <c r="A502" s="48" t="s">
        <v>381</v>
      </c>
      <c r="B502" s="48" t="s">
        <v>2243</v>
      </c>
      <c r="C502" s="48" t="s">
        <v>382</v>
      </c>
      <c r="D502" s="48"/>
      <c r="E502" s="48"/>
      <c r="F502" s="48"/>
      <c r="G502" s="48"/>
      <c r="H502" s="48" t="s">
        <v>765</v>
      </c>
      <c r="I502" s="49" t="n">
        <f aca="false">SUMPRODUCT(E503:E504,I503:I504)</f>
        <v>49680</v>
      </c>
      <c r="J502" s="49" t="n">
        <f aca="false">SUM(J503:J504)</f>
        <v>49680</v>
      </c>
      <c r="K502" s="48"/>
      <c r="L502" s="48"/>
      <c r="M502" s="48"/>
    </row>
    <row r="503" customFormat="false" ht="77.6" hidden="false" customHeight="false" outlineLevel="1" collapsed="false">
      <c r="A503" s="27"/>
      <c r="B503" s="27" t="s">
        <v>2243</v>
      </c>
      <c r="C503" s="7" t="s">
        <v>2244</v>
      </c>
      <c r="D503" s="27" t="s">
        <v>727</v>
      </c>
      <c r="E503" s="50" t="n">
        <v>27</v>
      </c>
      <c r="F503" s="50" t="n">
        <v>27</v>
      </c>
      <c r="G503" s="27" t="s">
        <v>767</v>
      </c>
      <c r="H503" s="50" t="n">
        <f aca="false">F503</f>
        <v>27</v>
      </c>
      <c r="I503" s="51" t="n">
        <v>1840</v>
      </c>
      <c r="J503" s="28" t="n">
        <f aca="false">H503*I503</f>
        <v>49680</v>
      </c>
      <c r="K503" s="52" t="s">
        <v>548</v>
      </c>
      <c r="L503" s="7" t="s">
        <v>2245</v>
      </c>
      <c r="M503" s="7" t="s">
        <v>2246</v>
      </c>
    </row>
    <row r="504" customFormat="false" ht="26.85" hidden="false" customHeight="false" outlineLevel="1" collapsed="false">
      <c r="A504" s="27"/>
      <c r="B504" s="27" t="s">
        <v>2243</v>
      </c>
      <c r="C504" s="7" t="s">
        <v>2247</v>
      </c>
      <c r="D504" s="27" t="s">
        <v>853</v>
      </c>
      <c r="E504" s="50" t="n">
        <v>845</v>
      </c>
      <c r="F504" s="50" t="n">
        <v>845</v>
      </c>
      <c r="G504" s="27" t="s">
        <v>767</v>
      </c>
      <c r="H504" s="50" t="n">
        <f aca="false">F504</f>
        <v>845</v>
      </c>
      <c r="I504" s="51" t="n">
        <v>0</v>
      </c>
      <c r="J504" s="28" t="n">
        <f aca="false">H504*I504</f>
        <v>0</v>
      </c>
      <c r="K504" s="53" t="s">
        <v>551</v>
      </c>
      <c r="L504" s="7" t="s">
        <v>2248</v>
      </c>
      <c r="M504" s="7" t="s">
        <v>2249</v>
      </c>
    </row>
    <row r="505" customFormat="false" ht="15" hidden="false" customHeight="false" outlineLevel="0" collapsed="false">
      <c r="A505" s="48" t="s">
        <v>383</v>
      </c>
      <c r="B505" s="48" t="s">
        <v>2250</v>
      </c>
      <c r="C505" s="48" t="s">
        <v>384</v>
      </c>
      <c r="D505" s="48"/>
      <c r="E505" s="48"/>
      <c r="F505" s="48"/>
      <c r="G505" s="48"/>
      <c r="H505" s="48" t="s">
        <v>765</v>
      </c>
      <c r="I505" s="49" t="n">
        <f aca="false">SUMPRODUCT(E506:E507,I506:I507)</f>
        <v>30838.84</v>
      </c>
      <c r="J505" s="49" t="n">
        <f aca="false">SUM(J506:J507)</f>
        <v>30838.84</v>
      </c>
      <c r="K505" s="48"/>
      <c r="L505" s="48"/>
      <c r="M505" s="48"/>
    </row>
    <row r="506" customFormat="false" ht="77.6" hidden="false" customHeight="false" outlineLevel="1" collapsed="false">
      <c r="A506" s="27"/>
      <c r="B506" s="27" t="s">
        <v>2250</v>
      </c>
      <c r="C506" s="7" t="s">
        <v>2251</v>
      </c>
      <c r="D506" s="27" t="s">
        <v>727</v>
      </c>
      <c r="E506" s="50" t="n">
        <v>19</v>
      </c>
      <c r="F506" s="50" t="n">
        <v>19</v>
      </c>
      <c r="G506" s="27" t="s">
        <v>767</v>
      </c>
      <c r="H506" s="50" t="n">
        <f aca="false">F506</f>
        <v>19</v>
      </c>
      <c r="I506" s="51" t="n">
        <v>1590</v>
      </c>
      <c r="J506" s="28" t="n">
        <f aca="false">H506*I506</f>
        <v>30210</v>
      </c>
      <c r="K506" s="52" t="s">
        <v>548</v>
      </c>
      <c r="L506" s="7" t="s">
        <v>2252</v>
      </c>
      <c r="M506" s="7" t="s">
        <v>2253</v>
      </c>
    </row>
    <row r="507" customFormat="false" ht="90.25" hidden="false" customHeight="false" outlineLevel="1" collapsed="false">
      <c r="A507" s="27"/>
      <c r="B507" s="27" t="s">
        <v>2250</v>
      </c>
      <c r="C507" s="7" t="s">
        <v>2254</v>
      </c>
      <c r="D507" s="27" t="s">
        <v>853</v>
      </c>
      <c r="E507" s="50" t="n">
        <v>158</v>
      </c>
      <c r="F507" s="50" t="n">
        <v>158</v>
      </c>
      <c r="G507" s="27" t="s">
        <v>767</v>
      </c>
      <c r="H507" s="50" t="n">
        <f aca="false">F507</f>
        <v>158</v>
      </c>
      <c r="I507" s="51" t="n">
        <v>3.98</v>
      </c>
      <c r="J507" s="28" t="n">
        <f aca="false">H507*I507</f>
        <v>628.84</v>
      </c>
      <c r="K507" s="52" t="s">
        <v>548</v>
      </c>
      <c r="L507" s="7" t="s">
        <v>2255</v>
      </c>
      <c r="M507" s="7" t="s">
        <v>2256</v>
      </c>
    </row>
    <row r="508" customFormat="false" ht="15" hidden="false" customHeight="false" outlineLevel="0" collapsed="false">
      <c r="A508" s="48" t="s">
        <v>385</v>
      </c>
      <c r="B508" s="48" t="s">
        <v>2257</v>
      </c>
      <c r="C508" s="48" t="s">
        <v>386</v>
      </c>
      <c r="D508" s="48"/>
      <c r="E508" s="48"/>
      <c r="F508" s="48"/>
      <c r="G508" s="48"/>
      <c r="H508" s="48" t="s">
        <v>765</v>
      </c>
      <c r="I508" s="49" t="n">
        <f aca="false">SUMPRODUCT(E509:E541,I509:I541)</f>
        <v>135578.67</v>
      </c>
      <c r="J508" s="49" t="n">
        <f aca="false">SUM(J509:J541)</f>
        <v>135578.67</v>
      </c>
      <c r="K508" s="48"/>
      <c r="L508" s="48"/>
      <c r="M508" s="48"/>
    </row>
    <row r="509" customFormat="false" ht="26.85" hidden="false" customHeight="false" outlineLevel="1" collapsed="false">
      <c r="A509" s="27"/>
      <c r="B509" s="27" t="s">
        <v>2257</v>
      </c>
      <c r="C509" s="7" t="s">
        <v>2258</v>
      </c>
      <c r="D509" s="27" t="s">
        <v>727</v>
      </c>
      <c r="E509" s="50" t="n">
        <v>10</v>
      </c>
      <c r="F509" s="50" t="n">
        <v>10</v>
      </c>
      <c r="G509" s="27" t="s">
        <v>767</v>
      </c>
      <c r="H509" s="50" t="n">
        <f aca="false">F509</f>
        <v>10</v>
      </c>
      <c r="I509" s="51" t="n">
        <v>1800</v>
      </c>
      <c r="J509" s="28" t="n">
        <f aca="false">H509*I509</f>
        <v>18000</v>
      </c>
      <c r="K509" s="53" t="s">
        <v>551</v>
      </c>
      <c r="L509" s="7" t="s">
        <v>2259</v>
      </c>
      <c r="M509" s="7"/>
    </row>
    <row r="510" customFormat="false" ht="26.85" hidden="false" customHeight="false" outlineLevel="1" collapsed="false">
      <c r="A510" s="27"/>
      <c r="B510" s="27" t="s">
        <v>2257</v>
      </c>
      <c r="C510" s="7" t="s">
        <v>2260</v>
      </c>
      <c r="D510" s="27" t="s">
        <v>727</v>
      </c>
      <c r="E510" s="50" t="n">
        <v>2</v>
      </c>
      <c r="F510" s="50" t="n">
        <v>2</v>
      </c>
      <c r="G510" s="27" t="s">
        <v>767</v>
      </c>
      <c r="H510" s="50" t="n">
        <f aca="false">F510</f>
        <v>2</v>
      </c>
      <c r="I510" s="51" t="n">
        <v>1500</v>
      </c>
      <c r="J510" s="28" t="n">
        <f aca="false">H510*I510</f>
        <v>3000</v>
      </c>
      <c r="K510" s="53" t="s">
        <v>551</v>
      </c>
      <c r="L510" s="7" t="s">
        <v>2261</v>
      </c>
      <c r="M510" s="7"/>
    </row>
    <row r="511" customFormat="false" ht="52.2" hidden="false" customHeight="false" outlineLevel="1" collapsed="false">
      <c r="A511" s="27"/>
      <c r="B511" s="27" t="s">
        <v>2257</v>
      </c>
      <c r="C511" s="7" t="s">
        <v>2262</v>
      </c>
      <c r="D511" s="27" t="s">
        <v>727</v>
      </c>
      <c r="E511" s="50" t="n">
        <v>2</v>
      </c>
      <c r="F511" s="50" t="n">
        <v>2</v>
      </c>
      <c r="G511" s="27" t="s">
        <v>767</v>
      </c>
      <c r="H511" s="50" t="n">
        <f aca="false">F511</f>
        <v>2</v>
      </c>
      <c r="I511" s="51" t="n">
        <v>351.26</v>
      </c>
      <c r="J511" s="28" t="n">
        <f aca="false">H511*I511</f>
        <v>702.52</v>
      </c>
      <c r="K511" s="52" t="s">
        <v>548</v>
      </c>
      <c r="L511" s="7" t="s">
        <v>2263</v>
      </c>
      <c r="M511" s="7" t="s">
        <v>2264</v>
      </c>
    </row>
    <row r="512" customFormat="false" ht="26.85" hidden="false" customHeight="false" outlineLevel="1" collapsed="false">
      <c r="A512" s="27"/>
      <c r="B512" s="27" t="s">
        <v>2257</v>
      </c>
      <c r="C512" s="7" t="s">
        <v>2265</v>
      </c>
      <c r="D512" s="27" t="s">
        <v>727</v>
      </c>
      <c r="E512" s="50" t="n">
        <v>1</v>
      </c>
      <c r="F512" s="50" t="n">
        <v>1</v>
      </c>
      <c r="G512" s="27" t="s">
        <v>767</v>
      </c>
      <c r="H512" s="50" t="n">
        <f aca="false">F512</f>
        <v>1</v>
      </c>
      <c r="I512" s="51" t="n">
        <v>8000</v>
      </c>
      <c r="J512" s="28" t="n">
        <f aca="false">H512*I512</f>
        <v>8000</v>
      </c>
      <c r="K512" s="53" t="s">
        <v>551</v>
      </c>
      <c r="L512" s="7" t="s">
        <v>2266</v>
      </c>
      <c r="M512" s="7" t="s">
        <v>2267</v>
      </c>
    </row>
    <row r="513" customFormat="false" ht="26.85" hidden="false" customHeight="false" outlineLevel="1" collapsed="false">
      <c r="A513" s="27"/>
      <c r="B513" s="27" t="s">
        <v>2257</v>
      </c>
      <c r="C513" s="7" t="s">
        <v>2268</v>
      </c>
      <c r="D513" s="27" t="s">
        <v>732</v>
      </c>
      <c r="E513" s="50" t="n">
        <v>2</v>
      </c>
      <c r="F513" s="50" t="n">
        <v>2</v>
      </c>
      <c r="G513" s="27" t="s">
        <v>767</v>
      </c>
      <c r="H513" s="50" t="n">
        <f aca="false">F513</f>
        <v>2</v>
      </c>
      <c r="I513" s="51" t="n">
        <v>800</v>
      </c>
      <c r="J513" s="28" t="n">
        <f aca="false">H513*I513</f>
        <v>1600</v>
      </c>
      <c r="K513" s="53" t="s">
        <v>551</v>
      </c>
      <c r="L513" s="7" t="s">
        <v>1804</v>
      </c>
      <c r="M513" s="7"/>
    </row>
    <row r="514" customFormat="false" ht="26.85" hidden="false" customHeight="false" outlineLevel="1" collapsed="false">
      <c r="A514" s="27"/>
      <c r="B514" s="27" t="s">
        <v>2257</v>
      </c>
      <c r="C514" s="7" t="s">
        <v>2269</v>
      </c>
      <c r="D514" s="27" t="s">
        <v>727</v>
      </c>
      <c r="E514" s="50" t="n">
        <v>3</v>
      </c>
      <c r="F514" s="50" t="n">
        <v>3</v>
      </c>
      <c r="G514" s="27" t="s">
        <v>767</v>
      </c>
      <c r="H514" s="50" t="n">
        <f aca="false">F514</f>
        <v>3</v>
      </c>
      <c r="I514" s="51" t="n">
        <v>1800</v>
      </c>
      <c r="J514" s="28" t="n">
        <f aca="false">H514*I514</f>
        <v>5400</v>
      </c>
      <c r="K514" s="53" t="s">
        <v>551</v>
      </c>
      <c r="L514" s="7" t="s">
        <v>2259</v>
      </c>
      <c r="M514" s="7"/>
    </row>
    <row r="515" customFormat="false" ht="26.85" hidden="false" customHeight="false" outlineLevel="1" collapsed="false">
      <c r="A515" s="27"/>
      <c r="B515" s="27" t="s">
        <v>2257</v>
      </c>
      <c r="C515" s="7" t="s">
        <v>2270</v>
      </c>
      <c r="D515" s="27" t="s">
        <v>727</v>
      </c>
      <c r="E515" s="50" t="n">
        <v>1</v>
      </c>
      <c r="F515" s="50" t="n">
        <v>1</v>
      </c>
      <c r="G515" s="27" t="s">
        <v>767</v>
      </c>
      <c r="H515" s="50" t="n">
        <f aca="false">F515</f>
        <v>1</v>
      </c>
      <c r="I515" s="51" t="n">
        <v>1500</v>
      </c>
      <c r="J515" s="28" t="n">
        <f aca="false">H515*I515</f>
        <v>1500</v>
      </c>
      <c r="K515" s="53" t="s">
        <v>551</v>
      </c>
      <c r="L515" s="7" t="s">
        <v>2261</v>
      </c>
      <c r="M515" s="7"/>
    </row>
    <row r="516" customFormat="false" ht="52.2" hidden="false" customHeight="false" outlineLevel="1" collapsed="false">
      <c r="A516" s="27"/>
      <c r="B516" s="27" t="s">
        <v>2257</v>
      </c>
      <c r="C516" s="7" t="s">
        <v>2271</v>
      </c>
      <c r="D516" s="27" t="s">
        <v>727</v>
      </c>
      <c r="E516" s="50" t="n">
        <v>1</v>
      </c>
      <c r="F516" s="50" t="n">
        <v>1</v>
      </c>
      <c r="G516" s="27" t="s">
        <v>767</v>
      </c>
      <c r="H516" s="50" t="n">
        <f aca="false">F516</f>
        <v>1</v>
      </c>
      <c r="I516" s="51" t="n">
        <v>351.26</v>
      </c>
      <c r="J516" s="28" t="n">
        <f aca="false">H516*I516</f>
        <v>351.26</v>
      </c>
      <c r="K516" s="52" t="s">
        <v>548</v>
      </c>
      <c r="L516" s="7" t="s">
        <v>2263</v>
      </c>
      <c r="M516" s="7" t="s">
        <v>2264</v>
      </c>
    </row>
    <row r="517" customFormat="false" ht="26.85" hidden="false" customHeight="false" outlineLevel="1" collapsed="false">
      <c r="A517" s="27"/>
      <c r="B517" s="27" t="s">
        <v>2257</v>
      </c>
      <c r="C517" s="7" t="s">
        <v>2272</v>
      </c>
      <c r="D517" s="27" t="s">
        <v>727</v>
      </c>
      <c r="E517" s="50" t="n">
        <v>1</v>
      </c>
      <c r="F517" s="50" t="n">
        <v>1</v>
      </c>
      <c r="G517" s="27" t="s">
        <v>767</v>
      </c>
      <c r="H517" s="50" t="n">
        <f aca="false">F517</f>
        <v>1</v>
      </c>
      <c r="I517" s="51" t="n">
        <v>8000</v>
      </c>
      <c r="J517" s="28" t="n">
        <f aca="false">H517*I517</f>
        <v>8000</v>
      </c>
      <c r="K517" s="53" t="s">
        <v>551</v>
      </c>
      <c r="L517" s="7" t="s">
        <v>2266</v>
      </c>
      <c r="M517" s="7" t="s">
        <v>2267</v>
      </c>
    </row>
    <row r="518" customFormat="false" ht="26.85" hidden="false" customHeight="false" outlineLevel="1" collapsed="false">
      <c r="A518" s="27"/>
      <c r="B518" s="27" t="s">
        <v>2257</v>
      </c>
      <c r="C518" s="7" t="s">
        <v>2273</v>
      </c>
      <c r="D518" s="27" t="s">
        <v>732</v>
      </c>
      <c r="E518" s="50" t="n">
        <v>1</v>
      </c>
      <c r="F518" s="50" t="n">
        <v>1</v>
      </c>
      <c r="G518" s="27" t="s">
        <v>767</v>
      </c>
      <c r="H518" s="50" t="n">
        <f aca="false">F518</f>
        <v>1</v>
      </c>
      <c r="I518" s="51" t="n">
        <v>800</v>
      </c>
      <c r="J518" s="28" t="n">
        <f aca="false">H518*I518</f>
        <v>800</v>
      </c>
      <c r="K518" s="53" t="s">
        <v>551</v>
      </c>
      <c r="L518" s="7" t="s">
        <v>1804</v>
      </c>
      <c r="M518" s="7"/>
    </row>
    <row r="519" customFormat="false" ht="26.85" hidden="false" customHeight="false" outlineLevel="1" collapsed="false">
      <c r="A519" s="27"/>
      <c r="B519" s="27" t="s">
        <v>2257</v>
      </c>
      <c r="C519" s="7" t="s">
        <v>2274</v>
      </c>
      <c r="D519" s="27" t="s">
        <v>727</v>
      </c>
      <c r="E519" s="50" t="n">
        <v>2</v>
      </c>
      <c r="F519" s="50" t="n">
        <v>2</v>
      </c>
      <c r="G519" s="27" t="s">
        <v>767</v>
      </c>
      <c r="H519" s="50" t="n">
        <f aca="false">F519</f>
        <v>2</v>
      </c>
      <c r="I519" s="51" t="n">
        <v>1800</v>
      </c>
      <c r="J519" s="28" t="n">
        <f aca="false">H519*I519</f>
        <v>3600</v>
      </c>
      <c r="K519" s="53" t="s">
        <v>551</v>
      </c>
      <c r="L519" s="7" t="s">
        <v>2275</v>
      </c>
      <c r="M519" s="7"/>
    </row>
    <row r="520" customFormat="false" ht="26.85" hidden="false" customHeight="false" outlineLevel="1" collapsed="false">
      <c r="A520" s="27"/>
      <c r="B520" s="27" t="s">
        <v>2257</v>
      </c>
      <c r="C520" s="7" t="s">
        <v>2276</v>
      </c>
      <c r="D520" s="27" t="s">
        <v>727</v>
      </c>
      <c r="E520" s="50" t="n">
        <v>1</v>
      </c>
      <c r="F520" s="50" t="n">
        <v>1</v>
      </c>
      <c r="G520" s="27" t="s">
        <v>767</v>
      </c>
      <c r="H520" s="50" t="n">
        <f aca="false">F520</f>
        <v>1</v>
      </c>
      <c r="I520" s="51" t="n">
        <v>1500</v>
      </c>
      <c r="J520" s="28" t="n">
        <f aca="false">H520*I520</f>
        <v>1500</v>
      </c>
      <c r="K520" s="53" t="s">
        <v>551</v>
      </c>
      <c r="L520" s="7" t="s">
        <v>2261</v>
      </c>
      <c r="M520" s="7"/>
    </row>
    <row r="521" customFormat="false" ht="52.2" hidden="false" customHeight="false" outlineLevel="1" collapsed="false">
      <c r="A521" s="27"/>
      <c r="B521" s="27" t="s">
        <v>2257</v>
      </c>
      <c r="C521" s="7" t="s">
        <v>2277</v>
      </c>
      <c r="D521" s="27" t="s">
        <v>727</v>
      </c>
      <c r="E521" s="50" t="n">
        <v>1</v>
      </c>
      <c r="F521" s="50" t="n">
        <v>1</v>
      </c>
      <c r="G521" s="27" t="s">
        <v>767</v>
      </c>
      <c r="H521" s="50" t="n">
        <f aca="false">F521</f>
        <v>1</v>
      </c>
      <c r="I521" s="51" t="n">
        <v>351.26</v>
      </c>
      <c r="J521" s="28" t="n">
        <f aca="false">H521*I521</f>
        <v>351.26</v>
      </c>
      <c r="K521" s="52" t="s">
        <v>548</v>
      </c>
      <c r="L521" s="7" t="s">
        <v>2263</v>
      </c>
      <c r="M521" s="7" t="s">
        <v>2264</v>
      </c>
    </row>
    <row r="522" customFormat="false" ht="26.85" hidden="false" customHeight="false" outlineLevel="1" collapsed="false">
      <c r="A522" s="27"/>
      <c r="B522" s="27" t="s">
        <v>2257</v>
      </c>
      <c r="C522" s="7" t="s">
        <v>2278</v>
      </c>
      <c r="D522" s="27" t="s">
        <v>727</v>
      </c>
      <c r="E522" s="50" t="n">
        <v>1</v>
      </c>
      <c r="F522" s="50" t="n">
        <v>1</v>
      </c>
      <c r="G522" s="27" t="s">
        <v>767</v>
      </c>
      <c r="H522" s="50" t="n">
        <f aca="false">F522</f>
        <v>1</v>
      </c>
      <c r="I522" s="51" t="n">
        <v>8000</v>
      </c>
      <c r="J522" s="28" t="n">
        <f aca="false">H522*I522</f>
        <v>8000</v>
      </c>
      <c r="K522" s="53" t="s">
        <v>551</v>
      </c>
      <c r="L522" s="7" t="s">
        <v>2266</v>
      </c>
      <c r="M522" s="7" t="s">
        <v>2267</v>
      </c>
    </row>
    <row r="523" customFormat="false" ht="26.85" hidden="false" customHeight="false" outlineLevel="1" collapsed="false">
      <c r="A523" s="27"/>
      <c r="B523" s="27" t="s">
        <v>2257</v>
      </c>
      <c r="C523" s="7" t="s">
        <v>2279</v>
      </c>
      <c r="D523" s="27" t="s">
        <v>732</v>
      </c>
      <c r="E523" s="50" t="n">
        <v>1</v>
      </c>
      <c r="F523" s="50" t="n">
        <v>1</v>
      </c>
      <c r="G523" s="27" t="s">
        <v>767</v>
      </c>
      <c r="H523" s="50" t="n">
        <f aca="false">F523</f>
        <v>1</v>
      </c>
      <c r="I523" s="51" t="n">
        <v>800</v>
      </c>
      <c r="J523" s="28" t="n">
        <f aca="false">H523*I523</f>
        <v>800</v>
      </c>
      <c r="K523" s="53" t="s">
        <v>551</v>
      </c>
      <c r="L523" s="7" t="s">
        <v>1804</v>
      </c>
      <c r="M523" s="7"/>
    </row>
    <row r="524" customFormat="false" ht="26.85" hidden="false" customHeight="false" outlineLevel="1" collapsed="false">
      <c r="A524" s="27"/>
      <c r="B524" s="27" t="s">
        <v>2257</v>
      </c>
      <c r="C524" s="7" t="s">
        <v>2280</v>
      </c>
      <c r="D524" s="27" t="s">
        <v>727</v>
      </c>
      <c r="E524" s="50" t="n">
        <v>3</v>
      </c>
      <c r="F524" s="50" t="n">
        <v>3</v>
      </c>
      <c r="G524" s="27" t="s">
        <v>767</v>
      </c>
      <c r="H524" s="50" t="n">
        <f aca="false">F524</f>
        <v>3</v>
      </c>
      <c r="I524" s="51" t="n">
        <v>1800</v>
      </c>
      <c r="J524" s="28" t="n">
        <f aca="false">H524*I524</f>
        <v>5400</v>
      </c>
      <c r="K524" s="53" t="s">
        <v>551</v>
      </c>
      <c r="L524" s="7" t="s">
        <v>2259</v>
      </c>
      <c r="M524" s="7"/>
    </row>
    <row r="525" customFormat="false" ht="26.85" hidden="false" customHeight="false" outlineLevel="1" collapsed="false">
      <c r="A525" s="27"/>
      <c r="B525" s="27" t="s">
        <v>2257</v>
      </c>
      <c r="C525" s="7" t="s">
        <v>2281</v>
      </c>
      <c r="D525" s="27" t="s">
        <v>727</v>
      </c>
      <c r="E525" s="50" t="n">
        <v>1</v>
      </c>
      <c r="F525" s="50" t="n">
        <v>1</v>
      </c>
      <c r="G525" s="27" t="s">
        <v>767</v>
      </c>
      <c r="H525" s="50" t="n">
        <f aca="false">F525</f>
        <v>1</v>
      </c>
      <c r="I525" s="51" t="n">
        <v>1500</v>
      </c>
      <c r="J525" s="28" t="n">
        <f aca="false">H525*I525</f>
        <v>1500</v>
      </c>
      <c r="K525" s="53" t="s">
        <v>551</v>
      </c>
      <c r="L525" s="7" t="s">
        <v>2261</v>
      </c>
      <c r="M525" s="7"/>
    </row>
    <row r="526" customFormat="false" ht="52.2" hidden="false" customHeight="false" outlineLevel="1" collapsed="false">
      <c r="A526" s="27"/>
      <c r="B526" s="27" t="s">
        <v>2257</v>
      </c>
      <c r="C526" s="7" t="s">
        <v>2282</v>
      </c>
      <c r="D526" s="27" t="s">
        <v>727</v>
      </c>
      <c r="E526" s="50" t="n">
        <v>1</v>
      </c>
      <c r="F526" s="50" t="n">
        <v>1</v>
      </c>
      <c r="G526" s="27" t="s">
        <v>767</v>
      </c>
      <c r="H526" s="50" t="n">
        <f aca="false">F526</f>
        <v>1</v>
      </c>
      <c r="I526" s="51" t="n">
        <v>351.26</v>
      </c>
      <c r="J526" s="28" t="n">
        <f aca="false">H526*I526</f>
        <v>351.26</v>
      </c>
      <c r="K526" s="52" t="s">
        <v>548</v>
      </c>
      <c r="L526" s="7" t="s">
        <v>2263</v>
      </c>
      <c r="M526" s="7" t="s">
        <v>2264</v>
      </c>
    </row>
    <row r="527" customFormat="false" ht="26.85" hidden="false" customHeight="false" outlineLevel="1" collapsed="false">
      <c r="A527" s="27"/>
      <c r="B527" s="27" t="s">
        <v>2257</v>
      </c>
      <c r="C527" s="7" t="s">
        <v>2283</v>
      </c>
      <c r="D527" s="27" t="s">
        <v>727</v>
      </c>
      <c r="E527" s="50" t="n">
        <v>1</v>
      </c>
      <c r="F527" s="50" t="n">
        <v>1</v>
      </c>
      <c r="G527" s="27" t="s">
        <v>767</v>
      </c>
      <c r="H527" s="50" t="n">
        <f aca="false">F527</f>
        <v>1</v>
      </c>
      <c r="I527" s="51" t="n">
        <v>8000</v>
      </c>
      <c r="J527" s="28" t="n">
        <f aca="false">H527*I527</f>
        <v>8000</v>
      </c>
      <c r="K527" s="53" t="s">
        <v>551</v>
      </c>
      <c r="L527" s="7" t="s">
        <v>2266</v>
      </c>
      <c r="M527" s="7" t="s">
        <v>2267</v>
      </c>
    </row>
    <row r="528" customFormat="false" ht="26.85" hidden="false" customHeight="false" outlineLevel="1" collapsed="false">
      <c r="A528" s="27"/>
      <c r="B528" s="27" t="s">
        <v>2257</v>
      </c>
      <c r="C528" s="7" t="s">
        <v>2284</v>
      </c>
      <c r="D528" s="27" t="s">
        <v>732</v>
      </c>
      <c r="E528" s="50" t="n">
        <v>1</v>
      </c>
      <c r="F528" s="50" t="n">
        <v>1</v>
      </c>
      <c r="G528" s="27" t="s">
        <v>767</v>
      </c>
      <c r="H528" s="50" t="n">
        <f aca="false">F528</f>
        <v>1</v>
      </c>
      <c r="I528" s="51" t="n">
        <v>800</v>
      </c>
      <c r="J528" s="28" t="n">
        <f aca="false">H528*I528</f>
        <v>800</v>
      </c>
      <c r="K528" s="53" t="s">
        <v>551</v>
      </c>
      <c r="L528" s="7" t="s">
        <v>1804</v>
      </c>
      <c r="M528" s="7"/>
    </row>
    <row r="529" customFormat="false" ht="26.85" hidden="false" customHeight="false" outlineLevel="1" collapsed="false">
      <c r="A529" s="27"/>
      <c r="B529" s="27" t="s">
        <v>2257</v>
      </c>
      <c r="C529" s="7" t="s">
        <v>2285</v>
      </c>
      <c r="D529" s="27" t="s">
        <v>727</v>
      </c>
      <c r="E529" s="50" t="n">
        <v>3</v>
      </c>
      <c r="F529" s="50" t="n">
        <v>3</v>
      </c>
      <c r="G529" s="27" t="s">
        <v>767</v>
      </c>
      <c r="H529" s="50" t="n">
        <f aca="false">F529</f>
        <v>3</v>
      </c>
      <c r="I529" s="51" t="n">
        <v>1800</v>
      </c>
      <c r="J529" s="28" t="n">
        <f aca="false">H529*I529</f>
        <v>5400</v>
      </c>
      <c r="K529" s="53" t="s">
        <v>551</v>
      </c>
      <c r="L529" s="7" t="s">
        <v>2259</v>
      </c>
      <c r="M529" s="7"/>
    </row>
    <row r="530" customFormat="false" ht="26.85" hidden="false" customHeight="false" outlineLevel="1" collapsed="false">
      <c r="A530" s="27"/>
      <c r="B530" s="27" t="s">
        <v>2257</v>
      </c>
      <c r="C530" s="7" t="s">
        <v>2286</v>
      </c>
      <c r="D530" s="27" t="s">
        <v>727</v>
      </c>
      <c r="E530" s="50" t="n">
        <v>1</v>
      </c>
      <c r="F530" s="50" t="n">
        <v>1</v>
      </c>
      <c r="G530" s="27" t="s">
        <v>767</v>
      </c>
      <c r="H530" s="50" t="n">
        <f aca="false">F530</f>
        <v>1</v>
      </c>
      <c r="I530" s="51" t="n">
        <v>1500</v>
      </c>
      <c r="J530" s="28" t="n">
        <f aca="false">H530*I530</f>
        <v>1500</v>
      </c>
      <c r="K530" s="53" t="s">
        <v>551</v>
      </c>
      <c r="L530" s="7" t="s">
        <v>2261</v>
      </c>
      <c r="M530" s="7"/>
    </row>
    <row r="531" customFormat="false" ht="52.2" hidden="false" customHeight="false" outlineLevel="1" collapsed="false">
      <c r="A531" s="27"/>
      <c r="B531" s="27" t="s">
        <v>2257</v>
      </c>
      <c r="C531" s="7" t="s">
        <v>2287</v>
      </c>
      <c r="D531" s="27" t="s">
        <v>727</v>
      </c>
      <c r="E531" s="50" t="n">
        <v>1</v>
      </c>
      <c r="F531" s="50" t="n">
        <v>1</v>
      </c>
      <c r="G531" s="27" t="s">
        <v>767</v>
      </c>
      <c r="H531" s="50" t="n">
        <f aca="false">F531</f>
        <v>1</v>
      </c>
      <c r="I531" s="51" t="n">
        <v>351.26</v>
      </c>
      <c r="J531" s="28" t="n">
        <f aca="false">H531*I531</f>
        <v>351.26</v>
      </c>
      <c r="K531" s="52" t="s">
        <v>548</v>
      </c>
      <c r="L531" s="7" t="s">
        <v>2263</v>
      </c>
      <c r="M531" s="7" t="s">
        <v>2264</v>
      </c>
    </row>
    <row r="532" customFormat="false" ht="26.85" hidden="false" customHeight="false" outlineLevel="1" collapsed="false">
      <c r="A532" s="27"/>
      <c r="B532" s="27" t="s">
        <v>2257</v>
      </c>
      <c r="C532" s="7" t="s">
        <v>2288</v>
      </c>
      <c r="D532" s="27" t="s">
        <v>727</v>
      </c>
      <c r="E532" s="50" t="n">
        <v>1</v>
      </c>
      <c r="F532" s="50" t="n">
        <v>1</v>
      </c>
      <c r="G532" s="27" t="s">
        <v>767</v>
      </c>
      <c r="H532" s="50" t="n">
        <f aca="false">F532</f>
        <v>1</v>
      </c>
      <c r="I532" s="51" t="n">
        <v>8000</v>
      </c>
      <c r="J532" s="28" t="n">
        <f aca="false">H532*I532</f>
        <v>8000</v>
      </c>
      <c r="K532" s="53" t="s">
        <v>551</v>
      </c>
      <c r="L532" s="7" t="s">
        <v>2266</v>
      </c>
      <c r="M532" s="7" t="s">
        <v>2267</v>
      </c>
    </row>
    <row r="533" customFormat="false" ht="26.85" hidden="false" customHeight="false" outlineLevel="1" collapsed="false">
      <c r="A533" s="27"/>
      <c r="B533" s="27" t="s">
        <v>2257</v>
      </c>
      <c r="C533" s="7" t="s">
        <v>2289</v>
      </c>
      <c r="D533" s="27" t="s">
        <v>732</v>
      </c>
      <c r="E533" s="50" t="n">
        <v>1</v>
      </c>
      <c r="F533" s="50" t="n">
        <v>1</v>
      </c>
      <c r="G533" s="27" t="s">
        <v>767</v>
      </c>
      <c r="H533" s="50" t="n">
        <f aca="false">F533</f>
        <v>1</v>
      </c>
      <c r="I533" s="51" t="n">
        <v>800</v>
      </c>
      <c r="J533" s="28" t="n">
        <f aca="false">H533*I533</f>
        <v>800</v>
      </c>
      <c r="K533" s="53" t="s">
        <v>551</v>
      </c>
      <c r="L533" s="7" t="s">
        <v>1804</v>
      </c>
      <c r="M533" s="7"/>
    </row>
    <row r="534" customFormat="false" ht="26.85" hidden="false" customHeight="false" outlineLevel="1" collapsed="false">
      <c r="A534" s="27"/>
      <c r="B534" s="27" t="s">
        <v>2257</v>
      </c>
      <c r="C534" s="7" t="s">
        <v>2290</v>
      </c>
      <c r="D534" s="27" t="s">
        <v>727</v>
      </c>
      <c r="E534" s="50" t="n">
        <v>4</v>
      </c>
      <c r="F534" s="50" t="n">
        <v>4</v>
      </c>
      <c r="G534" s="27" t="s">
        <v>767</v>
      </c>
      <c r="H534" s="50" t="n">
        <f aca="false">F534</f>
        <v>4</v>
      </c>
      <c r="I534" s="51" t="n">
        <v>1800</v>
      </c>
      <c r="J534" s="28" t="n">
        <f aca="false">H534*I534</f>
        <v>7200</v>
      </c>
      <c r="K534" s="53" t="s">
        <v>551</v>
      </c>
      <c r="L534" s="7" t="s">
        <v>2259</v>
      </c>
      <c r="M534" s="7"/>
    </row>
    <row r="535" customFormat="false" ht="26.85" hidden="false" customHeight="false" outlineLevel="1" collapsed="false">
      <c r="A535" s="27"/>
      <c r="B535" s="27" t="s">
        <v>2257</v>
      </c>
      <c r="C535" s="7" t="s">
        <v>2291</v>
      </c>
      <c r="D535" s="27" t="s">
        <v>727</v>
      </c>
      <c r="E535" s="50" t="n">
        <v>1</v>
      </c>
      <c r="F535" s="50" t="n">
        <v>1</v>
      </c>
      <c r="G535" s="27" t="s">
        <v>767</v>
      </c>
      <c r="H535" s="50" t="n">
        <f aca="false">F535</f>
        <v>1</v>
      </c>
      <c r="I535" s="51" t="n">
        <v>1500</v>
      </c>
      <c r="J535" s="28" t="n">
        <f aca="false">H535*I535</f>
        <v>1500</v>
      </c>
      <c r="K535" s="53" t="s">
        <v>551</v>
      </c>
      <c r="L535" s="7" t="s">
        <v>2261</v>
      </c>
      <c r="M535" s="7"/>
    </row>
    <row r="536" customFormat="false" ht="52.2" hidden="false" customHeight="false" outlineLevel="1" collapsed="false">
      <c r="A536" s="27"/>
      <c r="B536" s="27" t="s">
        <v>2257</v>
      </c>
      <c r="C536" s="7" t="s">
        <v>2292</v>
      </c>
      <c r="D536" s="27" t="s">
        <v>727</v>
      </c>
      <c r="E536" s="50" t="n">
        <v>1</v>
      </c>
      <c r="F536" s="50" t="n">
        <v>1</v>
      </c>
      <c r="G536" s="27" t="s">
        <v>767</v>
      </c>
      <c r="H536" s="50" t="n">
        <f aca="false">F536</f>
        <v>1</v>
      </c>
      <c r="I536" s="51" t="n">
        <v>351.26</v>
      </c>
      <c r="J536" s="28" t="n">
        <f aca="false">H536*I536</f>
        <v>351.26</v>
      </c>
      <c r="K536" s="52" t="s">
        <v>548</v>
      </c>
      <c r="L536" s="7" t="s">
        <v>2263</v>
      </c>
      <c r="M536" s="7" t="s">
        <v>2264</v>
      </c>
    </row>
    <row r="537" customFormat="false" ht="90.25" hidden="false" customHeight="false" outlineLevel="1" collapsed="false">
      <c r="A537" s="27"/>
      <c r="B537" s="27" t="s">
        <v>2257</v>
      </c>
      <c r="C537" s="7" t="s">
        <v>2293</v>
      </c>
      <c r="D537" s="27" t="s">
        <v>727</v>
      </c>
      <c r="E537" s="50" t="n">
        <v>1</v>
      </c>
      <c r="F537" s="50" t="n">
        <v>1</v>
      </c>
      <c r="G537" s="27" t="s">
        <v>767</v>
      </c>
      <c r="H537" s="50" t="n">
        <f aca="false">F537</f>
        <v>1</v>
      </c>
      <c r="I537" s="51" t="n">
        <v>2128.9</v>
      </c>
      <c r="J537" s="28" t="n">
        <f aca="false">H537*I537</f>
        <v>2128.9</v>
      </c>
      <c r="K537" s="52" t="s">
        <v>548</v>
      </c>
      <c r="L537" s="7" t="s">
        <v>2294</v>
      </c>
      <c r="M537" s="7" t="s">
        <v>2295</v>
      </c>
    </row>
    <row r="538" customFormat="false" ht="26.85" hidden="false" customHeight="false" outlineLevel="1" collapsed="false">
      <c r="A538" s="27"/>
      <c r="B538" s="27" t="s">
        <v>2257</v>
      </c>
      <c r="C538" s="7" t="s">
        <v>2296</v>
      </c>
      <c r="D538" s="27" t="s">
        <v>732</v>
      </c>
      <c r="E538" s="50" t="n">
        <v>1</v>
      </c>
      <c r="F538" s="50" t="n">
        <v>1</v>
      </c>
      <c r="G538" s="27" t="s">
        <v>767</v>
      </c>
      <c r="H538" s="50" t="n">
        <f aca="false">F538</f>
        <v>1</v>
      </c>
      <c r="I538" s="51" t="n">
        <v>800</v>
      </c>
      <c r="J538" s="28" t="n">
        <f aca="false">H538*I538</f>
        <v>800</v>
      </c>
      <c r="K538" s="53" t="s">
        <v>551</v>
      </c>
      <c r="L538" s="7" t="s">
        <v>1804</v>
      </c>
      <c r="M538" s="7"/>
    </row>
    <row r="539" customFormat="false" ht="26.85" hidden="false" customHeight="false" outlineLevel="1" collapsed="false">
      <c r="A539" s="27"/>
      <c r="B539" s="27" t="s">
        <v>2257</v>
      </c>
      <c r="C539" s="7" t="s">
        <v>2297</v>
      </c>
      <c r="D539" s="27" t="s">
        <v>732</v>
      </c>
      <c r="E539" s="50" t="n">
        <v>1</v>
      </c>
      <c r="F539" s="50" t="n">
        <v>1</v>
      </c>
      <c r="G539" s="27" t="s">
        <v>767</v>
      </c>
      <c r="H539" s="50" t="n">
        <f aca="false">F539</f>
        <v>1</v>
      </c>
      <c r="I539" s="51" t="n">
        <v>18000</v>
      </c>
      <c r="J539" s="28" t="n">
        <f aca="false">H539*I539</f>
        <v>18000</v>
      </c>
      <c r="K539" s="53" t="s">
        <v>551</v>
      </c>
      <c r="L539" s="7" t="s">
        <v>2298</v>
      </c>
      <c r="M539" s="7" t="s">
        <v>2299</v>
      </c>
    </row>
    <row r="540" customFormat="false" ht="26.85" hidden="false" customHeight="false" outlineLevel="1" collapsed="false">
      <c r="A540" s="27"/>
      <c r="B540" s="27" t="s">
        <v>2257</v>
      </c>
      <c r="C540" s="7" t="s">
        <v>2300</v>
      </c>
      <c r="D540" s="27" t="s">
        <v>732</v>
      </c>
      <c r="E540" s="50" t="n">
        <v>1</v>
      </c>
      <c r="F540" s="50" t="n">
        <v>1</v>
      </c>
      <c r="G540" s="27" t="s">
        <v>767</v>
      </c>
      <c r="H540" s="50" t="n">
        <f aca="false">F540</f>
        <v>1</v>
      </c>
      <c r="I540" s="51" t="n">
        <v>10000</v>
      </c>
      <c r="J540" s="28" t="n">
        <f aca="false">H540*I540</f>
        <v>10000</v>
      </c>
      <c r="K540" s="53" t="s">
        <v>551</v>
      </c>
      <c r="L540" s="7" t="s">
        <v>2301</v>
      </c>
      <c r="M540" s="7" t="s">
        <v>2302</v>
      </c>
    </row>
    <row r="541" customFormat="false" ht="39.55" hidden="false" customHeight="false" outlineLevel="1" collapsed="false">
      <c r="A541" s="27"/>
      <c r="B541" s="27" t="s">
        <v>2257</v>
      </c>
      <c r="C541" s="7" t="s">
        <v>2303</v>
      </c>
      <c r="D541" s="27" t="s">
        <v>727</v>
      </c>
      <c r="E541" s="50" t="n">
        <v>1</v>
      </c>
      <c r="F541" s="50" t="n">
        <v>1</v>
      </c>
      <c r="G541" s="27" t="s">
        <v>767</v>
      </c>
      <c r="H541" s="50" t="n">
        <f aca="false">F541</f>
        <v>1</v>
      </c>
      <c r="I541" s="51" t="n">
        <v>1890.95</v>
      </c>
      <c r="J541" s="28" t="n">
        <f aca="false">H541*I541</f>
        <v>1890.95</v>
      </c>
      <c r="K541" s="52" t="s">
        <v>548</v>
      </c>
      <c r="L541" s="7" t="s">
        <v>2304</v>
      </c>
      <c r="M541" s="7" t="s">
        <v>2305</v>
      </c>
    </row>
    <row r="543" customFormat="false" ht="15" hidden="false" customHeight="false" outlineLevel="0" collapsed="false">
      <c r="C543" s="14" t="s">
        <v>1660</v>
      </c>
      <c r="J543" s="56" t="n">
        <f aca="false">J5+J8+J20+J31+J42+J53+J64+J75+J85+J92+J98+J107+J114+J117+J123+J129+J135+J141+J147+J153+J159+J163+J169+J172+J181+J188+J191+J197+J203+J209+J215+J221+J227+J237+J242+J245+J252+J259+J266+J273+J280+J287+J306+J310+J315+J324+J327+J331+J335+J339+J343+J347+J351+J357+J361+J364+J370+J376+J382+J388+J394+J400+J406+J412+J416+J419+J423+J427+J431+J435+J439+J443+J447+J450+J461+J464+J469+J474+J479+J484+J489+J494+J499+J502+J505+J508</f>
        <v>2178896.41615385</v>
      </c>
    </row>
    <row r="544" customFormat="false" ht="15" hidden="false" customHeight="false" outlineLevel="0" collapsed="false">
      <c r="C544" s="14" t="s">
        <v>1661</v>
      </c>
      <c r="J544" s="56" t="n">
        <f aca="false">I5+I8+I20+I31+I42+I53+I64+I75+I85+I92+I98+I107+I114+I117+I123+I129+I135+I141+I147+I153+I159+I163+I169+I172+I181+I188+I191+I197+I203+I209+I215+I221+I227+I237+I242+I245+I252+I259+I266+I273+I280+I287+I306+I310+I315+I324+I327+I331+I335+I339+I343+I347+I351+I357+I361+I364+I370+I376+I382+I388+I394+I400+I406+I412+I416+I419+I423+I427+I431+I435+I439+I443+I447+I450+I461+I464+I469+I474+I479+I484+I489+I494+I499+I502+I505+I508</f>
        <v>2417935.97</v>
      </c>
    </row>
    <row r="545" customFormat="false" ht="15" hidden="false" customHeight="false" outlineLevel="0" collapsed="false">
      <c r="C545" s="14" t="s">
        <v>1662</v>
      </c>
      <c r="J545" s="56" t="n">
        <f aca="false">J543-J544</f>
        <v>-239039.553846153</v>
      </c>
    </row>
    <row r="547" customFormat="false" ht="15" hidden="false" customHeight="false" outlineLevel="0" collapsed="false">
      <c r="C547" s="19" t="s">
        <v>1663</v>
      </c>
    </row>
    <row r="548" customFormat="false" ht="15" hidden="false" customHeight="false" outlineLevel="0" collapsed="false">
      <c r="C548" s="57" t="s">
        <v>545</v>
      </c>
      <c r="J548" s="23" t="n">
        <f aca="false">SUMIF($K$5:$K$541,"2026 TEKLİF",$J$5:$J$541)</f>
        <v>237561.538461538</v>
      </c>
      <c r="K548" s="58" t="n">
        <f aca="false">IF($J$543=0,0,J548/$J$543)</f>
        <v>0.109028376337815</v>
      </c>
    </row>
    <row r="549" customFormat="false" ht="15" hidden="false" customHeight="false" outlineLevel="0" collapsed="false">
      <c r="C549" s="59" t="s">
        <v>548</v>
      </c>
      <c r="J549" s="23" t="n">
        <f aca="false">SUMIF($K$5:$K$541,"GEÇMİŞ TEKLİF UYARLAMA",$J$5:$J$541)</f>
        <v>1449592.87769231</v>
      </c>
      <c r="K549" s="58" t="n">
        <f aca="false">IF($J$543=0,0,J549/$J$543)</f>
        <v>0.665287650640642</v>
      </c>
    </row>
    <row r="550" customFormat="false" ht="15" hidden="false" customHeight="false" outlineLevel="0" collapsed="false">
      <c r="C550" s="60" t="s">
        <v>551</v>
      </c>
      <c r="J550" s="23" t="n">
        <f aca="false">SUMIF($K$5:$K$541,"MÜHENDİSLİK TAHMİNİ",$J$5:$J$541)</f>
        <v>491742</v>
      </c>
      <c r="K550" s="58" t="n">
        <f aca="false">IF($J$543=0,0,J550/$J$543)</f>
        <v>0.225683973021542</v>
      </c>
    </row>
    <row r="551" customFormat="false" ht="15" hidden="false" customHeight="false" outlineLevel="0" collapsed="false">
      <c r="C551" s="61" t="s">
        <v>1664</v>
      </c>
      <c r="J551" s="23" t="n">
        <f aca="false">SUMPRODUCT(($K$5:$K$541="KAPSAM DIŞI (0)")*$E$5:$E$541*$I$5:$I$541)</f>
        <v>90712.59</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3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2306</v>
      </c>
    </row>
    <row r="2" customFormat="false" ht="48" hidden="false" customHeight="true" outlineLevel="0" collapsed="false">
      <c r="A2" s="2" t="s">
        <v>753</v>
      </c>
      <c r="B2" s="2"/>
      <c r="C2" s="2"/>
      <c r="D2" s="2"/>
      <c r="E2" s="2"/>
      <c r="F2" s="2"/>
      <c r="G2" s="2"/>
      <c r="H2" s="2"/>
      <c r="I2" s="2"/>
      <c r="J2" s="2"/>
      <c r="K2" s="2"/>
      <c r="L2" s="2"/>
      <c r="M2" s="2"/>
    </row>
    <row r="3" customFormat="false" ht="21.75" hidden="false" customHeight="true" outlineLevel="0" collapsed="false">
      <c r="A3" s="46" t="s">
        <v>754</v>
      </c>
      <c r="B3" s="46"/>
      <c r="C3" s="47" t="str">
        <f aca="false">"Kalem bazlı toplam: "&amp;TEXT(J321,"#,##0")&amp;" €   |   2026 teklif: "&amp;TEXT(K326,"0%")&amp;"   |   Geçmiş teklif uyarlaması: "&amp;TEXT(K327,"0%")&amp;"   |   Tahmin: "&amp;TEXT(K328,"0%")&amp;"   |   Kalem kalem görmek için sol kenardaki [+] / [1][2] düğmelerini kullanın"</f>
        <v>Kalem bazlı toplam: 1,165,036 €   |   2026 teklif: 0%   |   Geçmiş teklif uyarlaması: 84%   |   Tahmin: 16%   |   Kalem kalem görmek için sol kenardaki [+] / [1][2] düğmelerini kullanın</v>
      </c>
      <c r="D3" s="47"/>
      <c r="E3" s="47"/>
      <c r="F3" s="47"/>
      <c r="G3" s="47"/>
      <c r="H3" s="47"/>
      <c r="I3" s="47"/>
      <c r="J3" s="47"/>
      <c r="K3" s="47"/>
      <c r="L3" s="47"/>
      <c r="M3" s="47"/>
    </row>
    <row r="4" customFormat="false" ht="42" hidden="false" customHeight="true" outlineLevel="0" collapsed="false">
      <c r="A4" s="3" t="s">
        <v>120</v>
      </c>
      <c r="B4" s="3" t="s">
        <v>755</v>
      </c>
      <c r="C4" s="3" t="s">
        <v>756</v>
      </c>
      <c r="D4" s="3" t="s">
        <v>720</v>
      </c>
      <c r="E4" s="3" t="s">
        <v>757</v>
      </c>
      <c r="F4" s="3" t="s">
        <v>758</v>
      </c>
      <c r="G4" s="3" t="s">
        <v>759</v>
      </c>
      <c r="H4" s="3" t="s">
        <v>760</v>
      </c>
      <c r="I4" s="3" t="s">
        <v>761</v>
      </c>
      <c r="J4" s="3" t="s">
        <v>122</v>
      </c>
      <c r="K4" s="3" t="s">
        <v>95</v>
      </c>
      <c r="L4" s="3" t="s">
        <v>762</v>
      </c>
      <c r="M4" s="3" t="s">
        <v>763</v>
      </c>
    </row>
    <row r="5" customFormat="false" ht="15" hidden="false" customHeight="false" outlineLevel="0" collapsed="false">
      <c r="A5" s="48" t="s">
        <v>388</v>
      </c>
      <c r="B5" s="48" t="s">
        <v>2307</v>
      </c>
      <c r="C5" s="48" t="s">
        <v>389</v>
      </c>
      <c r="D5" s="48"/>
      <c r="E5" s="48"/>
      <c r="F5" s="48"/>
      <c r="G5" s="48"/>
      <c r="H5" s="48" t="s">
        <v>765</v>
      </c>
      <c r="I5" s="49" t="n">
        <f aca="false">SUMPRODUCT(E6:E13,I6:I13)</f>
        <v>5943.49</v>
      </c>
      <c r="J5" s="49" t="n">
        <f aca="false">SUM(J6:J13)</f>
        <v>4065.44587412587</v>
      </c>
      <c r="K5" s="48"/>
      <c r="L5" s="48"/>
      <c r="M5" s="48"/>
    </row>
    <row r="6" customFormat="false" ht="128.35" hidden="false" customHeight="false" outlineLevel="1" collapsed="false">
      <c r="A6" s="27"/>
      <c r="B6" s="27" t="s">
        <v>2307</v>
      </c>
      <c r="C6" s="7" t="s">
        <v>2308</v>
      </c>
      <c r="D6" s="27" t="s">
        <v>727</v>
      </c>
      <c r="E6" s="50" t="n">
        <v>2</v>
      </c>
      <c r="F6" s="50" t="n">
        <v>2</v>
      </c>
      <c r="G6" s="27" t="s">
        <v>767</v>
      </c>
      <c r="H6" s="50" t="n">
        <f aca="false">F6</f>
        <v>2</v>
      </c>
      <c r="I6" s="51" t="n">
        <v>1885.16</v>
      </c>
      <c r="J6" s="28" t="n">
        <f aca="false">H6*I6</f>
        <v>3770.32</v>
      </c>
      <c r="K6" s="52" t="s">
        <v>548</v>
      </c>
      <c r="L6" s="7" t="s">
        <v>2309</v>
      </c>
      <c r="M6" s="7"/>
    </row>
    <row r="7" customFormat="false" ht="102.95" hidden="false" customHeight="false" outlineLevel="1" collapsed="false">
      <c r="A7" s="27"/>
      <c r="B7" s="27" t="s">
        <v>2307</v>
      </c>
      <c r="C7" s="7" t="s">
        <v>2310</v>
      </c>
      <c r="D7" s="27" t="s">
        <v>853</v>
      </c>
      <c r="E7" s="50" t="n">
        <v>6</v>
      </c>
      <c r="F7" s="50" t="n">
        <v>6</v>
      </c>
      <c r="G7" s="27" t="s">
        <v>865</v>
      </c>
      <c r="H7" s="50" t="n">
        <f aca="false">F7/IF(Varsayimlar!$B$21=1,1.43,1)</f>
        <v>4.1958041958042</v>
      </c>
      <c r="I7" s="51" t="n">
        <v>31.58</v>
      </c>
      <c r="J7" s="28" t="n">
        <f aca="false">H7*I7</f>
        <v>132.503496503497</v>
      </c>
      <c r="K7" s="52" t="s">
        <v>548</v>
      </c>
      <c r="L7" s="7" t="s">
        <v>2311</v>
      </c>
      <c r="M7" s="7" t="s">
        <v>2312</v>
      </c>
    </row>
    <row r="8" customFormat="false" ht="141" hidden="false" customHeight="false" outlineLevel="1" collapsed="false">
      <c r="A8" s="27"/>
      <c r="B8" s="27" t="s">
        <v>2307</v>
      </c>
      <c r="C8" s="7" t="s">
        <v>2313</v>
      </c>
      <c r="D8" s="27" t="s">
        <v>853</v>
      </c>
      <c r="E8" s="50" t="n">
        <v>5</v>
      </c>
      <c r="F8" s="50" t="n">
        <v>5</v>
      </c>
      <c r="G8" s="27" t="s">
        <v>865</v>
      </c>
      <c r="H8" s="50" t="n">
        <f aca="false">F8/IF(Varsayimlar!$B$21=1,1.43,1)</f>
        <v>3.4965034965035</v>
      </c>
      <c r="I8" s="51" t="n">
        <v>3.61</v>
      </c>
      <c r="J8" s="28" t="n">
        <f aca="false">H8*I8</f>
        <v>12.6223776223776</v>
      </c>
      <c r="K8" s="52" t="s">
        <v>548</v>
      </c>
      <c r="L8" s="7" t="s">
        <v>2314</v>
      </c>
      <c r="M8" s="7" t="s">
        <v>2315</v>
      </c>
    </row>
    <row r="9" customFormat="false" ht="26.85" hidden="false" customHeight="false" outlineLevel="1" collapsed="false">
      <c r="A9" s="27"/>
      <c r="B9" s="27" t="s">
        <v>2307</v>
      </c>
      <c r="C9" s="7" t="s">
        <v>2316</v>
      </c>
      <c r="D9" s="27" t="s">
        <v>816</v>
      </c>
      <c r="E9" s="50" t="n">
        <v>1</v>
      </c>
      <c r="F9" s="50" t="n">
        <v>1</v>
      </c>
      <c r="G9" s="27" t="s">
        <v>767</v>
      </c>
      <c r="H9" s="50" t="n">
        <f aca="false">F9</f>
        <v>1</v>
      </c>
      <c r="I9" s="51" t="n">
        <v>150</v>
      </c>
      <c r="J9" s="28" t="n">
        <f aca="false">H9*I9</f>
        <v>150</v>
      </c>
      <c r="K9" s="53" t="s">
        <v>551</v>
      </c>
      <c r="L9" s="7" t="s">
        <v>2317</v>
      </c>
      <c r="M9" s="7"/>
    </row>
    <row r="10" customFormat="false" ht="90.25" hidden="false" customHeight="false" outlineLevel="1" collapsed="false">
      <c r="A10" s="27"/>
      <c r="B10" s="27" t="s">
        <v>2307</v>
      </c>
      <c r="C10" s="7" t="s">
        <v>2318</v>
      </c>
      <c r="D10" s="27" t="s">
        <v>727</v>
      </c>
      <c r="E10" s="50" t="n">
        <v>2</v>
      </c>
      <c r="F10" s="54" t="n">
        <v>0</v>
      </c>
      <c r="G10" s="27" t="s">
        <v>767</v>
      </c>
      <c r="H10" s="50" t="n">
        <f aca="false">F10</f>
        <v>0</v>
      </c>
      <c r="I10" s="51" t="n">
        <v>763.91</v>
      </c>
      <c r="J10" s="28" t="n">
        <f aca="false">H10*I10</f>
        <v>0</v>
      </c>
      <c r="K10" s="55" t="s">
        <v>555</v>
      </c>
      <c r="L10" s="7" t="s">
        <v>2319</v>
      </c>
      <c r="M10" s="7" t="s">
        <v>2320</v>
      </c>
    </row>
    <row r="11" customFormat="false" ht="102.95" hidden="false" customHeight="false" outlineLevel="1" collapsed="false">
      <c r="A11" s="27"/>
      <c r="B11" s="27" t="s">
        <v>2307</v>
      </c>
      <c r="C11" s="7" t="s">
        <v>2321</v>
      </c>
      <c r="D11" s="27" t="s">
        <v>853</v>
      </c>
      <c r="E11" s="50" t="n">
        <v>6</v>
      </c>
      <c r="F11" s="54" t="n">
        <v>0</v>
      </c>
      <c r="G11" s="27" t="s">
        <v>865</v>
      </c>
      <c r="H11" s="50" t="n">
        <f aca="false">F11/IF(Varsayimlar!$B$21=1,1.43,1)</f>
        <v>0</v>
      </c>
      <c r="I11" s="51" t="n">
        <v>26.27</v>
      </c>
      <c r="J11" s="28" t="n">
        <f aca="false">H11*I11</f>
        <v>0</v>
      </c>
      <c r="K11" s="55" t="s">
        <v>555</v>
      </c>
      <c r="L11" s="7" t="s">
        <v>2322</v>
      </c>
      <c r="M11" s="7" t="s">
        <v>2323</v>
      </c>
    </row>
    <row r="12" customFormat="false" ht="52.2" hidden="false" customHeight="false" outlineLevel="1" collapsed="false">
      <c r="A12" s="27"/>
      <c r="B12" s="27" t="s">
        <v>2307</v>
      </c>
      <c r="C12" s="7" t="s">
        <v>2324</v>
      </c>
      <c r="D12" s="27" t="s">
        <v>853</v>
      </c>
      <c r="E12" s="50" t="n">
        <v>5</v>
      </c>
      <c r="F12" s="54" t="n">
        <v>0</v>
      </c>
      <c r="G12" s="27" t="s">
        <v>865</v>
      </c>
      <c r="H12" s="50" t="n">
        <f aca="false">F12/IF(Varsayimlar!$B$21=1,1.43,1)</f>
        <v>0</v>
      </c>
      <c r="I12" s="51" t="n">
        <v>2.04</v>
      </c>
      <c r="J12" s="28" t="n">
        <f aca="false">H12*I12</f>
        <v>0</v>
      </c>
      <c r="K12" s="55" t="s">
        <v>555</v>
      </c>
      <c r="L12" s="7" t="s">
        <v>2325</v>
      </c>
      <c r="M12" s="7" t="s">
        <v>2326</v>
      </c>
    </row>
    <row r="13" customFormat="false" ht="26.85" hidden="false" customHeight="false" outlineLevel="1" collapsed="false">
      <c r="A13" s="27"/>
      <c r="B13" s="27" t="s">
        <v>2307</v>
      </c>
      <c r="C13" s="7" t="s">
        <v>2327</v>
      </c>
      <c r="D13" s="27" t="s">
        <v>816</v>
      </c>
      <c r="E13" s="50" t="n">
        <v>1</v>
      </c>
      <c r="F13" s="54" t="n">
        <v>0</v>
      </c>
      <c r="G13" s="27" t="s">
        <v>767</v>
      </c>
      <c r="H13" s="50" t="n">
        <f aca="false">F13</f>
        <v>0</v>
      </c>
      <c r="I13" s="51" t="n">
        <v>120</v>
      </c>
      <c r="J13" s="28" t="n">
        <f aca="false">H13*I13</f>
        <v>0</v>
      </c>
      <c r="K13" s="55" t="s">
        <v>555</v>
      </c>
      <c r="L13" s="7" t="s">
        <v>2317</v>
      </c>
      <c r="M13" s="7" t="s">
        <v>2328</v>
      </c>
    </row>
    <row r="14" customFormat="false" ht="15" hidden="false" customHeight="false" outlineLevel="0" collapsed="false">
      <c r="A14" s="48" t="s">
        <v>390</v>
      </c>
      <c r="B14" s="48" t="s">
        <v>2329</v>
      </c>
      <c r="C14" s="48" t="s">
        <v>391</v>
      </c>
      <c r="D14" s="48"/>
      <c r="E14" s="48"/>
      <c r="F14" s="48"/>
      <c r="G14" s="48"/>
      <c r="H14" s="48" t="s">
        <v>765</v>
      </c>
      <c r="I14" s="49" t="n">
        <f aca="false">SUMPRODUCT(E15:E22,I15:I22)</f>
        <v>5943.49</v>
      </c>
      <c r="J14" s="49" t="n">
        <f aca="false">SUM(J15:J22)</f>
        <v>4065.44587412587</v>
      </c>
      <c r="K14" s="48"/>
      <c r="L14" s="48"/>
      <c r="M14" s="48"/>
    </row>
    <row r="15" customFormat="false" ht="128.35" hidden="false" customHeight="false" outlineLevel="1" collapsed="false">
      <c r="A15" s="27"/>
      <c r="B15" s="27" t="s">
        <v>2329</v>
      </c>
      <c r="C15" s="7" t="s">
        <v>2308</v>
      </c>
      <c r="D15" s="27" t="s">
        <v>727</v>
      </c>
      <c r="E15" s="50" t="n">
        <v>2</v>
      </c>
      <c r="F15" s="50" t="n">
        <v>2</v>
      </c>
      <c r="G15" s="27" t="s">
        <v>767</v>
      </c>
      <c r="H15" s="50" t="n">
        <f aca="false">F15</f>
        <v>2</v>
      </c>
      <c r="I15" s="51" t="n">
        <v>1885.16</v>
      </c>
      <c r="J15" s="28" t="n">
        <f aca="false">H15*I15</f>
        <v>3770.32</v>
      </c>
      <c r="K15" s="52" t="s">
        <v>548</v>
      </c>
      <c r="L15" s="7" t="s">
        <v>2309</v>
      </c>
      <c r="M15" s="7"/>
    </row>
    <row r="16" customFormat="false" ht="102.95" hidden="false" customHeight="false" outlineLevel="1" collapsed="false">
      <c r="A16" s="27"/>
      <c r="B16" s="27" t="s">
        <v>2329</v>
      </c>
      <c r="C16" s="7" t="s">
        <v>2310</v>
      </c>
      <c r="D16" s="27" t="s">
        <v>853</v>
      </c>
      <c r="E16" s="50" t="n">
        <v>6</v>
      </c>
      <c r="F16" s="50" t="n">
        <v>6</v>
      </c>
      <c r="G16" s="27" t="s">
        <v>865</v>
      </c>
      <c r="H16" s="50" t="n">
        <f aca="false">F16/IF(Varsayimlar!$B$21=1,1.43,1)</f>
        <v>4.1958041958042</v>
      </c>
      <c r="I16" s="51" t="n">
        <v>31.58</v>
      </c>
      <c r="J16" s="28" t="n">
        <f aca="false">H16*I16</f>
        <v>132.503496503497</v>
      </c>
      <c r="K16" s="52" t="s">
        <v>548</v>
      </c>
      <c r="L16" s="7" t="s">
        <v>2311</v>
      </c>
      <c r="M16" s="7" t="s">
        <v>2312</v>
      </c>
    </row>
    <row r="17" customFormat="false" ht="141" hidden="false" customHeight="false" outlineLevel="1" collapsed="false">
      <c r="A17" s="27"/>
      <c r="B17" s="27" t="s">
        <v>2329</v>
      </c>
      <c r="C17" s="7" t="s">
        <v>2313</v>
      </c>
      <c r="D17" s="27" t="s">
        <v>853</v>
      </c>
      <c r="E17" s="50" t="n">
        <v>5</v>
      </c>
      <c r="F17" s="50" t="n">
        <v>5</v>
      </c>
      <c r="G17" s="27" t="s">
        <v>865</v>
      </c>
      <c r="H17" s="50" t="n">
        <f aca="false">F17/IF(Varsayimlar!$B$21=1,1.43,1)</f>
        <v>3.4965034965035</v>
      </c>
      <c r="I17" s="51" t="n">
        <v>3.61</v>
      </c>
      <c r="J17" s="28" t="n">
        <f aca="false">H17*I17</f>
        <v>12.6223776223776</v>
      </c>
      <c r="K17" s="52" t="s">
        <v>548</v>
      </c>
      <c r="L17" s="7" t="s">
        <v>2314</v>
      </c>
      <c r="M17" s="7" t="s">
        <v>2315</v>
      </c>
    </row>
    <row r="18" customFormat="false" ht="26.85" hidden="false" customHeight="false" outlineLevel="1" collapsed="false">
      <c r="A18" s="27"/>
      <c r="B18" s="27" t="s">
        <v>2329</v>
      </c>
      <c r="C18" s="7" t="s">
        <v>2316</v>
      </c>
      <c r="D18" s="27" t="s">
        <v>816</v>
      </c>
      <c r="E18" s="50" t="n">
        <v>1</v>
      </c>
      <c r="F18" s="50" t="n">
        <v>1</v>
      </c>
      <c r="G18" s="27" t="s">
        <v>767</v>
      </c>
      <c r="H18" s="50" t="n">
        <f aca="false">F18</f>
        <v>1</v>
      </c>
      <c r="I18" s="51" t="n">
        <v>150</v>
      </c>
      <c r="J18" s="28" t="n">
        <f aca="false">H18*I18</f>
        <v>150</v>
      </c>
      <c r="K18" s="53" t="s">
        <v>551</v>
      </c>
      <c r="L18" s="7" t="s">
        <v>2317</v>
      </c>
      <c r="M18" s="7"/>
    </row>
    <row r="19" customFormat="false" ht="90.25" hidden="false" customHeight="false" outlineLevel="1" collapsed="false">
      <c r="A19" s="27"/>
      <c r="B19" s="27" t="s">
        <v>2329</v>
      </c>
      <c r="C19" s="7" t="s">
        <v>2318</v>
      </c>
      <c r="D19" s="27" t="s">
        <v>727</v>
      </c>
      <c r="E19" s="50" t="n">
        <v>2</v>
      </c>
      <c r="F19" s="54" t="n">
        <v>0</v>
      </c>
      <c r="G19" s="27" t="s">
        <v>767</v>
      </c>
      <c r="H19" s="50" t="n">
        <f aca="false">F19</f>
        <v>0</v>
      </c>
      <c r="I19" s="51" t="n">
        <v>763.91</v>
      </c>
      <c r="J19" s="28" t="n">
        <f aca="false">H19*I19</f>
        <v>0</v>
      </c>
      <c r="K19" s="55" t="s">
        <v>555</v>
      </c>
      <c r="L19" s="7" t="s">
        <v>2319</v>
      </c>
      <c r="M19" s="7" t="s">
        <v>2320</v>
      </c>
    </row>
    <row r="20" customFormat="false" ht="102.95" hidden="false" customHeight="false" outlineLevel="1" collapsed="false">
      <c r="A20" s="27"/>
      <c r="B20" s="27" t="s">
        <v>2329</v>
      </c>
      <c r="C20" s="7" t="s">
        <v>2321</v>
      </c>
      <c r="D20" s="27" t="s">
        <v>853</v>
      </c>
      <c r="E20" s="50" t="n">
        <v>6</v>
      </c>
      <c r="F20" s="54" t="n">
        <v>0</v>
      </c>
      <c r="G20" s="27" t="s">
        <v>865</v>
      </c>
      <c r="H20" s="50" t="n">
        <f aca="false">F20/IF(Varsayimlar!$B$21=1,1.43,1)</f>
        <v>0</v>
      </c>
      <c r="I20" s="51" t="n">
        <v>26.27</v>
      </c>
      <c r="J20" s="28" t="n">
        <f aca="false">H20*I20</f>
        <v>0</v>
      </c>
      <c r="K20" s="55" t="s">
        <v>555</v>
      </c>
      <c r="L20" s="7" t="s">
        <v>2322</v>
      </c>
      <c r="M20" s="7" t="s">
        <v>2323</v>
      </c>
    </row>
    <row r="21" customFormat="false" ht="52.2" hidden="false" customHeight="false" outlineLevel="1" collapsed="false">
      <c r="A21" s="27"/>
      <c r="B21" s="27" t="s">
        <v>2329</v>
      </c>
      <c r="C21" s="7" t="s">
        <v>2324</v>
      </c>
      <c r="D21" s="27" t="s">
        <v>853</v>
      </c>
      <c r="E21" s="50" t="n">
        <v>5</v>
      </c>
      <c r="F21" s="54" t="n">
        <v>0</v>
      </c>
      <c r="G21" s="27" t="s">
        <v>865</v>
      </c>
      <c r="H21" s="50" t="n">
        <f aca="false">F21/IF(Varsayimlar!$B$21=1,1.43,1)</f>
        <v>0</v>
      </c>
      <c r="I21" s="51" t="n">
        <v>2.04</v>
      </c>
      <c r="J21" s="28" t="n">
        <f aca="false">H21*I21</f>
        <v>0</v>
      </c>
      <c r="K21" s="55" t="s">
        <v>555</v>
      </c>
      <c r="L21" s="7" t="s">
        <v>2325</v>
      </c>
      <c r="M21" s="7" t="s">
        <v>2326</v>
      </c>
    </row>
    <row r="22" customFormat="false" ht="26.85" hidden="false" customHeight="false" outlineLevel="1" collapsed="false">
      <c r="A22" s="27"/>
      <c r="B22" s="27" t="s">
        <v>2329</v>
      </c>
      <c r="C22" s="7" t="s">
        <v>2327</v>
      </c>
      <c r="D22" s="27" t="s">
        <v>816</v>
      </c>
      <c r="E22" s="50" t="n">
        <v>1</v>
      </c>
      <c r="F22" s="54" t="n">
        <v>0</v>
      </c>
      <c r="G22" s="27" t="s">
        <v>767</v>
      </c>
      <c r="H22" s="50" t="n">
        <f aca="false">F22</f>
        <v>0</v>
      </c>
      <c r="I22" s="51" t="n">
        <v>120</v>
      </c>
      <c r="J22" s="28" t="n">
        <f aca="false">H22*I22</f>
        <v>0</v>
      </c>
      <c r="K22" s="55" t="s">
        <v>555</v>
      </c>
      <c r="L22" s="7" t="s">
        <v>2317</v>
      </c>
      <c r="M22" s="7" t="s">
        <v>2328</v>
      </c>
    </row>
    <row r="23" customFormat="false" ht="15" hidden="false" customHeight="false" outlineLevel="0" collapsed="false">
      <c r="A23" s="48" t="s">
        <v>392</v>
      </c>
      <c r="B23" s="48" t="s">
        <v>2330</v>
      </c>
      <c r="C23" s="48" t="s">
        <v>393</v>
      </c>
      <c r="D23" s="48"/>
      <c r="E23" s="48"/>
      <c r="F23" s="48"/>
      <c r="G23" s="48"/>
      <c r="H23" s="48" t="s">
        <v>765</v>
      </c>
      <c r="I23" s="49" t="n">
        <f aca="false">SUMPRODUCT(E24:E31,I24:I31)</f>
        <v>5943.49</v>
      </c>
      <c r="J23" s="49" t="n">
        <f aca="false">SUM(J24:J31)</f>
        <v>4065.44587412587</v>
      </c>
      <c r="K23" s="48"/>
      <c r="L23" s="48"/>
      <c r="M23" s="48"/>
    </row>
    <row r="24" customFormat="false" ht="128.35" hidden="false" customHeight="false" outlineLevel="1" collapsed="false">
      <c r="A24" s="27"/>
      <c r="B24" s="27" t="s">
        <v>2330</v>
      </c>
      <c r="C24" s="7" t="s">
        <v>2308</v>
      </c>
      <c r="D24" s="27" t="s">
        <v>727</v>
      </c>
      <c r="E24" s="50" t="n">
        <v>2</v>
      </c>
      <c r="F24" s="50" t="n">
        <v>2</v>
      </c>
      <c r="G24" s="27" t="s">
        <v>767</v>
      </c>
      <c r="H24" s="50" t="n">
        <f aca="false">F24</f>
        <v>2</v>
      </c>
      <c r="I24" s="51" t="n">
        <v>1885.16</v>
      </c>
      <c r="J24" s="28" t="n">
        <f aca="false">H24*I24</f>
        <v>3770.32</v>
      </c>
      <c r="K24" s="52" t="s">
        <v>548</v>
      </c>
      <c r="L24" s="7" t="s">
        <v>2309</v>
      </c>
      <c r="M24" s="7"/>
    </row>
    <row r="25" customFormat="false" ht="102.95" hidden="false" customHeight="false" outlineLevel="1" collapsed="false">
      <c r="A25" s="27"/>
      <c r="B25" s="27" t="s">
        <v>2330</v>
      </c>
      <c r="C25" s="7" t="s">
        <v>2310</v>
      </c>
      <c r="D25" s="27" t="s">
        <v>853</v>
      </c>
      <c r="E25" s="50" t="n">
        <v>6</v>
      </c>
      <c r="F25" s="50" t="n">
        <v>6</v>
      </c>
      <c r="G25" s="27" t="s">
        <v>865</v>
      </c>
      <c r="H25" s="50" t="n">
        <f aca="false">F25/IF(Varsayimlar!$B$21=1,1.43,1)</f>
        <v>4.1958041958042</v>
      </c>
      <c r="I25" s="51" t="n">
        <v>31.58</v>
      </c>
      <c r="J25" s="28" t="n">
        <f aca="false">H25*I25</f>
        <v>132.503496503497</v>
      </c>
      <c r="K25" s="52" t="s">
        <v>548</v>
      </c>
      <c r="L25" s="7" t="s">
        <v>2311</v>
      </c>
      <c r="M25" s="7" t="s">
        <v>2312</v>
      </c>
    </row>
    <row r="26" customFormat="false" ht="141" hidden="false" customHeight="false" outlineLevel="1" collapsed="false">
      <c r="A26" s="27"/>
      <c r="B26" s="27" t="s">
        <v>2330</v>
      </c>
      <c r="C26" s="7" t="s">
        <v>2313</v>
      </c>
      <c r="D26" s="27" t="s">
        <v>853</v>
      </c>
      <c r="E26" s="50" t="n">
        <v>5</v>
      </c>
      <c r="F26" s="50" t="n">
        <v>5</v>
      </c>
      <c r="G26" s="27" t="s">
        <v>865</v>
      </c>
      <c r="H26" s="50" t="n">
        <f aca="false">F26/IF(Varsayimlar!$B$21=1,1.43,1)</f>
        <v>3.4965034965035</v>
      </c>
      <c r="I26" s="51" t="n">
        <v>3.61</v>
      </c>
      <c r="J26" s="28" t="n">
        <f aca="false">H26*I26</f>
        <v>12.6223776223776</v>
      </c>
      <c r="K26" s="52" t="s">
        <v>548</v>
      </c>
      <c r="L26" s="7" t="s">
        <v>2314</v>
      </c>
      <c r="M26" s="7" t="s">
        <v>2315</v>
      </c>
    </row>
    <row r="27" customFormat="false" ht="26.85" hidden="false" customHeight="false" outlineLevel="1" collapsed="false">
      <c r="A27" s="27"/>
      <c r="B27" s="27" t="s">
        <v>2330</v>
      </c>
      <c r="C27" s="7" t="s">
        <v>2316</v>
      </c>
      <c r="D27" s="27" t="s">
        <v>816</v>
      </c>
      <c r="E27" s="50" t="n">
        <v>1</v>
      </c>
      <c r="F27" s="50" t="n">
        <v>1</v>
      </c>
      <c r="G27" s="27" t="s">
        <v>767</v>
      </c>
      <c r="H27" s="50" t="n">
        <f aca="false">F27</f>
        <v>1</v>
      </c>
      <c r="I27" s="51" t="n">
        <v>150</v>
      </c>
      <c r="J27" s="28" t="n">
        <f aca="false">H27*I27</f>
        <v>150</v>
      </c>
      <c r="K27" s="53" t="s">
        <v>551</v>
      </c>
      <c r="L27" s="7" t="s">
        <v>2317</v>
      </c>
      <c r="M27" s="7"/>
    </row>
    <row r="28" customFormat="false" ht="90.25" hidden="false" customHeight="false" outlineLevel="1" collapsed="false">
      <c r="A28" s="27"/>
      <c r="B28" s="27" t="s">
        <v>2330</v>
      </c>
      <c r="C28" s="7" t="s">
        <v>2318</v>
      </c>
      <c r="D28" s="27" t="s">
        <v>727</v>
      </c>
      <c r="E28" s="50" t="n">
        <v>2</v>
      </c>
      <c r="F28" s="54" t="n">
        <v>0</v>
      </c>
      <c r="G28" s="27" t="s">
        <v>767</v>
      </c>
      <c r="H28" s="50" t="n">
        <f aca="false">F28</f>
        <v>0</v>
      </c>
      <c r="I28" s="51" t="n">
        <v>763.91</v>
      </c>
      <c r="J28" s="28" t="n">
        <f aca="false">H28*I28</f>
        <v>0</v>
      </c>
      <c r="K28" s="55" t="s">
        <v>555</v>
      </c>
      <c r="L28" s="7" t="s">
        <v>2319</v>
      </c>
      <c r="M28" s="7" t="s">
        <v>2320</v>
      </c>
    </row>
    <row r="29" customFormat="false" ht="102.95" hidden="false" customHeight="false" outlineLevel="1" collapsed="false">
      <c r="A29" s="27"/>
      <c r="B29" s="27" t="s">
        <v>2330</v>
      </c>
      <c r="C29" s="7" t="s">
        <v>2321</v>
      </c>
      <c r="D29" s="27" t="s">
        <v>853</v>
      </c>
      <c r="E29" s="50" t="n">
        <v>6</v>
      </c>
      <c r="F29" s="54" t="n">
        <v>0</v>
      </c>
      <c r="G29" s="27" t="s">
        <v>865</v>
      </c>
      <c r="H29" s="50" t="n">
        <f aca="false">F29/IF(Varsayimlar!$B$21=1,1.43,1)</f>
        <v>0</v>
      </c>
      <c r="I29" s="51" t="n">
        <v>26.27</v>
      </c>
      <c r="J29" s="28" t="n">
        <f aca="false">H29*I29</f>
        <v>0</v>
      </c>
      <c r="K29" s="55" t="s">
        <v>555</v>
      </c>
      <c r="L29" s="7" t="s">
        <v>2322</v>
      </c>
      <c r="M29" s="7" t="s">
        <v>2323</v>
      </c>
    </row>
    <row r="30" customFormat="false" ht="52.2" hidden="false" customHeight="false" outlineLevel="1" collapsed="false">
      <c r="A30" s="27"/>
      <c r="B30" s="27" t="s">
        <v>2330</v>
      </c>
      <c r="C30" s="7" t="s">
        <v>2324</v>
      </c>
      <c r="D30" s="27" t="s">
        <v>853</v>
      </c>
      <c r="E30" s="50" t="n">
        <v>5</v>
      </c>
      <c r="F30" s="54" t="n">
        <v>0</v>
      </c>
      <c r="G30" s="27" t="s">
        <v>865</v>
      </c>
      <c r="H30" s="50" t="n">
        <f aca="false">F30/IF(Varsayimlar!$B$21=1,1.43,1)</f>
        <v>0</v>
      </c>
      <c r="I30" s="51" t="n">
        <v>2.04</v>
      </c>
      <c r="J30" s="28" t="n">
        <f aca="false">H30*I30</f>
        <v>0</v>
      </c>
      <c r="K30" s="55" t="s">
        <v>555</v>
      </c>
      <c r="L30" s="7" t="s">
        <v>2325</v>
      </c>
      <c r="M30" s="7" t="s">
        <v>2326</v>
      </c>
    </row>
    <row r="31" customFormat="false" ht="26.85" hidden="false" customHeight="false" outlineLevel="1" collapsed="false">
      <c r="A31" s="27"/>
      <c r="B31" s="27" t="s">
        <v>2330</v>
      </c>
      <c r="C31" s="7" t="s">
        <v>2327</v>
      </c>
      <c r="D31" s="27" t="s">
        <v>816</v>
      </c>
      <c r="E31" s="50" t="n">
        <v>1</v>
      </c>
      <c r="F31" s="54" t="n">
        <v>0</v>
      </c>
      <c r="G31" s="27" t="s">
        <v>767</v>
      </c>
      <c r="H31" s="50" t="n">
        <f aca="false">F31</f>
        <v>0</v>
      </c>
      <c r="I31" s="51" t="n">
        <v>120</v>
      </c>
      <c r="J31" s="28" t="n">
        <f aca="false">H31*I31</f>
        <v>0</v>
      </c>
      <c r="K31" s="55" t="s">
        <v>555</v>
      </c>
      <c r="L31" s="7" t="s">
        <v>2317</v>
      </c>
      <c r="M31" s="7" t="s">
        <v>2328</v>
      </c>
    </row>
    <row r="32" customFormat="false" ht="15" hidden="false" customHeight="false" outlineLevel="0" collapsed="false">
      <c r="A32" s="48" t="s">
        <v>394</v>
      </c>
      <c r="B32" s="48" t="s">
        <v>2331</v>
      </c>
      <c r="C32" s="48" t="s">
        <v>395</v>
      </c>
      <c r="D32" s="48"/>
      <c r="E32" s="48"/>
      <c r="F32" s="48"/>
      <c r="G32" s="48"/>
      <c r="H32" s="48" t="s">
        <v>765</v>
      </c>
      <c r="I32" s="49" t="n">
        <f aca="false">SUMPRODUCT(E33:E40,I33:I40)</f>
        <v>5943.49</v>
      </c>
      <c r="J32" s="49" t="n">
        <f aca="false">SUM(J33:J40)</f>
        <v>4065.44587412587</v>
      </c>
      <c r="K32" s="48"/>
      <c r="L32" s="48"/>
      <c r="M32" s="48"/>
    </row>
    <row r="33" customFormat="false" ht="128.35" hidden="false" customHeight="false" outlineLevel="1" collapsed="false">
      <c r="A33" s="27"/>
      <c r="B33" s="27" t="s">
        <v>2331</v>
      </c>
      <c r="C33" s="7" t="s">
        <v>2308</v>
      </c>
      <c r="D33" s="27" t="s">
        <v>727</v>
      </c>
      <c r="E33" s="50" t="n">
        <v>2</v>
      </c>
      <c r="F33" s="50" t="n">
        <v>2</v>
      </c>
      <c r="G33" s="27" t="s">
        <v>767</v>
      </c>
      <c r="H33" s="50" t="n">
        <f aca="false">F33</f>
        <v>2</v>
      </c>
      <c r="I33" s="51" t="n">
        <v>1885.16</v>
      </c>
      <c r="J33" s="28" t="n">
        <f aca="false">H33*I33</f>
        <v>3770.32</v>
      </c>
      <c r="K33" s="52" t="s">
        <v>548</v>
      </c>
      <c r="L33" s="7" t="s">
        <v>2309</v>
      </c>
      <c r="M33" s="7"/>
    </row>
    <row r="34" customFormat="false" ht="102.95" hidden="false" customHeight="false" outlineLevel="1" collapsed="false">
      <c r="A34" s="27"/>
      <c r="B34" s="27" t="s">
        <v>2331</v>
      </c>
      <c r="C34" s="7" t="s">
        <v>2310</v>
      </c>
      <c r="D34" s="27" t="s">
        <v>853</v>
      </c>
      <c r="E34" s="50" t="n">
        <v>6</v>
      </c>
      <c r="F34" s="50" t="n">
        <v>6</v>
      </c>
      <c r="G34" s="27" t="s">
        <v>865</v>
      </c>
      <c r="H34" s="50" t="n">
        <f aca="false">F34/IF(Varsayimlar!$B$21=1,1.43,1)</f>
        <v>4.1958041958042</v>
      </c>
      <c r="I34" s="51" t="n">
        <v>31.58</v>
      </c>
      <c r="J34" s="28" t="n">
        <f aca="false">H34*I34</f>
        <v>132.503496503497</v>
      </c>
      <c r="K34" s="52" t="s">
        <v>548</v>
      </c>
      <c r="L34" s="7" t="s">
        <v>2311</v>
      </c>
      <c r="M34" s="7" t="s">
        <v>2312</v>
      </c>
    </row>
    <row r="35" customFormat="false" ht="141" hidden="false" customHeight="false" outlineLevel="1" collapsed="false">
      <c r="A35" s="27"/>
      <c r="B35" s="27" t="s">
        <v>2331</v>
      </c>
      <c r="C35" s="7" t="s">
        <v>2313</v>
      </c>
      <c r="D35" s="27" t="s">
        <v>853</v>
      </c>
      <c r="E35" s="50" t="n">
        <v>5</v>
      </c>
      <c r="F35" s="50" t="n">
        <v>5</v>
      </c>
      <c r="G35" s="27" t="s">
        <v>865</v>
      </c>
      <c r="H35" s="50" t="n">
        <f aca="false">F35/IF(Varsayimlar!$B$21=1,1.43,1)</f>
        <v>3.4965034965035</v>
      </c>
      <c r="I35" s="51" t="n">
        <v>3.61</v>
      </c>
      <c r="J35" s="28" t="n">
        <f aca="false">H35*I35</f>
        <v>12.6223776223776</v>
      </c>
      <c r="K35" s="52" t="s">
        <v>548</v>
      </c>
      <c r="L35" s="7" t="s">
        <v>2314</v>
      </c>
      <c r="M35" s="7" t="s">
        <v>2315</v>
      </c>
    </row>
    <row r="36" customFormat="false" ht="26.85" hidden="false" customHeight="false" outlineLevel="1" collapsed="false">
      <c r="A36" s="27"/>
      <c r="B36" s="27" t="s">
        <v>2331</v>
      </c>
      <c r="C36" s="7" t="s">
        <v>2316</v>
      </c>
      <c r="D36" s="27" t="s">
        <v>816</v>
      </c>
      <c r="E36" s="50" t="n">
        <v>1</v>
      </c>
      <c r="F36" s="50" t="n">
        <v>1</v>
      </c>
      <c r="G36" s="27" t="s">
        <v>767</v>
      </c>
      <c r="H36" s="50" t="n">
        <f aca="false">F36</f>
        <v>1</v>
      </c>
      <c r="I36" s="51" t="n">
        <v>150</v>
      </c>
      <c r="J36" s="28" t="n">
        <f aca="false">H36*I36</f>
        <v>150</v>
      </c>
      <c r="K36" s="53" t="s">
        <v>551</v>
      </c>
      <c r="L36" s="7" t="s">
        <v>2317</v>
      </c>
      <c r="M36" s="7"/>
    </row>
    <row r="37" customFormat="false" ht="90.25" hidden="false" customHeight="false" outlineLevel="1" collapsed="false">
      <c r="A37" s="27"/>
      <c r="B37" s="27" t="s">
        <v>2331</v>
      </c>
      <c r="C37" s="7" t="s">
        <v>2318</v>
      </c>
      <c r="D37" s="27" t="s">
        <v>727</v>
      </c>
      <c r="E37" s="50" t="n">
        <v>2</v>
      </c>
      <c r="F37" s="54" t="n">
        <v>0</v>
      </c>
      <c r="G37" s="27" t="s">
        <v>767</v>
      </c>
      <c r="H37" s="50" t="n">
        <f aca="false">F37</f>
        <v>0</v>
      </c>
      <c r="I37" s="51" t="n">
        <v>763.91</v>
      </c>
      <c r="J37" s="28" t="n">
        <f aca="false">H37*I37</f>
        <v>0</v>
      </c>
      <c r="K37" s="55" t="s">
        <v>555</v>
      </c>
      <c r="L37" s="7" t="s">
        <v>2319</v>
      </c>
      <c r="M37" s="7" t="s">
        <v>2320</v>
      </c>
    </row>
    <row r="38" customFormat="false" ht="102.95" hidden="false" customHeight="false" outlineLevel="1" collapsed="false">
      <c r="A38" s="27"/>
      <c r="B38" s="27" t="s">
        <v>2331</v>
      </c>
      <c r="C38" s="7" t="s">
        <v>2321</v>
      </c>
      <c r="D38" s="27" t="s">
        <v>853</v>
      </c>
      <c r="E38" s="50" t="n">
        <v>6</v>
      </c>
      <c r="F38" s="54" t="n">
        <v>0</v>
      </c>
      <c r="G38" s="27" t="s">
        <v>865</v>
      </c>
      <c r="H38" s="50" t="n">
        <f aca="false">F38/IF(Varsayimlar!$B$21=1,1.43,1)</f>
        <v>0</v>
      </c>
      <c r="I38" s="51" t="n">
        <v>26.27</v>
      </c>
      <c r="J38" s="28" t="n">
        <f aca="false">H38*I38</f>
        <v>0</v>
      </c>
      <c r="K38" s="55" t="s">
        <v>555</v>
      </c>
      <c r="L38" s="7" t="s">
        <v>2322</v>
      </c>
      <c r="M38" s="7" t="s">
        <v>2323</v>
      </c>
    </row>
    <row r="39" customFormat="false" ht="52.2" hidden="false" customHeight="false" outlineLevel="1" collapsed="false">
      <c r="A39" s="27"/>
      <c r="B39" s="27" t="s">
        <v>2331</v>
      </c>
      <c r="C39" s="7" t="s">
        <v>2324</v>
      </c>
      <c r="D39" s="27" t="s">
        <v>853</v>
      </c>
      <c r="E39" s="50" t="n">
        <v>5</v>
      </c>
      <c r="F39" s="54" t="n">
        <v>0</v>
      </c>
      <c r="G39" s="27" t="s">
        <v>865</v>
      </c>
      <c r="H39" s="50" t="n">
        <f aca="false">F39/IF(Varsayimlar!$B$21=1,1.43,1)</f>
        <v>0</v>
      </c>
      <c r="I39" s="51" t="n">
        <v>2.04</v>
      </c>
      <c r="J39" s="28" t="n">
        <f aca="false">H39*I39</f>
        <v>0</v>
      </c>
      <c r="K39" s="55" t="s">
        <v>555</v>
      </c>
      <c r="L39" s="7" t="s">
        <v>2325</v>
      </c>
      <c r="M39" s="7" t="s">
        <v>2326</v>
      </c>
    </row>
    <row r="40" customFormat="false" ht="26.85" hidden="false" customHeight="false" outlineLevel="1" collapsed="false">
      <c r="A40" s="27"/>
      <c r="B40" s="27" t="s">
        <v>2331</v>
      </c>
      <c r="C40" s="7" t="s">
        <v>2327</v>
      </c>
      <c r="D40" s="27" t="s">
        <v>816</v>
      </c>
      <c r="E40" s="50" t="n">
        <v>1</v>
      </c>
      <c r="F40" s="54" t="n">
        <v>0</v>
      </c>
      <c r="G40" s="27" t="s">
        <v>767</v>
      </c>
      <c r="H40" s="50" t="n">
        <f aca="false">F40</f>
        <v>0</v>
      </c>
      <c r="I40" s="51" t="n">
        <v>120</v>
      </c>
      <c r="J40" s="28" t="n">
        <f aca="false">H40*I40</f>
        <v>0</v>
      </c>
      <c r="K40" s="55" t="s">
        <v>555</v>
      </c>
      <c r="L40" s="7" t="s">
        <v>2317</v>
      </c>
      <c r="M40" s="7" t="s">
        <v>2328</v>
      </c>
    </row>
    <row r="41" customFormat="false" ht="15" hidden="false" customHeight="false" outlineLevel="0" collapsed="false">
      <c r="A41" s="48" t="s">
        <v>396</v>
      </c>
      <c r="B41" s="48" t="s">
        <v>2332</v>
      </c>
      <c r="C41" s="48" t="s">
        <v>397</v>
      </c>
      <c r="D41" s="48"/>
      <c r="E41" s="48"/>
      <c r="F41" s="48"/>
      <c r="G41" s="48"/>
      <c r="H41" s="48" t="s">
        <v>765</v>
      </c>
      <c r="I41" s="49" t="n">
        <f aca="false">SUMPRODUCT(E42:E49,I42:I49)</f>
        <v>5943.49</v>
      </c>
      <c r="J41" s="49" t="n">
        <f aca="false">SUM(J42:J49)</f>
        <v>4065.44587412587</v>
      </c>
      <c r="K41" s="48"/>
      <c r="L41" s="48"/>
      <c r="M41" s="48"/>
    </row>
    <row r="42" customFormat="false" ht="128.35" hidden="false" customHeight="false" outlineLevel="1" collapsed="false">
      <c r="A42" s="27"/>
      <c r="B42" s="27" t="s">
        <v>2332</v>
      </c>
      <c r="C42" s="7" t="s">
        <v>2308</v>
      </c>
      <c r="D42" s="27" t="s">
        <v>727</v>
      </c>
      <c r="E42" s="50" t="n">
        <v>2</v>
      </c>
      <c r="F42" s="50" t="n">
        <v>2</v>
      </c>
      <c r="G42" s="27" t="s">
        <v>767</v>
      </c>
      <c r="H42" s="50" t="n">
        <f aca="false">F42</f>
        <v>2</v>
      </c>
      <c r="I42" s="51" t="n">
        <v>1885.16</v>
      </c>
      <c r="J42" s="28" t="n">
        <f aca="false">H42*I42</f>
        <v>3770.32</v>
      </c>
      <c r="K42" s="52" t="s">
        <v>548</v>
      </c>
      <c r="L42" s="7" t="s">
        <v>2309</v>
      </c>
      <c r="M42" s="7"/>
    </row>
    <row r="43" customFormat="false" ht="102.95" hidden="false" customHeight="false" outlineLevel="1" collapsed="false">
      <c r="A43" s="27"/>
      <c r="B43" s="27" t="s">
        <v>2332</v>
      </c>
      <c r="C43" s="7" t="s">
        <v>2310</v>
      </c>
      <c r="D43" s="27" t="s">
        <v>853</v>
      </c>
      <c r="E43" s="50" t="n">
        <v>6</v>
      </c>
      <c r="F43" s="50" t="n">
        <v>6</v>
      </c>
      <c r="G43" s="27" t="s">
        <v>865</v>
      </c>
      <c r="H43" s="50" t="n">
        <f aca="false">F43/IF(Varsayimlar!$B$21=1,1.43,1)</f>
        <v>4.1958041958042</v>
      </c>
      <c r="I43" s="51" t="n">
        <v>31.58</v>
      </c>
      <c r="J43" s="28" t="n">
        <f aca="false">H43*I43</f>
        <v>132.503496503497</v>
      </c>
      <c r="K43" s="52" t="s">
        <v>548</v>
      </c>
      <c r="L43" s="7" t="s">
        <v>2311</v>
      </c>
      <c r="M43" s="7" t="s">
        <v>2312</v>
      </c>
    </row>
    <row r="44" customFormat="false" ht="141" hidden="false" customHeight="false" outlineLevel="1" collapsed="false">
      <c r="A44" s="27"/>
      <c r="B44" s="27" t="s">
        <v>2332</v>
      </c>
      <c r="C44" s="7" t="s">
        <v>2313</v>
      </c>
      <c r="D44" s="27" t="s">
        <v>853</v>
      </c>
      <c r="E44" s="50" t="n">
        <v>5</v>
      </c>
      <c r="F44" s="50" t="n">
        <v>5</v>
      </c>
      <c r="G44" s="27" t="s">
        <v>865</v>
      </c>
      <c r="H44" s="50" t="n">
        <f aca="false">F44/IF(Varsayimlar!$B$21=1,1.43,1)</f>
        <v>3.4965034965035</v>
      </c>
      <c r="I44" s="51" t="n">
        <v>3.61</v>
      </c>
      <c r="J44" s="28" t="n">
        <f aca="false">H44*I44</f>
        <v>12.6223776223776</v>
      </c>
      <c r="K44" s="52" t="s">
        <v>548</v>
      </c>
      <c r="L44" s="7" t="s">
        <v>2314</v>
      </c>
      <c r="M44" s="7" t="s">
        <v>2315</v>
      </c>
    </row>
    <row r="45" customFormat="false" ht="26.85" hidden="false" customHeight="false" outlineLevel="1" collapsed="false">
      <c r="A45" s="27"/>
      <c r="B45" s="27" t="s">
        <v>2332</v>
      </c>
      <c r="C45" s="7" t="s">
        <v>2316</v>
      </c>
      <c r="D45" s="27" t="s">
        <v>816</v>
      </c>
      <c r="E45" s="50" t="n">
        <v>1</v>
      </c>
      <c r="F45" s="50" t="n">
        <v>1</v>
      </c>
      <c r="G45" s="27" t="s">
        <v>767</v>
      </c>
      <c r="H45" s="50" t="n">
        <f aca="false">F45</f>
        <v>1</v>
      </c>
      <c r="I45" s="51" t="n">
        <v>150</v>
      </c>
      <c r="J45" s="28" t="n">
        <f aca="false">H45*I45</f>
        <v>150</v>
      </c>
      <c r="K45" s="53" t="s">
        <v>551</v>
      </c>
      <c r="L45" s="7" t="s">
        <v>2317</v>
      </c>
      <c r="M45" s="7"/>
    </row>
    <row r="46" customFormat="false" ht="90.25" hidden="false" customHeight="false" outlineLevel="1" collapsed="false">
      <c r="A46" s="27"/>
      <c r="B46" s="27" t="s">
        <v>2332</v>
      </c>
      <c r="C46" s="7" t="s">
        <v>2318</v>
      </c>
      <c r="D46" s="27" t="s">
        <v>727</v>
      </c>
      <c r="E46" s="50" t="n">
        <v>2</v>
      </c>
      <c r="F46" s="54" t="n">
        <v>0</v>
      </c>
      <c r="G46" s="27" t="s">
        <v>767</v>
      </c>
      <c r="H46" s="50" t="n">
        <f aca="false">F46</f>
        <v>0</v>
      </c>
      <c r="I46" s="51" t="n">
        <v>763.91</v>
      </c>
      <c r="J46" s="28" t="n">
        <f aca="false">H46*I46</f>
        <v>0</v>
      </c>
      <c r="K46" s="55" t="s">
        <v>555</v>
      </c>
      <c r="L46" s="7" t="s">
        <v>2319</v>
      </c>
      <c r="M46" s="7" t="s">
        <v>2320</v>
      </c>
    </row>
    <row r="47" customFormat="false" ht="102.95" hidden="false" customHeight="false" outlineLevel="1" collapsed="false">
      <c r="A47" s="27"/>
      <c r="B47" s="27" t="s">
        <v>2332</v>
      </c>
      <c r="C47" s="7" t="s">
        <v>2321</v>
      </c>
      <c r="D47" s="27" t="s">
        <v>853</v>
      </c>
      <c r="E47" s="50" t="n">
        <v>6</v>
      </c>
      <c r="F47" s="54" t="n">
        <v>0</v>
      </c>
      <c r="G47" s="27" t="s">
        <v>865</v>
      </c>
      <c r="H47" s="50" t="n">
        <f aca="false">F47/IF(Varsayimlar!$B$21=1,1.43,1)</f>
        <v>0</v>
      </c>
      <c r="I47" s="51" t="n">
        <v>26.27</v>
      </c>
      <c r="J47" s="28" t="n">
        <f aca="false">H47*I47</f>
        <v>0</v>
      </c>
      <c r="K47" s="55" t="s">
        <v>555</v>
      </c>
      <c r="L47" s="7" t="s">
        <v>2322</v>
      </c>
      <c r="M47" s="7" t="s">
        <v>2323</v>
      </c>
    </row>
    <row r="48" customFormat="false" ht="52.2" hidden="false" customHeight="false" outlineLevel="1" collapsed="false">
      <c r="A48" s="27"/>
      <c r="B48" s="27" t="s">
        <v>2332</v>
      </c>
      <c r="C48" s="7" t="s">
        <v>2324</v>
      </c>
      <c r="D48" s="27" t="s">
        <v>853</v>
      </c>
      <c r="E48" s="50" t="n">
        <v>5</v>
      </c>
      <c r="F48" s="54" t="n">
        <v>0</v>
      </c>
      <c r="G48" s="27" t="s">
        <v>865</v>
      </c>
      <c r="H48" s="50" t="n">
        <f aca="false">F48/IF(Varsayimlar!$B$21=1,1.43,1)</f>
        <v>0</v>
      </c>
      <c r="I48" s="51" t="n">
        <v>2.04</v>
      </c>
      <c r="J48" s="28" t="n">
        <f aca="false">H48*I48</f>
        <v>0</v>
      </c>
      <c r="K48" s="55" t="s">
        <v>555</v>
      </c>
      <c r="L48" s="7" t="s">
        <v>2325</v>
      </c>
      <c r="M48" s="7" t="s">
        <v>2326</v>
      </c>
    </row>
    <row r="49" customFormat="false" ht="26.85" hidden="false" customHeight="false" outlineLevel="1" collapsed="false">
      <c r="A49" s="27"/>
      <c r="B49" s="27" t="s">
        <v>2332</v>
      </c>
      <c r="C49" s="7" t="s">
        <v>2327</v>
      </c>
      <c r="D49" s="27" t="s">
        <v>816</v>
      </c>
      <c r="E49" s="50" t="n">
        <v>1</v>
      </c>
      <c r="F49" s="54" t="n">
        <v>0</v>
      </c>
      <c r="G49" s="27" t="s">
        <v>767</v>
      </c>
      <c r="H49" s="50" t="n">
        <f aca="false">F49</f>
        <v>0</v>
      </c>
      <c r="I49" s="51" t="n">
        <v>120</v>
      </c>
      <c r="J49" s="28" t="n">
        <f aca="false">H49*I49</f>
        <v>0</v>
      </c>
      <c r="K49" s="55" t="s">
        <v>555</v>
      </c>
      <c r="L49" s="7" t="s">
        <v>2317</v>
      </c>
      <c r="M49" s="7" t="s">
        <v>2328</v>
      </c>
    </row>
    <row r="50" customFormat="false" ht="15" hidden="false" customHeight="false" outlineLevel="0" collapsed="false">
      <c r="A50" s="48" t="s">
        <v>398</v>
      </c>
      <c r="B50" s="48" t="s">
        <v>2333</v>
      </c>
      <c r="C50" s="48" t="s">
        <v>399</v>
      </c>
      <c r="D50" s="48"/>
      <c r="E50" s="48"/>
      <c r="F50" s="48"/>
      <c r="G50" s="48"/>
      <c r="H50" s="48" t="s">
        <v>765</v>
      </c>
      <c r="I50" s="49" t="n">
        <f aca="false">SUMPRODUCT(E51:E58,I51:I58)</f>
        <v>8150.99</v>
      </c>
      <c r="J50" s="49" t="n">
        <f aca="false">SUM(J51:J58)</f>
        <v>6221.12335664336</v>
      </c>
      <c r="K50" s="48"/>
      <c r="L50" s="48"/>
      <c r="M50" s="48"/>
    </row>
    <row r="51" customFormat="false" ht="39.55" hidden="false" customHeight="false" outlineLevel="1" collapsed="false">
      <c r="A51" s="27"/>
      <c r="B51" s="27" t="s">
        <v>2333</v>
      </c>
      <c r="C51" s="7" t="s">
        <v>2308</v>
      </c>
      <c r="D51" s="27" t="s">
        <v>727</v>
      </c>
      <c r="E51" s="50" t="n">
        <v>3</v>
      </c>
      <c r="F51" s="50" t="n">
        <v>3</v>
      </c>
      <c r="G51" s="27" t="s">
        <v>767</v>
      </c>
      <c r="H51" s="50" t="n">
        <f aca="false">F51</f>
        <v>3</v>
      </c>
      <c r="I51" s="51" t="n">
        <v>1885.16</v>
      </c>
      <c r="J51" s="28" t="n">
        <f aca="false">H51*I51</f>
        <v>5655.48</v>
      </c>
      <c r="K51" s="52" t="s">
        <v>548</v>
      </c>
      <c r="L51" s="7" t="s">
        <v>2334</v>
      </c>
      <c r="M51" s="7"/>
    </row>
    <row r="52" customFormat="false" ht="102.95" hidden="false" customHeight="false" outlineLevel="1" collapsed="false">
      <c r="A52" s="27"/>
      <c r="B52" s="27" t="s">
        <v>2333</v>
      </c>
      <c r="C52" s="7" t="s">
        <v>2310</v>
      </c>
      <c r="D52" s="27" t="s">
        <v>853</v>
      </c>
      <c r="E52" s="50" t="n">
        <v>11</v>
      </c>
      <c r="F52" s="50" t="n">
        <v>11</v>
      </c>
      <c r="G52" s="27" t="s">
        <v>865</v>
      </c>
      <c r="H52" s="50" t="n">
        <f aca="false">F52/IF(Varsayimlar!$B$21=1,1.43,1)</f>
        <v>7.69230769230769</v>
      </c>
      <c r="I52" s="51" t="n">
        <v>31.58</v>
      </c>
      <c r="J52" s="28" t="n">
        <f aca="false">H52*I52</f>
        <v>242.923076923077</v>
      </c>
      <c r="K52" s="52" t="s">
        <v>548</v>
      </c>
      <c r="L52" s="7" t="s">
        <v>2311</v>
      </c>
      <c r="M52" s="7" t="s">
        <v>2312</v>
      </c>
    </row>
    <row r="53" customFormat="false" ht="141" hidden="false" customHeight="false" outlineLevel="1" collapsed="false">
      <c r="A53" s="27"/>
      <c r="B53" s="27" t="s">
        <v>2333</v>
      </c>
      <c r="C53" s="7" t="s">
        <v>2313</v>
      </c>
      <c r="D53" s="27" t="s">
        <v>853</v>
      </c>
      <c r="E53" s="50" t="n">
        <v>9</v>
      </c>
      <c r="F53" s="50" t="n">
        <v>9</v>
      </c>
      <c r="G53" s="27" t="s">
        <v>865</v>
      </c>
      <c r="H53" s="50" t="n">
        <f aca="false">F53/IF(Varsayimlar!$B$21=1,1.43,1)</f>
        <v>6.29370629370629</v>
      </c>
      <c r="I53" s="51" t="n">
        <v>3.61</v>
      </c>
      <c r="J53" s="28" t="n">
        <f aca="false">H53*I53</f>
        <v>22.7202797202797</v>
      </c>
      <c r="K53" s="52" t="s">
        <v>548</v>
      </c>
      <c r="L53" s="7" t="s">
        <v>2314</v>
      </c>
      <c r="M53" s="7" t="s">
        <v>2315</v>
      </c>
    </row>
    <row r="54" customFormat="false" ht="26.85" hidden="false" customHeight="false" outlineLevel="1" collapsed="false">
      <c r="A54" s="27"/>
      <c r="B54" s="27" t="s">
        <v>2333</v>
      </c>
      <c r="C54" s="7" t="s">
        <v>2316</v>
      </c>
      <c r="D54" s="27" t="s">
        <v>816</v>
      </c>
      <c r="E54" s="50" t="n">
        <v>2</v>
      </c>
      <c r="F54" s="50" t="n">
        <v>2</v>
      </c>
      <c r="G54" s="27" t="s">
        <v>767</v>
      </c>
      <c r="H54" s="50" t="n">
        <f aca="false">F54</f>
        <v>2</v>
      </c>
      <c r="I54" s="51" t="n">
        <v>150</v>
      </c>
      <c r="J54" s="28" t="n">
        <f aca="false">H54*I54</f>
        <v>300</v>
      </c>
      <c r="K54" s="53" t="s">
        <v>551</v>
      </c>
      <c r="L54" s="7" t="s">
        <v>2317</v>
      </c>
      <c r="M54" s="7"/>
    </row>
    <row r="55" customFormat="false" ht="90.25" hidden="false" customHeight="false" outlineLevel="1" collapsed="false">
      <c r="A55" s="27"/>
      <c r="B55" s="27" t="s">
        <v>2333</v>
      </c>
      <c r="C55" s="7" t="s">
        <v>2318</v>
      </c>
      <c r="D55" s="27" t="s">
        <v>727</v>
      </c>
      <c r="E55" s="50" t="n">
        <v>2</v>
      </c>
      <c r="F55" s="54" t="n">
        <v>0</v>
      </c>
      <c r="G55" s="27" t="s">
        <v>767</v>
      </c>
      <c r="H55" s="50" t="n">
        <f aca="false">F55</f>
        <v>0</v>
      </c>
      <c r="I55" s="51" t="n">
        <v>763.91</v>
      </c>
      <c r="J55" s="28" t="n">
        <f aca="false">H55*I55</f>
        <v>0</v>
      </c>
      <c r="K55" s="55" t="s">
        <v>555</v>
      </c>
      <c r="L55" s="7" t="s">
        <v>2319</v>
      </c>
      <c r="M55" s="7" t="s">
        <v>2320</v>
      </c>
    </row>
    <row r="56" customFormat="false" ht="102.95" hidden="false" customHeight="false" outlineLevel="1" collapsed="false">
      <c r="A56" s="27"/>
      <c r="B56" s="27" t="s">
        <v>2333</v>
      </c>
      <c r="C56" s="7" t="s">
        <v>2321</v>
      </c>
      <c r="D56" s="27" t="s">
        <v>853</v>
      </c>
      <c r="E56" s="50" t="n">
        <v>6</v>
      </c>
      <c r="F56" s="54" t="n">
        <v>0</v>
      </c>
      <c r="G56" s="27" t="s">
        <v>865</v>
      </c>
      <c r="H56" s="50" t="n">
        <f aca="false">F56/IF(Varsayimlar!$B$21=1,1.43,1)</f>
        <v>0</v>
      </c>
      <c r="I56" s="51" t="n">
        <v>26.27</v>
      </c>
      <c r="J56" s="28" t="n">
        <f aca="false">H56*I56</f>
        <v>0</v>
      </c>
      <c r="K56" s="55" t="s">
        <v>555</v>
      </c>
      <c r="L56" s="7" t="s">
        <v>2322</v>
      </c>
      <c r="M56" s="7" t="s">
        <v>2323</v>
      </c>
    </row>
    <row r="57" customFormat="false" ht="52.2" hidden="false" customHeight="false" outlineLevel="1" collapsed="false">
      <c r="A57" s="27"/>
      <c r="B57" s="27" t="s">
        <v>2333</v>
      </c>
      <c r="C57" s="7" t="s">
        <v>2324</v>
      </c>
      <c r="D57" s="27" t="s">
        <v>853</v>
      </c>
      <c r="E57" s="50" t="n">
        <v>5</v>
      </c>
      <c r="F57" s="54" t="n">
        <v>0</v>
      </c>
      <c r="G57" s="27" t="s">
        <v>865</v>
      </c>
      <c r="H57" s="50" t="n">
        <f aca="false">F57/IF(Varsayimlar!$B$21=1,1.43,1)</f>
        <v>0</v>
      </c>
      <c r="I57" s="51" t="n">
        <v>2.04</v>
      </c>
      <c r="J57" s="28" t="n">
        <f aca="false">H57*I57</f>
        <v>0</v>
      </c>
      <c r="K57" s="55" t="s">
        <v>555</v>
      </c>
      <c r="L57" s="7" t="s">
        <v>2325</v>
      </c>
      <c r="M57" s="7" t="s">
        <v>2326</v>
      </c>
    </row>
    <row r="58" customFormat="false" ht="26.85" hidden="false" customHeight="false" outlineLevel="1" collapsed="false">
      <c r="A58" s="27"/>
      <c r="B58" s="27" t="s">
        <v>2333</v>
      </c>
      <c r="C58" s="7" t="s">
        <v>2327</v>
      </c>
      <c r="D58" s="27" t="s">
        <v>816</v>
      </c>
      <c r="E58" s="50" t="n">
        <v>1</v>
      </c>
      <c r="F58" s="54" t="n">
        <v>0</v>
      </c>
      <c r="G58" s="27" t="s">
        <v>767</v>
      </c>
      <c r="H58" s="50" t="n">
        <f aca="false">F58</f>
        <v>0</v>
      </c>
      <c r="I58" s="51" t="n">
        <v>120</v>
      </c>
      <c r="J58" s="28" t="n">
        <f aca="false">H58*I58</f>
        <v>0</v>
      </c>
      <c r="K58" s="55" t="s">
        <v>555</v>
      </c>
      <c r="L58" s="7" t="s">
        <v>2317</v>
      </c>
      <c r="M58" s="7" t="s">
        <v>2328</v>
      </c>
    </row>
    <row r="59" customFormat="false" ht="15" hidden="false" customHeight="false" outlineLevel="0" collapsed="false">
      <c r="A59" s="48" t="s">
        <v>400</v>
      </c>
      <c r="B59" s="48" t="s">
        <v>2335</v>
      </c>
      <c r="C59" s="48" t="s">
        <v>401</v>
      </c>
      <c r="D59" s="48"/>
      <c r="E59" s="48"/>
      <c r="F59" s="48"/>
      <c r="G59" s="48"/>
      <c r="H59" s="48" t="s">
        <v>765</v>
      </c>
      <c r="I59" s="49" t="n">
        <f aca="false">SUMPRODUCT(E60:E71,I60:I71)</f>
        <v>120518.89</v>
      </c>
      <c r="J59" s="49" t="n">
        <f aca="false">SUM(J60:J71)</f>
        <v>111663.275384615</v>
      </c>
      <c r="K59" s="48"/>
      <c r="L59" s="48"/>
      <c r="M59" s="48"/>
    </row>
    <row r="60" customFormat="false" ht="102.95" hidden="false" customHeight="false" outlineLevel="1" collapsed="false">
      <c r="A60" s="27"/>
      <c r="B60" s="27" t="s">
        <v>2335</v>
      </c>
      <c r="C60" s="7" t="s">
        <v>2336</v>
      </c>
      <c r="D60" s="27" t="s">
        <v>727</v>
      </c>
      <c r="E60" s="50" t="n">
        <v>2</v>
      </c>
      <c r="F60" s="50" t="n">
        <v>2</v>
      </c>
      <c r="G60" s="27" t="s">
        <v>767</v>
      </c>
      <c r="H60" s="50" t="n">
        <f aca="false">F60</f>
        <v>2</v>
      </c>
      <c r="I60" s="51" t="n">
        <v>1425.83</v>
      </c>
      <c r="J60" s="28" t="n">
        <f aca="false">H60*I60</f>
        <v>2851.66</v>
      </c>
      <c r="K60" s="52" t="s">
        <v>548</v>
      </c>
      <c r="L60" s="7" t="s">
        <v>2337</v>
      </c>
      <c r="M60" s="7"/>
    </row>
    <row r="61" customFormat="false" ht="39.55" hidden="false" customHeight="false" outlineLevel="1" collapsed="false">
      <c r="A61" s="27"/>
      <c r="B61" s="27" t="s">
        <v>2335</v>
      </c>
      <c r="C61" s="7" t="s">
        <v>2338</v>
      </c>
      <c r="D61" s="27" t="s">
        <v>727</v>
      </c>
      <c r="E61" s="50" t="n">
        <v>15</v>
      </c>
      <c r="F61" s="50" t="n">
        <v>15</v>
      </c>
      <c r="G61" s="27" t="s">
        <v>829</v>
      </c>
      <c r="H61" s="50" t="n">
        <f aca="false">F61/IF(Varsayimlar!$B$21=1,1.3,1)</f>
        <v>11.5384615384615</v>
      </c>
      <c r="I61" s="51" t="n">
        <v>1779</v>
      </c>
      <c r="J61" s="28" t="n">
        <f aca="false">H61*I61</f>
        <v>20526.9230769231</v>
      </c>
      <c r="K61" s="52" t="s">
        <v>548</v>
      </c>
      <c r="L61" s="7" t="s">
        <v>2339</v>
      </c>
      <c r="M61" s="7" t="s">
        <v>2340</v>
      </c>
    </row>
    <row r="62" customFormat="false" ht="52.2" hidden="false" customHeight="false" outlineLevel="1" collapsed="false">
      <c r="A62" s="27"/>
      <c r="B62" s="27" t="s">
        <v>2335</v>
      </c>
      <c r="C62" s="7" t="s">
        <v>2341</v>
      </c>
      <c r="D62" s="27" t="s">
        <v>727</v>
      </c>
      <c r="E62" s="50" t="n">
        <v>2</v>
      </c>
      <c r="F62" s="50" t="n">
        <v>2</v>
      </c>
      <c r="G62" s="27" t="s">
        <v>767</v>
      </c>
      <c r="H62" s="50" t="n">
        <f aca="false">F62</f>
        <v>2</v>
      </c>
      <c r="I62" s="51" t="n">
        <v>17400</v>
      </c>
      <c r="J62" s="28" t="n">
        <f aca="false">H62*I62</f>
        <v>34800</v>
      </c>
      <c r="K62" s="52" t="s">
        <v>548</v>
      </c>
      <c r="L62" s="7" t="s">
        <v>2342</v>
      </c>
      <c r="M62" s="7" t="s">
        <v>2343</v>
      </c>
    </row>
    <row r="63" customFormat="false" ht="52.2" hidden="false" customHeight="false" outlineLevel="1" collapsed="false">
      <c r="A63" s="27"/>
      <c r="B63" s="27" t="s">
        <v>2335</v>
      </c>
      <c r="C63" s="7" t="s">
        <v>2344</v>
      </c>
      <c r="D63" s="27" t="s">
        <v>727</v>
      </c>
      <c r="E63" s="50" t="n">
        <v>2</v>
      </c>
      <c r="F63" s="50" t="n">
        <v>2</v>
      </c>
      <c r="G63" s="27" t="s">
        <v>767</v>
      </c>
      <c r="H63" s="50" t="n">
        <f aca="false">F63</f>
        <v>2</v>
      </c>
      <c r="I63" s="51" t="n">
        <v>18463</v>
      </c>
      <c r="J63" s="28" t="n">
        <f aca="false">H63*I63</f>
        <v>36926</v>
      </c>
      <c r="K63" s="52" t="s">
        <v>548</v>
      </c>
      <c r="L63" s="7" t="s">
        <v>2345</v>
      </c>
      <c r="M63" s="7" t="s">
        <v>2346</v>
      </c>
    </row>
    <row r="64" customFormat="false" ht="102.95" hidden="false" customHeight="false" outlineLevel="1" collapsed="false">
      <c r="A64" s="27"/>
      <c r="B64" s="27" t="s">
        <v>2335</v>
      </c>
      <c r="C64" s="7" t="s">
        <v>2347</v>
      </c>
      <c r="D64" s="27" t="s">
        <v>853</v>
      </c>
      <c r="E64" s="50" t="n">
        <v>102</v>
      </c>
      <c r="F64" s="50" t="n">
        <v>102</v>
      </c>
      <c r="G64" s="27" t="s">
        <v>865</v>
      </c>
      <c r="H64" s="50" t="n">
        <f aca="false">F64/IF(Varsayimlar!$B$21=1,1.43,1)</f>
        <v>71.3286713286713</v>
      </c>
      <c r="I64" s="51" t="n">
        <v>45.97</v>
      </c>
      <c r="J64" s="28" t="n">
        <f aca="false">H64*I64</f>
        <v>3278.97902097902</v>
      </c>
      <c r="K64" s="52" t="s">
        <v>548</v>
      </c>
      <c r="L64" s="7" t="s">
        <v>2348</v>
      </c>
      <c r="M64" s="7" t="s">
        <v>2349</v>
      </c>
    </row>
    <row r="65" customFormat="false" ht="128.35" hidden="false" customHeight="false" outlineLevel="1" collapsed="false">
      <c r="A65" s="27"/>
      <c r="B65" s="27" t="s">
        <v>2335</v>
      </c>
      <c r="C65" s="7" t="s">
        <v>2350</v>
      </c>
      <c r="D65" s="27" t="s">
        <v>727</v>
      </c>
      <c r="E65" s="50" t="n">
        <v>10</v>
      </c>
      <c r="F65" s="50" t="n">
        <v>10</v>
      </c>
      <c r="G65" s="27" t="s">
        <v>767</v>
      </c>
      <c r="H65" s="50" t="n">
        <f aca="false">F65</f>
        <v>10</v>
      </c>
      <c r="I65" s="51" t="n">
        <v>80.12</v>
      </c>
      <c r="J65" s="28" t="n">
        <f aca="false">H65*I65</f>
        <v>801.2</v>
      </c>
      <c r="K65" s="52" t="s">
        <v>548</v>
      </c>
      <c r="L65" s="7" t="s">
        <v>2351</v>
      </c>
      <c r="M65" s="7" t="s">
        <v>1694</v>
      </c>
    </row>
    <row r="66" customFormat="false" ht="26.85" hidden="false" customHeight="false" outlineLevel="1" collapsed="false">
      <c r="A66" s="27"/>
      <c r="B66" s="27" t="s">
        <v>2335</v>
      </c>
      <c r="C66" s="7" t="s">
        <v>2352</v>
      </c>
      <c r="D66" s="27" t="s">
        <v>2353</v>
      </c>
      <c r="E66" s="50" t="n">
        <v>20</v>
      </c>
      <c r="F66" s="50" t="n">
        <v>20</v>
      </c>
      <c r="G66" s="27" t="s">
        <v>767</v>
      </c>
      <c r="H66" s="50" t="n">
        <f aca="false">F66</f>
        <v>20</v>
      </c>
      <c r="I66" s="51" t="n">
        <v>25</v>
      </c>
      <c r="J66" s="28" t="n">
        <f aca="false">H66*I66</f>
        <v>500</v>
      </c>
      <c r="K66" s="53" t="s">
        <v>551</v>
      </c>
      <c r="L66" s="7" t="s">
        <v>2317</v>
      </c>
      <c r="M66" s="7"/>
    </row>
    <row r="67" customFormat="false" ht="128.35" hidden="false" customHeight="false" outlineLevel="1" collapsed="false">
      <c r="A67" s="27"/>
      <c r="B67" s="27" t="s">
        <v>2335</v>
      </c>
      <c r="C67" s="7" t="s">
        <v>2354</v>
      </c>
      <c r="D67" s="27" t="s">
        <v>2355</v>
      </c>
      <c r="E67" s="50" t="n">
        <v>52</v>
      </c>
      <c r="F67" s="50" t="n">
        <v>52</v>
      </c>
      <c r="G67" s="27" t="s">
        <v>829</v>
      </c>
      <c r="H67" s="50" t="n">
        <f aca="false">F67/IF(Varsayimlar!$B$21=1,1.3,1)</f>
        <v>40</v>
      </c>
      <c r="I67" s="51" t="n">
        <v>40.36</v>
      </c>
      <c r="J67" s="28" t="n">
        <f aca="false">H67*I67</f>
        <v>1614.4</v>
      </c>
      <c r="K67" s="52" t="s">
        <v>548</v>
      </c>
      <c r="L67" s="7" t="s">
        <v>2356</v>
      </c>
      <c r="M67" s="7" t="s">
        <v>2357</v>
      </c>
    </row>
    <row r="68" customFormat="false" ht="153.7" hidden="false" customHeight="false" outlineLevel="1" collapsed="false">
      <c r="A68" s="27"/>
      <c r="B68" s="27" t="s">
        <v>2335</v>
      </c>
      <c r="C68" s="7" t="s">
        <v>2358</v>
      </c>
      <c r="D68" s="27" t="s">
        <v>727</v>
      </c>
      <c r="E68" s="50" t="n">
        <v>13</v>
      </c>
      <c r="F68" s="50" t="n">
        <v>13</v>
      </c>
      <c r="G68" s="27" t="s">
        <v>829</v>
      </c>
      <c r="H68" s="50" t="n">
        <f aca="false">F68/IF(Varsayimlar!$B$21=1,1.3,1)</f>
        <v>10</v>
      </c>
      <c r="I68" s="51" t="n">
        <v>230.24</v>
      </c>
      <c r="J68" s="28" t="n">
        <f aca="false">H68*I68</f>
        <v>2302.4</v>
      </c>
      <c r="K68" s="52" t="s">
        <v>548</v>
      </c>
      <c r="L68" s="7" t="s">
        <v>2359</v>
      </c>
      <c r="M68" s="7" t="s">
        <v>2360</v>
      </c>
    </row>
    <row r="69" customFormat="false" ht="128.35" hidden="false" customHeight="false" outlineLevel="1" collapsed="false">
      <c r="A69" s="27"/>
      <c r="B69" s="27" t="s">
        <v>2335</v>
      </c>
      <c r="C69" s="7" t="s">
        <v>2361</v>
      </c>
      <c r="D69" s="27" t="s">
        <v>853</v>
      </c>
      <c r="E69" s="50" t="n">
        <v>75</v>
      </c>
      <c r="F69" s="50" t="n">
        <v>75</v>
      </c>
      <c r="G69" s="27" t="s">
        <v>865</v>
      </c>
      <c r="H69" s="50" t="n">
        <f aca="false">F69/IF(Varsayimlar!$B$21=1,1.43,1)</f>
        <v>52.4475524475525</v>
      </c>
      <c r="I69" s="51" t="n">
        <v>4.99</v>
      </c>
      <c r="J69" s="28" t="n">
        <f aca="false">H69*I69</f>
        <v>261.713286713287</v>
      </c>
      <c r="K69" s="52" t="s">
        <v>548</v>
      </c>
      <c r="L69" s="7" t="s">
        <v>2362</v>
      </c>
      <c r="M69" s="7" t="s">
        <v>2363</v>
      </c>
    </row>
    <row r="70" customFormat="false" ht="26.85" hidden="false" customHeight="false" outlineLevel="1" collapsed="false">
      <c r="A70" s="27"/>
      <c r="B70" s="27" t="s">
        <v>2335</v>
      </c>
      <c r="C70" s="7" t="s">
        <v>2364</v>
      </c>
      <c r="D70" s="27" t="s">
        <v>816</v>
      </c>
      <c r="E70" s="50" t="n">
        <v>4</v>
      </c>
      <c r="F70" s="50" t="n">
        <v>4</v>
      </c>
      <c r="G70" s="27" t="s">
        <v>767</v>
      </c>
      <c r="H70" s="50" t="n">
        <f aca="false">F70</f>
        <v>4</v>
      </c>
      <c r="I70" s="51" t="n">
        <v>450</v>
      </c>
      <c r="J70" s="28" t="n">
        <f aca="false">H70*I70</f>
        <v>1800</v>
      </c>
      <c r="K70" s="53" t="s">
        <v>551</v>
      </c>
      <c r="L70" s="7" t="s">
        <v>2317</v>
      </c>
      <c r="M70" s="7"/>
    </row>
    <row r="71" customFormat="false" ht="26.85" hidden="false" customHeight="false" outlineLevel="1" collapsed="false">
      <c r="A71" s="27"/>
      <c r="B71" s="27" t="s">
        <v>2335</v>
      </c>
      <c r="C71" s="7" t="s">
        <v>2365</v>
      </c>
      <c r="D71" s="27" t="s">
        <v>727</v>
      </c>
      <c r="E71" s="50" t="n">
        <v>1</v>
      </c>
      <c r="F71" s="50" t="n">
        <v>1</v>
      </c>
      <c r="G71" s="27" t="s">
        <v>767</v>
      </c>
      <c r="H71" s="50" t="n">
        <f aca="false">F71</f>
        <v>1</v>
      </c>
      <c r="I71" s="51" t="n">
        <v>6000</v>
      </c>
      <c r="J71" s="28" t="n">
        <f aca="false">H71*I71</f>
        <v>6000</v>
      </c>
      <c r="K71" s="53" t="s">
        <v>551</v>
      </c>
      <c r="L71" s="7" t="s">
        <v>2366</v>
      </c>
      <c r="M71" s="7"/>
    </row>
    <row r="72" customFormat="false" ht="15" hidden="false" customHeight="false" outlineLevel="0" collapsed="false">
      <c r="A72" s="48" t="s">
        <v>402</v>
      </c>
      <c r="B72" s="48" t="s">
        <v>2367</v>
      </c>
      <c r="C72" s="48" t="s">
        <v>403</v>
      </c>
      <c r="D72" s="48"/>
      <c r="E72" s="48"/>
      <c r="F72" s="48"/>
      <c r="G72" s="48"/>
      <c r="H72" s="48" t="s">
        <v>765</v>
      </c>
      <c r="I72" s="49" t="n">
        <f aca="false">SUMPRODUCT(E73:E104,I73:I104)</f>
        <v>357572.23</v>
      </c>
      <c r="J72" s="49" t="n">
        <f aca="false">SUM(J73:J104)</f>
        <v>334175.084055944</v>
      </c>
      <c r="K72" s="48"/>
      <c r="L72" s="48"/>
      <c r="M72" s="48"/>
    </row>
    <row r="73" customFormat="false" ht="39.55" hidden="false" customHeight="false" outlineLevel="1" collapsed="false">
      <c r="A73" s="27"/>
      <c r="B73" s="27" t="s">
        <v>2367</v>
      </c>
      <c r="C73" s="7" t="s">
        <v>2368</v>
      </c>
      <c r="D73" s="27" t="s">
        <v>727</v>
      </c>
      <c r="E73" s="50" t="n">
        <v>17</v>
      </c>
      <c r="F73" s="50" t="n">
        <v>17</v>
      </c>
      <c r="G73" s="27" t="s">
        <v>829</v>
      </c>
      <c r="H73" s="50" t="n">
        <f aca="false">F73/IF(Varsayimlar!$B$21=1,1.3,1)</f>
        <v>13.0769230769231</v>
      </c>
      <c r="I73" s="51" t="n">
        <v>909</v>
      </c>
      <c r="J73" s="28" t="n">
        <f aca="false">H73*I73</f>
        <v>11886.9230769231</v>
      </c>
      <c r="K73" s="52" t="s">
        <v>548</v>
      </c>
      <c r="L73" s="7" t="s">
        <v>2369</v>
      </c>
      <c r="M73" s="7" t="s">
        <v>2370</v>
      </c>
    </row>
    <row r="74" customFormat="false" ht="39.55" hidden="false" customHeight="false" outlineLevel="1" collapsed="false">
      <c r="A74" s="27"/>
      <c r="B74" s="27" t="s">
        <v>2367</v>
      </c>
      <c r="C74" s="7" t="s">
        <v>2371</v>
      </c>
      <c r="D74" s="27" t="s">
        <v>727</v>
      </c>
      <c r="E74" s="50" t="n">
        <v>12</v>
      </c>
      <c r="F74" s="50" t="n">
        <v>12</v>
      </c>
      <c r="G74" s="27" t="s">
        <v>829</v>
      </c>
      <c r="H74" s="50" t="n">
        <f aca="false">F74/IF(Varsayimlar!$B$21=1,1.3,1)</f>
        <v>9.23076923076923</v>
      </c>
      <c r="I74" s="51" t="n">
        <v>1004</v>
      </c>
      <c r="J74" s="28" t="n">
        <f aca="false">H74*I74</f>
        <v>9267.69230769231</v>
      </c>
      <c r="K74" s="52" t="s">
        <v>548</v>
      </c>
      <c r="L74" s="7" t="s">
        <v>2372</v>
      </c>
      <c r="M74" s="7" t="s">
        <v>2373</v>
      </c>
    </row>
    <row r="75" customFormat="false" ht="39.55" hidden="false" customHeight="false" outlineLevel="1" collapsed="false">
      <c r="A75" s="27"/>
      <c r="B75" s="27" t="s">
        <v>2367</v>
      </c>
      <c r="C75" s="7" t="s">
        <v>2374</v>
      </c>
      <c r="D75" s="27" t="s">
        <v>727</v>
      </c>
      <c r="E75" s="50" t="n">
        <v>15</v>
      </c>
      <c r="F75" s="50" t="n">
        <v>15</v>
      </c>
      <c r="G75" s="27" t="s">
        <v>829</v>
      </c>
      <c r="H75" s="50" t="n">
        <f aca="false">F75/IF(Varsayimlar!$B$21=1,1.3,1)</f>
        <v>11.5384615384615</v>
      </c>
      <c r="I75" s="51" t="n">
        <v>1278.29</v>
      </c>
      <c r="J75" s="28" t="n">
        <f aca="false">H75*I75</f>
        <v>14749.5</v>
      </c>
      <c r="K75" s="52" t="s">
        <v>548</v>
      </c>
      <c r="L75" s="7" t="s">
        <v>2375</v>
      </c>
      <c r="M75" s="7"/>
    </row>
    <row r="76" customFormat="false" ht="64.9" hidden="false" customHeight="false" outlineLevel="1" collapsed="false">
      <c r="A76" s="27"/>
      <c r="B76" s="27" t="s">
        <v>2367</v>
      </c>
      <c r="C76" s="7" t="s">
        <v>2376</v>
      </c>
      <c r="D76" s="27" t="s">
        <v>727</v>
      </c>
      <c r="E76" s="50" t="n">
        <v>8</v>
      </c>
      <c r="F76" s="50" t="n">
        <v>8</v>
      </c>
      <c r="G76" s="27" t="s">
        <v>829</v>
      </c>
      <c r="H76" s="50" t="n">
        <f aca="false">F76/IF(Varsayimlar!$B$21=1,1.3,1)</f>
        <v>6.15384615384615</v>
      </c>
      <c r="I76" s="51" t="n">
        <v>846.67</v>
      </c>
      <c r="J76" s="28" t="n">
        <f aca="false">H76*I76</f>
        <v>5210.27692307692</v>
      </c>
      <c r="K76" s="52" t="s">
        <v>548</v>
      </c>
      <c r="L76" s="7" t="s">
        <v>2377</v>
      </c>
      <c r="M76" s="7" t="s">
        <v>2378</v>
      </c>
    </row>
    <row r="77" customFormat="false" ht="90.25" hidden="false" customHeight="false" outlineLevel="1" collapsed="false">
      <c r="A77" s="27"/>
      <c r="B77" s="27" t="s">
        <v>2367</v>
      </c>
      <c r="C77" s="7" t="s">
        <v>2379</v>
      </c>
      <c r="D77" s="27" t="s">
        <v>727</v>
      </c>
      <c r="E77" s="50" t="n">
        <v>3</v>
      </c>
      <c r="F77" s="50" t="n">
        <v>3</v>
      </c>
      <c r="G77" s="27" t="s">
        <v>829</v>
      </c>
      <c r="H77" s="50" t="n">
        <f aca="false">F77/IF(Varsayimlar!$B$21=1,1.3,1)</f>
        <v>2.30769230769231</v>
      </c>
      <c r="I77" s="51" t="n">
        <v>1274.37</v>
      </c>
      <c r="J77" s="28" t="n">
        <f aca="false">H77*I77</f>
        <v>2940.85384615385</v>
      </c>
      <c r="K77" s="52" t="s">
        <v>548</v>
      </c>
      <c r="L77" s="7" t="s">
        <v>2380</v>
      </c>
      <c r="M77" s="7"/>
    </row>
    <row r="78" customFormat="false" ht="39.55" hidden="false" customHeight="false" outlineLevel="1" collapsed="false">
      <c r="A78" s="27"/>
      <c r="B78" s="27" t="s">
        <v>2367</v>
      </c>
      <c r="C78" s="7" t="s">
        <v>2381</v>
      </c>
      <c r="D78" s="27" t="s">
        <v>727</v>
      </c>
      <c r="E78" s="50" t="n">
        <v>4</v>
      </c>
      <c r="F78" s="50" t="n">
        <v>4</v>
      </c>
      <c r="G78" s="27" t="s">
        <v>767</v>
      </c>
      <c r="H78" s="50" t="n">
        <f aca="false">F78</f>
        <v>4</v>
      </c>
      <c r="I78" s="51" t="n">
        <v>11455</v>
      </c>
      <c r="J78" s="28" t="n">
        <f aca="false">H78*I78</f>
        <v>45820</v>
      </c>
      <c r="K78" s="52" t="s">
        <v>548</v>
      </c>
      <c r="L78" s="7" t="s">
        <v>2382</v>
      </c>
      <c r="M78" s="7" t="s">
        <v>2383</v>
      </c>
    </row>
    <row r="79" customFormat="false" ht="52.2" hidden="false" customHeight="false" outlineLevel="1" collapsed="false">
      <c r="A79" s="27"/>
      <c r="B79" s="27" t="s">
        <v>2367</v>
      </c>
      <c r="C79" s="7" t="s">
        <v>2384</v>
      </c>
      <c r="D79" s="27" t="s">
        <v>727</v>
      </c>
      <c r="E79" s="50" t="n">
        <v>4</v>
      </c>
      <c r="F79" s="50" t="n">
        <v>4</v>
      </c>
      <c r="G79" s="27" t="s">
        <v>767</v>
      </c>
      <c r="H79" s="50" t="n">
        <f aca="false">F79</f>
        <v>4</v>
      </c>
      <c r="I79" s="51" t="n">
        <v>12391</v>
      </c>
      <c r="J79" s="28" t="n">
        <f aca="false">H79*I79</f>
        <v>49564</v>
      </c>
      <c r="K79" s="52" t="s">
        <v>548</v>
      </c>
      <c r="L79" s="7" t="s">
        <v>2385</v>
      </c>
      <c r="M79" s="7" t="s">
        <v>2386</v>
      </c>
    </row>
    <row r="80" customFormat="false" ht="52.2" hidden="false" customHeight="false" outlineLevel="1" collapsed="false">
      <c r="A80" s="27"/>
      <c r="B80" s="27" t="s">
        <v>2367</v>
      </c>
      <c r="C80" s="7" t="s">
        <v>2387</v>
      </c>
      <c r="D80" s="27" t="s">
        <v>727</v>
      </c>
      <c r="E80" s="50" t="n">
        <v>12</v>
      </c>
      <c r="F80" s="50" t="n">
        <v>12</v>
      </c>
      <c r="G80" s="27" t="s">
        <v>767</v>
      </c>
      <c r="H80" s="50" t="n">
        <f aca="false">F80</f>
        <v>12</v>
      </c>
      <c r="I80" s="51" t="n">
        <v>781</v>
      </c>
      <c r="J80" s="28" t="n">
        <f aca="false">H80*I80</f>
        <v>9372</v>
      </c>
      <c r="K80" s="52" t="s">
        <v>548</v>
      </c>
      <c r="L80" s="7" t="s">
        <v>2388</v>
      </c>
      <c r="M80" s="7" t="s">
        <v>2389</v>
      </c>
    </row>
    <row r="81" customFormat="false" ht="39.55" hidden="false" customHeight="false" outlineLevel="1" collapsed="false">
      <c r="A81" s="27"/>
      <c r="B81" s="27" t="s">
        <v>2367</v>
      </c>
      <c r="C81" s="7" t="s">
        <v>2390</v>
      </c>
      <c r="D81" s="27" t="s">
        <v>727</v>
      </c>
      <c r="E81" s="50" t="n">
        <v>73</v>
      </c>
      <c r="F81" s="50" t="n">
        <v>73</v>
      </c>
      <c r="G81" s="27" t="s">
        <v>767</v>
      </c>
      <c r="H81" s="50" t="n">
        <f aca="false">F81</f>
        <v>73</v>
      </c>
      <c r="I81" s="51" t="n">
        <v>350</v>
      </c>
      <c r="J81" s="28" t="n">
        <f aca="false">H81*I81</f>
        <v>25550</v>
      </c>
      <c r="K81" s="53" t="s">
        <v>551</v>
      </c>
      <c r="L81" s="7" t="s">
        <v>2391</v>
      </c>
      <c r="M81" s="7"/>
    </row>
    <row r="82" customFormat="false" ht="39.55" hidden="false" customHeight="false" outlineLevel="1" collapsed="false">
      <c r="A82" s="27"/>
      <c r="B82" s="27" t="s">
        <v>2367</v>
      </c>
      <c r="C82" s="7" t="s">
        <v>2392</v>
      </c>
      <c r="D82" s="27" t="s">
        <v>727</v>
      </c>
      <c r="E82" s="50" t="n">
        <v>3</v>
      </c>
      <c r="F82" s="50" t="n">
        <v>3</v>
      </c>
      <c r="G82" s="27" t="s">
        <v>767</v>
      </c>
      <c r="H82" s="50" t="n">
        <f aca="false">F82</f>
        <v>3</v>
      </c>
      <c r="I82" s="51" t="n">
        <v>162.47</v>
      </c>
      <c r="J82" s="28" t="n">
        <f aca="false">H82*I82</f>
        <v>487.41</v>
      </c>
      <c r="K82" s="52" t="s">
        <v>548</v>
      </c>
      <c r="L82" s="7" t="s">
        <v>2393</v>
      </c>
      <c r="M82" s="7"/>
    </row>
    <row r="83" customFormat="false" ht="64.9" hidden="false" customHeight="false" outlineLevel="1" collapsed="false">
      <c r="A83" s="27"/>
      <c r="B83" s="27" t="s">
        <v>2367</v>
      </c>
      <c r="C83" s="7" t="s">
        <v>2394</v>
      </c>
      <c r="D83" s="27" t="s">
        <v>727</v>
      </c>
      <c r="E83" s="50" t="n">
        <v>2</v>
      </c>
      <c r="F83" s="50" t="n">
        <v>2</v>
      </c>
      <c r="G83" s="27" t="s">
        <v>767</v>
      </c>
      <c r="H83" s="50" t="n">
        <f aca="false">F83</f>
        <v>2</v>
      </c>
      <c r="I83" s="51" t="n">
        <v>269.31</v>
      </c>
      <c r="J83" s="28" t="n">
        <f aca="false">H83*I83</f>
        <v>538.62</v>
      </c>
      <c r="K83" s="52" t="s">
        <v>548</v>
      </c>
      <c r="L83" s="7" t="s">
        <v>2395</v>
      </c>
      <c r="M83" s="7" t="s">
        <v>2396</v>
      </c>
    </row>
    <row r="84" customFormat="false" ht="64.9" hidden="false" customHeight="false" outlineLevel="1" collapsed="false">
      <c r="A84" s="27"/>
      <c r="B84" s="27" t="s">
        <v>2367</v>
      </c>
      <c r="C84" s="7" t="s">
        <v>2397</v>
      </c>
      <c r="D84" s="27" t="s">
        <v>853</v>
      </c>
      <c r="E84" s="50" t="n">
        <v>341</v>
      </c>
      <c r="F84" s="50" t="n">
        <v>341</v>
      </c>
      <c r="G84" s="27" t="s">
        <v>865</v>
      </c>
      <c r="H84" s="50" t="n">
        <f aca="false">F84/IF(Varsayimlar!$B$21=1,1.43,1)</f>
        <v>238.461538461538</v>
      </c>
      <c r="I84" s="51" t="n">
        <v>37.2</v>
      </c>
      <c r="J84" s="28" t="n">
        <f aca="false">H84*I84</f>
        <v>8870.76923076923</v>
      </c>
      <c r="K84" s="52" t="s">
        <v>548</v>
      </c>
      <c r="L84" s="7" t="s">
        <v>2398</v>
      </c>
      <c r="M84" s="7" t="s">
        <v>2399</v>
      </c>
    </row>
    <row r="85" customFormat="false" ht="102.95" hidden="false" customHeight="false" outlineLevel="1" collapsed="false">
      <c r="A85" s="27"/>
      <c r="B85" s="27" t="s">
        <v>2367</v>
      </c>
      <c r="C85" s="7" t="s">
        <v>2400</v>
      </c>
      <c r="D85" s="27" t="s">
        <v>853</v>
      </c>
      <c r="E85" s="50" t="n">
        <v>104</v>
      </c>
      <c r="F85" s="50" t="n">
        <v>104</v>
      </c>
      <c r="G85" s="27" t="s">
        <v>865</v>
      </c>
      <c r="H85" s="50" t="n">
        <f aca="false">F85/IF(Varsayimlar!$B$21=1,1.43,1)</f>
        <v>72.7272727272727</v>
      </c>
      <c r="I85" s="51" t="n">
        <v>32.97</v>
      </c>
      <c r="J85" s="28" t="n">
        <f aca="false">H85*I85</f>
        <v>2397.81818181818</v>
      </c>
      <c r="K85" s="52" t="s">
        <v>548</v>
      </c>
      <c r="L85" s="7" t="s">
        <v>2401</v>
      </c>
      <c r="M85" s="7" t="s">
        <v>2312</v>
      </c>
    </row>
    <row r="86" customFormat="false" ht="64.9" hidden="false" customHeight="false" outlineLevel="1" collapsed="false">
      <c r="A86" s="27"/>
      <c r="B86" s="27" t="s">
        <v>2367</v>
      </c>
      <c r="C86" s="7" t="s">
        <v>2402</v>
      </c>
      <c r="D86" s="27" t="s">
        <v>727</v>
      </c>
      <c r="E86" s="50" t="n">
        <v>45</v>
      </c>
      <c r="F86" s="50" t="n">
        <v>45</v>
      </c>
      <c r="G86" s="27" t="s">
        <v>767</v>
      </c>
      <c r="H86" s="50" t="n">
        <f aca="false">F86</f>
        <v>45</v>
      </c>
      <c r="I86" s="51" t="n">
        <v>100</v>
      </c>
      <c r="J86" s="28" t="n">
        <f aca="false">H86*I86</f>
        <v>4500</v>
      </c>
      <c r="K86" s="52" t="s">
        <v>548</v>
      </c>
      <c r="L86" s="7" t="s">
        <v>2403</v>
      </c>
      <c r="M86" s="7" t="s">
        <v>2404</v>
      </c>
    </row>
    <row r="87" customFormat="false" ht="141" hidden="false" customHeight="false" outlineLevel="1" collapsed="false">
      <c r="A87" s="27"/>
      <c r="B87" s="27" t="s">
        <v>2367</v>
      </c>
      <c r="C87" s="7" t="s">
        <v>2405</v>
      </c>
      <c r="D87" s="27" t="s">
        <v>853</v>
      </c>
      <c r="E87" s="50" t="n">
        <v>316</v>
      </c>
      <c r="F87" s="50" t="n">
        <v>316</v>
      </c>
      <c r="G87" s="27" t="s">
        <v>865</v>
      </c>
      <c r="H87" s="50" t="n">
        <f aca="false">F87/IF(Varsayimlar!$B$21=1,1.43,1)</f>
        <v>220.979020979021</v>
      </c>
      <c r="I87" s="51" t="n">
        <v>4.47</v>
      </c>
      <c r="J87" s="28" t="n">
        <f aca="false">H87*I87</f>
        <v>987.776223776224</v>
      </c>
      <c r="K87" s="52" t="s">
        <v>548</v>
      </c>
      <c r="L87" s="7" t="s">
        <v>2406</v>
      </c>
      <c r="M87" s="7" t="s">
        <v>2363</v>
      </c>
    </row>
    <row r="88" customFormat="false" ht="39.55" hidden="false" customHeight="false" outlineLevel="1" collapsed="false">
      <c r="A88" s="27"/>
      <c r="B88" s="27" t="s">
        <v>2367</v>
      </c>
      <c r="C88" s="7" t="s">
        <v>2407</v>
      </c>
      <c r="D88" s="27" t="s">
        <v>727</v>
      </c>
      <c r="E88" s="50" t="n">
        <v>42</v>
      </c>
      <c r="F88" s="50" t="n">
        <v>42</v>
      </c>
      <c r="G88" s="27" t="s">
        <v>829</v>
      </c>
      <c r="H88" s="50" t="n">
        <f aca="false">F88/IF(Varsayimlar!$B$21=1,1.3,1)</f>
        <v>32.3076923076923</v>
      </c>
      <c r="I88" s="51" t="n">
        <v>220</v>
      </c>
      <c r="J88" s="28" t="n">
        <f aca="false">H88*I88</f>
        <v>7107.69230769231</v>
      </c>
      <c r="K88" s="52" t="s">
        <v>548</v>
      </c>
      <c r="L88" s="7" t="s">
        <v>2408</v>
      </c>
      <c r="M88" s="7" t="s">
        <v>2409</v>
      </c>
    </row>
    <row r="89" customFormat="false" ht="128.35" hidden="false" customHeight="false" outlineLevel="1" collapsed="false">
      <c r="A89" s="27"/>
      <c r="B89" s="27" t="s">
        <v>2367</v>
      </c>
      <c r="C89" s="7" t="s">
        <v>2410</v>
      </c>
      <c r="D89" s="27" t="s">
        <v>2355</v>
      </c>
      <c r="E89" s="50" t="n">
        <v>43</v>
      </c>
      <c r="F89" s="50" t="n">
        <v>43</v>
      </c>
      <c r="G89" s="27" t="s">
        <v>829</v>
      </c>
      <c r="H89" s="50" t="n">
        <f aca="false">F89/IF(Varsayimlar!$B$21=1,1.3,1)</f>
        <v>33.0769230769231</v>
      </c>
      <c r="I89" s="51" t="n">
        <v>40.36</v>
      </c>
      <c r="J89" s="28" t="n">
        <f aca="false">H89*I89</f>
        <v>1334.98461538462</v>
      </c>
      <c r="K89" s="52" t="s">
        <v>548</v>
      </c>
      <c r="L89" s="7" t="s">
        <v>2411</v>
      </c>
      <c r="M89" s="7" t="s">
        <v>2412</v>
      </c>
    </row>
    <row r="90" customFormat="false" ht="26.85" hidden="false" customHeight="false" outlineLevel="1" collapsed="false">
      <c r="A90" s="27"/>
      <c r="B90" s="27" t="s">
        <v>2367</v>
      </c>
      <c r="C90" s="7" t="s">
        <v>2413</v>
      </c>
      <c r="D90" s="27" t="s">
        <v>2353</v>
      </c>
      <c r="E90" s="50" t="n">
        <v>60</v>
      </c>
      <c r="F90" s="50" t="n">
        <v>60</v>
      </c>
      <c r="G90" s="27" t="s">
        <v>767</v>
      </c>
      <c r="H90" s="50" t="n">
        <f aca="false">F90</f>
        <v>60</v>
      </c>
      <c r="I90" s="51" t="n">
        <v>25</v>
      </c>
      <c r="J90" s="28" t="n">
        <f aca="false">H90*I90</f>
        <v>1500</v>
      </c>
      <c r="K90" s="53" t="s">
        <v>551</v>
      </c>
      <c r="L90" s="7" t="s">
        <v>2317</v>
      </c>
      <c r="M90" s="7"/>
    </row>
    <row r="91" customFormat="false" ht="26.85" hidden="false" customHeight="false" outlineLevel="1" collapsed="false">
      <c r="A91" s="27"/>
      <c r="B91" s="27" t="s">
        <v>2367</v>
      </c>
      <c r="C91" s="7" t="s">
        <v>2414</v>
      </c>
      <c r="D91" s="27" t="s">
        <v>816</v>
      </c>
      <c r="E91" s="50" t="n">
        <v>8</v>
      </c>
      <c r="F91" s="50" t="n">
        <v>8</v>
      </c>
      <c r="G91" s="27" t="s">
        <v>767</v>
      </c>
      <c r="H91" s="50" t="n">
        <f aca="false">F91</f>
        <v>8</v>
      </c>
      <c r="I91" s="51" t="n">
        <v>450</v>
      </c>
      <c r="J91" s="28" t="n">
        <f aca="false">H91*I91</f>
        <v>3600</v>
      </c>
      <c r="K91" s="53" t="s">
        <v>551</v>
      </c>
      <c r="L91" s="7" t="s">
        <v>2317</v>
      </c>
      <c r="M91" s="7"/>
    </row>
    <row r="92" customFormat="false" ht="52.2" hidden="false" customHeight="false" outlineLevel="1" collapsed="false">
      <c r="A92" s="27"/>
      <c r="B92" s="27" t="s">
        <v>2367</v>
      </c>
      <c r="C92" s="7" t="s">
        <v>2415</v>
      </c>
      <c r="D92" s="27" t="s">
        <v>727</v>
      </c>
      <c r="E92" s="50" t="n">
        <v>7</v>
      </c>
      <c r="F92" s="50" t="n">
        <v>7</v>
      </c>
      <c r="G92" s="27" t="s">
        <v>767</v>
      </c>
      <c r="H92" s="50" t="n">
        <f aca="false">F92</f>
        <v>7</v>
      </c>
      <c r="I92" s="51" t="n">
        <v>781</v>
      </c>
      <c r="J92" s="28" t="n">
        <f aca="false">H92*I92</f>
        <v>5467</v>
      </c>
      <c r="K92" s="52" t="s">
        <v>548</v>
      </c>
      <c r="L92" s="7" t="s">
        <v>2388</v>
      </c>
      <c r="M92" s="7" t="s">
        <v>2416</v>
      </c>
    </row>
    <row r="93" customFormat="false" ht="26.85" hidden="false" customHeight="false" outlineLevel="1" collapsed="false">
      <c r="A93" s="27"/>
      <c r="B93" s="27" t="s">
        <v>2367</v>
      </c>
      <c r="C93" s="7" t="s">
        <v>2417</v>
      </c>
      <c r="D93" s="27" t="s">
        <v>727</v>
      </c>
      <c r="E93" s="50" t="n">
        <v>6</v>
      </c>
      <c r="F93" s="50" t="n">
        <v>6</v>
      </c>
      <c r="G93" s="27" t="s">
        <v>767</v>
      </c>
      <c r="H93" s="50" t="n">
        <f aca="false">F93</f>
        <v>6</v>
      </c>
      <c r="I93" s="51" t="n">
        <v>350</v>
      </c>
      <c r="J93" s="28" t="n">
        <f aca="false">H93*I93</f>
        <v>2100</v>
      </c>
      <c r="K93" s="53" t="s">
        <v>551</v>
      </c>
      <c r="L93" s="7" t="s">
        <v>2418</v>
      </c>
      <c r="M93" s="7"/>
    </row>
    <row r="94" customFormat="false" ht="115.65" hidden="false" customHeight="false" outlineLevel="1" collapsed="false">
      <c r="A94" s="27"/>
      <c r="B94" s="27" t="s">
        <v>2367</v>
      </c>
      <c r="C94" s="7" t="s">
        <v>2419</v>
      </c>
      <c r="D94" s="27" t="s">
        <v>853</v>
      </c>
      <c r="E94" s="50" t="n">
        <v>63</v>
      </c>
      <c r="F94" s="50" t="n">
        <v>63</v>
      </c>
      <c r="G94" s="27" t="s">
        <v>865</v>
      </c>
      <c r="H94" s="50" t="n">
        <f aca="false">F94/IF(Varsayimlar!$B$21=1,1.43,1)</f>
        <v>44.0559440559441</v>
      </c>
      <c r="I94" s="51" t="n">
        <v>29.62</v>
      </c>
      <c r="J94" s="28" t="n">
        <f aca="false">H94*I94</f>
        <v>1304.93706293706</v>
      </c>
      <c r="K94" s="52" t="s">
        <v>548</v>
      </c>
      <c r="L94" s="7" t="s">
        <v>2420</v>
      </c>
      <c r="M94" s="7" t="s">
        <v>2421</v>
      </c>
    </row>
    <row r="95" customFormat="false" ht="52.2" hidden="false" customHeight="false" outlineLevel="1" collapsed="false">
      <c r="A95" s="27"/>
      <c r="B95" s="27" t="s">
        <v>2367</v>
      </c>
      <c r="C95" s="7" t="s">
        <v>2422</v>
      </c>
      <c r="D95" s="27" t="s">
        <v>853</v>
      </c>
      <c r="E95" s="50" t="n">
        <v>19</v>
      </c>
      <c r="F95" s="50" t="n">
        <v>19</v>
      </c>
      <c r="G95" s="27" t="s">
        <v>889</v>
      </c>
      <c r="H95" s="50" t="n">
        <f aca="false">F95/IF(Varsayimlar!$B$21=1,1.1,1)</f>
        <v>17.2727272727273</v>
      </c>
      <c r="I95" s="51" t="n">
        <v>2.78</v>
      </c>
      <c r="J95" s="28" t="n">
        <f aca="false">H95*I95</f>
        <v>48.0181818181818</v>
      </c>
      <c r="K95" s="52" t="s">
        <v>548</v>
      </c>
      <c r="L95" s="7" t="s">
        <v>2423</v>
      </c>
      <c r="M95" s="7" t="s">
        <v>2424</v>
      </c>
    </row>
    <row r="96" customFormat="false" ht="52.2" hidden="false" customHeight="false" outlineLevel="1" collapsed="false">
      <c r="A96" s="27"/>
      <c r="B96" s="27" t="s">
        <v>2367</v>
      </c>
      <c r="C96" s="7" t="s">
        <v>2425</v>
      </c>
      <c r="D96" s="27" t="s">
        <v>727</v>
      </c>
      <c r="E96" s="50" t="n">
        <v>3</v>
      </c>
      <c r="F96" s="50" t="n">
        <v>3</v>
      </c>
      <c r="G96" s="27" t="s">
        <v>767</v>
      </c>
      <c r="H96" s="50" t="n">
        <f aca="false">F96</f>
        <v>3</v>
      </c>
      <c r="I96" s="51" t="n">
        <v>695.81</v>
      </c>
      <c r="J96" s="28" t="n">
        <f aca="false">H96*I96</f>
        <v>2087.43</v>
      </c>
      <c r="K96" s="52" t="s">
        <v>548</v>
      </c>
      <c r="L96" s="7" t="s">
        <v>2426</v>
      </c>
      <c r="M96" s="7" t="s">
        <v>2122</v>
      </c>
    </row>
    <row r="97" customFormat="false" ht="102.95" hidden="false" customHeight="false" outlineLevel="1" collapsed="false">
      <c r="A97" s="27"/>
      <c r="B97" s="27" t="s">
        <v>2367</v>
      </c>
      <c r="C97" s="7" t="s">
        <v>2427</v>
      </c>
      <c r="D97" s="27" t="s">
        <v>853</v>
      </c>
      <c r="E97" s="50" t="n">
        <v>21</v>
      </c>
      <c r="F97" s="50" t="n">
        <v>21</v>
      </c>
      <c r="G97" s="27" t="s">
        <v>865</v>
      </c>
      <c r="H97" s="50" t="n">
        <f aca="false">F97/IF(Varsayimlar!$B$21=1,1.43,1)</f>
        <v>14.6853146853147</v>
      </c>
      <c r="I97" s="51" t="n">
        <v>32.4</v>
      </c>
      <c r="J97" s="28" t="n">
        <f aca="false">H97*I97</f>
        <v>475.804195804196</v>
      </c>
      <c r="K97" s="52" t="s">
        <v>548</v>
      </c>
      <c r="L97" s="7" t="s">
        <v>2428</v>
      </c>
      <c r="M97" s="7" t="s">
        <v>2429</v>
      </c>
    </row>
    <row r="98" customFormat="false" ht="39.55" hidden="false" customHeight="false" outlineLevel="1" collapsed="false">
      <c r="A98" s="27"/>
      <c r="B98" s="27" t="s">
        <v>2367</v>
      </c>
      <c r="C98" s="7" t="s">
        <v>2430</v>
      </c>
      <c r="D98" s="27" t="s">
        <v>727</v>
      </c>
      <c r="E98" s="50" t="n">
        <v>16</v>
      </c>
      <c r="F98" s="50" t="n">
        <v>16</v>
      </c>
      <c r="G98" s="27" t="s">
        <v>767</v>
      </c>
      <c r="H98" s="50" t="n">
        <f aca="false">F98</f>
        <v>16</v>
      </c>
      <c r="I98" s="51" t="n">
        <v>1779</v>
      </c>
      <c r="J98" s="28" t="n">
        <f aca="false">H98*I98</f>
        <v>28464</v>
      </c>
      <c r="K98" s="52" t="s">
        <v>548</v>
      </c>
      <c r="L98" s="7" t="s">
        <v>2339</v>
      </c>
      <c r="M98" s="7" t="s">
        <v>2431</v>
      </c>
    </row>
    <row r="99" customFormat="false" ht="52.2" hidden="false" customHeight="false" outlineLevel="1" collapsed="false">
      <c r="A99" s="27"/>
      <c r="B99" s="27" t="s">
        <v>2367</v>
      </c>
      <c r="C99" s="7" t="s">
        <v>2432</v>
      </c>
      <c r="D99" s="27" t="s">
        <v>727</v>
      </c>
      <c r="E99" s="50" t="n">
        <v>2</v>
      </c>
      <c r="F99" s="50" t="n">
        <v>2</v>
      </c>
      <c r="G99" s="27" t="s">
        <v>767</v>
      </c>
      <c r="H99" s="50" t="n">
        <f aca="false">F99</f>
        <v>2</v>
      </c>
      <c r="I99" s="51" t="n">
        <v>31348.95</v>
      </c>
      <c r="J99" s="28" t="n">
        <f aca="false">H99*I99</f>
        <v>62697.9</v>
      </c>
      <c r="K99" s="52" t="s">
        <v>548</v>
      </c>
      <c r="L99" s="7" t="s">
        <v>2433</v>
      </c>
      <c r="M99" s="7"/>
    </row>
    <row r="100" customFormat="false" ht="102.95" hidden="false" customHeight="false" outlineLevel="1" collapsed="false">
      <c r="A100" s="27"/>
      <c r="B100" s="27" t="s">
        <v>2367</v>
      </c>
      <c r="C100" s="7" t="s">
        <v>2434</v>
      </c>
      <c r="D100" s="27" t="s">
        <v>853</v>
      </c>
      <c r="E100" s="50" t="n">
        <v>102</v>
      </c>
      <c r="F100" s="50" t="n">
        <v>102</v>
      </c>
      <c r="G100" s="27" t="s">
        <v>865</v>
      </c>
      <c r="H100" s="50" t="n">
        <f aca="false">F100/IF(Varsayimlar!$B$21=1,1.43,1)</f>
        <v>71.3286713286713</v>
      </c>
      <c r="I100" s="51" t="n">
        <v>45.97</v>
      </c>
      <c r="J100" s="28" t="n">
        <f aca="false">H100*I100</f>
        <v>3278.97902097902</v>
      </c>
      <c r="K100" s="52" t="s">
        <v>548</v>
      </c>
      <c r="L100" s="7" t="s">
        <v>2435</v>
      </c>
      <c r="M100" s="7" t="s">
        <v>2436</v>
      </c>
    </row>
    <row r="101" customFormat="false" ht="128.35" hidden="false" customHeight="false" outlineLevel="1" collapsed="false">
      <c r="A101" s="27"/>
      <c r="B101" s="27" t="s">
        <v>2367</v>
      </c>
      <c r="C101" s="7" t="s">
        <v>2437</v>
      </c>
      <c r="D101" s="27" t="s">
        <v>727</v>
      </c>
      <c r="E101" s="50" t="n">
        <v>8</v>
      </c>
      <c r="F101" s="50" t="n">
        <v>8</v>
      </c>
      <c r="G101" s="27" t="s">
        <v>829</v>
      </c>
      <c r="H101" s="50" t="n">
        <f aca="false">F101/IF(Varsayimlar!$B$21=1,1.3,1)</f>
        <v>6.15384615384615</v>
      </c>
      <c r="I101" s="51" t="n">
        <v>92.73</v>
      </c>
      <c r="J101" s="28" t="n">
        <f aca="false">H101*I101</f>
        <v>570.646153846154</v>
      </c>
      <c r="K101" s="52" t="s">
        <v>548</v>
      </c>
      <c r="L101" s="7" t="s">
        <v>2438</v>
      </c>
      <c r="M101" s="7" t="s">
        <v>2439</v>
      </c>
    </row>
    <row r="102" customFormat="false" ht="128.35" hidden="false" customHeight="false" outlineLevel="1" collapsed="false">
      <c r="A102" s="27"/>
      <c r="B102" s="27" t="s">
        <v>2367</v>
      </c>
      <c r="C102" s="7" t="s">
        <v>2440</v>
      </c>
      <c r="D102" s="27" t="s">
        <v>2355</v>
      </c>
      <c r="E102" s="50" t="n">
        <v>43</v>
      </c>
      <c r="F102" s="50" t="n">
        <v>43</v>
      </c>
      <c r="G102" s="27" t="s">
        <v>767</v>
      </c>
      <c r="H102" s="50" t="n">
        <f aca="false">F102</f>
        <v>43</v>
      </c>
      <c r="I102" s="51" t="n">
        <v>40.36</v>
      </c>
      <c r="J102" s="28" t="n">
        <f aca="false">H102*I102</f>
        <v>1735.48</v>
      </c>
      <c r="K102" s="52" t="s">
        <v>548</v>
      </c>
      <c r="L102" s="7" t="s">
        <v>2441</v>
      </c>
      <c r="M102" s="7" t="s">
        <v>2442</v>
      </c>
    </row>
    <row r="103" customFormat="false" ht="115.65" hidden="false" customHeight="false" outlineLevel="1" collapsed="false">
      <c r="A103" s="27"/>
      <c r="B103" s="27" t="s">
        <v>2367</v>
      </c>
      <c r="C103" s="7" t="s">
        <v>2443</v>
      </c>
      <c r="D103" s="27" t="s">
        <v>853</v>
      </c>
      <c r="E103" s="50" t="n">
        <v>57</v>
      </c>
      <c r="F103" s="50" t="n">
        <v>57</v>
      </c>
      <c r="G103" s="27" t="s">
        <v>889</v>
      </c>
      <c r="H103" s="50" t="n">
        <f aca="false">F103/IF(Varsayimlar!$B$21=1,1.1,1)</f>
        <v>51.8181818181818</v>
      </c>
      <c r="I103" s="51" t="n">
        <v>4.99</v>
      </c>
      <c r="J103" s="28" t="n">
        <f aca="false">H103*I103</f>
        <v>258.572727272727</v>
      </c>
      <c r="K103" s="52" t="s">
        <v>548</v>
      </c>
      <c r="L103" s="7" t="s">
        <v>2444</v>
      </c>
      <c r="M103" s="7" t="s">
        <v>2445</v>
      </c>
    </row>
    <row r="104" customFormat="false" ht="26.85" hidden="false" customHeight="false" outlineLevel="1" collapsed="false">
      <c r="A104" s="27"/>
      <c r="B104" s="27" t="s">
        <v>2367</v>
      </c>
      <c r="C104" s="7" t="s">
        <v>2446</v>
      </c>
      <c r="D104" s="27" t="s">
        <v>727</v>
      </c>
      <c r="E104" s="50" t="n">
        <v>4</v>
      </c>
      <c r="F104" s="50" t="n">
        <v>4</v>
      </c>
      <c r="G104" s="27" t="s">
        <v>767</v>
      </c>
      <c r="H104" s="50" t="n">
        <f aca="false">F104</f>
        <v>4</v>
      </c>
      <c r="I104" s="51" t="n">
        <v>5000</v>
      </c>
      <c r="J104" s="28" t="n">
        <f aca="false">H104*I104</f>
        <v>20000</v>
      </c>
      <c r="K104" s="53" t="s">
        <v>551</v>
      </c>
      <c r="L104" s="7" t="s">
        <v>2447</v>
      </c>
      <c r="M104" s="7"/>
    </row>
    <row r="105" customFormat="false" ht="15" hidden="false" customHeight="false" outlineLevel="0" collapsed="false">
      <c r="A105" s="48" t="s">
        <v>404</v>
      </c>
      <c r="B105" s="48" t="s">
        <v>2448</v>
      </c>
      <c r="C105" s="48" t="s">
        <v>405</v>
      </c>
      <c r="D105" s="48"/>
      <c r="E105" s="48"/>
      <c r="F105" s="48"/>
      <c r="G105" s="48"/>
      <c r="H105" s="48" t="s">
        <v>765</v>
      </c>
      <c r="I105" s="49" t="n">
        <f aca="false">SUMPRODUCT(E106:E109,I106:I109)</f>
        <v>17393.2</v>
      </c>
      <c r="J105" s="49" t="n">
        <f aca="false">SUM(J106:J109)</f>
        <v>15177.8153846154</v>
      </c>
      <c r="K105" s="48"/>
      <c r="L105" s="48"/>
      <c r="M105" s="48"/>
    </row>
    <row r="106" customFormat="false" ht="115.65" hidden="false" customHeight="false" outlineLevel="1" collapsed="false">
      <c r="A106" s="27"/>
      <c r="B106" s="27" t="s">
        <v>2448</v>
      </c>
      <c r="C106" s="7" t="s">
        <v>2449</v>
      </c>
      <c r="D106" s="27" t="s">
        <v>727</v>
      </c>
      <c r="E106" s="50" t="n">
        <v>4</v>
      </c>
      <c r="F106" s="50" t="n">
        <v>4</v>
      </c>
      <c r="G106" s="27" t="s">
        <v>767</v>
      </c>
      <c r="H106" s="50" t="n">
        <f aca="false">F106</f>
        <v>4</v>
      </c>
      <c r="I106" s="51" t="n">
        <v>898.3</v>
      </c>
      <c r="J106" s="28" t="n">
        <f aca="false">H106*I106</f>
        <v>3593.2</v>
      </c>
      <c r="K106" s="52" t="s">
        <v>548</v>
      </c>
      <c r="L106" s="7" t="s">
        <v>2450</v>
      </c>
      <c r="M106" s="7" t="s">
        <v>2451</v>
      </c>
    </row>
    <row r="107" customFormat="false" ht="26.85" hidden="false" customHeight="false" outlineLevel="1" collapsed="false">
      <c r="A107" s="27"/>
      <c r="B107" s="27" t="s">
        <v>2448</v>
      </c>
      <c r="C107" s="7" t="s">
        <v>2452</v>
      </c>
      <c r="D107" s="27" t="s">
        <v>727</v>
      </c>
      <c r="E107" s="50" t="n">
        <v>4</v>
      </c>
      <c r="F107" s="50" t="n">
        <v>4</v>
      </c>
      <c r="G107" s="27" t="s">
        <v>767</v>
      </c>
      <c r="H107" s="50" t="n">
        <f aca="false">F107</f>
        <v>4</v>
      </c>
      <c r="I107" s="51" t="n">
        <v>650</v>
      </c>
      <c r="J107" s="28" t="n">
        <f aca="false">H107*I107</f>
        <v>2600</v>
      </c>
      <c r="K107" s="53" t="s">
        <v>551</v>
      </c>
      <c r="L107" s="7" t="s">
        <v>2453</v>
      </c>
      <c r="M107" s="7" t="s">
        <v>2454</v>
      </c>
    </row>
    <row r="108" customFormat="false" ht="26.85" hidden="false" customHeight="false" outlineLevel="1" collapsed="false">
      <c r="A108" s="27"/>
      <c r="B108" s="27" t="s">
        <v>2448</v>
      </c>
      <c r="C108" s="7" t="s">
        <v>2455</v>
      </c>
      <c r="D108" s="27" t="s">
        <v>816</v>
      </c>
      <c r="E108" s="50" t="n">
        <v>8</v>
      </c>
      <c r="F108" s="50" t="n">
        <v>8</v>
      </c>
      <c r="G108" s="27" t="s">
        <v>829</v>
      </c>
      <c r="H108" s="50" t="n">
        <f aca="false">F108/IF(Varsayimlar!$B$21=1,1.3,1)</f>
        <v>6.15384615384615</v>
      </c>
      <c r="I108" s="51" t="n">
        <v>1200</v>
      </c>
      <c r="J108" s="28" t="n">
        <f aca="false">H108*I108</f>
        <v>7384.61538461538</v>
      </c>
      <c r="K108" s="53" t="s">
        <v>551</v>
      </c>
      <c r="L108" s="7" t="s">
        <v>2447</v>
      </c>
      <c r="M108" s="7" t="s">
        <v>2456</v>
      </c>
    </row>
    <row r="109" customFormat="false" ht="26.85" hidden="false" customHeight="false" outlineLevel="1" collapsed="false">
      <c r="A109" s="27"/>
      <c r="B109" s="27" t="s">
        <v>2448</v>
      </c>
      <c r="C109" s="7" t="s">
        <v>2457</v>
      </c>
      <c r="D109" s="27" t="s">
        <v>727</v>
      </c>
      <c r="E109" s="50" t="n">
        <v>4</v>
      </c>
      <c r="F109" s="50" t="n">
        <v>4</v>
      </c>
      <c r="G109" s="27" t="s">
        <v>767</v>
      </c>
      <c r="H109" s="50" t="n">
        <f aca="false">F109</f>
        <v>4</v>
      </c>
      <c r="I109" s="51" t="n">
        <v>400</v>
      </c>
      <c r="J109" s="28" t="n">
        <f aca="false">H109*I109</f>
        <v>1600</v>
      </c>
      <c r="K109" s="53" t="s">
        <v>551</v>
      </c>
      <c r="L109" s="7" t="s">
        <v>2317</v>
      </c>
      <c r="M109" s="7" t="s">
        <v>2454</v>
      </c>
    </row>
    <row r="110" customFormat="false" ht="15" hidden="false" customHeight="false" outlineLevel="0" collapsed="false">
      <c r="A110" s="48" t="s">
        <v>406</v>
      </c>
      <c r="B110" s="48" t="s">
        <v>2458</v>
      </c>
      <c r="C110" s="48" t="s">
        <v>407</v>
      </c>
      <c r="D110" s="48"/>
      <c r="E110" s="48"/>
      <c r="F110" s="48"/>
      <c r="G110" s="48"/>
      <c r="H110" s="48" t="s">
        <v>765</v>
      </c>
      <c r="I110" s="49" t="n">
        <f aca="false">SUMPRODUCT(E111:E139,I111:I139)</f>
        <v>66705.65</v>
      </c>
      <c r="J110" s="49" t="n">
        <f aca="false">SUM(J111:J139)</f>
        <v>54922.6366433566</v>
      </c>
      <c r="K110" s="48"/>
      <c r="L110" s="48"/>
      <c r="M110" s="48"/>
    </row>
    <row r="111" customFormat="false" ht="52.2" hidden="false" customHeight="false" outlineLevel="1" collapsed="false">
      <c r="A111" s="27"/>
      <c r="B111" s="27" t="s">
        <v>2458</v>
      </c>
      <c r="C111" s="7" t="s">
        <v>2459</v>
      </c>
      <c r="D111" s="27" t="s">
        <v>727</v>
      </c>
      <c r="E111" s="50" t="n">
        <v>1</v>
      </c>
      <c r="F111" s="50" t="n">
        <v>1</v>
      </c>
      <c r="G111" s="27" t="s">
        <v>829</v>
      </c>
      <c r="H111" s="50" t="n">
        <f aca="false">F111/IF(Varsayimlar!$B$21=1,1.3,1)</f>
        <v>0.769230769230769</v>
      </c>
      <c r="I111" s="51" t="n">
        <v>2188.45</v>
      </c>
      <c r="J111" s="28" t="n">
        <f aca="false">H111*I111</f>
        <v>1683.42307692308</v>
      </c>
      <c r="K111" s="52" t="s">
        <v>548</v>
      </c>
      <c r="L111" s="7" t="s">
        <v>2460</v>
      </c>
      <c r="M111" s="7" t="s">
        <v>2461</v>
      </c>
    </row>
    <row r="112" customFormat="false" ht="64.9" hidden="false" customHeight="false" outlineLevel="1" collapsed="false">
      <c r="A112" s="27"/>
      <c r="B112" s="27" t="s">
        <v>2458</v>
      </c>
      <c r="C112" s="7" t="s">
        <v>2462</v>
      </c>
      <c r="D112" s="27" t="s">
        <v>727</v>
      </c>
      <c r="E112" s="50" t="n">
        <v>1</v>
      </c>
      <c r="F112" s="50" t="n">
        <v>1</v>
      </c>
      <c r="G112" s="27" t="s">
        <v>829</v>
      </c>
      <c r="H112" s="50" t="n">
        <f aca="false">F112/IF(Varsayimlar!$B$21=1,1.3,1)</f>
        <v>0.769230769230769</v>
      </c>
      <c r="I112" s="51" t="n">
        <v>2854.18</v>
      </c>
      <c r="J112" s="28" t="n">
        <f aca="false">H112*I112</f>
        <v>2195.52307692308</v>
      </c>
      <c r="K112" s="52" t="s">
        <v>548</v>
      </c>
      <c r="L112" s="7" t="s">
        <v>2463</v>
      </c>
      <c r="M112" s="7" t="s">
        <v>1855</v>
      </c>
    </row>
    <row r="113" customFormat="false" ht="52.2" hidden="false" customHeight="false" outlineLevel="1" collapsed="false">
      <c r="A113" s="27"/>
      <c r="B113" s="27" t="s">
        <v>2458</v>
      </c>
      <c r="C113" s="7" t="s">
        <v>2464</v>
      </c>
      <c r="D113" s="27" t="s">
        <v>727</v>
      </c>
      <c r="E113" s="50" t="n">
        <v>1</v>
      </c>
      <c r="F113" s="50" t="n">
        <v>1</v>
      </c>
      <c r="G113" s="27" t="s">
        <v>829</v>
      </c>
      <c r="H113" s="50" t="n">
        <f aca="false">F113/IF(Varsayimlar!$B$21=1,1.3,1)</f>
        <v>0.769230769230769</v>
      </c>
      <c r="I113" s="51" t="n">
        <v>4480</v>
      </c>
      <c r="J113" s="28" t="n">
        <f aca="false">H113*I113</f>
        <v>3446.15384615385</v>
      </c>
      <c r="K113" s="52" t="s">
        <v>548</v>
      </c>
      <c r="L113" s="7" t="s">
        <v>2465</v>
      </c>
      <c r="M113" s="7" t="s">
        <v>2466</v>
      </c>
    </row>
    <row r="114" customFormat="false" ht="90.25" hidden="false" customHeight="false" outlineLevel="1" collapsed="false">
      <c r="A114" s="27"/>
      <c r="B114" s="27" t="s">
        <v>2458</v>
      </c>
      <c r="C114" s="7" t="s">
        <v>2467</v>
      </c>
      <c r="D114" s="27" t="s">
        <v>727</v>
      </c>
      <c r="E114" s="50" t="n">
        <v>1</v>
      </c>
      <c r="F114" s="50" t="n">
        <v>1</v>
      </c>
      <c r="G114" s="27" t="s">
        <v>829</v>
      </c>
      <c r="H114" s="50" t="n">
        <f aca="false">F114/IF(Varsayimlar!$B$21=1,1.3,1)</f>
        <v>0.769230769230769</v>
      </c>
      <c r="I114" s="51" t="n">
        <v>57.4</v>
      </c>
      <c r="J114" s="28" t="n">
        <f aca="false">H114*I114</f>
        <v>44.1538461538461</v>
      </c>
      <c r="K114" s="52" t="s">
        <v>548</v>
      </c>
      <c r="L114" s="7" t="s">
        <v>2468</v>
      </c>
      <c r="M114" s="7" t="s">
        <v>2469</v>
      </c>
    </row>
    <row r="115" customFormat="false" ht="115.65" hidden="false" customHeight="false" outlineLevel="1" collapsed="false">
      <c r="A115" s="27"/>
      <c r="B115" s="27" t="s">
        <v>2458</v>
      </c>
      <c r="C115" s="7" t="s">
        <v>2470</v>
      </c>
      <c r="D115" s="27" t="s">
        <v>727</v>
      </c>
      <c r="E115" s="50" t="n">
        <v>1</v>
      </c>
      <c r="F115" s="50" t="n">
        <v>1</v>
      </c>
      <c r="G115" s="27" t="s">
        <v>829</v>
      </c>
      <c r="H115" s="50" t="n">
        <f aca="false">F115/IF(Varsayimlar!$B$21=1,1.3,1)</f>
        <v>0.769230769230769</v>
      </c>
      <c r="I115" s="51" t="n">
        <v>852.16</v>
      </c>
      <c r="J115" s="28" t="n">
        <f aca="false">H115*I115</f>
        <v>655.507692307692</v>
      </c>
      <c r="K115" s="52" t="s">
        <v>548</v>
      </c>
      <c r="L115" s="7" t="s">
        <v>2471</v>
      </c>
      <c r="M115" s="7" t="s">
        <v>2472</v>
      </c>
    </row>
    <row r="116" customFormat="false" ht="64.9" hidden="false" customHeight="false" outlineLevel="1" collapsed="false">
      <c r="A116" s="27"/>
      <c r="B116" s="27" t="s">
        <v>2458</v>
      </c>
      <c r="C116" s="7" t="s">
        <v>2473</v>
      </c>
      <c r="D116" s="27" t="s">
        <v>727</v>
      </c>
      <c r="E116" s="50" t="n">
        <v>2</v>
      </c>
      <c r="F116" s="50" t="n">
        <v>2</v>
      </c>
      <c r="G116" s="27" t="s">
        <v>767</v>
      </c>
      <c r="H116" s="50" t="n">
        <f aca="false">F116</f>
        <v>2</v>
      </c>
      <c r="I116" s="51" t="n">
        <v>119.23</v>
      </c>
      <c r="J116" s="28" t="n">
        <f aca="false">H116*I116</f>
        <v>238.46</v>
      </c>
      <c r="K116" s="52" t="s">
        <v>548</v>
      </c>
      <c r="L116" s="7" t="s">
        <v>2474</v>
      </c>
      <c r="M116" s="7" t="s">
        <v>2475</v>
      </c>
    </row>
    <row r="117" customFormat="false" ht="77.6" hidden="false" customHeight="false" outlineLevel="1" collapsed="false">
      <c r="A117" s="27"/>
      <c r="B117" s="27" t="s">
        <v>2458</v>
      </c>
      <c r="C117" s="7" t="s">
        <v>2476</v>
      </c>
      <c r="D117" s="27" t="s">
        <v>727</v>
      </c>
      <c r="E117" s="50" t="n">
        <v>2</v>
      </c>
      <c r="F117" s="50" t="n">
        <v>2</v>
      </c>
      <c r="G117" s="27" t="s">
        <v>767</v>
      </c>
      <c r="H117" s="50" t="n">
        <f aca="false">F117</f>
        <v>2</v>
      </c>
      <c r="I117" s="51" t="n">
        <v>837.02</v>
      </c>
      <c r="J117" s="28" t="n">
        <f aca="false">H117*I117</f>
        <v>1674.04</v>
      </c>
      <c r="K117" s="52" t="s">
        <v>548</v>
      </c>
      <c r="L117" s="7" t="s">
        <v>2477</v>
      </c>
      <c r="M117" s="7"/>
    </row>
    <row r="118" customFormat="false" ht="90.25" hidden="false" customHeight="false" outlineLevel="1" collapsed="false">
      <c r="A118" s="27"/>
      <c r="B118" s="27" t="s">
        <v>2458</v>
      </c>
      <c r="C118" s="7" t="s">
        <v>2478</v>
      </c>
      <c r="D118" s="27" t="s">
        <v>727</v>
      </c>
      <c r="E118" s="50" t="n">
        <v>3</v>
      </c>
      <c r="F118" s="50" t="n">
        <v>3</v>
      </c>
      <c r="G118" s="27" t="s">
        <v>829</v>
      </c>
      <c r="H118" s="50" t="n">
        <f aca="false">F118/IF(Varsayimlar!$B$21=1,1.3,1)</f>
        <v>2.30769230769231</v>
      </c>
      <c r="I118" s="51" t="n">
        <v>145</v>
      </c>
      <c r="J118" s="28" t="n">
        <f aca="false">H118*I118</f>
        <v>334.615384615385</v>
      </c>
      <c r="K118" s="52" t="s">
        <v>548</v>
      </c>
      <c r="L118" s="7" t="s">
        <v>2479</v>
      </c>
      <c r="M118" s="7" t="s">
        <v>2008</v>
      </c>
    </row>
    <row r="119" customFormat="false" ht="26.85" hidden="false" customHeight="false" outlineLevel="1" collapsed="false">
      <c r="A119" s="27"/>
      <c r="B119" s="27" t="s">
        <v>2458</v>
      </c>
      <c r="C119" s="7" t="s">
        <v>2480</v>
      </c>
      <c r="D119" s="27" t="s">
        <v>727</v>
      </c>
      <c r="E119" s="50" t="n">
        <v>1</v>
      </c>
      <c r="F119" s="50" t="n">
        <v>1</v>
      </c>
      <c r="G119" s="27" t="s">
        <v>767</v>
      </c>
      <c r="H119" s="50" t="n">
        <f aca="false">F119</f>
        <v>1</v>
      </c>
      <c r="I119" s="51" t="n">
        <v>3500</v>
      </c>
      <c r="J119" s="28" t="n">
        <f aca="false">H119*I119</f>
        <v>3500</v>
      </c>
      <c r="K119" s="53" t="s">
        <v>551</v>
      </c>
      <c r="L119" s="7" t="s">
        <v>2481</v>
      </c>
      <c r="M119" s="7" t="s">
        <v>2482</v>
      </c>
    </row>
    <row r="120" customFormat="false" ht="115.65" hidden="false" customHeight="false" outlineLevel="1" collapsed="false">
      <c r="A120" s="27"/>
      <c r="B120" s="27" t="s">
        <v>2458</v>
      </c>
      <c r="C120" s="7" t="s">
        <v>2483</v>
      </c>
      <c r="D120" s="27" t="s">
        <v>727</v>
      </c>
      <c r="E120" s="50" t="n">
        <v>1</v>
      </c>
      <c r="F120" s="50" t="n">
        <v>1</v>
      </c>
      <c r="G120" s="27" t="s">
        <v>767</v>
      </c>
      <c r="H120" s="50" t="n">
        <f aca="false">F120</f>
        <v>1</v>
      </c>
      <c r="I120" s="51" t="n">
        <v>1107.81</v>
      </c>
      <c r="J120" s="28" t="n">
        <f aca="false">H120*I120</f>
        <v>1107.81</v>
      </c>
      <c r="K120" s="52" t="s">
        <v>548</v>
      </c>
      <c r="L120" s="7" t="s">
        <v>2484</v>
      </c>
      <c r="M120" s="7" t="s">
        <v>2485</v>
      </c>
    </row>
    <row r="121" customFormat="false" ht="90.25" hidden="false" customHeight="false" outlineLevel="1" collapsed="false">
      <c r="A121" s="27"/>
      <c r="B121" s="27" t="s">
        <v>2458</v>
      </c>
      <c r="C121" s="7" t="s">
        <v>2486</v>
      </c>
      <c r="D121" s="27" t="s">
        <v>727</v>
      </c>
      <c r="E121" s="50" t="n">
        <v>1</v>
      </c>
      <c r="F121" s="50" t="n">
        <v>1</v>
      </c>
      <c r="G121" s="27" t="s">
        <v>767</v>
      </c>
      <c r="H121" s="50" t="n">
        <f aca="false">F121</f>
        <v>1</v>
      </c>
      <c r="I121" s="51" t="n">
        <v>1421.49</v>
      </c>
      <c r="J121" s="28" t="n">
        <f aca="false">H121*I121</f>
        <v>1421.49</v>
      </c>
      <c r="K121" s="52" t="s">
        <v>548</v>
      </c>
      <c r="L121" s="7" t="s">
        <v>2487</v>
      </c>
      <c r="M121" s="7" t="s">
        <v>2472</v>
      </c>
    </row>
    <row r="122" customFormat="false" ht="77.6" hidden="false" customHeight="false" outlineLevel="1" collapsed="false">
      <c r="A122" s="27"/>
      <c r="B122" s="27" t="s">
        <v>2458</v>
      </c>
      <c r="C122" s="7" t="s">
        <v>2488</v>
      </c>
      <c r="D122" s="27" t="s">
        <v>727</v>
      </c>
      <c r="E122" s="50" t="n">
        <v>1</v>
      </c>
      <c r="F122" s="50" t="n">
        <v>1</v>
      </c>
      <c r="G122" s="27" t="s">
        <v>767</v>
      </c>
      <c r="H122" s="50" t="n">
        <f aca="false">F122</f>
        <v>1</v>
      </c>
      <c r="I122" s="51" t="n">
        <v>1456.59</v>
      </c>
      <c r="J122" s="28" t="n">
        <f aca="false">H122*I122</f>
        <v>1456.59</v>
      </c>
      <c r="K122" s="52" t="s">
        <v>548</v>
      </c>
      <c r="L122" s="7" t="s">
        <v>2489</v>
      </c>
      <c r="M122" s="7"/>
    </row>
    <row r="123" customFormat="false" ht="90.25" hidden="false" customHeight="false" outlineLevel="1" collapsed="false">
      <c r="A123" s="27"/>
      <c r="B123" s="27" t="s">
        <v>2458</v>
      </c>
      <c r="C123" s="7" t="s">
        <v>2490</v>
      </c>
      <c r="D123" s="27" t="s">
        <v>727</v>
      </c>
      <c r="E123" s="50" t="n">
        <v>2</v>
      </c>
      <c r="F123" s="50" t="n">
        <v>2</v>
      </c>
      <c r="G123" s="27" t="s">
        <v>767</v>
      </c>
      <c r="H123" s="50" t="n">
        <f aca="false">F123</f>
        <v>2</v>
      </c>
      <c r="I123" s="51" t="n">
        <v>57.4</v>
      </c>
      <c r="J123" s="28" t="n">
        <f aca="false">H123*I123</f>
        <v>114.8</v>
      </c>
      <c r="K123" s="52" t="s">
        <v>548</v>
      </c>
      <c r="L123" s="7" t="s">
        <v>2491</v>
      </c>
      <c r="M123" s="7" t="s">
        <v>2492</v>
      </c>
    </row>
    <row r="124" customFormat="false" ht="64.9" hidden="false" customHeight="false" outlineLevel="1" collapsed="false">
      <c r="A124" s="27"/>
      <c r="B124" s="27" t="s">
        <v>2458</v>
      </c>
      <c r="C124" s="7" t="s">
        <v>2493</v>
      </c>
      <c r="D124" s="27" t="s">
        <v>727</v>
      </c>
      <c r="E124" s="50" t="n">
        <v>1</v>
      </c>
      <c r="F124" s="50" t="n">
        <v>1</v>
      </c>
      <c r="G124" s="27" t="s">
        <v>767</v>
      </c>
      <c r="H124" s="50" t="n">
        <f aca="false">F124</f>
        <v>1</v>
      </c>
      <c r="I124" s="51" t="n">
        <v>96.89</v>
      </c>
      <c r="J124" s="28" t="n">
        <f aca="false">H124*I124</f>
        <v>96.89</v>
      </c>
      <c r="K124" s="52" t="s">
        <v>548</v>
      </c>
      <c r="L124" s="7" t="s">
        <v>2494</v>
      </c>
      <c r="M124" s="7" t="s">
        <v>2495</v>
      </c>
    </row>
    <row r="125" customFormat="false" ht="52.2" hidden="false" customHeight="false" outlineLevel="1" collapsed="false">
      <c r="A125" s="27"/>
      <c r="B125" s="27" t="s">
        <v>2458</v>
      </c>
      <c r="C125" s="7" t="s">
        <v>2496</v>
      </c>
      <c r="D125" s="27" t="s">
        <v>727</v>
      </c>
      <c r="E125" s="50" t="n">
        <v>1</v>
      </c>
      <c r="F125" s="50" t="n">
        <v>1</v>
      </c>
      <c r="G125" s="27" t="s">
        <v>829</v>
      </c>
      <c r="H125" s="50" t="n">
        <f aca="false">F125/IF(Varsayimlar!$B$21=1,1.3,1)</f>
        <v>0.769230769230769</v>
      </c>
      <c r="I125" s="51" t="n">
        <v>109.93</v>
      </c>
      <c r="J125" s="28" t="n">
        <f aca="false">H125*I125</f>
        <v>84.5615384615385</v>
      </c>
      <c r="K125" s="52" t="s">
        <v>548</v>
      </c>
      <c r="L125" s="7" t="s">
        <v>2497</v>
      </c>
      <c r="M125" s="7" t="s">
        <v>2498</v>
      </c>
    </row>
    <row r="126" customFormat="false" ht="90.25" hidden="false" customHeight="false" outlineLevel="1" collapsed="false">
      <c r="A126" s="27"/>
      <c r="B126" s="27" t="s">
        <v>2458</v>
      </c>
      <c r="C126" s="7" t="s">
        <v>2499</v>
      </c>
      <c r="D126" s="27" t="s">
        <v>2355</v>
      </c>
      <c r="E126" s="50" t="n">
        <v>747</v>
      </c>
      <c r="F126" s="50" t="n">
        <v>747</v>
      </c>
      <c r="G126" s="27" t="s">
        <v>829</v>
      </c>
      <c r="H126" s="50" t="n">
        <f aca="false">F126/IF(Varsayimlar!$B$21=1,1.3,1)</f>
        <v>574.615384615385</v>
      </c>
      <c r="I126" s="51" t="n">
        <v>39.8</v>
      </c>
      <c r="J126" s="28" t="n">
        <f aca="false">H126*I126</f>
        <v>22869.6923076923</v>
      </c>
      <c r="K126" s="52" t="s">
        <v>548</v>
      </c>
      <c r="L126" s="7" t="s">
        <v>2500</v>
      </c>
      <c r="M126" s="7" t="s">
        <v>2501</v>
      </c>
    </row>
    <row r="127" customFormat="false" ht="64.9" hidden="false" customHeight="false" outlineLevel="1" collapsed="false">
      <c r="A127" s="27"/>
      <c r="B127" s="27" t="s">
        <v>2458</v>
      </c>
      <c r="C127" s="7" t="s">
        <v>2502</v>
      </c>
      <c r="D127" s="27" t="s">
        <v>853</v>
      </c>
      <c r="E127" s="50" t="n">
        <v>94</v>
      </c>
      <c r="F127" s="50" t="n">
        <v>94</v>
      </c>
      <c r="G127" s="27" t="s">
        <v>865</v>
      </c>
      <c r="H127" s="50" t="n">
        <f aca="false">F127/IF(Varsayimlar!$B$21=1,1.43,1)</f>
        <v>65.7342657342657</v>
      </c>
      <c r="I127" s="51" t="n">
        <v>11.91</v>
      </c>
      <c r="J127" s="28" t="n">
        <f aca="false">H127*I127</f>
        <v>782.895104895105</v>
      </c>
      <c r="K127" s="52" t="s">
        <v>548</v>
      </c>
      <c r="L127" s="7" t="s">
        <v>2503</v>
      </c>
      <c r="M127" s="7" t="s">
        <v>2504</v>
      </c>
    </row>
    <row r="128" customFormat="false" ht="102.95" hidden="false" customHeight="false" outlineLevel="1" collapsed="false">
      <c r="A128" s="27"/>
      <c r="B128" s="27" t="s">
        <v>2458</v>
      </c>
      <c r="C128" s="7" t="s">
        <v>2505</v>
      </c>
      <c r="D128" s="27" t="s">
        <v>727</v>
      </c>
      <c r="E128" s="50" t="n">
        <v>77</v>
      </c>
      <c r="F128" s="50" t="n">
        <v>77</v>
      </c>
      <c r="G128" s="27" t="s">
        <v>829</v>
      </c>
      <c r="H128" s="50" t="n">
        <f aca="false">F128/IF(Varsayimlar!$B$21=1,1.3,1)</f>
        <v>59.2307692307692</v>
      </c>
      <c r="I128" s="51" t="n">
        <v>33.45</v>
      </c>
      <c r="J128" s="28" t="n">
        <f aca="false">H128*I128</f>
        <v>1981.26923076923</v>
      </c>
      <c r="K128" s="52" t="s">
        <v>548</v>
      </c>
      <c r="L128" s="7" t="s">
        <v>2506</v>
      </c>
      <c r="M128" s="7"/>
    </row>
    <row r="129" customFormat="false" ht="64.9" hidden="false" customHeight="false" outlineLevel="1" collapsed="false">
      <c r="A129" s="27"/>
      <c r="B129" s="27" t="s">
        <v>2458</v>
      </c>
      <c r="C129" s="7" t="s">
        <v>2507</v>
      </c>
      <c r="D129" s="27" t="s">
        <v>727</v>
      </c>
      <c r="E129" s="50" t="n">
        <v>16</v>
      </c>
      <c r="F129" s="50" t="n">
        <v>16</v>
      </c>
      <c r="G129" s="27" t="s">
        <v>829</v>
      </c>
      <c r="H129" s="50" t="n">
        <f aca="false">F129/IF(Varsayimlar!$B$21=1,1.3,1)</f>
        <v>12.3076923076923</v>
      </c>
      <c r="I129" s="51" t="n">
        <v>41.82</v>
      </c>
      <c r="J129" s="28" t="n">
        <f aca="false">H129*I129</f>
        <v>514.707692307692</v>
      </c>
      <c r="K129" s="52" t="s">
        <v>548</v>
      </c>
      <c r="L129" s="7" t="s">
        <v>2508</v>
      </c>
      <c r="M129" s="7"/>
    </row>
    <row r="130" customFormat="false" ht="64.9" hidden="false" customHeight="false" outlineLevel="1" collapsed="false">
      <c r="A130" s="27"/>
      <c r="B130" s="27" t="s">
        <v>2458</v>
      </c>
      <c r="C130" s="7" t="s">
        <v>2509</v>
      </c>
      <c r="D130" s="27" t="s">
        <v>727</v>
      </c>
      <c r="E130" s="50" t="n">
        <v>16</v>
      </c>
      <c r="F130" s="50" t="n">
        <v>16</v>
      </c>
      <c r="G130" s="27" t="s">
        <v>829</v>
      </c>
      <c r="H130" s="50" t="n">
        <f aca="false">F130/IF(Varsayimlar!$B$21=1,1.3,1)</f>
        <v>12.3076923076923</v>
      </c>
      <c r="I130" s="51" t="n">
        <v>59.44</v>
      </c>
      <c r="J130" s="28" t="n">
        <f aca="false">H130*I130</f>
        <v>731.569230769231</v>
      </c>
      <c r="K130" s="52" t="s">
        <v>548</v>
      </c>
      <c r="L130" s="7" t="s">
        <v>2510</v>
      </c>
      <c r="M130" s="7"/>
    </row>
    <row r="131" customFormat="false" ht="77.6" hidden="false" customHeight="false" outlineLevel="1" collapsed="false">
      <c r="A131" s="27"/>
      <c r="B131" s="27" t="s">
        <v>2458</v>
      </c>
      <c r="C131" s="7" t="s">
        <v>2511</v>
      </c>
      <c r="D131" s="27" t="s">
        <v>727</v>
      </c>
      <c r="E131" s="50" t="n">
        <v>9</v>
      </c>
      <c r="F131" s="50" t="n">
        <v>9</v>
      </c>
      <c r="G131" s="27" t="s">
        <v>767</v>
      </c>
      <c r="H131" s="50" t="n">
        <f aca="false">F131</f>
        <v>9</v>
      </c>
      <c r="I131" s="51" t="n">
        <v>229.7</v>
      </c>
      <c r="J131" s="28" t="n">
        <f aca="false">H131*I131</f>
        <v>2067.3</v>
      </c>
      <c r="K131" s="52" t="s">
        <v>548</v>
      </c>
      <c r="L131" s="7" t="s">
        <v>2512</v>
      </c>
      <c r="M131" s="7"/>
    </row>
    <row r="132" customFormat="false" ht="90.25" hidden="false" customHeight="false" outlineLevel="1" collapsed="false">
      <c r="A132" s="27"/>
      <c r="B132" s="27" t="s">
        <v>2458</v>
      </c>
      <c r="C132" s="7" t="s">
        <v>2513</v>
      </c>
      <c r="D132" s="27" t="s">
        <v>727</v>
      </c>
      <c r="E132" s="50" t="n">
        <v>10</v>
      </c>
      <c r="F132" s="50" t="n">
        <v>10</v>
      </c>
      <c r="G132" s="27" t="s">
        <v>767</v>
      </c>
      <c r="H132" s="50" t="n">
        <f aca="false">F132</f>
        <v>10</v>
      </c>
      <c r="I132" s="51" t="n">
        <v>275.95</v>
      </c>
      <c r="J132" s="28" t="n">
        <f aca="false">H132*I132</f>
        <v>2759.5</v>
      </c>
      <c r="K132" s="52" t="s">
        <v>548</v>
      </c>
      <c r="L132" s="7" t="s">
        <v>2514</v>
      </c>
      <c r="M132" s="7"/>
    </row>
    <row r="133" customFormat="false" ht="90.25" hidden="false" customHeight="false" outlineLevel="1" collapsed="false">
      <c r="A133" s="27"/>
      <c r="B133" s="27" t="s">
        <v>2458</v>
      </c>
      <c r="C133" s="7" t="s">
        <v>2515</v>
      </c>
      <c r="D133" s="27" t="s">
        <v>727</v>
      </c>
      <c r="E133" s="50" t="n">
        <v>1</v>
      </c>
      <c r="F133" s="50" t="n">
        <v>1</v>
      </c>
      <c r="G133" s="27" t="s">
        <v>829</v>
      </c>
      <c r="H133" s="50" t="n">
        <f aca="false">F133/IF(Varsayimlar!$B$21=1,1.3,1)</f>
        <v>0.769230769230769</v>
      </c>
      <c r="I133" s="51" t="n">
        <v>119.23</v>
      </c>
      <c r="J133" s="28" t="n">
        <f aca="false">H133*I133</f>
        <v>91.7153846153846</v>
      </c>
      <c r="K133" s="52" t="s">
        <v>548</v>
      </c>
      <c r="L133" s="7" t="s">
        <v>2516</v>
      </c>
      <c r="M133" s="7" t="s">
        <v>2517</v>
      </c>
    </row>
    <row r="134" customFormat="false" ht="77.6" hidden="false" customHeight="false" outlineLevel="1" collapsed="false">
      <c r="A134" s="27"/>
      <c r="B134" s="27" t="s">
        <v>2458</v>
      </c>
      <c r="C134" s="7" t="s">
        <v>2518</v>
      </c>
      <c r="D134" s="27" t="s">
        <v>727</v>
      </c>
      <c r="E134" s="50" t="n">
        <v>1</v>
      </c>
      <c r="F134" s="50" t="n">
        <v>1</v>
      </c>
      <c r="G134" s="27" t="s">
        <v>829</v>
      </c>
      <c r="H134" s="50" t="n">
        <f aca="false">F134/IF(Varsayimlar!$B$21=1,1.3,1)</f>
        <v>0.769230769230769</v>
      </c>
      <c r="I134" s="51" t="n">
        <v>119.23</v>
      </c>
      <c r="J134" s="28" t="n">
        <f aca="false">H134*I134</f>
        <v>91.7153846153846</v>
      </c>
      <c r="K134" s="52" t="s">
        <v>548</v>
      </c>
      <c r="L134" s="7" t="s">
        <v>2519</v>
      </c>
      <c r="M134" s="7" t="s">
        <v>2520</v>
      </c>
    </row>
    <row r="135" customFormat="false" ht="64.9" hidden="false" customHeight="false" outlineLevel="1" collapsed="false">
      <c r="A135" s="27"/>
      <c r="B135" s="27" t="s">
        <v>2458</v>
      </c>
      <c r="C135" s="7" t="s">
        <v>2521</v>
      </c>
      <c r="D135" s="27" t="s">
        <v>727</v>
      </c>
      <c r="E135" s="50" t="n">
        <v>2</v>
      </c>
      <c r="F135" s="50" t="n">
        <v>2</v>
      </c>
      <c r="G135" s="27" t="s">
        <v>829</v>
      </c>
      <c r="H135" s="50" t="n">
        <f aca="false">F135/IF(Varsayimlar!$B$21=1,1.3,1)</f>
        <v>1.53846153846154</v>
      </c>
      <c r="I135" s="51" t="n">
        <v>152.14</v>
      </c>
      <c r="J135" s="28" t="n">
        <f aca="false">H135*I135</f>
        <v>234.061538461538</v>
      </c>
      <c r="K135" s="52" t="s">
        <v>548</v>
      </c>
      <c r="L135" s="7" t="s">
        <v>2522</v>
      </c>
      <c r="M135" s="7" t="s">
        <v>2523</v>
      </c>
    </row>
    <row r="136" customFormat="false" ht="64.9" hidden="false" customHeight="false" outlineLevel="1" collapsed="false">
      <c r="A136" s="27"/>
      <c r="B136" s="27" t="s">
        <v>2458</v>
      </c>
      <c r="C136" s="7" t="s">
        <v>2524</v>
      </c>
      <c r="D136" s="27" t="s">
        <v>2355</v>
      </c>
      <c r="E136" s="50" t="n">
        <v>62</v>
      </c>
      <c r="F136" s="50" t="n">
        <v>62</v>
      </c>
      <c r="G136" s="27" t="s">
        <v>829</v>
      </c>
      <c r="H136" s="50" t="n">
        <f aca="false">F136/IF(Varsayimlar!$B$21=1,1.3,1)</f>
        <v>47.6923076923077</v>
      </c>
      <c r="I136" s="51" t="n">
        <v>60.36</v>
      </c>
      <c r="J136" s="28" t="n">
        <f aca="false">H136*I136</f>
        <v>2878.70769230769</v>
      </c>
      <c r="K136" s="52" t="s">
        <v>548</v>
      </c>
      <c r="L136" s="7" t="s">
        <v>2525</v>
      </c>
      <c r="M136" s="7" t="s">
        <v>2526</v>
      </c>
    </row>
    <row r="137" customFormat="false" ht="39.55" hidden="false" customHeight="false" outlineLevel="1" collapsed="false">
      <c r="A137" s="27"/>
      <c r="B137" s="27" t="s">
        <v>2458</v>
      </c>
      <c r="C137" s="7" t="s">
        <v>2527</v>
      </c>
      <c r="D137" s="27" t="s">
        <v>727</v>
      </c>
      <c r="E137" s="50" t="n">
        <v>1</v>
      </c>
      <c r="F137" s="50" t="n">
        <v>1</v>
      </c>
      <c r="G137" s="27" t="s">
        <v>829</v>
      </c>
      <c r="H137" s="50" t="n">
        <f aca="false">F137/IF(Varsayimlar!$B$21=1,1.3,1)</f>
        <v>0.769230769230769</v>
      </c>
      <c r="I137" s="51" t="n">
        <v>178.66</v>
      </c>
      <c r="J137" s="28" t="n">
        <f aca="false">H137*I137</f>
        <v>137.430769230769</v>
      </c>
      <c r="K137" s="52" t="s">
        <v>548</v>
      </c>
      <c r="L137" s="7" t="s">
        <v>2528</v>
      </c>
      <c r="M137" s="7" t="s">
        <v>1964</v>
      </c>
    </row>
    <row r="138" customFormat="false" ht="39.55" hidden="false" customHeight="false" outlineLevel="1" collapsed="false">
      <c r="A138" s="27"/>
      <c r="B138" s="27" t="s">
        <v>2458</v>
      </c>
      <c r="C138" s="7" t="s">
        <v>2529</v>
      </c>
      <c r="D138" s="27" t="s">
        <v>727</v>
      </c>
      <c r="E138" s="50" t="n">
        <v>2</v>
      </c>
      <c r="F138" s="50" t="n">
        <v>2</v>
      </c>
      <c r="G138" s="27" t="s">
        <v>829</v>
      </c>
      <c r="H138" s="50" t="n">
        <f aca="false">F138/IF(Varsayimlar!$B$21=1,1.3,1)</f>
        <v>1.53846153846154</v>
      </c>
      <c r="I138" s="51" t="n">
        <v>116.84</v>
      </c>
      <c r="J138" s="28" t="n">
        <f aca="false">H138*I138</f>
        <v>179.753846153846</v>
      </c>
      <c r="K138" s="52" t="s">
        <v>548</v>
      </c>
      <c r="L138" s="7" t="s">
        <v>2530</v>
      </c>
      <c r="M138" s="7" t="s">
        <v>1694</v>
      </c>
    </row>
    <row r="139" customFormat="false" ht="52.2" hidden="false" customHeight="false" outlineLevel="1" collapsed="false">
      <c r="A139" s="27"/>
      <c r="B139" s="27" t="s">
        <v>2458</v>
      </c>
      <c r="C139" s="7" t="s">
        <v>2531</v>
      </c>
      <c r="D139" s="27" t="s">
        <v>816</v>
      </c>
      <c r="E139" s="50" t="n">
        <v>1</v>
      </c>
      <c r="F139" s="50" t="n">
        <v>1</v>
      </c>
      <c r="G139" s="27" t="s">
        <v>767</v>
      </c>
      <c r="H139" s="50" t="n">
        <f aca="false">F139</f>
        <v>1</v>
      </c>
      <c r="I139" s="51" t="n">
        <v>1548.3</v>
      </c>
      <c r="J139" s="28" t="n">
        <f aca="false">H139*I139</f>
        <v>1548.3</v>
      </c>
      <c r="K139" s="52" t="s">
        <v>548</v>
      </c>
      <c r="L139" s="7" t="s">
        <v>2532</v>
      </c>
      <c r="M139" s="7" t="s">
        <v>2533</v>
      </c>
    </row>
    <row r="140" customFormat="false" ht="15" hidden="false" customHeight="false" outlineLevel="0" collapsed="false">
      <c r="A140" s="48" t="s">
        <v>408</v>
      </c>
      <c r="B140" s="48" t="s">
        <v>2534</v>
      </c>
      <c r="C140" s="48" t="s">
        <v>409</v>
      </c>
      <c r="D140" s="48"/>
      <c r="E140" s="48"/>
      <c r="F140" s="48"/>
      <c r="G140" s="48"/>
      <c r="H140" s="48" t="s">
        <v>765</v>
      </c>
      <c r="I140" s="49" t="n">
        <f aca="false">SUMPRODUCT(E141:E142,I141:I142)</f>
        <v>271.74</v>
      </c>
      <c r="J140" s="49" t="n">
        <f aca="false">SUM(J141:J142)</f>
        <v>271.74</v>
      </c>
      <c r="K140" s="48"/>
      <c r="L140" s="48"/>
      <c r="M140" s="48"/>
    </row>
    <row r="141" customFormat="false" ht="128.35" hidden="false" customHeight="false" outlineLevel="1" collapsed="false">
      <c r="A141" s="27"/>
      <c r="B141" s="27" t="s">
        <v>2534</v>
      </c>
      <c r="C141" s="7" t="s">
        <v>2535</v>
      </c>
      <c r="D141" s="27" t="s">
        <v>727</v>
      </c>
      <c r="E141" s="50" t="n">
        <v>2</v>
      </c>
      <c r="F141" s="50" t="n">
        <v>2</v>
      </c>
      <c r="G141" s="27" t="s">
        <v>767</v>
      </c>
      <c r="H141" s="50" t="n">
        <f aca="false">F141</f>
        <v>2</v>
      </c>
      <c r="I141" s="51" t="n">
        <v>47.63</v>
      </c>
      <c r="J141" s="28" t="n">
        <f aca="false">H141*I141</f>
        <v>95.26</v>
      </c>
      <c r="K141" s="52" t="s">
        <v>548</v>
      </c>
      <c r="L141" s="7" t="s">
        <v>2536</v>
      </c>
      <c r="M141" s="7" t="s">
        <v>2537</v>
      </c>
    </row>
    <row r="142" customFormat="false" ht="52.2" hidden="false" customHeight="false" outlineLevel="1" collapsed="false">
      <c r="A142" s="27"/>
      <c r="B142" s="27" t="s">
        <v>2534</v>
      </c>
      <c r="C142" s="7" t="s">
        <v>2538</v>
      </c>
      <c r="D142" s="27" t="s">
        <v>727</v>
      </c>
      <c r="E142" s="50" t="n">
        <v>2</v>
      </c>
      <c r="F142" s="50" t="n">
        <v>2</v>
      </c>
      <c r="G142" s="27" t="s">
        <v>767</v>
      </c>
      <c r="H142" s="50" t="n">
        <f aca="false">F142</f>
        <v>2</v>
      </c>
      <c r="I142" s="51" t="n">
        <v>88.24</v>
      </c>
      <c r="J142" s="28" t="n">
        <f aca="false">H142*I142</f>
        <v>176.48</v>
      </c>
      <c r="K142" s="52" t="s">
        <v>548</v>
      </c>
      <c r="L142" s="7" t="s">
        <v>2539</v>
      </c>
      <c r="M142" s="7" t="s">
        <v>2540</v>
      </c>
    </row>
    <row r="143" customFormat="false" ht="15" hidden="false" customHeight="false" outlineLevel="0" collapsed="false">
      <c r="A143" s="48" t="s">
        <v>410</v>
      </c>
      <c r="B143" s="48" t="s">
        <v>2541</v>
      </c>
      <c r="C143" s="48" t="s">
        <v>411</v>
      </c>
      <c r="D143" s="48"/>
      <c r="E143" s="48"/>
      <c r="F143" s="48"/>
      <c r="G143" s="48"/>
      <c r="H143" s="48" t="s">
        <v>765</v>
      </c>
      <c r="I143" s="49" t="n">
        <f aca="false">SUMPRODUCT(E144:E145,I144:I145)</f>
        <v>271.74</v>
      </c>
      <c r="J143" s="49" t="n">
        <f aca="false">SUM(J144:J145)</f>
        <v>271.74</v>
      </c>
      <c r="K143" s="48"/>
      <c r="L143" s="48"/>
      <c r="M143" s="48"/>
    </row>
    <row r="144" customFormat="false" ht="128.35" hidden="false" customHeight="false" outlineLevel="1" collapsed="false">
      <c r="A144" s="27"/>
      <c r="B144" s="27" t="s">
        <v>2541</v>
      </c>
      <c r="C144" s="7" t="s">
        <v>2535</v>
      </c>
      <c r="D144" s="27" t="s">
        <v>727</v>
      </c>
      <c r="E144" s="50" t="n">
        <v>2</v>
      </c>
      <c r="F144" s="50" t="n">
        <v>2</v>
      </c>
      <c r="G144" s="27" t="s">
        <v>767</v>
      </c>
      <c r="H144" s="50" t="n">
        <f aca="false">F144</f>
        <v>2</v>
      </c>
      <c r="I144" s="51" t="n">
        <v>47.63</v>
      </c>
      <c r="J144" s="28" t="n">
        <f aca="false">H144*I144</f>
        <v>95.26</v>
      </c>
      <c r="K144" s="52" t="s">
        <v>548</v>
      </c>
      <c r="L144" s="7" t="s">
        <v>2536</v>
      </c>
      <c r="M144" s="7" t="s">
        <v>2537</v>
      </c>
    </row>
    <row r="145" customFormat="false" ht="52.2" hidden="false" customHeight="false" outlineLevel="1" collapsed="false">
      <c r="A145" s="27"/>
      <c r="B145" s="27" t="s">
        <v>2541</v>
      </c>
      <c r="C145" s="7" t="s">
        <v>2538</v>
      </c>
      <c r="D145" s="27" t="s">
        <v>727</v>
      </c>
      <c r="E145" s="50" t="n">
        <v>2</v>
      </c>
      <c r="F145" s="50" t="n">
        <v>2</v>
      </c>
      <c r="G145" s="27" t="s">
        <v>767</v>
      </c>
      <c r="H145" s="50" t="n">
        <f aca="false">F145</f>
        <v>2</v>
      </c>
      <c r="I145" s="51" t="n">
        <v>88.24</v>
      </c>
      <c r="J145" s="28" t="n">
        <f aca="false">H145*I145</f>
        <v>176.48</v>
      </c>
      <c r="K145" s="52" t="s">
        <v>548</v>
      </c>
      <c r="L145" s="7" t="s">
        <v>2539</v>
      </c>
      <c r="M145" s="7" t="s">
        <v>2540</v>
      </c>
    </row>
    <row r="146" customFormat="false" ht="15" hidden="false" customHeight="false" outlineLevel="0" collapsed="false">
      <c r="A146" s="48" t="s">
        <v>412</v>
      </c>
      <c r="B146" s="48" t="s">
        <v>2542</v>
      </c>
      <c r="C146" s="48" t="s">
        <v>413</v>
      </c>
      <c r="D146" s="48"/>
      <c r="E146" s="48"/>
      <c r="F146" s="48"/>
      <c r="G146" s="48"/>
      <c r="H146" s="48" t="s">
        <v>765</v>
      </c>
      <c r="I146" s="49" t="n">
        <f aca="false">SUMPRODUCT(E147:E148,I147:I148)</f>
        <v>271.74</v>
      </c>
      <c r="J146" s="49" t="n">
        <f aca="false">SUM(J147:J148)</f>
        <v>271.74</v>
      </c>
      <c r="K146" s="48"/>
      <c r="L146" s="48"/>
      <c r="M146" s="48"/>
    </row>
    <row r="147" customFormat="false" ht="128.35" hidden="false" customHeight="false" outlineLevel="1" collapsed="false">
      <c r="A147" s="27"/>
      <c r="B147" s="27" t="s">
        <v>2542</v>
      </c>
      <c r="C147" s="7" t="s">
        <v>2535</v>
      </c>
      <c r="D147" s="27" t="s">
        <v>727</v>
      </c>
      <c r="E147" s="50" t="n">
        <v>2</v>
      </c>
      <c r="F147" s="50" t="n">
        <v>2</v>
      </c>
      <c r="G147" s="27" t="s">
        <v>767</v>
      </c>
      <c r="H147" s="50" t="n">
        <f aca="false">F147</f>
        <v>2</v>
      </c>
      <c r="I147" s="51" t="n">
        <v>47.63</v>
      </c>
      <c r="J147" s="28" t="n">
        <f aca="false">H147*I147</f>
        <v>95.26</v>
      </c>
      <c r="K147" s="52" t="s">
        <v>548</v>
      </c>
      <c r="L147" s="7" t="s">
        <v>2536</v>
      </c>
      <c r="M147" s="7" t="s">
        <v>2537</v>
      </c>
    </row>
    <row r="148" customFormat="false" ht="52.2" hidden="false" customHeight="false" outlineLevel="1" collapsed="false">
      <c r="A148" s="27"/>
      <c r="B148" s="27" t="s">
        <v>2542</v>
      </c>
      <c r="C148" s="7" t="s">
        <v>2538</v>
      </c>
      <c r="D148" s="27" t="s">
        <v>727</v>
      </c>
      <c r="E148" s="50" t="n">
        <v>2</v>
      </c>
      <c r="F148" s="50" t="n">
        <v>2</v>
      </c>
      <c r="G148" s="27" t="s">
        <v>767</v>
      </c>
      <c r="H148" s="50" t="n">
        <f aca="false">F148</f>
        <v>2</v>
      </c>
      <c r="I148" s="51" t="n">
        <v>88.24</v>
      </c>
      <c r="J148" s="28" t="n">
        <f aca="false">H148*I148</f>
        <v>176.48</v>
      </c>
      <c r="K148" s="52" t="s">
        <v>548</v>
      </c>
      <c r="L148" s="7" t="s">
        <v>2539</v>
      </c>
      <c r="M148" s="7" t="s">
        <v>2540</v>
      </c>
    </row>
    <row r="149" customFormat="false" ht="15" hidden="false" customHeight="false" outlineLevel="0" collapsed="false">
      <c r="A149" s="48" t="s">
        <v>414</v>
      </c>
      <c r="B149" s="48" t="s">
        <v>2543</v>
      </c>
      <c r="C149" s="48" t="s">
        <v>415</v>
      </c>
      <c r="D149" s="48"/>
      <c r="E149" s="48"/>
      <c r="F149" s="48"/>
      <c r="G149" s="48"/>
      <c r="H149" s="48" t="s">
        <v>765</v>
      </c>
      <c r="I149" s="49" t="n">
        <f aca="false">SUMPRODUCT(E150:E151,I150:I151)</f>
        <v>271.74</v>
      </c>
      <c r="J149" s="49" t="n">
        <f aca="false">SUM(J150:J151)</f>
        <v>271.74</v>
      </c>
      <c r="K149" s="48"/>
      <c r="L149" s="48"/>
      <c r="M149" s="48"/>
    </row>
    <row r="150" customFormat="false" ht="128.35" hidden="false" customHeight="false" outlineLevel="1" collapsed="false">
      <c r="A150" s="27"/>
      <c r="B150" s="27" t="s">
        <v>2543</v>
      </c>
      <c r="C150" s="7" t="s">
        <v>2535</v>
      </c>
      <c r="D150" s="27" t="s">
        <v>727</v>
      </c>
      <c r="E150" s="50" t="n">
        <v>2</v>
      </c>
      <c r="F150" s="50" t="n">
        <v>2</v>
      </c>
      <c r="G150" s="27" t="s">
        <v>767</v>
      </c>
      <c r="H150" s="50" t="n">
        <f aca="false">F150</f>
        <v>2</v>
      </c>
      <c r="I150" s="51" t="n">
        <v>47.63</v>
      </c>
      <c r="J150" s="28" t="n">
        <f aca="false">H150*I150</f>
        <v>95.26</v>
      </c>
      <c r="K150" s="52" t="s">
        <v>548</v>
      </c>
      <c r="L150" s="7" t="s">
        <v>2536</v>
      </c>
      <c r="M150" s="7" t="s">
        <v>2537</v>
      </c>
    </row>
    <row r="151" customFormat="false" ht="52.2" hidden="false" customHeight="false" outlineLevel="1" collapsed="false">
      <c r="A151" s="27"/>
      <c r="B151" s="27" t="s">
        <v>2543</v>
      </c>
      <c r="C151" s="7" t="s">
        <v>2538</v>
      </c>
      <c r="D151" s="27" t="s">
        <v>727</v>
      </c>
      <c r="E151" s="50" t="n">
        <v>2</v>
      </c>
      <c r="F151" s="50" t="n">
        <v>2</v>
      </c>
      <c r="G151" s="27" t="s">
        <v>767</v>
      </c>
      <c r="H151" s="50" t="n">
        <f aca="false">F151</f>
        <v>2</v>
      </c>
      <c r="I151" s="51" t="n">
        <v>88.24</v>
      </c>
      <c r="J151" s="28" t="n">
        <f aca="false">H151*I151</f>
        <v>176.48</v>
      </c>
      <c r="K151" s="52" t="s">
        <v>548</v>
      </c>
      <c r="L151" s="7" t="s">
        <v>2539</v>
      </c>
      <c r="M151" s="7" t="s">
        <v>2540</v>
      </c>
    </row>
    <row r="152" customFormat="false" ht="15" hidden="false" customHeight="false" outlineLevel="0" collapsed="false">
      <c r="A152" s="48" t="s">
        <v>416</v>
      </c>
      <c r="B152" s="48" t="s">
        <v>2544</v>
      </c>
      <c r="C152" s="48" t="s">
        <v>417</v>
      </c>
      <c r="D152" s="48"/>
      <c r="E152" s="48"/>
      <c r="F152" s="48"/>
      <c r="G152" s="48"/>
      <c r="H152" s="48" t="s">
        <v>765</v>
      </c>
      <c r="I152" s="49" t="n">
        <f aca="false">SUMPRODUCT(E153:E154,I153:I154)</f>
        <v>271.74</v>
      </c>
      <c r="J152" s="49" t="n">
        <f aca="false">SUM(J153:J154)</f>
        <v>271.74</v>
      </c>
      <c r="K152" s="48"/>
      <c r="L152" s="48"/>
      <c r="M152" s="48"/>
    </row>
    <row r="153" customFormat="false" ht="128.35" hidden="false" customHeight="false" outlineLevel="1" collapsed="false">
      <c r="A153" s="27"/>
      <c r="B153" s="27" t="s">
        <v>2544</v>
      </c>
      <c r="C153" s="7" t="s">
        <v>2535</v>
      </c>
      <c r="D153" s="27" t="s">
        <v>727</v>
      </c>
      <c r="E153" s="50" t="n">
        <v>2</v>
      </c>
      <c r="F153" s="50" t="n">
        <v>2</v>
      </c>
      <c r="G153" s="27" t="s">
        <v>767</v>
      </c>
      <c r="H153" s="50" t="n">
        <f aca="false">F153</f>
        <v>2</v>
      </c>
      <c r="I153" s="51" t="n">
        <v>47.63</v>
      </c>
      <c r="J153" s="28" t="n">
        <f aca="false">H153*I153</f>
        <v>95.26</v>
      </c>
      <c r="K153" s="52" t="s">
        <v>548</v>
      </c>
      <c r="L153" s="7" t="s">
        <v>2536</v>
      </c>
      <c r="M153" s="7" t="s">
        <v>2537</v>
      </c>
    </row>
    <row r="154" customFormat="false" ht="52.2" hidden="false" customHeight="false" outlineLevel="1" collapsed="false">
      <c r="A154" s="27"/>
      <c r="B154" s="27" t="s">
        <v>2544</v>
      </c>
      <c r="C154" s="7" t="s">
        <v>2538</v>
      </c>
      <c r="D154" s="27" t="s">
        <v>727</v>
      </c>
      <c r="E154" s="50" t="n">
        <v>2</v>
      </c>
      <c r="F154" s="50" t="n">
        <v>2</v>
      </c>
      <c r="G154" s="27" t="s">
        <v>767</v>
      </c>
      <c r="H154" s="50" t="n">
        <f aca="false">F154</f>
        <v>2</v>
      </c>
      <c r="I154" s="51" t="n">
        <v>88.24</v>
      </c>
      <c r="J154" s="28" t="n">
        <f aca="false">H154*I154</f>
        <v>176.48</v>
      </c>
      <c r="K154" s="52" t="s">
        <v>548</v>
      </c>
      <c r="L154" s="7" t="s">
        <v>2539</v>
      </c>
      <c r="M154" s="7" t="s">
        <v>2540</v>
      </c>
    </row>
    <row r="155" customFormat="false" ht="15" hidden="false" customHeight="false" outlineLevel="0" collapsed="false">
      <c r="A155" s="48" t="s">
        <v>418</v>
      </c>
      <c r="B155" s="48" t="s">
        <v>2545</v>
      </c>
      <c r="C155" s="48" t="s">
        <v>419</v>
      </c>
      <c r="D155" s="48"/>
      <c r="E155" s="48"/>
      <c r="F155" s="48"/>
      <c r="G155" s="48"/>
      <c r="H155" s="48" t="s">
        <v>765</v>
      </c>
      <c r="I155" s="49" t="n">
        <f aca="false">SUMPRODUCT(E156:E157,I156:I157)</f>
        <v>407.61</v>
      </c>
      <c r="J155" s="49" t="n">
        <f aca="false">SUM(J156:J157)</f>
        <v>407.61</v>
      </c>
      <c r="K155" s="48"/>
      <c r="L155" s="48"/>
      <c r="M155" s="48"/>
    </row>
    <row r="156" customFormat="false" ht="128.35" hidden="false" customHeight="false" outlineLevel="1" collapsed="false">
      <c r="A156" s="27"/>
      <c r="B156" s="27" t="s">
        <v>2545</v>
      </c>
      <c r="C156" s="7" t="s">
        <v>2535</v>
      </c>
      <c r="D156" s="27" t="s">
        <v>727</v>
      </c>
      <c r="E156" s="50" t="n">
        <v>3</v>
      </c>
      <c r="F156" s="50" t="n">
        <v>3</v>
      </c>
      <c r="G156" s="27" t="s">
        <v>767</v>
      </c>
      <c r="H156" s="50" t="n">
        <f aca="false">F156</f>
        <v>3</v>
      </c>
      <c r="I156" s="51" t="n">
        <v>47.63</v>
      </c>
      <c r="J156" s="28" t="n">
        <f aca="false">H156*I156</f>
        <v>142.89</v>
      </c>
      <c r="K156" s="52" t="s">
        <v>548</v>
      </c>
      <c r="L156" s="7" t="s">
        <v>2536</v>
      </c>
      <c r="M156" s="7" t="s">
        <v>2537</v>
      </c>
    </row>
    <row r="157" customFormat="false" ht="52.2" hidden="false" customHeight="false" outlineLevel="1" collapsed="false">
      <c r="A157" s="27"/>
      <c r="B157" s="27" t="s">
        <v>2545</v>
      </c>
      <c r="C157" s="7" t="s">
        <v>2538</v>
      </c>
      <c r="D157" s="27" t="s">
        <v>727</v>
      </c>
      <c r="E157" s="50" t="n">
        <v>3</v>
      </c>
      <c r="F157" s="50" t="n">
        <v>3</v>
      </c>
      <c r="G157" s="27" t="s">
        <v>767</v>
      </c>
      <c r="H157" s="50" t="n">
        <f aca="false">F157</f>
        <v>3</v>
      </c>
      <c r="I157" s="51" t="n">
        <v>88.24</v>
      </c>
      <c r="J157" s="28" t="n">
        <f aca="false">H157*I157</f>
        <v>264.72</v>
      </c>
      <c r="K157" s="52" t="s">
        <v>548</v>
      </c>
      <c r="L157" s="7" t="s">
        <v>2539</v>
      </c>
      <c r="M157" s="7" t="s">
        <v>2540</v>
      </c>
    </row>
    <row r="158" customFormat="false" ht="15" hidden="false" customHeight="false" outlineLevel="0" collapsed="false">
      <c r="A158" s="48" t="s">
        <v>420</v>
      </c>
      <c r="B158" s="48" t="s">
        <v>2546</v>
      </c>
      <c r="C158" s="48" t="s">
        <v>421</v>
      </c>
      <c r="D158" s="48"/>
      <c r="E158" s="48"/>
      <c r="F158" s="48"/>
      <c r="G158" s="48"/>
      <c r="H158" s="48" t="s">
        <v>765</v>
      </c>
      <c r="I158" s="49" t="n">
        <f aca="false">SUMPRODUCT(E159:E159,I159:I159)</f>
        <v>529.44</v>
      </c>
      <c r="J158" s="49" t="n">
        <f aca="false">SUM(J159:J159)</f>
        <v>529.44</v>
      </c>
      <c r="K158" s="48"/>
      <c r="L158" s="48"/>
      <c r="M158" s="48"/>
    </row>
    <row r="159" customFormat="false" ht="52.2" hidden="false" customHeight="false" outlineLevel="1" collapsed="false">
      <c r="A159" s="27"/>
      <c r="B159" s="27" t="s">
        <v>2546</v>
      </c>
      <c r="C159" s="7" t="s">
        <v>2547</v>
      </c>
      <c r="D159" s="27" t="s">
        <v>727</v>
      </c>
      <c r="E159" s="50" t="n">
        <v>6</v>
      </c>
      <c r="F159" s="50" t="n">
        <v>6</v>
      </c>
      <c r="G159" s="27" t="s">
        <v>767</v>
      </c>
      <c r="H159" s="50" t="n">
        <f aca="false">F159</f>
        <v>6</v>
      </c>
      <c r="I159" s="51" t="n">
        <v>88.24</v>
      </c>
      <c r="J159" s="28" t="n">
        <f aca="false">H159*I159</f>
        <v>529.44</v>
      </c>
      <c r="K159" s="52" t="s">
        <v>548</v>
      </c>
      <c r="L159" s="7" t="s">
        <v>2548</v>
      </c>
      <c r="M159" s="7" t="s">
        <v>2549</v>
      </c>
    </row>
    <row r="160" customFormat="false" ht="15" hidden="false" customHeight="false" outlineLevel="0" collapsed="false">
      <c r="A160" s="48" t="s">
        <v>422</v>
      </c>
      <c r="B160" s="48" t="s">
        <v>2550</v>
      </c>
      <c r="C160" s="48" t="s">
        <v>423</v>
      </c>
      <c r="D160" s="48"/>
      <c r="E160" s="48"/>
      <c r="F160" s="48"/>
      <c r="G160" s="48"/>
      <c r="H160" s="48" t="s">
        <v>765</v>
      </c>
      <c r="I160" s="49" t="n">
        <f aca="false">SUMPRODUCT(E161:E198,I161:I198)</f>
        <v>357194.66</v>
      </c>
      <c r="J160" s="49" t="n">
        <f aca="false">SUM(J161:J198)</f>
        <v>324109.624405594</v>
      </c>
      <c r="K160" s="48"/>
      <c r="L160" s="48"/>
      <c r="M160" s="48"/>
    </row>
    <row r="161" customFormat="false" ht="52.2" hidden="false" customHeight="false" outlineLevel="1" collapsed="false">
      <c r="A161" s="27"/>
      <c r="B161" s="27" t="s">
        <v>2550</v>
      </c>
      <c r="C161" s="7" t="s">
        <v>2551</v>
      </c>
      <c r="D161" s="27" t="s">
        <v>727</v>
      </c>
      <c r="E161" s="50" t="n">
        <v>1</v>
      </c>
      <c r="F161" s="50" t="n">
        <v>1</v>
      </c>
      <c r="G161" s="27" t="s">
        <v>767</v>
      </c>
      <c r="H161" s="50" t="n">
        <f aca="false">F161</f>
        <v>1</v>
      </c>
      <c r="I161" s="51" t="n">
        <v>33868</v>
      </c>
      <c r="J161" s="28" t="n">
        <f aca="false">H161*I161</f>
        <v>33868</v>
      </c>
      <c r="K161" s="52" t="s">
        <v>548</v>
      </c>
      <c r="L161" s="7" t="s">
        <v>2552</v>
      </c>
      <c r="M161" s="7" t="s">
        <v>2553</v>
      </c>
    </row>
    <row r="162" customFormat="false" ht="26.85" hidden="false" customHeight="false" outlineLevel="1" collapsed="false">
      <c r="A162" s="27"/>
      <c r="B162" s="27" t="s">
        <v>2550</v>
      </c>
      <c r="C162" s="7" t="s">
        <v>2554</v>
      </c>
      <c r="D162" s="27" t="s">
        <v>727</v>
      </c>
      <c r="E162" s="50" t="n">
        <v>1</v>
      </c>
      <c r="F162" s="50" t="n">
        <v>1</v>
      </c>
      <c r="G162" s="27" t="s">
        <v>767</v>
      </c>
      <c r="H162" s="50" t="n">
        <f aca="false">F162</f>
        <v>1</v>
      </c>
      <c r="I162" s="51" t="n">
        <v>33868</v>
      </c>
      <c r="J162" s="28" t="n">
        <f aca="false">H162*I162</f>
        <v>33868</v>
      </c>
      <c r="K162" s="52" t="s">
        <v>548</v>
      </c>
      <c r="L162" s="7" t="s">
        <v>2555</v>
      </c>
      <c r="M162" s="7" t="s">
        <v>2556</v>
      </c>
    </row>
    <row r="163" customFormat="false" ht="26.85" hidden="false" customHeight="false" outlineLevel="1" collapsed="false">
      <c r="A163" s="27"/>
      <c r="B163" s="27" t="s">
        <v>2550</v>
      </c>
      <c r="C163" s="7" t="s">
        <v>2557</v>
      </c>
      <c r="D163" s="27" t="s">
        <v>727</v>
      </c>
      <c r="E163" s="50" t="n">
        <v>1</v>
      </c>
      <c r="F163" s="50" t="n">
        <v>1</v>
      </c>
      <c r="G163" s="27" t="s">
        <v>767</v>
      </c>
      <c r="H163" s="50" t="n">
        <f aca="false">F163</f>
        <v>1</v>
      </c>
      <c r="I163" s="51" t="n">
        <v>5002.45</v>
      </c>
      <c r="J163" s="28" t="n">
        <f aca="false">H163*I163</f>
        <v>5002.45</v>
      </c>
      <c r="K163" s="52" t="s">
        <v>548</v>
      </c>
      <c r="L163" s="7" t="s">
        <v>2558</v>
      </c>
      <c r="M163" s="7"/>
    </row>
    <row r="164" customFormat="false" ht="52.2" hidden="false" customHeight="false" outlineLevel="1" collapsed="false">
      <c r="A164" s="27"/>
      <c r="B164" s="27" t="s">
        <v>2550</v>
      </c>
      <c r="C164" s="7" t="s">
        <v>2559</v>
      </c>
      <c r="D164" s="27" t="s">
        <v>816</v>
      </c>
      <c r="E164" s="50" t="n">
        <v>1</v>
      </c>
      <c r="F164" s="50" t="n">
        <v>1</v>
      </c>
      <c r="G164" s="27" t="s">
        <v>767</v>
      </c>
      <c r="H164" s="50" t="n">
        <f aca="false">F164</f>
        <v>1</v>
      </c>
      <c r="I164" s="51" t="n">
        <v>8232</v>
      </c>
      <c r="J164" s="28" t="n">
        <f aca="false">H164*I164</f>
        <v>8232</v>
      </c>
      <c r="K164" s="52" t="s">
        <v>548</v>
      </c>
      <c r="L164" s="7" t="s">
        <v>2560</v>
      </c>
      <c r="M164" s="7" t="s">
        <v>2561</v>
      </c>
    </row>
    <row r="165" customFormat="false" ht="39.55" hidden="false" customHeight="false" outlineLevel="1" collapsed="false">
      <c r="A165" s="27"/>
      <c r="B165" s="27" t="s">
        <v>2550</v>
      </c>
      <c r="C165" s="7" t="s">
        <v>2562</v>
      </c>
      <c r="D165" s="27" t="s">
        <v>816</v>
      </c>
      <c r="E165" s="50" t="n">
        <v>1</v>
      </c>
      <c r="F165" s="50" t="n">
        <v>1</v>
      </c>
      <c r="G165" s="27" t="s">
        <v>767</v>
      </c>
      <c r="H165" s="50" t="n">
        <f aca="false">F165</f>
        <v>1</v>
      </c>
      <c r="I165" s="51" t="n">
        <v>6500</v>
      </c>
      <c r="J165" s="28" t="n">
        <f aca="false">H165*I165</f>
        <v>6500</v>
      </c>
      <c r="K165" s="52" t="s">
        <v>548</v>
      </c>
      <c r="L165" s="7" t="s">
        <v>2563</v>
      </c>
      <c r="M165" s="7" t="s">
        <v>2564</v>
      </c>
    </row>
    <row r="166" customFormat="false" ht="64.9" hidden="false" customHeight="false" outlineLevel="1" collapsed="false">
      <c r="A166" s="27"/>
      <c r="B166" s="27" t="s">
        <v>2550</v>
      </c>
      <c r="C166" s="7" t="s">
        <v>2565</v>
      </c>
      <c r="D166" s="27" t="s">
        <v>853</v>
      </c>
      <c r="E166" s="50" t="n">
        <v>129</v>
      </c>
      <c r="F166" s="50" t="n">
        <v>129</v>
      </c>
      <c r="G166" s="27" t="s">
        <v>767</v>
      </c>
      <c r="H166" s="50" t="n">
        <f aca="false">F166</f>
        <v>129</v>
      </c>
      <c r="I166" s="51" t="n">
        <v>72</v>
      </c>
      <c r="J166" s="28" t="n">
        <f aca="false">H166*I166</f>
        <v>9288</v>
      </c>
      <c r="K166" s="52" t="s">
        <v>548</v>
      </c>
      <c r="L166" s="7" t="s">
        <v>2566</v>
      </c>
      <c r="M166" s="7" t="s">
        <v>2567</v>
      </c>
    </row>
    <row r="167" customFormat="false" ht="52.2" hidden="false" customHeight="false" outlineLevel="1" collapsed="false">
      <c r="A167" s="27"/>
      <c r="B167" s="27" t="s">
        <v>2550</v>
      </c>
      <c r="C167" s="7" t="s">
        <v>2568</v>
      </c>
      <c r="D167" s="27" t="s">
        <v>727</v>
      </c>
      <c r="E167" s="50" t="n">
        <v>1</v>
      </c>
      <c r="F167" s="50" t="n">
        <v>1</v>
      </c>
      <c r="G167" s="27" t="s">
        <v>767</v>
      </c>
      <c r="H167" s="50" t="n">
        <f aca="false">F167</f>
        <v>1</v>
      </c>
      <c r="I167" s="51" t="n">
        <v>984.45</v>
      </c>
      <c r="J167" s="28" t="n">
        <f aca="false">H167*I167</f>
        <v>984.45</v>
      </c>
      <c r="K167" s="52" t="s">
        <v>548</v>
      </c>
      <c r="L167" s="7" t="s">
        <v>2569</v>
      </c>
      <c r="M167" s="7" t="s">
        <v>2570</v>
      </c>
    </row>
    <row r="168" customFormat="false" ht="102.95" hidden="false" customHeight="false" outlineLevel="1" collapsed="false">
      <c r="A168" s="27"/>
      <c r="B168" s="27" t="s">
        <v>2550</v>
      </c>
      <c r="C168" s="7" t="s">
        <v>2571</v>
      </c>
      <c r="D168" s="27" t="s">
        <v>727</v>
      </c>
      <c r="E168" s="50" t="n">
        <v>1</v>
      </c>
      <c r="F168" s="50" t="n">
        <v>1</v>
      </c>
      <c r="G168" s="27" t="s">
        <v>767</v>
      </c>
      <c r="H168" s="50" t="n">
        <f aca="false">F168</f>
        <v>1</v>
      </c>
      <c r="I168" s="51" t="n">
        <v>246.9</v>
      </c>
      <c r="J168" s="28" t="n">
        <f aca="false">H168*I168</f>
        <v>246.9</v>
      </c>
      <c r="K168" s="52" t="s">
        <v>548</v>
      </c>
      <c r="L168" s="7" t="s">
        <v>2572</v>
      </c>
      <c r="M168" s="7" t="s">
        <v>2573</v>
      </c>
    </row>
    <row r="169" customFormat="false" ht="141" hidden="false" customHeight="false" outlineLevel="1" collapsed="false">
      <c r="A169" s="27"/>
      <c r="B169" s="27" t="s">
        <v>2550</v>
      </c>
      <c r="C169" s="7" t="s">
        <v>2574</v>
      </c>
      <c r="D169" s="27" t="s">
        <v>727</v>
      </c>
      <c r="E169" s="50" t="n">
        <v>17</v>
      </c>
      <c r="F169" s="50" t="n">
        <v>17</v>
      </c>
      <c r="G169" s="27" t="s">
        <v>767</v>
      </c>
      <c r="H169" s="50" t="n">
        <f aca="false">F169</f>
        <v>17</v>
      </c>
      <c r="I169" s="51" t="n">
        <v>373.93</v>
      </c>
      <c r="J169" s="28" t="n">
        <f aca="false">H169*I169</f>
        <v>6356.81</v>
      </c>
      <c r="K169" s="52" t="s">
        <v>548</v>
      </c>
      <c r="L169" s="7" t="s">
        <v>2575</v>
      </c>
      <c r="M169" s="7"/>
    </row>
    <row r="170" customFormat="false" ht="52.2" hidden="false" customHeight="false" outlineLevel="1" collapsed="false">
      <c r="A170" s="27"/>
      <c r="B170" s="27" t="s">
        <v>2550</v>
      </c>
      <c r="C170" s="7" t="s">
        <v>2576</v>
      </c>
      <c r="D170" s="27" t="s">
        <v>727</v>
      </c>
      <c r="E170" s="50" t="n">
        <v>4</v>
      </c>
      <c r="F170" s="50" t="n">
        <v>4</v>
      </c>
      <c r="G170" s="27" t="s">
        <v>767</v>
      </c>
      <c r="H170" s="50" t="n">
        <f aca="false">F170</f>
        <v>4</v>
      </c>
      <c r="I170" s="51" t="n">
        <v>128.88</v>
      </c>
      <c r="J170" s="28" t="n">
        <f aca="false">H170*I170</f>
        <v>515.52</v>
      </c>
      <c r="K170" s="52" t="s">
        <v>548</v>
      </c>
      <c r="L170" s="7" t="s">
        <v>2577</v>
      </c>
      <c r="M170" s="7" t="s">
        <v>2578</v>
      </c>
    </row>
    <row r="171" customFormat="false" ht="52.2" hidden="false" customHeight="false" outlineLevel="1" collapsed="false">
      <c r="A171" s="27"/>
      <c r="B171" s="27" t="s">
        <v>2550</v>
      </c>
      <c r="C171" s="7" t="s">
        <v>2579</v>
      </c>
      <c r="D171" s="27" t="s">
        <v>853</v>
      </c>
      <c r="E171" s="50" t="n">
        <v>174</v>
      </c>
      <c r="F171" s="50" t="n">
        <v>174</v>
      </c>
      <c r="G171" s="27" t="s">
        <v>865</v>
      </c>
      <c r="H171" s="50" t="n">
        <f aca="false">F171/IF(Varsayimlar!$B$21=1,1.43,1)</f>
        <v>121.678321678322</v>
      </c>
      <c r="I171" s="51" t="n">
        <v>52</v>
      </c>
      <c r="J171" s="28" t="n">
        <f aca="false">H171*I171</f>
        <v>6327.27272727273</v>
      </c>
      <c r="K171" s="52" t="s">
        <v>548</v>
      </c>
      <c r="L171" s="7" t="s">
        <v>2580</v>
      </c>
      <c r="M171" s="7" t="s">
        <v>2581</v>
      </c>
    </row>
    <row r="172" customFormat="false" ht="141" hidden="false" customHeight="false" outlineLevel="1" collapsed="false">
      <c r="A172" s="27"/>
      <c r="B172" s="27" t="s">
        <v>2550</v>
      </c>
      <c r="C172" s="7" t="s">
        <v>2582</v>
      </c>
      <c r="D172" s="27" t="s">
        <v>853</v>
      </c>
      <c r="E172" s="50" t="n">
        <v>58</v>
      </c>
      <c r="F172" s="50" t="n">
        <v>58</v>
      </c>
      <c r="G172" s="27" t="s">
        <v>865</v>
      </c>
      <c r="H172" s="50" t="n">
        <f aca="false">F172/IF(Varsayimlar!$B$21=1,1.43,1)</f>
        <v>40.5594405594406</v>
      </c>
      <c r="I172" s="51" t="n">
        <v>32.54</v>
      </c>
      <c r="J172" s="28" t="n">
        <f aca="false">H172*I172</f>
        <v>1319.8041958042</v>
      </c>
      <c r="K172" s="52" t="s">
        <v>548</v>
      </c>
      <c r="L172" s="7" t="s">
        <v>2583</v>
      </c>
      <c r="M172" s="7" t="s">
        <v>2584</v>
      </c>
    </row>
    <row r="173" customFormat="false" ht="115.65" hidden="false" customHeight="false" outlineLevel="1" collapsed="false">
      <c r="A173" s="27"/>
      <c r="B173" s="27" t="s">
        <v>2550</v>
      </c>
      <c r="C173" s="7" t="s">
        <v>2585</v>
      </c>
      <c r="D173" s="27" t="s">
        <v>853</v>
      </c>
      <c r="E173" s="50" t="n">
        <v>155</v>
      </c>
      <c r="F173" s="50" t="n">
        <v>155</v>
      </c>
      <c r="G173" s="27" t="s">
        <v>865</v>
      </c>
      <c r="H173" s="50" t="n">
        <f aca="false">F173/IF(Varsayimlar!$B$21=1,1.43,1)</f>
        <v>108.391608391608</v>
      </c>
      <c r="I173" s="51" t="n">
        <v>28</v>
      </c>
      <c r="J173" s="28" t="n">
        <f aca="false">H173*I173</f>
        <v>3034.96503496504</v>
      </c>
      <c r="K173" s="52" t="s">
        <v>548</v>
      </c>
      <c r="L173" s="7" t="s">
        <v>2586</v>
      </c>
      <c r="M173" s="7" t="s">
        <v>2587</v>
      </c>
    </row>
    <row r="174" customFormat="false" ht="115.65" hidden="false" customHeight="false" outlineLevel="1" collapsed="false">
      <c r="A174" s="27"/>
      <c r="B174" s="27" t="s">
        <v>2550</v>
      </c>
      <c r="C174" s="7" t="s">
        <v>2588</v>
      </c>
      <c r="D174" s="27" t="s">
        <v>727</v>
      </c>
      <c r="E174" s="50" t="n">
        <v>11</v>
      </c>
      <c r="F174" s="50" t="n">
        <v>11</v>
      </c>
      <c r="G174" s="27" t="s">
        <v>767</v>
      </c>
      <c r="H174" s="50" t="n">
        <f aca="false">F174</f>
        <v>11</v>
      </c>
      <c r="I174" s="51" t="n">
        <v>340.45</v>
      </c>
      <c r="J174" s="28" t="n">
        <f aca="false">H174*I174</f>
        <v>3744.95</v>
      </c>
      <c r="K174" s="52" t="s">
        <v>548</v>
      </c>
      <c r="L174" s="7" t="s">
        <v>2589</v>
      </c>
      <c r="M174" s="7"/>
    </row>
    <row r="175" customFormat="false" ht="52.2" hidden="false" customHeight="false" outlineLevel="1" collapsed="false">
      <c r="A175" s="27"/>
      <c r="B175" s="27" t="s">
        <v>2550</v>
      </c>
      <c r="C175" s="7" t="s">
        <v>2590</v>
      </c>
      <c r="D175" s="27" t="s">
        <v>727</v>
      </c>
      <c r="E175" s="50" t="n">
        <v>2</v>
      </c>
      <c r="F175" s="50" t="n">
        <v>2</v>
      </c>
      <c r="G175" s="27" t="s">
        <v>767</v>
      </c>
      <c r="H175" s="50" t="n">
        <f aca="false">F175</f>
        <v>2</v>
      </c>
      <c r="I175" s="51" t="n">
        <v>80</v>
      </c>
      <c r="J175" s="28" t="n">
        <f aca="false">H175*I175</f>
        <v>160</v>
      </c>
      <c r="K175" s="52" t="s">
        <v>548</v>
      </c>
      <c r="L175" s="7" t="s">
        <v>2591</v>
      </c>
      <c r="M175" s="7" t="s">
        <v>2592</v>
      </c>
    </row>
    <row r="176" customFormat="false" ht="128.35" hidden="false" customHeight="false" outlineLevel="1" collapsed="false">
      <c r="A176" s="27"/>
      <c r="B176" s="27" t="s">
        <v>2550</v>
      </c>
      <c r="C176" s="7" t="s">
        <v>2593</v>
      </c>
      <c r="D176" s="27" t="s">
        <v>727</v>
      </c>
      <c r="E176" s="50" t="n">
        <v>17</v>
      </c>
      <c r="F176" s="50" t="n">
        <v>17</v>
      </c>
      <c r="G176" s="27" t="s">
        <v>767</v>
      </c>
      <c r="H176" s="50" t="n">
        <f aca="false">F176</f>
        <v>17</v>
      </c>
      <c r="I176" s="51" t="n">
        <v>45</v>
      </c>
      <c r="J176" s="28" t="n">
        <f aca="false">H176*I176</f>
        <v>765</v>
      </c>
      <c r="K176" s="52" t="s">
        <v>548</v>
      </c>
      <c r="L176" s="7" t="s">
        <v>2594</v>
      </c>
      <c r="M176" s="7" t="s">
        <v>2595</v>
      </c>
    </row>
    <row r="177" customFormat="false" ht="64.9" hidden="false" customHeight="false" outlineLevel="1" collapsed="false">
      <c r="A177" s="27"/>
      <c r="B177" s="27" t="s">
        <v>2550</v>
      </c>
      <c r="C177" s="7" t="s">
        <v>2596</v>
      </c>
      <c r="D177" s="27" t="s">
        <v>732</v>
      </c>
      <c r="E177" s="50" t="n">
        <v>1</v>
      </c>
      <c r="F177" s="50" t="n">
        <v>1</v>
      </c>
      <c r="G177" s="27" t="s">
        <v>767</v>
      </c>
      <c r="H177" s="50" t="n">
        <f aca="false">F177</f>
        <v>1</v>
      </c>
      <c r="I177" s="51" t="n">
        <v>20400</v>
      </c>
      <c r="J177" s="28" t="n">
        <f aca="false">H177*I177</f>
        <v>20400</v>
      </c>
      <c r="K177" s="52" t="s">
        <v>548</v>
      </c>
      <c r="L177" s="7" t="s">
        <v>2597</v>
      </c>
      <c r="M177" s="7" t="s">
        <v>2598</v>
      </c>
    </row>
    <row r="178" customFormat="false" ht="102.95" hidden="false" customHeight="false" outlineLevel="1" collapsed="false">
      <c r="A178" s="27"/>
      <c r="B178" s="27" t="s">
        <v>2550</v>
      </c>
      <c r="C178" s="7" t="s">
        <v>2599</v>
      </c>
      <c r="D178" s="27" t="s">
        <v>727</v>
      </c>
      <c r="E178" s="50" t="n">
        <v>205</v>
      </c>
      <c r="F178" s="50" t="n">
        <v>205</v>
      </c>
      <c r="G178" s="27" t="s">
        <v>829</v>
      </c>
      <c r="H178" s="50" t="n">
        <f aca="false">F178/IF(Varsayimlar!$B$21=1,1.3,1)</f>
        <v>157.692307692308</v>
      </c>
      <c r="I178" s="51" t="n">
        <v>18.59</v>
      </c>
      <c r="J178" s="28" t="n">
        <f aca="false">H178*I178</f>
        <v>2931.5</v>
      </c>
      <c r="K178" s="52" t="s">
        <v>548</v>
      </c>
      <c r="L178" s="7" t="s">
        <v>2600</v>
      </c>
      <c r="M178" s="7" t="s">
        <v>2601</v>
      </c>
    </row>
    <row r="179" customFormat="false" ht="39.55" hidden="false" customHeight="false" outlineLevel="1" collapsed="false">
      <c r="A179" s="27"/>
      <c r="B179" s="27" t="s">
        <v>2550</v>
      </c>
      <c r="C179" s="7" t="s">
        <v>2602</v>
      </c>
      <c r="D179" s="27" t="s">
        <v>727</v>
      </c>
      <c r="E179" s="50" t="n">
        <v>2</v>
      </c>
      <c r="F179" s="50" t="n">
        <v>2</v>
      </c>
      <c r="G179" s="27" t="s">
        <v>767</v>
      </c>
      <c r="H179" s="50" t="n">
        <f aca="false">F179</f>
        <v>2</v>
      </c>
      <c r="I179" s="51" t="n">
        <v>83.24</v>
      </c>
      <c r="J179" s="28" t="n">
        <f aca="false">H179*I179</f>
        <v>166.48</v>
      </c>
      <c r="K179" s="52" t="s">
        <v>548</v>
      </c>
      <c r="L179" s="7" t="s">
        <v>2603</v>
      </c>
      <c r="M179" s="7" t="s">
        <v>2549</v>
      </c>
    </row>
    <row r="180" customFormat="false" ht="39.55" hidden="false" customHeight="false" outlineLevel="1" collapsed="false">
      <c r="A180" s="27"/>
      <c r="B180" s="27" t="s">
        <v>2550</v>
      </c>
      <c r="C180" s="7" t="s">
        <v>2604</v>
      </c>
      <c r="D180" s="27" t="s">
        <v>727</v>
      </c>
      <c r="E180" s="50" t="n">
        <v>2</v>
      </c>
      <c r="F180" s="50" t="n">
        <v>2</v>
      </c>
      <c r="G180" s="27" t="s">
        <v>767</v>
      </c>
      <c r="H180" s="50" t="n">
        <f aca="false">F180</f>
        <v>2</v>
      </c>
      <c r="I180" s="51" t="n">
        <v>61</v>
      </c>
      <c r="J180" s="28" t="n">
        <f aca="false">H180*I180</f>
        <v>122</v>
      </c>
      <c r="K180" s="52" t="s">
        <v>548</v>
      </c>
      <c r="L180" s="7" t="s">
        <v>2605</v>
      </c>
      <c r="M180" s="7" t="s">
        <v>2606</v>
      </c>
    </row>
    <row r="181" customFormat="false" ht="128.35" hidden="false" customHeight="false" outlineLevel="1" collapsed="false">
      <c r="A181" s="27"/>
      <c r="B181" s="27" t="s">
        <v>2550</v>
      </c>
      <c r="C181" s="7" t="s">
        <v>2607</v>
      </c>
      <c r="D181" s="27" t="s">
        <v>727</v>
      </c>
      <c r="E181" s="50" t="n">
        <v>1</v>
      </c>
      <c r="F181" s="50" t="n">
        <v>1</v>
      </c>
      <c r="G181" s="27" t="s">
        <v>767</v>
      </c>
      <c r="H181" s="50" t="n">
        <f aca="false">F181</f>
        <v>1</v>
      </c>
      <c r="I181" s="51" t="n">
        <v>42.63</v>
      </c>
      <c r="J181" s="28" t="n">
        <f aca="false">H181*I181</f>
        <v>42.63</v>
      </c>
      <c r="K181" s="52" t="s">
        <v>548</v>
      </c>
      <c r="L181" s="7" t="s">
        <v>2608</v>
      </c>
      <c r="M181" s="7" t="s">
        <v>1973</v>
      </c>
    </row>
    <row r="182" customFormat="false" ht="39.55" hidden="false" customHeight="false" outlineLevel="1" collapsed="false">
      <c r="A182" s="27"/>
      <c r="B182" s="27" t="s">
        <v>2550</v>
      </c>
      <c r="C182" s="7" t="s">
        <v>2609</v>
      </c>
      <c r="D182" s="27" t="s">
        <v>727</v>
      </c>
      <c r="E182" s="50" t="n">
        <v>5</v>
      </c>
      <c r="F182" s="50" t="n">
        <v>5</v>
      </c>
      <c r="G182" s="27" t="s">
        <v>767</v>
      </c>
      <c r="H182" s="50" t="n">
        <f aca="false">F182</f>
        <v>5</v>
      </c>
      <c r="I182" s="51" t="n">
        <v>83.24</v>
      </c>
      <c r="J182" s="28" t="n">
        <f aca="false">H182*I182</f>
        <v>416.2</v>
      </c>
      <c r="K182" s="52" t="s">
        <v>548</v>
      </c>
      <c r="L182" s="7" t="s">
        <v>2603</v>
      </c>
      <c r="M182" s="7" t="s">
        <v>2549</v>
      </c>
    </row>
    <row r="183" customFormat="false" ht="52.2" hidden="false" customHeight="false" outlineLevel="1" collapsed="false">
      <c r="A183" s="27"/>
      <c r="B183" s="27" t="s">
        <v>2550</v>
      </c>
      <c r="C183" s="7" t="s">
        <v>2610</v>
      </c>
      <c r="D183" s="27" t="s">
        <v>727</v>
      </c>
      <c r="E183" s="50" t="n">
        <v>2</v>
      </c>
      <c r="F183" s="50" t="n">
        <v>2</v>
      </c>
      <c r="G183" s="27" t="s">
        <v>767</v>
      </c>
      <c r="H183" s="50" t="n">
        <f aca="false">F183</f>
        <v>2</v>
      </c>
      <c r="I183" s="51" t="n">
        <v>62.93</v>
      </c>
      <c r="J183" s="28" t="n">
        <f aca="false">H183*I183</f>
        <v>125.86</v>
      </c>
      <c r="K183" s="52" t="s">
        <v>548</v>
      </c>
      <c r="L183" s="7" t="s">
        <v>2611</v>
      </c>
      <c r="M183" s="7" t="s">
        <v>2612</v>
      </c>
    </row>
    <row r="184" customFormat="false" ht="52.2" hidden="false" customHeight="false" outlineLevel="1" collapsed="false">
      <c r="A184" s="27"/>
      <c r="B184" s="27" t="s">
        <v>2550</v>
      </c>
      <c r="C184" s="7" t="s">
        <v>2613</v>
      </c>
      <c r="D184" s="27" t="s">
        <v>727</v>
      </c>
      <c r="E184" s="50" t="n">
        <v>453</v>
      </c>
      <c r="F184" s="50" t="n">
        <v>453</v>
      </c>
      <c r="G184" s="27" t="s">
        <v>767</v>
      </c>
      <c r="H184" s="50" t="n">
        <f aca="false">F184</f>
        <v>453</v>
      </c>
      <c r="I184" s="51" t="n">
        <v>22</v>
      </c>
      <c r="J184" s="28" t="n">
        <f aca="false">H184*I184</f>
        <v>9966</v>
      </c>
      <c r="K184" s="52" t="s">
        <v>548</v>
      </c>
      <c r="L184" s="7" t="s">
        <v>2614</v>
      </c>
      <c r="M184" s="7" t="s">
        <v>2615</v>
      </c>
    </row>
    <row r="185" customFormat="false" ht="52.2" hidden="false" customHeight="false" outlineLevel="1" collapsed="false">
      <c r="A185" s="27"/>
      <c r="B185" s="27" t="s">
        <v>2550</v>
      </c>
      <c r="C185" s="7" t="s">
        <v>2616</v>
      </c>
      <c r="D185" s="27" t="s">
        <v>816</v>
      </c>
      <c r="E185" s="50" t="n">
        <v>1</v>
      </c>
      <c r="F185" s="50" t="n">
        <v>1</v>
      </c>
      <c r="G185" s="27" t="s">
        <v>829</v>
      </c>
      <c r="H185" s="50" t="n">
        <f aca="false">F185/IF(Varsayimlar!$B$21=1,1.3,1)</f>
        <v>0.769230769230769</v>
      </c>
      <c r="I185" s="51" t="n">
        <v>323.72</v>
      </c>
      <c r="J185" s="28" t="n">
        <f aca="false">H185*I185</f>
        <v>249.015384615385</v>
      </c>
      <c r="K185" s="52" t="s">
        <v>548</v>
      </c>
      <c r="L185" s="7" t="s">
        <v>2617</v>
      </c>
      <c r="M185" s="7" t="s">
        <v>1764</v>
      </c>
    </row>
    <row r="186" customFormat="false" ht="39.55" hidden="false" customHeight="false" outlineLevel="1" collapsed="false">
      <c r="A186" s="27"/>
      <c r="B186" s="27" t="s">
        <v>2550</v>
      </c>
      <c r="C186" s="7" t="s">
        <v>2618</v>
      </c>
      <c r="D186" s="27" t="s">
        <v>853</v>
      </c>
      <c r="E186" s="50" t="n">
        <v>1517</v>
      </c>
      <c r="F186" s="50" t="n">
        <v>1517</v>
      </c>
      <c r="G186" s="27" t="s">
        <v>865</v>
      </c>
      <c r="H186" s="50" t="n">
        <f aca="false">F186/IF(Varsayimlar!$B$21=1,1.43,1)</f>
        <v>1060.83916083916</v>
      </c>
      <c r="I186" s="51" t="n">
        <v>20.86</v>
      </c>
      <c r="J186" s="28" t="n">
        <f aca="false">H186*I186</f>
        <v>22129.1048951049</v>
      </c>
      <c r="K186" s="52" t="s">
        <v>548</v>
      </c>
      <c r="L186" s="7" t="s">
        <v>2619</v>
      </c>
      <c r="M186" s="7"/>
    </row>
    <row r="187" customFormat="false" ht="39.55" hidden="false" customHeight="false" outlineLevel="1" collapsed="false">
      <c r="A187" s="27"/>
      <c r="B187" s="27" t="s">
        <v>2550</v>
      </c>
      <c r="C187" s="7" t="s">
        <v>2620</v>
      </c>
      <c r="D187" s="27" t="s">
        <v>853</v>
      </c>
      <c r="E187" s="50" t="n">
        <v>632</v>
      </c>
      <c r="F187" s="50" t="n">
        <v>632</v>
      </c>
      <c r="G187" s="27" t="s">
        <v>865</v>
      </c>
      <c r="H187" s="50" t="n">
        <f aca="false">F187/IF(Varsayimlar!$B$21=1,1.43,1)</f>
        <v>441.958041958042</v>
      </c>
      <c r="I187" s="51" t="n">
        <v>21</v>
      </c>
      <c r="J187" s="28" t="n">
        <f aca="false">H187*I187</f>
        <v>9281.11888111888</v>
      </c>
      <c r="K187" s="52" t="s">
        <v>548</v>
      </c>
      <c r="L187" s="7" t="s">
        <v>2621</v>
      </c>
      <c r="M187" s="7" t="s">
        <v>2622</v>
      </c>
    </row>
    <row r="188" customFormat="false" ht="26.85" hidden="false" customHeight="false" outlineLevel="1" collapsed="false">
      <c r="A188" s="27"/>
      <c r="B188" s="27" t="s">
        <v>2550</v>
      </c>
      <c r="C188" s="7" t="s">
        <v>2623</v>
      </c>
      <c r="D188" s="27" t="s">
        <v>853</v>
      </c>
      <c r="E188" s="50" t="n">
        <v>380</v>
      </c>
      <c r="F188" s="50" t="n">
        <v>380</v>
      </c>
      <c r="G188" s="27" t="s">
        <v>865</v>
      </c>
      <c r="H188" s="50" t="n">
        <f aca="false">F188/IF(Varsayimlar!$B$21=1,1.43,1)</f>
        <v>265.734265734266</v>
      </c>
      <c r="I188" s="51" t="n">
        <v>24</v>
      </c>
      <c r="J188" s="28" t="n">
        <f aca="false">H188*I188</f>
        <v>6377.62237762238</v>
      </c>
      <c r="K188" s="52" t="s">
        <v>548</v>
      </c>
      <c r="L188" s="7" t="s">
        <v>2624</v>
      </c>
      <c r="M188" s="7" t="s">
        <v>2625</v>
      </c>
    </row>
    <row r="189" customFormat="false" ht="115.65" hidden="false" customHeight="false" outlineLevel="1" collapsed="false">
      <c r="A189" s="27"/>
      <c r="B189" s="27" t="s">
        <v>2550</v>
      </c>
      <c r="C189" s="7" t="s">
        <v>2626</v>
      </c>
      <c r="D189" s="27" t="s">
        <v>853</v>
      </c>
      <c r="E189" s="50" t="n">
        <v>174</v>
      </c>
      <c r="F189" s="50" t="n">
        <v>174</v>
      </c>
      <c r="G189" s="27" t="s">
        <v>865</v>
      </c>
      <c r="H189" s="50" t="n">
        <f aca="false">F189/IF(Varsayimlar!$B$21=1,1.43,1)</f>
        <v>121.678321678322</v>
      </c>
      <c r="I189" s="51" t="n">
        <v>30.44</v>
      </c>
      <c r="J189" s="28" t="n">
        <f aca="false">H189*I189</f>
        <v>3703.88811188811</v>
      </c>
      <c r="K189" s="52" t="s">
        <v>548</v>
      </c>
      <c r="L189" s="7" t="s">
        <v>2627</v>
      </c>
      <c r="M189" s="7"/>
    </row>
    <row r="190" customFormat="false" ht="128.35" hidden="false" customHeight="false" outlineLevel="1" collapsed="false">
      <c r="A190" s="27"/>
      <c r="B190" s="27" t="s">
        <v>2550</v>
      </c>
      <c r="C190" s="7" t="s">
        <v>2628</v>
      </c>
      <c r="D190" s="27" t="s">
        <v>853</v>
      </c>
      <c r="E190" s="50" t="n">
        <v>145</v>
      </c>
      <c r="F190" s="50" t="n">
        <v>145</v>
      </c>
      <c r="G190" s="27" t="s">
        <v>865</v>
      </c>
      <c r="H190" s="50" t="n">
        <f aca="false">F190/IF(Varsayimlar!$B$21=1,1.43,1)</f>
        <v>101.398601398601</v>
      </c>
      <c r="I190" s="51" t="n">
        <v>32.54</v>
      </c>
      <c r="J190" s="28" t="n">
        <f aca="false">H190*I190</f>
        <v>3299.51048951049</v>
      </c>
      <c r="K190" s="52" t="s">
        <v>548</v>
      </c>
      <c r="L190" s="7" t="s">
        <v>2629</v>
      </c>
      <c r="M190" s="7" t="s">
        <v>2630</v>
      </c>
    </row>
    <row r="191" customFormat="false" ht="77.6" hidden="false" customHeight="false" outlineLevel="1" collapsed="false">
      <c r="A191" s="27"/>
      <c r="B191" s="27" t="s">
        <v>2550</v>
      </c>
      <c r="C191" s="7" t="s">
        <v>2631</v>
      </c>
      <c r="D191" s="27" t="s">
        <v>853</v>
      </c>
      <c r="E191" s="50" t="n">
        <v>116</v>
      </c>
      <c r="F191" s="50" t="n">
        <v>116</v>
      </c>
      <c r="G191" s="27" t="s">
        <v>865</v>
      </c>
      <c r="H191" s="50" t="n">
        <f aca="false">F191/IF(Varsayimlar!$B$21=1,1.43,1)</f>
        <v>81.1188811188811</v>
      </c>
      <c r="I191" s="51" t="n">
        <v>44.47</v>
      </c>
      <c r="J191" s="28" t="n">
        <f aca="false">H191*I191</f>
        <v>3607.35664335664</v>
      </c>
      <c r="K191" s="52" t="s">
        <v>548</v>
      </c>
      <c r="L191" s="7" t="s">
        <v>2632</v>
      </c>
      <c r="M191" s="7" t="s">
        <v>2633</v>
      </c>
    </row>
    <row r="192" customFormat="false" ht="102.95" hidden="false" customHeight="false" outlineLevel="1" collapsed="false">
      <c r="A192" s="27"/>
      <c r="B192" s="27" t="s">
        <v>2550</v>
      </c>
      <c r="C192" s="7" t="s">
        <v>2634</v>
      </c>
      <c r="D192" s="27" t="s">
        <v>853</v>
      </c>
      <c r="E192" s="50" t="n">
        <v>87</v>
      </c>
      <c r="F192" s="50" t="n">
        <v>87</v>
      </c>
      <c r="G192" s="27" t="s">
        <v>865</v>
      </c>
      <c r="H192" s="50" t="n">
        <f aca="false">F192/IF(Varsayimlar!$B$21=1,1.43,1)</f>
        <v>60.8391608391608</v>
      </c>
      <c r="I192" s="51" t="n">
        <v>58.12</v>
      </c>
      <c r="J192" s="28" t="n">
        <f aca="false">H192*I192</f>
        <v>3535.97202797203</v>
      </c>
      <c r="K192" s="52" t="s">
        <v>548</v>
      </c>
      <c r="L192" s="7" t="s">
        <v>2635</v>
      </c>
      <c r="M192" s="7" t="s">
        <v>1918</v>
      </c>
    </row>
    <row r="193" customFormat="false" ht="39.55" hidden="false" customHeight="false" outlineLevel="1" collapsed="false">
      <c r="A193" s="27"/>
      <c r="B193" s="27" t="s">
        <v>2550</v>
      </c>
      <c r="C193" s="7" t="s">
        <v>2636</v>
      </c>
      <c r="D193" s="27" t="s">
        <v>853</v>
      </c>
      <c r="E193" s="50" t="n">
        <v>58</v>
      </c>
      <c r="F193" s="50" t="n">
        <v>58</v>
      </c>
      <c r="G193" s="27" t="s">
        <v>767</v>
      </c>
      <c r="H193" s="50" t="n">
        <f aca="false">F193</f>
        <v>58</v>
      </c>
      <c r="I193" s="51" t="n">
        <v>90</v>
      </c>
      <c r="J193" s="28" t="n">
        <f aca="false">H193*I193</f>
        <v>5220</v>
      </c>
      <c r="K193" s="52" t="s">
        <v>548</v>
      </c>
      <c r="L193" s="7" t="s">
        <v>2637</v>
      </c>
      <c r="M193" s="7" t="s">
        <v>2638</v>
      </c>
    </row>
    <row r="194" customFormat="false" ht="64.9" hidden="false" customHeight="false" outlineLevel="1" collapsed="false">
      <c r="A194" s="27"/>
      <c r="B194" s="27" t="s">
        <v>2550</v>
      </c>
      <c r="C194" s="7" t="s">
        <v>2639</v>
      </c>
      <c r="D194" s="27" t="s">
        <v>853</v>
      </c>
      <c r="E194" s="50" t="n">
        <v>579</v>
      </c>
      <c r="F194" s="50" t="n">
        <v>579</v>
      </c>
      <c r="G194" s="27" t="s">
        <v>865</v>
      </c>
      <c r="H194" s="50" t="n">
        <f aca="false">F194/IF(Varsayimlar!$B$21=1,1.43,1)</f>
        <v>404.895104895105</v>
      </c>
      <c r="I194" s="51" t="n">
        <v>29.9</v>
      </c>
      <c r="J194" s="28" t="n">
        <f aca="false">H194*I194</f>
        <v>12106.3636363636</v>
      </c>
      <c r="K194" s="52" t="s">
        <v>548</v>
      </c>
      <c r="L194" s="7" t="s">
        <v>2640</v>
      </c>
      <c r="M194" s="7" t="s">
        <v>2641</v>
      </c>
    </row>
    <row r="195" customFormat="false" ht="64.9" hidden="false" customHeight="false" outlineLevel="1" collapsed="false">
      <c r="A195" s="27"/>
      <c r="B195" s="27" t="s">
        <v>2550</v>
      </c>
      <c r="C195" s="7" t="s">
        <v>2642</v>
      </c>
      <c r="D195" s="27" t="s">
        <v>727</v>
      </c>
      <c r="E195" s="50" t="n">
        <v>4</v>
      </c>
      <c r="F195" s="50" t="n">
        <v>4</v>
      </c>
      <c r="G195" s="27" t="s">
        <v>767</v>
      </c>
      <c r="H195" s="50" t="n">
        <f aca="false">F195</f>
        <v>4</v>
      </c>
      <c r="I195" s="51" t="n">
        <v>2200</v>
      </c>
      <c r="J195" s="28" t="n">
        <f aca="false">H195*I195</f>
        <v>8800</v>
      </c>
      <c r="K195" s="52" t="s">
        <v>548</v>
      </c>
      <c r="L195" s="7" t="s">
        <v>2643</v>
      </c>
      <c r="M195" s="7" t="s">
        <v>2644</v>
      </c>
    </row>
    <row r="196" customFormat="false" ht="115.65" hidden="false" customHeight="false" outlineLevel="1" collapsed="false">
      <c r="A196" s="27"/>
      <c r="B196" s="27" t="s">
        <v>2550</v>
      </c>
      <c r="C196" s="7" t="s">
        <v>2645</v>
      </c>
      <c r="D196" s="27" t="s">
        <v>727</v>
      </c>
      <c r="E196" s="50" t="n">
        <v>8</v>
      </c>
      <c r="F196" s="50" t="n">
        <v>8</v>
      </c>
      <c r="G196" s="27" t="s">
        <v>767</v>
      </c>
      <c r="H196" s="50" t="n">
        <f aca="false">F196</f>
        <v>8</v>
      </c>
      <c r="I196" s="51" t="n">
        <v>741.36</v>
      </c>
      <c r="J196" s="28" t="n">
        <f aca="false">H196*I196</f>
        <v>5930.88</v>
      </c>
      <c r="K196" s="52" t="s">
        <v>548</v>
      </c>
      <c r="L196" s="7" t="s">
        <v>2646</v>
      </c>
      <c r="M196" s="7" t="s">
        <v>2647</v>
      </c>
    </row>
    <row r="197" customFormat="false" ht="52.2" hidden="false" customHeight="false" outlineLevel="1" collapsed="false">
      <c r="A197" s="27"/>
      <c r="B197" s="27" t="s">
        <v>2550</v>
      </c>
      <c r="C197" s="7" t="s">
        <v>2648</v>
      </c>
      <c r="D197" s="27" t="s">
        <v>732</v>
      </c>
      <c r="E197" s="50" t="n">
        <v>1</v>
      </c>
      <c r="F197" s="50" t="n">
        <v>1</v>
      </c>
      <c r="G197" s="27" t="s">
        <v>767</v>
      </c>
      <c r="H197" s="50" t="n">
        <f aca="false">F197</f>
        <v>1</v>
      </c>
      <c r="I197" s="51" t="n">
        <v>54234</v>
      </c>
      <c r="J197" s="28" t="n">
        <f aca="false">H197*I197</f>
        <v>54234</v>
      </c>
      <c r="K197" s="52" t="s">
        <v>548</v>
      </c>
      <c r="L197" s="7" t="s">
        <v>2649</v>
      </c>
      <c r="M197" s="7" t="s">
        <v>2650</v>
      </c>
    </row>
    <row r="198" customFormat="false" ht="39.55" hidden="false" customHeight="false" outlineLevel="1" collapsed="false">
      <c r="A198" s="27"/>
      <c r="B198" s="27" t="s">
        <v>2550</v>
      </c>
      <c r="C198" s="7" t="s">
        <v>2651</v>
      </c>
      <c r="D198" s="27" t="s">
        <v>741</v>
      </c>
      <c r="E198" s="50" t="n">
        <v>125</v>
      </c>
      <c r="F198" s="50" t="n">
        <v>125</v>
      </c>
      <c r="G198" s="27" t="s">
        <v>767</v>
      </c>
      <c r="H198" s="50" t="n">
        <f aca="false">F198</f>
        <v>125</v>
      </c>
      <c r="I198" s="51" t="n">
        <v>250</v>
      </c>
      <c r="J198" s="28" t="n">
        <f aca="false">H198*I198</f>
        <v>31250</v>
      </c>
      <c r="K198" s="53" t="s">
        <v>551</v>
      </c>
      <c r="L198" s="7" t="s">
        <v>2652</v>
      </c>
      <c r="M198" s="7" t="s">
        <v>2653</v>
      </c>
    </row>
    <row r="199" customFormat="false" ht="15" hidden="false" customHeight="false" outlineLevel="0" collapsed="false">
      <c r="A199" s="48" t="s">
        <v>424</v>
      </c>
      <c r="B199" s="48" t="s">
        <v>2654</v>
      </c>
      <c r="C199" s="48" t="s">
        <v>425</v>
      </c>
      <c r="D199" s="48"/>
      <c r="E199" s="48"/>
      <c r="F199" s="48"/>
      <c r="G199" s="48"/>
      <c r="H199" s="48" t="s">
        <v>765</v>
      </c>
      <c r="I199" s="49" t="n">
        <f aca="false">SUMPRODUCT(E200:E203,I200:I203)</f>
        <v>1834.82</v>
      </c>
      <c r="J199" s="49" t="n">
        <f aca="false">SUM(J200:J203)</f>
        <v>1433.87832167832</v>
      </c>
      <c r="K199" s="48"/>
      <c r="L199" s="48"/>
      <c r="M199" s="48"/>
    </row>
    <row r="200" customFormat="false" ht="90.25" hidden="false" customHeight="false" outlineLevel="1" collapsed="false">
      <c r="A200" s="27"/>
      <c r="B200" s="27" t="s">
        <v>2654</v>
      </c>
      <c r="C200" s="7" t="s">
        <v>2655</v>
      </c>
      <c r="D200" s="27" t="s">
        <v>727</v>
      </c>
      <c r="E200" s="50" t="n">
        <v>11</v>
      </c>
      <c r="F200" s="50" t="n">
        <v>11</v>
      </c>
      <c r="G200" s="27" t="s">
        <v>829</v>
      </c>
      <c r="H200" s="50" t="n">
        <f aca="false">F200/IF(Varsayimlar!$B$21=1,1.3,1)</f>
        <v>8.46153846153846</v>
      </c>
      <c r="I200" s="51" t="n">
        <v>39.66</v>
      </c>
      <c r="J200" s="28" t="n">
        <f aca="false">H200*I200</f>
        <v>335.584615384615</v>
      </c>
      <c r="K200" s="52" t="s">
        <v>548</v>
      </c>
      <c r="L200" s="7" t="s">
        <v>2656</v>
      </c>
      <c r="M200" s="7" t="s">
        <v>2657</v>
      </c>
    </row>
    <row r="201" customFormat="false" ht="128.35" hidden="false" customHeight="false" outlineLevel="1" collapsed="false">
      <c r="A201" s="27"/>
      <c r="B201" s="27" t="s">
        <v>2654</v>
      </c>
      <c r="C201" s="7" t="s">
        <v>2658</v>
      </c>
      <c r="D201" s="27" t="s">
        <v>853</v>
      </c>
      <c r="E201" s="50" t="n">
        <v>53</v>
      </c>
      <c r="F201" s="50" t="n">
        <v>53</v>
      </c>
      <c r="G201" s="27" t="s">
        <v>865</v>
      </c>
      <c r="H201" s="50" t="n">
        <f aca="false">F201/IF(Varsayimlar!$B$21=1,1.43,1)</f>
        <v>37.0629370629371</v>
      </c>
      <c r="I201" s="51" t="n">
        <v>12.64</v>
      </c>
      <c r="J201" s="28" t="n">
        <f aca="false">H201*I201</f>
        <v>468.475524475525</v>
      </c>
      <c r="K201" s="52" t="s">
        <v>548</v>
      </c>
      <c r="L201" s="7" t="s">
        <v>2659</v>
      </c>
      <c r="M201" s="7" t="s">
        <v>2660</v>
      </c>
    </row>
    <row r="202" customFormat="false" ht="115.65" hidden="false" customHeight="false" outlineLevel="1" collapsed="false">
      <c r="A202" s="27"/>
      <c r="B202" s="27" t="s">
        <v>2654</v>
      </c>
      <c r="C202" s="7" t="s">
        <v>2661</v>
      </c>
      <c r="D202" s="27" t="s">
        <v>853</v>
      </c>
      <c r="E202" s="50" t="n">
        <v>26</v>
      </c>
      <c r="F202" s="50" t="n">
        <v>26</v>
      </c>
      <c r="G202" s="27" t="s">
        <v>865</v>
      </c>
      <c r="H202" s="50" t="n">
        <f aca="false">F202/IF(Varsayimlar!$B$21=1,1.43,1)</f>
        <v>18.1818181818182</v>
      </c>
      <c r="I202" s="51" t="n">
        <v>12.64</v>
      </c>
      <c r="J202" s="28" t="n">
        <f aca="false">H202*I202</f>
        <v>229.818181818182</v>
      </c>
      <c r="K202" s="52" t="s">
        <v>548</v>
      </c>
      <c r="L202" s="7" t="s">
        <v>2662</v>
      </c>
      <c r="M202" s="7" t="s">
        <v>2663</v>
      </c>
    </row>
    <row r="203" customFormat="false" ht="26.85" hidden="false" customHeight="false" outlineLevel="1" collapsed="false">
      <c r="A203" s="27"/>
      <c r="B203" s="27" t="s">
        <v>2654</v>
      </c>
      <c r="C203" s="7" t="s">
        <v>2664</v>
      </c>
      <c r="D203" s="27" t="s">
        <v>727</v>
      </c>
      <c r="E203" s="50" t="n">
        <v>16</v>
      </c>
      <c r="F203" s="50" t="n">
        <v>16</v>
      </c>
      <c r="G203" s="27" t="s">
        <v>767</v>
      </c>
      <c r="H203" s="50" t="n">
        <f aca="false">F203</f>
        <v>16</v>
      </c>
      <c r="I203" s="51" t="n">
        <v>25</v>
      </c>
      <c r="J203" s="28" t="n">
        <f aca="false">H203*I203</f>
        <v>400</v>
      </c>
      <c r="K203" s="53" t="s">
        <v>551</v>
      </c>
      <c r="L203" s="7" t="s">
        <v>2317</v>
      </c>
      <c r="M203" s="7"/>
    </row>
    <row r="204" customFormat="false" ht="15" hidden="false" customHeight="false" outlineLevel="0" collapsed="false">
      <c r="A204" s="48" t="s">
        <v>426</v>
      </c>
      <c r="B204" s="48" t="s">
        <v>2665</v>
      </c>
      <c r="C204" s="48" t="s">
        <v>427</v>
      </c>
      <c r="D204" s="48"/>
      <c r="E204" s="48"/>
      <c r="F204" s="48"/>
      <c r="G204" s="48"/>
      <c r="H204" s="48" t="s">
        <v>765</v>
      </c>
      <c r="I204" s="49" t="n">
        <f aca="false">SUMPRODUCT(E205:E208,I205:I208)</f>
        <v>1834.82</v>
      </c>
      <c r="J204" s="49" t="n">
        <f aca="false">SUM(J205:J208)</f>
        <v>1433.87832167832</v>
      </c>
      <c r="K204" s="48"/>
      <c r="L204" s="48"/>
      <c r="M204" s="48"/>
    </row>
    <row r="205" customFormat="false" ht="90.25" hidden="false" customHeight="false" outlineLevel="1" collapsed="false">
      <c r="A205" s="27"/>
      <c r="B205" s="27" t="s">
        <v>2665</v>
      </c>
      <c r="C205" s="7" t="s">
        <v>2655</v>
      </c>
      <c r="D205" s="27" t="s">
        <v>727</v>
      </c>
      <c r="E205" s="50" t="n">
        <v>11</v>
      </c>
      <c r="F205" s="50" t="n">
        <v>11</v>
      </c>
      <c r="G205" s="27" t="s">
        <v>829</v>
      </c>
      <c r="H205" s="50" t="n">
        <f aca="false">F205/IF(Varsayimlar!$B$21=1,1.3,1)</f>
        <v>8.46153846153846</v>
      </c>
      <c r="I205" s="51" t="n">
        <v>39.66</v>
      </c>
      <c r="J205" s="28" t="n">
        <f aca="false">H205*I205</f>
        <v>335.584615384615</v>
      </c>
      <c r="K205" s="52" t="s">
        <v>548</v>
      </c>
      <c r="L205" s="7" t="s">
        <v>2656</v>
      </c>
      <c r="M205" s="7" t="s">
        <v>2657</v>
      </c>
    </row>
    <row r="206" customFormat="false" ht="128.35" hidden="false" customHeight="false" outlineLevel="1" collapsed="false">
      <c r="A206" s="27"/>
      <c r="B206" s="27" t="s">
        <v>2665</v>
      </c>
      <c r="C206" s="7" t="s">
        <v>2658</v>
      </c>
      <c r="D206" s="27" t="s">
        <v>853</v>
      </c>
      <c r="E206" s="50" t="n">
        <v>53</v>
      </c>
      <c r="F206" s="50" t="n">
        <v>53</v>
      </c>
      <c r="G206" s="27" t="s">
        <v>865</v>
      </c>
      <c r="H206" s="50" t="n">
        <f aca="false">F206/IF(Varsayimlar!$B$21=1,1.43,1)</f>
        <v>37.0629370629371</v>
      </c>
      <c r="I206" s="51" t="n">
        <v>12.64</v>
      </c>
      <c r="J206" s="28" t="n">
        <f aca="false">H206*I206</f>
        <v>468.475524475525</v>
      </c>
      <c r="K206" s="52" t="s">
        <v>548</v>
      </c>
      <c r="L206" s="7" t="s">
        <v>2659</v>
      </c>
      <c r="M206" s="7" t="s">
        <v>2660</v>
      </c>
    </row>
    <row r="207" customFormat="false" ht="115.65" hidden="false" customHeight="false" outlineLevel="1" collapsed="false">
      <c r="A207" s="27"/>
      <c r="B207" s="27" t="s">
        <v>2665</v>
      </c>
      <c r="C207" s="7" t="s">
        <v>2661</v>
      </c>
      <c r="D207" s="27" t="s">
        <v>853</v>
      </c>
      <c r="E207" s="50" t="n">
        <v>26</v>
      </c>
      <c r="F207" s="50" t="n">
        <v>26</v>
      </c>
      <c r="G207" s="27" t="s">
        <v>865</v>
      </c>
      <c r="H207" s="50" t="n">
        <f aca="false">F207/IF(Varsayimlar!$B$21=1,1.43,1)</f>
        <v>18.1818181818182</v>
      </c>
      <c r="I207" s="51" t="n">
        <v>12.64</v>
      </c>
      <c r="J207" s="28" t="n">
        <f aca="false">H207*I207</f>
        <v>229.818181818182</v>
      </c>
      <c r="K207" s="52" t="s">
        <v>548</v>
      </c>
      <c r="L207" s="7" t="s">
        <v>2662</v>
      </c>
      <c r="M207" s="7" t="s">
        <v>2663</v>
      </c>
    </row>
    <row r="208" customFormat="false" ht="26.85" hidden="false" customHeight="false" outlineLevel="1" collapsed="false">
      <c r="A208" s="27"/>
      <c r="B208" s="27" t="s">
        <v>2665</v>
      </c>
      <c r="C208" s="7" t="s">
        <v>2664</v>
      </c>
      <c r="D208" s="27" t="s">
        <v>727</v>
      </c>
      <c r="E208" s="50" t="n">
        <v>16</v>
      </c>
      <c r="F208" s="50" t="n">
        <v>16</v>
      </c>
      <c r="G208" s="27" t="s">
        <v>767</v>
      </c>
      <c r="H208" s="50" t="n">
        <f aca="false">F208</f>
        <v>16</v>
      </c>
      <c r="I208" s="51" t="n">
        <v>25</v>
      </c>
      <c r="J208" s="28" t="n">
        <f aca="false">H208*I208</f>
        <v>400</v>
      </c>
      <c r="K208" s="53" t="s">
        <v>551</v>
      </c>
      <c r="L208" s="7" t="s">
        <v>2317</v>
      </c>
      <c r="M208" s="7"/>
    </row>
    <row r="209" customFormat="false" ht="15" hidden="false" customHeight="false" outlineLevel="0" collapsed="false">
      <c r="A209" s="48" t="s">
        <v>428</v>
      </c>
      <c r="B209" s="48" t="s">
        <v>2666</v>
      </c>
      <c r="C209" s="48" t="s">
        <v>429</v>
      </c>
      <c r="D209" s="48"/>
      <c r="E209" s="48"/>
      <c r="F209" s="48"/>
      <c r="G209" s="48"/>
      <c r="H209" s="48" t="s">
        <v>765</v>
      </c>
      <c r="I209" s="49" t="n">
        <f aca="false">SUMPRODUCT(E210:E213,I210:I213)</f>
        <v>1834.82</v>
      </c>
      <c r="J209" s="49" t="n">
        <f aca="false">SUM(J210:J213)</f>
        <v>1433.87832167832</v>
      </c>
      <c r="K209" s="48"/>
      <c r="L209" s="48"/>
      <c r="M209" s="48"/>
    </row>
    <row r="210" customFormat="false" ht="90.25" hidden="false" customHeight="false" outlineLevel="1" collapsed="false">
      <c r="A210" s="27"/>
      <c r="B210" s="27" t="s">
        <v>2666</v>
      </c>
      <c r="C210" s="7" t="s">
        <v>2655</v>
      </c>
      <c r="D210" s="27" t="s">
        <v>727</v>
      </c>
      <c r="E210" s="50" t="n">
        <v>11</v>
      </c>
      <c r="F210" s="50" t="n">
        <v>11</v>
      </c>
      <c r="G210" s="27" t="s">
        <v>829</v>
      </c>
      <c r="H210" s="50" t="n">
        <f aca="false">F210/IF(Varsayimlar!$B$21=1,1.3,1)</f>
        <v>8.46153846153846</v>
      </c>
      <c r="I210" s="51" t="n">
        <v>39.66</v>
      </c>
      <c r="J210" s="28" t="n">
        <f aca="false">H210*I210</f>
        <v>335.584615384615</v>
      </c>
      <c r="K210" s="52" t="s">
        <v>548</v>
      </c>
      <c r="L210" s="7" t="s">
        <v>2656</v>
      </c>
      <c r="M210" s="7" t="s">
        <v>2657</v>
      </c>
    </row>
    <row r="211" customFormat="false" ht="128.35" hidden="false" customHeight="false" outlineLevel="1" collapsed="false">
      <c r="A211" s="27"/>
      <c r="B211" s="27" t="s">
        <v>2666</v>
      </c>
      <c r="C211" s="7" t="s">
        <v>2658</v>
      </c>
      <c r="D211" s="27" t="s">
        <v>853</v>
      </c>
      <c r="E211" s="50" t="n">
        <v>53</v>
      </c>
      <c r="F211" s="50" t="n">
        <v>53</v>
      </c>
      <c r="G211" s="27" t="s">
        <v>865</v>
      </c>
      <c r="H211" s="50" t="n">
        <f aca="false">F211/IF(Varsayimlar!$B$21=1,1.43,1)</f>
        <v>37.0629370629371</v>
      </c>
      <c r="I211" s="51" t="n">
        <v>12.64</v>
      </c>
      <c r="J211" s="28" t="n">
        <f aca="false">H211*I211</f>
        <v>468.475524475525</v>
      </c>
      <c r="K211" s="52" t="s">
        <v>548</v>
      </c>
      <c r="L211" s="7" t="s">
        <v>2659</v>
      </c>
      <c r="M211" s="7" t="s">
        <v>2660</v>
      </c>
    </row>
    <row r="212" customFormat="false" ht="115.65" hidden="false" customHeight="false" outlineLevel="1" collapsed="false">
      <c r="A212" s="27"/>
      <c r="B212" s="27" t="s">
        <v>2666</v>
      </c>
      <c r="C212" s="7" t="s">
        <v>2661</v>
      </c>
      <c r="D212" s="27" t="s">
        <v>853</v>
      </c>
      <c r="E212" s="50" t="n">
        <v>26</v>
      </c>
      <c r="F212" s="50" t="n">
        <v>26</v>
      </c>
      <c r="G212" s="27" t="s">
        <v>865</v>
      </c>
      <c r="H212" s="50" t="n">
        <f aca="false">F212/IF(Varsayimlar!$B$21=1,1.43,1)</f>
        <v>18.1818181818182</v>
      </c>
      <c r="I212" s="51" t="n">
        <v>12.64</v>
      </c>
      <c r="J212" s="28" t="n">
        <f aca="false">H212*I212</f>
        <v>229.818181818182</v>
      </c>
      <c r="K212" s="52" t="s">
        <v>548</v>
      </c>
      <c r="L212" s="7" t="s">
        <v>2662</v>
      </c>
      <c r="M212" s="7" t="s">
        <v>2663</v>
      </c>
    </row>
    <row r="213" customFormat="false" ht="26.85" hidden="false" customHeight="false" outlineLevel="1" collapsed="false">
      <c r="A213" s="27"/>
      <c r="B213" s="27" t="s">
        <v>2666</v>
      </c>
      <c r="C213" s="7" t="s">
        <v>2664</v>
      </c>
      <c r="D213" s="27" t="s">
        <v>727</v>
      </c>
      <c r="E213" s="50" t="n">
        <v>16</v>
      </c>
      <c r="F213" s="50" t="n">
        <v>16</v>
      </c>
      <c r="G213" s="27" t="s">
        <v>767</v>
      </c>
      <c r="H213" s="50" t="n">
        <f aca="false">F213</f>
        <v>16</v>
      </c>
      <c r="I213" s="51" t="n">
        <v>25</v>
      </c>
      <c r="J213" s="28" t="n">
        <f aca="false">H213*I213</f>
        <v>400</v>
      </c>
      <c r="K213" s="53" t="s">
        <v>551</v>
      </c>
      <c r="L213" s="7" t="s">
        <v>2317</v>
      </c>
      <c r="M213" s="7"/>
    </row>
    <row r="214" customFormat="false" ht="15" hidden="false" customHeight="false" outlineLevel="0" collapsed="false">
      <c r="A214" s="48" t="s">
        <v>430</v>
      </c>
      <c r="B214" s="48" t="s">
        <v>2667</v>
      </c>
      <c r="C214" s="48" t="s">
        <v>431</v>
      </c>
      <c r="D214" s="48"/>
      <c r="E214" s="48"/>
      <c r="F214" s="48"/>
      <c r="G214" s="48"/>
      <c r="H214" s="48" t="s">
        <v>765</v>
      </c>
      <c r="I214" s="49" t="n">
        <f aca="false">SUMPRODUCT(E215:E218,I215:I218)</f>
        <v>1834.82</v>
      </c>
      <c r="J214" s="49" t="n">
        <f aca="false">SUM(J215:J218)</f>
        <v>1433.87832167832</v>
      </c>
      <c r="K214" s="48"/>
      <c r="L214" s="48"/>
      <c r="M214" s="48"/>
    </row>
    <row r="215" customFormat="false" ht="90.25" hidden="false" customHeight="false" outlineLevel="1" collapsed="false">
      <c r="A215" s="27"/>
      <c r="B215" s="27" t="s">
        <v>2667</v>
      </c>
      <c r="C215" s="7" t="s">
        <v>2655</v>
      </c>
      <c r="D215" s="27" t="s">
        <v>727</v>
      </c>
      <c r="E215" s="50" t="n">
        <v>11</v>
      </c>
      <c r="F215" s="50" t="n">
        <v>11</v>
      </c>
      <c r="G215" s="27" t="s">
        <v>829</v>
      </c>
      <c r="H215" s="50" t="n">
        <f aca="false">F215/IF(Varsayimlar!$B$21=1,1.3,1)</f>
        <v>8.46153846153846</v>
      </c>
      <c r="I215" s="51" t="n">
        <v>39.66</v>
      </c>
      <c r="J215" s="28" t="n">
        <f aca="false">H215*I215</f>
        <v>335.584615384615</v>
      </c>
      <c r="K215" s="52" t="s">
        <v>548</v>
      </c>
      <c r="L215" s="7" t="s">
        <v>2656</v>
      </c>
      <c r="M215" s="7" t="s">
        <v>2657</v>
      </c>
    </row>
    <row r="216" customFormat="false" ht="128.35" hidden="false" customHeight="false" outlineLevel="1" collapsed="false">
      <c r="A216" s="27"/>
      <c r="B216" s="27" t="s">
        <v>2667</v>
      </c>
      <c r="C216" s="7" t="s">
        <v>2658</v>
      </c>
      <c r="D216" s="27" t="s">
        <v>853</v>
      </c>
      <c r="E216" s="50" t="n">
        <v>53</v>
      </c>
      <c r="F216" s="50" t="n">
        <v>53</v>
      </c>
      <c r="G216" s="27" t="s">
        <v>865</v>
      </c>
      <c r="H216" s="50" t="n">
        <f aca="false">F216/IF(Varsayimlar!$B$21=1,1.43,1)</f>
        <v>37.0629370629371</v>
      </c>
      <c r="I216" s="51" t="n">
        <v>12.64</v>
      </c>
      <c r="J216" s="28" t="n">
        <f aca="false">H216*I216</f>
        <v>468.475524475525</v>
      </c>
      <c r="K216" s="52" t="s">
        <v>548</v>
      </c>
      <c r="L216" s="7" t="s">
        <v>2659</v>
      </c>
      <c r="M216" s="7" t="s">
        <v>2660</v>
      </c>
    </row>
    <row r="217" customFormat="false" ht="115.65" hidden="false" customHeight="false" outlineLevel="1" collapsed="false">
      <c r="A217" s="27"/>
      <c r="B217" s="27" t="s">
        <v>2667</v>
      </c>
      <c r="C217" s="7" t="s">
        <v>2661</v>
      </c>
      <c r="D217" s="27" t="s">
        <v>853</v>
      </c>
      <c r="E217" s="50" t="n">
        <v>26</v>
      </c>
      <c r="F217" s="50" t="n">
        <v>26</v>
      </c>
      <c r="G217" s="27" t="s">
        <v>865</v>
      </c>
      <c r="H217" s="50" t="n">
        <f aca="false">F217/IF(Varsayimlar!$B$21=1,1.43,1)</f>
        <v>18.1818181818182</v>
      </c>
      <c r="I217" s="51" t="n">
        <v>12.64</v>
      </c>
      <c r="J217" s="28" t="n">
        <f aca="false">H217*I217</f>
        <v>229.818181818182</v>
      </c>
      <c r="K217" s="52" t="s">
        <v>548</v>
      </c>
      <c r="L217" s="7" t="s">
        <v>2662</v>
      </c>
      <c r="M217" s="7" t="s">
        <v>2663</v>
      </c>
    </row>
    <row r="218" customFormat="false" ht="26.85" hidden="false" customHeight="false" outlineLevel="1" collapsed="false">
      <c r="A218" s="27"/>
      <c r="B218" s="27" t="s">
        <v>2667</v>
      </c>
      <c r="C218" s="7" t="s">
        <v>2664</v>
      </c>
      <c r="D218" s="27" t="s">
        <v>727</v>
      </c>
      <c r="E218" s="50" t="n">
        <v>16</v>
      </c>
      <c r="F218" s="50" t="n">
        <v>16</v>
      </c>
      <c r="G218" s="27" t="s">
        <v>767</v>
      </c>
      <c r="H218" s="50" t="n">
        <f aca="false">F218</f>
        <v>16</v>
      </c>
      <c r="I218" s="51" t="n">
        <v>25</v>
      </c>
      <c r="J218" s="28" t="n">
        <f aca="false">H218*I218</f>
        <v>400</v>
      </c>
      <c r="K218" s="53" t="s">
        <v>551</v>
      </c>
      <c r="L218" s="7" t="s">
        <v>2317</v>
      </c>
      <c r="M218" s="7"/>
    </row>
    <row r="219" customFormat="false" ht="15" hidden="false" customHeight="false" outlineLevel="0" collapsed="false">
      <c r="A219" s="48" t="s">
        <v>432</v>
      </c>
      <c r="B219" s="48" t="s">
        <v>2668</v>
      </c>
      <c r="C219" s="48" t="s">
        <v>433</v>
      </c>
      <c r="D219" s="48"/>
      <c r="E219" s="48"/>
      <c r="F219" s="48"/>
      <c r="G219" s="48"/>
      <c r="H219" s="48" t="s">
        <v>765</v>
      </c>
      <c r="I219" s="49" t="n">
        <f aca="false">SUMPRODUCT(E220:E223,I220:I223)</f>
        <v>1834.82</v>
      </c>
      <c r="J219" s="49" t="n">
        <f aca="false">SUM(J220:J223)</f>
        <v>1433.87832167832</v>
      </c>
      <c r="K219" s="48"/>
      <c r="L219" s="48"/>
      <c r="M219" s="48"/>
    </row>
    <row r="220" customFormat="false" ht="90.25" hidden="false" customHeight="false" outlineLevel="1" collapsed="false">
      <c r="A220" s="27"/>
      <c r="B220" s="27" t="s">
        <v>2668</v>
      </c>
      <c r="C220" s="7" t="s">
        <v>2655</v>
      </c>
      <c r="D220" s="27" t="s">
        <v>727</v>
      </c>
      <c r="E220" s="50" t="n">
        <v>11</v>
      </c>
      <c r="F220" s="50" t="n">
        <v>11</v>
      </c>
      <c r="G220" s="27" t="s">
        <v>829</v>
      </c>
      <c r="H220" s="50" t="n">
        <f aca="false">F220/IF(Varsayimlar!$B$21=1,1.3,1)</f>
        <v>8.46153846153846</v>
      </c>
      <c r="I220" s="51" t="n">
        <v>39.66</v>
      </c>
      <c r="J220" s="28" t="n">
        <f aca="false">H220*I220</f>
        <v>335.584615384615</v>
      </c>
      <c r="K220" s="52" t="s">
        <v>548</v>
      </c>
      <c r="L220" s="7" t="s">
        <v>2656</v>
      </c>
      <c r="M220" s="7" t="s">
        <v>2657</v>
      </c>
    </row>
    <row r="221" customFormat="false" ht="128.35" hidden="false" customHeight="false" outlineLevel="1" collapsed="false">
      <c r="A221" s="27"/>
      <c r="B221" s="27" t="s">
        <v>2668</v>
      </c>
      <c r="C221" s="7" t="s">
        <v>2658</v>
      </c>
      <c r="D221" s="27" t="s">
        <v>853</v>
      </c>
      <c r="E221" s="50" t="n">
        <v>53</v>
      </c>
      <c r="F221" s="50" t="n">
        <v>53</v>
      </c>
      <c r="G221" s="27" t="s">
        <v>865</v>
      </c>
      <c r="H221" s="50" t="n">
        <f aca="false">F221/IF(Varsayimlar!$B$21=1,1.43,1)</f>
        <v>37.0629370629371</v>
      </c>
      <c r="I221" s="51" t="n">
        <v>12.64</v>
      </c>
      <c r="J221" s="28" t="n">
        <f aca="false">H221*I221</f>
        <v>468.475524475525</v>
      </c>
      <c r="K221" s="52" t="s">
        <v>548</v>
      </c>
      <c r="L221" s="7" t="s">
        <v>2659</v>
      </c>
      <c r="M221" s="7" t="s">
        <v>2660</v>
      </c>
    </row>
    <row r="222" customFormat="false" ht="115.65" hidden="false" customHeight="false" outlineLevel="1" collapsed="false">
      <c r="A222" s="27"/>
      <c r="B222" s="27" t="s">
        <v>2668</v>
      </c>
      <c r="C222" s="7" t="s">
        <v>2661</v>
      </c>
      <c r="D222" s="27" t="s">
        <v>853</v>
      </c>
      <c r="E222" s="50" t="n">
        <v>26</v>
      </c>
      <c r="F222" s="50" t="n">
        <v>26</v>
      </c>
      <c r="G222" s="27" t="s">
        <v>865</v>
      </c>
      <c r="H222" s="50" t="n">
        <f aca="false">F222/IF(Varsayimlar!$B$21=1,1.43,1)</f>
        <v>18.1818181818182</v>
      </c>
      <c r="I222" s="51" t="n">
        <v>12.64</v>
      </c>
      <c r="J222" s="28" t="n">
        <f aca="false">H222*I222</f>
        <v>229.818181818182</v>
      </c>
      <c r="K222" s="52" t="s">
        <v>548</v>
      </c>
      <c r="L222" s="7" t="s">
        <v>2662</v>
      </c>
      <c r="M222" s="7" t="s">
        <v>2663</v>
      </c>
    </row>
    <row r="223" customFormat="false" ht="26.85" hidden="false" customHeight="false" outlineLevel="1" collapsed="false">
      <c r="A223" s="27"/>
      <c r="B223" s="27" t="s">
        <v>2668</v>
      </c>
      <c r="C223" s="7" t="s">
        <v>2664</v>
      </c>
      <c r="D223" s="27" t="s">
        <v>727</v>
      </c>
      <c r="E223" s="50" t="n">
        <v>16</v>
      </c>
      <c r="F223" s="50" t="n">
        <v>16</v>
      </c>
      <c r="G223" s="27" t="s">
        <v>767</v>
      </c>
      <c r="H223" s="50" t="n">
        <f aca="false">F223</f>
        <v>16</v>
      </c>
      <c r="I223" s="51" t="n">
        <v>25</v>
      </c>
      <c r="J223" s="28" t="n">
        <f aca="false">H223*I223</f>
        <v>400</v>
      </c>
      <c r="K223" s="53" t="s">
        <v>551</v>
      </c>
      <c r="L223" s="7" t="s">
        <v>2317</v>
      </c>
      <c r="M223" s="7"/>
    </row>
    <row r="224" customFormat="false" ht="15" hidden="false" customHeight="false" outlineLevel="0" collapsed="false">
      <c r="A224" s="48" t="s">
        <v>434</v>
      </c>
      <c r="B224" s="48" t="s">
        <v>2669</v>
      </c>
      <c r="C224" s="48" t="s">
        <v>435</v>
      </c>
      <c r="D224" s="48"/>
      <c r="E224" s="48"/>
      <c r="F224" s="48"/>
      <c r="G224" s="48"/>
      <c r="H224" s="48" t="s">
        <v>765</v>
      </c>
      <c r="I224" s="49" t="n">
        <f aca="false">SUMPRODUCT(E225:E227,I225:I227)</f>
        <v>1034.8</v>
      </c>
      <c r="J224" s="49" t="n">
        <f aca="false">SUM(J225:J227)</f>
        <v>768.741258741259</v>
      </c>
      <c r="K224" s="48"/>
      <c r="L224" s="48"/>
      <c r="M224" s="48"/>
    </row>
    <row r="225" customFormat="false" ht="115.65" hidden="false" customHeight="false" outlineLevel="1" collapsed="false">
      <c r="A225" s="27"/>
      <c r="B225" s="27" t="s">
        <v>2669</v>
      </c>
      <c r="C225" s="7" t="s">
        <v>2670</v>
      </c>
      <c r="D225" s="27" t="s">
        <v>853</v>
      </c>
      <c r="E225" s="50" t="n">
        <v>31</v>
      </c>
      <c r="F225" s="50" t="n">
        <v>31</v>
      </c>
      <c r="G225" s="27" t="s">
        <v>865</v>
      </c>
      <c r="H225" s="50" t="n">
        <f aca="false">F225/IF(Varsayimlar!$B$21=1,1.43,1)</f>
        <v>21.6783216783217</v>
      </c>
      <c r="I225" s="51" t="n">
        <v>12.64</v>
      </c>
      <c r="J225" s="28" t="n">
        <f aca="false">H225*I225</f>
        <v>274.013986013986</v>
      </c>
      <c r="K225" s="52" t="s">
        <v>548</v>
      </c>
      <c r="L225" s="7" t="s">
        <v>2662</v>
      </c>
      <c r="M225" s="7" t="s">
        <v>2671</v>
      </c>
    </row>
    <row r="226" customFormat="false" ht="115.65" hidden="false" customHeight="false" outlineLevel="1" collapsed="false">
      <c r="A226" s="27"/>
      <c r="B226" s="27" t="s">
        <v>2669</v>
      </c>
      <c r="C226" s="7" t="s">
        <v>2672</v>
      </c>
      <c r="D226" s="27" t="s">
        <v>853</v>
      </c>
      <c r="E226" s="50" t="n">
        <v>39</v>
      </c>
      <c r="F226" s="50" t="n">
        <v>39</v>
      </c>
      <c r="G226" s="27" t="s">
        <v>865</v>
      </c>
      <c r="H226" s="50" t="n">
        <f aca="false">F226/IF(Varsayimlar!$B$21=1,1.43,1)</f>
        <v>27.2727272727273</v>
      </c>
      <c r="I226" s="51" t="n">
        <v>12.64</v>
      </c>
      <c r="J226" s="28" t="n">
        <f aca="false">H226*I226</f>
        <v>344.727272727273</v>
      </c>
      <c r="K226" s="52" t="s">
        <v>548</v>
      </c>
      <c r="L226" s="7" t="s">
        <v>2662</v>
      </c>
      <c r="M226" s="7" t="s">
        <v>2663</v>
      </c>
    </row>
    <row r="227" customFormat="false" ht="26.85" hidden="false" customHeight="false" outlineLevel="1" collapsed="false">
      <c r="A227" s="27"/>
      <c r="B227" s="27" t="s">
        <v>2669</v>
      </c>
      <c r="C227" s="7" t="s">
        <v>2673</v>
      </c>
      <c r="D227" s="27" t="s">
        <v>727</v>
      </c>
      <c r="E227" s="50" t="n">
        <v>6</v>
      </c>
      <c r="F227" s="50" t="n">
        <v>6</v>
      </c>
      <c r="G227" s="27" t="s">
        <v>767</v>
      </c>
      <c r="H227" s="50" t="n">
        <f aca="false">F227</f>
        <v>6</v>
      </c>
      <c r="I227" s="51" t="n">
        <v>25</v>
      </c>
      <c r="J227" s="28" t="n">
        <f aca="false">H227*I227</f>
        <v>150</v>
      </c>
      <c r="K227" s="53" t="s">
        <v>551</v>
      </c>
      <c r="L227" s="7" t="s">
        <v>2317</v>
      </c>
      <c r="M227" s="7"/>
    </row>
    <row r="228" customFormat="false" ht="15" hidden="false" customHeight="false" outlineLevel="0" collapsed="false">
      <c r="A228" s="48" t="s">
        <v>436</v>
      </c>
      <c r="B228" s="48" t="s">
        <v>2674</v>
      </c>
      <c r="C228" s="48" t="s">
        <v>437</v>
      </c>
      <c r="D228" s="48"/>
      <c r="E228" s="48"/>
      <c r="F228" s="48"/>
      <c r="G228" s="48"/>
      <c r="H228" s="48" t="s">
        <v>765</v>
      </c>
      <c r="I228" s="49" t="n">
        <f aca="false">SUMPRODUCT(E229:E229,I229:I229)</f>
        <v>444.86</v>
      </c>
      <c r="J228" s="49" t="n">
        <f aca="false">SUM(J229:J229)</f>
        <v>311.090909090909</v>
      </c>
      <c r="K228" s="48"/>
      <c r="L228" s="48"/>
      <c r="M228" s="48"/>
    </row>
    <row r="229" customFormat="false" ht="102.95" hidden="false" customHeight="false" outlineLevel="1" collapsed="false">
      <c r="A229" s="27"/>
      <c r="B229" s="27" t="s">
        <v>2674</v>
      </c>
      <c r="C229" s="7" t="s">
        <v>2675</v>
      </c>
      <c r="D229" s="27" t="s">
        <v>853</v>
      </c>
      <c r="E229" s="50" t="n">
        <v>26</v>
      </c>
      <c r="F229" s="50" t="n">
        <v>26</v>
      </c>
      <c r="G229" s="27" t="s">
        <v>865</v>
      </c>
      <c r="H229" s="50" t="n">
        <f aca="false">F229/IF(Varsayimlar!$B$21=1,1.43,1)</f>
        <v>18.1818181818182</v>
      </c>
      <c r="I229" s="51" t="n">
        <v>17.11</v>
      </c>
      <c r="J229" s="28" t="n">
        <f aca="false">H229*I229</f>
        <v>311.090909090909</v>
      </c>
      <c r="K229" s="52" t="s">
        <v>548</v>
      </c>
      <c r="L229" s="7" t="s">
        <v>2676</v>
      </c>
      <c r="M229" s="7" t="s">
        <v>2677</v>
      </c>
    </row>
    <row r="230" customFormat="false" ht="15" hidden="false" customHeight="false" outlineLevel="0" collapsed="false">
      <c r="A230" s="48" t="s">
        <v>438</v>
      </c>
      <c r="B230" s="48" t="s">
        <v>2678</v>
      </c>
      <c r="C230" s="48" t="s">
        <v>439</v>
      </c>
      <c r="D230" s="48"/>
      <c r="E230" s="48"/>
      <c r="F230" s="48"/>
      <c r="G230" s="48"/>
      <c r="H230" s="48" t="s">
        <v>765</v>
      </c>
      <c r="I230" s="49" t="n">
        <f aca="false">SUMPRODUCT(E231:E247,I231:I247)</f>
        <v>43279.395</v>
      </c>
      <c r="J230" s="49" t="n">
        <f aca="false">SUM(J231:J247)</f>
        <v>39353.7159440559</v>
      </c>
      <c r="K230" s="48"/>
      <c r="L230" s="48"/>
      <c r="M230" s="48"/>
    </row>
    <row r="231" customFormat="false" ht="128.35" hidden="false" customHeight="false" outlineLevel="1" collapsed="false">
      <c r="A231" s="27"/>
      <c r="B231" s="27" t="s">
        <v>2678</v>
      </c>
      <c r="C231" s="7" t="s">
        <v>2679</v>
      </c>
      <c r="D231" s="27" t="s">
        <v>853</v>
      </c>
      <c r="E231" s="50" t="n">
        <v>234</v>
      </c>
      <c r="F231" s="50" t="n">
        <v>234</v>
      </c>
      <c r="G231" s="27" t="s">
        <v>865</v>
      </c>
      <c r="H231" s="50" t="n">
        <f aca="false">F231/IF(Varsayimlar!$B$21=1,1.43,1)</f>
        <v>163.636363636364</v>
      </c>
      <c r="I231" s="51" t="n">
        <v>16.27</v>
      </c>
      <c r="J231" s="28" t="n">
        <f aca="false">H231*I231</f>
        <v>2662.36363636364</v>
      </c>
      <c r="K231" s="52" t="s">
        <v>548</v>
      </c>
      <c r="L231" s="7" t="s">
        <v>2680</v>
      </c>
      <c r="M231" s="7" t="s">
        <v>2681</v>
      </c>
    </row>
    <row r="232" customFormat="false" ht="90.25" hidden="false" customHeight="false" outlineLevel="1" collapsed="false">
      <c r="A232" s="27"/>
      <c r="B232" s="27" t="s">
        <v>2678</v>
      </c>
      <c r="C232" s="7" t="s">
        <v>2682</v>
      </c>
      <c r="D232" s="27" t="s">
        <v>727</v>
      </c>
      <c r="E232" s="50" t="n">
        <v>26</v>
      </c>
      <c r="F232" s="50" t="n">
        <v>26</v>
      </c>
      <c r="G232" s="27" t="s">
        <v>829</v>
      </c>
      <c r="H232" s="50" t="n">
        <f aca="false">F232/IF(Varsayimlar!$B$21=1,1.3,1)</f>
        <v>20</v>
      </c>
      <c r="I232" s="51" t="n">
        <v>93.25</v>
      </c>
      <c r="J232" s="28" t="n">
        <f aca="false">H232*I232</f>
        <v>1865</v>
      </c>
      <c r="K232" s="52" t="s">
        <v>548</v>
      </c>
      <c r="L232" s="7" t="s">
        <v>2683</v>
      </c>
      <c r="M232" s="7" t="s">
        <v>2684</v>
      </c>
    </row>
    <row r="233" customFormat="false" ht="52.2" hidden="false" customHeight="false" outlineLevel="1" collapsed="false">
      <c r="A233" s="27"/>
      <c r="B233" s="27" t="s">
        <v>2678</v>
      </c>
      <c r="C233" s="7" t="s">
        <v>2685</v>
      </c>
      <c r="D233" s="27" t="s">
        <v>727</v>
      </c>
      <c r="E233" s="50" t="n">
        <v>5</v>
      </c>
      <c r="F233" s="50" t="n">
        <v>5</v>
      </c>
      <c r="G233" s="27" t="s">
        <v>767</v>
      </c>
      <c r="H233" s="50" t="n">
        <f aca="false">F233</f>
        <v>5</v>
      </c>
      <c r="I233" s="51" t="n">
        <v>2850</v>
      </c>
      <c r="J233" s="28" t="n">
        <f aca="false">H233*I233</f>
        <v>14250</v>
      </c>
      <c r="K233" s="52" t="s">
        <v>548</v>
      </c>
      <c r="L233" s="7" t="s">
        <v>2686</v>
      </c>
      <c r="M233" s="7" t="s">
        <v>2687</v>
      </c>
    </row>
    <row r="234" customFormat="false" ht="102.95" hidden="false" customHeight="false" outlineLevel="1" collapsed="false">
      <c r="A234" s="27"/>
      <c r="B234" s="27" t="s">
        <v>2678</v>
      </c>
      <c r="C234" s="7" t="s">
        <v>2688</v>
      </c>
      <c r="D234" s="27" t="s">
        <v>727</v>
      </c>
      <c r="E234" s="50" t="n">
        <v>1</v>
      </c>
      <c r="F234" s="50" t="n">
        <v>1</v>
      </c>
      <c r="G234" s="27" t="s">
        <v>767</v>
      </c>
      <c r="H234" s="50" t="n">
        <f aca="false">F234</f>
        <v>1</v>
      </c>
      <c r="I234" s="51" t="n">
        <v>1874.53</v>
      </c>
      <c r="J234" s="28" t="n">
        <f aca="false">H234*I234</f>
        <v>1874.53</v>
      </c>
      <c r="K234" s="52" t="s">
        <v>548</v>
      </c>
      <c r="L234" s="7" t="s">
        <v>2689</v>
      </c>
      <c r="M234" s="7" t="s">
        <v>2690</v>
      </c>
    </row>
    <row r="235" customFormat="false" ht="102.95" hidden="false" customHeight="false" outlineLevel="1" collapsed="false">
      <c r="A235" s="27"/>
      <c r="B235" s="27" t="s">
        <v>2678</v>
      </c>
      <c r="C235" s="7" t="s">
        <v>2691</v>
      </c>
      <c r="D235" s="27" t="s">
        <v>853</v>
      </c>
      <c r="E235" s="50" t="n">
        <v>258</v>
      </c>
      <c r="F235" s="50" t="n">
        <v>258</v>
      </c>
      <c r="G235" s="27" t="s">
        <v>865</v>
      </c>
      <c r="H235" s="50" t="n">
        <f aca="false">F235/IF(Varsayimlar!$B$21=1,1.43,1)</f>
        <v>180.41958041958</v>
      </c>
      <c r="I235" s="51" t="n">
        <v>17.11</v>
      </c>
      <c r="J235" s="28" t="n">
        <f aca="false">H235*I235</f>
        <v>3086.97902097902</v>
      </c>
      <c r="K235" s="52" t="s">
        <v>548</v>
      </c>
      <c r="L235" s="7" t="s">
        <v>2676</v>
      </c>
      <c r="M235" s="7" t="s">
        <v>2677</v>
      </c>
    </row>
    <row r="236" customFormat="false" ht="77.6" hidden="false" customHeight="false" outlineLevel="1" collapsed="false">
      <c r="A236" s="27"/>
      <c r="B236" s="27" t="s">
        <v>2678</v>
      </c>
      <c r="C236" s="7" t="s">
        <v>2692</v>
      </c>
      <c r="D236" s="27" t="s">
        <v>727</v>
      </c>
      <c r="E236" s="50" t="n">
        <v>24</v>
      </c>
      <c r="F236" s="50" t="n">
        <v>24</v>
      </c>
      <c r="G236" s="27" t="s">
        <v>829</v>
      </c>
      <c r="H236" s="50" t="n">
        <f aca="false">F236/IF(Varsayimlar!$B$21=1,1.3,1)</f>
        <v>18.4615384615385</v>
      </c>
      <c r="I236" s="51" t="n">
        <v>52.4</v>
      </c>
      <c r="J236" s="28" t="n">
        <f aca="false">H236*I236</f>
        <v>967.384615384615</v>
      </c>
      <c r="K236" s="52" t="s">
        <v>548</v>
      </c>
      <c r="L236" s="7" t="s">
        <v>2693</v>
      </c>
      <c r="M236" s="7" t="s">
        <v>2694</v>
      </c>
    </row>
    <row r="237" customFormat="false" ht="115.65" hidden="false" customHeight="false" outlineLevel="1" collapsed="false">
      <c r="A237" s="27"/>
      <c r="B237" s="27" t="s">
        <v>2678</v>
      </c>
      <c r="C237" s="7" t="s">
        <v>2695</v>
      </c>
      <c r="D237" s="27" t="s">
        <v>853</v>
      </c>
      <c r="E237" s="50" t="n">
        <v>29.7</v>
      </c>
      <c r="F237" s="50" t="n">
        <v>29.7</v>
      </c>
      <c r="G237" s="27" t="s">
        <v>889</v>
      </c>
      <c r="H237" s="50" t="n">
        <f aca="false">F237/IF(Varsayimlar!$B$21=1,1.1,1)</f>
        <v>27</v>
      </c>
      <c r="I237" s="51" t="n">
        <v>28.55</v>
      </c>
      <c r="J237" s="28" t="n">
        <f aca="false">H237*I237</f>
        <v>770.85</v>
      </c>
      <c r="K237" s="52" t="s">
        <v>548</v>
      </c>
      <c r="L237" s="7" t="s">
        <v>2696</v>
      </c>
      <c r="M237" s="7" t="s">
        <v>1973</v>
      </c>
    </row>
    <row r="238" customFormat="false" ht="26.85" hidden="false" customHeight="false" outlineLevel="1" collapsed="false">
      <c r="A238" s="27"/>
      <c r="B238" s="27" t="s">
        <v>2678</v>
      </c>
      <c r="C238" s="7" t="s">
        <v>2697</v>
      </c>
      <c r="D238" s="27" t="s">
        <v>727</v>
      </c>
      <c r="E238" s="50" t="n">
        <v>1</v>
      </c>
      <c r="F238" s="50" t="n">
        <v>1</v>
      </c>
      <c r="G238" s="27" t="s">
        <v>767</v>
      </c>
      <c r="H238" s="50" t="n">
        <f aca="false">F238</f>
        <v>1</v>
      </c>
      <c r="I238" s="51" t="n">
        <v>6000</v>
      </c>
      <c r="J238" s="28" t="n">
        <f aca="false">H238*I238</f>
        <v>6000</v>
      </c>
      <c r="K238" s="53" t="s">
        <v>551</v>
      </c>
      <c r="L238" s="7" t="s">
        <v>2447</v>
      </c>
      <c r="M238" s="7"/>
    </row>
    <row r="239" customFormat="false" ht="115.65" hidden="false" customHeight="false" outlineLevel="1" collapsed="false">
      <c r="A239" s="27"/>
      <c r="B239" s="27" t="s">
        <v>2678</v>
      </c>
      <c r="C239" s="7" t="s">
        <v>2698</v>
      </c>
      <c r="D239" s="27" t="s">
        <v>853</v>
      </c>
      <c r="E239" s="50" t="n">
        <v>52</v>
      </c>
      <c r="F239" s="50" t="n">
        <v>52</v>
      </c>
      <c r="G239" s="27" t="s">
        <v>865</v>
      </c>
      <c r="H239" s="50" t="n">
        <f aca="false">F239/IF(Varsayimlar!$B$21=1,1.43,1)</f>
        <v>36.3636363636364</v>
      </c>
      <c r="I239" s="51" t="n">
        <v>12.64</v>
      </c>
      <c r="J239" s="28" t="n">
        <f aca="false">H239*I239</f>
        <v>459.636363636364</v>
      </c>
      <c r="K239" s="52" t="s">
        <v>548</v>
      </c>
      <c r="L239" s="7" t="s">
        <v>2662</v>
      </c>
      <c r="M239" s="7" t="s">
        <v>1816</v>
      </c>
    </row>
    <row r="240" customFormat="false" ht="77.6" hidden="false" customHeight="false" outlineLevel="1" collapsed="false">
      <c r="A240" s="27"/>
      <c r="B240" s="27" t="s">
        <v>2678</v>
      </c>
      <c r="C240" s="7" t="s">
        <v>2699</v>
      </c>
      <c r="D240" s="27" t="s">
        <v>727</v>
      </c>
      <c r="E240" s="50" t="n">
        <v>7</v>
      </c>
      <c r="F240" s="50" t="n">
        <v>7</v>
      </c>
      <c r="G240" s="27" t="s">
        <v>829</v>
      </c>
      <c r="H240" s="50" t="n">
        <f aca="false">F240/IF(Varsayimlar!$B$21=1,1.3,1)</f>
        <v>5.38461538461538</v>
      </c>
      <c r="I240" s="51" t="n">
        <v>47.64</v>
      </c>
      <c r="J240" s="28" t="n">
        <f aca="false">H240*I240</f>
        <v>256.523076923077</v>
      </c>
      <c r="K240" s="52" t="s">
        <v>548</v>
      </c>
      <c r="L240" s="7" t="s">
        <v>2700</v>
      </c>
      <c r="M240" s="7" t="s">
        <v>2701</v>
      </c>
    </row>
    <row r="241" customFormat="false" ht="77.6" hidden="false" customHeight="false" outlineLevel="1" collapsed="false">
      <c r="A241" s="27"/>
      <c r="B241" s="27" t="s">
        <v>2678</v>
      </c>
      <c r="C241" s="7" t="s">
        <v>2702</v>
      </c>
      <c r="D241" s="27" t="s">
        <v>853</v>
      </c>
      <c r="E241" s="50" t="n">
        <v>16</v>
      </c>
      <c r="F241" s="50" t="n">
        <v>16</v>
      </c>
      <c r="G241" s="27" t="s">
        <v>865</v>
      </c>
      <c r="H241" s="50" t="n">
        <f aca="false">F241/IF(Varsayimlar!$B$21=1,1.43,1)</f>
        <v>11.1888111888112</v>
      </c>
      <c r="I241" s="51" t="n">
        <v>18.27</v>
      </c>
      <c r="J241" s="28" t="n">
        <f aca="false">H241*I241</f>
        <v>204.41958041958</v>
      </c>
      <c r="K241" s="52" t="s">
        <v>548</v>
      </c>
      <c r="L241" s="7" t="s">
        <v>2703</v>
      </c>
      <c r="M241" s="7" t="s">
        <v>2704</v>
      </c>
    </row>
    <row r="242" customFormat="false" ht="64.9" hidden="false" customHeight="false" outlineLevel="1" collapsed="false">
      <c r="A242" s="27"/>
      <c r="B242" s="27" t="s">
        <v>2678</v>
      </c>
      <c r="C242" s="7" t="s">
        <v>2705</v>
      </c>
      <c r="D242" s="27" t="s">
        <v>727</v>
      </c>
      <c r="E242" s="50" t="n">
        <v>3</v>
      </c>
      <c r="F242" s="50" t="n">
        <v>3</v>
      </c>
      <c r="G242" s="27" t="s">
        <v>829</v>
      </c>
      <c r="H242" s="50" t="n">
        <f aca="false">F242/IF(Varsayimlar!$B$21=1,1.3,1)</f>
        <v>2.30769230769231</v>
      </c>
      <c r="I242" s="51" t="n">
        <v>59.55</v>
      </c>
      <c r="J242" s="28" t="n">
        <f aca="false">H242*I242</f>
        <v>137.423076923077</v>
      </c>
      <c r="K242" s="52" t="s">
        <v>548</v>
      </c>
      <c r="L242" s="7" t="s">
        <v>2706</v>
      </c>
      <c r="M242" s="7" t="s">
        <v>1927</v>
      </c>
    </row>
    <row r="243" customFormat="false" ht="64.9" hidden="false" customHeight="false" outlineLevel="1" collapsed="false">
      <c r="A243" s="27"/>
      <c r="B243" s="27" t="s">
        <v>2678</v>
      </c>
      <c r="C243" s="7" t="s">
        <v>2707</v>
      </c>
      <c r="D243" s="27" t="s">
        <v>727</v>
      </c>
      <c r="E243" s="50" t="n">
        <v>2</v>
      </c>
      <c r="F243" s="50" t="n">
        <v>2</v>
      </c>
      <c r="G243" s="27" t="s">
        <v>767</v>
      </c>
      <c r="H243" s="50" t="n">
        <f aca="false">F243</f>
        <v>2</v>
      </c>
      <c r="I243" s="51" t="n">
        <v>2682.84</v>
      </c>
      <c r="J243" s="28" t="n">
        <f aca="false">H243*I243</f>
        <v>5365.68</v>
      </c>
      <c r="K243" s="52" t="s">
        <v>548</v>
      </c>
      <c r="L243" s="7" t="s">
        <v>2708</v>
      </c>
      <c r="M243" s="7" t="s">
        <v>2709</v>
      </c>
    </row>
    <row r="244" customFormat="false" ht="90.25" hidden="false" customHeight="false" outlineLevel="1" collapsed="false">
      <c r="A244" s="27"/>
      <c r="B244" s="27" t="s">
        <v>2678</v>
      </c>
      <c r="C244" s="7" t="s">
        <v>2710</v>
      </c>
      <c r="D244" s="27" t="s">
        <v>853</v>
      </c>
      <c r="E244" s="50" t="n">
        <v>45</v>
      </c>
      <c r="F244" s="50" t="n">
        <v>45</v>
      </c>
      <c r="G244" s="27" t="s">
        <v>767</v>
      </c>
      <c r="H244" s="50" t="n">
        <f aca="false">F244</f>
        <v>45</v>
      </c>
      <c r="I244" s="51" t="n">
        <v>17.7</v>
      </c>
      <c r="J244" s="28" t="n">
        <f aca="false">H244*I244</f>
        <v>796.5</v>
      </c>
      <c r="K244" s="52" t="s">
        <v>548</v>
      </c>
      <c r="L244" s="7" t="s">
        <v>2711</v>
      </c>
      <c r="M244" s="7" t="s">
        <v>2712</v>
      </c>
    </row>
    <row r="245" customFormat="false" ht="128.35" hidden="false" customHeight="false" outlineLevel="1" collapsed="false">
      <c r="A245" s="27"/>
      <c r="B245" s="27" t="s">
        <v>2678</v>
      </c>
      <c r="C245" s="7" t="s">
        <v>2713</v>
      </c>
      <c r="D245" s="27" t="s">
        <v>853</v>
      </c>
      <c r="E245" s="50" t="n">
        <v>12</v>
      </c>
      <c r="F245" s="50" t="n">
        <v>12</v>
      </c>
      <c r="G245" s="27" t="s">
        <v>889</v>
      </c>
      <c r="H245" s="50" t="n">
        <f aca="false">F245/IF(Varsayimlar!$B$21=1,1.1,1)</f>
        <v>10.9090909090909</v>
      </c>
      <c r="I245" s="51" t="n">
        <v>11.65</v>
      </c>
      <c r="J245" s="28" t="n">
        <f aca="false">H245*I245</f>
        <v>127.090909090909</v>
      </c>
      <c r="K245" s="52" t="s">
        <v>548</v>
      </c>
      <c r="L245" s="7" t="s">
        <v>2714</v>
      </c>
      <c r="M245" s="7" t="s">
        <v>2715</v>
      </c>
    </row>
    <row r="246" customFormat="false" ht="128.35" hidden="false" customHeight="false" outlineLevel="1" collapsed="false">
      <c r="A246" s="27"/>
      <c r="B246" s="27" t="s">
        <v>2678</v>
      </c>
      <c r="C246" s="7" t="s">
        <v>2716</v>
      </c>
      <c r="D246" s="27" t="s">
        <v>853</v>
      </c>
      <c r="E246" s="50" t="n">
        <v>29</v>
      </c>
      <c r="F246" s="50" t="n">
        <v>29</v>
      </c>
      <c r="G246" s="27" t="s">
        <v>865</v>
      </c>
      <c r="H246" s="50" t="n">
        <f aca="false">F246/IF(Varsayimlar!$B$21=1,1.43,1)</f>
        <v>20.2797202797203</v>
      </c>
      <c r="I246" s="51" t="n">
        <v>12.64</v>
      </c>
      <c r="J246" s="28" t="n">
        <f aca="false">H246*I246</f>
        <v>256.335664335664</v>
      </c>
      <c r="K246" s="52" t="s">
        <v>548</v>
      </c>
      <c r="L246" s="7" t="s">
        <v>2717</v>
      </c>
      <c r="M246" s="7" t="s">
        <v>2718</v>
      </c>
    </row>
    <row r="247" customFormat="false" ht="90.25" hidden="false" customHeight="false" outlineLevel="1" collapsed="false">
      <c r="A247" s="27"/>
      <c r="B247" s="27" t="s">
        <v>2678</v>
      </c>
      <c r="C247" s="7" t="s">
        <v>2719</v>
      </c>
      <c r="D247" s="27" t="s">
        <v>727</v>
      </c>
      <c r="E247" s="50" t="n">
        <v>7</v>
      </c>
      <c r="F247" s="50" t="n">
        <v>7</v>
      </c>
      <c r="G247" s="27" t="s">
        <v>767</v>
      </c>
      <c r="H247" s="50" t="n">
        <f aca="false">F247</f>
        <v>7</v>
      </c>
      <c r="I247" s="51" t="n">
        <v>39</v>
      </c>
      <c r="J247" s="28" t="n">
        <f aca="false">H247*I247</f>
        <v>273</v>
      </c>
      <c r="K247" s="52" t="s">
        <v>548</v>
      </c>
      <c r="L247" s="7" t="s">
        <v>2720</v>
      </c>
      <c r="M247" s="7" t="s">
        <v>2721</v>
      </c>
    </row>
    <row r="248" customFormat="false" ht="15" hidden="false" customHeight="false" outlineLevel="0" collapsed="false">
      <c r="A248" s="48" t="s">
        <v>440</v>
      </c>
      <c r="B248" s="48" t="s">
        <v>2722</v>
      </c>
      <c r="C248" s="48" t="s">
        <v>441</v>
      </c>
      <c r="D248" s="48"/>
      <c r="E248" s="48"/>
      <c r="F248" s="48"/>
      <c r="G248" s="48"/>
      <c r="H248" s="48" t="s">
        <v>765</v>
      </c>
      <c r="I248" s="49" t="n">
        <f aca="false">SUMPRODUCT(E249:E251,I249:I251)</f>
        <v>2516.7</v>
      </c>
      <c r="J248" s="49" t="n">
        <f aca="false">SUM(J249:J251)</f>
        <v>1803.43776223776</v>
      </c>
      <c r="K248" s="48"/>
      <c r="L248" s="48"/>
      <c r="M248" s="48"/>
    </row>
    <row r="249" customFormat="false" ht="64.9" hidden="false" customHeight="false" outlineLevel="1" collapsed="false">
      <c r="A249" s="27"/>
      <c r="B249" s="27" t="s">
        <v>2722</v>
      </c>
      <c r="C249" s="7" t="s">
        <v>2723</v>
      </c>
      <c r="D249" s="27" t="s">
        <v>727</v>
      </c>
      <c r="E249" s="50" t="n">
        <v>11</v>
      </c>
      <c r="F249" s="50" t="n">
        <v>11</v>
      </c>
      <c r="G249" s="27" t="s">
        <v>829</v>
      </c>
      <c r="H249" s="50" t="n">
        <f aca="false">F249/IF(Varsayimlar!$B$21=1,1.3,1)</f>
        <v>8.46153846153846</v>
      </c>
      <c r="I249" s="51" t="n">
        <v>56.56</v>
      </c>
      <c r="J249" s="28" t="n">
        <f aca="false">H249*I249</f>
        <v>478.584615384615</v>
      </c>
      <c r="K249" s="52" t="s">
        <v>548</v>
      </c>
      <c r="L249" s="7" t="s">
        <v>2724</v>
      </c>
      <c r="M249" s="7" t="s">
        <v>2725</v>
      </c>
    </row>
    <row r="250" customFormat="false" ht="115.65" hidden="false" customHeight="false" outlineLevel="1" collapsed="false">
      <c r="A250" s="27"/>
      <c r="B250" s="27" t="s">
        <v>2722</v>
      </c>
      <c r="C250" s="7" t="s">
        <v>2726</v>
      </c>
      <c r="D250" s="27" t="s">
        <v>853</v>
      </c>
      <c r="E250" s="50" t="n">
        <v>86</v>
      </c>
      <c r="F250" s="50" t="n">
        <v>86</v>
      </c>
      <c r="G250" s="27" t="s">
        <v>865</v>
      </c>
      <c r="H250" s="50" t="n">
        <f aca="false">F250/IF(Varsayimlar!$B$21=1,1.43,1)</f>
        <v>60.1398601398601</v>
      </c>
      <c r="I250" s="51" t="n">
        <v>12.64</v>
      </c>
      <c r="J250" s="28" t="n">
        <f aca="false">H250*I250</f>
        <v>760.167832167832</v>
      </c>
      <c r="K250" s="52" t="s">
        <v>548</v>
      </c>
      <c r="L250" s="7" t="s">
        <v>2662</v>
      </c>
      <c r="M250" s="7" t="s">
        <v>1816</v>
      </c>
    </row>
    <row r="251" customFormat="false" ht="64.9" hidden="false" customHeight="false" outlineLevel="1" collapsed="false">
      <c r="A251" s="27"/>
      <c r="B251" s="27" t="s">
        <v>2722</v>
      </c>
      <c r="C251" s="7" t="s">
        <v>2727</v>
      </c>
      <c r="D251" s="27" t="s">
        <v>853</v>
      </c>
      <c r="E251" s="50" t="n">
        <v>125</v>
      </c>
      <c r="F251" s="50" t="n">
        <v>125</v>
      </c>
      <c r="G251" s="27" t="s">
        <v>865</v>
      </c>
      <c r="H251" s="50" t="n">
        <f aca="false">F251/IF(Varsayimlar!$B$21=1,1.43,1)</f>
        <v>87.4125874125874</v>
      </c>
      <c r="I251" s="51" t="n">
        <v>6.46</v>
      </c>
      <c r="J251" s="28" t="n">
        <f aca="false">H251*I251</f>
        <v>564.685314685315</v>
      </c>
      <c r="K251" s="52" t="s">
        <v>548</v>
      </c>
      <c r="L251" s="7" t="s">
        <v>2728</v>
      </c>
      <c r="M251" s="7" t="s">
        <v>2729</v>
      </c>
    </row>
    <row r="252" customFormat="false" ht="15" hidden="false" customHeight="false" outlineLevel="0" collapsed="false">
      <c r="A252" s="48" t="s">
        <v>442</v>
      </c>
      <c r="B252" s="48" t="s">
        <v>2730</v>
      </c>
      <c r="C252" s="48" t="s">
        <v>443</v>
      </c>
      <c r="D252" s="48"/>
      <c r="E252" s="48"/>
      <c r="F252" s="48"/>
      <c r="G252" s="48"/>
      <c r="H252" s="48" t="s">
        <v>765</v>
      </c>
      <c r="I252" s="49" t="n">
        <f aca="false">SUMPRODUCT(E253:E288,I253:I288)</f>
        <v>84666.34</v>
      </c>
      <c r="J252" s="49" t="n">
        <f aca="false">SUM(J253:J288)</f>
        <v>80967.7324475525</v>
      </c>
      <c r="K252" s="48"/>
      <c r="L252" s="48"/>
      <c r="M252" s="48"/>
    </row>
    <row r="253" customFormat="false" ht="39.55" hidden="false" customHeight="false" outlineLevel="1" collapsed="false">
      <c r="A253" s="27"/>
      <c r="B253" s="27" t="s">
        <v>2730</v>
      </c>
      <c r="C253" s="7" t="s">
        <v>2731</v>
      </c>
      <c r="D253" s="27" t="s">
        <v>727</v>
      </c>
      <c r="E253" s="50" t="n">
        <v>1</v>
      </c>
      <c r="F253" s="50" t="n">
        <v>1</v>
      </c>
      <c r="G253" s="27" t="s">
        <v>767</v>
      </c>
      <c r="H253" s="50" t="n">
        <f aca="false">F253</f>
        <v>1</v>
      </c>
      <c r="I253" s="51" t="n">
        <v>9869.28</v>
      </c>
      <c r="J253" s="28" t="n">
        <f aca="false">H253*I253</f>
        <v>9869.28</v>
      </c>
      <c r="K253" s="52" t="s">
        <v>548</v>
      </c>
      <c r="L253" s="7" t="s">
        <v>2732</v>
      </c>
      <c r="M253" s="7"/>
    </row>
    <row r="254" customFormat="false" ht="90.25" hidden="false" customHeight="false" outlineLevel="1" collapsed="false">
      <c r="A254" s="27"/>
      <c r="B254" s="27" t="s">
        <v>2730</v>
      </c>
      <c r="C254" s="7" t="s">
        <v>2733</v>
      </c>
      <c r="D254" s="27" t="s">
        <v>727</v>
      </c>
      <c r="E254" s="50" t="n">
        <v>1</v>
      </c>
      <c r="F254" s="50" t="n">
        <v>1</v>
      </c>
      <c r="G254" s="27" t="s">
        <v>767</v>
      </c>
      <c r="H254" s="50" t="n">
        <f aca="false">F254</f>
        <v>1</v>
      </c>
      <c r="I254" s="51" t="n">
        <v>4800</v>
      </c>
      <c r="J254" s="28" t="n">
        <f aca="false">H254*I254</f>
        <v>4800</v>
      </c>
      <c r="K254" s="52" t="s">
        <v>548</v>
      </c>
      <c r="L254" s="7" t="s">
        <v>2734</v>
      </c>
      <c r="M254" s="7" t="s">
        <v>2735</v>
      </c>
    </row>
    <row r="255" customFormat="false" ht="39.55" hidden="false" customHeight="false" outlineLevel="1" collapsed="false">
      <c r="A255" s="27"/>
      <c r="B255" s="27" t="s">
        <v>2730</v>
      </c>
      <c r="C255" s="7" t="s">
        <v>2736</v>
      </c>
      <c r="D255" s="27" t="s">
        <v>727</v>
      </c>
      <c r="E255" s="50" t="n">
        <v>1</v>
      </c>
      <c r="F255" s="50" t="n">
        <v>1</v>
      </c>
      <c r="G255" s="27" t="s">
        <v>767</v>
      </c>
      <c r="H255" s="50" t="n">
        <f aca="false">F255</f>
        <v>1</v>
      </c>
      <c r="I255" s="51" t="n">
        <v>15778</v>
      </c>
      <c r="J255" s="28" t="n">
        <f aca="false">H255*I255</f>
        <v>15778</v>
      </c>
      <c r="K255" s="52" t="s">
        <v>548</v>
      </c>
      <c r="L255" s="7" t="s">
        <v>2737</v>
      </c>
      <c r="M255" s="7" t="s">
        <v>2738</v>
      </c>
    </row>
    <row r="256" customFormat="false" ht="39.55" hidden="false" customHeight="false" outlineLevel="1" collapsed="false">
      <c r="A256" s="27"/>
      <c r="B256" s="27" t="s">
        <v>2730</v>
      </c>
      <c r="C256" s="7" t="s">
        <v>2739</v>
      </c>
      <c r="D256" s="27" t="s">
        <v>727</v>
      </c>
      <c r="E256" s="50" t="n">
        <v>1</v>
      </c>
      <c r="F256" s="50" t="n">
        <v>1</v>
      </c>
      <c r="G256" s="27" t="s">
        <v>767</v>
      </c>
      <c r="H256" s="50" t="n">
        <f aca="false">F256</f>
        <v>1</v>
      </c>
      <c r="I256" s="51" t="n">
        <v>6000</v>
      </c>
      <c r="J256" s="28" t="n">
        <f aca="false">H256*I256</f>
        <v>6000</v>
      </c>
      <c r="K256" s="53" t="s">
        <v>551</v>
      </c>
      <c r="L256" s="7" t="s">
        <v>2740</v>
      </c>
      <c r="M256" s="7"/>
    </row>
    <row r="257" customFormat="false" ht="52.2" hidden="false" customHeight="false" outlineLevel="1" collapsed="false">
      <c r="A257" s="27"/>
      <c r="B257" s="27" t="s">
        <v>2730</v>
      </c>
      <c r="C257" s="7" t="s">
        <v>2741</v>
      </c>
      <c r="D257" s="27" t="s">
        <v>727</v>
      </c>
      <c r="E257" s="50" t="n">
        <v>1</v>
      </c>
      <c r="F257" s="50" t="n">
        <v>1</v>
      </c>
      <c r="G257" s="27" t="s">
        <v>767</v>
      </c>
      <c r="H257" s="50" t="n">
        <f aca="false">F257</f>
        <v>1</v>
      </c>
      <c r="I257" s="51" t="n">
        <v>4050</v>
      </c>
      <c r="J257" s="28" t="n">
        <f aca="false">H257*I257</f>
        <v>4050</v>
      </c>
      <c r="K257" s="52" t="s">
        <v>548</v>
      </c>
      <c r="L257" s="7" t="s">
        <v>2742</v>
      </c>
      <c r="M257" s="7" t="s">
        <v>2743</v>
      </c>
    </row>
    <row r="258" customFormat="false" ht="77.6" hidden="false" customHeight="false" outlineLevel="1" collapsed="false">
      <c r="A258" s="27"/>
      <c r="B258" s="27" t="s">
        <v>2730</v>
      </c>
      <c r="C258" s="7" t="s">
        <v>2744</v>
      </c>
      <c r="D258" s="27" t="s">
        <v>816</v>
      </c>
      <c r="E258" s="50" t="n">
        <v>1</v>
      </c>
      <c r="F258" s="50" t="n">
        <v>1</v>
      </c>
      <c r="G258" s="27" t="s">
        <v>767</v>
      </c>
      <c r="H258" s="50" t="n">
        <f aca="false">F258</f>
        <v>1</v>
      </c>
      <c r="I258" s="51" t="n">
        <v>1535.06</v>
      </c>
      <c r="J258" s="28" t="n">
        <f aca="false">H258*I258</f>
        <v>1535.06</v>
      </c>
      <c r="K258" s="52" t="s">
        <v>548</v>
      </c>
      <c r="L258" s="7" t="s">
        <v>2745</v>
      </c>
      <c r="M258" s="7" t="s">
        <v>2746</v>
      </c>
    </row>
    <row r="259" customFormat="false" ht="52.2" hidden="false" customHeight="false" outlineLevel="1" collapsed="false">
      <c r="A259" s="27"/>
      <c r="B259" s="27" t="s">
        <v>2730</v>
      </c>
      <c r="C259" s="7" t="s">
        <v>2747</v>
      </c>
      <c r="D259" s="27" t="s">
        <v>853</v>
      </c>
      <c r="E259" s="50" t="n">
        <v>112</v>
      </c>
      <c r="F259" s="50" t="n">
        <v>112</v>
      </c>
      <c r="G259" s="27" t="s">
        <v>865</v>
      </c>
      <c r="H259" s="50" t="n">
        <f aca="false">F259/IF(Varsayimlar!$B$21=1,1.43,1)</f>
        <v>78.3216783216783</v>
      </c>
      <c r="I259" s="51" t="n">
        <v>34.09</v>
      </c>
      <c r="J259" s="28" t="n">
        <f aca="false">H259*I259</f>
        <v>2669.98601398601</v>
      </c>
      <c r="K259" s="52" t="s">
        <v>548</v>
      </c>
      <c r="L259" s="7" t="s">
        <v>2748</v>
      </c>
      <c r="M259" s="7" t="s">
        <v>2017</v>
      </c>
    </row>
    <row r="260" customFormat="false" ht="39.55" hidden="false" customHeight="false" outlineLevel="1" collapsed="false">
      <c r="A260" s="27"/>
      <c r="B260" s="27" t="s">
        <v>2730</v>
      </c>
      <c r="C260" s="7" t="s">
        <v>2749</v>
      </c>
      <c r="D260" s="27" t="s">
        <v>853</v>
      </c>
      <c r="E260" s="50" t="n">
        <v>502</v>
      </c>
      <c r="F260" s="50" t="n">
        <v>502</v>
      </c>
      <c r="G260" s="27" t="s">
        <v>889</v>
      </c>
      <c r="H260" s="50" t="n">
        <f aca="false">F260/IF(Varsayimlar!$B$21=1,1.1,1)</f>
        <v>456.363636363636</v>
      </c>
      <c r="I260" s="51" t="n">
        <v>14.36</v>
      </c>
      <c r="J260" s="28" t="n">
        <f aca="false">H260*I260</f>
        <v>6553.38181818182</v>
      </c>
      <c r="K260" s="52" t="s">
        <v>548</v>
      </c>
      <c r="L260" s="7" t="s">
        <v>2750</v>
      </c>
      <c r="M260" s="7"/>
    </row>
    <row r="261" customFormat="false" ht="141" hidden="false" customHeight="false" outlineLevel="1" collapsed="false">
      <c r="A261" s="27"/>
      <c r="B261" s="27" t="s">
        <v>2730</v>
      </c>
      <c r="C261" s="7" t="s">
        <v>2751</v>
      </c>
      <c r="D261" s="27" t="s">
        <v>853</v>
      </c>
      <c r="E261" s="50" t="n">
        <v>118</v>
      </c>
      <c r="F261" s="50" t="n">
        <v>118</v>
      </c>
      <c r="G261" s="27" t="s">
        <v>865</v>
      </c>
      <c r="H261" s="50" t="n">
        <f aca="false">F261/IF(Varsayimlar!$B$21=1,1.43,1)</f>
        <v>82.5174825174825</v>
      </c>
      <c r="I261" s="51" t="n">
        <v>5.63</v>
      </c>
      <c r="J261" s="28" t="n">
        <f aca="false">H261*I261</f>
        <v>464.573426573427</v>
      </c>
      <c r="K261" s="52" t="s">
        <v>548</v>
      </c>
      <c r="L261" s="7" t="s">
        <v>2752</v>
      </c>
      <c r="M261" s="7" t="s">
        <v>2753</v>
      </c>
    </row>
    <row r="262" customFormat="false" ht="141" hidden="false" customHeight="false" outlineLevel="1" collapsed="false">
      <c r="A262" s="27"/>
      <c r="B262" s="27" t="s">
        <v>2730</v>
      </c>
      <c r="C262" s="7" t="s">
        <v>2754</v>
      </c>
      <c r="D262" s="27" t="s">
        <v>853</v>
      </c>
      <c r="E262" s="50" t="n">
        <v>101</v>
      </c>
      <c r="F262" s="50" t="n">
        <v>101</v>
      </c>
      <c r="G262" s="27" t="s">
        <v>865</v>
      </c>
      <c r="H262" s="50" t="n">
        <f aca="false">F262/IF(Varsayimlar!$B$21=1,1.43,1)</f>
        <v>70.6293706293706</v>
      </c>
      <c r="I262" s="51" t="n">
        <v>6.8</v>
      </c>
      <c r="J262" s="28" t="n">
        <f aca="false">H262*I262</f>
        <v>480.27972027972</v>
      </c>
      <c r="K262" s="52" t="s">
        <v>548</v>
      </c>
      <c r="L262" s="7" t="s">
        <v>2755</v>
      </c>
      <c r="M262" s="7" t="s">
        <v>2756</v>
      </c>
    </row>
    <row r="263" customFormat="false" ht="115.65" hidden="false" customHeight="false" outlineLevel="1" collapsed="false">
      <c r="A263" s="27"/>
      <c r="B263" s="27" t="s">
        <v>2730</v>
      </c>
      <c r="C263" s="7" t="s">
        <v>2757</v>
      </c>
      <c r="D263" s="27" t="s">
        <v>853</v>
      </c>
      <c r="E263" s="50" t="n">
        <v>68</v>
      </c>
      <c r="F263" s="50" t="n">
        <v>68</v>
      </c>
      <c r="G263" s="27" t="s">
        <v>865</v>
      </c>
      <c r="H263" s="50" t="n">
        <f aca="false">F263/IF(Varsayimlar!$B$21=1,1.43,1)</f>
        <v>47.5524475524476</v>
      </c>
      <c r="I263" s="51" t="n">
        <v>7.11</v>
      </c>
      <c r="J263" s="28" t="n">
        <f aca="false">H263*I263</f>
        <v>338.097902097902</v>
      </c>
      <c r="K263" s="52" t="s">
        <v>548</v>
      </c>
      <c r="L263" s="7" t="s">
        <v>2758</v>
      </c>
      <c r="M263" s="7" t="s">
        <v>2759</v>
      </c>
    </row>
    <row r="264" customFormat="false" ht="141" hidden="false" customHeight="false" outlineLevel="1" collapsed="false">
      <c r="A264" s="27"/>
      <c r="B264" s="27" t="s">
        <v>2730</v>
      </c>
      <c r="C264" s="7" t="s">
        <v>2760</v>
      </c>
      <c r="D264" s="27" t="s">
        <v>853</v>
      </c>
      <c r="E264" s="50" t="n">
        <v>51</v>
      </c>
      <c r="F264" s="50" t="n">
        <v>51</v>
      </c>
      <c r="G264" s="27" t="s">
        <v>865</v>
      </c>
      <c r="H264" s="50" t="n">
        <f aca="false">F264/IF(Varsayimlar!$B$21=1,1.43,1)</f>
        <v>35.6643356643357</v>
      </c>
      <c r="I264" s="51" t="n">
        <v>10.82</v>
      </c>
      <c r="J264" s="28" t="n">
        <f aca="false">H264*I264</f>
        <v>385.888111888112</v>
      </c>
      <c r="K264" s="52" t="s">
        <v>548</v>
      </c>
      <c r="L264" s="7" t="s">
        <v>2761</v>
      </c>
      <c r="M264" s="7" t="s">
        <v>2762</v>
      </c>
    </row>
    <row r="265" customFormat="false" ht="141" hidden="false" customHeight="false" outlineLevel="1" collapsed="false">
      <c r="A265" s="27"/>
      <c r="B265" s="27" t="s">
        <v>2730</v>
      </c>
      <c r="C265" s="7" t="s">
        <v>2763</v>
      </c>
      <c r="D265" s="27" t="s">
        <v>853</v>
      </c>
      <c r="E265" s="50" t="n">
        <v>119</v>
      </c>
      <c r="F265" s="50" t="n">
        <v>119</v>
      </c>
      <c r="G265" s="27" t="s">
        <v>865</v>
      </c>
      <c r="H265" s="50" t="n">
        <f aca="false">F265/IF(Varsayimlar!$B$21=1,1.43,1)</f>
        <v>83.2167832167832</v>
      </c>
      <c r="I265" s="51" t="n">
        <v>5.63</v>
      </c>
      <c r="J265" s="28" t="n">
        <f aca="false">H265*I265</f>
        <v>468.51048951049</v>
      </c>
      <c r="K265" s="52" t="s">
        <v>548</v>
      </c>
      <c r="L265" s="7" t="s">
        <v>2752</v>
      </c>
      <c r="M265" s="7" t="s">
        <v>2753</v>
      </c>
    </row>
    <row r="266" customFormat="false" ht="141" hidden="false" customHeight="false" outlineLevel="1" collapsed="false">
      <c r="A266" s="27"/>
      <c r="B266" s="27" t="s">
        <v>2730</v>
      </c>
      <c r="C266" s="7" t="s">
        <v>2764</v>
      </c>
      <c r="D266" s="27" t="s">
        <v>853</v>
      </c>
      <c r="E266" s="50" t="n">
        <v>104</v>
      </c>
      <c r="F266" s="50" t="n">
        <v>104</v>
      </c>
      <c r="G266" s="27" t="s">
        <v>865</v>
      </c>
      <c r="H266" s="50" t="n">
        <f aca="false">F266/IF(Varsayimlar!$B$21=1,1.43,1)</f>
        <v>72.7272727272727</v>
      </c>
      <c r="I266" s="51" t="n">
        <v>6.8</v>
      </c>
      <c r="J266" s="28" t="n">
        <f aca="false">H266*I266</f>
        <v>494.545454545455</v>
      </c>
      <c r="K266" s="52" t="s">
        <v>548</v>
      </c>
      <c r="L266" s="7" t="s">
        <v>2755</v>
      </c>
      <c r="M266" s="7" t="s">
        <v>2756</v>
      </c>
    </row>
    <row r="267" customFormat="false" ht="115.65" hidden="false" customHeight="false" outlineLevel="1" collapsed="false">
      <c r="A267" s="27"/>
      <c r="B267" s="27" t="s">
        <v>2730</v>
      </c>
      <c r="C267" s="7" t="s">
        <v>2765</v>
      </c>
      <c r="D267" s="27" t="s">
        <v>853</v>
      </c>
      <c r="E267" s="50" t="n">
        <v>74</v>
      </c>
      <c r="F267" s="50" t="n">
        <v>74</v>
      </c>
      <c r="G267" s="27" t="s">
        <v>865</v>
      </c>
      <c r="H267" s="50" t="n">
        <f aca="false">F267/IF(Varsayimlar!$B$21=1,1.43,1)</f>
        <v>51.7482517482518</v>
      </c>
      <c r="I267" s="51" t="n">
        <v>7.11</v>
      </c>
      <c r="J267" s="28" t="n">
        <f aca="false">H267*I267</f>
        <v>367.93006993007</v>
      </c>
      <c r="K267" s="52" t="s">
        <v>548</v>
      </c>
      <c r="L267" s="7" t="s">
        <v>2758</v>
      </c>
      <c r="M267" s="7" t="s">
        <v>2759</v>
      </c>
    </row>
    <row r="268" customFormat="false" ht="128.35" hidden="false" customHeight="false" outlineLevel="1" collapsed="false">
      <c r="A268" s="27"/>
      <c r="B268" s="27" t="s">
        <v>2730</v>
      </c>
      <c r="C268" s="7" t="s">
        <v>2766</v>
      </c>
      <c r="D268" s="27" t="s">
        <v>853</v>
      </c>
      <c r="E268" s="50" t="n">
        <v>126</v>
      </c>
      <c r="F268" s="50" t="n">
        <v>126</v>
      </c>
      <c r="G268" s="27" t="s">
        <v>865</v>
      </c>
      <c r="H268" s="50" t="n">
        <f aca="false">F268/IF(Varsayimlar!$B$21=1,1.43,1)</f>
        <v>88.1118881118881</v>
      </c>
      <c r="I268" s="51" t="n">
        <v>5.63</v>
      </c>
      <c r="J268" s="28" t="n">
        <f aca="false">H268*I268</f>
        <v>496.06993006993</v>
      </c>
      <c r="K268" s="52" t="s">
        <v>548</v>
      </c>
      <c r="L268" s="7" t="s">
        <v>2767</v>
      </c>
      <c r="M268" s="7" t="s">
        <v>2445</v>
      </c>
    </row>
    <row r="269" customFormat="false" ht="128.35" hidden="false" customHeight="false" outlineLevel="1" collapsed="false">
      <c r="A269" s="27"/>
      <c r="B269" s="27" t="s">
        <v>2730</v>
      </c>
      <c r="C269" s="7" t="s">
        <v>2768</v>
      </c>
      <c r="D269" s="27" t="s">
        <v>853</v>
      </c>
      <c r="E269" s="50" t="n">
        <v>84</v>
      </c>
      <c r="F269" s="50" t="n">
        <v>84</v>
      </c>
      <c r="G269" s="27" t="s">
        <v>865</v>
      </c>
      <c r="H269" s="50" t="n">
        <f aca="false">F269/IF(Varsayimlar!$B$21=1,1.43,1)</f>
        <v>58.7412587412588</v>
      </c>
      <c r="I269" s="51" t="n">
        <v>6.8</v>
      </c>
      <c r="J269" s="28" t="n">
        <f aca="false">H269*I269</f>
        <v>399.440559440559</v>
      </c>
      <c r="K269" s="52" t="s">
        <v>548</v>
      </c>
      <c r="L269" s="7" t="s">
        <v>2769</v>
      </c>
      <c r="M269" s="7" t="s">
        <v>2770</v>
      </c>
    </row>
    <row r="270" customFormat="false" ht="77.6" hidden="false" customHeight="false" outlineLevel="1" collapsed="false">
      <c r="A270" s="27"/>
      <c r="B270" s="27" t="s">
        <v>2730</v>
      </c>
      <c r="C270" s="7" t="s">
        <v>2771</v>
      </c>
      <c r="D270" s="27" t="s">
        <v>727</v>
      </c>
      <c r="E270" s="50" t="n">
        <v>1</v>
      </c>
      <c r="F270" s="50" t="n">
        <v>1</v>
      </c>
      <c r="G270" s="27" t="s">
        <v>767</v>
      </c>
      <c r="H270" s="50" t="n">
        <f aca="false">F270</f>
        <v>1</v>
      </c>
      <c r="I270" s="51" t="n">
        <v>1476.86</v>
      </c>
      <c r="J270" s="28" t="n">
        <f aca="false">H270*I270</f>
        <v>1476.86</v>
      </c>
      <c r="K270" s="52" t="s">
        <v>548</v>
      </c>
      <c r="L270" s="7" t="s">
        <v>2772</v>
      </c>
      <c r="M270" s="7"/>
    </row>
    <row r="271" customFormat="false" ht="90.25" hidden="false" customHeight="false" outlineLevel="1" collapsed="false">
      <c r="A271" s="27"/>
      <c r="B271" s="27" t="s">
        <v>2730</v>
      </c>
      <c r="C271" s="7" t="s">
        <v>2773</v>
      </c>
      <c r="D271" s="27" t="s">
        <v>727</v>
      </c>
      <c r="E271" s="50" t="n">
        <v>2</v>
      </c>
      <c r="F271" s="50" t="n">
        <v>2</v>
      </c>
      <c r="G271" s="27" t="s">
        <v>767</v>
      </c>
      <c r="H271" s="50" t="n">
        <f aca="false">F271</f>
        <v>2</v>
      </c>
      <c r="I271" s="51" t="n">
        <v>458.92</v>
      </c>
      <c r="J271" s="28" t="n">
        <f aca="false">H271*I271</f>
        <v>917.84</v>
      </c>
      <c r="K271" s="52" t="s">
        <v>548</v>
      </c>
      <c r="L271" s="7" t="s">
        <v>2774</v>
      </c>
      <c r="M271" s="7" t="s">
        <v>2775</v>
      </c>
    </row>
    <row r="272" customFormat="false" ht="26.85" hidden="false" customHeight="false" outlineLevel="1" collapsed="false">
      <c r="A272" s="27"/>
      <c r="B272" s="27" t="s">
        <v>2730</v>
      </c>
      <c r="C272" s="7" t="s">
        <v>2776</v>
      </c>
      <c r="D272" s="27" t="s">
        <v>732</v>
      </c>
      <c r="E272" s="50" t="n">
        <v>1</v>
      </c>
      <c r="F272" s="50" t="n">
        <v>1</v>
      </c>
      <c r="G272" s="27" t="s">
        <v>767</v>
      </c>
      <c r="H272" s="50" t="n">
        <f aca="false">F272</f>
        <v>1</v>
      </c>
      <c r="I272" s="51" t="n">
        <v>6500</v>
      </c>
      <c r="J272" s="28" t="n">
        <f aca="false">H272*I272</f>
        <v>6500</v>
      </c>
      <c r="K272" s="53" t="s">
        <v>551</v>
      </c>
      <c r="L272" s="7" t="s">
        <v>2447</v>
      </c>
      <c r="M272" s="7"/>
    </row>
    <row r="273" customFormat="false" ht="64.9" hidden="false" customHeight="false" outlineLevel="1" collapsed="false">
      <c r="A273" s="27"/>
      <c r="B273" s="27" t="s">
        <v>2730</v>
      </c>
      <c r="C273" s="7" t="s">
        <v>2777</v>
      </c>
      <c r="D273" s="27" t="s">
        <v>727</v>
      </c>
      <c r="E273" s="50" t="n">
        <v>9</v>
      </c>
      <c r="F273" s="50" t="n">
        <v>9</v>
      </c>
      <c r="G273" s="27" t="s">
        <v>767</v>
      </c>
      <c r="H273" s="50" t="n">
        <f aca="false">F273</f>
        <v>9</v>
      </c>
      <c r="I273" s="51" t="n">
        <v>178.44</v>
      </c>
      <c r="J273" s="28" t="n">
        <f aca="false">H273*I273</f>
        <v>1605.96</v>
      </c>
      <c r="K273" s="52" t="s">
        <v>548</v>
      </c>
      <c r="L273" s="7" t="s">
        <v>2778</v>
      </c>
      <c r="M273" s="7" t="s">
        <v>2779</v>
      </c>
    </row>
    <row r="274" customFormat="false" ht="64.9" hidden="false" customHeight="false" outlineLevel="1" collapsed="false">
      <c r="A274" s="27"/>
      <c r="B274" s="27" t="s">
        <v>2730</v>
      </c>
      <c r="C274" s="7" t="s">
        <v>2780</v>
      </c>
      <c r="D274" s="27" t="s">
        <v>727</v>
      </c>
      <c r="E274" s="50" t="n">
        <v>11</v>
      </c>
      <c r="F274" s="50" t="n">
        <v>11</v>
      </c>
      <c r="G274" s="27" t="s">
        <v>767</v>
      </c>
      <c r="H274" s="50" t="n">
        <f aca="false">F274</f>
        <v>11</v>
      </c>
      <c r="I274" s="51" t="n">
        <v>200</v>
      </c>
      <c r="J274" s="28" t="n">
        <f aca="false">H274*I274</f>
        <v>2200</v>
      </c>
      <c r="K274" s="52" t="s">
        <v>548</v>
      </c>
      <c r="L274" s="7" t="s">
        <v>2781</v>
      </c>
      <c r="M274" s="7" t="s">
        <v>2782</v>
      </c>
    </row>
    <row r="275" customFormat="false" ht="52.2" hidden="false" customHeight="false" outlineLevel="1" collapsed="false">
      <c r="A275" s="27"/>
      <c r="B275" s="27" t="s">
        <v>2730</v>
      </c>
      <c r="C275" s="7" t="s">
        <v>2783</v>
      </c>
      <c r="D275" s="27" t="s">
        <v>727</v>
      </c>
      <c r="E275" s="50" t="n">
        <v>5</v>
      </c>
      <c r="F275" s="50" t="n">
        <v>5</v>
      </c>
      <c r="G275" s="27" t="s">
        <v>767</v>
      </c>
      <c r="H275" s="50" t="n">
        <f aca="false">F275</f>
        <v>5</v>
      </c>
      <c r="I275" s="51" t="n">
        <v>280</v>
      </c>
      <c r="J275" s="28" t="n">
        <f aca="false">H275*I275</f>
        <v>1400</v>
      </c>
      <c r="K275" s="52" t="s">
        <v>548</v>
      </c>
      <c r="L275" s="7" t="s">
        <v>2784</v>
      </c>
      <c r="M275" s="7" t="s">
        <v>2785</v>
      </c>
    </row>
    <row r="276" customFormat="false" ht="64.9" hidden="false" customHeight="false" outlineLevel="1" collapsed="false">
      <c r="A276" s="27"/>
      <c r="B276" s="27" t="s">
        <v>2730</v>
      </c>
      <c r="C276" s="7" t="s">
        <v>2786</v>
      </c>
      <c r="D276" s="27" t="s">
        <v>727</v>
      </c>
      <c r="E276" s="50" t="n">
        <v>6</v>
      </c>
      <c r="F276" s="50" t="n">
        <v>6</v>
      </c>
      <c r="G276" s="27" t="s">
        <v>767</v>
      </c>
      <c r="H276" s="50" t="n">
        <f aca="false">F276</f>
        <v>6</v>
      </c>
      <c r="I276" s="51" t="n">
        <v>250</v>
      </c>
      <c r="J276" s="28" t="n">
        <f aca="false">H276*I276</f>
        <v>1500</v>
      </c>
      <c r="K276" s="52" t="s">
        <v>548</v>
      </c>
      <c r="L276" s="7" t="s">
        <v>2787</v>
      </c>
      <c r="M276" s="7" t="s">
        <v>2788</v>
      </c>
    </row>
    <row r="277" customFormat="false" ht="64.9" hidden="false" customHeight="false" outlineLevel="1" collapsed="false">
      <c r="A277" s="27"/>
      <c r="B277" s="27" t="s">
        <v>2730</v>
      </c>
      <c r="C277" s="7" t="s">
        <v>2789</v>
      </c>
      <c r="D277" s="27" t="s">
        <v>727</v>
      </c>
      <c r="E277" s="50" t="n">
        <v>3</v>
      </c>
      <c r="F277" s="50" t="n">
        <v>3</v>
      </c>
      <c r="G277" s="27" t="s">
        <v>767</v>
      </c>
      <c r="H277" s="50" t="n">
        <f aca="false">F277</f>
        <v>3</v>
      </c>
      <c r="I277" s="51" t="n">
        <v>119.76</v>
      </c>
      <c r="J277" s="28" t="n">
        <f aca="false">H277*I277</f>
        <v>359.28</v>
      </c>
      <c r="K277" s="52" t="s">
        <v>548</v>
      </c>
      <c r="L277" s="7" t="s">
        <v>2790</v>
      </c>
      <c r="M277" s="7" t="s">
        <v>2791</v>
      </c>
    </row>
    <row r="278" customFormat="false" ht="39.55" hidden="false" customHeight="false" outlineLevel="1" collapsed="false">
      <c r="A278" s="27"/>
      <c r="B278" s="27" t="s">
        <v>2730</v>
      </c>
      <c r="C278" s="7" t="s">
        <v>2792</v>
      </c>
      <c r="D278" s="27" t="s">
        <v>727</v>
      </c>
      <c r="E278" s="50" t="n">
        <v>4</v>
      </c>
      <c r="F278" s="50" t="n">
        <v>4</v>
      </c>
      <c r="G278" s="27" t="s">
        <v>767</v>
      </c>
      <c r="H278" s="50" t="n">
        <f aca="false">F278</f>
        <v>4</v>
      </c>
      <c r="I278" s="51" t="n">
        <v>106.43</v>
      </c>
      <c r="J278" s="28" t="n">
        <f aca="false">H278*I278</f>
        <v>425.72</v>
      </c>
      <c r="K278" s="52" t="s">
        <v>548</v>
      </c>
      <c r="L278" s="7" t="s">
        <v>2793</v>
      </c>
      <c r="M278" s="7"/>
    </row>
    <row r="279" customFormat="false" ht="52.2" hidden="false" customHeight="false" outlineLevel="1" collapsed="false">
      <c r="A279" s="27"/>
      <c r="B279" s="27" t="s">
        <v>2730</v>
      </c>
      <c r="C279" s="7" t="s">
        <v>2794</v>
      </c>
      <c r="D279" s="27" t="s">
        <v>727</v>
      </c>
      <c r="E279" s="50" t="n">
        <v>1</v>
      </c>
      <c r="F279" s="50" t="n">
        <v>1</v>
      </c>
      <c r="G279" s="27" t="s">
        <v>767</v>
      </c>
      <c r="H279" s="50" t="n">
        <f aca="false">F279</f>
        <v>1</v>
      </c>
      <c r="I279" s="51" t="n">
        <v>735.48</v>
      </c>
      <c r="J279" s="28" t="n">
        <f aca="false">H279*I279</f>
        <v>735.48</v>
      </c>
      <c r="K279" s="52" t="s">
        <v>548</v>
      </c>
      <c r="L279" s="7" t="s">
        <v>2795</v>
      </c>
      <c r="M279" s="7" t="s">
        <v>2796</v>
      </c>
    </row>
    <row r="280" customFormat="false" ht="64.9" hidden="false" customHeight="false" outlineLevel="1" collapsed="false">
      <c r="A280" s="27"/>
      <c r="B280" s="27" t="s">
        <v>2730</v>
      </c>
      <c r="C280" s="7" t="s">
        <v>2797</v>
      </c>
      <c r="D280" s="27" t="s">
        <v>727</v>
      </c>
      <c r="E280" s="50" t="n">
        <v>2</v>
      </c>
      <c r="F280" s="50" t="n">
        <v>2</v>
      </c>
      <c r="G280" s="27" t="s">
        <v>767</v>
      </c>
      <c r="H280" s="50" t="n">
        <f aca="false">F280</f>
        <v>2</v>
      </c>
      <c r="I280" s="51" t="n">
        <v>1521.76</v>
      </c>
      <c r="J280" s="28" t="n">
        <f aca="false">H280*I280</f>
        <v>3043.52</v>
      </c>
      <c r="K280" s="52" t="s">
        <v>548</v>
      </c>
      <c r="L280" s="7" t="s">
        <v>2798</v>
      </c>
      <c r="M280" s="7"/>
    </row>
    <row r="281" customFormat="false" ht="26.85" hidden="false" customHeight="false" outlineLevel="1" collapsed="false">
      <c r="A281" s="27"/>
      <c r="B281" s="27" t="s">
        <v>2730</v>
      </c>
      <c r="C281" s="7" t="s">
        <v>2799</v>
      </c>
      <c r="D281" s="27" t="s">
        <v>816</v>
      </c>
      <c r="E281" s="50" t="n">
        <v>1</v>
      </c>
      <c r="F281" s="50" t="n">
        <v>1</v>
      </c>
      <c r="G281" s="27" t="s">
        <v>767</v>
      </c>
      <c r="H281" s="50" t="n">
        <f aca="false">F281</f>
        <v>1</v>
      </c>
      <c r="I281" s="51" t="n">
        <v>3000</v>
      </c>
      <c r="J281" s="28" t="n">
        <f aca="false">H281*I281</f>
        <v>3000</v>
      </c>
      <c r="K281" s="53" t="s">
        <v>551</v>
      </c>
      <c r="L281" s="7" t="s">
        <v>2317</v>
      </c>
      <c r="M281" s="7"/>
    </row>
    <row r="282" customFormat="false" ht="141" hidden="false" customHeight="false" outlineLevel="1" collapsed="false">
      <c r="A282" s="27"/>
      <c r="B282" s="27" t="s">
        <v>2730</v>
      </c>
      <c r="C282" s="7" t="s">
        <v>2800</v>
      </c>
      <c r="D282" s="27" t="s">
        <v>853</v>
      </c>
      <c r="E282" s="50" t="n">
        <v>62</v>
      </c>
      <c r="F282" s="50" t="n">
        <v>62</v>
      </c>
      <c r="G282" s="27" t="s">
        <v>865</v>
      </c>
      <c r="H282" s="50" t="n">
        <f aca="false">F282/IF(Varsayimlar!$B$21=1,1.43,1)</f>
        <v>43.3566433566434</v>
      </c>
      <c r="I282" s="51" t="n">
        <v>4.11</v>
      </c>
      <c r="J282" s="28" t="n">
        <f aca="false">H282*I282</f>
        <v>178.195804195804</v>
      </c>
      <c r="K282" s="52" t="s">
        <v>548</v>
      </c>
      <c r="L282" s="7" t="s">
        <v>2801</v>
      </c>
      <c r="M282" s="7" t="s">
        <v>2802</v>
      </c>
    </row>
    <row r="283" customFormat="false" ht="52.2" hidden="false" customHeight="false" outlineLevel="1" collapsed="false">
      <c r="A283" s="27"/>
      <c r="B283" s="27" t="s">
        <v>2730</v>
      </c>
      <c r="C283" s="7" t="s">
        <v>2803</v>
      </c>
      <c r="D283" s="27" t="s">
        <v>727</v>
      </c>
      <c r="E283" s="50" t="n">
        <v>7</v>
      </c>
      <c r="F283" s="50" t="n">
        <v>7</v>
      </c>
      <c r="G283" s="27" t="s">
        <v>767</v>
      </c>
      <c r="H283" s="50" t="n">
        <f aca="false">F283</f>
        <v>7</v>
      </c>
      <c r="I283" s="51" t="n">
        <v>172.16</v>
      </c>
      <c r="J283" s="28" t="n">
        <f aca="false">H283*I283</f>
        <v>1205.12</v>
      </c>
      <c r="K283" s="52" t="s">
        <v>548</v>
      </c>
      <c r="L283" s="7" t="s">
        <v>2804</v>
      </c>
      <c r="M283" s="7" t="s">
        <v>2805</v>
      </c>
    </row>
    <row r="284" customFormat="false" ht="64.9" hidden="false" customHeight="false" outlineLevel="1" collapsed="false">
      <c r="A284" s="27"/>
      <c r="B284" s="27" t="s">
        <v>2730</v>
      </c>
      <c r="C284" s="7" t="s">
        <v>2806</v>
      </c>
      <c r="D284" s="27" t="s">
        <v>727</v>
      </c>
      <c r="E284" s="50" t="n">
        <v>1</v>
      </c>
      <c r="F284" s="50" t="n">
        <v>1</v>
      </c>
      <c r="G284" s="27" t="s">
        <v>767</v>
      </c>
      <c r="H284" s="50" t="n">
        <f aca="false">F284</f>
        <v>1</v>
      </c>
      <c r="I284" s="51" t="n">
        <v>285.22</v>
      </c>
      <c r="J284" s="28" t="n">
        <f aca="false">H284*I284</f>
        <v>285.22</v>
      </c>
      <c r="K284" s="52" t="s">
        <v>548</v>
      </c>
      <c r="L284" s="7" t="s">
        <v>2807</v>
      </c>
      <c r="M284" s="7"/>
    </row>
    <row r="285" customFormat="false" ht="141" hidden="false" customHeight="false" outlineLevel="1" collapsed="false">
      <c r="A285" s="27"/>
      <c r="B285" s="27" t="s">
        <v>2730</v>
      </c>
      <c r="C285" s="7" t="s">
        <v>2808</v>
      </c>
      <c r="D285" s="27" t="s">
        <v>853</v>
      </c>
      <c r="E285" s="50" t="n">
        <v>58</v>
      </c>
      <c r="F285" s="50" t="n">
        <v>58</v>
      </c>
      <c r="G285" s="27" t="s">
        <v>865</v>
      </c>
      <c r="H285" s="50" t="n">
        <f aca="false">F285/IF(Varsayimlar!$B$21=1,1.43,1)</f>
        <v>40.5594405594406</v>
      </c>
      <c r="I285" s="51" t="n">
        <v>4.11</v>
      </c>
      <c r="J285" s="28" t="n">
        <f aca="false">H285*I285</f>
        <v>166.699300699301</v>
      </c>
      <c r="K285" s="52" t="s">
        <v>548</v>
      </c>
      <c r="L285" s="7" t="s">
        <v>2809</v>
      </c>
      <c r="M285" s="7" t="s">
        <v>2802</v>
      </c>
    </row>
    <row r="286" customFormat="false" ht="141" hidden="false" customHeight="false" outlineLevel="1" collapsed="false">
      <c r="A286" s="27"/>
      <c r="B286" s="27" t="s">
        <v>2730</v>
      </c>
      <c r="C286" s="7" t="s">
        <v>2810</v>
      </c>
      <c r="D286" s="27" t="s">
        <v>853</v>
      </c>
      <c r="E286" s="50" t="n">
        <v>41</v>
      </c>
      <c r="F286" s="50" t="n">
        <v>41</v>
      </c>
      <c r="G286" s="27" t="s">
        <v>865</v>
      </c>
      <c r="H286" s="50" t="n">
        <f aca="false">F286/IF(Varsayimlar!$B$21=1,1.43,1)</f>
        <v>28.6713286713287</v>
      </c>
      <c r="I286" s="51" t="n">
        <v>5.83</v>
      </c>
      <c r="J286" s="28" t="n">
        <f aca="false">H286*I286</f>
        <v>167.153846153846</v>
      </c>
      <c r="K286" s="52" t="s">
        <v>548</v>
      </c>
      <c r="L286" s="7" t="s">
        <v>2811</v>
      </c>
      <c r="M286" s="7" t="s">
        <v>2812</v>
      </c>
    </row>
    <row r="287" customFormat="false" ht="64.9" hidden="false" customHeight="false" outlineLevel="1" collapsed="false">
      <c r="A287" s="27"/>
      <c r="B287" s="27" t="s">
        <v>2730</v>
      </c>
      <c r="C287" s="7" t="s">
        <v>2813</v>
      </c>
      <c r="D287" s="27" t="s">
        <v>727</v>
      </c>
      <c r="E287" s="50" t="n">
        <v>1</v>
      </c>
      <c r="F287" s="50" t="n">
        <v>1</v>
      </c>
      <c r="G287" s="27" t="s">
        <v>767</v>
      </c>
      <c r="H287" s="50" t="n">
        <f aca="false">F287</f>
        <v>1</v>
      </c>
      <c r="I287" s="51" t="n">
        <v>136.28</v>
      </c>
      <c r="J287" s="28" t="n">
        <f aca="false">H287*I287</f>
        <v>136.28</v>
      </c>
      <c r="K287" s="52" t="s">
        <v>548</v>
      </c>
      <c r="L287" s="7" t="s">
        <v>2814</v>
      </c>
      <c r="M287" s="7" t="s">
        <v>2815</v>
      </c>
    </row>
    <row r="288" customFormat="false" ht="52.2" hidden="false" customHeight="false" outlineLevel="1" collapsed="false">
      <c r="A288" s="27"/>
      <c r="B288" s="27" t="s">
        <v>2730</v>
      </c>
      <c r="C288" s="7" t="s">
        <v>2816</v>
      </c>
      <c r="D288" s="27" t="s">
        <v>727</v>
      </c>
      <c r="E288" s="50" t="n">
        <v>3</v>
      </c>
      <c r="F288" s="50" t="n">
        <v>3</v>
      </c>
      <c r="G288" s="27" t="s">
        <v>767</v>
      </c>
      <c r="H288" s="50" t="n">
        <f aca="false">F288</f>
        <v>3</v>
      </c>
      <c r="I288" s="51" t="n">
        <v>171.12</v>
      </c>
      <c r="J288" s="28" t="n">
        <f aca="false">H288*I288</f>
        <v>513.36</v>
      </c>
      <c r="K288" s="52" t="s">
        <v>548</v>
      </c>
      <c r="L288" s="7" t="s">
        <v>2817</v>
      </c>
      <c r="M288" s="7" t="s">
        <v>2818</v>
      </c>
    </row>
    <row r="289" customFormat="false" ht="15" hidden="false" customHeight="false" outlineLevel="0" collapsed="false">
      <c r="A289" s="48" t="s">
        <v>444</v>
      </c>
      <c r="B289" s="48" t="s">
        <v>2819</v>
      </c>
      <c r="C289" s="48" t="s">
        <v>445</v>
      </c>
      <c r="D289" s="48"/>
      <c r="E289" s="48"/>
      <c r="F289" s="48"/>
      <c r="G289" s="48"/>
      <c r="H289" s="48" t="s">
        <v>765</v>
      </c>
      <c r="I289" s="49" t="n">
        <f aca="false">SUMPRODUCT(E290:E301,I290:I301)</f>
        <v>12640.95</v>
      </c>
      <c r="J289" s="49" t="n">
        <f aca="false">SUM(J290:J301)</f>
        <v>9846.35524475525</v>
      </c>
      <c r="K289" s="48"/>
      <c r="L289" s="48"/>
      <c r="M289" s="48"/>
    </row>
    <row r="290" customFormat="false" ht="102.95" hidden="false" customHeight="false" outlineLevel="1" collapsed="false">
      <c r="A290" s="27"/>
      <c r="B290" s="27" t="s">
        <v>2819</v>
      </c>
      <c r="C290" s="7" t="s">
        <v>2820</v>
      </c>
      <c r="D290" s="27" t="s">
        <v>853</v>
      </c>
      <c r="E290" s="50" t="n">
        <v>111</v>
      </c>
      <c r="F290" s="50" t="n">
        <v>111</v>
      </c>
      <c r="G290" s="27" t="s">
        <v>865</v>
      </c>
      <c r="H290" s="50" t="n">
        <f aca="false">F290/IF(Varsayimlar!$B$21=1,1.43,1)</f>
        <v>77.6223776223776</v>
      </c>
      <c r="I290" s="51" t="n">
        <v>17.11</v>
      </c>
      <c r="J290" s="28" t="n">
        <f aca="false">H290*I290</f>
        <v>1328.11888111888</v>
      </c>
      <c r="K290" s="52" t="s">
        <v>548</v>
      </c>
      <c r="L290" s="7" t="s">
        <v>2676</v>
      </c>
      <c r="M290" s="7" t="s">
        <v>1816</v>
      </c>
    </row>
    <row r="291" customFormat="false" ht="102.95" hidden="false" customHeight="false" outlineLevel="1" collapsed="false">
      <c r="A291" s="27"/>
      <c r="B291" s="27" t="s">
        <v>2819</v>
      </c>
      <c r="C291" s="7" t="s">
        <v>2821</v>
      </c>
      <c r="D291" s="27" t="s">
        <v>853</v>
      </c>
      <c r="E291" s="50" t="n">
        <v>178</v>
      </c>
      <c r="F291" s="50" t="n">
        <v>178</v>
      </c>
      <c r="G291" s="27" t="s">
        <v>865</v>
      </c>
      <c r="H291" s="50" t="n">
        <f aca="false">F291/IF(Varsayimlar!$B$21=1,1.43,1)</f>
        <v>124.475524475524</v>
      </c>
      <c r="I291" s="51" t="n">
        <v>12.64</v>
      </c>
      <c r="J291" s="28" t="n">
        <f aca="false">H291*I291</f>
        <v>1573.37062937063</v>
      </c>
      <c r="K291" s="52" t="s">
        <v>548</v>
      </c>
      <c r="L291" s="7" t="s">
        <v>2822</v>
      </c>
      <c r="M291" s="7" t="s">
        <v>2715</v>
      </c>
    </row>
    <row r="292" customFormat="false" ht="102.95" hidden="false" customHeight="false" outlineLevel="1" collapsed="false">
      <c r="A292" s="27"/>
      <c r="B292" s="27" t="s">
        <v>2819</v>
      </c>
      <c r="C292" s="7" t="s">
        <v>2823</v>
      </c>
      <c r="D292" s="27" t="s">
        <v>853</v>
      </c>
      <c r="E292" s="50" t="n">
        <v>133</v>
      </c>
      <c r="F292" s="50" t="n">
        <v>133</v>
      </c>
      <c r="G292" s="27" t="s">
        <v>865</v>
      </c>
      <c r="H292" s="50" t="n">
        <f aca="false">F292/IF(Varsayimlar!$B$21=1,1.43,1)</f>
        <v>93.006993006993</v>
      </c>
      <c r="I292" s="51" t="n">
        <v>9.57</v>
      </c>
      <c r="J292" s="28" t="n">
        <f aca="false">H292*I292</f>
        <v>890.076923076923</v>
      </c>
      <c r="K292" s="52" t="s">
        <v>548</v>
      </c>
      <c r="L292" s="7" t="s">
        <v>2824</v>
      </c>
      <c r="M292" s="7" t="s">
        <v>2825</v>
      </c>
    </row>
    <row r="293" customFormat="false" ht="90.25" hidden="false" customHeight="false" outlineLevel="1" collapsed="false">
      <c r="A293" s="27"/>
      <c r="B293" s="27" t="s">
        <v>2819</v>
      </c>
      <c r="C293" s="7" t="s">
        <v>2826</v>
      </c>
      <c r="D293" s="27" t="s">
        <v>853</v>
      </c>
      <c r="E293" s="50" t="n">
        <v>23</v>
      </c>
      <c r="F293" s="50" t="n">
        <v>23</v>
      </c>
      <c r="G293" s="27" t="s">
        <v>865</v>
      </c>
      <c r="H293" s="50" t="n">
        <f aca="false">F293/IF(Varsayimlar!$B$21=1,1.43,1)</f>
        <v>16.0839160839161</v>
      </c>
      <c r="I293" s="51" t="n">
        <v>6.41</v>
      </c>
      <c r="J293" s="28" t="n">
        <f aca="false">H293*I293</f>
        <v>103.097902097902</v>
      </c>
      <c r="K293" s="52" t="s">
        <v>548</v>
      </c>
      <c r="L293" s="7" t="s">
        <v>2827</v>
      </c>
      <c r="M293" s="7" t="s">
        <v>2445</v>
      </c>
    </row>
    <row r="294" customFormat="false" ht="102.95" hidden="false" customHeight="false" outlineLevel="1" collapsed="false">
      <c r="A294" s="27"/>
      <c r="B294" s="27" t="s">
        <v>2819</v>
      </c>
      <c r="C294" s="7" t="s">
        <v>2828</v>
      </c>
      <c r="D294" s="27" t="s">
        <v>727</v>
      </c>
      <c r="E294" s="50" t="n">
        <v>47</v>
      </c>
      <c r="F294" s="50" t="n">
        <v>47</v>
      </c>
      <c r="G294" s="27" t="s">
        <v>829</v>
      </c>
      <c r="H294" s="50" t="n">
        <f aca="false">F294/IF(Varsayimlar!$B$21=1,1.3,1)</f>
        <v>36.1538461538462</v>
      </c>
      <c r="I294" s="51" t="n">
        <v>39</v>
      </c>
      <c r="J294" s="28" t="n">
        <f aca="false">H294*I294</f>
        <v>1410</v>
      </c>
      <c r="K294" s="52" t="s">
        <v>548</v>
      </c>
      <c r="L294" s="7" t="s">
        <v>2829</v>
      </c>
      <c r="M294" s="7" t="s">
        <v>2830</v>
      </c>
    </row>
    <row r="295" customFormat="false" ht="39.55" hidden="false" customHeight="false" outlineLevel="1" collapsed="false">
      <c r="A295" s="27"/>
      <c r="B295" s="27" t="s">
        <v>2819</v>
      </c>
      <c r="C295" s="7" t="s">
        <v>2831</v>
      </c>
      <c r="D295" s="27" t="s">
        <v>727</v>
      </c>
      <c r="E295" s="50" t="n">
        <v>19</v>
      </c>
      <c r="F295" s="50" t="n">
        <v>19</v>
      </c>
      <c r="G295" s="27" t="s">
        <v>767</v>
      </c>
      <c r="H295" s="50" t="n">
        <f aca="false">F295</f>
        <v>19</v>
      </c>
      <c r="I295" s="51" t="n">
        <v>43.45</v>
      </c>
      <c r="J295" s="28" t="n">
        <f aca="false">H295*I295</f>
        <v>825.55</v>
      </c>
      <c r="K295" s="52" t="s">
        <v>548</v>
      </c>
      <c r="L295" s="7" t="s">
        <v>2832</v>
      </c>
      <c r="M295" s="7"/>
    </row>
    <row r="296" customFormat="false" ht="39.55" hidden="false" customHeight="false" outlineLevel="1" collapsed="false">
      <c r="A296" s="27"/>
      <c r="B296" s="27" t="s">
        <v>2819</v>
      </c>
      <c r="C296" s="7" t="s">
        <v>2833</v>
      </c>
      <c r="D296" s="27" t="s">
        <v>727</v>
      </c>
      <c r="E296" s="50" t="n">
        <v>7</v>
      </c>
      <c r="F296" s="50" t="n">
        <v>7</v>
      </c>
      <c r="G296" s="27" t="s">
        <v>829</v>
      </c>
      <c r="H296" s="50" t="n">
        <f aca="false">F296/IF(Varsayimlar!$B$21=1,1.3,1)</f>
        <v>5.38461538461538</v>
      </c>
      <c r="I296" s="51" t="n">
        <v>38.48</v>
      </c>
      <c r="J296" s="28" t="n">
        <f aca="false">H296*I296</f>
        <v>207.2</v>
      </c>
      <c r="K296" s="52" t="s">
        <v>548</v>
      </c>
      <c r="L296" s="7" t="s">
        <v>2834</v>
      </c>
      <c r="M296" s="7"/>
    </row>
    <row r="297" customFormat="false" ht="64.9" hidden="false" customHeight="false" outlineLevel="1" collapsed="false">
      <c r="A297" s="27"/>
      <c r="B297" s="27" t="s">
        <v>2819</v>
      </c>
      <c r="C297" s="7" t="s">
        <v>2835</v>
      </c>
      <c r="D297" s="27" t="s">
        <v>727</v>
      </c>
      <c r="E297" s="50" t="n">
        <v>1</v>
      </c>
      <c r="F297" s="50" t="n">
        <v>1</v>
      </c>
      <c r="G297" s="27" t="s">
        <v>767</v>
      </c>
      <c r="H297" s="50" t="n">
        <f aca="false">F297</f>
        <v>1</v>
      </c>
      <c r="I297" s="51" t="n">
        <v>1879.45</v>
      </c>
      <c r="J297" s="28" t="n">
        <f aca="false">H297*I297</f>
        <v>1879.45</v>
      </c>
      <c r="K297" s="52" t="s">
        <v>548</v>
      </c>
      <c r="L297" s="7" t="s">
        <v>2836</v>
      </c>
      <c r="M297" s="7"/>
    </row>
    <row r="298" customFormat="false" ht="128.35" hidden="false" customHeight="false" outlineLevel="1" collapsed="false">
      <c r="A298" s="27"/>
      <c r="B298" s="27" t="s">
        <v>2819</v>
      </c>
      <c r="C298" s="7" t="s">
        <v>2837</v>
      </c>
      <c r="D298" s="27" t="s">
        <v>853</v>
      </c>
      <c r="E298" s="50" t="n">
        <v>58</v>
      </c>
      <c r="F298" s="50" t="n">
        <v>58</v>
      </c>
      <c r="G298" s="27" t="s">
        <v>865</v>
      </c>
      <c r="H298" s="50" t="n">
        <f aca="false">F298/IF(Varsayimlar!$B$21=1,1.43,1)</f>
        <v>40.5594405594406</v>
      </c>
      <c r="I298" s="51" t="n">
        <v>12</v>
      </c>
      <c r="J298" s="28" t="n">
        <f aca="false">H298*I298</f>
        <v>486.713286713287</v>
      </c>
      <c r="K298" s="52" t="s">
        <v>548</v>
      </c>
      <c r="L298" s="7" t="s">
        <v>2838</v>
      </c>
      <c r="M298" s="7" t="s">
        <v>2839</v>
      </c>
    </row>
    <row r="299" customFormat="false" ht="39.55" hidden="false" customHeight="false" outlineLevel="1" collapsed="false">
      <c r="A299" s="27"/>
      <c r="B299" s="27" t="s">
        <v>2819</v>
      </c>
      <c r="C299" s="7" t="s">
        <v>2840</v>
      </c>
      <c r="D299" s="27" t="s">
        <v>727</v>
      </c>
      <c r="E299" s="50" t="n">
        <v>12</v>
      </c>
      <c r="F299" s="50" t="n">
        <v>12</v>
      </c>
      <c r="G299" s="27" t="s">
        <v>829</v>
      </c>
      <c r="H299" s="50" t="n">
        <f aca="false">F299/IF(Varsayimlar!$B$21=1,1.3,1)</f>
        <v>9.23076923076923</v>
      </c>
      <c r="I299" s="51" t="n">
        <v>41.22</v>
      </c>
      <c r="J299" s="28" t="n">
        <f aca="false">H299*I299</f>
        <v>380.492307692308</v>
      </c>
      <c r="K299" s="52" t="s">
        <v>548</v>
      </c>
      <c r="L299" s="7" t="s">
        <v>2841</v>
      </c>
      <c r="M299" s="7" t="s">
        <v>2842</v>
      </c>
    </row>
    <row r="300" customFormat="false" ht="128.35" hidden="false" customHeight="false" outlineLevel="1" collapsed="false">
      <c r="A300" s="27"/>
      <c r="B300" s="27" t="s">
        <v>2819</v>
      </c>
      <c r="C300" s="7" t="s">
        <v>2843</v>
      </c>
      <c r="D300" s="27" t="s">
        <v>853</v>
      </c>
      <c r="E300" s="50" t="n">
        <v>78</v>
      </c>
      <c r="F300" s="50" t="n">
        <v>78</v>
      </c>
      <c r="G300" s="27" t="s">
        <v>865</v>
      </c>
      <c r="H300" s="50" t="n">
        <f aca="false">F300/IF(Varsayimlar!$B$21=1,1.43,1)</f>
        <v>54.5454545454546</v>
      </c>
      <c r="I300" s="51" t="n">
        <v>11.65</v>
      </c>
      <c r="J300" s="28" t="n">
        <f aca="false">H300*I300</f>
        <v>635.454545454546</v>
      </c>
      <c r="K300" s="52" t="s">
        <v>548</v>
      </c>
      <c r="L300" s="7" t="s">
        <v>2844</v>
      </c>
      <c r="M300" s="7" t="s">
        <v>1691</v>
      </c>
    </row>
    <row r="301" customFormat="false" ht="39.55" hidden="false" customHeight="false" outlineLevel="1" collapsed="false">
      <c r="A301" s="27"/>
      <c r="B301" s="27" t="s">
        <v>2819</v>
      </c>
      <c r="C301" s="7" t="s">
        <v>2845</v>
      </c>
      <c r="D301" s="27" t="s">
        <v>727</v>
      </c>
      <c r="E301" s="50" t="n">
        <v>4</v>
      </c>
      <c r="F301" s="50" t="n">
        <v>4</v>
      </c>
      <c r="G301" s="27" t="s">
        <v>829</v>
      </c>
      <c r="H301" s="50" t="n">
        <f aca="false">F301/IF(Varsayimlar!$B$21=1,1.3,1)</f>
        <v>3.07692307692308</v>
      </c>
      <c r="I301" s="51" t="n">
        <v>41.22</v>
      </c>
      <c r="J301" s="28" t="n">
        <f aca="false">H301*I301</f>
        <v>126.830769230769</v>
      </c>
      <c r="K301" s="52" t="s">
        <v>548</v>
      </c>
      <c r="L301" s="7" t="s">
        <v>2841</v>
      </c>
      <c r="M301" s="7" t="s">
        <v>2842</v>
      </c>
    </row>
    <row r="302" customFormat="false" ht="15" hidden="false" customHeight="false" outlineLevel="0" collapsed="false">
      <c r="A302" s="48" t="s">
        <v>446</v>
      </c>
      <c r="B302" s="48" t="s">
        <v>2846</v>
      </c>
      <c r="C302" s="48" t="s">
        <v>447</v>
      </c>
      <c r="D302" s="48"/>
      <c r="E302" s="48"/>
      <c r="F302" s="48"/>
      <c r="G302" s="48"/>
      <c r="H302" s="48" t="s">
        <v>765</v>
      </c>
      <c r="I302" s="49" t="n">
        <f aca="false">SUMPRODUCT(E303:E317,I303:I317)</f>
        <v>161148.43</v>
      </c>
      <c r="J302" s="49" t="n">
        <f aca="false">SUM(J303:J317)</f>
        <v>151923.216013986</v>
      </c>
      <c r="K302" s="48"/>
      <c r="L302" s="48"/>
      <c r="M302" s="48"/>
    </row>
    <row r="303" customFormat="false" ht="64.9" hidden="false" customHeight="false" outlineLevel="1" collapsed="false">
      <c r="A303" s="27"/>
      <c r="B303" s="27" t="s">
        <v>2846</v>
      </c>
      <c r="C303" s="7" t="s">
        <v>2847</v>
      </c>
      <c r="D303" s="27" t="s">
        <v>727</v>
      </c>
      <c r="E303" s="50" t="n">
        <v>2</v>
      </c>
      <c r="F303" s="50" t="n">
        <v>2</v>
      </c>
      <c r="G303" s="27" t="s">
        <v>767</v>
      </c>
      <c r="H303" s="50" t="n">
        <f aca="false">F303</f>
        <v>2</v>
      </c>
      <c r="I303" s="51" t="n">
        <v>26900</v>
      </c>
      <c r="J303" s="28" t="n">
        <f aca="false">H303*I303</f>
        <v>53800</v>
      </c>
      <c r="K303" s="52" t="s">
        <v>548</v>
      </c>
      <c r="L303" s="7" t="s">
        <v>2848</v>
      </c>
      <c r="M303" s="7" t="s">
        <v>2849</v>
      </c>
    </row>
    <row r="304" customFormat="false" ht="39.55" hidden="false" customHeight="false" outlineLevel="1" collapsed="false">
      <c r="A304" s="27"/>
      <c r="B304" s="27" t="s">
        <v>2846</v>
      </c>
      <c r="C304" s="7" t="s">
        <v>2850</v>
      </c>
      <c r="D304" s="27" t="s">
        <v>727</v>
      </c>
      <c r="E304" s="50" t="n">
        <v>1</v>
      </c>
      <c r="F304" s="50" t="n">
        <v>1</v>
      </c>
      <c r="G304" s="27" t="s">
        <v>767</v>
      </c>
      <c r="H304" s="50" t="n">
        <f aca="false">F304</f>
        <v>1</v>
      </c>
      <c r="I304" s="51" t="n">
        <v>6710</v>
      </c>
      <c r="J304" s="28" t="n">
        <f aca="false">H304*I304</f>
        <v>6710</v>
      </c>
      <c r="K304" s="52" t="s">
        <v>548</v>
      </c>
      <c r="L304" s="7" t="s">
        <v>2851</v>
      </c>
      <c r="M304" s="7" t="s">
        <v>2852</v>
      </c>
    </row>
    <row r="305" customFormat="false" ht="77.6" hidden="false" customHeight="false" outlineLevel="1" collapsed="false">
      <c r="A305" s="27"/>
      <c r="B305" s="27" t="s">
        <v>2846</v>
      </c>
      <c r="C305" s="7" t="s">
        <v>2853</v>
      </c>
      <c r="D305" s="27" t="s">
        <v>727</v>
      </c>
      <c r="E305" s="50" t="n">
        <v>1</v>
      </c>
      <c r="F305" s="50" t="n">
        <v>1</v>
      </c>
      <c r="G305" s="27" t="s">
        <v>767</v>
      </c>
      <c r="H305" s="50" t="n">
        <f aca="false">F305</f>
        <v>1</v>
      </c>
      <c r="I305" s="51" t="n">
        <v>2701.12</v>
      </c>
      <c r="J305" s="28" t="n">
        <f aca="false">H305*I305</f>
        <v>2701.12</v>
      </c>
      <c r="K305" s="52" t="s">
        <v>548</v>
      </c>
      <c r="L305" s="7" t="s">
        <v>2854</v>
      </c>
      <c r="M305" s="7" t="s">
        <v>2855</v>
      </c>
    </row>
    <row r="306" customFormat="false" ht="77.6" hidden="false" customHeight="false" outlineLevel="1" collapsed="false">
      <c r="A306" s="27"/>
      <c r="B306" s="27" t="s">
        <v>2846</v>
      </c>
      <c r="C306" s="7" t="s">
        <v>2856</v>
      </c>
      <c r="D306" s="27" t="s">
        <v>727</v>
      </c>
      <c r="E306" s="50" t="n">
        <v>3</v>
      </c>
      <c r="F306" s="50" t="n">
        <v>3</v>
      </c>
      <c r="G306" s="27" t="s">
        <v>767</v>
      </c>
      <c r="H306" s="50" t="n">
        <f aca="false">F306</f>
        <v>3</v>
      </c>
      <c r="I306" s="51" t="n">
        <v>332.68</v>
      </c>
      <c r="J306" s="28" t="n">
        <f aca="false">H306*I306</f>
        <v>998.04</v>
      </c>
      <c r="K306" s="52" t="s">
        <v>548</v>
      </c>
      <c r="L306" s="7" t="s">
        <v>2857</v>
      </c>
      <c r="M306" s="7" t="s">
        <v>2858</v>
      </c>
    </row>
    <row r="307" customFormat="false" ht="39.55" hidden="false" customHeight="false" outlineLevel="1" collapsed="false">
      <c r="A307" s="27"/>
      <c r="B307" s="27" t="s">
        <v>2846</v>
      </c>
      <c r="C307" s="7" t="s">
        <v>2859</v>
      </c>
      <c r="D307" s="27" t="s">
        <v>727</v>
      </c>
      <c r="E307" s="50" t="n">
        <v>4</v>
      </c>
      <c r="F307" s="50" t="n">
        <v>4</v>
      </c>
      <c r="G307" s="27" t="s">
        <v>767</v>
      </c>
      <c r="H307" s="50" t="n">
        <f aca="false">F307</f>
        <v>4</v>
      </c>
      <c r="I307" s="51" t="n">
        <v>308.12</v>
      </c>
      <c r="J307" s="28" t="n">
        <f aca="false">H307*I307</f>
        <v>1232.48</v>
      </c>
      <c r="K307" s="52" t="s">
        <v>548</v>
      </c>
      <c r="L307" s="7" t="s">
        <v>2860</v>
      </c>
      <c r="M307" s="7"/>
    </row>
    <row r="308" customFormat="false" ht="39.55" hidden="false" customHeight="false" outlineLevel="1" collapsed="false">
      <c r="A308" s="27"/>
      <c r="B308" s="27" t="s">
        <v>2846</v>
      </c>
      <c r="C308" s="7" t="s">
        <v>2861</v>
      </c>
      <c r="D308" s="27" t="s">
        <v>816</v>
      </c>
      <c r="E308" s="50" t="n">
        <v>4</v>
      </c>
      <c r="F308" s="50" t="n">
        <v>4</v>
      </c>
      <c r="G308" s="27" t="s">
        <v>767</v>
      </c>
      <c r="H308" s="50" t="n">
        <f aca="false">F308</f>
        <v>4</v>
      </c>
      <c r="I308" s="51" t="n">
        <v>239.53</v>
      </c>
      <c r="J308" s="28" t="n">
        <f aca="false">H308*I308</f>
        <v>958.12</v>
      </c>
      <c r="K308" s="52" t="s">
        <v>548</v>
      </c>
      <c r="L308" s="7" t="s">
        <v>2862</v>
      </c>
      <c r="M308" s="7"/>
    </row>
    <row r="309" customFormat="false" ht="52.2" hidden="false" customHeight="false" outlineLevel="1" collapsed="false">
      <c r="A309" s="27"/>
      <c r="B309" s="27" t="s">
        <v>2846</v>
      </c>
      <c r="C309" s="7" t="s">
        <v>2863</v>
      </c>
      <c r="D309" s="27" t="s">
        <v>853</v>
      </c>
      <c r="E309" s="50" t="n">
        <v>409</v>
      </c>
      <c r="F309" s="50" t="n">
        <v>409</v>
      </c>
      <c r="G309" s="27" t="s">
        <v>865</v>
      </c>
      <c r="H309" s="50" t="n">
        <f aca="false">F309/IF(Varsayimlar!$B$21=1,1.43,1)</f>
        <v>286.013986013986</v>
      </c>
      <c r="I309" s="51" t="n">
        <v>35</v>
      </c>
      <c r="J309" s="28" t="n">
        <f aca="false">H309*I309</f>
        <v>10010.4895104895</v>
      </c>
      <c r="K309" s="52" t="s">
        <v>548</v>
      </c>
      <c r="L309" s="7" t="s">
        <v>2864</v>
      </c>
      <c r="M309" s="7" t="s">
        <v>2865</v>
      </c>
    </row>
    <row r="310" customFormat="false" ht="39.55" hidden="false" customHeight="false" outlineLevel="1" collapsed="false">
      <c r="A310" s="27"/>
      <c r="B310" s="27" t="s">
        <v>2846</v>
      </c>
      <c r="C310" s="7" t="s">
        <v>2866</v>
      </c>
      <c r="D310" s="27" t="s">
        <v>853</v>
      </c>
      <c r="E310" s="50" t="n">
        <v>292</v>
      </c>
      <c r="F310" s="50" t="n">
        <v>292</v>
      </c>
      <c r="G310" s="27" t="s">
        <v>865</v>
      </c>
      <c r="H310" s="50" t="n">
        <f aca="false">F310/IF(Varsayimlar!$B$21=1,1.43,1)</f>
        <v>204.195804195804</v>
      </c>
      <c r="I310" s="51" t="n">
        <v>31.6</v>
      </c>
      <c r="J310" s="28" t="n">
        <f aca="false">H310*I310</f>
        <v>6452.58741258741</v>
      </c>
      <c r="K310" s="52" t="s">
        <v>548</v>
      </c>
      <c r="L310" s="7" t="s">
        <v>2867</v>
      </c>
      <c r="M310" s="7" t="s">
        <v>2868</v>
      </c>
    </row>
    <row r="311" customFormat="false" ht="115.65" hidden="false" customHeight="false" outlineLevel="1" collapsed="false">
      <c r="A311" s="27"/>
      <c r="B311" s="27" t="s">
        <v>2846</v>
      </c>
      <c r="C311" s="7" t="s">
        <v>2869</v>
      </c>
      <c r="D311" s="27" t="s">
        <v>853</v>
      </c>
      <c r="E311" s="50" t="n">
        <v>117</v>
      </c>
      <c r="F311" s="50" t="n">
        <v>117</v>
      </c>
      <c r="G311" s="27" t="s">
        <v>865</v>
      </c>
      <c r="H311" s="50" t="n">
        <f aca="false">F311/IF(Varsayimlar!$B$21=1,1.43,1)</f>
        <v>81.8181818181818</v>
      </c>
      <c r="I311" s="51" t="n">
        <v>20</v>
      </c>
      <c r="J311" s="28" t="n">
        <f aca="false">H311*I311</f>
        <v>1636.36363636364</v>
      </c>
      <c r="K311" s="52" t="s">
        <v>548</v>
      </c>
      <c r="L311" s="7" t="s">
        <v>2870</v>
      </c>
      <c r="M311" s="7" t="s">
        <v>2871</v>
      </c>
    </row>
    <row r="312" customFormat="false" ht="115.65" hidden="false" customHeight="false" outlineLevel="1" collapsed="false">
      <c r="A312" s="27"/>
      <c r="B312" s="27" t="s">
        <v>2846</v>
      </c>
      <c r="C312" s="7" t="s">
        <v>2872</v>
      </c>
      <c r="D312" s="27" t="s">
        <v>853</v>
      </c>
      <c r="E312" s="50" t="n">
        <v>117</v>
      </c>
      <c r="F312" s="50" t="n">
        <v>117</v>
      </c>
      <c r="G312" s="27" t="s">
        <v>865</v>
      </c>
      <c r="H312" s="50" t="n">
        <f aca="false">F312/IF(Varsayimlar!$B$21=1,1.43,1)</f>
        <v>81.8181818181818</v>
      </c>
      <c r="I312" s="51" t="n">
        <v>17</v>
      </c>
      <c r="J312" s="28" t="n">
        <f aca="false">H312*I312</f>
        <v>1390.90909090909</v>
      </c>
      <c r="K312" s="52" t="s">
        <v>548</v>
      </c>
      <c r="L312" s="7" t="s">
        <v>2873</v>
      </c>
      <c r="M312" s="7" t="s">
        <v>2874</v>
      </c>
    </row>
    <row r="313" customFormat="false" ht="115.65" hidden="false" customHeight="false" outlineLevel="1" collapsed="false">
      <c r="A313" s="27"/>
      <c r="B313" s="27" t="s">
        <v>2846</v>
      </c>
      <c r="C313" s="7" t="s">
        <v>2875</v>
      </c>
      <c r="D313" s="27" t="s">
        <v>853</v>
      </c>
      <c r="E313" s="50" t="n">
        <v>234</v>
      </c>
      <c r="F313" s="50" t="n">
        <v>234</v>
      </c>
      <c r="G313" s="27" t="s">
        <v>865</v>
      </c>
      <c r="H313" s="50" t="n">
        <f aca="false">F313/IF(Varsayimlar!$B$21=1,1.43,1)</f>
        <v>163.636363636364</v>
      </c>
      <c r="I313" s="51" t="n">
        <v>12</v>
      </c>
      <c r="J313" s="28" t="n">
        <f aca="false">H313*I313</f>
        <v>1963.63636363636</v>
      </c>
      <c r="K313" s="52" t="s">
        <v>548</v>
      </c>
      <c r="L313" s="7" t="s">
        <v>2876</v>
      </c>
      <c r="M313" s="7" t="s">
        <v>2877</v>
      </c>
    </row>
    <row r="314" customFormat="false" ht="52.2" hidden="false" customHeight="false" outlineLevel="1" collapsed="false">
      <c r="A314" s="27"/>
      <c r="B314" s="27" t="s">
        <v>2846</v>
      </c>
      <c r="C314" s="7" t="s">
        <v>2878</v>
      </c>
      <c r="D314" s="27" t="s">
        <v>727</v>
      </c>
      <c r="E314" s="50" t="n">
        <v>74</v>
      </c>
      <c r="F314" s="50" t="n">
        <v>74</v>
      </c>
      <c r="G314" s="27" t="s">
        <v>767</v>
      </c>
      <c r="H314" s="50" t="n">
        <f aca="false">F314</f>
        <v>74</v>
      </c>
      <c r="I314" s="51" t="n">
        <v>120</v>
      </c>
      <c r="J314" s="28" t="n">
        <f aca="false">H314*I314</f>
        <v>8880</v>
      </c>
      <c r="K314" s="52" t="s">
        <v>548</v>
      </c>
      <c r="L314" s="7" t="s">
        <v>2879</v>
      </c>
      <c r="M314" s="7" t="s">
        <v>2880</v>
      </c>
    </row>
    <row r="315" customFormat="false" ht="39.55" hidden="false" customHeight="false" outlineLevel="1" collapsed="false">
      <c r="A315" s="27"/>
      <c r="B315" s="27" t="s">
        <v>2846</v>
      </c>
      <c r="C315" s="7" t="s">
        <v>2881</v>
      </c>
      <c r="D315" s="27" t="s">
        <v>727</v>
      </c>
      <c r="E315" s="50" t="n">
        <v>21</v>
      </c>
      <c r="F315" s="50" t="n">
        <v>21</v>
      </c>
      <c r="G315" s="27" t="s">
        <v>767</v>
      </c>
      <c r="H315" s="50" t="n">
        <f aca="false">F315</f>
        <v>21</v>
      </c>
      <c r="I315" s="51" t="n">
        <v>128.07</v>
      </c>
      <c r="J315" s="28" t="n">
        <f aca="false">H315*I315</f>
        <v>2689.47</v>
      </c>
      <c r="K315" s="52" t="s">
        <v>548</v>
      </c>
      <c r="L315" s="7" t="s">
        <v>2882</v>
      </c>
      <c r="M315" s="7" t="s">
        <v>2883</v>
      </c>
    </row>
    <row r="316" customFormat="false" ht="26.85" hidden="false" customHeight="false" outlineLevel="1" collapsed="false">
      <c r="A316" s="27"/>
      <c r="B316" s="27" t="s">
        <v>2846</v>
      </c>
      <c r="C316" s="7" t="s">
        <v>2884</v>
      </c>
      <c r="D316" s="27" t="s">
        <v>816</v>
      </c>
      <c r="E316" s="50" t="n">
        <v>1</v>
      </c>
      <c r="F316" s="50" t="n">
        <v>1</v>
      </c>
      <c r="G316" s="27" t="s">
        <v>767</v>
      </c>
      <c r="H316" s="50" t="n">
        <f aca="false">F316</f>
        <v>1</v>
      </c>
      <c r="I316" s="51" t="n">
        <v>2500</v>
      </c>
      <c r="J316" s="28" t="n">
        <f aca="false">H316*I316</f>
        <v>2500</v>
      </c>
      <c r="K316" s="53" t="s">
        <v>551</v>
      </c>
      <c r="L316" s="7" t="s">
        <v>2317</v>
      </c>
      <c r="M316" s="7"/>
    </row>
    <row r="317" customFormat="false" ht="26.85" hidden="false" customHeight="false" outlineLevel="1" collapsed="false">
      <c r="A317" s="27"/>
      <c r="B317" s="27" t="s">
        <v>2846</v>
      </c>
      <c r="C317" s="7" t="s">
        <v>2885</v>
      </c>
      <c r="D317" s="27" t="s">
        <v>732</v>
      </c>
      <c r="E317" s="50" t="n">
        <v>1</v>
      </c>
      <c r="F317" s="50" t="n">
        <v>1</v>
      </c>
      <c r="G317" s="27" t="s">
        <v>767</v>
      </c>
      <c r="H317" s="50" t="n">
        <f aca="false">F317</f>
        <v>1</v>
      </c>
      <c r="I317" s="51" t="n">
        <v>50000</v>
      </c>
      <c r="J317" s="28" t="n">
        <f aca="false">H317*I317</f>
        <v>50000</v>
      </c>
      <c r="K317" s="53" t="s">
        <v>551</v>
      </c>
      <c r="L317" s="7" t="s">
        <v>2886</v>
      </c>
      <c r="M317" s="7" t="s">
        <v>2887</v>
      </c>
    </row>
    <row r="318" customFormat="false" ht="15" hidden="false" customHeight="false" outlineLevel="0" collapsed="false">
      <c r="A318" s="48" t="s">
        <v>448</v>
      </c>
      <c r="B318" s="48" t="s">
        <v>2888</v>
      </c>
      <c r="C318" s="48" t="s">
        <v>449</v>
      </c>
      <c r="D318" s="48"/>
      <c r="E318" s="48"/>
      <c r="F318" s="48"/>
      <c r="G318" s="48"/>
      <c r="H318" s="48" t="s">
        <v>765</v>
      </c>
      <c r="I318" s="49" t="n">
        <f aca="false">SUMPRODUCT(E319:E319,I319:I319)</f>
        <v>4000</v>
      </c>
      <c r="J318" s="49" t="n">
        <f aca="false">SUM(J319:J319)</f>
        <v>4000</v>
      </c>
      <c r="K318" s="48"/>
      <c r="L318" s="48"/>
      <c r="M318" s="48"/>
    </row>
    <row r="319" customFormat="false" ht="39.55" hidden="false" customHeight="false" outlineLevel="1" collapsed="false">
      <c r="A319" s="27"/>
      <c r="B319" s="27" t="s">
        <v>2888</v>
      </c>
      <c r="C319" s="7" t="s">
        <v>2889</v>
      </c>
      <c r="D319" s="27" t="s">
        <v>732</v>
      </c>
      <c r="E319" s="50" t="n">
        <v>1</v>
      </c>
      <c r="F319" s="50" t="n">
        <v>1</v>
      </c>
      <c r="G319" s="27" t="s">
        <v>767</v>
      </c>
      <c r="H319" s="50" t="n">
        <f aca="false">F319</f>
        <v>1</v>
      </c>
      <c r="I319" s="51" t="n">
        <v>4000</v>
      </c>
      <c r="J319" s="28" t="n">
        <f aca="false">H319*I319</f>
        <v>4000</v>
      </c>
      <c r="K319" s="53" t="s">
        <v>551</v>
      </c>
      <c r="L319" s="7" t="s">
        <v>2317</v>
      </c>
      <c r="M319" s="7" t="s">
        <v>2890</v>
      </c>
    </row>
    <row r="321" customFormat="false" ht="15" hidden="false" customHeight="false" outlineLevel="0" collapsed="false">
      <c r="C321" s="14" t="s">
        <v>1660</v>
      </c>
      <c r="J321" s="56" t="n">
        <f aca="false">J5+J14+J23+J32+J41+J50+J59+J72+J105+J110+J140+J143+J146+J149+J152+J155+J158+J160+J199+J204+J209+J214+J219+J224+J228+J230+J248+J252+J289+J302+J318</f>
        <v>1165036.21979021</v>
      </c>
    </row>
    <row r="322" customFormat="false" ht="15" hidden="false" customHeight="false" outlineLevel="0" collapsed="false">
      <c r="C322" s="14" t="s">
        <v>1661</v>
      </c>
      <c r="J322" s="56" t="n">
        <f aca="false">I5+I14+I23+I32+I41+I50+I59+I72+I105+I110+I140+I143+I146+I149+I152+I155+I158+I160+I199+I204+I209+I214+I219+I224+I228+I230+I248+I252+I289+I302+I318</f>
        <v>1278454.395</v>
      </c>
    </row>
    <row r="323" customFormat="false" ht="15" hidden="false" customHeight="false" outlineLevel="0" collapsed="false">
      <c r="C323" s="14" t="s">
        <v>1662</v>
      </c>
      <c r="J323" s="56" t="n">
        <f aca="false">J321-J322</f>
        <v>-113418.17520979</v>
      </c>
    </row>
    <row r="325" customFormat="false" ht="15" hidden="false" customHeight="false" outlineLevel="0" collapsed="false">
      <c r="C325" s="19" t="s">
        <v>1663</v>
      </c>
    </row>
    <row r="326" customFormat="false" ht="15" hidden="false" customHeight="false" outlineLevel="0" collapsed="false">
      <c r="C326" s="57" t="s">
        <v>545</v>
      </c>
      <c r="J326" s="23" t="n">
        <f aca="false">SUMIF($K$5:$K$319,"2026 TEKLİF",$J$5:$J$319)</f>
        <v>0</v>
      </c>
      <c r="K326" s="58" t="n">
        <f aca="false">IF($J$321=0,0,J326/$J$321)</f>
        <v>0</v>
      </c>
    </row>
    <row r="327" customFormat="false" ht="15" hidden="false" customHeight="false" outlineLevel="0" collapsed="false">
      <c r="C327" s="59" t="s">
        <v>548</v>
      </c>
      <c r="J327" s="23" t="n">
        <f aca="false">SUMIF($K$5:$K$319,"GEÇMİŞ TEKLİF UYARLAMA",$J$5:$J$319)</f>
        <v>976451.604405594</v>
      </c>
      <c r="K327" s="58" t="n">
        <f aca="false">IF($J$321=0,0,J327/$J$321)</f>
        <v>0.83812982619667</v>
      </c>
    </row>
    <row r="328" customFormat="false" ht="15" hidden="false" customHeight="false" outlineLevel="0" collapsed="false">
      <c r="C328" s="60" t="s">
        <v>551</v>
      </c>
      <c r="J328" s="23" t="n">
        <f aca="false">SUMIF($K$5:$K$319,"MÜHENDİSLİK TAHMİNİ",$J$5:$J$319)</f>
        <v>188584.615384615</v>
      </c>
      <c r="K328" s="58" t="n">
        <f aca="false">IF($J$321=0,0,J328/$J$321)</f>
        <v>0.16187017380333</v>
      </c>
    </row>
    <row r="329" customFormat="false" ht="15" hidden="false" customHeight="false" outlineLevel="0" collapsed="false">
      <c r="C329" s="61" t="s">
        <v>1664</v>
      </c>
      <c r="J329" s="23" t="n">
        <f aca="false">SUMPRODUCT(($K$5:$K$319="KAPSAM DIŞI (0)")*$E$5:$E$319*$I$5:$I$319)</f>
        <v>10893.84</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1:M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2891</v>
      </c>
    </row>
    <row r="2" customFormat="false" ht="48" hidden="false" customHeight="true" outlineLevel="0" collapsed="false">
      <c r="A2" s="2" t="s">
        <v>753</v>
      </c>
      <c r="B2" s="2"/>
      <c r="C2" s="2"/>
      <c r="D2" s="2"/>
      <c r="E2" s="2"/>
      <c r="F2" s="2"/>
      <c r="G2" s="2"/>
      <c r="H2" s="2"/>
      <c r="I2" s="2"/>
      <c r="J2" s="2"/>
      <c r="K2" s="2"/>
      <c r="L2" s="2"/>
      <c r="M2" s="2"/>
    </row>
    <row r="3" customFormat="false" ht="21.75" hidden="false" customHeight="true" outlineLevel="0" collapsed="false">
      <c r="A3" s="46" t="s">
        <v>754</v>
      </c>
      <c r="B3" s="46"/>
      <c r="C3" s="47" t="str">
        <f aca="false">"Kalem bazlı toplam: "&amp;TEXT(J13,"#,##0")&amp;" €   |   2026 teklif: "&amp;TEXT(K18,"0%")&amp;"   |   Geçmiş teklif uyarlaması: "&amp;TEXT(K19,"0%")&amp;"   |   Tahmin: "&amp;TEXT(K20,"0%")&amp;"   |   Kalem kalem görmek için sol kenardaki [+] / [1][2] düğmelerini kullanın"</f>
        <v>Kalem bazlı toplam: 414,200 €   |   2026 teklif: 100%   |   Geçmiş teklif uyarlaması: 0%   |   Tahmin: 0%   |   Kalem kalem görmek için sol kenardaki [+] / [1][2] düğmelerini kullanın</v>
      </c>
      <c r="D3" s="47"/>
      <c r="E3" s="47"/>
      <c r="F3" s="47"/>
      <c r="G3" s="47"/>
      <c r="H3" s="47"/>
      <c r="I3" s="47"/>
      <c r="J3" s="47"/>
      <c r="K3" s="47"/>
      <c r="L3" s="47"/>
      <c r="M3" s="47"/>
    </row>
    <row r="4" customFormat="false" ht="42" hidden="false" customHeight="true" outlineLevel="0" collapsed="false">
      <c r="A4" s="3" t="s">
        <v>120</v>
      </c>
      <c r="B4" s="3" t="s">
        <v>755</v>
      </c>
      <c r="C4" s="3" t="s">
        <v>756</v>
      </c>
      <c r="D4" s="3" t="s">
        <v>720</v>
      </c>
      <c r="E4" s="3" t="s">
        <v>757</v>
      </c>
      <c r="F4" s="3" t="s">
        <v>758</v>
      </c>
      <c r="G4" s="3" t="s">
        <v>759</v>
      </c>
      <c r="H4" s="3" t="s">
        <v>760</v>
      </c>
      <c r="I4" s="3" t="s">
        <v>761</v>
      </c>
      <c r="J4" s="3" t="s">
        <v>122</v>
      </c>
      <c r="K4" s="3" t="s">
        <v>95</v>
      </c>
      <c r="L4" s="3" t="s">
        <v>762</v>
      </c>
      <c r="M4" s="3" t="s">
        <v>763</v>
      </c>
    </row>
    <row r="5" customFormat="false" ht="15" hidden="false" customHeight="false" outlineLevel="0" collapsed="false">
      <c r="A5" s="48" t="s">
        <v>451</v>
      </c>
      <c r="B5" s="48" t="s">
        <v>2892</v>
      </c>
      <c r="C5" s="48" t="s">
        <v>452</v>
      </c>
      <c r="D5" s="48"/>
      <c r="E5" s="48"/>
      <c r="F5" s="48"/>
      <c r="G5" s="48"/>
      <c r="H5" s="48" t="s">
        <v>765</v>
      </c>
      <c r="I5" s="49" t="n">
        <f aca="false">SUMPRODUCT(E6:E9,I6:I9)</f>
        <v>384000</v>
      </c>
      <c r="J5" s="49" t="n">
        <f aca="false">SUM(J6:J9)</f>
        <v>384000</v>
      </c>
      <c r="K5" s="48"/>
      <c r="L5" s="48"/>
      <c r="M5" s="48"/>
    </row>
    <row r="6" customFormat="false" ht="26.85" hidden="false" customHeight="false" outlineLevel="1" collapsed="false">
      <c r="A6" s="27"/>
      <c r="B6" s="27" t="s">
        <v>2892</v>
      </c>
      <c r="C6" s="7" t="s">
        <v>2893</v>
      </c>
      <c r="D6" s="27" t="s">
        <v>727</v>
      </c>
      <c r="E6" s="50" t="n">
        <v>3</v>
      </c>
      <c r="F6" s="50" t="n">
        <v>3</v>
      </c>
      <c r="G6" s="27" t="s">
        <v>767</v>
      </c>
      <c r="H6" s="50" t="n">
        <f aca="false">F6</f>
        <v>3</v>
      </c>
      <c r="I6" s="51" t="n">
        <f aca="false">MEDIAN(Teklifler!$G$4:$G$6)</f>
        <v>32000</v>
      </c>
      <c r="J6" s="28" t="n">
        <f aca="false">H6*I6</f>
        <v>96000</v>
      </c>
      <c r="K6" s="62" t="s">
        <v>545</v>
      </c>
      <c r="L6" s="7" t="s">
        <v>2894</v>
      </c>
      <c r="M6" s="7" t="s">
        <v>2895</v>
      </c>
    </row>
    <row r="7" customFormat="false" ht="15" hidden="false" customHeight="false" outlineLevel="1" collapsed="false">
      <c r="A7" s="27"/>
      <c r="B7" s="27" t="s">
        <v>2892</v>
      </c>
      <c r="C7" s="7" t="s">
        <v>2896</v>
      </c>
      <c r="D7" s="27" t="s">
        <v>727</v>
      </c>
      <c r="E7" s="50" t="n">
        <v>3</v>
      </c>
      <c r="F7" s="50" t="n">
        <v>3</v>
      </c>
      <c r="G7" s="27" t="s">
        <v>767</v>
      </c>
      <c r="H7" s="50" t="n">
        <f aca="false">F7</f>
        <v>3</v>
      </c>
      <c r="I7" s="51" t="n">
        <f aca="false">MEDIAN(Teklifler!$G$4:$G$6)</f>
        <v>32000</v>
      </c>
      <c r="J7" s="28" t="n">
        <f aca="false">H7*I7</f>
        <v>96000</v>
      </c>
      <c r="K7" s="62" t="s">
        <v>545</v>
      </c>
      <c r="L7" s="7" t="s">
        <v>2897</v>
      </c>
      <c r="M7" s="7"/>
    </row>
    <row r="8" customFormat="false" ht="15" hidden="false" customHeight="false" outlineLevel="1" collapsed="false">
      <c r="A8" s="27"/>
      <c r="B8" s="27" t="s">
        <v>2892</v>
      </c>
      <c r="C8" s="7" t="s">
        <v>2898</v>
      </c>
      <c r="D8" s="27" t="s">
        <v>727</v>
      </c>
      <c r="E8" s="50" t="n">
        <v>3</v>
      </c>
      <c r="F8" s="50" t="n">
        <v>3</v>
      </c>
      <c r="G8" s="27" t="s">
        <v>767</v>
      </c>
      <c r="H8" s="50" t="n">
        <f aca="false">F8</f>
        <v>3</v>
      </c>
      <c r="I8" s="51" t="n">
        <f aca="false">MEDIAN(Teklifler!$G$4:$G$6)</f>
        <v>32000</v>
      </c>
      <c r="J8" s="28" t="n">
        <f aca="false">H8*I8</f>
        <v>96000</v>
      </c>
      <c r="K8" s="62" t="s">
        <v>545</v>
      </c>
      <c r="L8" s="7" t="s">
        <v>2897</v>
      </c>
      <c r="M8" s="7"/>
    </row>
    <row r="9" customFormat="false" ht="15" hidden="false" customHeight="false" outlineLevel="1" collapsed="false">
      <c r="A9" s="27"/>
      <c r="B9" s="27" t="s">
        <v>2892</v>
      </c>
      <c r="C9" s="7" t="s">
        <v>2899</v>
      </c>
      <c r="D9" s="27" t="s">
        <v>727</v>
      </c>
      <c r="E9" s="50" t="n">
        <v>3</v>
      </c>
      <c r="F9" s="50" t="n">
        <v>3</v>
      </c>
      <c r="G9" s="27" t="s">
        <v>767</v>
      </c>
      <c r="H9" s="50" t="n">
        <f aca="false">F9</f>
        <v>3</v>
      </c>
      <c r="I9" s="51" t="n">
        <f aca="false">MEDIAN(Teklifler!$G$4:$G$6)</f>
        <v>32000</v>
      </c>
      <c r="J9" s="28" t="n">
        <f aca="false">H9*I9</f>
        <v>96000</v>
      </c>
      <c r="K9" s="62" t="s">
        <v>545</v>
      </c>
      <c r="L9" s="7" t="s">
        <v>2897</v>
      </c>
      <c r="M9" s="7"/>
    </row>
    <row r="10" customFormat="false" ht="15" hidden="false" customHeight="false" outlineLevel="0" collapsed="false">
      <c r="A10" s="48" t="s">
        <v>453</v>
      </c>
      <c r="B10" s="48" t="s">
        <v>2900</v>
      </c>
      <c r="C10" s="48" t="s">
        <v>454</v>
      </c>
      <c r="D10" s="48"/>
      <c r="E10" s="48"/>
      <c r="F10" s="48"/>
      <c r="G10" s="48"/>
      <c r="H10" s="48" t="s">
        <v>765</v>
      </c>
      <c r="I10" s="49" t="n">
        <f aca="false">SUMPRODUCT(E11:E11,I11:I11)</f>
        <v>30200</v>
      </c>
      <c r="J10" s="49" t="n">
        <f aca="false">SUM(J11:J11)</f>
        <v>30200</v>
      </c>
      <c r="K10" s="48"/>
      <c r="L10" s="48"/>
      <c r="M10" s="48"/>
    </row>
    <row r="11" customFormat="false" ht="15" hidden="false" customHeight="false" outlineLevel="1" collapsed="false">
      <c r="A11" s="27"/>
      <c r="B11" s="27" t="s">
        <v>2900</v>
      </c>
      <c r="C11" s="7" t="s">
        <v>2901</v>
      </c>
      <c r="D11" s="27" t="s">
        <v>727</v>
      </c>
      <c r="E11" s="50" t="n">
        <v>1</v>
      </c>
      <c r="F11" s="50" t="n">
        <v>1</v>
      </c>
      <c r="G11" s="27" t="s">
        <v>767</v>
      </c>
      <c r="H11" s="50" t="n">
        <f aca="false">F11</f>
        <v>1</v>
      </c>
      <c r="I11" s="51" t="n">
        <f aca="false">MEDIAN(Teklifler!$H$4:$H$6)</f>
        <v>30200</v>
      </c>
      <c r="J11" s="28" t="n">
        <f aca="false">H11*I11</f>
        <v>30200</v>
      </c>
      <c r="K11" s="62" t="s">
        <v>545</v>
      </c>
      <c r="L11" s="7" t="s">
        <v>2897</v>
      </c>
      <c r="M11" s="7"/>
    </row>
    <row r="13" customFormat="false" ht="15" hidden="false" customHeight="false" outlineLevel="0" collapsed="false">
      <c r="C13" s="14" t="s">
        <v>1660</v>
      </c>
      <c r="J13" s="56" t="n">
        <f aca="false">J5+J10</f>
        <v>414200</v>
      </c>
    </row>
    <row r="14" customFormat="false" ht="15" hidden="false" customHeight="false" outlineLevel="0" collapsed="false">
      <c r="C14" s="14" t="s">
        <v>1661</v>
      </c>
      <c r="J14" s="56" t="n">
        <f aca="false">I5+I10</f>
        <v>414200</v>
      </c>
    </row>
    <row r="15" customFormat="false" ht="15" hidden="false" customHeight="false" outlineLevel="0" collapsed="false">
      <c r="C15" s="14" t="s">
        <v>1662</v>
      </c>
      <c r="J15" s="56" t="n">
        <f aca="false">J13-J14</f>
        <v>0</v>
      </c>
    </row>
    <row r="17" customFormat="false" ht="15" hidden="false" customHeight="false" outlineLevel="0" collapsed="false">
      <c r="C17" s="19" t="s">
        <v>1663</v>
      </c>
    </row>
    <row r="18" customFormat="false" ht="15" hidden="false" customHeight="false" outlineLevel="0" collapsed="false">
      <c r="C18" s="57" t="s">
        <v>545</v>
      </c>
      <c r="J18" s="23" t="n">
        <f aca="false">SUMIF($K$5:$K$11,"2026 TEKLİF",$J$5:$J$11)</f>
        <v>414200</v>
      </c>
      <c r="K18" s="58" t="n">
        <f aca="false">IF($J$13=0,0,J18/$J$13)</f>
        <v>1</v>
      </c>
    </row>
    <row r="19" customFormat="false" ht="15" hidden="false" customHeight="false" outlineLevel="0" collapsed="false">
      <c r="C19" s="59" t="s">
        <v>548</v>
      </c>
      <c r="J19" s="23" t="n">
        <f aca="false">SUMIF($K$5:$K$11,"GEÇMİŞ TEKLİF UYARLAMA",$J$5:$J$11)</f>
        <v>0</v>
      </c>
      <c r="K19" s="58" t="n">
        <f aca="false">IF($J$13=0,0,J19/$J$13)</f>
        <v>0</v>
      </c>
    </row>
    <row r="20" customFormat="false" ht="15" hidden="false" customHeight="false" outlineLevel="0" collapsed="false">
      <c r="C20" s="60" t="s">
        <v>551</v>
      </c>
      <c r="J20" s="23" t="n">
        <f aca="false">SUMIF($K$5:$K$11,"MÜHENDİSLİK TAHMİNİ",$J$5:$J$11)</f>
        <v>0</v>
      </c>
      <c r="K20" s="58" t="n">
        <f aca="false">IF($J$13=0,0,J20/$J$13)</f>
        <v>0</v>
      </c>
    </row>
    <row r="21" customFormat="false" ht="15" hidden="false" customHeight="false" outlineLevel="0" collapsed="false">
      <c r="C21" s="61" t="s">
        <v>1664</v>
      </c>
      <c r="J21" s="23" t="n">
        <f aca="false">SUMPRODUCT(($K$5:$K$11="KAPSAM DIŞI (0)")*$E$5:$E$11*$I$5:$I$11)</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2902</v>
      </c>
    </row>
    <row r="2" customFormat="false" ht="48" hidden="false" customHeight="true" outlineLevel="0" collapsed="false">
      <c r="A2" s="2" t="s">
        <v>753</v>
      </c>
      <c r="B2" s="2"/>
      <c r="C2" s="2"/>
      <c r="D2" s="2"/>
      <c r="E2" s="2"/>
      <c r="F2" s="2"/>
      <c r="G2" s="2"/>
      <c r="H2" s="2"/>
      <c r="I2" s="2"/>
      <c r="J2" s="2"/>
      <c r="K2" s="2"/>
      <c r="L2" s="2"/>
      <c r="M2" s="2"/>
    </row>
    <row r="3" customFormat="false" ht="21.75" hidden="false" customHeight="true" outlineLevel="0" collapsed="false">
      <c r="A3" s="46" t="s">
        <v>754</v>
      </c>
      <c r="B3" s="46"/>
      <c r="C3" s="47" t="str">
        <f aca="false">"Kalem bazlı toplam: "&amp;TEXT(J95,"#,##0")&amp;" €   |   2026 teklif: "&amp;TEXT(K100,"0%")&amp;"   |   Geçmiş teklif uyarlaması: "&amp;TEXT(K101,"0%")&amp;"   |   Tahmin: "&amp;TEXT(K102,"0%")&amp;"   |   Kalem kalem görmek için sol kenardaki [+] / [1][2] düğmelerini kullanın"</f>
        <v>Kalem bazlı toplam: 4,086,007 €   |   2026 teklif: 19%   |   Geçmiş teklif uyarlaması: 69%   |   Tahmin: 12%   |   Kalem kalem görmek için sol kenardaki [+] / [1][2] düğmelerini kullanın</v>
      </c>
      <c r="D3" s="47"/>
      <c r="E3" s="47"/>
      <c r="F3" s="47"/>
      <c r="G3" s="47"/>
      <c r="H3" s="47"/>
      <c r="I3" s="47"/>
      <c r="J3" s="47"/>
      <c r="K3" s="47"/>
      <c r="L3" s="47"/>
      <c r="M3" s="47"/>
    </row>
    <row r="4" customFormat="false" ht="42" hidden="false" customHeight="true" outlineLevel="0" collapsed="false">
      <c r="A4" s="3" t="s">
        <v>120</v>
      </c>
      <c r="B4" s="3" t="s">
        <v>755</v>
      </c>
      <c r="C4" s="3" t="s">
        <v>756</v>
      </c>
      <c r="D4" s="3" t="s">
        <v>720</v>
      </c>
      <c r="E4" s="3" t="s">
        <v>757</v>
      </c>
      <c r="F4" s="3" t="s">
        <v>758</v>
      </c>
      <c r="G4" s="3" t="s">
        <v>759</v>
      </c>
      <c r="H4" s="3" t="s">
        <v>760</v>
      </c>
      <c r="I4" s="3" t="s">
        <v>761</v>
      </c>
      <c r="J4" s="3" t="s">
        <v>122</v>
      </c>
      <c r="K4" s="3" t="s">
        <v>95</v>
      </c>
      <c r="L4" s="3" t="s">
        <v>762</v>
      </c>
      <c r="M4" s="3" t="s">
        <v>763</v>
      </c>
    </row>
    <row r="5" customFormat="false" ht="15" hidden="false" customHeight="false" outlineLevel="0" collapsed="false">
      <c r="A5" s="48" t="s">
        <v>456</v>
      </c>
      <c r="B5" s="48" t="s">
        <v>2903</v>
      </c>
      <c r="C5" s="48" t="s">
        <v>457</v>
      </c>
      <c r="D5" s="48"/>
      <c r="E5" s="48"/>
      <c r="F5" s="48"/>
      <c r="G5" s="48"/>
      <c r="H5" s="48" t="s">
        <v>765</v>
      </c>
      <c r="I5" s="49" t="n">
        <f aca="false">SUMPRODUCT(E6:E6,I6:I6)</f>
        <v>207246</v>
      </c>
      <c r="J5" s="49" t="n">
        <f aca="false">SUM(J6:J6)</f>
        <v>207246</v>
      </c>
      <c r="K5" s="48"/>
      <c r="L5" s="48"/>
      <c r="M5" s="48"/>
    </row>
    <row r="6" customFormat="false" ht="52.2" hidden="false" customHeight="false" outlineLevel="1" collapsed="false">
      <c r="A6" s="27"/>
      <c r="B6" s="27" t="s">
        <v>2903</v>
      </c>
      <c r="C6" s="7" t="s">
        <v>2904</v>
      </c>
      <c r="D6" s="27" t="s">
        <v>732</v>
      </c>
      <c r="E6" s="50" t="n">
        <v>1</v>
      </c>
      <c r="F6" s="50" t="n">
        <v>1</v>
      </c>
      <c r="G6" s="27" t="s">
        <v>767</v>
      </c>
      <c r="H6" s="50" t="n">
        <f aca="false">F6</f>
        <v>1</v>
      </c>
      <c r="I6" s="51" t="n">
        <v>207246</v>
      </c>
      <c r="J6" s="28" t="n">
        <f aca="false">H6*I6</f>
        <v>207246</v>
      </c>
      <c r="K6" s="52" t="s">
        <v>548</v>
      </c>
      <c r="L6" s="7" t="s">
        <v>2905</v>
      </c>
      <c r="M6" s="7" t="s">
        <v>2906</v>
      </c>
    </row>
    <row r="7" customFormat="false" ht="15" hidden="false" customHeight="false" outlineLevel="0" collapsed="false">
      <c r="A7" s="48" t="s">
        <v>458</v>
      </c>
      <c r="B7" s="48" t="s">
        <v>2907</v>
      </c>
      <c r="C7" s="48" t="s">
        <v>459</v>
      </c>
      <c r="D7" s="48"/>
      <c r="E7" s="48"/>
      <c r="F7" s="48"/>
      <c r="G7" s="48"/>
      <c r="H7" s="48" t="s">
        <v>765</v>
      </c>
      <c r="I7" s="49" t="n">
        <f aca="false">SUMPRODUCT(E8:E46,I8:I46)</f>
        <v>1353126.99</v>
      </c>
      <c r="J7" s="49" t="n">
        <f aca="false">SUM(J8:J46)</f>
        <v>1198669.95918031</v>
      </c>
      <c r="K7" s="48"/>
      <c r="L7" s="48"/>
      <c r="M7" s="48"/>
    </row>
    <row r="8" customFormat="false" ht="64.9" hidden="false" customHeight="false" outlineLevel="1" collapsed="false">
      <c r="A8" s="27"/>
      <c r="B8" s="27" t="s">
        <v>2907</v>
      </c>
      <c r="C8" s="7" t="s">
        <v>2908</v>
      </c>
      <c r="D8" s="27" t="s">
        <v>816</v>
      </c>
      <c r="E8" s="50" t="n">
        <v>12</v>
      </c>
      <c r="F8" s="54" t="n">
        <v>16</v>
      </c>
      <c r="G8" s="27" t="s">
        <v>767</v>
      </c>
      <c r="H8" s="50" t="n">
        <f aca="false">F8</f>
        <v>16</v>
      </c>
      <c r="I8" s="51" t="n">
        <v>19208</v>
      </c>
      <c r="J8" s="28" t="n">
        <f aca="false">H8*I8</f>
        <v>307328</v>
      </c>
      <c r="K8" s="52" t="s">
        <v>548</v>
      </c>
      <c r="L8" s="7" t="s">
        <v>2909</v>
      </c>
      <c r="M8" s="7" t="s">
        <v>2910</v>
      </c>
    </row>
    <row r="9" customFormat="false" ht="64.9" hidden="false" customHeight="false" outlineLevel="1" collapsed="false">
      <c r="A9" s="27"/>
      <c r="B9" s="27" t="s">
        <v>2907</v>
      </c>
      <c r="C9" s="7" t="s">
        <v>2911</v>
      </c>
      <c r="D9" s="27" t="s">
        <v>816</v>
      </c>
      <c r="E9" s="50" t="n">
        <v>12</v>
      </c>
      <c r="F9" s="54" t="n">
        <v>16</v>
      </c>
      <c r="G9" s="27" t="s">
        <v>767</v>
      </c>
      <c r="H9" s="50" t="n">
        <f aca="false">F9</f>
        <v>16</v>
      </c>
      <c r="I9" s="51" t="n">
        <v>2969</v>
      </c>
      <c r="J9" s="28" t="n">
        <f aca="false">H9*I9</f>
        <v>47504</v>
      </c>
      <c r="K9" s="52" t="s">
        <v>548</v>
      </c>
      <c r="L9" s="7" t="s">
        <v>2912</v>
      </c>
      <c r="M9" s="7" t="s">
        <v>2913</v>
      </c>
    </row>
    <row r="10" customFormat="false" ht="77.6" hidden="false" customHeight="false" outlineLevel="1" collapsed="false">
      <c r="A10" s="27"/>
      <c r="B10" s="27" t="s">
        <v>2907</v>
      </c>
      <c r="C10" s="7" t="s">
        <v>2914</v>
      </c>
      <c r="D10" s="27" t="s">
        <v>816</v>
      </c>
      <c r="E10" s="50" t="n">
        <v>4</v>
      </c>
      <c r="F10" s="54" t="n">
        <v>0</v>
      </c>
      <c r="G10" s="27" t="s">
        <v>767</v>
      </c>
      <c r="H10" s="50" t="n">
        <f aca="false">F10</f>
        <v>0</v>
      </c>
      <c r="I10" s="51" t="n">
        <v>5484</v>
      </c>
      <c r="J10" s="28" t="n">
        <f aca="false">H10*I10</f>
        <v>0</v>
      </c>
      <c r="K10" s="55" t="s">
        <v>555</v>
      </c>
      <c r="L10" s="7" t="s">
        <v>2915</v>
      </c>
      <c r="M10" s="7" t="s">
        <v>2916</v>
      </c>
    </row>
    <row r="11" customFormat="false" ht="26.85" hidden="false" customHeight="false" outlineLevel="1" collapsed="false">
      <c r="A11" s="27"/>
      <c r="B11" s="27" t="s">
        <v>2907</v>
      </c>
      <c r="C11" s="7" t="s">
        <v>2917</v>
      </c>
      <c r="D11" s="27" t="s">
        <v>727</v>
      </c>
      <c r="E11" s="50" t="n">
        <v>1</v>
      </c>
      <c r="F11" s="54" t="n">
        <v>0</v>
      </c>
      <c r="G11" s="27" t="s">
        <v>767</v>
      </c>
      <c r="H11" s="50" t="n">
        <f aca="false">F11</f>
        <v>0</v>
      </c>
      <c r="I11" s="51" t="n">
        <v>3000</v>
      </c>
      <c r="J11" s="28" t="n">
        <f aca="false">H11*I11</f>
        <v>0</v>
      </c>
      <c r="K11" s="55" t="s">
        <v>555</v>
      </c>
      <c r="L11" s="7" t="s">
        <v>2317</v>
      </c>
      <c r="M11" s="7" t="s">
        <v>2918</v>
      </c>
    </row>
    <row r="12" customFormat="false" ht="90.25" hidden="false" customHeight="false" outlineLevel="1" collapsed="false">
      <c r="A12" s="27"/>
      <c r="B12" s="27" t="s">
        <v>2907</v>
      </c>
      <c r="C12" s="7" t="s">
        <v>2919</v>
      </c>
      <c r="D12" s="27" t="s">
        <v>727</v>
      </c>
      <c r="E12" s="50" t="n">
        <v>3</v>
      </c>
      <c r="F12" s="54" t="n">
        <v>4</v>
      </c>
      <c r="G12" s="27" t="s">
        <v>767</v>
      </c>
      <c r="H12" s="50" t="n">
        <f aca="false">F12</f>
        <v>4</v>
      </c>
      <c r="I12" s="51" t="n">
        <v>69988</v>
      </c>
      <c r="J12" s="28" t="n">
        <f aca="false">H12*I12</f>
        <v>279952</v>
      </c>
      <c r="K12" s="52" t="s">
        <v>548</v>
      </c>
      <c r="L12" s="7" t="s">
        <v>2920</v>
      </c>
      <c r="M12" s="7" t="s">
        <v>2921</v>
      </c>
    </row>
    <row r="13" customFormat="false" ht="39.55" hidden="false" customHeight="false" outlineLevel="1" collapsed="false">
      <c r="A13" s="27"/>
      <c r="B13" s="27" t="s">
        <v>2907</v>
      </c>
      <c r="C13" s="7" t="s">
        <v>2922</v>
      </c>
      <c r="D13" s="27" t="s">
        <v>727</v>
      </c>
      <c r="E13" s="50" t="n">
        <v>4</v>
      </c>
      <c r="F13" s="54" t="n">
        <v>5</v>
      </c>
      <c r="G13" s="27" t="s">
        <v>767</v>
      </c>
      <c r="H13" s="50" t="n">
        <f aca="false">F13</f>
        <v>5</v>
      </c>
      <c r="I13" s="51" t="n">
        <v>6602</v>
      </c>
      <c r="J13" s="28" t="n">
        <f aca="false">H13*I13</f>
        <v>33010</v>
      </c>
      <c r="K13" s="52" t="s">
        <v>548</v>
      </c>
      <c r="L13" s="7" t="s">
        <v>2923</v>
      </c>
      <c r="M13" s="7" t="s">
        <v>2924</v>
      </c>
    </row>
    <row r="14" customFormat="false" ht="77.6" hidden="false" customHeight="false" outlineLevel="1" collapsed="false">
      <c r="A14" s="27"/>
      <c r="B14" s="27" t="s">
        <v>2907</v>
      </c>
      <c r="C14" s="7" t="s">
        <v>2925</v>
      </c>
      <c r="D14" s="27" t="s">
        <v>727</v>
      </c>
      <c r="E14" s="50" t="n">
        <v>11</v>
      </c>
      <c r="F14" s="50" t="n">
        <v>11</v>
      </c>
      <c r="G14" s="27" t="s">
        <v>767</v>
      </c>
      <c r="H14" s="50" t="n">
        <f aca="false">F14</f>
        <v>11</v>
      </c>
      <c r="I14" s="51" t="n">
        <v>1927</v>
      </c>
      <c r="J14" s="28" t="n">
        <f aca="false">H14*I14</f>
        <v>21197</v>
      </c>
      <c r="K14" s="52" t="s">
        <v>548</v>
      </c>
      <c r="L14" s="7" t="s">
        <v>2926</v>
      </c>
      <c r="M14" s="7" t="s">
        <v>2927</v>
      </c>
    </row>
    <row r="15" customFormat="false" ht="52.2" hidden="false" customHeight="false" outlineLevel="1" collapsed="false">
      <c r="A15" s="27"/>
      <c r="B15" s="27" t="s">
        <v>2907</v>
      </c>
      <c r="C15" s="7" t="s">
        <v>2928</v>
      </c>
      <c r="D15" s="27" t="s">
        <v>727</v>
      </c>
      <c r="E15" s="50" t="n">
        <v>34</v>
      </c>
      <c r="F15" s="50" t="n">
        <v>34</v>
      </c>
      <c r="G15" s="27" t="s">
        <v>767</v>
      </c>
      <c r="H15" s="50" t="n">
        <f aca="false">F15</f>
        <v>34</v>
      </c>
      <c r="I15" s="51" t="n">
        <v>4561</v>
      </c>
      <c r="J15" s="28" t="n">
        <f aca="false">H15*I15</f>
        <v>155074</v>
      </c>
      <c r="K15" s="52" t="s">
        <v>548</v>
      </c>
      <c r="L15" s="7" t="s">
        <v>2929</v>
      </c>
      <c r="M15" s="7" t="s">
        <v>2930</v>
      </c>
    </row>
    <row r="16" customFormat="false" ht="52.2" hidden="false" customHeight="false" outlineLevel="1" collapsed="false">
      <c r="A16" s="27"/>
      <c r="B16" s="27" t="s">
        <v>2907</v>
      </c>
      <c r="C16" s="7" t="s">
        <v>2931</v>
      </c>
      <c r="D16" s="27" t="s">
        <v>816</v>
      </c>
      <c r="E16" s="50" t="n">
        <v>11</v>
      </c>
      <c r="F16" s="50" t="n">
        <v>11</v>
      </c>
      <c r="G16" s="27" t="s">
        <v>767</v>
      </c>
      <c r="H16" s="50" t="n">
        <f aca="false">F16</f>
        <v>11</v>
      </c>
      <c r="I16" s="51" t="n">
        <v>3837</v>
      </c>
      <c r="J16" s="28" t="n">
        <f aca="false">H16*I16</f>
        <v>42207</v>
      </c>
      <c r="K16" s="52" t="s">
        <v>548</v>
      </c>
      <c r="L16" s="7" t="s">
        <v>2932</v>
      </c>
      <c r="M16" s="7" t="s">
        <v>2933</v>
      </c>
    </row>
    <row r="17" customFormat="false" ht="26.85" hidden="false" customHeight="false" outlineLevel="1" collapsed="false">
      <c r="A17" s="27"/>
      <c r="B17" s="27" t="s">
        <v>2907</v>
      </c>
      <c r="C17" s="7" t="s">
        <v>2934</v>
      </c>
      <c r="D17" s="27" t="s">
        <v>727</v>
      </c>
      <c r="E17" s="50" t="n">
        <v>11</v>
      </c>
      <c r="F17" s="50" t="n">
        <v>11</v>
      </c>
      <c r="G17" s="27" t="s">
        <v>767</v>
      </c>
      <c r="H17" s="50" t="n">
        <f aca="false">F17</f>
        <v>11</v>
      </c>
      <c r="I17" s="51" t="n">
        <v>1200</v>
      </c>
      <c r="J17" s="28" t="n">
        <f aca="false">H17*I17</f>
        <v>13200</v>
      </c>
      <c r="K17" s="53" t="s">
        <v>551</v>
      </c>
      <c r="L17" s="7" t="s">
        <v>2447</v>
      </c>
      <c r="M17" s="7"/>
    </row>
    <row r="18" customFormat="false" ht="26.85" hidden="false" customHeight="false" outlineLevel="1" collapsed="false">
      <c r="A18" s="27"/>
      <c r="B18" s="27" t="s">
        <v>2907</v>
      </c>
      <c r="C18" s="7" t="s">
        <v>2935</v>
      </c>
      <c r="D18" s="27" t="s">
        <v>727</v>
      </c>
      <c r="E18" s="50" t="n">
        <v>11</v>
      </c>
      <c r="F18" s="50" t="n">
        <v>11</v>
      </c>
      <c r="G18" s="27" t="s">
        <v>767</v>
      </c>
      <c r="H18" s="50" t="n">
        <f aca="false">F18</f>
        <v>11</v>
      </c>
      <c r="I18" s="51" t="n">
        <v>800</v>
      </c>
      <c r="J18" s="28" t="n">
        <f aca="false">H18*I18</f>
        <v>8800</v>
      </c>
      <c r="K18" s="53" t="s">
        <v>551</v>
      </c>
      <c r="L18" s="7" t="s">
        <v>2936</v>
      </c>
      <c r="M18" s="7"/>
    </row>
    <row r="19" customFormat="false" ht="39.55" hidden="false" customHeight="false" outlineLevel="1" collapsed="false">
      <c r="A19" s="27"/>
      <c r="B19" s="27" t="s">
        <v>2907</v>
      </c>
      <c r="C19" s="7" t="s">
        <v>2937</v>
      </c>
      <c r="D19" s="27" t="s">
        <v>727</v>
      </c>
      <c r="E19" s="50" t="n">
        <v>5</v>
      </c>
      <c r="F19" s="50" t="n">
        <v>5</v>
      </c>
      <c r="G19" s="27" t="s">
        <v>767</v>
      </c>
      <c r="H19" s="50" t="n">
        <f aca="false">F19</f>
        <v>5</v>
      </c>
      <c r="I19" s="51" t="n">
        <v>8627</v>
      </c>
      <c r="J19" s="28" t="n">
        <f aca="false">H19*I19</f>
        <v>43135</v>
      </c>
      <c r="K19" s="52" t="s">
        <v>548</v>
      </c>
      <c r="L19" s="7" t="s">
        <v>2938</v>
      </c>
      <c r="M19" s="7" t="s">
        <v>2939</v>
      </c>
    </row>
    <row r="20" customFormat="false" ht="77.6" hidden="false" customHeight="false" outlineLevel="1" collapsed="false">
      <c r="A20" s="27"/>
      <c r="B20" s="27" t="s">
        <v>2907</v>
      </c>
      <c r="C20" s="7" t="s">
        <v>2940</v>
      </c>
      <c r="D20" s="27" t="s">
        <v>727</v>
      </c>
      <c r="E20" s="50" t="n">
        <v>24</v>
      </c>
      <c r="F20" s="50" t="n">
        <v>24</v>
      </c>
      <c r="G20" s="27" t="s">
        <v>767</v>
      </c>
      <c r="H20" s="50" t="n">
        <f aca="false">F20</f>
        <v>24</v>
      </c>
      <c r="I20" s="51" t="n">
        <v>1927</v>
      </c>
      <c r="J20" s="28" t="n">
        <f aca="false">H20*I20</f>
        <v>46248</v>
      </c>
      <c r="K20" s="52" t="s">
        <v>548</v>
      </c>
      <c r="L20" s="7" t="s">
        <v>2926</v>
      </c>
      <c r="M20" s="7" t="s">
        <v>2927</v>
      </c>
    </row>
    <row r="21" customFormat="false" ht="39.55" hidden="false" customHeight="false" outlineLevel="1" collapsed="false">
      <c r="A21" s="27"/>
      <c r="B21" s="27" t="s">
        <v>2907</v>
      </c>
      <c r="C21" s="7" t="s">
        <v>2941</v>
      </c>
      <c r="D21" s="27" t="s">
        <v>727</v>
      </c>
      <c r="E21" s="50" t="n">
        <v>12</v>
      </c>
      <c r="F21" s="50" t="n">
        <v>12</v>
      </c>
      <c r="G21" s="27" t="s">
        <v>767</v>
      </c>
      <c r="H21" s="50" t="n">
        <f aca="false">F21</f>
        <v>12</v>
      </c>
      <c r="I21" s="51" t="n">
        <v>2834</v>
      </c>
      <c r="J21" s="28" t="n">
        <f aca="false">H21*I21</f>
        <v>34008</v>
      </c>
      <c r="K21" s="52" t="s">
        <v>548</v>
      </c>
      <c r="L21" s="7" t="s">
        <v>2942</v>
      </c>
      <c r="M21" s="7" t="s">
        <v>2943</v>
      </c>
    </row>
    <row r="22" customFormat="false" ht="26.85" hidden="false" customHeight="false" outlineLevel="1" collapsed="false">
      <c r="A22" s="27"/>
      <c r="B22" s="27" t="s">
        <v>2907</v>
      </c>
      <c r="C22" s="7" t="s">
        <v>2944</v>
      </c>
      <c r="D22" s="27" t="s">
        <v>727</v>
      </c>
      <c r="E22" s="50" t="n">
        <v>12</v>
      </c>
      <c r="F22" s="50" t="n">
        <v>12</v>
      </c>
      <c r="G22" s="27" t="s">
        <v>767</v>
      </c>
      <c r="H22" s="50" t="n">
        <f aca="false">F22</f>
        <v>12</v>
      </c>
      <c r="I22" s="51" t="n">
        <v>1200</v>
      </c>
      <c r="J22" s="28" t="n">
        <f aca="false">H22*I22</f>
        <v>14400</v>
      </c>
      <c r="K22" s="53" t="s">
        <v>551</v>
      </c>
      <c r="L22" s="7" t="s">
        <v>2447</v>
      </c>
      <c r="M22" s="7"/>
    </row>
    <row r="23" customFormat="false" ht="26.85" hidden="false" customHeight="false" outlineLevel="1" collapsed="false">
      <c r="A23" s="27"/>
      <c r="B23" s="27" t="s">
        <v>2907</v>
      </c>
      <c r="C23" s="7" t="s">
        <v>2945</v>
      </c>
      <c r="D23" s="27" t="s">
        <v>727</v>
      </c>
      <c r="E23" s="50" t="n">
        <v>12</v>
      </c>
      <c r="F23" s="50" t="n">
        <v>12</v>
      </c>
      <c r="G23" s="27" t="s">
        <v>767</v>
      </c>
      <c r="H23" s="50" t="n">
        <f aca="false">F23</f>
        <v>12</v>
      </c>
      <c r="I23" s="51" t="n">
        <v>800</v>
      </c>
      <c r="J23" s="28" t="n">
        <f aca="false">H23*I23</f>
        <v>9600</v>
      </c>
      <c r="K23" s="53" t="s">
        <v>551</v>
      </c>
      <c r="L23" s="7" t="s">
        <v>2447</v>
      </c>
      <c r="M23" s="7"/>
    </row>
    <row r="24" customFormat="false" ht="26.85" hidden="false" customHeight="false" outlineLevel="1" collapsed="false">
      <c r="A24" s="27"/>
      <c r="B24" s="27" t="s">
        <v>2907</v>
      </c>
      <c r="C24" s="7" t="s">
        <v>2946</v>
      </c>
      <c r="D24" s="27" t="s">
        <v>727</v>
      </c>
      <c r="E24" s="50" t="n">
        <v>6</v>
      </c>
      <c r="F24" s="50" t="n">
        <v>6</v>
      </c>
      <c r="G24" s="27" t="s">
        <v>767</v>
      </c>
      <c r="H24" s="50" t="n">
        <f aca="false">F24</f>
        <v>6</v>
      </c>
      <c r="I24" s="51" t="n">
        <v>2500</v>
      </c>
      <c r="J24" s="28" t="n">
        <f aca="false">H24*I24</f>
        <v>15000</v>
      </c>
      <c r="K24" s="53" t="s">
        <v>551</v>
      </c>
      <c r="L24" s="7" t="s">
        <v>2447</v>
      </c>
      <c r="M24" s="7"/>
    </row>
    <row r="25" customFormat="false" ht="26.85" hidden="false" customHeight="false" outlineLevel="1" collapsed="false">
      <c r="A25" s="27"/>
      <c r="B25" s="27" t="s">
        <v>2907</v>
      </c>
      <c r="C25" s="7" t="s">
        <v>2947</v>
      </c>
      <c r="D25" s="27" t="s">
        <v>816</v>
      </c>
      <c r="E25" s="50" t="n">
        <v>3</v>
      </c>
      <c r="F25" s="50" t="n">
        <v>3</v>
      </c>
      <c r="G25" s="27" t="s">
        <v>767</v>
      </c>
      <c r="H25" s="50" t="n">
        <f aca="false">F25</f>
        <v>3</v>
      </c>
      <c r="I25" s="51" t="n">
        <v>6000</v>
      </c>
      <c r="J25" s="28" t="n">
        <f aca="false">H25*I25</f>
        <v>18000</v>
      </c>
      <c r="K25" s="53" t="s">
        <v>551</v>
      </c>
      <c r="L25" s="7" t="s">
        <v>2447</v>
      </c>
      <c r="M25" s="7"/>
    </row>
    <row r="26" customFormat="false" ht="26.85" hidden="false" customHeight="false" outlineLevel="1" collapsed="false">
      <c r="A26" s="27"/>
      <c r="B26" s="27" t="s">
        <v>2907</v>
      </c>
      <c r="C26" s="7" t="s">
        <v>2948</v>
      </c>
      <c r="D26" s="27" t="s">
        <v>727</v>
      </c>
      <c r="E26" s="50" t="n">
        <v>6</v>
      </c>
      <c r="F26" s="54" t="n">
        <v>0</v>
      </c>
      <c r="G26" s="27" t="s">
        <v>767</v>
      </c>
      <c r="H26" s="50" t="n">
        <f aca="false">F26</f>
        <v>0</v>
      </c>
      <c r="I26" s="51" t="n">
        <v>18000</v>
      </c>
      <c r="J26" s="28" t="n">
        <f aca="false">H26*I26</f>
        <v>0</v>
      </c>
      <c r="K26" s="55" t="s">
        <v>555</v>
      </c>
      <c r="L26" s="7" t="s">
        <v>2317</v>
      </c>
      <c r="M26" s="7" t="s">
        <v>2949</v>
      </c>
    </row>
    <row r="27" customFormat="false" ht="26.85" hidden="false" customHeight="false" outlineLevel="1" collapsed="false">
      <c r="A27" s="27"/>
      <c r="B27" s="27" t="s">
        <v>2907</v>
      </c>
      <c r="C27" s="7" t="s">
        <v>2950</v>
      </c>
      <c r="D27" s="27" t="s">
        <v>727</v>
      </c>
      <c r="E27" s="50" t="n">
        <v>20</v>
      </c>
      <c r="F27" s="54" t="n">
        <v>0</v>
      </c>
      <c r="G27" s="27" t="s">
        <v>767</v>
      </c>
      <c r="H27" s="50" t="n">
        <f aca="false">F27</f>
        <v>0</v>
      </c>
      <c r="I27" s="51" t="n">
        <v>900</v>
      </c>
      <c r="J27" s="28" t="n">
        <f aca="false">H27*I27</f>
        <v>0</v>
      </c>
      <c r="K27" s="55" t="s">
        <v>555</v>
      </c>
      <c r="L27" s="7" t="s">
        <v>2317</v>
      </c>
      <c r="M27" s="7" t="s">
        <v>2951</v>
      </c>
    </row>
    <row r="28" customFormat="false" ht="26.85" hidden="false" customHeight="false" outlineLevel="1" collapsed="false">
      <c r="A28" s="27"/>
      <c r="B28" s="27" t="s">
        <v>2907</v>
      </c>
      <c r="C28" s="7" t="s">
        <v>2952</v>
      </c>
      <c r="D28" s="27" t="s">
        <v>727</v>
      </c>
      <c r="E28" s="50" t="n">
        <v>44</v>
      </c>
      <c r="F28" s="54" t="n">
        <v>0</v>
      </c>
      <c r="G28" s="27" t="s">
        <v>767</v>
      </c>
      <c r="H28" s="50" t="n">
        <f aca="false">F28</f>
        <v>0</v>
      </c>
      <c r="I28" s="51" t="n">
        <v>450</v>
      </c>
      <c r="J28" s="28" t="n">
        <f aca="false">H28*I28</f>
        <v>0</v>
      </c>
      <c r="K28" s="55" t="s">
        <v>555</v>
      </c>
      <c r="L28" s="7" t="s">
        <v>2317</v>
      </c>
      <c r="M28" s="7" t="s">
        <v>2951</v>
      </c>
    </row>
    <row r="29" customFormat="false" ht="26.85" hidden="false" customHeight="false" outlineLevel="1" collapsed="false">
      <c r="A29" s="27"/>
      <c r="B29" s="27" t="s">
        <v>2907</v>
      </c>
      <c r="C29" s="7" t="s">
        <v>2953</v>
      </c>
      <c r="D29" s="27" t="s">
        <v>816</v>
      </c>
      <c r="E29" s="50" t="n">
        <v>44</v>
      </c>
      <c r="F29" s="54" t="n">
        <v>0</v>
      </c>
      <c r="G29" s="27" t="s">
        <v>767</v>
      </c>
      <c r="H29" s="50" t="n">
        <f aca="false">F29</f>
        <v>0</v>
      </c>
      <c r="I29" s="51" t="n">
        <v>500</v>
      </c>
      <c r="J29" s="28" t="n">
        <f aca="false">H29*I29</f>
        <v>0</v>
      </c>
      <c r="K29" s="55" t="s">
        <v>555</v>
      </c>
      <c r="L29" s="7" t="s">
        <v>2317</v>
      </c>
      <c r="M29" s="7" t="s">
        <v>2951</v>
      </c>
    </row>
    <row r="30" customFormat="false" ht="26.85" hidden="false" customHeight="false" outlineLevel="1" collapsed="false">
      <c r="A30" s="27"/>
      <c r="B30" s="27" t="s">
        <v>2907</v>
      </c>
      <c r="C30" s="7" t="s">
        <v>2954</v>
      </c>
      <c r="D30" s="27" t="s">
        <v>727</v>
      </c>
      <c r="E30" s="50" t="n">
        <v>64</v>
      </c>
      <c r="F30" s="54" t="n">
        <v>0</v>
      </c>
      <c r="G30" s="27" t="s">
        <v>767</v>
      </c>
      <c r="H30" s="50" t="n">
        <f aca="false">F30</f>
        <v>0</v>
      </c>
      <c r="I30" s="51" t="n">
        <v>900</v>
      </c>
      <c r="J30" s="28" t="n">
        <f aca="false">H30*I30</f>
        <v>0</v>
      </c>
      <c r="K30" s="55" t="s">
        <v>555</v>
      </c>
      <c r="L30" s="7" t="s">
        <v>2317</v>
      </c>
      <c r="M30" s="7" t="s">
        <v>2951</v>
      </c>
    </row>
    <row r="31" customFormat="false" ht="26.85" hidden="false" customHeight="false" outlineLevel="1" collapsed="false">
      <c r="A31" s="27"/>
      <c r="B31" s="27" t="s">
        <v>2907</v>
      </c>
      <c r="C31" s="7" t="s">
        <v>2955</v>
      </c>
      <c r="D31" s="27" t="s">
        <v>853</v>
      </c>
      <c r="E31" s="50" t="n">
        <v>2695</v>
      </c>
      <c r="F31" s="54" t="n">
        <v>0</v>
      </c>
      <c r="G31" s="27" t="s">
        <v>889</v>
      </c>
      <c r="H31" s="50" t="n">
        <f aca="false">F31/IF(Varsayimlar!$B$21=1,1.1,1)</f>
        <v>0</v>
      </c>
      <c r="I31" s="51" t="n">
        <v>6</v>
      </c>
      <c r="J31" s="28" t="n">
        <f aca="false">H31*I31</f>
        <v>0</v>
      </c>
      <c r="K31" s="55" t="s">
        <v>555</v>
      </c>
      <c r="L31" s="7" t="s">
        <v>2317</v>
      </c>
      <c r="M31" s="7" t="s">
        <v>2951</v>
      </c>
    </row>
    <row r="32" customFormat="false" ht="26.85" hidden="false" customHeight="false" outlineLevel="1" collapsed="false">
      <c r="A32" s="27"/>
      <c r="B32" s="27" t="s">
        <v>2907</v>
      </c>
      <c r="C32" s="7" t="s">
        <v>2956</v>
      </c>
      <c r="D32" s="27" t="s">
        <v>853</v>
      </c>
      <c r="E32" s="50" t="n">
        <v>1210</v>
      </c>
      <c r="F32" s="54" t="n">
        <v>0</v>
      </c>
      <c r="G32" s="27" t="s">
        <v>889</v>
      </c>
      <c r="H32" s="50" t="n">
        <f aca="false">F32/IF(Varsayimlar!$B$21=1,1.1,1)</f>
        <v>0</v>
      </c>
      <c r="I32" s="51" t="n">
        <v>4</v>
      </c>
      <c r="J32" s="28" t="n">
        <f aca="false">H32*I32</f>
        <v>0</v>
      </c>
      <c r="K32" s="55" t="s">
        <v>555</v>
      </c>
      <c r="L32" s="7" t="s">
        <v>2317</v>
      </c>
      <c r="M32" s="7" t="s">
        <v>2951</v>
      </c>
    </row>
    <row r="33" customFormat="false" ht="90.25" hidden="false" customHeight="false" outlineLevel="1" collapsed="false">
      <c r="A33" s="27"/>
      <c r="B33" s="27" t="s">
        <v>2907</v>
      </c>
      <c r="C33" s="7" t="s">
        <v>2957</v>
      </c>
      <c r="D33" s="27" t="s">
        <v>853</v>
      </c>
      <c r="E33" s="50" t="n">
        <v>5468</v>
      </c>
      <c r="F33" s="54" t="n">
        <f aca="false">5468*Varsayimlar!$B$8</f>
        <v>650.232575002266</v>
      </c>
      <c r="G33" s="27" t="s">
        <v>889</v>
      </c>
      <c r="H33" s="50" t="n">
        <f aca="false">F33/IF(Varsayimlar!$B$21=1,1.1,1)</f>
        <v>591.120522729333</v>
      </c>
      <c r="I33" s="51" t="n">
        <v>1.67</v>
      </c>
      <c r="J33" s="28" t="n">
        <f aca="false">H33*I33</f>
        <v>987.171272957985</v>
      </c>
      <c r="K33" s="52" t="s">
        <v>548</v>
      </c>
      <c r="L33" s="7" t="s">
        <v>2958</v>
      </c>
      <c r="M33" s="7" t="s">
        <v>2959</v>
      </c>
    </row>
    <row r="34" customFormat="false" ht="39.55" hidden="false" customHeight="false" outlineLevel="1" collapsed="false">
      <c r="A34" s="27"/>
      <c r="B34" s="27" t="s">
        <v>2907</v>
      </c>
      <c r="C34" s="7" t="s">
        <v>2960</v>
      </c>
      <c r="D34" s="27" t="s">
        <v>727</v>
      </c>
      <c r="E34" s="50" t="n">
        <v>41</v>
      </c>
      <c r="F34" s="50" t="n">
        <v>41</v>
      </c>
      <c r="G34" s="27" t="s">
        <v>767</v>
      </c>
      <c r="H34" s="50" t="n">
        <f aca="false">F34</f>
        <v>41</v>
      </c>
      <c r="I34" s="51" t="n">
        <v>400</v>
      </c>
      <c r="J34" s="28" t="n">
        <f aca="false">H34*I34</f>
        <v>16400</v>
      </c>
      <c r="K34" s="53" t="s">
        <v>551</v>
      </c>
      <c r="L34" s="7" t="s">
        <v>2961</v>
      </c>
      <c r="M34" s="7"/>
    </row>
    <row r="35" customFormat="false" ht="90.25" hidden="false" customHeight="false" outlineLevel="1" collapsed="false">
      <c r="A35" s="27"/>
      <c r="B35" s="27" t="s">
        <v>2907</v>
      </c>
      <c r="C35" s="7" t="s">
        <v>2962</v>
      </c>
      <c r="D35" s="27" t="s">
        <v>853</v>
      </c>
      <c r="E35" s="50" t="n">
        <v>2673</v>
      </c>
      <c r="F35" s="54" t="n">
        <f aca="false">2673*Varsayimlar!$B$8</f>
        <v>317.862412761715</v>
      </c>
      <c r="G35" s="27" t="s">
        <v>889</v>
      </c>
      <c r="H35" s="50" t="n">
        <f aca="false">F35/IF(Varsayimlar!$B$21=1,1.1,1)</f>
        <v>288.965829783377</v>
      </c>
      <c r="I35" s="51" t="n">
        <v>1.67</v>
      </c>
      <c r="J35" s="28" t="n">
        <f aca="false">H35*I35</f>
        <v>482.57293573824</v>
      </c>
      <c r="K35" s="52" t="s">
        <v>548</v>
      </c>
      <c r="L35" s="7" t="s">
        <v>2958</v>
      </c>
      <c r="M35" s="7" t="s">
        <v>2963</v>
      </c>
    </row>
    <row r="36" customFormat="false" ht="26.85" hidden="false" customHeight="false" outlineLevel="1" collapsed="false">
      <c r="A36" s="27"/>
      <c r="B36" s="27" t="s">
        <v>2907</v>
      </c>
      <c r="C36" s="7" t="s">
        <v>2964</v>
      </c>
      <c r="D36" s="27" t="s">
        <v>853</v>
      </c>
      <c r="E36" s="50" t="n">
        <v>541</v>
      </c>
      <c r="F36" s="54" t="n">
        <f aca="false">ROUND(541*16/12,0)</f>
        <v>721</v>
      </c>
      <c r="G36" s="27" t="s">
        <v>889</v>
      </c>
      <c r="H36" s="50" t="n">
        <f aca="false">F36/IF(Varsayimlar!$B$21=1,1.1,1)</f>
        <v>655.454545454545</v>
      </c>
      <c r="I36" s="51" t="n">
        <v>9</v>
      </c>
      <c r="J36" s="28" t="n">
        <f aca="false">H36*I36</f>
        <v>5899.09090909091</v>
      </c>
      <c r="K36" s="53" t="s">
        <v>551</v>
      </c>
      <c r="L36" s="7" t="s">
        <v>2447</v>
      </c>
      <c r="M36" s="7" t="s">
        <v>2965</v>
      </c>
    </row>
    <row r="37" customFormat="false" ht="26.85" hidden="false" customHeight="false" outlineLevel="1" collapsed="false">
      <c r="A37" s="27"/>
      <c r="B37" s="27" t="s">
        <v>2907</v>
      </c>
      <c r="C37" s="7" t="s">
        <v>2966</v>
      </c>
      <c r="D37" s="27" t="s">
        <v>853</v>
      </c>
      <c r="E37" s="50" t="n">
        <v>1348</v>
      </c>
      <c r="F37" s="54" t="n">
        <f aca="false">1348*Varsayimlar!$B$8</f>
        <v>160.298740143207</v>
      </c>
      <c r="G37" s="27" t="s">
        <v>889</v>
      </c>
      <c r="H37" s="50" t="n">
        <f aca="false">F37/IF(Varsayimlar!$B$21=1,1.1,1)</f>
        <v>145.726127402915</v>
      </c>
      <c r="I37" s="51" t="n">
        <v>7</v>
      </c>
      <c r="J37" s="28" t="n">
        <f aca="false">H37*I37</f>
        <v>1020.08289182041</v>
      </c>
      <c r="K37" s="53" t="s">
        <v>551</v>
      </c>
      <c r="L37" s="7" t="s">
        <v>2967</v>
      </c>
      <c r="M37" s="7"/>
    </row>
    <row r="38" customFormat="false" ht="26.85" hidden="false" customHeight="false" outlineLevel="1" collapsed="false">
      <c r="A38" s="27"/>
      <c r="B38" s="27" t="s">
        <v>2907</v>
      </c>
      <c r="C38" s="7" t="s">
        <v>2968</v>
      </c>
      <c r="D38" s="27" t="s">
        <v>853</v>
      </c>
      <c r="E38" s="50" t="n">
        <v>1348</v>
      </c>
      <c r="F38" s="54" t="n">
        <f aca="false">1348*Varsayimlar!$B$8</f>
        <v>160.298740143207</v>
      </c>
      <c r="G38" s="27" t="s">
        <v>889</v>
      </c>
      <c r="H38" s="50" t="n">
        <f aca="false">F38/IF(Varsayimlar!$B$21=1,1.1,1)</f>
        <v>145.726127402915</v>
      </c>
      <c r="I38" s="51" t="n">
        <v>4.5</v>
      </c>
      <c r="J38" s="28" t="n">
        <f aca="false">H38*I38</f>
        <v>655.767573313118</v>
      </c>
      <c r="K38" s="53" t="s">
        <v>551</v>
      </c>
      <c r="L38" s="7" t="s">
        <v>2967</v>
      </c>
      <c r="M38" s="7"/>
    </row>
    <row r="39" customFormat="false" ht="26.85" hidden="false" customHeight="false" outlineLevel="1" collapsed="false">
      <c r="A39" s="27"/>
      <c r="B39" s="27" t="s">
        <v>2907</v>
      </c>
      <c r="C39" s="7" t="s">
        <v>2969</v>
      </c>
      <c r="D39" s="27" t="s">
        <v>853</v>
      </c>
      <c r="E39" s="50" t="n">
        <v>198</v>
      </c>
      <c r="F39" s="50" t="n">
        <v>198</v>
      </c>
      <c r="G39" s="27" t="s">
        <v>889</v>
      </c>
      <c r="H39" s="50" t="n">
        <f aca="false">F39/IF(Varsayimlar!$B$21=1,1.1,1)</f>
        <v>180</v>
      </c>
      <c r="I39" s="51" t="n">
        <v>10</v>
      </c>
      <c r="J39" s="28" t="n">
        <f aca="false">H39*I39</f>
        <v>1800</v>
      </c>
      <c r="K39" s="53" t="s">
        <v>551</v>
      </c>
      <c r="L39" s="7" t="s">
        <v>2967</v>
      </c>
      <c r="M39" s="7" t="s">
        <v>2970</v>
      </c>
    </row>
    <row r="40" customFormat="false" ht="26.85" hidden="false" customHeight="false" outlineLevel="1" collapsed="false">
      <c r="A40" s="27"/>
      <c r="B40" s="27" t="s">
        <v>2907</v>
      </c>
      <c r="C40" s="7" t="s">
        <v>2971</v>
      </c>
      <c r="D40" s="27" t="s">
        <v>853</v>
      </c>
      <c r="E40" s="50" t="n">
        <v>117</v>
      </c>
      <c r="F40" s="54" t="n">
        <v>0</v>
      </c>
      <c r="G40" s="27" t="s">
        <v>889</v>
      </c>
      <c r="H40" s="50" t="n">
        <f aca="false">F40/IF(Varsayimlar!$B$21=1,1.1,1)</f>
        <v>0</v>
      </c>
      <c r="I40" s="51" t="n">
        <v>4.5</v>
      </c>
      <c r="J40" s="28" t="n">
        <f aca="false">H40*I40</f>
        <v>0</v>
      </c>
      <c r="K40" s="55" t="s">
        <v>555</v>
      </c>
      <c r="L40" s="7" t="s">
        <v>2967</v>
      </c>
      <c r="M40" s="7" t="s">
        <v>2972</v>
      </c>
    </row>
    <row r="41" customFormat="false" ht="39.55" hidden="false" customHeight="false" outlineLevel="1" collapsed="false">
      <c r="A41" s="27"/>
      <c r="B41" s="27" t="s">
        <v>2907</v>
      </c>
      <c r="C41" s="7" t="s">
        <v>2973</v>
      </c>
      <c r="D41" s="27" t="s">
        <v>853</v>
      </c>
      <c r="E41" s="50" t="n">
        <v>264</v>
      </c>
      <c r="F41" s="50" t="n">
        <v>264</v>
      </c>
      <c r="G41" s="27" t="s">
        <v>889</v>
      </c>
      <c r="H41" s="50" t="n">
        <f aca="false">F41/IF(Varsayimlar!$B$21=1,1.1,1)</f>
        <v>240</v>
      </c>
      <c r="I41" s="51" t="n">
        <v>2.23</v>
      </c>
      <c r="J41" s="28" t="n">
        <f aca="false">H41*I41</f>
        <v>535.2</v>
      </c>
      <c r="K41" s="52" t="s">
        <v>548</v>
      </c>
      <c r="L41" s="7" t="s">
        <v>2974</v>
      </c>
      <c r="M41" s="7" t="s">
        <v>2256</v>
      </c>
    </row>
    <row r="42" customFormat="false" ht="102.95" hidden="false" customHeight="false" outlineLevel="1" collapsed="false">
      <c r="A42" s="27"/>
      <c r="B42" s="27" t="s">
        <v>2907</v>
      </c>
      <c r="C42" s="7" t="s">
        <v>2975</v>
      </c>
      <c r="D42" s="27" t="s">
        <v>853</v>
      </c>
      <c r="E42" s="50" t="n">
        <v>5905</v>
      </c>
      <c r="F42" s="54" t="n">
        <f aca="false">5905*Varsayimlar!$B$8</f>
        <v>702.19885797154</v>
      </c>
      <c r="G42" s="27" t="s">
        <v>889</v>
      </c>
      <c r="H42" s="50" t="n">
        <f aca="false">F42/IF(Varsayimlar!$B$21=1,1.1,1)</f>
        <v>638.362598155945</v>
      </c>
      <c r="I42" s="51" t="n">
        <v>3.06</v>
      </c>
      <c r="J42" s="28" t="n">
        <f aca="false">H42*I42</f>
        <v>1953.38955035719</v>
      </c>
      <c r="K42" s="52" t="s">
        <v>548</v>
      </c>
      <c r="L42" s="7" t="s">
        <v>2976</v>
      </c>
      <c r="M42" s="7" t="s">
        <v>2977</v>
      </c>
    </row>
    <row r="43" customFormat="false" ht="39.55" hidden="false" customHeight="false" outlineLevel="1" collapsed="false">
      <c r="A43" s="27"/>
      <c r="B43" s="27" t="s">
        <v>2907</v>
      </c>
      <c r="C43" s="7" t="s">
        <v>2978</v>
      </c>
      <c r="D43" s="27" t="s">
        <v>853</v>
      </c>
      <c r="E43" s="50" t="n">
        <v>2327</v>
      </c>
      <c r="F43" s="54" t="n">
        <f aca="false">2327*Varsayimlar!$B$8</f>
        <v>276.717483911901</v>
      </c>
      <c r="G43" s="27" t="s">
        <v>889</v>
      </c>
      <c r="H43" s="50" t="n">
        <f aca="false">F43/IF(Varsayimlar!$B$21=1,1.1,1)</f>
        <v>251.561349010819</v>
      </c>
      <c r="I43" s="51" t="n">
        <v>3</v>
      </c>
      <c r="J43" s="28" t="n">
        <f aca="false">H43*I43</f>
        <v>754.684047032456</v>
      </c>
      <c r="K43" s="53" t="s">
        <v>551</v>
      </c>
      <c r="L43" s="7" t="s">
        <v>2979</v>
      </c>
      <c r="M43" s="7"/>
    </row>
    <row r="44" customFormat="false" ht="39.55" hidden="false" customHeight="false" outlineLevel="1" collapsed="false">
      <c r="A44" s="27"/>
      <c r="B44" s="27" t="s">
        <v>2907</v>
      </c>
      <c r="C44" s="7" t="s">
        <v>2980</v>
      </c>
      <c r="D44" s="27" t="s">
        <v>853</v>
      </c>
      <c r="E44" s="50" t="n">
        <v>605</v>
      </c>
      <c r="F44" s="50" t="n">
        <v>605</v>
      </c>
      <c r="G44" s="27" t="s">
        <v>889</v>
      </c>
      <c r="H44" s="50" t="n">
        <f aca="false">F44/IF(Varsayimlar!$B$21=1,1.1,1)</f>
        <v>550</v>
      </c>
      <c r="I44" s="51" t="n">
        <v>7</v>
      </c>
      <c r="J44" s="28" t="n">
        <f aca="false">H44*I44</f>
        <v>3850</v>
      </c>
      <c r="K44" s="53" t="s">
        <v>551</v>
      </c>
      <c r="L44" s="7" t="s">
        <v>2979</v>
      </c>
      <c r="M44" s="7"/>
    </row>
    <row r="45" customFormat="false" ht="26.85" hidden="false" customHeight="false" outlineLevel="1" collapsed="false">
      <c r="A45" s="27"/>
      <c r="B45" s="27" t="s">
        <v>2907</v>
      </c>
      <c r="C45" s="7" t="s">
        <v>2981</v>
      </c>
      <c r="D45" s="27" t="s">
        <v>727</v>
      </c>
      <c r="E45" s="50" t="n">
        <v>100</v>
      </c>
      <c r="F45" s="50" t="n">
        <v>100</v>
      </c>
      <c r="G45" s="27" t="s">
        <v>767</v>
      </c>
      <c r="H45" s="50" t="n">
        <f aca="false">F45</f>
        <v>100</v>
      </c>
      <c r="I45" s="51" t="n">
        <v>350</v>
      </c>
      <c r="J45" s="28" t="n">
        <f aca="false">H45*I45</f>
        <v>35000</v>
      </c>
      <c r="K45" s="53" t="s">
        <v>551</v>
      </c>
      <c r="L45" s="7" t="s">
        <v>2447</v>
      </c>
      <c r="M45" s="7"/>
    </row>
    <row r="46" customFormat="false" ht="39.55" hidden="false" customHeight="false" outlineLevel="1" collapsed="false">
      <c r="A46" s="27"/>
      <c r="B46" s="27" t="s">
        <v>2907</v>
      </c>
      <c r="C46" s="7" t="s">
        <v>2982</v>
      </c>
      <c r="D46" s="27" t="s">
        <v>732</v>
      </c>
      <c r="E46" s="50" t="n">
        <v>1</v>
      </c>
      <c r="F46" s="50" t="n">
        <v>1</v>
      </c>
      <c r="G46" s="27" t="s">
        <v>767</v>
      </c>
      <c r="H46" s="50" t="n">
        <f aca="false">F46</f>
        <v>1</v>
      </c>
      <c r="I46" s="51" t="n">
        <v>40669</v>
      </c>
      <c r="J46" s="28" t="n">
        <f aca="false">H46*I46</f>
        <v>40669</v>
      </c>
      <c r="K46" s="52" t="s">
        <v>548</v>
      </c>
      <c r="L46" s="7" t="s">
        <v>2983</v>
      </c>
      <c r="M46" s="7"/>
    </row>
    <row r="47" customFormat="false" ht="15" hidden="false" customHeight="false" outlineLevel="0" collapsed="false">
      <c r="A47" s="48" t="s">
        <v>460</v>
      </c>
      <c r="B47" s="48" t="s">
        <v>2984</v>
      </c>
      <c r="C47" s="48" t="s">
        <v>461</v>
      </c>
      <c r="D47" s="48"/>
      <c r="E47" s="48"/>
      <c r="F47" s="48"/>
      <c r="G47" s="48"/>
      <c r="H47" s="48" t="s">
        <v>765</v>
      </c>
      <c r="I47" s="49" t="n">
        <f aca="false">SUMPRODUCT(E48:E65,I48:I65)</f>
        <v>889216.1</v>
      </c>
      <c r="J47" s="49" t="n">
        <f aca="false">SUM(J48:J65)</f>
        <v>1266859.07272727</v>
      </c>
      <c r="K47" s="48"/>
      <c r="L47" s="48"/>
      <c r="M47" s="48"/>
    </row>
    <row r="48" customFormat="false" ht="64.9" hidden="false" customHeight="false" outlineLevel="1" collapsed="false">
      <c r="A48" s="27"/>
      <c r="B48" s="27" t="s">
        <v>2984</v>
      </c>
      <c r="C48" s="7" t="s">
        <v>2985</v>
      </c>
      <c r="D48" s="27" t="s">
        <v>816</v>
      </c>
      <c r="E48" s="50" t="n">
        <v>20</v>
      </c>
      <c r="F48" s="54" t="n">
        <v>40</v>
      </c>
      <c r="G48" s="27" t="s">
        <v>767</v>
      </c>
      <c r="H48" s="50" t="n">
        <f aca="false">F48</f>
        <v>40</v>
      </c>
      <c r="I48" s="51" t="n">
        <v>15890</v>
      </c>
      <c r="J48" s="28" t="n">
        <f aca="false">H48*I48</f>
        <v>635600</v>
      </c>
      <c r="K48" s="52" t="s">
        <v>548</v>
      </c>
      <c r="L48" s="7" t="s">
        <v>2986</v>
      </c>
      <c r="M48" s="7" t="s">
        <v>2987</v>
      </c>
    </row>
    <row r="49" customFormat="false" ht="39.55" hidden="false" customHeight="false" outlineLevel="1" collapsed="false">
      <c r="A49" s="27"/>
      <c r="B49" s="27" t="s">
        <v>2984</v>
      </c>
      <c r="C49" s="7" t="s">
        <v>2988</v>
      </c>
      <c r="D49" s="27" t="s">
        <v>816</v>
      </c>
      <c r="E49" s="50" t="n">
        <v>20</v>
      </c>
      <c r="F49" s="54" t="n">
        <v>40</v>
      </c>
      <c r="G49" s="27" t="s">
        <v>767</v>
      </c>
      <c r="H49" s="50" t="n">
        <f aca="false">F49</f>
        <v>40</v>
      </c>
      <c r="I49" s="51" t="n">
        <v>2969</v>
      </c>
      <c r="J49" s="28" t="n">
        <f aca="false">H49*I49</f>
        <v>118760</v>
      </c>
      <c r="K49" s="52" t="s">
        <v>548</v>
      </c>
      <c r="L49" s="7" t="s">
        <v>2989</v>
      </c>
      <c r="M49" s="7" t="s">
        <v>2913</v>
      </c>
    </row>
    <row r="50" customFormat="false" ht="77.6" hidden="false" customHeight="false" outlineLevel="1" collapsed="false">
      <c r="A50" s="27"/>
      <c r="B50" s="27" t="s">
        <v>2984</v>
      </c>
      <c r="C50" s="7" t="s">
        <v>2990</v>
      </c>
      <c r="D50" s="27" t="s">
        <v>816</v>
      </c>
      <c r="E50" s="50" t="n">
        <v>20</v>
      </c>
      <c r="F50" s="54" t="n">
        <v>0</v>
      </c>
      <c r="G50" s="27" t="s">
        <v>767</v>
      </c>
      <c r="H50" s="50" t="n">
        <f aca="false">F50</f>
        <v>0</v>
      </c>
      <c r="I50" s="51" t="n">
        <v>4940.38</v>
      </c>
      <c r="J50" s="28" t="n">
        <f aca="false">H50*I50</f>
        <v>0</v>
      </c>
      <c r="K50" s="55" t="s">
        <v>555</v>
      </c>
      <c r="L50" s="7" t="s">
        <v>2991</v>
      </c>
      <c r="M50" s="7" t="s">
        <v>2992</v>
      </c>
    </row>
    <row r="51" customFormat="false" ht="39.55" hidden="false" customHeight="false" outlineLevel="1" collapsed="false">
      <c r="A51" s="27"/>
      <c r="B51" s="27" t="s">
        <v>2984</v>
      </c>
      <c r="C51" s="7" t="s">
        <v>2993</v>
      </c>
      <c r="D51" s="27" t="s">
        <v>727</v>
      </c>
      <c r="E51" s="50" t="n">
        <v>2</v>
      </c>
      <c r="F51" s="50" t="n">
        <v>2</v>
      </c>
      <c r="G51" s="27" t="s">
        <v>767</v>
      </c>
      <c r="H51" s="50" t="n">
        <f aca="false">F51</f>
        <v>2</v>
      </c>
      <c r="I51" s="51" t="n">
        <v>89900</v>
      </c>
      <c r="J51" s="28" t="n">
        <f aca="false">H51*I51</f>
        <v>179800</v>
      </c>
      <c r="K51" s="52" t="s">
        <v>548</v>
      </c>
      <c r="L51" s="7" t="s">
        <v>2994</v>
      </c>
      <c r="M51" s="7" t="s">
        <v>2995</v>
      </c>
    </row>
    <row r="52" customFormat="false" ht="26.85" hidden="false" customHeight="false" outlineLevel="1" collapsed="false">
      <c r="A52" s="27"/>
      <c r="B52" s="27" t="s">
        <v>2984</v>
      </c>
      <c r="C52" s="7" t="s">
        <v>2996</v>
      </c>
      <c r="D52" s="27" t="s">
        <v>727</v>
      </c>
      <c r="E52" s="50" t="n">
        <v>4</v>
      </c>
      <c r="F52" s="50" t="n">
        <v>4</v>
      </c>
      <c r="G52" s="27" t="s">
        <v>767</v>
      </c>
      <c r="H52" s="50" t="n">
        <f aca="false">F52</f>
        <v>4</v>
      </c>
      <c r="I52" s="51" t="n">
        <v>1604</v>
      </c>
      <c r="J52" s="28" t="n">
        <f aca="false">H52*I52</f>
        <v>6416</v>
      </c>
      <c r="K52" s="52" t="s">
        <v>548</v>
      </c>
      <c r="L52" s="7" t="s">
        <v>2997</v>
      </c>
      <c r="M52" s="7"/>
    </row>
    <row r="53" customFormat="false" ht="26.85" hidden="false" customHeight="false" outlineLevel="1" collapsed="false">
      <c r="A53" s="27"/>
      <c r="B53" s="27" t="s">
        <v>2984</v>
      </c>
      <c r="C53" s="7" t="s">
        <v>2998</v>
      </c>
      <c r="D53" s="27" t="s">
        <v>816</v>
      </c>
      <c r="E53" s="50" t="n">
        <v>20</v>
      </c>
      <c r="F53" s="54" t="n">
        <v>40</v>
      </c>
      <c r="G53" s="27" t="s">
        <v>767</v>
      </c>
      <c r="H53" s="50" t="n">
        <f aca="false">F53</f>
        <v>40</v>
      </c>
      <c r="I53" s="51" t="n">
        <v>1472</v>
      </c>
      <c r="J53" s="28" t="n">
        <f aca="false">H53*I53</f>
        <v>58880</v>
      </c>
      <c r="K53" s="52" t="s">
        <v>548</v>
      </c>
      <c r="L53" s="7" t="s">
        <v>2999</v>
      </c>
      <c r="M53" s="7" t="s">
        <v>3000</v>
      </c>
    </row>
    <row r="54" customFormat="false" ht="39.55" hidden="false" customHeight="false" outlineLevel="1" collapsed="false">
      <c r="A54" s="27"/>
      <c r="B54" s="27" t="s">
        <v>2984</v>
      </c>
      <c r="C54" s="7" t="s">
        <v>3001</v>
      </c>
      <c r="D54" s="27" t="s">
        <v>727</v>
      </c>
      <c r="E54" s="50" t="n">
        <v>24</v>
      </c>
      <c r="F54" s="54" t="n">
        <v>40</v>
      </c>
      <c r="G54" s="27" t="s">
        <v>767</v>
      </c>
      <c r="H54" s="50" t="n">
        <f aca="false">F54</f>
        <v>40</v>
      </c>
      <c r="I54" s="51" t="n">
        <v>3508</v>
      </c>
      <c r="J54" s="28" t="n">
        <f aca="false">H54*I54</f>
        <v>140320</v>
      </c>
      <c r="K54" s="52" t="s">
        <v>548</v>
      </c>
      <c r="L54" s="7" t="s">
        <v>3002</v>
      </c>
      <c r="M54" s="7" t="s">
        <v>3003</v>
      </c>
    </row>
    <row r="55" customFormat="false" ht="26.85" hidden="false" customHeight="false" outlineLevel="1" collapsed="false">
      <c r="A55" s="27"/>
      <c r="B55" s="27" t="s">
        <v>2984</v>
      </c>
      <c r="C55" s="7" t="s">
        <v>3004</v>
      </c>
      <c r="D55" s="27" t="s">
        <v>853</v>
      </c>
      <c r="E55" s="50" t="n">
        <v>552</v>
      </c>
      <c r="F55" s="54" t="n">
        <v>1104</v>
      </c>
      <c r="G55" s="27" t="s">
        <v>889</v>
      </c>
      <c r="H55" s="50" t="n">
        <f aca="false">F55/IF(Varsayimlar!$B$21=1,1.1,1)</f>
        <v>1003.63636363636</v>
      </c>
      <c r="I55" s="51" t="n">
        <v>9</v>
      </c>
      <c r="J55" s="28" t="n">
        <f aca="false">H55*I55</f>
        <v>9032.72727272727</v>
      </c>
      <c r="K55" s="53" t="s">
        <v>551</v>
      </c>
      <c r="L55" s="7" t="s">
        <v>2447</v>
      </c>
      <c r="M55" s="7" t="s">
        <v>3005</v>
      </c>
    </row>
    <row r="56" customFormat="false" ht="26.85" hidden="false" customHeight="false" outlineLevel="1" collapsed="false">
      <c r="A56" s="27"/>
      <c r="B56" s="27" t="s">
        <v>2984</v>
      </c>
      <c r="C56" s="7" t="s">
        <v>3006</v>
      </c>
      <c r="D56" s="27" t="s">
        <v>853</v>
      </c>
      <c r="E56" s="50" t="n">
        <v>959</v>
      </c>
      <c r="F56" s="54" t="n">
        <v>0</v>
      </c>
      <c r="G56" s="27" t="s">
        <v>889</v>
      </c>
      <c r="H56" s="50" t="n">
        <f aca="false">F56/IF(Varsayimlar!$B$21=1,1.1,1)</f>
        <v>0</v>
      </c>
      <c r="I56" s="51" t="n">
        <v>4.5</v>
      </c>
      <c r="J56" s="28" t="n">
        <f aca="false">H56*I56</f>
        <v>0</v>
      </c>
      <c r="K56" s="55" t="s">
        <v>555</v>
      </c>
      <c r="L56" s="7" t="s">
        <v>2967</v>
      </c>
      <c r="M56" s="7" t="s">
        <v>2972</v>
      </c>
    </row>
    <row r="57" customFormat="false" ht="26.85" hidden="false" customHeight="false" outlineLevel="1" collapsed="false">
      <c r="A57" s="27"/>
      <c r="B57" s="27" t="s">
        <v>2984</v>
      </c>
      <c r="C57" s="7" t="s">
        <v>3007</v>
      </c>
      <c r="D57" s="27" t="s">
        <v>853</v>
      </c>
      <c r="E57" s="50" t="n">
        <v>992</v>
      </c>
      <c r="F57" s="54" t="n">
        <v>1984</v>
      </c>
      <c r="G57" s="27" t="s">
        <v>889</v>
      </c>
      <c r="H57" s="50" t="n">
        <f aca="false">F57/IF(Varsayimlar!$B$21=1,1.1,1)</f>
        <v>1803.63636363636</v>
      </c>
      <c r="I57" s="51" t="n">
        <v>7</v>
      </c>
      <c r="J57" s="28" t="n">
        <f aca="false">H57*I57</f>
        <v>12625.4545454545</v>
      </c>
      <c r="K57" s="53" t="s">
        <v>551</v>
      </c>
      <c r="L57" s="7" t="s">
        <v>2447</v>
      </c>
      <c r="M57" s="7" t="s">
        <v>3008</v>
      </c>
    </row>
    <row r="58" customFormat="false" ht="90.25" hidden="false" customHeight="false" outlineLevel="1" collapsed="false">
      <c r="A58" s="27"/>
      <c r="B58" s="27" t="s">
        <v>2984</v>
      </c>
      <c r="C58" s="7" t="s">
        <v>3009</v>
      </c>
      <c r="D58" s="27" t="s">
        <v>853</v>
      </c>
      <c r="E58" s="50" t="n">
        <v>816</v>
      </c>
      <c r="F58" s="54" t="n">
        <v>1360</v>
      </c>
      <c r="G58" s="27" t="s">
        <v>889</v>
      </c>
      <c r="H58" s="50" t="n">
        <f aca="false">F58/IF(Varsayimlar!$B$21=1,1.1,1)</f>
        <v>1236.36363636364</v>
      </c>
      <c r="I58" s="51" t="n">
        <v>1.67</v>
      </c>
      <c r="J58" s="28" t="n">
        <f aca="false">H58*I58</f>
        <v>2064.72727272727</v>
      </c>
      <c r="K58" s="52" t="s">
        <v>548</v>
      </c>
      <c r="L58" s="7" t="s">
        <v>2958</v>
      </c>
      <c r="M58" s="7" t="s">
        <v>3010</v>
      </c>
    </row>
    <row r="59" customFormat="false" ht="26.85" hidden="false" customHeight="false" outlineLevel="1" collapsed="false">
      <c r="A59" s="27"/>
      <c r="B59" s="27" t="s">
        <v>2984</v>
      </c>
      <c r="C59" s="7" t="s">
        <v>3011</v>
      </c>
      <c r="D59" s="27" t="s">
        <v>853</v>
      </c>
      <c r="E59" s="50" t="n">
        <v>176</v>
      </c>
      <c r="F59" s="50" t="n">
        <v>176</v>
      </c>
      <c r="G59" s="27" t="s">
        <v>889</v>
      </c>
      <c r="H59" s="50" t="n">
        <f aca="false">F59/IF(Varsayimlar!$B$21=1,1.1,1)</f>
        <v>160</v>
      </c>
      <c r="I59" s="51" t="n">
        <v>12</v>
      </c>
      <c r="J59" s="28" t="n">
        <f aca="false">H59*I59</f>
        <v>1920</v>
      </c>
      <c r="K59" s="53" t="s">
        <v>551</v>
      </c>
      <c r="L59" s="7" t="s">
        <v>2967</v>
      </c>
      <c r="M59" s="7"/>
    </row>
    <row r="60" customFormat="false" ht="102.95" hidden="false" customHeight="false" outlineLevel="1" collapsed="false">
      <c r="A60" s="27"/>
      <c r="B60" s="27" t="s">
        <v>2984</v>
      </c>
      <c r="C60" s="7" t="s">
        <v>3012</v>
      </c>
      <c r="D60" s="27" t="s">
        <v>853</v>
      </c>
      <c r="E60" s="50" t="n">
        <v>563</v>
      </c>
      <c r="F60" s="50" t="n">
        <v>563</v>
      </c>
      <c r="G60" s="27" t="s">
        <v>889</v>
      </c>
      <c r="H60" s="50" t="n">
        <f aca="false">F60/IF(Varsayimlar!$B$21=1,1.1,1)</f>
        <v>511.818181818182</v>
      </c>
      <c r="I60" s="51" t="n">
        <v>3.06</v>
      </c>
      <c r="J60" s="28" t="n">
        <f aca="false">H60*I60</f>
        <v>1566.16363636364</v>
      </c>
      <c r="K60" s="52" t="s">
        <v>548</v>
      </c>
      <c r="L60" s="7" t="s">
        <v>2976</v>
      </c>
      <c r="M60" s="7" t="s">
        <v>2977</v>
      </c>
    </row>
    <row r="61" customFormat="false" ht="77.6" hidden="false" customHeight="false" outlineLevel="1" collapsed="false">
      <c r="A61" s="27"/>
      <c r="B61" s="27" t="s">
        <v>2984</v>
      </c>
      <c r="C61" s="7" t="s">
        <v>3013</v>
      </c>
      <c r="D61" s="27" t="s">
        <v>853</v>
      </c>
      <c r="E61" s="50" t="n">
        <v>662</v>
      </c>
      <c r="F61" s="50" t="n">
        <v>662</v>
      </c>
      <c r="G61" s="27" t="s">
        <v>889</v>
      </c>
      <c r="H61" s="50" t="n">
        <f aca="false">F61/IF(Varsayimlar!$B$21=1,1.1,1)</f>
        <v>601.818181818182</v>
      </c>
      <c r="I61" s="51" t="n">
        <v>2.75</v>
      </c>
      <c r="J61" s="28" t="n">
        <f aca="false">H61*I61</f>
        <v>1655</v>
      </c>
      <c r="K61" s="52" t="s">
        <v>548</v>
      </c>
      <c r="L61" s="7" t="s">
        <v>3014</v>
      </c>
      <c r="M61" s="7" t="s">
        <v>3015</v>
      </c>
    </row>
    <row r="62" customFormat="false" ht="26.85" hidden="false" customHeight="false" outlineLevel="1" collapsed="false">
      <c r="A62" s="27"/>
      <c r="B62" s="27" t="s">
        <v>2984</v>
      </c>
      <c r="C62" s="7" t="s">
        <v>3016</v>
      </c>
      <c r="D62" s="27" t="s">
        <v>853</v>
      </c>
      <c r="E62" s="50" t="n">
        <v>880</v>
      </c>
      <c r="F62" s="50" t="n">
        <v>880</v>
      </c>
      <c r="G62" s="27" t="s">
        <v>889</v>
      </c>
      <c r="H62" s="50" t="n">
        <f aca="false">F62/IF(Varsayimlar!$B$21=1,1.1,1)</f>
        <v>800</v>
      </c>
      <c r="I62" s="51" t="n">
        <v>7</v>
      </c>
      <c r="J62" s="28" t="n">
        <f aca="false">H62*I62</f>
        <v>5600</v>
      </c>
      <c r="K62" s="53" t="s">
        <v>551</v>
      </c>
      <c r="L62" s="7" t="s">
        <v>2447</v>
      </c>
      <c r="M62" s="7"/>
    </row>
    <row r="63" customFormat="false" ht="26.85" hidden="false" customHeight="false" outlineLevel="1" collapsed="false">
      <c r="A63" s="27"/>
      <c r="B63" s="27" t="s">
        <v>2984</v>
      </c>
      <c r="C63" s="7" t="s">
        <v>3017</v>
      </c>
      <c r="D63" s="27" t="s">
        <v>853</v>
      </c>
      <c r="E63" s="50" t="n">
        <v>1452</v>
      </c>
      <c r="F63" s="54" t="n">
        <v>2200</v>
      </c>
      <c r="G63" s="27" t="s">
        <v>889</v>
      </c>
      <c r="H63" s="50" t="n">
        <f aca="false">F63/IF(Varsayimlar!$B$21=1,1.1,1)</f>
        <v>2000</v>
      </c>
      <c r="I63" s="51" t="n">
        <v>3</v>
      </c>
      <c r="J63" s="28" t="n">
        <f aca="false">H63*I63</f>
        <v>6000</v>
      </c>
      <c r="K63" s="53" t="s">
        <v>551</v>
      </c>
      <c r="L63" s="7" t="s">
        <v>2447</v>
      </c>
      <c r="M63" s="7" t="s">
        <v>3018</v>
      </c>
    </row>
    <row r="64" customFormat="false" ht="26.85" hidden="false" customHeight="false" outlineLevel="1" collapsed="false">
      <c r="A64" s="27"/>
      <c r="B64" s="27" t="s">
        <v>2984</v>
      </c>
      <c r="C64" s="7" t="s">
        <v>3019</v>
      </c>
      <c r="D64" s="27" t="s">
        <v>727</v>
      </c>
      <c r="E64" s="50" t="n">
        <v>27</v>
      </c>
      <c r="F64" s="54" t="n">
        <v>47</v>
      </c>
      <c r="G64" s="27" t="s">
        <v>767</v>
      </c>
      <c r="H64" s="50" t="n">
        <f aca="false">F64</f>
        <v>47</v>
      </c>
      <c r="I64" s="51" t="n">
        <v>350</v>
      </c>
      <c r="J64" s="28" t="n">
        <f aca="false">H64*I64</f>
        <v>16450</v>
      </c>
      <c r="K64" s="53" t="s">
        <v>551</v>
      </c>
      <c r="L64" s="7" t="s">
        <v>2447</v>
      </c>
      <c r="M64" s="7" t="s">
        <v>3020</v>
      </c>
    </row>
    <row r="65" customFormat="false" ht="26.85" hidden="false" customHeight="false" outlineLevel="1" collapsed="false">
      <c r="A65" s="27"/>
      <c r="B65" s="27" t="s">
        <v>2984</v>
      </c>
      <c r="C65" s="7" t="s">
        <v>3021</v>
      </c>
      <c r="D65" s="27" t="s">
        <v>732</v>
      </c>
      <c r="E65" s="50" t="n">
        <v>1</v>
      </c>
      <c r="F65" s="50" t="n">
        <v>1</v>
      </c>
      <c r="G65" s="27" t="s">
        <v>767</v>
      </c>
      <c r="H65" s="50" t="n">
        <f aca="false">F65</f>
        <v>1</v>
      </c>
      <c r="I65" s="51" t="n">
        <v>70169</v>
      </c>
      <c r="J65" s="28" t="n">
        <f aca="false">H65*I65</f>
        <v>70169</v>
      </c>
      <c r="K65" s="52" t="s">
        <v>548</v>
      </c>
      <c r="L65" s="7" t="s">
        <v>3022</v>
      </c>
      <c r="M65" s="7"/>
    </row>
    <row r="66" customFormat="false" ht="15" hidden="false" customHeight="false" outlineLevel="0" collapsed="false">
      <c r="A66" s="48" t="s">
        <v>462</v>
      </c>
      <c r="B66" s="48" t="s">
        <v>3023</v>
      </c>
      <c r="C66" s="48" t="s">
        <v>463</v>
      </c>
      <c r="D66" s="48"/>
      <c r="E66" s="48"/>
      <c r="F66" s="48"/>
      <c r="G66" s="48"/>
      <c r="H66" s="48" t="s">
        <v>765</v>
      </c>
      <c r="I66" s="49" t="n">
        <f aca="false">SUMPRODUCT(E67:E73,I67:I73)</f>
        <v>243855</v>
      </c>
      <c r="J66" s="49" t="n">
        <f aca="false">SUM(J67:J73)</f>
        <v>229598</v>
      </c>
      <c r="K66" s="48"/>
      <c r="L66" s="48"/>
      <c r="M66" s="48"/>
    </row>
    <row r="67" customFormat="false" ht="52.2" hidden="false" customHeight="false" outlineLevel="1" collapsed="false">
      <c r="A67" s="27"/>
      <c r="B67" s="27" t="s">
        <v>3023</v>
      </c>
      <c r="C67" s="7" t="s">
        <v>3024</v>
      </c>
      <c r="D67" s="27" t="s">
        <v>727</v>
      </c>
      <c r="E67" s="50" t="n">
        <v>30</v>
      </c>
      <c r="F67" s="54" t="n">
        <f aca="false">2*Varsayimlar!$B$10</f>
        <v>28</v>
      </c>
      <c r="G67" s="27" t="s">
        <v>767</v>
      </c>
      <c r="H67" s="50" t="n">
        <f aca="false">F67</f>
        <v>28</v>
      </c>
      <c r="I67" s="51" t="n">
        <v>896</v>
      </c>
      <c r="J67" s="28" t="n">
        <f aca="false">H67*I67</f>
        <v>25088</v>
      </c>
      <c r="K67" s="52" t="s">
        <v>548</v>
      </c>
      <c r="L67" s="7" t="s">
        <v>3025</v>
      </c>
      <c r="M67" s="7" t="s">
        <v>3026</v>
      </c>
    </row>
    <row r="68" customFormat="false" ht="52.2" hidden="false" customHeight="false" outlineLevel="1" collapsed="false">
      <c r="A68" s="27"/>
      <c r="B68" s="27" t="s">
        <v>3023</v>
      </c>
      <c r="C68" s="7" t="s">
        <v>3027</v>
      </c>
      <c r="D68" s="27" t="s">
        <v>727</v>
      </c>
      <c r="E68" s="50" t="n">
        <v>30</v>
      </c>
      <c r="F68" s="54" t="n">
        <f aca="false">2*Varsayimlar!$B$10</f>
        <v>28</v>
      </c>
      <c r="G68" s="27" t="s">
        <v>767</v>
      </c>
      <c r="H68" s="50" t="n">
        <f aca="false">F68</f>
        <v>28</v>
      </c>
      <c r="I68" s="51" t="n">
        <v>1493</v>
      </c>
      <c r="J68" s="28" t="n">
        <f aca="false">H68*I68</f>
        <v>41804</v>
      </c>
      <c r="K68" s="52" t="s">
        <v>548</v>
      </c>
      <c r="L68" s="7" t="s">
        <v>3025</v>
      </c>
      <c r="M68" s="7" t="s">
        <v>3028</v>
      </c>
    </row>
    <row r="69" customFormat="false" ht="52.2" hidden="false" customHeight="false" outlineLevel="1" collapsed="false">
      <c r="A69" s="27"/>
      <c r="B69" s="27" t="s">
        <v>3023</v>
      </c>
      <c r="C69" s="7" t="s">
        <v>3029</v>
      </c>
      <c r="D69" s="27" t="s">
        <v>727</v>
      </c>
      <c r="E69" s="50" t="n">
        <v>15</v>
      </c>
      <c r="F69" s="54" t="n">
        <f aca="false">Varsayimlar!$B$10</f>
        <v>14</v>
      </c>
      <c r="G69" s="27" t="s">
        <v>767</v>
      </c>
      <c r="H69" s="50" t="n">
        <f aca="false">F69</f>
        <v>14</v>
      </c>
      <c r="I69" s="51" t="n">
        <v>3583</v>
      </c>
      <c r="J69" s="28" t="n">
        <f aca="false">H69*I69</f>
        <v>50162</v>
      </c>
      <c r="K69" s="52" t="s">
        <v>548</v>
      </c>
      <c r="L69" s="7" t="s">
        <v>3025</v>
      </c>
      <c r="M69" s="7" t="s">
        <v>3030</v>
      </c>
    </row>
    <row r="70" customFormat="false" ht="52.2" hidden="false" customHeight="false" outlineLevel="1" collapsed="false">
      <c r="A70" s="27"/>
      <c r="B70" s="27" t="s">
        <v>3023</v>
      </c>
      <c r="C70" s="7" t="s">
        <v>3031</v>
      </c>
      <c r="D70" s="27" t="s">
        <v>732</v>
      </c>
      <c r="E70" s="50" t="n">
        <v>15</v>
      </c>
      <c r="F70" s="54" t="n">
        <f aca="false">Varsayimlar!$B$10</f>
        <v>14</v>
      </c>
      <c r="G70" s="27" t="s">
        <v>767</v>
      </c>
      <c r="H70" s="50" t="n">
        <f aca="false">F70</f>
        <v>14</v>
      </c>
      <c r="I70" s="51" t="n">
        <v>896</v>
      </c>
      <c r="J70" s="28" t="n">
        <f aca="false">H70*I70</f>
        <v>12544</v>
      </c>
      <c r="K70" s="52" t="s">
        <v>548</v>
      </c>
      <c r="L70" s="7" t="s">
        <v>3025</v>
      </c>
      <c r="M70" s="7" t="s">
        <v>3032</v>
      </c>
    </row>
    <row r="71" customFormat="false" ht="26.85" hidden="false" customHeight="false" outlineLevel="1" collapsed="false">
      <c r="A71" s="27"/>
      <c r="B71" s="27" t="s">
        <v>3023</v>
      </c>
      <c r="C71" s="7" t="s">
        <v>3033</v>
      </c>
      <c r="D71" s="27" t="s">
        <v>732</v>
      </c>
      <c r="E71" s="50" t="n">
        <v>15</v>
      </c>
      <c r="F71" s="54" t="n">
        <f aca="false">Varsayimlar!$B$10</f>
        <v>14</v>
      </c>
      <c r="G71" s="27" t="s">
        <v>767</v>
      </c>
      <c r="H71" s="50" t="n">
        <f aca="false">F71</f>
        <v>14</v>
      </c>
      <c r="I71" s="51" t="n">
        <v>2000</v>
      </c>
      <c r="J71" s="28" t="n">
        <f aca="false">H71*I71</f>
        <v>28000</v>
      </c>
      <c r="K71" s="53" t="s">
        <v>551</v>
      </c>
      <c r="L71" s="7" t="s">
        <v>2447</v>
      </c>
      <c r="M71" s="7" t="s">
        <v>3034</v>
      </c>
    </row>
    <row r="72" customFormat="false" ht="26.85" hidden="false" customHeight="false" outlineLevel="1" collapsed="false">
      <c r="A72" s="27"/>
      <c r="B72" s="27" t="s">
        <v>3023</v>
      </c>
      <c r="C72" s="7" t="s">
        <v>3035</v>
      </c>
      <c r="D72" s="27" t="s">
        <v>732</v>
      </c>
      <c r="E72" s="50" t="n">
        <v>1</v>
      </c>
      <c r="F72" s="50" t="n">
        <v>1</v>
      </c>
      <c r="G72" s="27" t="s">
        <v>767</v>
      </c>
      <c r="H72" s="50" t="n">
        <f aca="false">F72</f>
        <v>1</v>
      </c>
      <c r="I72" s="51" t="n">
        <v>30000</v>
      </c>
      <c r="J72" s="28" t="n">
        <f aca="false">H72*I72</f>
        <v>30000</v>
      </c>
      <c r="K72" s="53" t="s">
        <v>551</v>
      </c>
      <c r="L72" s="7" t="s">
        <v>2447</v>
      </c>
      <c r="M72" s="7" t="s">
        <v>3036</v>
      </c>
    </row>
    <row r="73" customFormat="false" ht="52.2" hidden="false" customHeight="false" outlineLevel="1" collapsed="false">
      <c r="A73" s="27"/>
      <c r="B73" s="27" t="s">
        <v>3023</v>
      </c>
      <c r="C73" s="7" t="s">
        <v>3037</v>
      </c>
      <c r="D73" s="27" t="s">
        <v>727</v>
      </c>
      <c r="E73" s="50" t="n">
        <v>15</v>
      </c>
      <c r="F73" s="54" t="n">
        <f aca="false">Varsayimlar!$B$10</f>
        <v>14</v>
      </c>
      <c r="G73" s="27" t="s">
        <v>767</v>
      </c>
      <c r="H73" s="50" t="n">
        <f aca="false">F73</f>
        <v>14</v>
      </c>
      <c r="I73" s="51" t="n">
        <v>3000</v>
      </c>
      <c r="J73" s="28" t="n">
        <f aca="false">H73*I73</f>
        <v>42000</v>
      </c>
      <c r="K73" s="52" t="s">
        <v>548</v>
      </c>
      <c r="L73" s="7" t="s">
        <v>3038</v>
      </c>
      <c r="M73" s="7" t="s">
        <v>3039</v>
      </c>
    </row>
    <row r="74" customFormat="false" ht="15" hidden="false" customHeight="false" outlineLevel="0" collapsed="false">
      <c r="A74" s="48" t="s">
        <v>464</v>
      </c>
      <c r="B74" s="48" t="s">
        <v>3040</v>
      </c>
      <c r="C74" s="48" t="s">
        <v>465</v>
      </c>
      <c r="D74" s="48"/>
      <c r="E74" s="48"/>
      <c r="F74" s="48"/>
      <c r="G74" s="48"/>
      <c r="H74" s="48" t="s">
        <v>765</v>
      </c>
      <c r="I74" s="49" t="n">
        <f aca="false">SUMPRODUCT(E75:E87,I75:I87)</f>
        <v>476934</v>
      </c>
      <c r="J74" s="49" t="n">
        <f aca="false">SUM(J75:J87)</f>
        <v>416934</v>
      </c>
      <c r="K74" s="48"/>
      <c r="L74" s="48"/>
      <c r="M74" s="48"/>
    </row>
    <row r="75" customFormat="false" ht="52.2" hidden="false" customHeight="false" outlineLevel="1" collapsed="false">
      <c r="A75" s="27"/>
      <c r="B75" s="27" t="s">
        <v>3040</v>
      </c>
      <c r="C75" s="7" t="s">
        <v>3041</v>
      </c>
      <c r="D75" s="27" t="s">
        <v>727</v>
      </c>
      <c r="E75" s="50" t="n">
        <v>2</v>
      </c>
      <c r="F75" s="50" t="n">
        <v>2</v>
      </c>
      <c r="G75" s="27" t="s">
        <v>767</v>
      </c>
      <c r="H75" s="50" t="n">
        <f aca="false">F75</f>
        <v>2</v>
      </c>
      <c r="I75" s="51" t="n">
        <v>11925</v>
      </c>
      <c r="J75" s="28" t="n">
        <f aca="false">H75*I75</f>
        <v>23850</v>
      </c>
      <c r="K75" s="52" t="s">
        <v>548</v>
      </c>
      <c r="L75" s="7" t="s">
        <v>3042</v>
      </c>
      <c r="M75" s="7"/>
    </row>
    <row r="76" customFormat="false" ht="26.85" hidden="false" customHeight="false" outlineLevel="1" collapsed="false">
      <c r="A76" s="27"/>
      <c r="B76" s="27" t="s">
        <v>3040</v>
      </c>
      <c r="C76" s="7" t="s">
        <v>3043</v>
      </c>
      <c r="D76" s="27" t="s">
        <v>816</v>
      </c>
      <c r="E76" s="50" t="n">
        <v>1</v>
      </c>
      <c r="F76" s="50" t="n">
        <v>1</v>
      </c>
      <c r="G76" s="27" t="s">
        <v>767</v>
      </c>
      <c r="H76" s="50" t="n">
        <f aca="false">F76</f>
        <v>1</v>
      </c>
      <c r="I76" s="51" t="n">
        <v>2500</v>
      </c>
      <c r="J76" s="28" t="n">
        <f aca="false">H76*I76</f>
        <v>2500</v>
      </c>
      <c r="K76" s="53" t="s">
        <v>551</v>
      </c>
      <c r="L76" s="7" t="s">
        <v>2317</v>
      </c>
      <c r="M76" s="7"/>
    </row>
    <row r="77" customFormat="false" ht="26.85" hidden="false" customHeight="false" outlineLevel="1" collapsed="false">
      <c r="A77" s="27"/>
      <c r="B77" s="27" t="s">
        <v>3040</v>
      </c>
      <c r="C77" s="7" t="s">
        <v>3044</v>
      </c>
      <c r="D77" s="27" t="s">
        <v>727</v>
      </c>
      <c r="E77" s="50" t="n">
        <v>1</v>
      </c>
      <c r="F77" s="50" t="n">
        <v>1</v>
      </c>
      <c r="G77" s="27" t="s">
        <v>767</v>
      </c>
      <c r="H77" s="50" t="n">
        <f aca="false">F77</f>
        <v>1</v>
      </c>
      <c r="I77" s="51" t="n">
        <v>4000</v>
      </c>
      <c r="J77" s="28" t="n">
        <f aca="false">H77*I77</f>
        <v>4000</v>
      </c>
      <c r="K77" s="53" t="s">
        <v>551</v>
      </c>
      <c r="L77" s="7" t="s">
        <v>2317</v>
      </c>
      <c r="M77" s="7"/>
    </row>
    <row r="78" customFormat="false" ht="26.85" hidden="false" customHeight="false" outlineLevel="1" collapsed="false">
      <c r="A78" s="27"/>
      <c r="B78" s="27" t="s">
        <v>3040</v>
      </c>
      <c r="C78" s="7" t="s">
        <v>3045</v>
      </c>
      <c r="D78" s="27" t="s">
        <v>816</v>
      </c>
      <c r="E78" s="50" t="n">
        <v>2</v>
      </c>
      <c r="F78" s="50" t="n">
        <v>2</v>
      </c>
      <c r="G78" s="27" t="s">
        <v>767</v>
      </c>
      <c r="H78" s="50" t="n">
        <f aca="false">F78</f>
        <v>2</v>
      </c>
      <c r="I78" s="51" t="n">
        <v>6000</v>
      </c>
      <c r="J78" s="28" t="n">
        <f aca="false">H78*I78</f>
        <v>12000</v>
      </c>
      <c r="K78" s="53" t="s">
        <v>551</v>
      </c>
      <c r="L78" s="7" t="s">
        <v>2447</v>
      </c>
      <c r="M78" s="7"/>
    </row>
    <row r="79" customFormat="false" ht="26.85" hidden="false" customHeight="false" outlineLevel="1" collapsed="false">
      <c r="A79" s="27"/>
      <c r="B79" s="27" t="s">
        <v>3040</v>
      </c>
      <c r="C79" s="7" t="s">
        <v>3046</v>
      </c>
      <c r="D79" s="27" t="s">
        <v>816</v>
      </c>
      <c r="E79" s="50" t="n">
        <v>1</v>
      </c>
      <c r="F79" s="50" t="n">
        <v>1</v>
      </c>
      <c r="G79" s="27" t="s">
        <v>767</v>
      </c>
      <c r="H79" s="50" t="n">
        <f aca="false">F79</f>
        <v>1</v>
      </c>
      <c r="I79" s="51" t="n">
        <v>5000</v>
      </c>
      <c r="J79" s="28" t="n">
        <f aca="false">H79*I79</f>
        <v>5000</v>
      </c>
      <c r="K79" s="53" t="s">
        <v>551</v>
      </c>
      <c r="L79" s="7" t="s">
        <v>2447</v>
      </c>
      <c r="M79" s="7"/>
    </row>
    <row r="80" customFormat="false" ht="26.85" hidden="false" customHeight="false" outlineLevel="1" collapsed="false">
      <c r="A80" s="27"/>
      <c r="B80" s="27" t="s">
        <v>3040</v>
      </c>
      <c r="C80" s="7" t="s">
        <v>3047</v>
      </c>
      <c r="D80" s="27" t="s">
        <v>816</v>
      </c>
      <c r="E80" s="50" t="n">
        <v>2</v>
      </c>
      <c r="F80" s="50" t="n">
        <v>2</v>
      </c>
      <c r="G80" s="27" t="s">
        <v>767</v>
      </c>
      <c r="H80" s="50" t="n">
        <f aca="false">F80</f>
        <v>2</v>
      </c>
      <c r="I80" s="51" t="n">
        <v>4000</v>
      </c>
      <c r="J80" s="28" t="n">
        <f aca="false">H80*I80</f>
        <v>8000</v>
      </c>
      <c r="K80" s="53" t="s">
        <v>551</v>
      </c>
      <c r="L80" s="7" t="s">
        <v>2447</v>
      </c>
      <c r="M80" s="7"/>
    </row>
    <row r="81" customFormat="false" ht="39.55" hidden="false" customHeight="false" outlineLevel="1" collapsed="false">
      <c r="A81" s="27"/>
      <c r="B81" s="27" t="s">
        <v>3040</v>
      </c>
      <c r="C81" s="7" t="s">
        <v>3048</v>
      </c>
      <c r="D81" s="27" t="s">
        <v>732</v>
      </c>
      <c r="E81" s="50" t="n">
        <v>1</v>
      </c>
      <c r="F81" s="50" t="n">
        <v>1</v>
      </c>
      <c r="G81" s="27" t="s">
        <v>767</v>
      </c>
      <c r="H81" s="50" t="n">
        <f aca="false">F81</f>
        <v>1</v>
      </c>
      <c r="I81" s="51" t="n">
        <v>143284</v>
      </c>
      <c r="J81" s="28" t="n">
        <f aca="false">H81*I81</f>
        <v>143284</v>
      </c>
      <c r="K81" s="52" t="s">
        <v>548</v>
      </c>
      <c r="L81" s="7" t="s">
        <v>3049</v>
      </c>
      <c r="M81" s="7" t="s">
        <v>3050</v>
      </c>
    </row>
    <row r="82" customFormat="false" ht="26.85" hidden="false" customHeight="false" outlineLevel="1" collapsed="false">
      <c r="A82" s="27"/>
      <c r="B82" s="27" t="s">
        <v>3040</v>
      </c>
      <c r="C82" s="7" t="s">
        <v>3051</v>
      </c>
      <c r="D82" s="27" t="s">
        <v>732</v>
      </c>
      <c r="E82" s="50" t="n">
        <v>1</v>
      </c>
      <c r="F82" s="50" t="n">
        <v>1</v>
      </c>
      <c r="G82" s="27" t="s">
        <v>767</v>
      </c>
      <c r="H82" s="50" t="n">
        <f aca="false">F82</f>
        <v>1</v>
      </c>
      <c r="I82" s="51" t="n">
        <v>40000</v>
      </c>
      <c r="J82" s="28" t="n">
        <f aca="false">H82*I82</f>
        <v>40000</v>
      </c>
      <c r="K82" s="53" t="s">
        <v>551</v>
      </c>
      <c r="L82" s="7" t="s">
        <v>2447</v>
      </c>
      <c r="M82" s="7"/>
    </row>
    <row r="83" customFormat="false" ht="26.85" hidden="false" customHeight="false" outlineLevel="1" collapsed="false">
      <c r="A83" s="27"/>
      <c r="B83" s="27" t="s">
        <v>3040</v>
      </c>
      <c r="C83" s="7" t="s">
        <v>3052</v>
      </c>
      <c r="D83" s="27" t="s">
        <v>732</v>
      </c>
      <c r="E83" s="50" t="n">
        <v>1</v>
      </c>
      <c r="F83" s="50" t="n">
        <v>1</v>
      </c>
      <c r="G83" s="27" t="s">
        <v>767</v>
      </c>
      <c r="H83" s="50" t="n">
        <f aca="false">F83</f>
        <v>1</v>
      </c>
      <c r="I83" s="51" t="n">
        <v>40000</v>
      </c>
      <c r="J83" s="28" t="n">
        <f aca="false">H83*I83</f>
        <v>40000</v>
      </c>
      <c r="K83" s="53" t="s">
        <v>551</v>
      </c>
      <c r="L83" s="7" t="s">
        <v>2447</v>
      </c>
      <c r="M83" s="7"/>
    </row>
    <row r="84" customFormat="false" ht="26.85" hidden="false" customHeight="false" outlineLevel="1" collapsed="false">
      <c r="A84" s="27"/>
      <c r="B84" s="27" t="s">
        <v>3040</v>
      </c>
      <c r="C84" s="7" t="s">
        <v>3053</v>
      </c>
      <c r="D84" s="27" t="s">
        <v>3054</v>
      </c>
      <c r="E84" s="50" t="n">
        <v>12</v>
      </c>
      <c r="F84" s="50" t="n">
        <v>12</v>
      </c>
      <c r="G84" s="27" t="s">
        <v>767</v>
      </c>
      <c r="H84" s="50" t="n">
        <f aca="false">F84</f>
        <v>12</v>
      </c>
      <c r="I84" s="51" t="n">
        <v>9000</v>
      </c>
      <c r="J84" s="28" t="n">
        <f aca="false">H84*I84</f>
        <v>108000</v>
      </c>
      <c r="K84" s="53" t="s">
        <v>551</v>
      </c>
      <c r="L84" s="7" t="s">
        <v>3055</v>
      </c>
      <c r="M84" s="7"/>
    </row>
    <row r="85" customFormat="false" ht="39.55" hidden="false" customHeight="false" outlineLevel="1" collapsed="false">
      <c r="A85" s="27"/>
      <c r="B85" s="27" t="s">
        <v>3040</v>
      </c>
      <c r="C85" s="7" t="s">
        <v>3056</v>
      </c>
      <c r="D85" s="27" t="s">
        <v>732</v>
      </c>
      <c r="E85" s="50" t="n">
        <v>1</v>
      </c>
      <c r="F85" s="50" t="n">
        <v>1</v>
      </c>
      <c r="G85" s="27" t="s">
        <v>767</v>
      </c>
      <c r="H85" s="50" t="n">
        <f aca="false">F85</f>
        <v>1</v>
      </c>
      <c r="I85" s="51" t="n">
        <v>22300</v>
      </c>
      <c r="J85" s="28" t="n">
        <f aca="false">H85*I85</f>
        <v>22300</v>
      </c>
      <c r="K85" s="52" t="s">
        <v>548</v>
      </c>
      <c r="L85" s="7" t="s">
        <v>3057</v>
      </c>
      <c r="M85" s="7" t="s">
        <v>2039</v>
      </c>
    </row>
    <row r="86" customFormat="false" ht="26.85" hidden="false" customHeight="false" outlineLevel="1" collapsed="false">
      <c r="A86" s="27"/>
      <c r="B86" s="27" t="s">
        <v>3040</v>
      </c>
      <c r="C86" s="7" t="s">
        <v>3058</v>
      </c>
      <c r="D86" s="27" t="s">
        <v>732</v>
      </c>
      <c r="E86" s="50" t="n">
        <v>1</v>
      </c>
      <c r="F86" s="50" t="n">
        <v>1</v>
      </c>
      <c r="G86" s="27" t="s">
        <v>767</v>
      </c>
      <c r="H86" s="50" t="n">
        <f aca="false">F86</f>
        <v>1</v>
      </c>
      <c r="I86" s="51" t="n">
        <v>8000</v>
      </c>
      <c r="J86" s="28" t="n">
        <f aca="false">H86*I86</f>
        <v>8000</v>
      </c>
      <c r="K86" s="53" t="s">
        <v>551</v>
      </c>
      <c r="L86" s="7" t="s">
        <v>2447</v>
      </c>
      <c r="M86" s="7"/>
    </row>
    <row r="87" customFormat="false" ht="26.85" hidden="false" customHeight="false" outlineLevel="1" collapsed="false">
      <c r="A87" s="27"/>
      <c r="B87" s="27" t="s">
        <v>3040</v>
      </c>
      <c r="C87" s="7" t="s">
        <v>3059</v>
      </c>
      <c r="D87" s="27" t="s">
        <v>732</v>
      </c>
      <c r="E87" s="50" t="n">
        <v>1</v>
      </c>
      <c r="F87" s="54" t="n">
        <v>0</v>
      </c>
      <c r="G87" s="27" t="s">
        <v>767</v>
      </c>
      <c r="H87" s="50" t="n">
        <f aca="false">F87</f>
        <v>0</v>
      </c>
      <c r="I87" s="51" t="n">
        <v>60000</v>
      </c>
      <c r="J87" s="28" t="n">
        <f aca="false">H87*I87</f>
        <v>0</v>
      </c>
      <c r="K87" s="55" t="s">
        <v>555</v>
      </c>
      <c r="L87" s="7" t="s">
        <v>2317</v>
      </c>
      <c r="M87" s="7" t="s">
        <v>3060</v>
      </c>
    </row>
    <row r="88" customFormat="false" ht="15" hidden="false" customHeight="false" outlineLevel="0" collapsed="false">
      <c r="A88" s="48" t="s">
        <v>466</v>
      </c>
      <c r="B88" s="48" t="s">
        <v>3061</v>
      </c>
      <c r="C88" s="48" t="s">
        <v>467</v>
      </c>
      <c r="D88" s="48"/>
      <c r="E88" s="48"/>
      <c r="F88" s="48"/>
      <c r="G88" s="48"/>
      <c r="H88" s="48" t="s">
        <v>765</v>
      </c>
      <c r="I88" s="49" t="n">
        <f aca="false">SUMPRODUCT(E89:E89,I89:I89)</f>
        <v>319500</v>
      </c>
      <c r="J88" s="49" t="n">
        <f aca="false">SUM(J89:J89)</f>
        <v>298200</v>
      </c>
      <c r="K88" s="48"/>
      <c r="L88" s="48"/>
      <c r="M88" s="48"/>
    </row>
    <row r="89" customFormat="false" ht="39.55" hidden="false" customHeight="false" outlineLevel="1" collapsed="false">
      <c r="A89" s="27"/>
      <c r="B89" s="27" t="s">
        <v>3061</v>
      </c>
      <c r="C89" s="7" t="s">
        <v>3062</v>
      </c>
      <c r="D89" s="27" t="s">
        <v>3063</v>
      </c>
      <c r="E89" s="50" t="n">
        <v>15</v>
      </c>
      <c r="F89" s="54" t="n">
        <f aca="false">Varsayimlar!$B$10</f>
        <v>14</v>
      </c>
      <c r="G89" s="27" t="s">
        <v>767</v>
      </c>
      <c r="H89" s="50" t="n">
        <f aca="false">F89</f>
        <v>14</v>
      </c>
      <c r="I89" s="51" t="n">
        <v>21300</v>
      </c>
      <c r="J89" s="28" t="n">
        <f aca="false">H89*I89</f>
        <v>298200</v>
      </c>
      <c r="K89" s="62" t="s">
        <v>545</v>
      </c>
      <c r="L89" s="7" t="s">
        <v>3064</v>
      </c>
      <c r="M89" s="7" t="s">
        <v>3065</v>
      </c>
    </row>
    <row r="90" customFormat="false" ht="15" hidden="false" customHeight="false" outlineLevel="0" collapsed="false">
      <c r="A90" s="48" t="s">
        <v>468</v>
      </c>
      <c r="B90" s="48" t="s">
        <v>3066</v>
      </c>
      <c r="C90" s="48" t="s">
        <v>469</v>
      </c>
      <c r="D90" s="48"/>
      <c r="E90" s="48"/>
      <c r="F90" s="48"/>
      <c r="G90" s="48"/>
      <c r="H90" s="48" t="s">
        <v>765</v>
      </c>
      <c r="I90" s="49" t="n">
        <f aca="false">SUMPRODUCT(E91:E91,I91:I91)</f>
        <v>314500</v>
      </c>
      <c r="J90" s="49" t="n">
        <f aca="false">SUM(J91:J91)</f>
        <v>314500</v>
      </c>
      <c r="K90" s="48"/>
      <c r="L90" s="48"/>
      <c r="M90" s="48"/>
    </row>
    <row r="91" customFormat="false" ht="39.55" hidden="false" customHeight="false" outlineLevel="1" collapsed="false">
      <c r="A91" s="27"/>
      <c r="B91" s="27" t="s">
        <v>3066</v>
      </c>
      <c r="C91" s="7" t="s">
        <v>3067</v>
      </c>
      <c r="D91" s="27" t="s">
        <v>732</v>
      </c>
      <c r="E91" s="50" t="n">
        <v>1</v>
      </c>
      <c r="F91" s="50" t="n">
        <v>1</v>
      </c>
      <c r="G91" s="27" t="s">
        <v>767</v>
      </c>
      <c r="H91" s="50" t="n">
        <f aca="false">F91</f>
        <v>1</v>
      </c>
      <c r="I91" s="51" t="n">
        <v>314500</v>
      </c>
      <c r="J91" s="28" t="n">
        <f aca="false">H91*I91</f>
        <v>314500</v>
      </c>
      <c r="K91" s="62" t="s">
        <v>545</v>
      </c>
      <c r="L91" s="7" t="s">
        <v>3068</v>
      </c>
      <c r="M91" s="7" t="s">
        <v>3069</v>
      </c>
    </row>
    <row r="92" customFormat="false" ht="15" hidden="false" customHeight="false" outlineLevel="0" collapsed="false">
      <c r="A92" s="48" t="s">
        <v>470</v>
      </c>
      <c r="B92" s="48" t="s">
        <v>3070</v>
      </c>
      <c r="C92" s="48" t="s">
        <v>471</v>
      </c>
      <c r="D92" s="48"/>
      <c r="E92" s="48"/>
      <c r="F92" s="48"/>
      <c r="G92" s="48"/>
      <c r="H92" s="48" t="s">
        <v>765</v>
      </c>
      <c r="I92" s="49" t="n">
        <f aca="false">SUMPRODUCT(E93:E93,I93:I93)</f>
        <v>154000</v>
      </c>
      <c r="J92" s="49" t="n">
        <f aca="false">SUM(J93:J93)</f>
        <v>154000</v>
      </c>
      <c r="K92" s="48"/>
      <c r="L92" s="48"/>
      <c r="M92" s="48"/>
    </row>
    <row r="93" customFormat="false" ht="26.85" hidden="false" customHeight="false" outlineLevel="1" collapsed="false">
      <c r="A93" s="27"/>
      <c r="B93" s="27" t="s">
        <v>3070</v>
      </c>
      <c r="C93" s="7" t="s">
        <v>3071</v>
      </c>
      <c r="D93" s="27" t="s">
        <v>732</v>
      </c>
      <c r="E93" s="50" t="n">
        <v>1</v>
      </c>
      <c r="F93" s="50" t="n">
        <v>1</v>
      </c>
      <c r="G93" s="27" t="s">
        <v>767</v>
      </c>
      <c r="H93" s="50" t="n">
        <f aca="false">F93</f>
        <v>1</v>
      </c>
      <c r="I93" s="51" t="n">
        <v>154000</v>
      </c>
      <c r="J93" s="28" t="n">
        <f aca="false">H93*I93</f>
        <v>154000</v>
      </c>
      <c r="K93" s="62" t="s">
        <v>545</v>
      </c>
      <c r="L93" s="7" t="s">
        <v>3068</v>
      </c>
      <c r="M93" s="7"/>
    </row>
    <row r="95" customFormat="false" ht="15" hidden="false" customHeight="false" outlineLevel="0" collapsed="false">
      <c r="C95" s="14" t="s">
        <v>1660</v>
      </c>
      <c r="J95" s="56" t="n">
        <f aca="false">J5+J7+J47+J66+J74+J88+J90+J92</f>
        <v>4086007.03190758</v>
      </c>
    </row>
    <row r="96" customFormat="false" ht="15" hidden="false" customHeight="false" outlineLevel="0" collapsed="false">
      <c r="C96" s="14" t="s">
        <v>1661</v>
      </c>
      <c r="J96" s="56" t="n">
        <f aca="false">I5+I7+I47+I66+I74+I88+I90+I92</f>
        <v>3958378.09</v>
      </c>
    </row>
    <row r="97" customFormat="false" ht="15" hidden="false" customHeight="false" outlineLevel="0" collapsed="false">
      <c r="C97" s="14" t="s">
        <v>1662</v>
      </c>
      <c r="J97" s="56" t="n">
        <f aca="false">J95-J96</f>
        <v>127628.941907583</v>
      </c>
    </row>
    <row r="99" customFormat="false" ht="15" hidden="false" customHeight="false" outlineLevel="0" collapsed="false">
      <c r="C99" s="19" t="s">
        <v>1663</v>
      </c>
    </row>
    <row r="100" customFormat="false" ht="15" hidden="false" customHeight="false" outlineLevel="0" collapsed="false">
      <c r="C100" s="57" t="s">
        <v>545</v>
      </c>
      <c r="J100" s="23" t="n">
        <f aca="false">SUMIF($K$5:$K$93,"2026 TEKLİF",$J$5:$J$93)</f>
        <v>766700</v>
      </c>
      <c r="K100" s="58" t="n">
        <f aca="false">IF($J$95=0,0,J100/$J$95)</f>
        <v>0.187640401500254</v>
      </c>
    </row>
    <row r="101" customFormat="false" ht="15" hidden="false" customHeight="false" outlineLevel="0" collapsed="false">
      <c r="C101" s="59" t="s">
        <v>548</v>
      </c>
      <c r="J101" s="23" t="n">
        <f aca="false">SUMIF($K$5:$K$93,"GEÇMİŞ TEKLİF UYARLAMA",$J$5:$J$93)</f>
        <v>2837799.22466814</v>
      </c>
      <c r="K101" s="58" t="n">
        <f aca="false">IF($J$95=0,0,J101/$J$95)</f>
        <v>0.694516480884101</v>
      </c>
    </row>
    <row r="102" customFormat="false" ht="15" hidden="false" customHeight="false" outlineLevel="0" collapsed="false">
      <c r="C102" s="60" t="s">
        <v>551</v>
      </c>
      <c r="J102" s="23" t="n">
        <f aca="false">SUMIF($K$5:$K$93,"MÜHENDİSLİK TAHMİNİ",$J$5:$J$93)</f>
        <v>481507.807239439</v>
      </c>
      <c r="K102" s="58" t="n">
        <f aca="false">IF($J$95=0,0,J102/$J$95)</f>
        <v>0.117843117615645</v>
      </c>
    </row>
    <row r="103" customFormat="false" ht="15" hidden="false" customHeight="false" outlineLevel="0" collapsed="false">
      <c r="C103" s="61" t="s">
        <v>1664</v>
      </c>
      <c r="J103" s="23" t="n">
        <f aca="false">SUMPRODUCT(($K$5:$K$93="KAPSAM DIŞI (0)")*$E$5:$E$93*$I$5:$I$93)</f>
        <v>434995.6</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3072</v>
      </c>
    </row>
    <row r="2" customFormat="false" ht="48" hidden="false" customHeight="true" outlineLevel="0" collapsed="false">
      <c r="A2" s="2" t="s">
        <v>753</v>
      </c>
      <c r="B2" s="2"/>
      <c r="C2" s="2"/>
      <c r="D2" s="2"/>
      <c r="E2" s="2"/>
      <c r="F2" s="2"/>
      <c r="G2" s="2"/>
      <c r="H2" s="2"/>
      <c r="I2" s="2"/>
      <c r="J2" s="2"/>
      <c r="K2" s="2"/>
      <c r="L2" s="2"/>
      <c r="M2" s="2"/>
    </row>
    <row r="3" customFormat="false" ht="21.75" hidden="false" customHeight="true" outlineLevel="0" collapsed="false">
      <c r="A3" s="46" t="s">
        <v>754</v>
      </c>
      <c r="B3" s="46"/>
      <c r="C3" s="47" t="str">
        <f aca="false">"Kalem bazlı toplam: "&amp;TEXT(J125,"#,##0")&amp;" €   |   2026 teklif: "&amp;TEXT(K130,"0%")&amp;"   |   Geçmiş teklif uyarlaması: "&amp;TEXT(K131,"0%")&amp;"   |   Tahmin: "&amp;TEXT(K132,"0%")&amp;"   |   Kalem kalem görmek için sol kenardaki [+] / [1][2] düğmelerini kullanın"</f>
        <v>Kalem bazlı toplam: 6,526,541 €   |   2026 teklif: 0%   |   Geçmiş teklif uyarlaması: 79%   |   Tahmin: 21%   |   Kalem kalem görmek için sol kenardaki [+] / [1][2] düğmelerini kullanın</v>
      </c>
      <c r="D3" s="47"/>
      <c r="E3" s="47"/>
      <c r="F3" s="47"/>
      <c r="G3" s="47"/>
      <c r="H3" s="47"/>
      <c r="I3" s="47"/>
      <c r="J3" s="47"/>
      <c r="K3" s="47"/>
      <c r="L3" s="47"/>
      <c r="M3" s="47"/>
    </row>
    <row r="4" customFormat="false" ht="42" hidden="false" customHeight="true" outlineLevel="0" collapsed="false">
      <c r="A4" s="3" t="s">
        <v>120</v>
      </c>
      <c r="B4" s="3" t="s">
        <v>755</v>
      </c>
      <c r="C4" s="3" t="s">
        <v>756</v>
      </c>
      <c r="D4" s="3" t="s">
        <v>720</v>
      </c>
      <c r="E4" s="3" t="s">
        <v>757</v>
      </c>
      <c r="F4" s="3" t="s">
        <v>758</v>
      </c>
      <c r="G4" s="3" t="s">
        <v>759</v>
      </c>
      <c r="H4" s="3" t="s">
        <v>760</v>
      </c>
      <c r="I4" s="3" t="s">
        <v>761</v>
      </c>
      <c r="J4" s="3" t="s">
        <v>122</v>
      </c>
      <c r="K4" s="3" t="s">
        <v>95</v>
      </c>
      <c r="L4" s="3" t="s">
        <v>762</v>
      </c>
      <c r="M4" s="3" t="s">
        <v>763</v>
      </c>
    </row>
    <row r="5" customFormat="false" ht="15" hidden="false" customHeight="false" outlineLevel="0" collapsed="false">
      <c r="A5" s="48" t="s">
        <v>473</v>
      </c>
      <c r="B5" s="48" t="s">
        <v>3073</v>
      </c>
      <c r="C5" s="48" t="s">
        <v>474</v>
      </c>
      <c r="D5" s="48"/>
      <c r="E5" s="48"/>
      <c r="F5" s="48"/>
      <c r="G5" s="48"/>
      <c r="H5" s="48" t="s">
        <v>765</v>
      </c>
      <c r="I5" s="49" t="n">
        <f aca="false">SUMPRODUCT(E6:E7,I6:I7)</f>
        <v>190000</v>
      </c>
      <c r="J5" s="49" t="n">
        <f aca="false">SUM(J6:J7)</f>
        <v>190000</v>
      </c>
      <c r="K5" s="48"/>
      <c r="L5" s="48"/>
      <c r="M5" s="48"/>
    </row>
    <row r="6" customFormat="false" ht="52.2" hidden="false" customHeight="false" outlineLevel="1" collapsed="false">
      <c r="A6" s="27"/>
      <c r="B6" s="27" t="s">
        <v>3073</v>
      </c>
      <c r="C6" s="7" t="s">
        <v>3074</v>
      </c>
      <c r="D6" s="27" t="s">
        <v>732</v>
      </c>
      <c r="E6" s="50" t="n">
        <v>1</v>
      </c>
      <c r="F6" s="50" t="n">
        <v>1</v>
      </c>
      <c r="G6" s="27" t="s">
        <v>767</v>
      </c>
      <c r="H6" s="50" t="n">
        <f aca="false">F6</f>
        <v>1</v>
      </c>
      <c r="I6" s="51" t="n">
        <v>150000</v>
      </c>
      <c r="J6" s="28" t="n">
        <f aca="false">H6*I6</f>
        <v>150000</v>
      </c>
      <c r="K6" s="52" t="s">
        <v>548</v>
      </c>
      <c r="L6" s="7" t="s">
        <v>3075</v>
      </c>
      <c r="M6" s="7"/>
    </row>
    <row r="7" customFormat="false" ht="26.85" hidden="false" customHeight="false" outlineLevel="1" collapsed="false">
      <c r="A7" s="27"/>
      <c r="B7" s="27" t="s">
        <v>3073</v>
      </c>
      <c r="C7" s="7" t="s">
        <v>3076</v>
      </c>
      <c r="D7" s="27" t="s">
        <v>732</v>
      </c>
      <c r="E7" s="50" t="n">
        <v>1</v>
      </c>
      <c r="F7" s="50" t="n">
        <v>1</v>
      </c>
      <c r="G7" s="27" t="s">
        <v>767</v>
      </c>
      <c r="H7" s="50" t="n">
        <f aca="false">F7</f>
        <v>1</v>
      </c>
      <c r="I7" s="51" t="n">
        <v>40000</v>
      </c>
      <c r="J7" s="28" t="n">
        <f aca="false">H7*I7</f>
        <v>40000</v>
      </c>
      <c r="K7" s="53" t="s">
        <v>551</v>
      </c>
      <c r="L7" s="7" t="s">
        <v>2447</v>
      </c>
      <c r="M7" s="7"/>
    </row>
    <row r="8" customFormat="false" ht="15" hidden="false" customHeight="false" outlineLevel="0" collapsed="false">
      <c r="A8" s="48" t="s">
        <v>475</v>
      </c>
      <c r="B8" s="48" t="s">
        <v>3077</v>
      </c>
      <c r="C8" s="48" t="s">
        <v>476</v>
      </c>
      <c r="D8" s="48"/>
      <c r="E8" s="48"/>
      <c r="F8" s="48"/>
      <c r="G8" s="48"/>
      <c r="H8" s="48" t="s">
        <v>765</v>
      </c>
      <c r="I8" s="49" t="n">
        <f aca="false">SUMPRODUCT(E9:E15,I9:I15)</f>
        <v>355460</v>
      </c>
      <c r="J8" s="49" t="n">
        <f aca="false">SUM(J9:J15)</f>
        <v>401110.48</v>
      </c>
      <c r="K8" s="48"/>
      <c r="L8" s="48"/>
      <c r="M8" s="48"/>
    </row>
    <row r="9" customFormat="false" ht="64.9" hidden="false" customHeight="false" outlineLevel="1" collapsed="false">
      <c r="A9" s="27"/>
      <c r="B9" s="27" t="s">
        <v>3077</v>
      </c>
      <c r="C9" s="7" t="s">
        <v>3078</v>
      </c>
      <c r="D9" s="27" t="s">
        <v>853</v>
      </c>
      <c r="E9" s="50" t="n">
        <v>21000</v>
      </c>
      <c r="F9" s="54" t="n">
        <f aca="false">3*Varsayimlar!$B$12</f>
        <v>23892</v>
      </c>
      <c r="G9" s="27" t="s">
        <v>767</v>
      </c>
      <c r="H9" s="50" t="n">
        <f aca="false">F9</f>
        <v>23892</v>
      </c>
      <c r="I9" s="51" t="n">
        <v>13.19</v>
      </c>
      <c r="J9" s="28" t="n">
        <f aca="false">H9*I9</f>
        <v>315135.48</v>
      </c>
      <c r="K9" s="52" t="s">
        <v>548</v>
      </c>
      <c r="L9" s="7" t="s">
        <v>3079</v>
      </c>
      <c r="M9" s="7" t="s">
        <v>3080</v>
      </c>
    </row>
    <row r="10" customFormat="false" ht="39.55" hidden="false" customHeight="false" outlineLevel="1" collapsed="false">
      <c r="A10" s="27"/>
      <c r="B10" s="27" t="s">
        <v>3077</v>
      </c>
      <c r="C10" s="7" t="s">
        <v>3081</v>
      </c>
      <c r="D10" s="27" t="s">
        <v>727</v>
      </c>
      <c r="E10" s="50" t="n">
        <v>24</v>
      </c>
      <c r="F10" s="50" t="n">
        <v>24</v>
      </c>
      <c r="G10" s="27" t="s">
        <v>767</v>
      </c>
      <c r="H10" s="50" t="n">
        <f aca="false">F10</f>
        <v>24</v>
      </c>
      <c r="I10" s="51" t="n">
        <v>465</v>
      </c>
      <c r="J10" s="28" t="n">
        <f aca="false">H10*I10</f>
        <v>11160</v>
      </c>
      <c r="K10" s="52" t="s">
        <v>548</v>
      </c>
      <c r="L10" s="7" t="s">
        <v>3082</v>
      </c>
      <c r="M10" s="7" t="s">
        <v>2523</v>
      </c>
    </row>
    <row r="11" customFormat="false" ht="39.55" hidden="false" customHeight="false" outlineLevel="1" collapsed="false">
      <c r="A11" s="27"/>
      <c r="B11" s="27" t="s">
        <v>3077</v>
      </c>
      <c r="C11" s="7" t="s">
        <v>3083</v>
      </c>
      <c r="D11" s="27" t="s">
        <v>727</v>
      </c>
      <c r="E11" s="50" t="n">
        <v>33</v>
      </c>
      <c r="F11" s="54" t="n">
        <f aca="false">ROUND(33*Varsayimlar!$B$12/Varsayimlar!$B$11,0)</f>
        <v>38</v>
      </c>
      <c r="G11" s="27" t="s">
        <v>767</v>
      </c>
      <c r="H11" s="50" t="n">
        <f aca="false">F11</f>
        <v>38</v>
      </c>
      <c r="I11" s="51" t="n">
        <v>370</v>
      </c>
      <c r="J11" s="28" t="n">
        <f aca="false">H11*I11</f>
        <v>14060</v>
      </c>
      <c r="K11" s="52" t="s">
        <v>548</v>
      </c>
      <c r="L11" s="7" t="s">
        <v>3084</v>
      </c>
      <c r="M11" s="7" t="s">
        <v>3085</v>
      </c>
    </row>
    <row r="12" customFormat="false" ht="39.55" hidden="false" customHeight="false" outlineLevel="1" collapsed="false">
      <c r="A12" s="27"/>
      <c r="B12" s="27" t="s">
        <v>3077</v>
      </c>
      <c r="C12" s="7" t="s">
        <v>3086</v>
      </c>
      <c r="D12" s="27" t="s">
        <v>727</v>
      </c>
      <c r="E12" s="50" t="n">
        <v>6500</v>
      </c>
      <c r="F12" s="54" t="n">
        <f aca="false">ROUND(6500*Varsayimlar!$B$12/Varsayimlar!$B$11,0)</f>
        <v>7395</v>
      </c>
      <c r="G12" s="27" t="s">
        <v>767</v>
      </c>
      <c r="H12" s="50" t="n">
        <f aca="false">F12</f>
        <v>7395</v>
      </c>
      <c r="I12" s="51" t="n">
        <v>6</v>
      </c>
      <c r="J12" s="28" t="n">
        <f aca="false">H12*I12</f>
        <v>44370</v>
      </c>
      <c r="K12" s="53" t="s">
        <v>551</v>
      </c>
      <c r="L12" s="7" t="s">
        <v>3087</v>
      </c>
      <c r="M12" s="7" t="s">
        <v>3088</v>
      </c>
    </row>
    <row r="13" customFormat="false" ht="26.85" hidden="false" customHeight="false" outlineLevel="1" collapsed="false">
      <c r="A13" s="27"/>
      <c r="B13" s="27" t="s">
        <v>3077</v>
      </c>
      <c r="C13" s="7" t="s">
        <v>3089</v>
      </c>
      <c r="D13" s="27" t="s">
        <v>727</v>
      </c>
      <c r="E13" s="50" t="n">
        <v>10</v>
      </c>
      <c r="F13" s="50" t="n">
        <v>10</v>
      </c>
      <c r="G13" s="27" t="s">
        <v>767</v>
      </c>
      <c r="H13" s="50" t="n">
        <f aca="false">F13</f>
        <v>10</v>
      </c>
      <c r="I13" s="51" t="n">
        <v>200</v>
      </c>
      <c r="J13" s="28" t="n">
        <f aca="false">H13*I13</f>
        <v>2000</v>
      </c>
      <c r="K13" s="53" t="s">
        <v>551</v>
      </c>
      <c r="L13" s="7" t="s">
        <v>2317</v>
      </c>
      <c r="M13" s="7"/>
    </row>
    <row r="14" customFormat="false" ht="26.85" hidden="false" customHeight="false" outlineLevel="1" collapsed="false">
      <c r="A14" s="27"/>
      <c r="B14" s="27" t="s">
        <v>3077</v>
      </c>
      <c r="C14" s="7" t="s">
        <v>3090</v>
      </c>
      <c r="D14" s="27" t="s">
        <v>727</v>
      </c>
      <c r="E14" s="50" t="n">
        <v>140</v>
      </c>
      <c r="F14" s="54" t="n">
        <f aca="false">ROUND(140*Varsayimlar!$B$12/Varsayimlar!$B$11,0)</f>
        <v>159</v>
      </c>
      <c r="G14" s="27" t="s">
        <v>767</v>
      </c>
      <c r="H14" s="50" t="n">
        <f aca="false">F14</f>
        <v>159</v>
      </c>
      <c r="I14" s="51" t="n">
        <v>15</v>
      </c>
      <c r="J14" s="28" t="n">
        <f aca="false">H14*I14</f>
        <v>2385</v>
      </c>
      <c r="K14" s="53" t="s">
        <v>551</v>
      </c>
      <c r="L14" s="7" t="s">
        <v>2317</v>
      </c>
      <c r="M14" s="7"/>
    </row>
    <row r="15" customFormat="false" ht="26.85" hidden="false" customHeight="false" outlineLevel="1" collapsed="false">
      <c r="A15" s="27"/>
      <c r="B15" s="27" t="s">
        <v>3077</v>
      </c>
      <c r="C15" s="7" t="s">
        <v>3091</v>
      </c>
      <c r="D15" s="27" t="s">
        <v>732</v>
      </c>
      <c r="E15" s="50" t="n">
        <v>4</v>
      </c>
      <c r="F15" s="50" t="n">
        <v>4</v>
      </c>
      <c r="G15" s="27" t="s">
        <v>767</v>
      </c>
      <c r="H15" s="50" t="n">
        <f aca="false">F15</f>
        <v>4</v>
      </c>
      <c r="I15" s="51" t="n">
        <v>3000</v>
      </c>
      <c r="J15" s="28" t="n">
        <f aca="false">H15*I15</f>
        <v>12000</v>
      </c>
      <c r="K15" s="53" t="s">
        <v>551</v>
      </c>
      <c r="L15" s="7" t="s">
        <v>2447</v>
      </c>
      <c r="M15" s="7"/>
    </row>
    <row r="16" customFormat="false" ht="15" hidden="false" customHeight="false" outlineLevel="0" collapsed="false">
      <c r="A16" s="48" t="s">
        <v>477</v>
      </c>
      <c r="B16" s="48" t="s">
        <v>3092</v>
      </c>
      <c r="C16" s="48" t="s">
        <v>478</v>
      </c>
      <c r="D16" s="48"/>
      <c r="E16" s="48"/>
      <c r="F16" s="48"/>
      <c r="G16" s="48"/>
      <c r="H16" s="48" t="s">
        <v>765</v>
      </c>
      <c r="I16" s="49" t="n">
        <f aca="false">SUMPRODUCT(E17:E30,I17:I30)</f>
        <v>1323251.64</v>
      </c>
      <c r="J16" s="49" t="n">
        <f aca="false">SUM(J17:J30)</f>
        <v>1323251.64</v>
      </c>
      <c r="K16" s="48"/>
      <c r="L16" s="48"/>
      <c r="M16" s="48"/>
    </row>
    <row r="17" customFormat="false" ht="52.2" hidden="false" customHeight="false" outlineLevel="1" collapsed="false">
      <c r="A17" s="27"/>
      <c r="B17" s="27" t="s">
        <v>3092</v>
      </c>
      <c r="C17" s="7" t="s">
        <v>3093</v>
      </c>
      <c r="D17" s="27" t="s">
        <v>853</v>
      </c>
      <c r="E17" s="50" t="n">
        <v>35424</v>
      </c>
      <c r="F17" s="50" t="n">
        <v>35424</v>
      </c>
      <c r="G17" s="27" t="s">
        <v>767</v>
      </c>
      <c r="H17" s="50" t="n">
        <f aca="false">F17</f>
        <v>35424</v>
      </c>
      <c r="I17" s="51" t="n">
        <v>17.29</v>
      </c>
      <c r="J17" s="28" t="n">
        <f aca="false">H17*I17</f>
        <v>612480.96</v>
      </c>
      <c r="K17" s="52" t="s">
        <v>548</v>
      </c>
      <c r="L17" s="7" t="s">
        <v>3094</v>
      </c>
      <c r="M17" s="7" t="s">
        <v>3095</v>
      </c>
    </row>
    <row r="18" customFormat="false" ht="39.55" hidden="false" customHeight="false" outlineLevel="1" collapsed="false">
      <c r="A18" s="27"/>
      <c r="B18" s="27" t="s">
        <v>3092</v>
      </c>
      <c r="C18" s="7" t="s">
        <v>3096</v>
      </c>
      <c r="D18" s="27" t="s">
        <v>727</v>
      </c>
      <c r="E18" s="50" t="n">
        <v>16</v>
      </c>
      <c r="F18" s="50" t="n">
        <v>16</v>
      </c>
      <c r="G18" s="27" t="s">
        <v>767</v>
      </c>
      <c r="H18" s="50" t="n">
        <f aca="false">F18</f>
        <v>16</v>
      </c>
      <c r="I18" s="51" t="n">
        <v>620</v>
      </c>
      <c r="J18" s="28" t="n">
        <f aca="false">H18*I18</f>
        <v>9920</v>
      </c>
      <c r="K18" s="52" t="s">
        <v>548</v>
      </c>
      <c r="L18" s="7" t="s">
        <v>3097</v>
      </c>
      <c r="M18" s="7" t="s">
        <v>2264</v>
      </c>
    </row>
    <row r="19" customFormat="false" ht="39.55" hidden="false" customHeight="false" outlineLevel="1" collapsed="false">
      <c r="A19" s="27"/>
      <c r="B19" s="27" t="s">
        <v>3092</v>
      </c>
      <c r="C19" s="7" t="s">
        <v>3098</v>
      </c>
      <c r="D19" s="27" t="s">
        <v>727</v>
      </c>
      <c r="E19" s="50" t="n">
        <v>68</v>
      </c>
      <c r="F19" s="50" t="n">
        <v>68</v>
      </c>
      <c r="G19" s="27" t="s">
        <v>767</v>
      </c>
      <c r="H19" s="50" t="n">
        <f aca="false">F19</f>
        <v>68</v>
      </c>
      <c r="I19" s="51" t="n">
        <v>479</v>
      </c>
      <c r="J19" s="28" t="n">
        <f aca="false">H19*I19</f>
        <v>32572</v>
      </c>
      <c r="K19" s="52" t="s">
        <v>548</v>
      </c>
      <c r="L19" s="7" t="s">
        <v>3099</v>
      </c>
      <c r="M19" s="7" t="s">
        <v>2008</v>
      </c>
    </row>
    <row r="20" customFormat="false" ht="26.85" hidden="false" customHeight="false" outlineLevel="1" collapsed="false">
      <c r="A20" s="27"/>
      <c r="B20" s="27" t="s">
        <v>3092</v>
      </c>
      <c r="C20" s="7" t="s">
        <v>3100</v>
      </c>
      <c r="D20" s="27" t="s">
        <v>741</v>
      </c>
      <c r="E20" s="50" t="n">
        <v>9919</v>
      </c>
      <c r="F20" s="50" t="n">
        <v>9919</v>
      </c>
      <c r="G20" s="27" t="s">
        <v>767</v>
      </c>
      <c r="H20" s="50" t="n">
        <f aca="false">F20</f>
        <v>9919</v>
      </c>
      <c r="I20" s="51" t="n">
        <v>8</v>
      </c>
      <c r="J20" s="28" t="n">
        <f aca="false">H20*I20</f>
        <v>79352</v>
      </c>
      <c r="K20" s="53" t="s">
        <v>551</v>
      </c>
      <c r="L20" s="7" t="s">
        <v>3101</v>
      </c>
      <c r="M20" s="7"/>
    </row>
    <row r="21" customFormat="false" ht="39.55" hidden="false" customHeight="false" outlineLevel="1" collapsed="false">
      <c r="A21" s="27"/>
      <c r="B21" s="27" t="s">
        <v>3092</v>
      </c>
      <c r="C21" s="7" t="s">
        <v>3102</v>
      </c>
      <c r="D21" s="27" t="s">
        <v>853</v>
      </c>
      <c r="E21" s="50" t="n">
        <v>38966.4</v>
      </c>
      <c r="F21" s="50" t="n">
        <v>38966.4</v>
      </c>
      <c r="G21" s="27" t="s">
        <v>767</v>
      </c>
      <c r="H21" s="50" t="n">
        <f aca="false">F21</f>
        <v>38966.4</v>
      </c>
      <c r="I21" s="51" t="n">
        <v>6</v>
      </c>
      <c r="J21" s="28" t="n">
        <f aca="false">H21*I21</f>
        <v>233798.4</v>
      </c>
      <c r="K21" s="53" t="s">
        <v>551</v>
      </c>
      <c r="L21" s="7" t="s">
        <v>3103</v>
      </c>
      <c r="M21" s="7"/>
    </row>
    <row r="22" customFormat="false" ht="26.85" hidden="false" customHeight="false" outlineLevel="1" collapsed="false">
      <c r="A22" s="27"/>
      <c r="B22" s="27" t="s">
        <v>3092</v>
      </c>
      <c r="C22" s="7" t="s">
        <v>3104</v>
      </c>
      <c r="D22" s="27" t="s">
        <v>853</v>
      </c>
      <c r="E22" s="50" t="n">
        <v>4383.72</v>
      </c>
      <c r="F22" s="50" t="n">
        <v>4383.72</v>
      </c>
      <c r="G22" s="27" t="s">
        <v>767</v>
      </c>
      <c r="H22" s="50" t="n">
        <f aca="false">F22</f>
        <v>4383.72</v>
      </c>
      <c r="I22" s="51" t="n">
        <v>6</v>
      </c>
      <c r="J22" s="28" t="n">
        <f aca="false">H22*I22</f>
        <v>26302.32</v>
      </c>
      <c r="K22" s="53" t="s">
        <v>551</v>
      </c>
      <c r="L22" s="7" t="s">
        <v>2447</v>
      </c>
      <c r="M22" s="7"/>
    </row>
    <row r="23" customFormat="false" ht="26.85" hidden="false" customHeight="false" outlineLevel="1" collapsed="false">
      <c r="A23" s="27"/>
      <c r="B23" s="27" t="s">
        <v>3092</v>
      </c>
      <c r="C23" s="7" t="s">
        <v>3105</v>
      </c>
      <c r="D23" s="27" t="s">
        <v>741</v>
      </c>
      <c r="E23" s="50" t="n">
        <v>3542</v>
      </c>
      <c r="F23" s="50" t="n">
        <v>3542</v>
      </c>
      <c r="G23" s="27" t="s">
        <v>767</v>
      </c>
      <c r="H23" s="50" t="n">
        <f aca="false">F23</f>
        <v>3542</v>
      </c>
      <c r="I23" s="51" t="n">
        <v>18</v>
      </c>
      <c r="J23" s="28" t="n">
        <f aca="false">H23*I23</f>
        <v>63756</v>
      </c>
      <c r="K23" s="53" t="s">
        <v>551</v>
      </c>
      <c r="L23" s="7" t="s">
        <v>3106</v>
      </c>
      <c r="M23" s="7"/>
    </row>
    <row r="24" customFormat="false" ht="26.85" hidden="false" customHeight="false" outlineLevel="1" collapsed="false">
      <c r="A24" s="27"/>
      <c r="B24" s="27" t="s">
        <v>3092</v>
      </c>
      <c r="C24" s="7" t="s">
        <v>3107</v>
      </c>
      <c r="D24" s="27" t="s">
        <v>727</v>
      </c>
      <c r="E24" s="50" t="n">
        <v>44280</v>
      </c>
      <c r="F24" s="50" t="n">
        <v>44280</v>
      </c>
      <c r="G24" s="27" t="s">
        <v>767</v>
      </c>
      <c r="H24" s="50" t="n">
        <f aca="false">F24</f>
        <v>44280</v>
      </c>
      <c r="I24" s="51" t="n">
        <v>0.25</v>
      </c>
      <c r="J24" s="28" t="n">
        <f aca="false">H24*I24</f>
        <v>11070</v>
      </c>
      <c r="K24" s="53" t="s">
        <v>551</v>
      </c>
      <c r="L24" s="7" t="s">
        <v>2447</v>
      </c>
      <c r="M24" s="7"/>
    </row>
    <row r="25" customFormat="false" ht="26.85" hidden="false" customHeight="false" outlineLevel="1" collapsed="false">
      <c r="A25" s="27"/>
      <c r="B25" s="27" t="s">
        <v>3092</v>
      </c>
      <c r="C25" s="7" t="s">
        <v>3108</v>
      </c>
      <c r="D25" s="27" t="s">
        <v>853</v>
      </c>
      <c r="E25" s="50" t="n">
        <v>19483.2</v>
      </c>
      <c r="F25" s="50" t="n">
        <v>19483.2</v>
      </c>
      <c r="G25" s="27" t="s">
        <v>767</v>
      </c>
      <c r="H25" s="50" t="n">
        <f aca="false">F25</f>
        <v>19483.2</v>
      </c>
      <c r="I25" s="51" t="n">
        <v>0.3</v>
      </c>
      <c r="J25" s="28" t="n">
        <f aca="false">H25*I25</f>
        <v>5844.96</v>
      </c>
      <c r="K25" s="53" t="s">
        <v>551</v>
      </c>
      <c r="L25" s="7" t="s">
        <v>2447</v>
      </c>
      <c r="M25" s="7"/>
    </row>
    <row r="26" customFormat="false" ht="26.85" hidden="false" customHeight="false" outlineLevel="1" collapsed="false">
      <c r="A26" s="27"/>
      <c r="B26" s="27" t="s">
        <v>3092</v>
      </c>
      <c r="C26" s="7" t="s">
        <v>3109</v>
      </c>
      <c r="D26" s="27" t="s">
        <v>741</v>
      </c>
      <c r="E26" s="50" t="n">
        <v>709</v>
      </c>
      <c r="F26" s="50" t="n">
        <v>709</v>
      </c>
      <c r="G26" s="27" t="s">
        <v>767</v>
      </c>
      <c r="H26" s="50" t="n">
        <f aca="false">F26</f>
        <v>709</v>
      </c>
      <c r="I26" s="51" t="n">
        <v>75</v>
      </c>
      <c r="J26" s="28" t="n">
        <f aca="false">H26*I26</f>
        <v>53175</v>
      </c>
      <c r="K26" s="53" t="s">
        <v>551</v>
      </c>
      <c r="L26" s="7" t="s">
        <v>3110</v>
      </c>
      <c r="M26" s="7"/>
    </row>
    <row r="27" customFormat="false" ht="26.85" hidden="false" customHeight="false" outlineLevel="1" collapsed="false">
      <c r="A27" s="27"/>
      <c r="B27" s="27" t="s">
        <v>3092</v>
      </c>
      <c r="C27" s="7" t="s">
        <v>3111</v>
      </c>
      <c r="D27" s="27" t="s">
        <v>2355</v>
      </c>
      <c r="E27" s="50" t="n">
        <v>6200</v>
      </c>
      <c r="F27" s="50" t="n">
        <v>6200</v>
      </c>
      <c r="G27" s="27" t="s">
        <v>767</v>
      </c>
      <c r="H27" s="50" t="n">
        <f aca="false">F27</f>
        <v>6200</v>
      </c>
      <c r="I27" s="51" t="n">
        <v>25</v>
      </c>
      <c r="J27" s="28" t="n">
        <f aca="false">H27*I27</f>
        <v>155000</v>
      </c>
      <c r="K27" s="53" t="s">
        <v>551</v>
      </c>
      <c r="L27" s="7" t="s">
        <v>2447</v>
      </c>
      <c r="M27" s="7"/>
    </row>
    <row r="28" customFormat="false" ht="26.85" hidden="false" customHeight="false" outlineLevel="1" collapsed="false">
      <c r="A28" s="27"/>
      <c r="B28" s="27" t="s">
        <v>3092</v>
      </c>
      <c r="C28" s="7" t="s">
        <v>3112</v>
      </c>
      <c r="D28" s="27" t="s">
        <v>741</v>
      </c>
      <c r="E28" s="50" t="n">
        <v>4430</v>
      </c>
      <c r="F28" s="50" t="n">
        <v>4430</v>
      </c>
      <c r="G28" s="27" t="s">
        <v>767</v>
      </c>
      <c r="H28" s="50" t="n">
        <f aca="false">F28</f>
        <v>4430</v>
      </c>
      <c r="I28" s="51" t="n">
        <v>6</v>
      </c>
      <c r="J28" s="28" t="n">
        <f aca="false">H28*I28</f>
        <v>26580</v>
      </c>
      <c r="K28" s="53" t="s">
        <v>551</v>
      </c>
      <c r="L28" s="7" t="s">
        <v>2447</v>
      </c>
      <c r="M28" s="7"/>
    </row>
    <row r="29" customFormat="false" ht="26.85" hidden="false" customHeight="false" outlineLevel="1" collapsed="false">
      <c r="A29" s="27"/>
      <c r="B29" s="27" t="s">
        <v>3092</v>
      </c>
      <c r="C29" s="7" t="s">
        <v>3113</v>
      </c>
      <c r="D29" s="27" t="s">
        <v>727</v>
      </c>
      <c r="E29" s="50" t="n">
        <v>180</v>
      </c>
      <c r="F29" s="50" t="n">
        <v>180</v>
      </c>
      <c r="G29" s="27" t="s">
        <v>767</v>
      </c>
      <c r="H29" s="50" t="n">
        <f aca="false">F29</f>
        <v>180</v>
      </c>
      <c r="I29" s="51" t="n">
        <v>30</v>
      </c>
      <c r="J29" s="28" t="n">
        <f aca="false">H29*I29</f>
        <v>5400</v>
      </c>
      <c r="K29" s="53" t="s">
        <v>551</v>
      </c>
      <c r="L29" s="7" t="s">
        <v>2447</v>
      </c>
      <c r="M29" s="7"/>
    </row>
    <row r="30" customFormat="false" ht="26.85" hidden="false" customHeight="false" outlineLevel="1" collapsed="false">
      <c r="A30" s="27"/>
      <c r="B30" s="27" t="s">
        <v>3092</v>
      </c>
      <c r="C30" s="7" t="s">
        <v>3114</v>
      </c>
      <c r="D30" s="27" t="s">
        <v>732</v>
      </c>
      <c r="E30" s="50" t="n">
        <v>2</v>
      </c>
      <c r="F30" s="50" t="n">
        <v>2</v>
      </c>
      <c r="G30" s="27" t="s">
        <v>767</v>
      </c>
      <c r="H30" s="50" t="n">
        <f aca="false">F30</f>
        <v>2</v>
      </c>
      <c r="I30" s="51" t="n">
        <v>4000</v>
      </c>
      <c r="J30" s="28" t="n">
        <f aca="false">H30*I30</f>
        <v>8000</v>
      </c>
      <c r="K30" s="53" t="s">
        <v>551</v>
      </c>
      <c r="L30" s="7" t="s">
        <v>2447</v>
      </c>
      <c r="M30" s="7"/>
    </row>
    <row r="31" customFormat="false" ht="15" hidden="false" customHeight="false" outlineLevel="0" collapsed="false">
      <c r="A31" s="48" t="s">
        <v>479</v>
      </c>
      <c r="B31" s="48" t="s">
        <v>3115</v>
      </c>
      <c r="C31" s="48" t="s">
        <v>480</v>
      </c>
      <c r="D31" s="48"/>
      <c r="E31" s="48"/>
      <c r="F31" s="48"/>
      <c r="G31" s="48"/>
      <c r="H31" s="48" t="s">
        <v>765</v>
      </c>
      <c r="I31" s="49" t="n">
        <f aca="false">SUMPRODUCT(E32:E42,I32:I42)</f>
        <v>240296</v>
      </c>
      <c r="J31" s="49" t="n">
        <f aca="false">SUM(J32:J42)</f>
        <v>240296</v>
      </c>
      <c r="K31" s="48"/>
      <c r="L31" s="48"/>
      <c r="M31" s="48"/>
    </row>
    <row r="32" customFormat="false" ht="52.2" hidden="false" customHeight="false" outlineLevel="1" collapsed="false">
      <c r="A32" s="27"/>
      <c r="B32" s="27" t="s">
        <v>3115</v>
      </c>
      <c r="C32" s="7" t="s">
        <v>3116</v>
      </c>
      <c r="D32" s="27" t="s">
        <v>727</v>
      </c>
      <c r="E32" s="50" t="n">
        <v>12</v>
      </c>
      <c r="F32" s="50" t="n">
        <v>12</v>
      </c>
      <c r="G32" s="27" t="s">
        <v>767</v>
      </c>
      <c r="H32" s="50" t="n">
        <f aca="false">F32</f>
        <v>12</v>
      </c>
      <c r="I32" s="51" t="n">
        <v>1600</v>
      </c>
      <c r="J32" s="28" t="n">
        <f aca="false">H32*I32</f>
        <v>19200</v>
      </c>
      <c r="K32" s="52" t="s">
        <v>548</v>
      </c>
      <c r="L32" s="7" t="s">
        <v>3117</v>
      </c>
      <c r="M32" s="7" t="s">
        <v>1756</v>
      </c>
    </row>
    <row r="33" customFormat="false" ht="39.55" hidden="false" customHeight="false" outlineLevel="1" collapsed="false">
      <c r="A33" s="27"/>
      <c r="B33" s="27" t="s">
        <v>3115</v>
      </c>
      <c r="C33" s="7" t="s">
        <v>3118</v>
      </c>
      <c r="D33" s="27" t="s">
        <v>727</v>
      </c>
      <c r="E33" s="50" t="n">
        <v>8</v>
      </c>
      <c r="F33" s="50" t="n">
        <v>8</v>
      </c>
      <c r="G33" s="27" t="s">
        <v>767</v>
      </c>
      <c r="H33" s="50" t="n">
        <f aca="false">F33</f>
        <v>8</v>
      </c>
      <c r="I33" s="51" t="n">
        <v>900</v>
      </c>
      <c r="J33" s="28" t="n">
        <f aca="false">H33*I33</f>
        <v>7200</v>
      </c>
      <c r="K33" s="52" t="s">
        <v>548</v>
      </c>
      <c r="L33" s="7" t="s">
        <v>3119</v>
      </c>
      <c r="M33" s="7" t="s">
        <v>3120</v>
      </c>
    </row>
    <row r="34" customFormat="false" ht="39.55" hidden="false" customHeight="false" outlineLevel="1" collapsed="false">
      <c r="A34" s="27"/>
      <c r="B34" s="27" t="s">
        <v>3115</v>
      </c>
      <c r="C34" s="7" t="s">
        <v>3121</v>
      </c>
      <c r="D34" s="27" t="s">
        <v>727</v>
      </c>
      <c r="E34" s="50" t="n">
        <v>5</v>
      </c>
      <c r="F34" s="50" t="n">
        <v>5</v>
      </c>
      <c r="G34" s="27" t="s">
        <v>767</v>
      </c>
      <c r="H34" s="50" t="n">
        <f aca="false">F34</f>
        <v>5</v>
      </c>
      <c r="I34" s="51" t="n">
        <v>6000</v>
      </c>
      <c r="J34" s="28" t="n">
        <f aca="false">H34*I34</f>
        <v>30000</v>
      </c>
      <c r="K34" s="53" t="s">
        <v>551</v>
      </c>
      <c r="L34" s="7" t="s">
        <v>3122</v>
      </c>
      <c r="M34" s="7"/>
    </row>
    <row r="35" customFormat="false" ht="26.85" hidden="false" customHeight="false" outlineLevel="1" collapsed="false">
      <c r="A35" s="27"/>
      <c r="B35" s="27" t="s">
        <v>3115</v>
      </c>
      <c r="C35" s="7" t="s">
        <v>3123</v>
      </c>
      <c r="D35" s="27" t="s">
        <v>732</v>
      </c>
      <c r="E35" s="50" t="n">
        <v>1</v>
      </c>
      <c r="F35" s="50" t="n">
        <v>1</v>
      </c>
      <c r="G35" s="27" t="s">
        <v>767</v>
      </c>
      <c r="H35" s="50" t="n">
        <f aca="false">F35</f>
        <v>1</v>
      </c>
      <c r="I35" s="51" t="n">
        <v>12300</v>
      </c>
      <c r="J35" s="28" t="n">
        <f aca="false">H35*I35</f>
        <v>12300</v>
      </c>
      <c r="K35" s="53" t="s">
        <v>551</v>
      </c>
      <c r="L35" s="7" t="s">
        <v>2447</v>
      </c>
      <c r="M35" s="7" t="s">
        <v>3124</v>
      </c>
    </row>
    <row r="36" customFormat="false" ht="39.55" hidden="false" customHeight="false" outlineLevel="1" collapsed="false">
      <c r="A36" s="27"/>
      <c r="B36" s="27" t="s">
        <v>3115</v>
      </c>
      <c r="C36" s="7" t="s">
        <v>3125</v>
      </c>
      <c r="D36" s="27" t="s">
        <v>732</v>
      </c>
      <c r="E36" s="50" t="n">
        <v>1</v>
      </c>
      <c r="F36" s="50" t="n">
        <v>1</v>
      </c>
      <c r="G36" s="27" t="s">
        <v>767</v>
      </c>
      <c r="H36" s="50" t="n">
        <f aca="false">F36</f>
        <v>1</v>
      </c>
      <c r="I36" s="51" t="n">
        <v>60000</v>
      </c>
      <c r="J36" s="28" t="n">
        <f aca="false">H36*I36</f>
        <v>60000</v>
      </c>
      <c r="K36" s="53" t="s">
        <v>551</v>
      </c>
      <c r="L36" s="7" t="s">
        <v>3126</v>
      </c>
      <c r="M36" s="7"/>
    </row>
    <row r="37" customFormat="false" ht="64.9" hidden="false" customHeight="false" outlineLevel="1" collapsed="false">
      <c r="A37" s="27"/>
      <c r="B37" s="27" t="s">
        <v>3115</v>
      </c>
      <c r="C37" s="7" t="s">
        <v>3127</v>
      </c>
      <c r="D37" s="27" t="s">
        <v>727</v>
      </c>
      <c r="E37" s="50" t="n">
        <v>1</v>
      </c>
      <c r="F37" s="50" t="n">
        <v>1</v>
      </c>
      <c r="G37" s="27" t="s">
        <v>767</v>
      </c>
      <c r="H37" s="50" t="n">
        <f aca="false">F37</f>
        <v>1</v>
      </c>
      <c r="I37" s="51" t="n">
        <v>23579</v>
      </c>
      <c r="J37" s="28" t="n">
        <f aca="false">H37*I37</f>
        <v>23579</v>
      </c>
      <c r="K37" s="52" t="s">
        <v>548</v>
      </c>
      <c r="L37" s="7" t="s">
        <v>3128</v>
      </c>
      <c r="M37" s="7" t="s">
        <v>3129</v>
      </c>
    </row>
    <row r="38" customFormat="false" ht="52.2" hidden="false" customHeight="false" outlineLevel="1" collapsed="false">
      <c r="A38" s="27"/>
      <c r="B38" s="27" t="s">
        <v>3115</v>
      </c>
      <c r="C38" s="7" t="s">
        <v>3130</v>
      </c>
      <c r="D38" s="27" t="s">
        <v>727</v>
      </c>
      <c r="E38" s="50" t="n">
        <v>1</v>
      </c>
      <c r="F38" s="50" t="n">
        <v>1</v>
      </c>
      <c r="G38" s="27" t="s">
        <v>767</v>
      </c>
      <c r="H38" s="50" t="n">
        <f aca="false">F38</f>
        <v>1</v>
      </c>
      <c r="I38" s="51" t="n">
        <v>19117</v>
      </c>
      <c r="J38" s="28" t="n">
        <f aca="false">H38*I38</f>
        <v>19117</v>
      </c>
      <c r="K38" s="52" t="s">
        <v>548</v>
      </c>
      <c r="L38" s="7" t="s">
        <v>3131</v>
      </c>
      <c r="M38" s="7" t="s">
        <v>1848</v>
      </c>
    </row>
    <row r="39" customFormat="false" ht="26.85" hidden="false" customHeight="false" outlineLevel="1" collapsed="false">
      <c r="A39" s="27"/>
      <c r="B39" s="27" t="s">
        <v>3115</v>
      </c>
      <c r="C39" s="7" t="s">
        <v>3132</v>
      </c>
      <c r="D39" s="27" t="s">
        <v>727</v>
      </c>
      <c r="E39" s="50" t="n">
        <v>5</v>
      </c>
      <c r="F39" s="50" t="n">
        <v>5</v>
      </c>
      <c r="G39" s="27" t="s">
        <v>767</v>
      </c>
      <c r="H39" s="50" t="n">
        <f aca="false">F39</f>
        <v>5</v>
      </c>
      <c r="I39" s="51" t="n">
        <v>4000</v>
      </c>
      <c r="J39" s="28" t="n">
        <f aca="false">H39*I39</f>
        <v>20000</v>
      </c>
      <c r="K39" s="53" t="s">
        <v>551</v>
      </c>
      <c r="L39" s="7" t="s">
        <v>2447</v>
      </c>
      <c r="M39" s="7"/>
    </row>
    <row r="40" customFormat="false" ht="26.85" hidden="false" customHeight="false" outlineLevel="1" collapsed="false">
      <c r="A40" s="27"/>
      <c r="B40" s="27" t="s">
        <v>3115</v>
      </c>
      <c r="C40" s="7" t="s">
        <v>3133</v>
      </c>
      <c r="D40" s="27" t="s">
        <v>732</v>
      </c>
      <c r="E40" s="50" t="n">
        <v>1</v>
      </c>
      <c r="F40" s="50" t="n">
        <v>1</v>
      </c>
      <c r="G40" s="27" t="s">
        <v>767</v>
      </c>
      <c r="H40" s="50" t="n">
        <f aca="false">F40</f>
        <v>1</v>
      </c>
      <c r="I40" s="51" t="n">
        <v>12400</v>
      </c>
      <c r="J40" s="28" t="n">
        <f aca="false">H40*I40</f>
        <v>12400</v>
      </c>
      <c r="K40" s="53" t="s">
        <v>551</v>
      </c>
      <c r="L40" s="7" t="s">
        <v>2447</v>
      </c>
      <c r="M40" s="7" t="s">
        <v>3134</v>
      </c>
    </row>
    <row r="41" customFormat="false" ht="26.85" hidden="false" customHeight="false" outlineLevel="1" collapsed="false">
      <c r="A41" s="27"/>
      <c r="B41" s="27" t="s">
        <v>3115</v>
      </c>
      <c r="C41" s="7" t="s">
        <v>3135</v>
      </c>
      <c r="D41" s="27" t="s">
        <v>732</v>
      </c>
      <c r="E41" s="50" t="n">
        <v>1</v>
      </c>
      <c r="F41" s="50" t="n">
        <v>1</v>
      </c>
      <c r="G41" s="27" t="s">
        <v>767</v>
      </c>
      <c r="H41" s="50" t="n">
        <f aca="false">F41</f>
        <v>1</v>
      </c>
      <c r="I41" s="51" t="n">
        <v>25000</v>
      </c>
      <c r="J41" s="28" t="n">
        <f aca="false">H41*I41</f>
        <v>25000</v>
      </c>
      <c r="K41" s="53" t="s">
        <v>551</v>
      </c>
      <c r="L41" s="7" t="s">
        <v>2447</v>
      </c>
      <c r="M41" s="7"/>
    </row>
    <row r="42" customFormat="false" ht="26.85" hidden="false" customHeight="false" outlineLevel="1" collapsed="false">
      <c r="A42" s="27"/>
      <c r="B42" s="27" t="s">
        <v>3115</v>
      </c>
      <c r="C42" s="7" t="s">
        <v>3136</v>
      </c>
      <c r="D42" s="27" t="s">
        <v>732</v>
      </c>
      <c r="E42" s="50" t="n">
        <v>1</v>
      </c>
      <c r="F42" s="50" t="n">
        <v>1</v>
      </c>
      <c r="G42" s="27" t="s">
        <v>767</v>
      </c>
      <c r="H42" s="50" t="n">
        <f aca="false">F42</f>
        <v>1</v>
      </c>
      <c r="I42" s="51" t="n">
        <v>11500</v>
      </c>
      <c r="J42" s="28" t="n">
        <f aca="false">H42*I42</f>
        <v>11500</v>
      </c>
      <c r="K42" s="53" t="s">
        <v>551</v>
      </c>
      <c r="L42" s="7" t="s">
        <v>2447</v>
      </c>
      <c r="M42" s="7"/>
    </row>
    <row r="43" customFormat="false" ht="15" hidden="false" customHeight="false" outlineLevel="0" collapsed="false">
      <c r="A43" s="48" t="s">
        <v>481</v>
      </c>
      <c r="B43" s="48" t="s">
        <v>3137</v>
      </c>
      <c r="C43" s="48" t="s">
        <v>482</v>
      </c>
      <c r="D43" s="48"/>
      <c r="E43" s="48"/>
      <c r="F43" s="48"/>
      <c r="G43" s="48"/>
      <c r="H43" s="48" t="s">
        <v>765</v>
      </c>
      <c r="I43" s="49" t="n">
        <f aca="false">SUMPRODUCT(E44:E44,I44:I44)</f>
        <v>312000</v>
      </c>
      <c r="J43" s="49" t="n">
        <f aca="false">SUM(J44:J44)</f>
        <v>312000</v>
      </c>
      <c r="K43" s="48"/>
      <c r="L43" s="48"/>
      <c r="M43" s="48"/>
    </row>
    <row r="44" customFormat="false" ht="77.6" hidden="false" customHeight="false" outlineLevel="1" collapsed="false">
      <c r="A44" s="27"/>
      <c r="B44" s="27" t="s">
        <v>3137</v>
      </c>
      <c r="C44" s="7" t="s">
        <v>3138</v>
      </c>
      <c r="D44" s="27" t="s">
        <v>727</v>
      </c>
      <c r="E44" s="50" t="n">
        <v>12</v>
      </c>
      <c r="F44" s="50" t="n">
        <v>12</v>
      </c>
      <c r="G44" s="27" t="s">
        <v>767</v>
      </c>
      <c r="H44" s="50" t="n">
        <f aca="false">F44</f>
        <v>12</v>
      </c>
      <c r="I44" s="51" t="n">
        <v>26000</v>
      </c>
      <c r="J44" s="28" t="n">
        <f aca="false">H44*I44</f>
        <v>312000</v>
      </c>
      <c r="K44" s="52" t="s">
        <v>548</v>
      </c>
      <c r="L44" s="7" t="s">
        <v>3139</v>
      </c>
      <c r="M44" s="7"/>
    </row>
    <row r="45" customFormat="false" ht="15" hidden="false" customHeight="false" outlineLevel="0" collapsed="false">
      <c r="A45" s="48" t="s">
        <v>483</v>
      </c>
      <c r="B45" s="48" t="s">
        <v>3140</v>
      </c>
      <c r="C45" s="48" t="s">
        <v>484</v>
      </c>
      <c r="D45" s="48"/>
      <c r="E45" s="48"/>
      <c r="F45" s="48"/>
      <c r="G45" s="48"/>
      <c r="H45" s="48" t="s">
        <v>765</v>
      </c>
      <c r="I45" s="49" t="n">
        <f aca="false">SUMPRODUCT(E46:E48,I46:I48)</f>
        <v>133369.56</v>
      </c>
      <c r="J45" s="49" t="n">
        <f aca="false">SUM(J46:J48)</f>
        <v>130946.483076923</v>
      </c>
      <c r="K45" s="48"/>
      <c r="L45" s="48"/>
      <c r="M45" s="48"/>
    </row>
    <row r="46" customFormat="false" ht="64.9" hidden="false" customHeight="false" outlineLevel="1" collapsed="false">
      <c r="A46" s="27"/>
      <c r="B46" s="27" t="s">
        <v>3140</v>
      </c>
      <c r="C46" s="7" t="s">
        <v>3141</v>
      </c>
      <c r="D46" s="27" t="s">
        <v>727</v>
      </c>
      <c r="E46" s="50" t="n">
        <v>5</v>
      </c>
      <c r="F46" s="50" t="n">
        <v>5</v>
      </c>
      <c r="G46" s="27" t="s">
        <v>767</v>
      </c>
      <c r="H46" s="50" t="n">
        <f aca="false">F46</f>
        <v>5</v>
      </c>
      <c r="I46" s="51" t="n">
        <v>24000</v>
      </c>
      <c r="J46" s="28" t="n">
        <f aca="false">H46*I46</f>
        <v>120000</v>
      </c>
      <c r="K46" s="52" t="s">
        <v>548</v>
      </c>
      <c r="L46" s="7" t="s">
        <v>3142</v>
      </c>
      <c r="M46" s="7"/>
    </row>
    <row r="47" customFormat="false" ht="52.2" hidden="false" customHeight="false" outlineLevel="1" collapsed="false">
      <c r="A47" s="27"/>
      <c r="B47" s="27" t="s">
        <v>3140</v>
      </c>
      <c r="C47" s="7" t="s">
        <v>3143</v>
      </c>
      <c r="D47" s="27" t="s">
        <v>853</v>
      </c>
      <c r="E47" s="50" t="n">
        <v>108</v>
      </c>
      <c r="F47" s="50" t="n">
        <v>108</v>
      </c>
      <c r="G47" s="27" t="s">
        <v>767</v>
      </c>
      <c r="H47" s="50" t="n">
        <f aca="false">F47</f>
        <v>108</v>
      </c>
      <c r="I47" s="51" t="n">
        <v>26.57</v>
      </c>
      <c r="J47" s="28" t="n">
        <f aca="false">H47*I47</f>
        <v>2869.56</v>
      </c>
      <c r="K47" s="52" t="s">
        <v>548</v>
      </c>
      <c r="L47" s="7" t="s">
        <v>3144</v>
      </c>
      <c r="M47" s="7" t="s">
        <v>2108</v>
      </c>
    </row>
    <row r="48" customFormat="false" ht="26.85" hidden="false" customHeight="false" outlineLevel="1" collapsed="false">
      <c r="A48" s="27"/>
      <c r="B48" s="27" t="s">
        <v>3140</v>
      </c>
      <c r="C48" s="7" t="s">
        <v>3145</v>
      </c>
      <c r="D48" s="27" t="s">
        <v>727</v>
      </c>
      <c r="E48" s="50" t="n">
        <v>30</v>
      </c>
      <c r="F48" s="50" t="n">
        <v>30</v>
      </c>
      <c r="G48" s="27" t="s">
        <v>829</v>
      </c>
      <c r="H48" s="50" t="n">
        <f aca="false">F48/IF(Varsayimlar!$B$21=1,1.3,1)</f>
        <v>23.0769230769231</v>
      </c>
      <c r="I48" s="51" t="n">
        <v>350</v>
      </c>
      <c r="J48" s="28" t="n">
        <f aca="false">H48*I48</f>
        <v>8076.92307692308</v>
      </c>
      <c r="K48" s="53" t="s">
        <v>551</v>
      </c>
      <c r="L48" s="7" t="s">
        <v>3146</v>
      </c>
      <c r="M48" s="7"/>
    </row>
    <row r="49" customFormat="false" ht="15" hidden="false" customHeight="false" outlineLevel="0" collapsed="false">
      <c r="A49" s="48" t="s">
        <v>485</v>
      </c>
      <c r="B49" s="48" t="s">
        <v>3147</v>
      </c>
      <c r="C49" s="48" t="s">
        <v>486</v>
      </c>
      <c r="D49" s="48"/>
      <c r="E49" s="48"/>
      <c r="F49" s="48"/>
      <c r="G49" s="48"/>
      <c r="H49" s="48" t="s">
        <v>765</v>
      </c>
      <c r="I49" s="49" t="n">
        <f aca="false">SUMPRODUCT(E50:E52,I50:I52)</f>
        <v>154027.53</v>
      </c>
      <c r="J49" s="49" t="n">
        <f aca="false">SUM(J50:J52)</f>
        <v>150089.181818182</v>
      </c>
      <c r="K49" s="48"/>
      <c r="L49" s="48"/>
      <c r="M49" s="48"/>
    </row>
    <row r="50" customFormat="false" ht="52.2" hidden="false" customHeight="false" outlineLevel="1" collapsed="false">
      <c r="A50" s="27"/>
      <c r="B50" s="27" t="s">
        <v>3147</v>
      </c>
      <c r="C50" s="7" t="s">
        <v>3148</v>
      </c>
      <c r="D50" s="27" t="s">
        <v>727</v>
      </c>
      <c r="E50" s="50" t="n">
        <v>6</v>
      </c>
      <c r="F50" s="50" t="n">
        <v>6</v>
      </c>
      <c r="G50" s="27" t="s">
        <v>767</v>
      </c>
      <c r="H50" s="50" t="n">
        <f aca="false">F50</f>
        <v>6</v>
      </c>
      <c r="I50" s="51" t="n">
        <v>23000</v>
      </c>
      <c r="J50" s="28" t="n">
        <f aca="false">H50*I50</f>
        <v>138000</v>
      </c>
      <c r="K50" s="52" t="s">
        <v>548</v>
      </c>
      <c r="L50" s="7" t="s">
        <v>3149</v>
      </c>
      <c r="M50" s="7"/>
    </row>
    <row r="51" customFormat="false" ht="52.2" hidden="false" customHeight="false" outlineLevel="1" collapsed="false">
      <c r="A51" s="27"/>
      <c r="B51" s="27" t="s">
        <v>3147</v>
      </c>
      <c r="C51" s="7" t="s">
        <v>3150</v>
      </c>
      <c r="D51" s="27" t="s">
        <v>853</v>
      </c>
      <c r="E51" s="50" t="n">
        <v>129</v>
      </c>
      <c r="F51" s="50" t="n">
        <v>129</v>
      </c>
      <c r="G51" s="27" t="s">
        <v>865</v>
      </c>
      <c r="H51" s="50" t="n">
        <f aca="false">F51/IF(Varsayimlar!$B$21=1,1.43,1)</f>
        <v>90.2097902097902</v>
      </c>
      <c r="I51" s="51" t="n">
        <v>26.57</v>
      </c>
      <c r="J51" s="28" t="n">
        <f aca="false">H51*I51</f>
        <v>2396.87412587413</v>
      </c>
      <c r="K51" s="52" t="s">
        <v>548</v>
      </c>
      <c r="L51" s="7" t="s">
        <v>3144</v>
      </c>
      <c r="M51" s="7" t="s">
        <v>2108</v>
      </c>
    </row>
    <row r="52" customFormat="false" ht="26.85" hidden="false" customHeight="false" outlineLevel="1" collapsed="false">
      <c r="A52" s="27"/>
      <c r="B52" s="27" t="s">
        <v>3147</v>
      </c>
      <c r="C52" s="7" t="s">
        <v>3151</v>
      </c>
      <c r="D52" s="27" t="s">
        <v>727</v>
      </c>
      <c r="E52" s="50" t="n">
        <v>36</v>
      </c>
      <c r="F52" s="50" t="n">
        <v>36</v>
      </c>
      <c r="G52" s="27" t="s">
        <v>829</v>
      </c>
      <c r="H52" s="50" t="n">
        <f aca="false">F52/IF(Varsayimlar!$B$21=1,1.3,1)</f>
        <v>27.6923076923077</v>
      </c>
      <c r="I52" s="51" t="n">
        <v>350</v>
      </c>
      <c r="J52" s="28" t="n">
        <f aca="false">H52*I52</f>
        <v>9692.30769230769</v>
      </c>
      <c r="K52" s="53" t="s">
        <v>551</v>
      </c>
      <c r="L52" s="7" t="s">
        <v>3152</v>
      </c>
      <c r="M52" s="7"/>
    </row>
    <row r="53" customFormat="false" ht="15" hidden="false" customHeight="false" outlineLevel="0" collapsed="false">
      <c r="A53" s="48" t="s">
        <v>487</v>
      </c>
      <c r="B53" s="48" t="s">
        <v>3153</v>
      </c>
      <c r="C53" s="48" t="s">
        <v>488</v>
      </c>
      <c r="D53" s="48"/>
      <c r="E53" s="48"/>
      <c r="F53" s="48"/>
      <c r="G53" s="48"/>
      <c r="H53" s="48" t="s">
        <v>765</v>
      </c>
      <c r="I53" s="49" t="n">
        <f aca="false">SUMPRODUCT(E54:E56,I54:I56)</f>
        <v>78858</v>
      </c>
      <c r="J53" s="49" t="n">
        <f aca="false">SUM(J54:J56)</f>
        <v>78858</v>
      </c>
      <c r="K53" s="48"/>
      <c r="L53" s="48"/>
      <c r="M53" s="48"/>
    </row>
    <row r="54" customFormat="false" ht="39.55" hidden="false" customHeight="false" outlineLevel="1" collapsed="false">
      <c r="A54" s="27"/>
      <c r="B54" s="27" t="s">
        <v>3153</v>
      </c>
      <c r="C54" s="7" t="s">
        <v>3154</v>
      </c>
      <c r="D54" s="27" t="s">
        <v>727</v>
      </c>
      <c r="E54" s="50" t="n">
        <v>2</v>
      </c>
      <c r="F54" s="50" t="n">
        <v>2</v>
      </c>
      <c r="G54" s="27" t="s">
        <v>767</v>
      </c>
      <c r="H54" s="50" t="n">
        <f aca="false">F54</f>
        <v>2</v>
      </c>
      <c r="I54" s="51" t="n">
        <v>17424</v>
      </c>
      <c r="J54" s="28" t="n">
        <f aca="false">H54*I54</f>
        <v>34848</v>
      </c>
      <c r="K54" s="52" t="s">
        <v>548</v>
      </c>
      <c r="L54" s="7" t="s">
        <v>3155</v>
      </c>
      <c r="M54" s="7" t="s">
        <v>3156</v>
      </c>
    </row>
    <row r="55" customFormat="false" ht="52.2" hidden="false" customHeight="false" outlineLevel="1" collapsed="false">
      <c r="A55" s="27"/>
      <c r="B55" s="27" t="s">
        <v>3153</v>
      </c>
      <c r="C55" s="7" t="s">
        <v>3157</v>
      </c>
      <c r="D55" s="27" t="s">
        <v>727</v>
      </c>
      <c r="E55" s="50" t="n">
        <v>3</v>
      </c>
      <c r="F55" s="50" t="n">
        <v>3</v>
      </c>
      <c r="G55" s="27" t="s">
        <v>767</v>
      </c>
      <c r="H55" s="50" t="n">
        <f aca="false">F55</f>
        <v>3</v>
      </c>
      <c r="I55" s="51" t="n">
        <v>11670</v>
      </c>
      <c r="J55" s="28" t="n">
        <f aca="false">H55*I55</f>
        <v>35010</v>
      </c>
      <c r="K55" s="52" t="s">
        <v>548</v>
      </c>
      <c r="L55" s="7" t="s">
        <v>3158</v>
      </c>
      <c r="M55" s="7" t="s">
        <v>3159</v>
      </c>
    </row>
    <row r="56" customFormat="false" ht="26.85" hidden="false" customHeight="false" outlineLevel="1" collapsed="false">
      <c r="A56" s="27"/>
      <c r="B56" s="27" t="s">
        <v>3153</v>
      </c>
      <c r="C56" s="7" t="s">
        <v>3160</v>
      </c>
      <c r="D56" s="27" t="s">
        <v>732</v>
      </c>
      <c r="E56" s="50" t="n">
        <v>1</v>
      </c>
      <c r="F56" s="50" t="n">
        <v>1</v>
      </c>
      <c r="G56" s="27" t="s">
        <v>767</v>
      </c>
      <c r="H56" s="50" t="n">
        <f aca="false">F56</f>
        <v>1</v>
      </c>
      <c r="I56" s="51" t="n">
        <v>9000</v>
      </c>
      <c r="J56" s="28" t="n">
        <f aca="false">H56*I56</f>
        <v>9000</v>
      </c>
      <c r="K56" s="53" t="s">
        <v>551</v>
      </c>
      <c r="L56" s="7" t="s">
        <v>2447</v>
      </c>
      <c r="M56" s="7" t="s">
        <v>3161</v>
      </c>
    </row>
    <row r="57" customFormat="false" ht="15" hidden="false" customHeight="false" outlineLevel="0" collapsed="false">
      <c r="A57" s="48" t="s">
        <v>489</v>
      </c>
      <c r="B57" s="48" t="s">
        <v>3162</v>
      </c>
      <c r="C57" s="48" t="s">
        <v>490</v>
      </c>
      <c r="D57" s="48"/>
      <c r="E57" s="48"/>
      <c r="F57" s="48"/>
      <c r="G57" s="48"/>
      <c r="H57" s="48" t="s">
        <v>765</v>
      </c>
      <c r="I57" s="49" t="n">
        <f aca="false">SUMPRODUCT(E58:E58,I58:I58)</f>
        <v>69114</v>
      </c>
      <c r="J57" s="49" t="n">
        <f aca="false">SUM(J58:J58)</f>
        <v>69114</v>
      </c>
      <c r="K57" s="48"/>
      <c r="L57" s="48"/>
      <c r="M57" s="48"/>
    </row>
    <row r="58" customFormat="false" ht="52.2" hidden="false" customHeight="false" outlineLevel="1" collapsed="false">
      <c r="A58" s="27"/>
      <c r="B58" s="27" t="s">
        <v>3162</v>
      </c>
      <c r="C58" s="7" t="s">
        <v>3163</v>
      </c>
      <c r="D58" s="27" t="s">
        <v>732</v>
      </c>
      <c r="E58" s="50" t="n">
        <v>2</v>
      </c>
      <c r="F58" s="50" t="n">
        <v>2</v>
      </c>
      <c r="G58" s="27" t="s">
        <v>767</v>
      </c>
      <c r="H58" s="50" t="n">
        <f aca="false">F58</f>
        <v>2</v>
      </c>
      <c r="I58" s="51" t="n">
        <v>34557</v>
      </c>
      <c r="J58" s="28" t="n">
        <f aca="false">H58*I58</f>
        <v>69114</v>
      </c>
      <c r="K58" s="52" t="s">
        <v>548</v>
      </c>
      <c r="L58" s="7" t="s">
        <v>3164</v>
      </c>
      <c r="M58" s="7" t="s">
        <v>2200</v>
      </c>
    </row>
    <row r="59" customFormat="false" ht="15" hidden="false" customHeight="false" outlineLevel="0" collapsed="false">
      <c r="A59" s="48" t="s">
        <v>491</v>
      </c>
      <c r="B59" s="48" t="s">
        <v>3165</v>
      </c>
      <c r="C59" s="48" t="s">
        <v>492</v>
      </c>
      <c r="D59" s="48"/>
      <c r="E59" s="48"/>
      <c r="F59" s="48"/>
      <c r="G59" s="48"/>
      <c r="H59" s="48" t="s">
        <v>765</v>
      </c>
      <c r="I59" s="49" t="n">
        <f aca="false">SUMPRODUCT(E60:E60,I60:I60)</f>
        <v>84340</v>
      </c>
      <c r="J59" s="49" t="n">
        <f aca="false">SUM(J60:J60)</f>
        <v>84340</v>
      </c>
      <c r="K59" s="48"/>
      <c r="L59" s="48"/>
      <c r="M59" s="48"/>
    </row>
    <row r="60" customFormat="false" ht="52.2" hidden="false" customHeight="false" outlineLevel="1" collapsed="false">
      <c r="A60" s="27"/>
      <c r="B60" s="27" t="s">
        <v>3165</v>
      </c>
      <c r="C60" s="7" t="s">
        <v>3166</v>
      </c>
      <c r="D60" s="27" t="s">
        <v>727</v>
      </c>
      <c r="E60" s="50" t="n">
        <v>4</v>
      </c>
      <c r="F60" s="50" t="n">
        <v>4</v>
      </c>
      <c r="G60" s="27" t="s">
        <v>767</v>
      </c>
      <c r="H60" s="50" t="n">
        <f aca="false">F60</f>
        <v>4</v>
      </c>
      <c r="I60" s="51" t="n">
        <v>21085</v>
      </c>
      <c r="J60" s="28" t="n">
        <f aca="false">H60*I60</f>
        <v>84340</v>
      </c>
      <c r="K60" s="52" t="s">
        <v>548</v>
      </c>
      <c r="L60" s="7" t="s">
        <v>3167</v>
      </c>
      <c r="M60" s="7" t="s">
        <v>3168</v>
      </c>
    </row>
    <row r="61" customFormat="false" ht="15" hidden="false" customHeight="false" outlineLevel="0" collapsed="false">
      <c r="A61" s="48" t="s">
        <v>493</v>
      </c>
      <c r="B61" s="48" t="s">
        <v>3169</v>
      </c>
      <c r="C61" s="48" t="s">
        <v>494</v>
      </c>
      <c r="D61" s="48"/>
      <c r="E61" s="48"/>
      <c r="F61" s="48"/>
      <c r="G61" s="48"/>
      <c r="H61" s="48" t="s">
        <v>765</v>
      </c>
      <c r="I61" s="49" t="n">
        <f aca="false">SUMPRODUCT(E62:E62,I62:I62)</f>
        <v>106364</v>
      </c>
      <c r="J61" s="49" t="n">
        <f aca="false">SUM(J62:J62)</f>
        <v>106364</v>
      </c>
      <c r="K61" s="48"/>
      <c r="L61" s="48"/>
      <c r="M61" s="48"/>
    </row>
    <row r="62" customFormat="false" ht="64.9" hidden="false" customHeight="false" outlineLevel="1" collapsed="false">
      <c r="A62" s="27"/>
      <c r="B62" s="27" t="s">
        <v>3169</v>
      </c>
      <c r="C62" s="7" t="s">
        <v>3170</v>
      </c>
      <c r="D62" s="27" t="s">
        <v>727</v>
      </c>
      <c r="E62" s="50" t="n">
        <v>2</v>
      </c>
      <c r="F62" s="50" t="n">
        <v>2</v>
      </c>
      <c r="G62" s="27" t="s">
        <v>767</v>
      </c>
      <c r="H62" s="50" t="n">
        <f aca="false">F62</f>
        <v>2</v>
      </c>
      <c r="I62" s="51" t="n">
        <v>53182</v>
      </c>
      <c r="J62" s="28" t="n">
        <f aca="false">H62*I62</f>
        <v>106364</v>
      </c>
      <c r="K62" s="52" t="s">
        <v>548</v>
      </c>
      <c r="L62" s="7" t="s">
        <v>3171</v>
      </c>
      <c r="M62" s="7" t="s">
        <v>3172</v>
      </c>
    </row>
    <row r="63" customFormat="false" ht="15" hidden="false" customHeight="false" outlineLevel="0" collapsed="false">
      <c r="A63" s="48" t="s">
        <v>495</v>
      </c>
      <c r="B63" s="48" t="s">
        <v>3173</v>
      </c>
      <c r="C63" s="48" t="s">
        <v>496</v>
      </c>
      <c r="D63" s="48"/>
      <c r="E63" s="48"/>
      <c r="F63" s="48"/>
      <c r="G63" s="48"/>
      <c r="H63" s="48" t="s">
        <v>765</v>
      </c>
      <c r="I63" s="49" t="n">
        <f aca="false">SUMPRODUCT(E64:E64,I64:I64)</f>
        <v>60400</v>
      </c>
      <c r="J63" s="49" t="n">
        <f aca="false">SUM(J64:J64)</f>
        <v>60400</v>
      </c>
      <c r="K63" s="48"/>
      <c r="L63" s="48"/>
      <c r="M63" s="48"/>
    </row>
    <row r="64" customFormat="false" ht="64.9" hidden="false" customHeight="false" outlineLevel="1" collapsed="false">
      <c r="A64" s="27"/>
      <c r="B64" s="27" t="s">
        <v>3173</v>
      </c>
      <c r="C64" s="7" t="s">
        <v>3174</v>
      </c>
      <c r="D64" s="27" t="s">
        <v>732</v>
      </c>
      <c r="E64" s="50" t="n">
        <v>4</v>
      </c>
      <c r="F64" s="50" t="n">
        <v>4</v>
      </c>
      <c r="G64" s="27" t="s">
        <v>767</v>
      </c>
      <c r="H64" s="50" t="n">
        <f aca="false">F64</f>
        <v>4</v>
      </c>
      <c r="I64" s="51" t="n">
        <v>15100</v>
      </c>
      <c r="J64" s="28" t="n">
        <f aca="false">H64*I64</f>
        <v>60400</v>
      </c>
      <c r="K64" s="52" t="s">
        <v>548</v>
      </c>
      <c r="L64" s="7" t="s">
        <v>3175</v>
      </c>
      <c r="M64" s="7" t="s">
        <v>3176</v>
      </c>
    </row>
    <row r="65" customFormat="false" ht="15" hidden="false" customHeight="false" outlineLevel="0" collapsed="false">
      <c r="A65" s="48" t="s">
        <v>497</v>
      </c>
      <c r="B65" s="48" t="s">
        <v>3177</v>
      </c>
      <c r="C65" s="48" t="s">
        <v>498</v>
      </c>
      <c r="D65" s="48"/>
      <c r="E65" s="48"/>
      <c r="F65" s="48"/>
      <c r="G65" s="48"/>
      <c r="H65" s="48" t="s">
        <v>765</v>
      </c>
      <c r="I65" s="49" t="n">
        <f aca="false">SUMPRODUCT(E66:E82,I66:I82)</f>
        <v>2326843.75</v>
      </c>
      <c r="J65" s="49" t="n">
        <f aca="false">SUM(J66:J82)</f>
        <v>2310138.23776224</v>
      </c>
      <c r="K65" s="48"/>
      <c r="L65" s="48"/>
      <c r="M65" s="48"/>
    </row>
    <row r="66" customFormat="false" ht="64.9" hidden="false" customHeight="false" outlineLevel="1" collapsed="false">
      <c r="A66" s="27"/>
      <c r="B66" s="27" t="s">
        <v>3177</v>
      </c>
      <c r="C66" s="7" t="s">
        <v>3178</v>
      </c>
      <c r="D66" s="27" t="s">
        <v>727</v>
      </c>
      <c r="E66" s="50" t="n">
        <v>4</v>
      </c>
      <c r="F66" s="50" t="n">
        <v>4</v>
      </c>
      <c r="G66" s="27" t="s">
        <v>767</v>
      </c>
      <c r="H66" s="50" t="n">
        <f aca="false">F66</f>
        <v>4</v>
      </c>
      <c r="I66" s="51" t="n">
        <v>85000</v>
      </c>
      <c r="J66" s="28" t="n">
        <f aca="false">H66*I66</f>
        <v>340000</v>
      </c>
      <c r="K66" s="52" t="s">
        <v>548</v>
      </c>
      <c r="L66" s="7" t="s">
        <v>3179</v>
      </c>
      <c r="M66" s="7" t="s">
        <v>3180</v>
      </c>
    </row>
    <row r="67" customFormat="false" ht="26.85" hidden="false" customHeight="false" outlineLevel="1" collapsed="false">
      <c r="A67" s="27"/>
      <c r="B67" s="27" t="s">
        <v>3177</v>
      </c>
      <c r="C67" s="7" t="s">
        <v>3181</v>
      </c>
      <c r="D67" s="27" t="s">
        <v>816</v>
      </c>
      <c r="E67" s="50" t="n">
        <v>4</v>
      </c>
      <c r="F67" s="50" t="n">
        <v>4</v>
      </c>
      <c r="G67" s="27" t="s">
        <v>767</v>
      </c>
      <c r="H67" s="50" t="n">
        <f aca="false">F67</f>
        <v>4</v>
      </c>
      <c r="I67" s="51" t="n">
        <v>3000</v>
      </c>
      <c r="J67" s="28" t="n">
        <f aca="false">H67*I67</f>
        <v>12000</v>
      </c>
      <c r="K67" s="53" t="s">
        <v>551</v>
      </c>
      <c r="L67" s="7" t="s">
        <v>2447</v>
      </c>
      <c r="M67" s="7"/>
    </row>
    <row r="68" customFormat="false" ht="52.2" hidden="false" customHeight="false" outlineLevel="1" collapsed="false">
      <c r="A68" s="27"/>
      <c r="B68" s="27" t="s">
        <v>3177</v>
      </c>
      <c r="C68" s="7" t="s">
        <v>3182</v>
      </c>
      <c r="D68" s="27" t="s">
        <v>727</v>
      </c>
      <c r="E68" s="50" t="n">
        <v>4</v>
      </c>
      <c r="F68" s="50" t="n">
        <v>4</v>
      </c>
      <c r="G68" s="27" t="s">
        <v>767</v>
      </c>
      <c r="H68" s="50" t="n">
        <f aca="false">F68</f>
        <v>4</v>
      </c>
      <c r="I68" s="51" t="n">
        <v>48000</v>
      </c>
      <c r="J68" s="28" t="n">
        <f aca="false">H68*I68</f>
        <v>192000</v>
      </c>
      <c r="K68" s="52" t="s">
        <v>548</v>
      </c>
      <c r="L68" s="7" t="s">
        <v>3183</v>
      </c>
      <c r="M68" s="7"/>
    </row>
    <row r="69" customFormat="false" ht="64.9" hidden="false" customHeight="false" outlineLevel="1" collapsed="false">
      <c r="A69" s="27"/>
      <c r="B69" s="27" t="s">
        <v>3177</v>
      </c>
      <c r="C69" s="7" t="s">
        <v>3184</v>
      </c>
      <c r="D69" s="27" t="s">
        <v>853</v>
      </c>
      <c r="E69" s="50" t="n">
        <v>961</v>
      </c>
      <c r="F69" s="50" t="n">
        <v>961</v>
      </c>
      <c r="G69" s="27" t="s">
        <v>767</v>
      </c>
      <c r="H69" s="50" t="n">
        <f aca="false">F69</f>
        <v>961</v>
      </c>
      <c r="I69" s="51" t="n">
        <v>45</v>
      </c>
      <c r="J69" s="28" t="n">
        <f aca="false">H69*I69</f>
        <v>43245</v>
      </c>
      <c r="K69" s="52" t="s">
        <v>548</v>
      </c>
      <c r="L69" s="7" t="s">
        <v>3185</v>
      </c>
      <c r="M69" s="7"/>
    </row>
    <row r="70" customFormat="false" ht="64.9" hidden="false" customHeight="false" outlineLevel="1" collapsed="false">
      <c r="A70" s="27"/>
      <c r="B70" s="27" t="s">
        <v>3177</v>
      </c>
      <c r="C70" s="7" t="s">
        <v>3186</v>
      </c>
      <c r="D70" s="27" t="s">
        <v>727</v>
      </c>
      <c r="E70" s="50" t="n">
        <v>4</v>
      </c>
      <c r="F70" s="50" t="n">
        <v>4</v>
      </c>
      <c r="G70" s="27" t="s">
        <v>767</v>
      </c>
      <c r="H70" s="50" t="n">
        <f aca="false">F70</f>
        <v>4</v>
      </c>
      <c r="I70" s="51" t="n">
        <v>36500</v>
      </c>
      <c r="J70" s="28" t="n">
        <f aca="false">H70*I70</f>
        <v>146000</v>
      </c>
      <c r="K70" s="52" t="s">
        <v>548</v>
      </c>
      <c r="L70" s="7" t="s">
        <v>3187</v>
      </c>
      <c r="M70" s="7"/>
    </row>
    <row r="71" customFormat="false" ht="64.9" hidden="false" customHeight="false" outlineLevel="1" collapsed="false">
      <c r="A71" s="27"/>
      <c r="B71" s="27" t="s">
        <v>3177</v>
      </c>
      <c r="C71" s="7" t="s">
        <v>3188</v>
      </c>
      <c r="D71" s="27" t="s">
        <v>727</v>
      </c>
      <c r="E71" s="50" t="n">
        <v>16</v>
      </c>
      <c r="F71" s="50" t="n">
        <v>16</v>
      </c>
      <c r="G71" s="27" t="s">
        <v>767</v>
      </c>
      <c r="H71" s="50" t="n">
        <f aca="false">F71</f>
        <v>16</v>
      </c>
      <c r="I71" s="51" t="n">
        <v>44641</v>
      </c>
      <c r="J71" s="28" t="n">
        <f aca="false">H71*I71</f>
        <v>714256</v>
      </c>
      <c r="K71" s="52" t="s">
        <v>548</v>
      </c>
      <c r="L71" s="7" t="s">
        <v>3189</v>
      </c>
      <c r="M71" s="7" t="s">
        <v>3190</v>
      </c>
    </row>
    <row r="72" customFormat="false" ht="64.9" hidden="false" customHeight="false" outlineLevel="1" collapsed="false">
      <c r="A72" s="27"/>
      <c r="B72" s="27" t="s">
        <v>3177</v>
      </c>
      <c r="C72" s="7" t="s">
        <v>3191</v>
      </c>
      <c r="D72" s="27" t="s">
        <v>727</v>
      </c>
      <c r="E72" s="50" t="n">
        <v>4</v>
      </c>
      <c r="F72" s="50" t="n">
        <v>4</v>
      </c>
      <c r="G72" s="27" t="s">
        <v>767</v>
      </c>
      <c r="H72" s="50" t="n">
        <f aca="false">F72</f>
        <v>4</v>
      </c>
      <c r="I72" s="51" t="n">
        <v>25000</v>
      </c>
      <c r="J72" s="28" t="n">
        <f aca="false">H72*I72</f>
        <v>100000</v>
      </c>
      <c r="K72" s="52" t="s">
        <v>548</v>
      </c>
      <c r="L72" s="7" t="s">
        <v>3192</v>
      </c>
      <c r="M72" s="7"/>
    </row>
    <row r="73" customFormat="false" ht="64.9" hidden="false" customHeight="false" outlineLevel="1" collapsed="false">
      <c r="A73" s="27"/>
      <c r="B73" s="27" t="s">
        <v>3177</v>
      </c>
      <c r="C73" s="7" t="s">
        <v>3193</v>
      </c>
      <c r="D73" s="27" t="s">
        <v>727</v>
      </c>
      <c r="E73" s="50" t="n">
        <v>4</v>
      </c>
      <c r="F73" s="50" t="n">
        <v>4</v>
      </c>
      <c r="G73" s="27" t="s">
        <v>767</v>
      </c>
      <c r="H73" s="50" t="n">
        <f aca="false">F73</f>
        <v>4</v>
      </c>
      <c r="I73" s="51" t="n">
        <v>20000</v>
      </c>
      <c r="J73" s="28" t="n">
        <f aca="false">H73*I73</f>
        <v>80000</v>
      </c>
      <c r="K73" s="52" t="s">
        <v>548</v>
      </c>
      <c r="L73" s="7" t="s">
        <v>3194</v>
      </c>
      <c r="M73" s="7"/>
    </row>
    <row r="74" customFormat="false" ht="64.9" hidden="false" customHeight="false" outlineLevel="1" collapsed="false">
      <c r="A74" s="27"/>
      <c r="B74" s="27" t="s">
        <v>3177</v>
      </c>
      <c r="C74" s="7" t="s">
        <v>3195</v>
      </c>
      <c r="D74" s="27" t="s">
        <v>727</v>
      </c>
      <c r="E74" s="50" t="n">
        <v>4</v>
      </c>
      <c r="F74" s="50" t="n">
        <v>4</v>
      </c>
      <c r="G74" s="27" t="s">
        <v>767</v>
      </c>
      <c r="H74" s="50" t="n">
        <f aca="false">F74</f>
        <v>4</v>
      </c>
      <c r="I74" s="51" t="n">
        <v>108400</v>
      </c>
      <c r="J74" s="28" t="n">
        <f aca="false">H74*I74</f>
        <v>433600</v>
      </c>
      <c r="K74" s="52" t="s">
        <v>548</v>
      </c>
      <c r="L74" s="7" t="s">
        <v>3196</v>
      </c>
      <c r="M74" s="7" t="s">
        <v>2200</v>
      </c>
    </row>
    <row r="75" customFormat="false" ht="64.9" hidden="false" customHeight="false" outlineLevel="1" collapsed="false">
      <c r="A75" s="27"/>
      <c r="B75" s="27" t="s">
        <v>3177</v>
      </c>
      <c r="C75" s="7" t="s">
        <v>3197</v>
      </c>
      <c r="D75" s="27" t="s">
        <v>853</v>
      </c>
      <c r="E75" s="50" t="n">
        <v>687</v>
      </c>
      <c r="F75" s="50" t="n">
        <v>687</v>
      </c>
      <c r="G75" s="27" t="s">
        <v>865</v>
      </c>
      <c r="H75" s="50" t="n">
        <f aca="false">F75/IF(Varsayimlar!$B$21=1,1.43,1)</f>
        <v>480.41958041958</v>
      </c>
      <c r="I75" s="51" t="n">
        <v>45</v>
      </c>
      <c r="J75" s="28" t="n">
        <f aca="false">H75*I75</f>
        <v>21618.8811188811</v>
      </c>
      <c r="K75" s="52" t="s">
        <v>548</v>
      </c>
      <c r="L75" s="7" t="s">
        <v>3185</v>
      </c>
      <c r="M75" s="7"/>
    </row>
    <row r="76" customFormat="false" ht="64.9" hidden="false" customHeight="false" outlineLevel="1" collapsed="false">
      <c r="A76" s="27"/>
      <c r="B76" s="27" t="s">
        <v>3177</v>
      </c>
      <c r="C76" s="7" t="s">
        <v>3198</v>
      </c>
      <c r="D76" s="27" t="s">
        <v>853</v>
      </c>
      <c r="E76" s="50" t="n">
        <v>618</v>
      </c>
      <c r="F76" s="50" t="n">
        <v>618</v>
      </c>
      <c r="G76" s="27" t="s">
        <v>889</v>
      </c>
      <c r="H76" s="50" t="n">
        <f aca="false">F76/IF(Varsayimlar!$B$21=1,1.1,1)</f>
        <v>561.818181818182</v>
      </c>
      <c r="I76" s="51" t="n">
        <v>45</v>
      </c>
      <c r="J76" s="28" t="n">
        <f aca="false">H76*I76</f>
        <v>25281.8181818182</v>
      </c>
      <c r="K76" s="52" t="s">
        <v>548</v>
      </c>
      <c r="L76" s="7" t="s">
        <v>3185</v>
      </c>
      <c r="M76" s="7"/>
    </row>
    <row r="77" customFormat="false" ht="52.2" hidden="false" customHeight="false" outlineLevel="1" collapsed="false">
      <c r="A77" s="27"/>
      <c r="B77" s="27" t="s">
        <v>3177</v>
      </c>
      <c r="C77" s="7" t="s">
        <v>3199</v>
      </c>
      <c r="D77" s="27" t="s">
        <v>853</v>
      </c>
      <c r="E77" s="50" t="n">
        <v>143</v>
      </c>
      <c r="F77" s="50" t="n">
        <v>143</v>
      </c>
      <c r="G77" s="27" t="s">
        <v>865</v>
      </c>
      <c r="H77" s="50" t="n">
        <f aca="false">F77/IF(Varsayimlar!$B$21=1,1.43,1)</f>
        <v>100</v>
      </c>
      <c r="I77" s="51" t="n">
        <v>49.25</v>
      </c>
      <c r="J77" s="28" t="n">
        <f aca="false">H77*I77</f>
        <v>4925</v>
      </c>
      <c r="K77" s="52" t="s">
        <v>548</v>
      </c>
      <c r="L77" s="7" t="s">
        <v>3200</v>
      </c>
      <c r="M77" s="7" t="s">
        <v>2017</v>
      </c>
    </row>
    <row r="78" customFormat="false" ht="39.55" hidden="false" customHeight="false" outlineLevel="1" collapsed="false">
      <c r="A78" s="27"/>
      <c r="B78" s="27" t="s">
        <v>3177</v>
      </c>
      <c r="C78" s="7" t="s">
        <v>3201</v>
      </c>
      <c r="D78" s="27" t="s">
        <v>727</v>
      </c>
      <c r="E78" s="50" t="n">
        <v>479</v>
      </c>
      <c r="F78" s="50" t="n">
        <v>479</v>
      </c>
      <c r="G78" s="27" t="s">
        <v>829</v>
      </c>
      <c r="H78" s="50" t="n">
        <f aca="false">F78/IF(Varsayimlar!$B$21=1,1.3,1)</f>
        <v>368.461538461538</v>
      </c>
      <c r="I78" s="51" t="n">
        <v>25</v>
      </c>
      <c r="J78" s="28" t="n">
        <f aca="false">H78*I78</f>
        <v>9211.53846153846</v>
      </c>
      <c r="K78" s="53" t="s">
        <v>551</v>
      </c>
      <c r="L78" s="7" t="s">
        <v>3202</v>
      </c>
      <c r="M78" s="7"/>
    </row>
    <row r="79" customFormat="false" ht="26.85" hidden="false" customHeight="false" outlineLevel="1" collapsed="false">
      <c r="A79" s="27"/>
      <c r="B79" s="27" t="s">
        <v>3177</v>
      </c>
      <c r="C79" s="7" t="s">
        <v>3203</v>
      </c>
      <c r="D79" s="27" t="s">
        <v>816</v>
      </c>
      <c r="E79" s="50" t="n">
        <v>4</v>
      </c>
      <c r="F79" s="50" t="n">
        <v>4</v>
      </c>
      <c r="G79" s="27" t="s">
        <v>767</v>
      </c>
      <c r="H79" s="50" t="n">
        <f aca="false">F79</f>
        <v>4</v>
      </c>
      <c r="I79" s="51" t="n">
        <v>6000</v>
      </c>
      <c r="J79" s="28" t="n">
        <f aca="false">H79*I79</f>
        <v>24000</v>
      </c>
      <c r="K79" s="53" t="s">
        <v>551</v>
      </c>
      <c r="L79" s="7" t="s">
        <v>2447</v>
      </c>
      <c r="M79" s="7"/>
    </row>
    <row r="80" customFormat="false" ht="26.85" hidden="false" customHeight="false" outlineLevel="1" collapsed="false">
      <c r="A80" s="27"/>
      <c r="B80" s="27" t="s">
        <v>3177</v>
      </c>
      <c r="C80" s="7" t="s">
        <v>3204</v>
      </c>
      <c r="D80" s="27" t="s">
        <v>816</v>
      </c>
      <c r="E80" s="50" t="n">
        <v>4</v>
      </c>
      <c r="F80" s="50" t="n">
        <v>4</v>
      </c>
      <c r="G80" s="27" t="s">
        <v>767</v>
      </c>
      <c r="H80" s="50" t="n">
        <f aca="false">F80</f>
        <v>4</v>
      </c>
      <c r="I80" s="51" t="n">
        <v>4000</v>
      </c>
      <c r="J80" s="28" t="n">
        <f aca="false">H80*I80</f>
        <v>16000</v>
      </c>
      <c r="K80" s="53" t="s">
        <v>551</v>
      </c>
      <c r="L80" s="7" t="s">
        <v>2447</v>
      </c>
      <c r="M80" s="7"/>
    </row>
    <row r="81" customFormat="false" ht="26.85" hidden="false" customHeight="false" outlineLevel="1" collapsed="false">
      <c r="A81" s="27"/>
      <c r="B81" s="27" t="s">
        <v>3177</v>
      </c>
      <c r="C81" s="7" t="s">
        <v>3205</v>
      </c>
      <c r="D81" s="27" t="s">
        <v>732</v>
      </c>
      <c r="E81" s="50" t="n">
        <v>4</v>
      </c>
      <c r="F81" s="50" t="n">
        <v>4</v>
      </c>
      <c r="G81" s="27" t="s">
        <v>767</v>
      </c>
      <c r="H81" s="50" t="n">
        <f aca="false">F81</f>
        <v>4</v>
      </c>
      <c r="I81" s="51" t="n">
        <v>12000</v>
      </c>
      <c r="J81" s="28" t="n">
        <f aca="false">H81*I81</f>
        <v>48000</v>
      </c>
      <c r="K81" s="53" t="s">
        <v>551</v>
      </c>
      <c r="L81" s="7" t="s">
        <v>2447</v>
      </c>
      <c r="M81" s="7"/>
    </row>
    <row r="82" customFormat="false" ht="39.55" hidden="false" customHeight="false" outlineLevel="1" collapsed="false">
      <c r="A82" s="27"/>
      <c r="B82" s="27" t="s">
        <v>3177</v>
      </c>
      <c r="C82" s="7" t="s">
        <v>3206</v>
      </c>
      <c r="D82" s="27" t="s">
        <v>732</v>
      </c>
      <c r="E82" s="50" t="n">
        <v>4</v>
      </c>
      <c r="F82" s="50" t="n">
        <v>4</v>
      </c>
      <c r="G82" s="27" t="s">
        <v>767</v>
      </c>
      <c r="H82" s="50" t="n">
        <f aca="false">F82</f>
        <v>4</v>
      </c>
      <c r="I82" s="51" t="n">
        <v>25000</v>
      </c>
      <c r="J82" s="28" t="n">
        <f aca="false">H82*I82</f>
        <v>100000</v>
      </c>
      <c r="K82" s="53" t="s">
        <v>551</v>
      </c>
      <c r="L82" s="7" t="s">
        <v>3207</v>
      </c>
      <c r="M82" s="7"/>
    </row>
    <row r="83" customFormat="false" ht="15" hidden="false" customHeight="false" outlineLevel="0" collapsed="false">
      <c r="A83" s="48" t="s">
        <v>499</v>
      </c>
      <c r="B83" s="48" t="s">
        <v>3208</v>
      </c>
      <c r="C83" s="48" t="s">
        <v>500</v>
      </c>
      <c r="D83" s="48"/>
      <c r="E83" s="48"/>
      <c r="F83" s="48"/>
      <c r="G83" s="48"/>
      <c r="H83" s="48" t="s">
        <v>765</v>
      </c>
      <c r="I83" s="49" t="n">
        <f aca="false">SUMPRODUCT(E84:E100,I84:I100)</f>
        <v>581797</v>
      </c>
      <c r="J83" s="49" t="n">
        <f aca="false">SUM(J84:J100)</f>
        <v>577610.048951049</v>
      </c>
      <c r="K83" s="48"/>
      <c r="L83" s="48"/>
      <c r="M83" s="48"/>
    </row>
    <row r="84" customFormat="false" ht="64.9" hidden="false" customHeight="false" outlineLevel="1" collapsed="false">
      <c r="A84" s="27"/>
      <c r="B84" s="27" t="s">
        <v>3208</v>
      </c>
      <c r="C84" s="7" t="s">
        <v>3178</v>
      </c>
      <c r="D84" s="27" t="s">
        <v>727</v>
      </c>
      <c r="E84" s="50" t="n">
        <v>1</v>
      </c>
      <c r="F84" s="50" t="n">
        <v>1</v>
      </c>
      <c r="G84" s="27" t="s">
        <v>767</v>
      </c>
      <c r="H84" s="50" t="n">
        <f aca="false">F84</f>
        <v>1</v>
      </c>
      <c r="I84" s="51" t="n">
        <v>85000</v>
      </c>
      <c r="J84" s="28" t="n">
        <f aca="false">H84*I84</f>
        <v>85000</v>
      </c>
      <c r="K84" s="52" t="s">
        <v>548</v>
      </c>
      <c r="L84" s="7" t="s">
        <v>3179</v>
      </c>
      <c r="M84" s="7" t="s">
        <v>3180</v>
      </c>
    </row>
    <row r="85" customFormat="false" ht="26.85" hidden="false" customHeight="false" outlineLevel="1" collapsed="false">
      <c r="A85" s="27"/>
      <c r="B85" s="27" t="s">
        <v>3208</v>
      </c>
      <c r="C85" s="7" t="s">
        <v>3181</v>
      </c>
      <c r="D85" s="27" t="s">
        <v>816</v>
      </c>
      <c r="E85" s="50" t="n">
        <v>1</v>
      </c>
      <c r="F85" s="50" t="n">
        <v>1</v>
      </c>
      <c r="G85" s="27" t="s">
        <v>767</v>
      </c>
      <c r="H85" s="50" t="n">
        <f aca="false">F85</f>
        <v>1</v>
      </c>
      <c r="I85" s="51" t="n">
        <v>3000</v>
      </c>
      <c r="J85" s="28" t="n">
        <f aca="false">H85*I85</f>
        <v>3000</v>
      </c>
      <c r="K85" s="53" t="s">
        <v>551</v>
      </c>
      <c r="L85" s="7" t="s">
        <v>2317</v>
      </c>
      <c r="M85" s="7"/>
    </row>
    <row r="86" customFormat="false" ht="52.2" hidden="false" customHeight="false" outlineLevel="1" collapsed="false">
      <c r="A86" s="27"/>
      <c r="B86" s="27" t="s">
        <v>3208</v>
      </c>
      <c r="C86" s="7" t="s">
        <v>3182</v>
      </c>
      <c r="D86" s="27" t="s">
        <v>727</v>
      </c>
      <c r="E86" s="50" t="n">
        <v>1</v>
      </c>
      <c r="F86" s="50" t="n">
        <v>1</v>
      </c>
      <c r="G86" s="27" t="s">
        <v>767</v>
      </c>
      <c r="H86" s="50" t="n">
        <f aca="false">F86</f>
        <v>1</v>
      </c>
      <c r="I86" s="51" t="n">
        <v>48000</v>
      </c>
      <c r="J86" s="28" t="n">
        <f aca="false">H86*I86</f>
        <v>48000</v>
      </c>
      <c r="K86" s="52" t="s">
        <v>548</v>
      </c>
      <c r="L86" s="7" t="s">
        <v>3183</v>
      </c>
      <c r="M86" s="7"/>
    </row>
    <row r="87" customFormat="false" ht="64.9" hidden="false" customHeight="false" outlineLevel="1" collapsed="false">
      <c r="A87" s="27"/>
      <c r="B87" s="27" t="s">
        <v>3208</v>
      </c>
      <c r="C87" s="7" t="s">
        <v>3184</v>
      </c>
      <c r="D87" s="27" t="s">
        <v>853</v>
      </c>
      <c r="E87" s="50" t="n">
        <v>241</v>
      </c>
      <c r="F87" s="50" t="n">
        <v>241</v>
      </c>
      <c r="G87" s="27" t="s">
        <v>767</v>
      </c>
      <c r="H87" s="50" t="n">
        <f aca="false">F87</f>
        <v>241</v>
      </c>
      <c r="I87" s="51" t="n">
        <v>45</v>
      </c>
      <c r="J87" s="28" t="n">
        <f aca="false">H87*I87</f>
        <v>10845</v>
      </c>
      <c r="K87" s="52" t="s">
        <v>548</v>
      </c>
      <c r="L87" s="7" t="s">
        <v>3185</v>
      </c>
      <c r="M87" s="7"/>
    </row>
    <row r="88" customFormat="false" ht="64.9" hidden="false" customHeight="false" outlineLevel="1" collapsed="false">
      <c r="A88" s="27"/>
      <c r="B88" s="27" t="s">
        <v>3208</v>
      </c>
      <c r="C88" s="7" t="s">
        <v>3186</v>
      </c>
      <c r="D88" s="27" t="s">
        <v>727</v>
      </c>
      <c r="E88" s="50" t="n">
        <v>1</v>
      </c>
      <c r="F88" s="50" t="n">
        <v>1</v>
      </c>
      <c r="G88" s="27" t="s">
        <v>767</v>
      </c>
      <c r="H88" s="50" t="n">
        <f aca="false">F88</f>
        <v>1</v>
      </c>
      <c r="I88" s="51" t="n">
        <v>36500</v>
      </c>
      <c r="J88" s="28" t="n">
        <f aca="false">H88*I88</f>
        <v>36500</v>
      </c>
      <c r="K88" s="52" t="s">
        <v>548</v>
      </c>
      <c r="L88" s="7" t="s">
        <v>3187</v>
      </c>
      <c r="M88" s="7"/>
    </row>
    <row r="89" customFormat="false" ht="64.9" hidden="false" customHeight="false" outlineLevel="1" collapsed="false">
      <c r="A89" s="27"/>
      <c r="B89" s="27" t="s">
        <v>3208</v>
      </c>
      <c r="C89" s="7" t="s">
        <v>3188</v>
      </c>
      <c r="D89" s="27" t="s">
        <v>727</v>
      </c>
      <c r="E89" s="50" t="n">
        <v>4</v>
      </c>
      <c r="F89" s="50" t="n">
        <v>4</v>
      </c>
      <c r="G89" s="27" t="s">
        <v>767</v>
      </c>
      <c r="H89" s="50" t="n">
        <f aca="false">F89</f>
        <v>4</v>
      </c>
      <c r="I89" s="51" t="n">
        <v>44641</v>
      </c>
      <c r="J89" s="28" t="n">
        <f aca="false">H89*I89</f>
        <v>178564</v>
      </c>
      <c r="K89" s="52" t="s">
        <v>548</v>
      </c>
      <c r="L89" s="7" t="s">
        <v>3189</v>
      </c>
      <c r="M89" s="7" t="s">
        <v>3190</v>
      </c>
    </row>
    <row r="90" customFormat="false" ht="64.9" hidden="false" customHeight="false" outlineLevel="1" collapsed="false">
      <c r="A90" s="27"/>
      <c r="B90" s="27" t="s">
        <v>3208</v>
      </c>
      <c r="C90" s="7" t="s">
        <v>3191</v>
      </c>
      <c r="D90" s="27" t="s">
        <v>727</v>
      </c>
      <c r="E90" s="50" t="n">
        <v>1</v>
      </c>
      <c r="F90" s="50" t="n">
        <v>1</v>
      </c>
      <c r="G90" s="27" t="s">
        <v>767</v>
      </c>
      <c r="H90" s="50" t="n">
        <f aca="false">F90</f>
        <v>1</v>
      </c>
      <c r="I90" s="51" t="n">
        <v>25000</v>
      </c>
      <c r="J90" s="28" t="n">
        <f aca="false">H90*I90</f>
        <v>25000</v>
      </c>
      <c r="K90" s="52" t="s">
        <v>548</v>
      </c>
      <c r="L90" s="7" t="s">
        <v>3192</v>
      </c>
      <c r="M90" s="7"/>
    </row>
    <row r="91" customFormat="false" ht="64.9" hidden="false" customHeight="false" outlineLevel="1" collapsed="false">
      <c r="A91" s="27"/>
      <c r="B91" s="27" t="s">
        <v>3208</v>
      </c>
      <c r="C91" s="7" t="s">
        <v>3193</v>
      </c>
      <c r="D91" s="27" t="s">
        <v>727</v>
      </c>
      <c r="E91" s="50" t="n">
        <v>1</v>
      </c>
      <c r="F91" s="50" t="n">
        <v>1</v>
      </c>
      <c r="G91" s="27" t="s">
        <v>767</v>
      </c>
      <c r="H91" s="50" t="n">
        <f aca="false">F91</f>
        <v>1</v>
      </c>
      <c r="I91" s="51" t="n">
        <v>20000</v>
      </c>
      <c r="J91" s="28" t="n">
        <f aca="false">H91*I91</f>
        <v>20000</v>
      </c>
      <c r="K91" s="52" t="s">
        <v>548</v>
      </c>
      <c r="L91" s="7" t="s">
        <v>3194</v>
      </c>
      <c r="M91" s="7"/>
    </row>
    <row r="92" customFormat="false" ht="64.9" hidden="false" customHeight="false" outlineLevel="1" collapsed="false">
      <c r="A92" s="27"/>
      <c r="B92" s="27" t="s">
        <v>3208</v>
      </c>
      <c r="C92" s="7" t="s">
        <v>3195</v>
      </c>
      <c r="D92" s="27" t="s">
        <v>727</v>
      </c>
      <c r="E92" s="50" t="n">
        <v>1</v>
      </c>
      <c r="F92" s="50" t="n">
        <v>1</v>
      </c>
      <c r="G92" s="27" t="s">
        <v>767</v>
      </c>
      <c r="H92" s="50" t="n">
        <f aca="false">F92</f>
        <v>1</v>
      </c>
      <c r="I92" s="51" t="n">
        <v>108400</v>
      </c>
      <c r="J92" s="28" t="n">
        <f aca="false">H92*I92</f>
        <v>108400</v>
      </c>
      <c r="K92" s="52" t="s">
        <v>548</v>
      </c>
      <c r="L92" s="7" t="s">
        <v>3196</v>
      </c>
      <c r="M92" s="7" t="s">
        <v>2200</v>
      </c>
    </row>
    <row r="93" customFormat="false" ht="64.9" hidden="false" customHeight="false" outlineLevel="1" collapsed="false">
      <c r="A93" s="27"/>
      <c r="B93" s="27" t="s">
        <v>3208</v>
      </c>
      <c r="C93" s="7" t="s">
        <v>3197</v>
      </c>
      <c r="D93" s="27" t="s">
        <v>853</v>
      </c>
      <c r="E93" s="50" t="n">
        <v>172</v>
      </c>
      <c r="F93" s="50" t="n">
        <v>172</v>
      </c>
      <c r="G93" s="27" t="s">
        <v>865</v>
      </c>
      <c r="H93" s="50" t="n">
        <f aca="false">F93/IF(Varsayimlar!$B$21=1,1.43,1)</f>
        <v>120.27972027972</v>
      </c>
      <c r="I93" s="51" t="n">
        <v>45</v>
      </c>
      <c r="J93" s="28" t="n">
        <f aca="false">H93*I93</f>
        <v>5412.58741258741</v>
      </c>
      <c r="K93" s="52" t="s">
        <v>548</v>
      </c>
      <c r="L93" s="7" t="s">
        <v>3185</v>
      </c>
      <c r="M93" s="7"/>
    </row>
    <row r="94" customFormat="false" ht="64.9" hidden="false" customHeight="false" outlineLevel="1" collapsed="false">
      <c r="A94" s="27"/>
      <c r="B94" s="27" t="s">
        <v>3208</v>
      </c>
      <c r="C94" s="7" t="s">
        <v>3198</v>
      </c>
      <c r="D94" s="27" t="s">
        <v>853</v>
      </c>
      <c r="E94" s="50" t="n">
        <v>155</v>
      </c>
      <c r="F94" s="50" t="n">
        <v>155</v>
      </c>
      <c r="G94" s="27" t="s">
        <v>889</v>
      </c>
      <c r="H94" s="50" t="n">
        <f aca="false">F94/IF(Varsayimlar!$B$21=1,1.1,1)</f>
        <v>140.909090909091</v>
      </c>
      <c r="I94" s="51" t="n">
        <v>45</v>
      </c>
      <c r="J94" s="28" t="n">
        <f aca="false">H94*I94</f>
        <v>6340.90909090909</v>
      </c>
      <c r="K94" s="52" t="s">
        <v>548</v>
      </c>
      <c r="L94" s="7" t="s">
        <v>3185</v>
      </c>
      <c r="M94" s="7"/>
    </row>
    <row r="95" customFormat="false" ht="52.2" hidden="false" customHeight="false" outlineLevel="1" collapsed="false">
      <c r="A95" s="27"/>
      <c r="B95" s="27" t="s">
        <v>3208</v>
      </c>
      <c r="C95" s="7" t="s">
        <v>3199</v>
      </c>
      <c r="D95" s="27" t="s">
        <v>853</v>
      </c>
      <c r="E95" s="50" t="n">
        <v>36</v>
      </c>
      <c r="F95" s="50" t="n">
        <v>36</v>
      </c>
      <c r="G95" s="27" t="s">
        <v>865</v>
      </c>
      <c r="H95" s="50" t="n">
        <f aca="false">F95/IF(Varsayimlar!$B$21=1,1.43,1)</f>
        <v>25.1748251748252</v>
      </c>
      <c r="I95" s="51" t="n">
        <v>49.25</v>
      </c>
      <c r="J95" s="28" t="n">
        <f aca="false">H95*I95</f>
        <v>1239.86013986014</v>
      </c>
      <c r="K95" s="52" t="s">
        <v>548</v>
      </c>
      <c r="L95" s="7" t="s">
        <v>3200</v>
      </c>
      <c r="M95" s="7" t="s">
        <v>2017</v>
      </c>
    </row>
    <row r="96" customFormat="false" ht="26.85" hidden="false" customHeight="false" outlineLevel="1" collapsed="false">
      <c r="A96" s="27"/>
      <c r="B96" s="27" t="s">
        <v>3208</v>
      </c>
      <c r="C96" s="7" t="s">
        <v>3201</v>
      </c>
      <c r="D96" s="27" t="s">
        <v>727</v>
      </c>
      <c r="E96" s="50" t="n">
        <v>120</v>
      </c>
      <c r="F96" s="50" t="n">
        <v>120</v>
      </c>
      <c r="G96" s="27" t="s">
        <v>829</v>
      </c>
      <c r="H96" s="50" t="n">
        <f aca="false">F96/IF(Varsayimlar!$B$21=1,1.3,1)</f>
        <v>92.3076923076923</v>
      </c>
      <c r="I96" s="51" t="n">
        <v>25</v>
      </c>
      <c r="J96" s="28" t="n">
        <f aca="false">H96*I96</f>
        <v>2307.69230769231</v>
      </c>
      <c r="K96" s="53" t="s">
        <v>551</v>
      </c>
      <c r="L96" s="7" t="s">
        <v>2317</v>
      </c>
      <c r="M96" s="7"/>
    </row>
    <row r="97" customFormat="false" ht="26.85" hidden="false" customHeight="false" outlineLevel="1" collapsed="false">
      <c r="A97" s="27"/>
      <c r="B97" s="27" t="s">
        <v>3208</v>
      </c>
      <c r="C97" s="7" t="s">
        <v>3203</v>
      </c>
      <c r="D97" s="27" t="s">
        <v>816</v>
      </c>
      <c r="E97" s="50" t="n">
        <v>1</v>
      </c>
      <c r="F97" s="50" t="n">
        <v>1</v>
      </c>
      <c r="G97" s="27" t="s">
        <v>767</v>
      </c>
      <c r="H97" s="50" t="n">
        <f aca="false">F97</f>
        <v>1</v>
      </c>
      <c r="I97" s="51" t="n">
        <v>6000</v>
      </c>
      <c r="J97" s="28" t="n">
        <f aca="false">H97*I97</f>
        <v>6000</v>
      </c>
      <c r="K97" s="53" t="s">
        <v>551</v>
      </c>
      <c r="L97" s="7" t="s">
        <v>2447</v>
      </c>
      <c r="M97" s="7"/>
    </row>
    <row r="98" customFormat="false" ht="26.85" hidden="false" customHeight="false" outlineLevel="1" collapsed="false">
      <c r="A98" s="27"/>
      <c r="B98" s="27" t="s">
        <v>3208</v>
      </c>
      <c r="C98" s="7" t="s">
        <v>3204</v>
      </c>
      <c r="D98" s="27" t="s">
        <v>816</v>
      </c>
      <c r="E98" s="50" t="n">
        <v>1</v>
      </c>
      <c r="F98" s="50" t="n">
        <v>1</v>
      </c>
      <c r="G98" s="27" t="s">
        <v>767</v>
      </c>
      <c r="H98" s="50" t="n">
        <f aca="false">F98</f>
        <v>1</v>
      </c>
      <c r="I98" s="51" t="n">
        <v>4000</v>
      </c>
      <c r="J98" s="28" t="n">
        <f aca="false">H98*I98</f>
        <v>4000</v>
      </c>
      <c r="K98" s="53" t="s">
        <v>551</v>
      </c>
      <c r="L98" s="7" t="s">
        <v>2317</v>
      </c>
      <c r="M98" s="7"/>
    </row>
    <row r="99" customFormat="false" ht="26.85" hidden="false" customHeight="false" outlineLevel="1" collapsed="false">
      <c r="A99" s="27"/>
      <c r="B99" s="27" t="s">
        <v>3208</v>
      </c>
      <c r="C99" s="7" t="s">
        <v>3205</v>
      </c>
      <c r="D99" s="27" t="s">
        <v>732</v>
      </c>
      <c r="E99" s="50" t="n">
        <v>1</v>
      </c>
      <c r="F99" s="50" t="n">
        <v>1</v>
      </c>
      <c r="G99" s="27" t="s">
        <v>767</v>
      </c>
      <c r="H99" s="50" t="n">
        <f aca="false">F99</f>
        <v>1</v>
      </c>
      <c r="I99" s="51" t="n">
        <v>12000</v>
      </c>
      <c r="J99" s="28" t="n">
        <f aca="false">H99*I99</f>
        <v>12000</v>
      </c>
      <c r="K99" s="53" t="s">
        <v>551</v>
      </c>
      <c r="L99" s="7" t="s">
        <v>2447</v>
      </c>
      <c r="M99" s="7"/>
    </row>
    <row r="100" customFormat="false" ht="39.55" hidden="false" customHeight="false" outlineLevel="1" collapsed="false">
      <c r="A100" s="27"/>
      <c r="B100" s="27" t="s">
        <v>3208</v>
      </c>
      <c r="C100" s="7" t="s">
        <v>3206</v>
      </c>
      <c r="D100" s="27" t="s">
        <v>732</v>
      </c>
      <c r="E100" s="50" t="n">
        <v>1</v>
      </c>
      <c r="F100" s="50" t="n">
        <v>1</v>
      </c>
      <c r="G100" s="27" t="s">
        <v>767</v>
      </c>
      <c r="H100" s="50" t="n">
        <f aca="false">F100</f>
        <v>1</v>
      </c>
      <c r="I100" s="51" t="n">
        <v>25000</v>
      </c>
      <c r="J100" s="28" t="n">
        <f aca="false">H100*I100</f>
        <v>25000</v>
      </c>
      <c r="K100" s="53" t="s">
        <v>551</v>
      </c>
      <c r="L100" s="7" t="s">
        <v>3207</v>
      </c>
      <c r="M100" s="7"/>
    </row>
    <row r="101" customFormat="false" ht="15" hidden="false" customHeight="false" outlineLevel="0" collapsed="false">
      <c r="A101" s="48" t="s">
        <v>501</v>
      </c>
      <c r="B101" s="48" t="s">
        <v>3209</v>
      </c>
      <c r="C101" s="48" t="s">
        <v>502</v>
      </c>
      <c r="D101" s="48"/>
      <c r="E101" s="48"/>
      <c r="F101" s="48"/>
      <c r="G101" s="48"/>
      <c r="H101" s="48" t="s">
        <v>765</v>
      </c>
      <c r="I101" s="49" t="n">
        <f aca="false">SUMPRODUCT(E102:E106,I102:I106)</f>
        <v>39620.7</v>
      </c>
      <c r="J101" s="49" t="n">
        <f aca="false">SUM(J102:J106)</f>
        <v>38018.0909090909</v>
      </c>
      <c r="K101" s="48"/>
      <c r="L101" s="48"/>
      <c r="M101" s="48"/>
    </row>
    <row r="102" customFormat="false" ht="52.2" hidden="false" customHeight="false" outlineLevel="1" collapsed="false">
      <c r="A102" s="27"/>
      <c r="B102" s="27" t="s">
        <v>3209</v>
      </c>
      <c r="C102" s="7" t="s">
        <v>3210</v>
      </c>
      <c r="D102" s="27" t="s">
        <v>853</v>
      </c>
      <c r="E102" s="50" t="n">
        <v>1019</v>
      </c>
      <c r="F102" s="50" t="n">
        <v>1019</v>
      </c>
      <c r="G102" s="27" t="s">
        <v>889</v>
      </c>
      <c r="H102" s="50" t="n">
        <f aca="false">F102/IF(Varsayimlar!$B$21=1,1.1,1)</f>
        <v>926.363636363636</v>
      </c>
      <c r="I102" s="51" t="n">
        <v>17.3</v>
      </c>
      <c r="J102" s="28" t="n">
        <f aca="false">H102*I102</f>
        <v>16026.0909090909</v>
      </c>
      <c r="K102" s="52" t="s">
        <v>548</v>
      </c>
      <c r="L102" s="7" t="s">
        <v>3211</v>
      </c>
      <c r="M102" s="7" t="s">
        <v>2677</v>
      </c>
    </row>
    <row r="103" customFormat="false" ht="52.2" hidden="false" customHeight="false" outlineLevel="1" collapsed="false">
      <c r="A103" s="27"/>
      <c r="B103" s="27" t="s">
        <v>3209</v>
      </c>
      <c r="C103" s="7" t="s">
        <v>3212</v>
      </c>
      <c r="D103" s="27" t="s">
        <v>727</v>
      </c>
      <c r="E103" s="50" t="n">
        <v>63</v>
      </c>
      <c r="F103" s="50" t="n">
        <v>63</v>
      </c>
      <c r="G103" s="27" t="s">
        <v>767</v>
      </c>
      <c r="H103" s="50" t="n">
        <f aca="false">F103</f>
        <v>63</v>
      </c>
      <c r="I103" s="51" t="n">
        <v>84</v>
      </c>
      <c r="J103" s="28" t="n">
        <f aca="false">H103*I103</f>
        <v>5292</v>
      </c>
      <c r="K103" s="52" t="s">
        <v>548</v>
      </c>
      <c r="L103" s="7" t="s">
        <v>3213</v>
      </c>
      <c r="M103" s="7" t="s">
        <v>1927</v>
      </c>
    </row>
    <row r="104" customFormat="false" ht="26.85" hidden="false" customHeight="false" outlineLevel="1" collapsed="false">
      <c r="A104" s="27"/>
      <c r="B104" s="27" t="s">
        <v>3209</v>
      </c>
      <c r="C104" s="7" t="s">
        <v>3214</v>
      </c>
      <c r="D104" s="27" t="s">
        <v>732</v>
      </c>
      <c r="E104" s="50" t="n">
        <v>1</v>
      </c>
      <c r="F104" s="50" t="n">
        <v>1</v>
      </c>
      <c r="G104" s="27" t="s">
        <v>767</v>
      </c>
      <c r="H104" s="50" t="n">
        <f aca="false">F104</f>
        <v>1</v>
      </c>
      <c r="I104" s="51" t="n">
        <v>10500</v>
      </c>
      <c r="J104" s="28" t="n">
        <f aca="false">H104*I104</f>
        <v>10500</v>
      </c>
      <c r="K104" s="53" t="s">
        <v>551</v>
      </c>
      <c r="L104" s="7" t="s">
        <v>2447</v>
      </c>
      <c r="M104" s="7"/>
    </row>
    <row r="105" customFormat="false" ht="26.85" hidden="false" customHeight="false" outlineLevel="1" collapsed="false">
      <c r="A105" s="27"/>
      <c r="B105" s="27" t="s">
        <v>3209</v>
      </c>
      <c r="C105" s="7" t="s">
        <v>3215</v>
      </c>
      <c r="D105" s="27" t="s">
        <v>727</v>
      </c>
      <c r="E105" s="50" t="n">
        <v>120</v>
      </c>
      <c r="F105" s="50" t="n">
        <v>120</v>
      </c>
      <c r="G105" s="27" t="s">
        <v>767</v>
      </c>
      <c r="H105" s="50" t="n">
        <f aca="false">F105</f>
        <v>120</v>
      </c>
      <c r="I105" s="51" t="n">
        <v>25</v>
      </c>
      <c r="J105" s="28" t="n">
        <f aca="false">H105*I105</f>
        <v>3000</v>
      </c>
      <c r="K105" s="53" t="s">
        <v>551</v>
      </c>
      <c r="L105" s="7" t="s">
        <v>2317</v>
      </c>
      <c r="M105" s="7"/>
    </row>
    <row r="106" customFormat="false" ht="26.85" hidden="false" customHeight="false" outlineLevel="1" collapsed="false">
      <c r="A106" s="27"/>
      <c r="B106" s="27" t="s">
        <v>3209</v>
      </c>
      <c r="C106" s="7" t="s">
        <v>3216</v>
      </c>
      <c r="D106" s="27" t="s">
        <v>732</v>
      </c>
      <c r="E106" s="50" t="n">
        <v>4</v>
      </c>
      <c r="F106" s="50" t="n">
        <v>4</v>
      </c>
      <c r="G106" s="27" t="s">
        <v>767</v>
      </c>
      <c r="H106" s="50" t="n">
        <f aca="false">F106</f>
        <v>4</v>
      </c>
      <c r="I106" s="51" t="n">
        <v>800</v>
      </c>
      <c r="J106" s="28" t="n">
        <f aca="false">H106*I106</f>
        <v>3200</v>
      </c>
      <c r="K106" s="53" t="s">
        <v>551</v>
      </c>
      <c r="L106" s="7" t="s">
        <v>2317</v>
      </c>
      <c r="M106" s="7"/>
    </row>
    <row r="107" customFormat="false" ht="15" hidden="false" customHeight="false" outlineLevel="0" collapsed="false">
      <c r="A107" s="48" t="s">
        <v>503</v>
      </c>
      <c r="B107" s="48" t="s">
        <v>3217</v>
      </c>
      <c r="C107" s="48" t="s">
        <v>504</v>
      </c>
      <c r="D107" s="48"/>
      <c r="E107" s="48"/>
      <c r="F107" s="48"/>
      <c r="G107" s="48"/>
      <c r="H107" s="48" t="s">
        <v>765</v>
      </c>
      <c r="I107" s="49" t="n">
        <f aca="false">SUMPRODUCT(E108:E108,I108:I108)</f>
        <v>92000</v>
      </c>
      <c r="J107" s="49" t="n">
        <f aca="false">SUM(J108:J108)</f>
        <v>92000</v>
      </c>
      <c r="K107" s="48"/>
      <c r="L107" s="48"/>
      <c r="M107" s="48"/>
    </row>
    <row r="108" customFormat="false" ht="90.25" hidden="false" customHeight="false" outlineLevel="1" collapsed="false">
      <c r="A108" s="27"/>
      <c r="B108" s="27" t="s">
        <v>3217</v>
      </c>
      <c r="C108" s="7" t="s">
        <v>3218</v>
      </c>
      <c r="D108" s="27" t="s">
        <v>732</v>
      </c>
      <c r="E108" s="50" t="n">
        <v>4</v>
      </c>
      <c r="F108" s="50" t="n">
        <v>4</v>
      </c>
      <c r="G108" s="27" t="s">
        <v>767</v>
      </c>
      <c r="H108" s="50" t="n">
        <f aca="false">F108</f>
        <v>4</v>
      </c>
      <c r="I108" s="51" t="n">
        <v>23000</v>
      </c>
      <c r="J108" s="28" t="n">
        <f aca="false">H108*I108</f>
        <v>92000</v>
      </c>
      <c r="K108" s="52" t="s">
        <v>548</v>
      </c>
      <c r="L108" s="7" t="s">
        <v>3219</v>
      </c>
      <c r="M108" s="7"/>
    </row>
    <row r="109" customFormat="false" ht="15" hidden="false" customHeight="false" outlineLevel="0" collapsed="false">
      <c r="A109" s="48" t="s">
        <v>505</v>
      </c>
      <c r="B109" s="48" t="s">
        <v>3220</v>
      </c>
      <c r="C109" s="48" t="s">
        <v>506</v>
      </c>
      <c r="D109" s="48"/>
      <c r="E109" s="48"/>
      <c r="F109" s="48"/>
      <c r="G109" s="48"/>
      <c r="H109" s="48" t="s">
        <v>765</v>
      </c>
      <c r="I109" s="49" t="n">
        <f aca="false">SUMPRODUCT(E110:E110,I110:I110)</f>
        <v>23000</v>
      </c>
      <c r="J109" s="49" t="n">
        <f aca="false">SUM(J110:J110)</f>
        <v>23000</v>
      </c>
      <c r="K109" s="48"/>
      <c r="L109" s="48"/>
      <c r="M109" s="48"/>
    </row>
    <row r="110" customFormat="false" ht="26.85" hidden="false" customHeight="false" outlineLevel="1" collapsed="false">
      <c r="A110" s="27"/>
      <c r="B110" s="27" t="s">
        <v>3220</v>
      </c>
      <c r="C110" s="7" t="s">
        <v>3221</v>
      </c>
      <c r="D110" s="27" t="s">
        <v>732</v>
      </c>
      <c r="E110" s="50" t="n">
        <v>1</v>
      </c>
      <c r="F110" s="50" t="n">
        <v>1</v>
      </c>
      <c r="G110" s="27" t="s">
        <v>767</v>
      </c>
      <c r="H110" s="50" t="n">
        <f aca="false">F110</f>
        <v>1</v>
      </c>
      <c r="I110" s="51" t="n">
        <v>23000</v>
      </c>
      <c r="J110" s="28" t="n">
        <f aca="false">H110*I110</f>
        <v>23000</v>
      </c>
      <c r="K110" s="52" t="s">
        <v>548</v>
      </c>
      <c r="L110" s="7" t="s">
        <v>3222</v>
      </c>
      <c r="M110" s="7"/>
    </row>
    <row r="111" customFormat="false" ht="15" hidden="false" customHeight="false" outlineLevel="0" collapsed="false">
      <c r="A111" s="48" t="s">
        <v>507</v>
      </c>
      <c r="B111" s="48" t="s">
        <v>3223</v>
      </c>
      <c r="C111" s="48" t="s">
        <v>508</v>
      </c>
      <c r="D111" s="48"/>
      <c r="E111" s="48"/>
      <c r="F111" s="48"/>
      <c r="G111" s="48"/>
      <c r="H111" s="48" t="s">
        <v>765</v>
      </c>
      <c r="I111" s="49" t="n">
        <f aca="false">SUMPRODUCT(E112:E113,I112:I113)</f>
        <v>47446</v>
      </c>
      <c r="J111" s="49" t="n">
        <f aca="false">SUM(J112:J113)</f>
        <v>47446</v>
      </c>
      <c r="K111" s="48"/>
      <c r="L111" s="48"/>
      <c r="M111" s="48"/>
    </row>
    <row r="112" customFormat="false" ht="64.9" hidden="false" customHeight="false" outlineLevel="1" collapsed="false">
      <c r="A112" s="27"/>
      <c r="B112" s="27" t="s">
        <v>3223</v>
      </c>
      <c r="C112" s="7" t="s">
        <v>3224</v>
      </c>
      <c r="D112" s="27" t="s">
        <v>732</v>
      </c>
      <c r="E112" s="50" t="n">
        <v>6</v>
      </c>
      <c r="F112" s="50" t="n">
        <v>6</v>
      </c>
      <c r="G112" s="27" t="s">
        <v>767</v>
      </c>
      <c r="H112" s="50" t="n">
        <f aca="false">F112</f>
        <v>6</v>
      </c>
      <c r="I112" s="51" t="n">
        <v>3850</v>
      </c>
      <c r="J112" s="28" t="n">
        <f aca="false">H112*I112</f>
        <v>23100</v>
      </c>
      <c r="K112" s="52" t="s">
        <v>548</v>
      </c>
      <c r="L112" s="7" t="s">
        <v>3225</v>
      </c>
      <c r="M112" s="7" t="s">
        <v>1855</v>
      </c>
    </row>
    <row r="113" customFormat="false" ht="26.85" hidden="false" customHeight="false" outlineLevel="1" collapsed="false">
      <c r="A113" s="27"/>
      <c r="B113" s="27" t="s">
        <v>3223</v>
      </c>
      <c r="C113" s="7" t="s">
        <v>3226</v>
      </c>
      <c r="D113" s="27" t="s">
        <v>732</v>
      </c>
      <c r="E113" s="50" t="n">
        <v>1</v>
      </c>
      <c r="F113" s="50" t="n">
        <v>1</v>
      </c>
      <c r="G113" s="27" t="s">
        <v>767</v>
      </c>
      <c r="H113" s="50" t="n">
        <f aca="false">F113</f>
        <v>1</v>
      </c>
      <c r="I113" s="51" t="n">
        <v>24346</v>
      </c>
      <c r="J113" s="28" t="n">
        <f aca="false">H113*I113</f>
        <v>24346</v>
      </c>
      <c r="K113" s="52" t="s">
        <v>548</v>
      </c>
      <c r="L113" s="7" t="s">
        <v>3227</v>
      </c>
      <c r="M113" s="7"/>
    </row>
    <row r="114" customFormat="false" ht="15" hidden="false" customHeight="false" outlineLevel="0" collapsed="false">
      <c r="A114" s="48" t="s">
        <v>509</v>
      </c>
      <c r="B114" s="48" t="s">
        <v>3228</v>
      </c>
      <c r="C114" s="48" t="s">
        <v>510</v>
      </c>
      <c r="D114" s="48"/>
      <c r="E114" s="48"/>
      <c r="F114" s="48"/>
      <c r="G114" s="48"/>
      <c r="H114" s="48" t="s">
        <v>765</v>
      </c>
      <c r="I114" s="49" t="n">
        <f aca="false">SUMPRODUCT(E115:E116,I115:I116)</f>
        <v>69544</v>
      </c>
      <c r="J114" s="49" t="n">
        <f aca="false">SUM(J115:J116)</f>
        <v>69544</v>
      </c>
      <c r="K114" s="48"/>
      <c r="L114" s="48"/>
      <c r="M114" s="48"/>
    </row>
    <row r="115" customFormat="false" ht="52.2" hidden="false" customHeight="false" outlineLevel="1" collapsed="false">
      <c r="A115" s="27"/>
      <c r="B115" s="27" t="s">
        <v>3228</v>
      </c>
      <c r="C115" s="7" t="s">
        <v>3229</v>
      </c>
      <c r="D115" s="27" t="s">
        <v>732</v>
      </c>
      <c r="E115" s="50" t="n">
        <v>4</v>
      </c>
      <c r="F115" s="50" t="n">
        <v>4</v>
      </c>
      <c r="G115" s="27" t="s">
        <v>767</v>
      </c>
      <c r="H115" s="50" t="n">
        <f aca="false">F115</f>
        <v>4</v>
      </c>
      <c r="I115" s="51" t="n">
        <v>11136</v>
      </c>
      <c r="J115" s="28" t="n">
        <f aca="false">H115*I115</f>
        <v>44544</v>
      </c>
      <c r="K115" s="52" t="s">
        <v>548</v>
      </c>
      <c r="L115" s="7" t="s">
        <v>3230</v>
      </c>
      <c r="M115" s="7" t="s">
        <v>3231</v>
      </c>
    </row>
    <row r="116" customFormat="false" ht="26.85" hidden="false" customHeight="false" outlineLevel="1" collapsed="false">
      <c r="A116" s="27"/>
      <c r="B116" s="27" t="s">
        <v>3228</v>
      </c>
      <c r="C116" s="7" t="s">
        <v>3232</v>
      </c>
      <c r="D116" s="27" t="s">
        <v>732</v>
      </c>
      <c r="E116" s="50" t="n">
        <v>1</v>
      </c>
      <c r="F116" s="50" t="n">
        <v>1</v>
      </c>
      <c r="G116" s="27" t="s">
        <v>767</v>
      </c>
      <c r="H116" s="50" t="n">
        <f aca="false">F116</f>
        <v>1</v>
      </c>
      <c r="I116" s="51" t="n">
        <v>25000</v>
      </c>
      <c r="J116" s="28" t="n">
        <f aca="false">H116*I116</f>
        <v>25000</v>
      </c>
      <c r="K116" s="53" t="s">
        <v>551</v>
      </c>
      <c r="L116" s="7" t="s">
        <v>2447</v>
      </c>
      <c r="M116" s="7"/>
    </row>
    <row r="117" customFormat="false" ht="15" hidden="false" customHeight="false" outlineLevel="0" collapsed="false">
      <c r="A117" s="48" t="s">
        <v>511</v>
      </c>
      <c r="B117" s="48" t="s">
        <v>3233</v>
      </c>
      <c r="C117" s="48" t="s">
        <v>512</v>
      </c>
      <c r="D117" s="48"/>
      <c r="E117" s="48"/>
      <c r="F117" s="48"/>
      <c r="G117" s="48"/>
      <c r="H117" s="48" t="s">
        <v>765</v>
      </c>
      <c r="I117" s="49" t="n">
        <f aca="false">SUMPRODUCT(E118:E118,I118:I118)</f>
        <v>98015</v>
      </c>
      <c r="J117" s="49" t="n">
        <f aca="false">SUM(J118:J118)</f>
        <v>98015</v>
      </c>
      <c r="K117" s="48"/>
      <c r="L117" s="48"/>
      <c r="M117" s="48"/>
    </row>
    <row r="118" customFormat="false" ht="39.55" hidden="false" customHeight="false" outlineLevel="1" collapsed="false">
      <c r="A118" s="27"/>
      <c r="B118" s="27" t="s">
        <v>3233</v>
      </c>
      <c r="C118" s="7" t="s">
        <v>3234</v>
      </c>
      <c r="D118" s="27" t="s">
        <v>732</v>
      </c>
      <c r="E118" s="50" t="n">
        <v>1</v>
      </c>
      <c r="F118" s="50" t="n">
        <v>1</v>
      </c>
      <c r="G118" s="27" t="s">
        <v>767</v>
      </c>
      <c r="H118" s="50" t="n">
        <f aca="false">F118</f>
        <v>1</v>
      </c>
      <c r="I118" s="51" t="n">
        <v>98015</v>
      </c>
      <c r="J118" s="28" t="n">
        <f aca="false">H118*I118</f>
        <v>98015</v>
      </c>
      <c r="K118" s="52" t="s">
        <v>548</v>
      </c>
      <c r="L118" s="7" t="s">
        <v>3235</v>
      </c>
      <c r="M118" s="7" t="s">
        <v>3236</v>
      </c>
    </row>
    <row r="119" customFormat="false" ht="15" hidden="false" customHeight="false" outlineLevel="0" collapsed="false">
      <c r="A119" s="48" t="s">
        <v>513</v>
      </c>
      <c r="B119" s="48" t="s">
        <v>3237</v>
      </c>
      <c r="C119" s="48" t="s">
        <v>514</v>
      </c>
      <c r="D119" s="48"/>
      <c r="E119" s="48"/>
      <c r="F119" s="48"/>
      <c r="G119" s="48"/>
      <c r="H119" s="48" t="s">
        <v>765</v>
      </c>
      <c r="I119" s="49" t="n">
        <f aca="false">SUMPRODUCT(E120:E121,I120:I121)</f>
        <v>80000</v>
      </c>
      <c r="J119" s="49" t="n">
        <f aca="false">SUM(J120:J121)</f>
        <v>80000</v>
      </c>
      <c r="K119" s="48"/>
      <c r="L119" s="48"/>
      <c r="M119" s="48"/>
    </row>
    <row r="120" customFormat="false" ht="26.85" hidden="false" customHeight="false" outlineLevel="1" collapsed="false">
      <c r="A120" s="27"/>
      <c r="B120" s="27" t="s">
        <v>3237</v>
      </c>
      <c r="C120" s="7" t="s">
        <v>3238</v>
      </c>
      <c r="D120" s="27" t="s">
        <v>732</v>
      </c>
      <c r="E120" s="50" t="n">
        <v>1</v>
      </c>
      <c r="F120" s="50" t="n">
        <v>1</v>
      </c>
      <c r="G120" s="27" t="s">
        <v>767</v>
      </c>
      <c r="H120" s="50" t="n">
        <f aca="false">F120</f>
        <v>1</v>
      </c>
      <c r="I120" s="51" t="n">
        <v>28000</v>
      </c>
      <c r="J120" s="28" t="n">
        <f aca="false">H120*I120</f>
        <v>28000</v>
      </c>
      <c r="K120" s="53" t="s">
        <v>551</v>
      </c>
      <c r="L120" s="7" t="s">
        <v>2447</v>
      </c>
      <c r="M120" s="7"/>
    </row>
    <row r="121" customFormat="false" ht="26.85" hidden="false" customHeight="false" outlineLevel="1" collapsed="false">
      <c r="A121" s="27"/>
      <c r="B121" s="27" t="s">
        <v>3237</v>
      </c>
      <c r="C121" s="7" t="s">
        <v>3239</v>
      </c>
      <c r="D121" s="27" t="s">
        <v>732</v>
      </c>
      <c r="E121" s="50" t="n">
        <v>1</v>
      </c>
      <c r="F121" s="50" t="n">
        <v>1</v>
      </c>
      <c r="G121" s="27" t="s">
        <v>767</v>
      </c>
      <c r="H121" s="50" t="n">
        <f aca="false">F121</f>
        <v>1</v>
      </c>
      <c r="I121" s="51" t="n">
        <v>52000</v>
      </c>
      <c r="J121" s="28" t="n">
        <f aca="false">H121*I121</f>
        <v>52000</v>
      </c>
      <c r="K121" s="53" t="s">
        <v>551</v>
      </c>
      <c r="L121" s="7" t="s">
        <v>2447</v>
      </c>
      <c r="M121" s="7"/>
    </row>
    <row r="122" customFormat="false" ht="15" hidden="false" customHeight="false" outlineLevel="0" collapsed="false">
      <c r="A122" s="48" t="s">
        <v>515</v>
      </c>
      <c r="B122" s="48" t="s">
        <v>3240</v>
      </c>
      <c r="C122" s="48" t="s">
        <v>516</v>
      </c>
      <c r="D122" s="48"/>
      <c r="E122" s="48"/>
      <c r="F122" s="48"/>
      <c r="G122" s="48"/>
      <c r="H122" s="48" t="s">
        <v>765</v>
      </c>
      <c r="I122" s="49" t="n">
        <f aca="false">SUMPRODUCT(E123:E123,I123:I123)</f>
        <v>44000</v>
      </c>
      <c r="J122" s="49" t="n">
        <f aca="false">SUM(J123:J123)</f>
        <v>44000</v>
      </c>
      <c r="K122" s="48"/>
      <c r="L122" s="48"/>
      <c r="M122" s="48"/>
    </row>
    <row r="123" customFormat="false" ht="52.2" hidden="false" customHeight="false" outlineLevel="1" collapsed="false">
      <c r="A123" s="27"/>
      <c r="B123" s="27" t="s">
        <v>3240</v>
      </c>
      <c r="C123" s="7" t="s">
        <v>3241</v>
      </c>
      <c r="D123" s="27" t="s">
        <v>732</v>
      </c>
      <c r="E123" s="50" t="n">
        <v>1</v>
      </c>
      <c r="F123" s="50" t="n">
        <v>1</v>
      </c>
      <c r="G123" s="27" t="s">
        <v>767</v>
      </c>
      <c r="H123" s="50" t="n">
        <f aca="false">F123</f>
        <v>1</v>
      </c>
      <c r="I123" s="51" t="n">
        <v>44000</v>
      </c>
      <c r="J123" s="28" t="n">
        <f aca="false">H123*I123</f>
        <v>44000</v>
      </c>
      <c r="K123" s="53" t="s">
        <v>551</v>
      </c>
      <c r="L123" s="7" t="s">
        <v>3242</v>
      </c>
      <c r="M123" s="7"/>
    </row>
    <row r="125" customFormat="false" ht="15" hidden="false" customHeight="false" outlineLevel="0" collapsed="false">
      <c r="C125" s="14" t="s">
        <v>1660</v>
      </c>
      <c r="J125" s="56" t="n">
        <f aca="false">J5+J8+J16+J31+J43+J45+J49+J53+J57+J59+J61+J63+J65+J83+J101+J107+J109+J111+J114+J117+J119+J122</f>
        <v>6526541.16251748</v>
      </c>
    </row>
    <row r="126" customFormat="false" ht="15" hidden="false" customHeight="false" outlineLevel="0" collapsed="false">
      <c r="C126" s="14" t="s">
        <v>1661</v>
      </c>
      <c r="J126" s="56" t="n">
        <f aca="false">I5+I8+I16+I31+I43+I45+I49+I53+I57+I59+I61+I63+I65+I83+I101+I107+I109+I111+I114+I117+I119+I122</f>
        <v>6509747.18</v>
      </c>
    </row>
    <row r="127" customFormat="false" ht="15" hidden="false" customHeight="false" outlineLevel="0" collapsed="false">
      <c r="C127" s="14" t="s">
        <v>1662</v>
      </c>
      <c r="J127" s="56" t="n">
        <f aca="false">J125-J126</f>
        <v>16793.9825174827</v>
      </c>
    </row>
    <row r="129" customFormat="false" ht="15" hidden="false" customHeight="false" outlineLevel="0" collapsed="false">
      <c r="C129" s="19" t="s">
        <v>1663</v>
      </c>
    </row>
    <row r="130" customFormat="false" ht="15" hidden="false" customHeight="false" outlineLevel="0" collapsed="false">
      <c r="C130" s="57" t="s">
        <v>545</v>
      </c>
      <c r="J130" s="23" t="n">
        <f aca="false">SUMIF($K$5:$K$123,"2026 TEKLİF",$J$5:$J$123)</f>
        <v>0</v>
      </c>
      <c r="K130" s="58" t="n">
        <f aca="false">IF($J$125=0,0,J130/$J$125)</f>
        <v>0</v>
      </c>
    </row>
    <row r="131" customFormat="false" ht="15" hidden="false" customHeight="false" outlineLevel="0" collapsed="false">
      <c r="C131" s="59" t="s">
        <v>548</v>
      </c>
      <c r="J131" s="23" t="n">
        <f aca="false">SUMIF($K$5:$K$123,"GEÇMİŞ TEKLİF UYARLAMA",$J$5:$J$123)</f>
        <v>5132319.02097902</v>
      </c>
      <c r="K131" s="58" t="n">
        <f aca="false">IF($J$125=0,0,J131/$J$125)</f>
        <v>0.786376565040974</v>
      </c>
    </row>
    <row r="132" customFormat="false" ht="15" hidden="false" customHeight="false" outlineLevel="0" collapsed="false">
      <c r="C132" s="60" t="s">
        <v>551</v>
      </c>
      <c r="J132" s="23" t="n">
        <f aca="false">SUMIF($K$5:$K$123,"MÜHENDİSLİK TAHMİNİ",$J$5:$J$123)</f>
        <v>1394222.14153846</v>
      </c>
      <c r="K132" s="58" t="n">
        <f aca="false">IF($J$125=0,0,J132/$J$125)</f>
        <v>0.213623434959026</v>
      </c>
    </row>
    <row r="133" customFormat="false" ht="15" hidden="false" customHeight="false" outlineLevel="0" collapsed="false">
      <c r="C133" s="61" t="s">
        <v>1664</v>
      </c>
      <c r="J133" s="23" t="n">
        <f aca="false">SUMPRODUCT(($K$5:$K$123="KAPSAM DIŞI (0)")*$E$5:$E$123*$I$5:$I$123)</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3243</v>
      </c>
    </row>
    <row r="2" customFormat="false" ht="48" hidden="false" customHeight="true" outlineLevel="0" collapsed="false">
      <c r="A2" s="2" t="s">
        <v>753</v>
      </c>
      <c r="B2" s="2"/>
      <c r="C2" s="2"/>
      <c r="D2" s="2"/>
      <c r="E2" s="2"/>
      <c r="F2" s="2"/>
      <c r="G2" s="2"/>
      <c r="H2" s="2"/>
      <c r="I2" s="2"/>
      <c r="J2" s="2"/>
      <c r="K2" s="2"/>
      <c r="L2" s="2"/>
      <c r="M2" s="2"/>
    </row>
    <row r="3" customFormat="false" ht="21.75" hidden="false" customHeight="true" outlineLevel="0" collapsed="false">
      <c r="A3" s="46" t="s">
        <v>754</v>
      </c>
      <c r="B3" s="46"/>
      <c r="C3" s="47" t="str">
        <f aca="false">"Kalem bazlı toplam: "&amp;TEXT(J96,"#,##0")&amp;" €   |   2026 teklif: "&amp;TEXT(K101,"0%")&amp;"   |   Geçmiş teklif uyarlaması: "&amp;TEXT(K102,"0%")&amp;"   |   Tahmin: "&amp;TEXT(K103,"0%")&amp;"   |   Kalem kalem görmek için sol kenardaki [+] / [1][2] düğmelerini kullanın"</f>
        <v>Kalem bazlı toplam: 2,104,681 €   |   2026 teklif: 0%   |   Geçmiş teklif uyarlaması: 78%   |   Tahmin: 22%   |   Kalem kalem görmek için sol kenardaki [+] / [1][2] düğmelerini kullanın</v>
      </c>
      <c r="D3" s="47"/>
      <c r="E3" s="47"/>
      <c r="F3" s="47"/>
      <c r="G3" s="47"/>
      <c r="H3" s="47"/>
      <c r="I3" s="47"/>
      <c r="J3" s="47"/>
      <c r="K3" s="47"/>
      <c r="L3" s="47"/>
      <c r="M3" s="47"/>
    </row>
    <row r="4" customFormat="false" ht="42" hidden="false" customHeight="true" outlineLevel="0" collapsed="false">
      <c r="A4" s="3" t="s">
        <v>120</v>
      </c>
      <c r="B4" s="3" t="s">
        <v>755</v>
      </c>
      <c r="C4" s="3" t="s">
        <v>756</v>
      </c>
      <c r="D4" s="3" t="s">
        <v>720</v>
      </c>
      <c r="E4" s="3" t="s">
        <v>757</v>
      </c>
      <c r="F4" s="3" t="s">
        <v>758</v>
      </c>
      <c r="G4" s="3" t="s">
        <v>759</v>
      </c>
      <c r="H4" s="3" t="s">
        <v>760</v>
      </c>
      <c r="I4" s="3" t="s">
        <v>761</v>
      </c>
      <c r="J4" s="3" t="s">
        <v>122</v>
      </c>
      <c r="K4" s="3" t="s">
        <v>95</v>
      </c>
      <c r="L4" s="3" t="s">
        <v>762</v>
      </c>
      <c r="M4" s="3" t="s">
        <v>763</v>
      </c>
    </row>
    <row r="5" customFormat="false" ht="15" hidden="false" customHeight="false" outlineLevel="0" collapsed="false">
      <c r="A5" s="48" t="s">
        <v>518</v>
      </c>
      <c r="B5" s="48" t="s">
        <v>3244</v>
      </c>
      <c r="C5" s="48" t="s">
        <v>519</v>
      </c>
      <c r="D5" s="48"/>
      <c r="E5" s="48"/>
      <c r="F5" s="48"/>
      <c r="G5" s="48"/>
      <c r="H5" s="48" t="s">
        <v>765</v>
      </c>
      <c r="I5" s="49" t="n">
        <f aca="false">SUMPRODUCT(E6:E41,I6:I41)</f>
        <v>2208340.91</v>
      </c>
      <c r="J5" s="49" t="n">
        <f aca="false">SUM(J6:J41)</f>
        <v>1200707.59811623</v>
      </c>
      <c r="K5" s="48"/>
      <c r="L5" s="48"/>
      <c r="M5" s="48"/>
    </row>
    <row r="6" customFormat="false" ht="52.2" hidden="false" customHeight="false" outlineLevel="1" collapsed="false">
      <c r="A6" s="27"/>
      <c r="B6" s="27" t="s">
        <v>3244</v>
      </c>
      <c r="C6" s="7" t="s">
        <v>3245</v>
      </c>
      <c r="D6" s="27" t="s">
        <v>853</v>
      </c>
      <c r="E6" s="50" t="n">
        <v>18748.5</v>
      </c>
      <c r="F6" s="54" t="n">
        <f aca="false">18748.5*Varsayimlar!$B$8</f>
        <v>2229.49623855706</v>
      </c>
      <c r="G6" s="27" t="s">
        <v>889</v>
      </c>
      <c r="H6" s="50" t="n">
        <f aca="false">F6/IF(Varsayimlar!$B$21=1,1.1,1)</f>
        <v>2026.8147623246</v>
      </c>
      <c r="I6" s="51" t="n">
        <v>18</v>
      </c>
      <c r="J6" s="28" t="n">
        <f aca="false">H6*I6</f>
        <v>36482.6657218427</v>
      </c>
      <c r="K6" s="52" t="s">
        <v>548</v>
      </c>
      <c r="L6" s="7" t="s">
        <v>3246</v>
      </c>
      <c r="M6" s="7" t="s">
        <v>3247</v>
      </c>
    </row>
    <row r="7" customFormat="false" ht="39.55" hidden="false" customHeight="false" outlineLevel="1" collapsed="false">
      <c r="A7" s="27"/>
      <c r="B7" s="27" t="s">
        <v>3244</v>
      </c>
      <c r="C7" s="7" t="s">
        <v>3248</v>
      </c>
      <c r="D7" s="27" t="s">
        <v>853</v>
      </c>
      <c r="E7" s="50" t="n">
        <v>37497</v>
      </c>
      <c r="F7" s="54" t="n">
        <f aca="false">37497*Varsayimlar!$B$8</f>
        <v>4458.99247711411</v>
      </c>
      <c r="G7" s="27" t="s">
        <v>889</v>
      </c>
      <c r="H7" s="50" t="n">
        <f aca="false">F7/IF(Varsayimlar!$B$21=1,1.1,1)</f>
        <v>4053.62952464919</v>
      </c>
      <c r="I7" s="51" t="n">
        <v>16</v>
      </c>
      <c r="J7" s="28" t="n">
        <f aca="false">H7*I7</f>
        <v>64858.0723943871</v>
      </c>
      <c r="K7" s="52" t="s">
        <v>548</v>
      </c>
      <c r="L7" s="7" t="s">
        <v>3249</v>
      </c>
      <c r="M7" s="7" t="s">
        <v>3250</v>
      </c>
    </row>
    <row r="8" customFormat="false" ht="52.2" hidden="false" customHeight="false" outlineLevel="1" collapsed="false">
      <c r="A8" s="27"/>
      <c r="B8" s="27" t="s">
        <v>3244</v>
      </c>
      <c r="C8" s="7" t="s">
        <v>3251</v>
      </c>
      <c r="D8" s="27" t="s">
        <v>727</v>
      </c>
      <c r="E8" s="50" t="n">
        <v>358</v>
      </c>
      <c r="F8" s="50" t="n">
        <v>358</v>
      </c>
      <c r="G8" s="27" t="s">
        <v>767</v>
      </c>
      <c r="H8" s="50" t="n">
        <f aca="false">F8</f>
        <v>358</v>
      </c>
      <c r="I8" s="51" t="n">
        <v>1116</v>
      </c>
      <c r="J8" s="28" t="n">
        <f aca="false">H8*I8</f>
        <v>399528</v>
      </c>
      <c r="K8" s="52" t="s">
        <v>548</v>
      </c>
      <c r="L8" s="7" t="s">
        <v>3252</v>
      </c>
      <c r="M8" s="7"/>
    </row>
    <row r="9" customFormat="false" ht="52.2" hidden="false" customHeight="false" outlineLevel="1" collapsed="false">
      <c r="A9" s="27"/>
      <c r="B9" s="27" t="s">
        <v>3244</v>
      </c>
      <c r="C9" s="7" t="s">
        <v>3253</v>
      </c>
      <c r="D9" s="27" t="s">
        <v>727</v>
      </c>
      <c r="E9" s="50" t="n">
        <v>40</v>
      </c>
      <c r="F9" s="50" t="n">
        <v>40</v>
      </c>
      <c r="G9" s="27" t="s">
        <v>767</v>
      </c>
      <c r="H9" s="50" t="n">
        <f aca="false">F9</f>
        <v>40</v>
      </c>
      <c r="I9" s="51" t="n">
        <v>1116</v>
      </c>
      <c r="J9" s="28" t="n">
        <f aca="false">H9*I9</f>
        <v>44640</v>
      </c>
      <c r="K9" s="52" t="s">
        <v>548</v>
      </c>
      <c r="L9" s="7" t="s">
        <v>3252</v>
      </c>
      <c r="M9" s="7"/>
    </row>
    <row r="10" customFormat="false" ht="39.55" hidden="false" customHeight="false" outlineLevel="1" collapsed="false">
      <c r="A10" s="27"/>
      <c r="B10" s="27" t="s">
        <v>3244</v>
      </c>
      <c r="C10" s="7" t="s">
        <v>3254</v>
      </c>
      <c r="D10" s="27" t="s">
        <v>816</v>
      </c>
      <c r="E10" s="50" t="n">
        <v>48</v>
      </c>
      <c r="F10" s="50" t="n">
        <v>48</v>
      </c>
      <c r="G10" s="27" t="s">
        <v>767</v>
      </c>
      <c r="H10" s="50" t="n">
        <f aca="false">F10</f>
        <v>48</v>
      </c>
      <c r="I10" s="51" t="n">
        <v>2500</v>
      </c>
      <c r="J10" s="28" t="n">
        <f aca="false">H10*I10</f>
        <v>120000</v>
      </c>
      <c r="K10" s="52" t="s">
        <v>548</v>
      </c>
      <c r="L10" s="7" t="s">
        <v>3255</v>
      </c>
      <c r="M10" s="7"/>
    </row>
    <row r="11" customFormat="false" ht="26.85" hidden="false" customHeight="false" outlineLevel="1" collapsed="false">
      <c r="A11" s="27"/>
      <c r="B11" s="27" t="s">
        <v>3244</v>
      </c>
      <c r="C11" s="7" t="s">
        <v>3256</v>
      </c>
      <c r="D11" s="27" t="s">
        <v>816</v>
      </c>
      <c r="E11" s="50" t="n">
        <v>24</v>
      </c>
      <c r="F11" s="50" t="n">
        <v>24</v>
      </c>
      <c r="G11" s="27" t="s">
        <v>767</v>
      </c>
      <c r="H11" s="50" t="n">
        <f aca="false">F11</f>
        <v>24</v>
      </c>
      <c r="I11" s="51" t="n">
        <v>1164</v>
      </c>
      <c r="J11" s="28" t="n">
        <f aca="false">H11*I11</f>
        <v>27936</v>
      </c>
      <c r="K11" s="52" t="s">
        <v>548</v>
      </c>
      <c r="L11" s="7" t="s">
        <v>3257</v>
      </c>
      <c r="M11" s="7"/>
    </row>
    <row r="12" customFormat="false" ht="39.55" hidden="false" customHeight="false" outlineLevel="1" collapsed="false">
      <c r="A12" s="27"/>
      <c r="B12" s="27" t="s">
        <v>3244</v>
      </c>
      <c r="C12" s="7" t="s">
        <v>3258</v>
      </c>
      <c r="D12" s="27" t="s">
        <v>816</v>
      </c>
      <c r="E12" s="50" t="n">
        <v>66</v>
      </c>
      <c r="F12" s="54" t="n">
        <v>0</v>
      </c>
      <c r="G12" s="27" t="s">
        <v>767</v>
      </c>
      <c r="H12" s="50" t="n">
        <f aca="false">F12</f>
        <v>0</v>
      </c>
      <c r="I12" s="51" t="n">
        <v>485</v>
      </c>
      <c r="J12" s="28" t="n">
        <f aca="false">H12*I12</f>
        <v>0</v>
      </c>
      <c r="K12" s="55" t="s">
        <v>555</v>
      </c>
      <c r="L12" s="7" t="s">
        <v>3259</v>
      </c>
      <c r="M12" s="7" t="s">
        <v>3260</v>
      </c>
    </row>
    <row r="13" customFormat="false" ht="26.85" hidden="false" customHeight="false" outlineLevel="1" collapsed="false">
      <c r="A13" s="27"/>
      <c r="B13" s="27" t="s">
        <v>3244</v>
      </c>
      <c r="C13" s="7" t="s">
        <v>3261</v>
      </c>
      <c r="D13" s="27" t="s">
        <v>741</v>
      </c>
      <c r="E13" s="50" t="n">
        <v>1014.8</v>
      </c>
      <c r="F13" s="54" t="n">
        <v>0</v>
      </c>
      <c r="G13" s="27" t="s">
        <v>767</v>
      </c>
      <c r="H13" s="50" t="n">
        <f aca="false">F13</f>
        <v>0</v>
      </c>
      <c r="I13" s="51" t="n">
        <v>8</v>
      </c>
      <c r="J13" s="28" t="n">
        <f aca="false">H13*I13</f>
        <v>0</v>
      </c>
      <c r="K13" s="55" t="s">
        <v>555</v>
      </c>
      <c r="L13" s="7" t="s">
        <v>2317</v>
      </c>
      <c r="M13" s="7" t="s">
        <v>3262</v>
      </c>
    </row>
    <row r="14" customFormat="false" ht="26.85" hidden="false" customHeight="false" outlineLevel="1" collapsed="false">
      <c r="A14" s="27"/>
      <c r="B14" s="27" t="s">
        <v>3244</v>
      </c>
      <c r="C14" s="7" t="s">
        <v>3263</v>
      </c>
      <c r="D14" s="27" t="s">
        <v>741</v>
      </c>
      <c r="E14" s="50" t="n">
        <v>48.1</v>
      </c>
      <c r="F14" s="54" t="n">
        <v>0</v>
      </c>
      <c r="G14" s="27" t="s">
        <v>767</v>
      </c>
      <c r="H14" s="50" t="n">
        <f aca="false">F14</f>
        <v>0</v>
      </c>
      <c r="I14" s="51" t="n">
        <v>75</v>
      </c>
      <c r="J14" s="28" t="n">
        <f aca="false">H14*I14</f>
        <v>0</v>
      </c>
      <c r="K14" s="55" t="s">
        <v>555</v>
      </c>
      <c r="L14" s="7" t="s">
        <v>2317</v>
      </c>
      <c r="M14" s="7" t="s">
        <v>3262</v>
      </c>
    </row>
    <row r="15" customFormat="false" ht="26.85" hidden="false" customHeight="false" outlineLevel="1" collapsed="false">
      <c r="A15" s="27"/>
      <c r="B15" s="27" t="s">
        <v>3244</v>
      </c>
      <c r="C15" s="7" t="s">
        <v>3264</v>
      </c>
      <c r="D15" s="27" t="s">
        <v>741</v>
      </c>
      <c r="E15" s="50" t="n">
        <v>618.8</v>
      </c>
      <c r="F15" s="54" t="n">
        <v>0</v>
      </c>
      <c r="G15" s="27" t="s">
        <v>767</v>
      </c>
      <c r="H15" s="50" t="n">
        <f aca="false">F15</f>
        <v>0</v>
      </c>
      <c r="I15" s="51" t="n">
        <v>95</v>
      </c>
      <c r="J15" s="28" t="n">
        <f aca="false">H15*I15</f>
        <v>0</v>
      </c>
      <c r="K15" s="55" t="s">
        <v>555</v>
      </c>
      <c r="L15" s="7" t="s">
        <v>2317</v>
      </c>
      <c r="M15" s="7" t="s">
        <v>3262</v>
      </c>
    </row>
    <row r="16" customFormat="false" ht="26.85" hidden="false" customHeight="false" outlineLevel="1" collapsed="false">
      <c r="A16" s="27"/>
      <c r="B16" s="27" t="s">
        <v>3244</v>
      </c>
      <c r="C16" s="7" t="s">
        <v>3265</v>
      </c>
      <c r="D16" s="27" t="s">
        <v>2355</v>
      </c>
      <c r="E16" s="50" t="n">
        <v>990</v>
      </c>
      <c r="F16" s="54" t="n">
        <v>0</v>
      </c>
      <c r="G16" s="27" t="s">
        <v>767</v>
      </c>
      <c r="H16" s="50" t="n">
        <f aca="false">F16</f>
        <v>0</v>
      </c>
      <c r="I16" s="51" t="n">
        <v>15</v>
      </c>
      <c r="J16" s="28" t="n">
        <f aca="false">H16*I16</f>
        <v>0</v>
      </c>
      <c r="K16" s="55" t="s">
        <v>555</v>
      </c>
      <c r="L16" s="7" t="s">
        <v>2317</v>
      </c>
      <c r="M16" s="7" t="s">
        <v>3262</v>
      </c>
    </row>
    <row r="17" customFormat="false" ht="26.85" hidden="false" customHeight="false" outlineLevel="1" collapsed="false">
      <c r="A17" s="27"/>
      <c r="B17" s="27" t="s">
        <v>3244</v>
      </c>
      <c r="C17" s="7" t="s">
        <v>3266</v>
      </c>
      <c r="D17" s="27" t="s">
        <v>2353</v>
      </c>
      <c r="E17" s="50" t="n">
        <v>37125</v>
      </c>
      <c r="F17" s="54" t="n">
        <v>0</v>
      </c>
      <c r="G17" s="27" t="s">
        <v>767</v>
      </c>
      <c r="H17" s="50" t="n">
        <f aca="false">F17</f>
        <v>0</v>
      </c>
      <c r="I17" s="51" t="n">
        <v>0.9</v>
      </c>
      <c r="J17" s="28" t="n">
        <f aca="false">H17*I17</f>
        <v>0</v>
      </c>
      <c r="K17" s="55" t="s">
        <v>555</v>
      </c>
      <c r="L17" s="7" t="s">
        <v>2317</v>
      </c>
      <c r="M17" s="7" t="s">
        <v>3262</v>
      </c>
    </row>
    <row r="18" customFormat="false" ht="26.85" hidden="false" customHeight="false" outlineLevel="1" collapsed="false">
      <c r="A18" s="27"/>
      <c r="B18" s="27" t="s">
        <v>3244</v>
      </c>
      <c r="C18" s="7" t="s">
        <v>3267</v>
      </c>
      <c r="D18" s="27" t="s">
        <v>816</v>
      </c>
      <c r="E18" s="50" t="n">
        <v>66</v>
      </c>
      <c r="F18" s="54" t="n">
        <v>0</v>
      </c>
      <c r="G18" s="27" t="s">
        <v>767</v>
      </c>
      <c r="H18" s="50" t="n">
        <f aca="false">F18</f>
        <v>0</v>
      </c>
      <c r="I18" s="51" t="n">
        <v>250</v>
      </c>
      <c r="J18" s="28" t="n">
        <f aca="false">H18*I18</f>
        <v>0</v>
      </c>
      <c r="K18" s="55" t="s">
        <v>555</v>
      </c>
      <c r="L18" s="7" t="s">
        <v>2317</v>
      </c>
      <c r="M18" s="7" t="s">
        <v>3262</v>
      </c>
    </row>
    <row r="19" customFormat="false" ht="26.85" hidden="false" customHeight="false" outlineLevel="1" collapsed="false">
      <c r="A19" s="27"/>
      <c r="B19" s="27" t="s">
        <v>3244</v>
      </c>
      <c r="C19" s="7" t="s">
        <v>3268</v>
      </c>
      <c r="D19" s="27" t="s">
        <v>741</v>
      </c>
      <c r="E19" s="50" t="n">
        <v>348</v>
      </c>
      <c r="F19" s="54" t="n">
        <v>0</v>
      </c>
      <c r="G19" s="27" t="s">
        <v>767</v>
      </c>
      <c r="H19" s="50" t="n">
        <f aca="false">F19</f>
        <v>0</v>
      </c>
      <c r="I19" s="51" t="n">
        <v>6</v>
      </c>
      <c r="J19" s="28" t="n">
        <f aca="false">H19*I19</f>
        <v>0</v>
      </c>
      <c r="K19" s="55" t="s">
        <v>555</v>
      </c>
      <c r="L19" s="7" t="s">
        <v>2317</v>
      </c>
      <c r="M19" s="7" t="s">
        <v>3262</v>
      </c>
    </row>
    <row r="20" customFormat="false" ht="52.2" hidden="false" customHeight="false" outlineLevel="1" collapsed="false">
      <c r="A20" s="27"/>
      <c r="B20" s="27" t="s">
        <v>3244</v>
      </c>
      <c r="C20" s="7" t="s">
        <v>3269</v>
      </c>
      <c r="D20" s="27" t="s">
        <v>727</v>
      </c>
      <c r="E20" s="50" t="n">
        <v>78</v>
      </c>
      <c r="F20" s="50" t="n">
        <v>78</v>
      </c>
      <c r="G20" s="27" t="s">
        <v>767</v>
      </c>
      <c r="H20" s="50" t="n">
        <f aca="false">F20</f>
        <v>78</v>
      </c>
      <c r="I20" s="51" t="n">
        <v>459</v>
      </c>
      <c r="J20" s="28" t="n">
        <f aca="false">H20*I20</f>
        <v>35802</v>
      </c>
      <c r="K20" s="52" t="s">
        <v>548</v>
      </c>
      <c r="L20" s="7" t="s">
        <v>3270</v>
      </c>
      <c r="M20" s="7" t="s">
        <v>3271</v>
      </c>
    </row>
    <row r="21" customFormat="false" ht="26.85" hidden="false" customHeight="false" outlineLevel="1" collapsed="false">
      <c r="A21" s="27"/>
      <c r="B21" s="27" t="s">
        <v>3244</v>
      </c>
      <c r="C21" s="7" t="s">
        <v>3272</v>
      </c>
      <c r="D21" s="27" t="s">
        <v>727</v>
      </c>
      <c r="E21" s="50" t="n">
        <v>12</v>
      </c>
      <c r="F21" s="50" t="n">
        <v>12</v>
      </c>
      <c r="G21" s="27" t="s">
        <v>767</v>
      </c>
      <c r="H21" s="50" t="n">
        <f aca="false">F21</f>
        <v>12</v>
      </c>
      <c r="I21" s="51" t="n">
        <v>3000</v>
      </c>
      <c r="J21" s="28" t="n">
        <f aca="false">H21*I21</f>
        <v>36000</v>
      </c>
      <c r="K21" s="53" t="s">
        <v>551</v>
      </c>
      <c r="L21" s="7" t="s">
        <v>2447</v>
      </c>
      <c r="M21" s="7"/>
    </row>
    <row r="22" customFormat="false" ht="26.85" hidden="false" customHeight="false" outlineLevel="1" collapsed="false">
      <c r="A22" s="27"/>
      <c r="B22" s="27" t="s">
        <v>3244</v>
      </c>
      <c r="C22" s="7" t="s">
        <v>3273</v>
      </c>
      <c r="D22" s="27" t="s">
        <v>727</v>
      </c>
      <c r="E22" s="50" t="n">
        <v>10</v>
      </c>
      <c r="F22" s="50" t="n">
        <v>10</v>
      </c>
      <c r="G22" s="27" t="s">
        <v>767</v>
      </c>
      <c r="H22" s="50" t="n">
        <f aca="false">F22</f>
        <v>10</v>
      </c>
      <c r="I22" s="51" t="n">
        <v>4000</v>
      </c>
      <c r="J22" s="28" t="n">
        <f aca="false">H22*I22</f>
        <v>40000</v>
      </c>
      <c r="K22" s="53" t="s">
        <v>551</v>
      </c>
      <c r="L22" s="7" t="s">
        <v>2447</v>
      </c>
      <c r="M22" s="7"/>
    </row>
    <row r="23" customFormat="false" ht="26.85" hidden="false" customHeight="false" outlineLevel="1" collapsed="false">
      <c r="A23" s="27"/>
      <c r="B23" s="27" t="s">
        <v>3244</v>
      </c>
      <c r="C23" s="7" t="s">
        <v>3274</v>
      </c>
      <c r="D23" s="27" t="s">
        <v>727</v>
      </c>
      <c r="E23" s="50" t="n">
        <v>16</v>
      </c>
      <c r="F23" s="50" t="n">
        <v>16</v>
      </c>
      <c r="G23" s="27" t="s">
        <v>767</v>
      </c>
      <c r="H23" s="50" t="n">
        <f aca="false">F23</f>
        <v>16</v>
      </c>
      <c r="I23" s="51" t="n">
        <v>2500</v>
      </c>
      <c r="J23" s="28" t="n">
        <f aca="false">H23*I23</f>
        <v>40000</v>
      </c>
      <c r="K23" s="53" t="s">
        <v>551</v>
      </c>
      <c r="L23" s="7" t="s">
        <v>2447</v>
      </c>
      <c r="M23" s="7"/>
    </row>
    <row r="24" customFormat="false" ht="26.85" hidden="false" customHeight="false" outlineLevel="1" collapsed="false">
      <c r="A24" s="27"/>
      <c r="B24" s="27" t="s">
        <v>3244</v>
      </c>
      <c r="C24" s="7" t="s">
        <v>3275</v>
      </c>
      <c r="D24" s="27" t="s">
        <v>727</v>
      </c>
      <c r="E24" s="50" t="n">
        <v>2</v>
      </c>
      <c r="F24" s="50" t="n">
        <v>2</v>
      </c>
      <c r="G24" s="27" t="s">
        <v>767</v>
      </c>
      <c r="H24" s="50" t="n">
        <f aca="false">F24</f>
        <v>2</v>
      </c>
      <c r="I24" s="51" t="n">
        <v>5000</v>
      </c>
      <c r="J24" s="28" t="n">
        <f aca="false">H24*I24</f>
        <v>10000</v>
      </c>
      <c r="K24" s="53" t="s">
        <v>551</v>
      </c>
      <c r="L24" s="7" t="s">
        <v>2447</v>
      </c>
      <c r="M24" s="7"/>
    </row>
    <row r="25" customFormat="false" ht="39.55" hidden="false" customHeight="false" outlineLevel="1" collapsed="false">
      <c r="A25" s="27"/>
      <c r="B25" s="27" t="s">
        <v>3244</v>
      </c>
      <c r="C25" s="7" t="s">
        <v>3276</v>
      </c>
      <c r="D25" s="27" t="s">
        <v>816</v>
      </c>
      <c r="E25" s="50" t="n">
        <v>12</v>
      </c>
      <c r="F25" s="50" t="n">
        <v>12</v>
      </c>
      <c r="G25" s="27" t="s">
        <v>767</v>
      </c>
      <c r="H25" s="50" t="n">
        <f aca="false">F25</f>
        <v>12</v>
      </c>
      <c r="I25" s="51" t="n">
        <v>1140</v>
      </c>
      <c r="J25" s="28" t="n">
        <f aca="false">H25*I25</f>
        <v>13680</v>
      </c>
      <c r="K25" s="52" t="s">
        <v>548</v>
      </c>
      <c r="L25" s="7" t="s">
        <v>3277</v>
      </c>
      <c r="M25" s="7" t="s">
        <v>3278</v>
      </c>
    </row>
    <row r="26" customFormat="false" ht="39.55" hidden="false" customHeight="false" outlineLevel="1" collapsed="false">
      <c r="A26" s="27"/>
      <c r="B26" s="27" t="s">
        <v>3244</v>
      </c>
      <c r="C26" s="7" t="s">
        <v>3279</v>
      </c>
      <c r="D26" s="27" t="s">
        <v>727</v>
      </c>
      <c r="E26" s="50" t="n">
        <v>8</v>
      </c>
      <c r="F26" s="50" t="n">
        <v>8</v>
      </c>
      <c r="G26" s="27" t="s">
        <v>767</v>
      </c>
      <c r="H26" s="50" t="n">
        <f aca="false">F26</f>
        <v>8</v>
      </c>
      <c r="I26" s="51" t="n">
        <v>2070</v>
      </c>
      <c r="J26" s="28" t="n">
        <f aca="false">H26*I26</f>
        <v>16560</v>
      </c>
      <c r="K26" s="52" t="s">
        <v>548</v>
      </c>
      <c r="L26" s="7" t="s">
        <v>3280</v>
      </c>
      <c r="M26" s="7" t="s">
        <v>3281</v>
      </c>
    </row>
    <row r="27" customFormat="false" ht="39.55" hidden="false" customHeight="false" outlineLevel="1" collapsed="false">
      <c r="A27" s="27"/>
      <c r="B27" s="27" t="s">
        <v>3244</v>
      </c>
      <c r="C27" s="7" t="s">
        <v>3282</v>
      </c>
      <c r="D27" s="27" t="s">
        <v>727</v>
      </c>
      <c r="E27" s="50" t="n">
        <v>13</v>
      </c>
      <c r="F27" s="50" t="n">
        <v>13</v>
      </c>
      <c r="G27" s="27" t="s">
        <v>767</v>
      </c>
      <c r="H27" s="50" t="n">
        <f aca="false">F27</f>
        <v>13</v>
      </c>
      <c r="I27" s="51" t="n">
        <v>6288</v>
      </c>
      <c r="J27" s="28" t="n">
        <f aca="false">H27*I27</f>
        <v>81744</v>
      </c>
      <c r="K27" s="52" t="s">
        <v>548</v>
      </c>
      <c r="L27" s="7" t="s">
        <v>3283</v>
      </c>
      <c r="M27" s="7" t="s">
        <v>1855</v>
      </c>
    </row>
    <row r="28" customFormat="false" ht="39.55" hidden="false" customHeight="false" outlineLevel="1" collapsed="false">
      <c r="A28" s="27"/>
      <c r="B28" s="27" t="s">
        <v>3244</v>
      </c>
      <c r="C28" s="7" t="s">
        <v>3284</v>
      </c>
      <c r="D28" s="27" t="s">
        <v>727</v>
      </c>
      <c r="E28" s="50" t="n">
        <v>13</v>
      </c>
      <c r="F28" s="50" t="n">
        <v>13</v>
      </c>
      <c r="G28" s="27" t="s">
        <v>767</v>
      </c>
      <c r="H28" s="50" t="n">
        <f aca="false">F28</f>
        <v>13</v>
      </c>
      <c r="I28" s="51" t="n">
        <v>822</v>
      </c>
      <c r="J28" s="28" t="n">
        <f aca="false">H28*I28</f>
        <v>10686</v>
      </c>
      <c r="K28" s="52" t="s">
        <v>548</v>
      </c>
      <c r="L28" s="7" t="s">
        <v>3285</v>
      </c>
      <c r="M28" s="7" t="s">
        <v>3286</v>
      </c>
    </row>
    <row r="29" customFormat="false" ht="52.2" hidden="false" customHeight="false" outlineLevel="1" collapsed="false">
      <c r="A29" s="27"/>
      <c r="B29" s="27" t="s">
        <v>3244</v>
      </c>
      <c r="C29" s="7" t="s">
        <v>3287</v>
      </c>
      <c r="D29" s="27" t="s">
        <v>816</v>
      </c>
      <c r="E29" s="50" t="n">
        <v>16</v>
      </c>
      <c r="F29" s="50" t="n">
        <v>16</v>
      </c>
      <c r="G29" s="27" t="s">
        <v>767</v>
      </c>
      <c r="H29" s="50" t="n">
        <f aca="false">F29</f>
        <v>16</v>
      </c>
      <c r="I29" s="51" t="n">
        <v>837</v>
      </c>
      <c r="J29" s="28" t="n">
        <f aca="false">H29*I29</f>
        <v>13392</v>
      </c>
      <c r="K29" s="52" t="s">
        <v>548</v>
      </c>
      <c r="L29" s="7" t="s">
        <v>3288</v>
      </c>
      <c r="M29" s="7" t="s">
        <v>1756</v>
      </c>
    </row>
    <row r="30" customFormat="false" ht="39.55" hidden="false" customHeight="false" outlineLevel="1" collapsed="false">
      <c r="A30" s="27"/>
      <c r="B30" s="27" t="s">
        <v>3244</v>
      </c>
      <c r="C30" s="7" t="s">
        <v>3289</v>
      </c>
      <c r="D30" s="27" t="s">
        <v>816</v>
      </c>
      <c r="E30" s="50" t="n">
        <v>20</v>
      </c>
      <c r="F30" s="50" t="n">
        <v>20</v>
      </c>
      <c r="G30" s="27" t="s">
        <v>767</v>
      </c>
      <c r="H30" s="50" t="n">
        <f aca="false">F30</f>
        <v>20</v>
      </c>
      <c r="I30" s="51" t="n">
        <v>1326</v>
      </c>
      <c r="J30" s="28" t="n">
        <f aca="false">H30*I30</f>
        <v>26520</v>
      </c>
      <c r="K30" s="52" t="s">
        <v>548</v>
      </c>
      <c r="L30" s="7" t="s">
        <v>3290</v>
      </c>
      <c r="M30" s="7" t="s">
        <v>3291</v>
      </c>
    </row>
    <row r="31" customFormat="false" ht="26.85" hidden="false" customHeight="false" outlineLevel="1" collapsed="false">
      <c r="A31" s="27"/>
      <c r="B31" s="27" t="s">
        <v>3244</v>
      </c>
      <c r="C31" s="7" t="s">
        <v>3292</v>
      </c>
      <c r="D31" s="27" t="s">
        <v>727</v>
      </c>
      <c r="E31" s="50" t="n">
        <v>59</v>
      </c>
      <c r="F31" s="50" t="n">
        <v>59</v>
      </c>
      <c r="G31" s="27" t="s">
        <v>767</v>
      </c>
      <c r="H31" s="50" t="n">
        <f aca="false">F31</f>
        <v>59</v>
      </c>
      <c r="I31" s="51" t="n">
        <v>461</v>
      </c>
      <c r="J31" s="28" t="n">
        <f aca="false">H31*I31</f>
        <v>27199</v>
      </c>
      <c r="K31" s="52" t="s">
        <v>548</v>
      </c>
      <c r="L31" s="7" t="s">
        <v>3293</v>
      </c>
      <c r="M31" s="7"/>
    </row>
    <row r="32" customFormat="false" ht="26.85" hidden="false" customHeight="false" outlineLevel="1" collapsed="false">
      <c r="A32" s="27"/>
      <c r="B32" s="27" t="s">
        <v>3244</v>
      </c>
      <c r="C32" s="7" t="s">
        <v>3294</v>
      </c>
      <c r="D32" s="27" t="s">
        <v>727</v>
      </c>
      <c r="E32" s="50" t="n">
        <v>44</v>
      </c>
      <c r="F32" s="50" t="n">
        <v>44</v>
      </c>
      <c r="G32" s="27" t="s">
        <v>767</v>
      </c>
      <c r="H32" s="50" t="n">
        <f aca="false">F32</f>
        <v>44</v>
      </c>
      <c r="I32" s="51" t="n">
        <v>299</v>
      </c>
      <c r="J32" s="28" t="n">
        <f aca="false">H32*I32</f>
        <v>13156</v>
      </c>
      <c r="K32" s="52" t="s">
        <v>548</v>
      </c>
      <c r="L32" s="7" t="s">
        <v>3295</v>
      </c>
      <c r="M32" s="7"/>
    </row>
    <row r="33" customFormat="false" ht="39.55" hidden="false" customHeight="false" outlineLevel="1" collapsed="false">
      <c r="A33" s="27"/>
      <c r="B33" s="27" t="s">
        <v>3244</v>
      </c>
      <c r="C33" s="7" t="s">
        <v>3296</v>
      </c>
      <c r="D33" s="27" t="s">
        <v>853</v>
      </c>
      <c r="E33" s="50" t="n">
        <v>339.9</v>
      </c>
      <c r="F33" s="50" t="n">
        <v>339.9</v>
      </c>
      <c r="G33" s="27" t="s">
        <v>889</v>
      </c>
      <c r="H33" s="50" t="n">
        <f aca="false">F33/IF(Varsayimlar!$B$21=1,1.1,1)</f>
        <v>309</v>
      </c>
      <c r="I33" s="51" t="n">
        <v>19.4</v>
      </c>
      <c r="J33" s="28" t="n">
        <f aca="false">H33*I33</f>
        <v>5994.6</v>
      </c>
      <c r="K33" s="52" t="s">
        <v>548</v>
      </c>
      <c r="L33" s="7" t="s">
        <v>3297</v>
      </c>
      <c r="M33" s="7" t="s">
        <v>2108</v>
      </c>
    </row>
    <row r="34" customFormat="false" ht="39.55" hidden="false" customHeight="false" outlineLevel="1" collapsed="false">
      <c r="A34" s="27"/>
      <c r="B34" s="27" t="s">
        <v>3244</v>
      </c>
      <c r="C34" s="7" t="s">
        <v>3298</v>
      </c>
      <c r="D34" s="27" t="s">
        <v>853</v>
      </c>
      <c r="E34" s="50" t="n">
        <v>246.4</v>
      </c>
      <c r="F34" s="50" t="n">
        <v>246.4</v>
      </c>
      <c r="G34" s="27" t="s">
        <v>889</v>
      </c>
      <c r="H34" s="50" t="n">
        <f aca="false">F34/IF(Varsayimlar!$B$21=1,1.1,1)</f>
        <v>224</v>
      </c>
      <c r="I34" s="51" t="n">
        <v>36.6</v>
      </c>
      <c r="J34" s="28" t="n">
        <f aca="false">H34*I34</f>
        <v>8198.4</v>
      </c>
      <c r="K34" s="52" t="s">
        <v>548</v>
      </c>
      <c r="L34" s="7" t="s">
        <v>3299</v>
      </c>
      <c r="M34" s="7" t="s">
        <v>2842</v>
      </c>
    </row>
    <row r="35" customFormat="false" ht="26.85" hidden="false" customHeight="false" outlineLevel="1" collapsed="false">
      <c r="A35" s="27"/>
      <c r="B35" s="27" t="s">
        <v>3244</v>
      </c>
      <c r="C35" s="7" t="s">
        <v>3300</v>
      </c>
      <c r="D35" s="27" t="s">
        <v>727</v>
      </c>
      <c r="E35" s="50" t="n">
        <v>16</v>
      </c>
      <c r="F35" s="50" t="n">
        <v>16</v>
      </c>
      <c r="G35" s="27" t="s">
        <v>767</v>
      </c>
      <c r="H35" s="50" t="n">
        <f aca="false">F35</f>
        <v>16</v>
      </c>
      <c r="I35" s="51" t="n">
        <v>150</v>
      </c>
      <c r="J35" s="28" t="n">
        <f aca="false">H35*I35</f>
        <v>2400</v>
      </c>
      <c r="K35" s="53" t="s">
        <v>551</v>
      </c>
      <c r="L35" s="7" t="s">
        <v>2317</v>
      </c>
      <c r="M35" s="7"/>
    </row>
    <row r="36" customFormat="false" ht="39.55" hidden="false" customHeight="false" outlineLevel="1" collapsed="false">
      <c r="A36" s="27"/>
      <c r="B36" s="27" t="s">
        <v>3244</v>
      </c>
      <c r="C36" s="7" t="s">
        <v>3301</v>
      </c>
      <c r="D36" s="27" t="s">
        <v>727</v>
      </c>
      <c r="E36" s="50" t="n">
        <v>2</v>
      </c>
      <c r="F36" s="50" t="n">
        <v>2</v>
      </c>
      <c r="G36" s="27" t="s">
        <v>767</v>
      </c>
      <c r="H36" s="50" t="n">
        <f aca="false">F36</f>
        <v>2</v>
      </c>
      <c r="I36" s="51" t="n">
        <v>1381.68</v>
      </c>
      <c r="J36" s="28" t="n">
        <f aca="false">H36*I36</f>
        <v>2763.36</v>
      </c>
      <c r="K36" s="52" t="s">
        <v>548</v>
      </c>
      <c r="L36" s="7" t="s">
        <v>3302</v>
      </c>
      <c r="M36" s="7" t="s">
        <v>2188</v>
      </c>
    </row>
    <row r="37" customFormat="false" ht="52.2" hidden="false" customHeight="false" outlineLevel="1" collapsed="false">
      <c r="A37" s="27"/>
      <c r="B37" s="27" t="s">
        <v>3244</v>
      </c>
      <c r="C37" s="7" t="s">
        <v>3303</v>
      </c>
      <c r="D37" s="27" t="s">
        <v>727</v>
      </c>
      <c r="E37" s="50" t="n">
        <v>228</v>
      </c>
      <c r="F37" s="50" t="n">
        <v>228</v>
      </c>
      <c r="G37" s="27" t="s">
        <v>767</v>
      </c>
      <c r="H37" s="50" t="n">
        <f aca="false">F37</f>
        <v>228</v>
      </c>
      <c r="I37" s="51" t="n">
        <v>37</v>
      </c>
      <c r="J37" s="28" t="n">
        <f aca="false">H37*I37</f>
        <v>8436</v>
      </c>
      <c r="K37" s="52" t="s">
        <v>548</v>
      </c>
      <c r="L37" s="7" t="s">
        <v>3304</v>
      </c>
      <c r="M37" s="7"/>
    </row>
    <row r="38" customFormat="false" ht="128.35" hidden="false" customHeight="false" outlineLevel="1" collapsed="false">
      <c r="A38" s="27"/>
      <c r="B38" s="27" t="s">
        <v>3244</v>
      </c>
      <c r="C38" s="7" t="s">
        <v>3305</v>
      </c>
      <c r="D38" s="27" t="s">
        <v>853</v>
      </c>
      <c r="E38" s="50" t="n">
        <v>935</v>
      </c>
      <c r="F38" s="50" t="n">
        <v>935</v>
      </c>
      <c r="G38" s="27" t="s">
        <v>889</v>
      </c>
      <c r="H38" s="50" t="n">
        <f aca="false">F38/IF(Varsayimlar!$B$21=1,1.1,1)</f>
        <v>850</v>
      </c>
      <c r="I38" s="51" t="n">
        <v>1.91</v>
      </c>
      <c r="J38" s="28" t="n">
        <f aca="false">H38*I38</f>
        <v>1623.5</v>
      </c>
      <c r="K38" s="52" t="s">
        <v>548</v>
      </c>
      <c r="L38" s="7" t="s">
        <v>3306</v>
      </c>
      <c r="M38" s="7" t="s">
        <v>2128</v>
      </c>
    </row>
    <row r="39" customFormat="false" ht="26.85" hidden="false" customHeight="false" outlineLevel="1" collapsed="false">
      <c r="A39" s="27"/>
      <c r="B39" s="27" t="s">
        <v>3244</v>
      </c>
      <c r="C39" s="7" t="s">
        <v>3307</v>
      </c>
      <c r="D39" s="27" t="s">
        <v>853</v>
      </c>
      <c r="E39" s="50" t="n">
        <v>935</v>
      </c>
      <c r="F39" s="50" t="n">
        <v>935</v>
      </c>
      <c r="G39" s="27" t="s">
        <v>889</v>
      </c>
      <c r="H39" s="50" t="n">
        <f aca="false">F39/IF(Varsayimlar!$B$21=1,1.1,1)</f>
        <v>850</v>
      </c>
      <c r="I39" s="51" t="n">
        <v>7</v>
      </c>
      <c r="J39" s="28" t="n">
        <f aca="false">H39*I39</f>
        <v>5950</v>
      </c>
      <c r="K39" s="53" t="s">
        <v>551</v>
      </c>
      <c r="L39" s="7" t="s">
        <v>2447</v>
      </c>
      <c r="M39" s="7"/>
    </row>
    <row r="40" customFormat="false" ht="26.85" hidden="false" customHeight="false" outlineLevel="1" collapsed="false">
      <c r="A40" s="27"/>
      <c r="B40" s="27" t="s">
        <v>3244</v>
      </c>
      <c r="C40" s="7" t="s">
        <v>3308</v>
      </c>
      <c r="D40" s="27" t="s">
        <v>732</v>
      </c>
      <c r="E40" s="50" t="n">
        <v>1</v>
      </c>
      <c r="F40" s="50" t="n">
        <v>1</v>
      </c>
      <c r="G40" s="27" t="s">
        <v>767</v>
      </c>
      <c r="H40" s="50" t="n">
        <f aca="false">F40</f>
        <v>1</v>
      </c>
      <c r="I40" s="51" t="n">
        <v>47158</v>
      </c>
      <c r="J40" s="28" t="n">
        <f aca="false">H40*I40</f>
        <v>47158</v>
      </c>
      <c r="K40" s="52" t="s">
        <v>548</v>
      </c>
      <c r="L40" s="7" t="s">
        <v>3309</v>
      </c>
      <c r="M40" s="7"/>
    </row>
    <row r="41" customFormat="false" ht="26.85" hidden="false" customHeight="false" outlineLevel="1" collapsed="false">
      <c r="A41" s="27"/>
      <c r="B41" s="27" t="s">
        <v>3244</v>
      </c>
      <c r="C41" s="7" t="s">
        <v>3310</v>
      </c>
      <c r="D41" s="27" t="s">
        <v>732</v>
      </c>
      <c r="E41" s="50" t="n">
        <v>1</v>
      </c>
      <c r="F41" s="50" t="n">
        <v>1</v>
      </c>
      <c r="G41" s="27" t="s">
        <v>767</v>
      </c>
      <c r="H41" s="50" t="n">
        <f aca="false">F41</f>
        <v>1</v>
      </c>
      <c r="I41" s="51" t="n">
        <v>60000</v>
      </c>
      <c r="J41" s="28" t="n">
        <f aca="false">H41*I41</f>
        <v>60000</v>
      </c>
      <c r="K41" s="53" t="s">
        <v>551</v>
      </c>
      <c r="L41" s="7" t="s">
        <v>2447</v>
      </c>
      <c r="M41" s="7" t="s">
        <v>3311</v>
      </c>
    </row>
    <row r="42" customFormat="false" ht="15" hidden="false" customHeight="false" outlineLevel="0" collapsed="false">
      <c r="A42" s="48" t="s">
        <v>520</v>
      </c>
      <c r="B42" s="48" t="s">
        <v>3312</v>
      </c>
      <c r="C42" s="48" t="s">
        <v>521</v>
      </c>
      <c r="D42" s="48"/>
      <c r="E42" s="48"/>
      <c r="F42" s="48"/>
      <c r="G42" s="48"/>
      <c r="H42" s="48" t="s">
        <v>765</v>
      </c>
      <c r="I42" s="49" t="n">
        <f aca="false">SUMPRODUCT(E43:E74,I43:I74)</f>
        <v>857601.92</v>
      </c>
      <c r="J42" s="49" t="n">
        <f aca="false">SUM(J43:J74)</f>
        <v>560016.621818182</v>
      </c>
      <c r="K42" s="48"/>
      <c r="L42" s="48"/>
      <c r="M42" s="48"/>
    </row>
    <row r="43" customFormat="false" ht="52.2" hidden="false" customHeight="false" outlineLevel="1" collapsed="false">
      <c r="A43" s="27"/>
      <c r="B43" s="27" t="s">
        <v>3312</v>
      </c>
      <c r="C43" s="7" t="s">
        <v>3313</v>
      </c>
      <c r="D43" s="27" t="s">
        <v>853</v>
      </c>
      <c r="E43" s="50" t="n">
        <v>5288.1</v>
      </c>
      <c r="F43" s="50" t="n">
        <v>5288.1</v>
      </c>
      <c r="G43" s="27" t="s">
        <v>889</v>
      </c>
      <c r="H43" s="50" t="n">
        <f aca="false">F43/IF(Varsayimlar!$B$21=1,1.1,1)</f>
        <v>4807.36363636364</v>
      </c>
      <c r="I43" s="51" t="n">
        <v>18</v>
      </c>
      <c r="J43" s="28" t="n">
        <f aca="false">H43*I43</f>
        <v>86532.5454545454</v>
      </c>
      <c r="K43" s="52" t="s">
        <v>548</v>
      </c>
      <c r="L43" s="7" t="s">
        <v>3246</v>
      </c>
      <c r="M43" s="7"/>
    </row>
    <row r="44" customFormat="false" ht="26.85" hidden="false" customHeight="false" outlineLevel="1" collapsed="false">
      <c r="A44" s="27"/>
      <c r="B44" s="27" t="s">
        <v>3312</v>
      </c>
      <c r="C44" s="7" t="s">
        <v>3314</v>
      </c>
      <c r="D44" s="27" t="s">
        <v>816</v>
      </c>
      <c r="E44" s="50" t="n">
        <v>42</v>
      </c>
      <c r="F44" s="50" t="n">
        <v>42</v>
      </c>
      <c r="G44" s="27" t="s">
        <v>767</v>
      </c>
      <c r="H44" s="50" t="n">
        <f aca="false">F44</f>
        <v>42</v>
      </c>
      <c r="I44" s="51" t="n">
        <v>1100</v>
      </c>
      <c r="J44" s="28" t="n">
        <f aca="false">H44*I44</f>
        <v>46200</v>
      </c>
      <c r="K44" s="52" t="s">
        <v>548</v>
      </c>
      <c r="L44" s="7" t="s">
        <v>3315</v>
      </c>
      <c r="M44" s="7"/>
    </row>
    <row r="45" customFormat="false" ht="26.85" hidden="false" customHeight="false" outlineLevel="1" collapsed="false">
      <c r="A45" s="27"/>
      <c r="B45" s="27" t="s">
        <v>3312</v>
      </c>
      <c r="C45" s="7" t="s">
        <v>3316</v>
      </c>
      <c r="D45" s="27" t="s">
        <v>816</v>
      </c>
      <c r="E45" s="50" t="n">
        <v>42</v>
      </c>
      <c r="F45" s="50" t="n">
        <v>42</v>
      </c>
      <c r="G45" s="27" t="s">
        <v>767</v>
      </c>
      <c r="H45" s="50" t="n">
        <f aca="false">F45</f>
        <v>42</v>
      </c>
      <c r="I45" s="51" t="n">
        <v>517</v>
      </c>
      <c r="J45" s="28" t="n">
        <f aca="false">H45*I45</f>
        <v>21714</v>
      </c>
      <c r="K45" s="52" t="s">
        <v>548</v>
      </c>
      <c r="L45" s="7" t="s">
        <v>3317</v>
      </c>
      <c r="M45" s="7"/>
    </row>
    <row r="46" customFormat="false" ht="26.85" hidden="false" customHeight="false" outlineLevel="1" collapsed="false">
      <c r="A46" s="27"/>
      <c r="B46" s="27" t="s">
        <v>3312</v>
      </c>
      <c r="C46" s="7" t="s">
        <v>3318</v>
      </c>
      <c r="D46" s="27" t="s">
        <v>816</v>
      </c>
      <c r="E46" s="50" t="n">
        <v>21</v>
      </c>
      <c r="F46" s="50" t="n">
        <v>21</v>
      </c>
      <c r="G46" s="27" t="s">
        <v>767</v>
      </c>
      <c r="H46" s="50" t="n">
        <f aca="false">F46</f>
        <v>21</v>
      </c>
      <c r="I46" s="51" t="n">
        <v>485</v>
      </c>
      <c r="J46" s="28" t="n">
        <f aca="false">H46*I46</f>
        <v>10185</v>
      </c>
      <c r="K46" s="52" t="s">
        <v>548</v>
      </c>
      <c r="L46" s="7" t="s">
        <v>3319</v>
      </c>
      <c r="M46" s="7" t="s">
        <v>3320</v>
      </c>
    </row>
    <row r="47" customFormat="false" ht="26.85" hidden="false" customHeight="false" outlineLevel="1" collapsed="false">
      <c r="A47" s="27"/>
      <c r="B47" s="27" t="s">
        <v>3312</v>
      </c>
      <c r="C47" s="7" t="s">
        <v>3321</v>
      </c>
      <c r="D47" s="27" t="s">
        <v>727</v>
      </c>
      <c r="E47" s="50" t="n">
        <v>40</v>
      </c>
      <c r="F47" s="50" t="n">
        <v>40</v>
      </c>
      <c r="G47" s="27" t="s">
        <v>767</v>
      </c>
      <c r="H47" s="50" t="n">
        <f aca="false">F47</f>
        <v>40</v>
      </c>
      <c r="I47" s="51" t="n">
        <v>1500</v>
      </c>
      <c r="J47" s="28" t="n">
        <f aca="false">H47*I47</f>
        <v>60000</v>
      </c>
      <c r="K47" s="53" t="s">
        <v>551</v>
      </c>
      <c r="L47" s="7" t="s">
        <v>2447</v>
      </c>
      <c r="M47" s="7"/>
    </row>
    <row r="48" customFormat="false" ht="52.2" hidden="false" customHeight="false" outlineLevel="1" collapsed="false">
      <c r="A48" s="27"/>
      <c r="B48" s="27" t="s">
        <v>3312</v>
      </c>
      <c r="C48" s="7" t="s">
        <v>3322</v>
      </c>
      <c r="D48" s="27" t="s">
        <v>727</v>
      </c>
      <c r="E48" s="50" t="n">
        <v>1</v>
      </c>
      <c r="F48" s="50" t="n">
        <v>1</v>
      </c>
      <c r="G48" s="27" t="s">
        <v>767</v>
      </c>
      <c r="H48" s="50" t="n">
        <f aca="false">F48</f>
        <v>1</v>
      </c>
      <c r="I48" s="51" t="n">
        <v>4000</v>
      </c>
      <c r="J48" s="28" t="n">
        <f aca="false">H48*I48</f>
        <v>4000</v>
      </c>
      <c r="K48" s="53" t="s">
        <v>551</v>
      </c>
      <c r="L48" s="7" t="s">
        <v>3323</v>
      </c>
      <c r="M48" s="7"/>
    </row>
    <row r="49" customFormat="false" ht="26.85" hidden="false" customHeight="false" outlineLevel="1" collapsed="false">
      <c r="A49" s="27"/>
      <c r="B49" s="27" t="s">
        <v>3312</v>
      </c>
      <c r="C49" s="7" t="s">
        <v>3324</v>
      </c>
      <c r="D49" s="27" t="s">
        <v>816</v>
      </c>
      <c r="E49" s="50" t="n">
        <v>8</v>
      </c>
      <c r="F49" s="50" t="n">
        <v>8</v>
      </c>
      <c r="G49" s="27" t="s">
        <v>767</v>
      </c>
      <c r="H49" s="50" t="n">
        <f aca="false">F49</f>
        <v>8</v>
      </c>
      <c r="I49" s="51" t="n">
        <v>1779</v>
      </c>
      <c r="J49" s="28" t="n">
        <f aca="false">H49*I49</f>
        <v>14232</v>
      </c>
      <c r="K49" s="52" t="s">
        <v>548</v>
      </c>
      <c r="L49" s="7" t="s">
        <v>3325</v>
      </c>
      <c r="M49" s="7"/>
    </row>
    <row r="50" customFormat="false" ht="39.55" hidden="false" customHeight="false" outlineLevel="1" collapsed="false">
      <c r="A50" s="27"/>
      <c r="B50" s="27" t="s">
        <v>3312</v>
      </c>
      <c r="C50" s="7" t="s">
        <v>3326</v>
      </c>
      <c r="D50" s="27" t="s">
        <v>853</v>
      </c>
      <c r="E50" s="50" t="n">
        <v>750.4</v>
      </c>
      <c r="F50" s="50" t="n">
        <v>750.4</v>
      </c>
      <c r="G50" s="27" t="s">
        <v>889</v>
      </c>
      <c r="H50" s="50" t="n">
        <f aca="false">F50/IF(Varsayimlar!$B$21=1,1.1,1)</f>
        <v>682.181818181818</v>
      </c>
      <c r="I50" s="51" t="n">
        <v>20</v>
      </c>
      <c r="J50" s="28" t="n">
        <f aca="false">H50*I50</f>
        <v>13643.6363636364</v>
      </c>
      <c r="K50" s="53" t="s">
        <v>551</v>
      </c>
      <c r="L50" s="7" t="s">
        <v>3327</v>
      </c>
      <c r="M50" s="7"/>
    </row>
    <row r="51" customFormat="false" ht="26.85" hidden="false" customHeight="false" outlineLevel="1" collapsed="false">
      <c r="A51" s="27"/>
      <c r="B51" s="27" t="s">
        <v>3312</v>
      </c>
      <c r="C51" s="7" t="s">
        <v>3328</v>
      </c>
      <c r="D51" s="27" t="s">
        <v>727</v>
      </c>
      <c r="E51" s="50" t="n">
        <v>78</v>
      </c>
      <c r="F51" s="50" t="n">
        <v>78</v>
      </c>
      <c r="G51" s="27" t="s">
        <v>767</v>
      </c>
      <c r="H51" s="50" t="n">
        <f aca="false">F51</f>
        <v>78</v>
      </c>
      <c r="I51" s="51" t="n">
        <v>250</v>
      </c>
      <c r="J51" s="28" t="n">
        <f aca="false">H51*I51</f>
        <v>19500</v>
      </c>
      <c r="K51" s="53" t="s">
        <v>551</v>
      </c>
      <c r="L51" s="7" t="s">
        <v>3329</v>
      </c>
      <c r="M51" s="7"/>
    </row>
    <row r="52" customFormat="false" ht="52.2" hidden="false" customHeight="false" outlineLevel="1" collapsed="false">
      <c r="A52" s="27"/>
      <c r="B52" s="27" t="s">
        <v>3312</v>
      </c>
      <c r="C52" s="7" t="s">
        <v>3330</v>
      </c>
      <c r="D52" s="27" t="s">
        <v>727</v>
      </c>
      <c r="E52" s="50" t="n">
        <v>29</v>
      </c>
      <c r="F52" s="50" t="n">
        <v>29</v>
      </c>
      <c r="G52" s="27" t="s">
        <v>767</v>
      </c>
      <c r="H52" s="50" t="n">
        <f aca="false">F52</f>
        <v>29</v>
      </c>
      <c r="I52" s="51" t="n">
        <v>1116</v>
      </c>
      <c r="J52" s="28" t="n">
        <f aca="false">H52*I52</f>
        <v>32364</v>
      </c>
      <c r="K52" s="52" t="s">
        <v>548</v>
      </c>
      <c r="L52" s="7" t="s">
        <v>3252</v>
      </c>
      <c r="M52" s="7"/>
    </row>
    <row r="53" customFormat="false" ht="39.55" hidden="false" customHeight="false" outlineLevel="1" collapsed="false">
      <c r="A53" s="27"/>
      <c r="B53" s="27" t="s">
        <v>3312</v>
      </c>
      <c r="C53" s="7" t="s">
        <v>3331</v>
      </c>
      <c r="D53" s="27" t="s">
        <v>727</v>
      </c>
      <c r="E53" s="50" t="n">
        <v>10</v>
      </c>
      <c r="F53" s="50" t="n">
        <v>10</v>
      </c>
      <c r="G53" s="27" t="s">
        <v>767</v>
      </c>
      <c r="H53" s="50" t="n">
        <f aca="false">F53</f>
        <v>10</v>
      </c>
      <c r="I53" s="51" t="n">
        <v>2070</v>
      </c>
      <c r="J53" s="28" t="n">
        <f aca="false">H53*I53</f>
        <v>20700</v>
      </c>
      <c r="K53" s="52" t="s">
        <v>548</v>
      </c>
      <c r="L53" s="7" t="s">
        <v>3280</v>
      </c>
      <c r="M53" s="7" t="s">
        <v>3332</v>
      </c>
    </row>
    <row r="54" customFormat="false" ht="39.55" hidden="false" customHeight="false" outlineLevel="1" collapsed="false">
      <c r="A54" s="27"/>
      <c r="B54" s="27" t="s">
        <v>3312</v>
      </c>
      <c r="C54" s="7" t="s">
        <v>3333</v>
      </c>
      <c r="D54" s="27" t="s">
        <v>727</v>
      </c>
      <c r="E54" s="50" t="n">
        <v>6</v>
      </c>
      <c r="F54" s="50" t="n">
        <v>6</v>
      </c>
      <c r="G54" s="27" t="s">
        <v>767</v>
      </c>
      <c r="H54" s="50" t="n">
        <f aca="false">F54</f>
        <v>6</v>
      </c>
      <c r="I54" s="51" t="n">
        <v>6288</v>
      </c>
      <c r="J54" s="28" t="n">
        <f aca="false">H54*I54</f>
        <v>37728</v>
      </c>
      <c r="K54" s="52" t="s">
        <v>548</v>
      </c>
      <c r="L54" s="7" t="s">
        <v>3283</v>
      </c>
      <c r="M54" s="7" t="s">
        <v>1855</v>
      </c>
    </row>
    <row r="55" customFormat="false" ht="52.2" hidden="false" customHeight="false" outlineLevel="1" collapsed="false">
      <c r="A55" s="27"/>
      <c r="B55" s="27" t="s">
        <v>3312</v>
      </c>
      <c r="C55" s="7" t="s">
        <v>3334</v>
      </c>
      <c r="D55" s="27" t="s">
        <v>727</v>
      </c>
      <c r="E55" s="50" t="n">
        <v>4</v>
      </c>
      <c r="F55" s="50" t="n">
        <v>4</v>
      </c>
      <c r="G55" s="27" t="s">
        <v>767</v>
      </c>
      <c r="H55" s="50" t="n">
        <f aca="false">F55</f>
        <v>4</v>
      </c>
      <c r="I55" s="51" t="n">
        <v>4527</v>
      </c>
      <c r="J55" s="28" t="n">
        <f aca="false">H55*I55</f>
        <v>18108</v>
      </c>
      <c r="K55" s="52" t="s">
        <v>548</v>
      </c>
      <c r="L55" s="7" t="s">
        <v>3335</v>
      </c>
      <c r="M55" s="7" t="s">
        <v>3336</v>
      </c>
    </row>
    <row r="56" customFormat="false" ht="52.2" hidden="false" customHeight="false" outlineLevel="1" collapsed="false">
      <c r="A56" s="27"/>
      <c r="B56" s="27" t="s">
        <v>3312</v>
      </c>
      <c r="C56" s="7" t="s">
        <v>3337</v>
      </c>
      <c r="D56" s="27" t="s">
        <v>816</v>
      </c>
      <c r="E56" s="50" t="n">
        <v>4</v>
      </c>
      <c r="F56" s="50" t="n">
        <v>4</v>
      </c>
      <c r="G56" s="27" t="s">
        <v>767</v>
      </c>
      <c r="H56" s="50" t="n">
        <f aca="false">F56</f>
        <v>4</v>
      </c>
      <c r="I56" s="51" t="n">
        <v>837</v>
      </c>
      <c r="J56" s="28" t="n">
        <f aca="false">H56*I56</f>
        <v>3348</v>
      </c>
      <c r="K56" s="52" t="s">
        <v>548</v>
      </c>
      <c r="L56" s="7" t="s">
        <v>3288</v>
      </c>
      <c r="M56" s="7" t="s">
        <v>1756</v>
      </c>
    </row>
    <row r="57" customFormat="false" ht="77.6" hidden="false" customHeight="false" outlineLevel="1" collapsed="false">
      <c r="A57" s="27"/>
      <c r="B57" s="27" t="s">
        <v>3312</v>
      </c>
      <c r="C57" s="7" t="s">
        <v>3338</v>
      </c>
      <c r="D57" s="27" t="s">
        <v>816</v>
      </c>
      <c r="E57" s="50" t="n">
        <v>4</v>
      </c>
      <c r="F57" s="50" t="n">
        <v>4</v>
      </c>
      <c r="G57" s="27" t="s">
        <v>767</v>
      </c>
      <c r="H57" s="50" t="n">
        <f aca="false">F57</f>
        <v>4</v>
      </c>
      <c r="I57" s="51" t="n">
        <v>950.36</v>
      </c>
      <c r="J57" s="28" t="n">
        <f aca="false">H57*I57</f>
        <v>3801.44</v>
      </c>
      <c r="K57" s="52" t="s">
        <v>548</v>
      </c>
      <c r="L57" s="7" t="s">
        <v>3339</v>
      </c>
      <c r="M57" s="7" t="s">
        <v>3291</v>
      </c>
    </row>
    <row r="58" customFormat="false" ht="39.55" hidden="false" customHeight="false" outlineLevel="1" collapsed="false">
      <c r="A58" s="27"/>
      <c r="B58" s="27" t="s">
        <v>3312</v>
      </c>
      <c r="C58" s="7" t="s">
        <v>3340</v>
      </c>
      <c r="D58" s="27" t="s">
        <v>727</v>
      </c>
      <c r="E58" s="50" t="n">
        <v>10</v>
      </c>
      <c r="F58" s="50" t="n">
        <v>10</v>
      </c>
      <c r="G58" s="27" t="s">
        <v>767</v>
      </c>
      <c r="H58" s="50" t="n">
        <f aca="false">F58</f>
        <v>10</v>
      </c>
      <c r="I58" s="51" t="n">
        <v>822</v>
      </c>
      <c r="J58" s="28" t="n">
        <f aca="false">H58*I58</f>
        <v>8220</v>
      </c>
      <c r="K58" s="52" t="s">
        <v>548</v>
      </c>
      <c r="L58" s="7" t="s">
        <v>3285</v>
      </c>
      <c r="M58" s="7" t="s">
        <v>3286</v>
      </c>
    </row>
    <row r="59" customFormat="false" ht="39.55" hidden="false" customHeight="false" outlineLevel="1" collapsed="false">
      <c r="A59" s="27"/>
      <c r="B59" s="27" t="s">
        <v>3312</v>
      </c>
      <c r="C59" s="7" t="s">
        <v>3341</v>
      </c>
      <c r="D59" s="27" t="s">
        <v>732</v>
      </c>
      <c r="E59" s="50" t="n">
        <v>2</v>
      </c>
      <c r="F59" s="50" t="n">
        <v>2</v>
      </c>
      <c r="G59" s="27" t="s">
        <v>767</v>
      </c>
      <c r="H59" s="50" t="n">
        <f aca="false">F59</f>
        <v>2</v>
      </c>
      <c r="I59" s="51" t="n">
        <v>20534</v>
      </c>
      <c r="J59" s="28" t="n">
        <f aca="false">H59*I59</f>
        <v>41068</v>
      </c>
      <c r="K59" s="52" t="s">
        <v>548</v>
      </c>
      <c r="L59" s="7" t="s">
        <v>3342</v>
      </c>
      <c r="M59" s="7"/>
    </row>
    <row r="60" customFormat="false" ht="39.55" hidden="false" customHeight="false" outlineLevel="1" collapsed="false">
      <c r="A60" s="27"/>
      <c r="B60" s="27" t="s">
        <v>3312</v>
      </c>
      <c r="C60" s="7" t="s">
        <v>3343</v>
      </c>
      <c r="D60" s="27" t="s">
        <v>732</v>
      </c>
      <c r="E60" s="50" t="n">
        <v>1</v>
      </c>
      <c r="F60" s="50" t="n">
        <v>1</v>
      </c>
      <c r="G60" s="27" t="s">
        <v>767</v>
      </c>
      <c r="H60" s="50" t="n">
        <f aca="false">F60</f>
        <v>1</v>
      </c>
      <c r="I60" s="51" t="n">
        <v>7702</v>
      </c>
      <c r="J60" s="28" t="n">
        <f aca="false">H60*I60</f>
        <v>7702</v>
      </c>
      <c r="K60" s="52" t="s">
        <v>548</v>
      </c>
      <c r="L60" s="7" t="s">
        <v>3344</v>
      </c>
      <c r="M60" s="7"/>
    </row>
    <row r="61" customFormat="false" ht="26.85" hidden="false" customHeight="false" outlineLevel="1" collapsed="false">
      <c r="A61" s="27"/>
      <c r="B61" s="27" t="s">
        <v>3312</v>
      </c>
      <c r="C61" s="7" t="s">
        <v>3345</v>
      </c>
      <c r="D61" s="27" t="s">
        <v>732</v>
      </c>
      <c r="E61" s="50" t="n">
        <v>1</v>
      </c>
      <c r="F61" s="50" t="n">
        <v>1</v>
      </c>
      <c r="G61" s="27" t="s">
        <v>767</v>
      </c>
      <c r="H61" s="50" t="n">
        <f aca="false">F61</f>
        <v>1</v>
      </c>
      <c r="I61" s="51" t="n">
        <v>25000</v>
      </c>
      <c r="J61" s="28" t="n">
        <f aca="false">H61*I61</f>
        <v>25000</v>
      </c>
      <c r="K61" s="53" t="s">
        <v>551</v>
      </c>
      <c r="L61" s="7" t="s">
        <v>2447</v>
      </c>
      <c r="M61" s="7"/>
    </row>
    <row r="62" customFormat="false" ht="39.55" hidden="false" customHeight="false" outlineLevel="1" collapsed="false">
      <c r="A62" s="27"/>
      <c r="B62" s="27" t="s">
        <v>3312</v>
      </c>
      <c r="C62" s="7" t="s">
        <v>3346</v>
      </c>
      <c r="D62" s="27" t="s">
        <v>732</v>
      </c>
      <c r="E62" s="50" t="n">
        <v>1</v>
      </c>
      <c r="F62" s="50" t="n">
        <v>1</v>
      </c>
      <c r="G62" s="27" t="s">
        <v>767</v>
      </c>
      <c r="H62" s="50" t="n">
        <f aca="false">F62</f>
        <v>1</v>
      </c>
      <c r="I62" s="51" t="n">
        <v>39321</v>
      </c>
      <c r="J62" s="28" t="n">
        <f aca="false">H62*I62</f>
        <v>39321</v>
      </c>
      <c r="K62" s="52" t="s">
        <v>548</v>
      </c>
      <c r="L62" s="7" t="s">
        <v>3347</v>
      </c>
      <c r="M62" s="7" t="s">
        <v>3348</v>
      </c>
    </row>
    <row r="63" customFormat="false" ht="26.85" hidden="false" customHeight="false" outlineLevel="1" collapsed="false">
      <c r="A63" s="27"/>
      <c r="B63" s="27" t="s">
        <v>3312</v>
      </c>
      <c r="C63" s="7" t="s">
        <v>3349</v>
      </c>
      <c r="D63" s="27" t="s">
        <v>727</v>
      </c>
      <c r="E63" s="50" t="n">
        <v>12</v>
      </c>
      <c r="F63" s="50" t="n">
        <v>12</v>
      </c>
      <c r="G63" s="27" t="s">
        <v>767</v>
      </c>
      <c r="H63" s="50" t="n">
        <f aca="false">F63</f>
        <v>12</v>
      </c>
      <c r="I63" s="51" t="n">
        <v>600</v>
      </c>
      <c r="J63" s="28" t="n">
        <f aca="false">H63*I63</f>
        <v>7200</v>
      </c>
      <c r="K63" s="53" t="s">
        <v>551</v>
      </c>
      <c r="L63" s="7" t="s">
        <v>2447</v>
      </c>
      <c r="M63" s="7"/>
    </row>
    <row r="64" customFormat="false" ht="26.85" hidden="false" customHeight="false" outlineLevel="1" collapsed="false">
      <c r="A64" s="27"/>
      <c r="B64" s="27" t="s">
        <v>3312</v>
      </c>
      <c r="C64" s="7" t="s">
        <v>3350</v>
      </c>
      <c r="D64" s="27" t="s">
        <v>853</v>
      </c>
      <c r="E64" s="50" t="n">
        <v>1595</v>
      </c>
      <c r="F64" s="50" t="n">
        <v>1595</v>
      </c>
      <c r="G64" s="27" t="s">
        <v>889</v>
      </c>
      <c r="H64" s="50" t="n">
        <f aca="false">F64/IF(Varsayimlar!$B$21=1,1.1,1)</f>
        <v>1450</v>
      </c>
      <c r="I64" s="51" t="n">
        <v>8</v>
      </c>
      <c r="J64" s="28" t="n">
        <f aca="false">H64*I64</f>
        <v>11600</v>
      </c>
      <c r="K64" s="53" t="s">
        <v>551</v>
      </c>
      <c r="L64" s="7" t="s">
        <v>2447</v>
      </c>
      <c r="M64" s="7"/>
    </row>
    <row r="65" customFormat="false" ht="52.2" hidden="false" customHeight="false" outlineLevel="1" collapsed="false">
      <c r="A65" s="27"/>
      <c r="B65" s="27" t="s">
        <v>3312</v>
      </c>
      <c r="C65" s="7" t="s">
        <v>3351</v>
      </c>
      <c r="D65" s="27" t="s">
        <v>727</v>
      </c>
      <c r="E65" s="50" t="n">
        <v>77</v>
      </c>
      <c r="F65" s="50" t="n">
        <v>77</v>
      </c>
      <c r="G65" s="27" t="s">
        <v>767</v>
      </c>
      <c r="H65" s="50" t="n">
        <f aca="false">F65</f>
        <v>77</v>
      </c>
      <c r="I65" s="51" t="n">
        <v>37</v>
      </c>
      <c r="J65" s="28" t="n">
        <f aca="false">H65*I65</f>
        <v>2849</v>
      </c>
      <c r="K65" s="52" t="s">
        <v>548</v>
      </c>
      <c r="L65" s="7" t="s">
        <v>3352</v>
      </c>
      <c r="M65" s="7"/>
    </row>
    <row r="66" customFormat="false" ht="26.85" hidden="false" customHeight="false" outlineLevel="1" collapsed="false">
      <c r="A66" s="27"/>
      <c r="B66" s="27" t="s">
        <v>3312</v>
      </c>
      <c r="C66" s="7" t="s">
        <v>3353</v>
      </c>
      <c r="D66" s="27" t="s">
        <v>727</v>
      </c>
      <c r="E66" s="50" t="n">
        <v>18</v>
      </c>
      <c r="F66" s="54" t="n">
        <v>0</v>
      </c>
      <c r="G66" s="27" t="s">
        <v>767</v>
      </c>
      <c r="H66" s="50" t="n">
        <f aca="false">F66</f>
        <v>0</v>
      </c>
      <c r="I66" s="51" t="n">
        <v>0</v>
      </c>
      <c r="J66" s="28" t="n">
        <f aca="false">H66*I66</f>
        <v>0</v>
      </c>
      <c r="K66" s="55" t="s">
        <v>555</v>
      </c>
      <c r="L66" s="7" t="s">
        <v>3354</v>
      </c>
      <c r="M66" s="7" t="s">
        <v>3355</v>
      </c>
    </row>
    <row r="67" customFormat="false" ht="26.85" hidden="false" customHeight="false" outlineLevel="1" collapsed="false">
      <c r="A67" s="27"/>
      <c r="B67" s="27" t="s">
        <v>3312</v>
      </c>
      <c r="C67" s="7" t="s">
        <v>3356</v>
      </c>
      <c r="D67" s="27" t="s">
        <v>727</v>
      </c>
      <c r="E67" s="50" t="n">
        <v>12</v>
      </c>
      <c r="F67" s="54" t="n">
        <v>0</v>
      </c>
      <c r="G67" s="27" t="s">
        <v>767</v>
      </c>
      <c r="H67" s="50" t="n">
        <f aca="false">F67</f>
        <v>0</v>
      </c>
      <c r="I67" s="51" t="n">
        <v>0</v>
      </c>
      <c r="J67" s="28" t="n">
        <f aca="false">H67*I67</f>
        <v>0</v>
      </c>
      <c r="K67" s="55" t="s">
        <v>555</v>
      </c>
      <c r="L67" s="7" t="s">
        <v>3354</v>
      </c>
      <c r="M67" s="7" t="s">
        <v>3357</v>
      </c>
    </row>
    <row r="68" customFormat="false" ht="64.9" hidden="false" customHeight="false" outlineLevel="1" collapsed="false">
      <c r="A68" s="27"/>
      <c r="B68" s="27" t="s">
        <v>3312</v>
      </c>
      <c r="C68" s="7" t="s">
        <v>3358</v>
      </c>
      <c r="D68" s="27" t="s">
        <v>727</v>
      </c>
      <c r="E68" s="50" t="n">
        <v>26</v>
      </c>
      <c r="F68" s="54" t="n">
        <v>0</v>
      </c>
      <c r="G68" s="27" t="s">
        <v>767</v>
      </c>
      <c r="H68" s="50" t="n">
        <f aca="false">F68</f>
        <v>0</v>
      </c>
      <c r="I68" s="51" t="n">
        <v>1189.48</v>
      </c>
      <c r="J68" s="28" t="n">
        <f aca="false">H68*I68</f>
        <v>0</v>
      </c>
      <c r="K68" s="55" t="s">
        <v>555</v>
      </c>
      <c r="L68" s="7" t="s">
        <v>3359</v>
      </c>
      <c r="M68" s="7" t="s">
        <v>3360</v>
      </c>
    </row>
    <row r="69" customFormat="false" ht="26.85" hidden="false" customHeight="false" outlineLevel="1" collapsed="false">
      <c r="A69" s="27"/>
      <c r="B69" s="27" t="s">
        <v>3312</v>
      </c>
      <c r="C69" s="7" t="s">
        <v>3361</v>
      </c>
      <c r="D69" s="27" t="s">
        <v>727</v>
      </c>
      <c r="E69" s="50" t="n">
        <v>21</v>
      </c>
      <c r="F69" s="54" t="n">
        <v>0</v>
      </c>
      <c r="G69" s="27" t="s">
        <v>767</v>
      </c>
      <c r="H69" s="50" t="n">
        <f aca="false">F69</f>
        <v>0</v>
      </c>
      <c r="I69" s="51" t="n">
        <v>0</v>
      </c>
      <c r="J69" s="28" t="n">
        <f aca="false">H69*I69</f>
        <v>0</v>
      </c>
      <c r="K69" s="55" t="s">
        <v>555</v>
      </c>
      <c r="L69" s="7" t="s">
        <v>3354</v>
      </c>
      <c r="M69" s="7" t="s">
        <v>3357</v>
      </c>
    </row>
    <row r="70" customFormat="false" ht="52.2" hidden="false" customHeight="false" outlineLevel="1" collapsed="false">
      <c r="A70" s="27"/>
      <c r="B70" s="27" t="s">
        <v>3312</v>
      </c>
      <c r="C70" s="7" t="s">
        <v>3362</v>
      </c>
      <c r="D70" s="27" t="s">
        <v>2353</v>
      </c>
      <c r="E70" s="50" t="n">
        <v>44194</v>
      </c>
      <c r="F70" s="54" t="n">
        <v>0</v>
      </c>
      <c r="G70" s="27" t="s">
        <v>767</v>
      </c>
      <c r="H70" s="50" t="n">
        <f aca="false">F70</f>
        <v>0</v>
      </c>
      <c r="I70" s="51" t="n">
        <v>2.2</v>
      </c>
      <c r="J70" s="28" t="n">
        <f aca="false">H70*I70</f>
        <v>0</v>
      </c>
      <c r="K70" s="55" t="s">
        <v>555</v>
      </c>
      <c r="L70" s="7" t="s">
        <v>3363</v>
      </c>
      <c r="M70" s="7" t="s">
        <v>3364</v>
      </c>
    </row>
    <row r="71" customFormat="false" ht="52.2" hidden="false" customHeight="false" outlineLevel="1" collapsed="false">
      <c r="A71" s="27"/>
      <c r="B71" s="27" t="s">
        <v>3312</v>
      </c>
      <c r="C71" s="7" t="s">
        <v>3365</v>
      </c>
      <c r="D71" s="27" t="s">
        <v>2353</v>
      </c>
      <c r="E71" s="50" t="n">
        <v>3752</v>
      </c>
      <c r="F71" s="54" t="n">
        <v>0</v>
      </c>
      <c r="G71" s="27" t="s">
        <v>767</v>
      </c>
      <c r="H71" s="50" t="n">
        <f aca="false">F71</f>
        <v>0</v>
      </c>
      <c r="I71" s="51" t="n">
        <v>2.2</v>
      </c>
      <c r="J71" s="28" t="n">
        <f aca="false">H71*I71</f>
        <v>0</v>
      </c>
      <c r="K71" s="55" t="s">
        <v>555</v>
      </c>
      <c r="L71" s="7" t="s">
        <v>3363</v>
      </c>
      <c r="M71" s="7" t="s">
        <v>3357</v>
      </c>
    </row>
    <row r="72" customFormat="false" ht="26.85" hidden="false" customHeight="false" outlineLevel="1" collapsed="false">
      <c r="A72" s="27"/>
      <c r="B72" s="27" t="s">
        <v>3312</v>
      </c>
      <c r="C72" s="7" t="s">
        <v>3366</v>
      </c>
      <c r="D72" s="27" t="s">
        <v>732</v>
      </c>
      <c r="E72" s="50" t="n">
        <v>1</v>
      </c>
      <c r="F72" s="54" t="n">
        <v>0</v>
      </c>
      <c r="G72" s="27" t="s">
        <v>767</v>
      </c>
      <c r="H72" s="50" t="n">
        <f aca="false">F72</f>
        <v>0</v>
      </c>
      <c r="I72" s="51" t="n">
        <v>120000</v>
      </c>
      <c r="J72" s="28" t="n">
        <f aca="false">H72*I72</f>
        <v>0</v>
      </c>
      <c r="K72" s="55" t="s">
        <v>555</v>
      </c>
      <c r="L72" s="7" t="s">
        <v>2317</v>
      </c>
      <c r="M72" s="7" t="s">
        <v>3367</v>
      </c>
    </row>
    <row r="73" customFormat="false" ht="26.85" hidden="false" customHeight="false" outlineLevel="1" collapsed="false">
      <c r="A73" s="27"/>
      <c r="B73" s="27" t="s">
        <v>3312</v>
      </c>
      <c r="C73" s="7" t="s">
        <v>3368</v>
      </c>
      <c r="D73" s="27" t="s">
        <v>732</v>
      </c>
      <c r="E73" s="50" t="n">
        <v>1</v>
      </c>
      <c r="F73" s="54" t="n">
        <v>0</v>
      </c>
      <c r="G73" s="27" t="s">
        <v>767</v>
      </c>
      <c r="H73" s="50" t="n">
        <f aca="false">F73</f>
        <v>0</v>
      </c>
      <c r="I73" s="51" t="n">
        <v>30000</v>
      </c>
      <c r="J73" s="28" t="n">
        <f aca="false">H73*I73</f>
        <v>0</v>
      </c>
      <c r="K73" s="55" t="s">
        <v>555</v>
      </c>
      <c r="L73" s="7" t="s">
        <v>2317</v>
      </c>
      <c r="M73" s="7" t="s">
        <v>3369</v>
      </c>
    </row>
    <row r="74" customFormat="false" ht="26.85" hidden="false" customHeight="false" outlineLevel="1" collapsed="false">
      <c r="A74" s="27"/>
      <c r="B74" s="27" t="s">
        <v>3312</v>
      </c>
      <c r="C74" s="7" t="s">
        <v>3370</v>
      </c>
      <c r="D74" s="27" t="s">
        <v>732</v>
      </c>
      <c r="E74" s="50" t="n">
        <v>1</v>
      </c>
      <c r="F74" s="50" t="n">
        <v>1</v>
      </c>
      <c r="G74" s="27" t="s">
        <v>767</v>
      </c>
      <c r="H74" s="50" t="n">
        <f aca="false">F74</f>
        <v>1</v>
      </c>
      <c r="I74" s="51" t="n">
        <v>25000</v>
      </c>
      <c r="J74" s="28" t="n">
        <f aca="false">H74*I74</f>
        <v>25000</v>
      </c>
      <c r="K74" s="53" t="s">
        <v>551</v>
      </c>
      <c r="L74" s="7" t="s">
        <v>2447</v>
      </c>
      <c r="M74" s="7"/>
    </row>
    <row r="75" customFormat="false" ht="15" hidden="false" customHeight="false" outlineLevel="0" collapsed="false">
      <c r="A75" s="48" t="s">
        <v>522</v>
      </c>
      <c r="B75" s="48" t="s">
        <v>3371</v>
      </c>
      <c r="C75" s="48" t="s">
        <v>523</v>
      </c>
      <c r="D75" s="48"/>
      <c r="E75" s="48"/>
      <c r="F75" s="48"/>
      <c r="G75" s="48"/>
      <c r="H75" s="48" t="s">
        <v>765</v>
      </c>
      <c r="I75" s="49" t="n">
        <f aca="false">SUMPRODUCT(E76:E78,I76:I78)</f>
        <v>130507.2</v>
      </c>
      <c r="J75" s="49" t="n">
        <f aca="false">SUM(J76:J78)</f>
        <v>130507.2</v>
      </c>
      <c r="K75" s="48"/>
      <c r="L75" s="48"/>
      <c r="M75" s="48"/>
    </row>
    <row r="76" customFormat="false" ht="64.9" hidden="false" customHeight="false" outlineLevel="1" collapsed="false">
      <c r="A76" s="27"/>
      <c r="B76" s="27" t="s">
        <v>3371</v>
      </c>
      <c r="C76" s="7" t="s">
        <v>3372</v>
      </c>
      <c r="D76" s="27" t="s">
        <v>2353</v>
      </c>
      <c r="E76" s="50" t="n">
        <v>39216</v>
      </c>
      <c r="F76" s="50" t="n">
        <v>39216</v>
      </c>
      <c r="G76" s="27" t="s">
        <v>767</v>
      </c>
      <c r="H76" s="50" t="n">
        <f aca="false">F76</f>
        <v>39216</v>
      </c>
      <c r="I76" s="51" t="n">
        <v>2.2</v>
      </c>
      <c r="J76" s="28" t="n">
        <f aca="false">H76*I76</f>
        <v>86275.2</v>
      </c>
      <c r="K76" s="52" t="s">
        <v>548</v>
      </c>
      <c r="L76" s="7" t="s">
        <v>3373</v>
      </c>
      <c r="M76" s="7" t="s">
        <v>3374</v>
      </c>
    </row>
    <row r="77" customFormat="false" ht="26.85" hidden="false" customHeight="false" outlineLevel="1" collapsed="false">
      <c r="A77" s="27"/>
      <c r="B77" s="27" t="s">
        <v>3371</v>
      </c>
      <c r="C77" s="7" t="s">
        <v>3375</v>
      </c>
      <c r="D77" s="27" t="s">
        <v>727</v>
      </c>
      <c r="E77" s="50" t="n">
        <v>456</v>
      </c>
      <c r="F77" s="50" t="n">
        <v>456</v>
      </c>
      <c r="G77" s="27" t="s">
        <v>767</v>
      </c>
      <c r="H77" s="50" t="n">
        <f aca="false">F77</f>
        <v>456</v>
      </c>
      <c r="I77" s="51" t="n">
        <v>22</v>
      </c>
      <c r="J77" s="28" t="n">
        <f aca="false">H77*I77</f>
        <v>10032</v>
      </c>
      <c r="K77" s="53" t="s">
        <v>551</v>
      </c>
      <c r="L77" s="7" t="s">
        <v>2447</v>
      </c>
      <c r="M77" s="7" t="s">
        <v>3376</v>
      </c>
    </row>
    <row r="78" customFormat="false" ht="39.55" hidden="false" customHeight="false" outlineLevel="1" collapsed="false">
      <c r="A78" s="27"/>
      <c r="B78" s="27" t="s">
        <v>3371</v>
      </c>
      <c r="C78" s="7" t="s">
        <v>3377</v>
      </c>
      <c r="D78" s="27" t="s">
        <v>727</v>
      </c>
      <c r="E78" s="50" t="n">
        <v>114</v>
      </c>
      <c r="F78" s="50" t="n">
        <v>114</v>
      </c>
      <c r="G78" s="27" t="s">
        <v>767</v>
      </c>
      <c r="H78" s="50" t="n">
        <f aca="false">F78</f>
        <v>114</v>
      </c>
      <c r="I78" s="51" t="n">
        <v>300</v>
      </c>
      <c r="J78" s="28" t="n">
        <f aca="false">H78*I78</f>
        <v>34200</v>
      </c>
      <c r="K78" s="53" t="s">
        <v>551</v>
      </c>
      <c r="L78" s="7" t="s">
        <v>3378</v>
      </c>
      <c r="M78" s="7"/>
    </row>
    <row r="79" customFormat="false" ht="15" hidden="false" customHeight="false" outlineLevel="0" collapsed="false">
      <c r="A79" s="48" t="s">
        <v>524</v>
      </c>
      <c r="B79" s="48" t="s">
        <v>3379</v>
      </c>
      <c r="C79" s="48" t="s">
        <v>525</v>
      </c>
      <c r="D79" s="48"/>
      <c r="E79" s="48"/>
      <c r="F79" s="48"/>
      <c r="G79" s="48"/>
      <c r="H79" s="48" t="s">
        <v>765</v>
      </c>
      <c r="I79" s="49" t="n">
        <f aca="false">SUMPRODUCT(E80:E82,I80:I82)</f>
        <v>24136.6</v>
      </c>
      <c r="J79" s="49" t="n">
        <f aca="false">SUM(J80:J82)</f>
        <v>24136.6</v>
      </c>
      <c r="K79" s="48"/>
      <c r="L79" s="48"/>
      <c r="M79" s="48"/>
    </row>
    <row r="80" customFormat="false" ht="64.9" hidden="false" customHeight="false" outlineLevel="1" collapsed="false">
      <c r="A80" s="27"/>
      <c r="B80" s="27" t="s">
        <v>3379</v>
      </c>
      <c r="C80" s="7" t="s">
        <v>3380</v>
      </c>
      <c r="D80" s="27" t="s">
        <v>2353</v>
      </c>
      <c r="E80" s="50" t="n">
        <v>7293</v>
      </c>
      <c r="F80" s="50" t="n">
        <v>7293</v>
      </c>
      <c r="G80" s="27" t="s">
        <v>767</v>
      </c>
      <c r="H80" s="50" t="n">
        <f aca="false">F80</f>
        <v>7293</v>
      </c>
      <c r="I80" s="51" t="n">
        <v>2.2</v>
      </c>
      <c r="J80" s="28" t="n">
        <f aca="false">H80*I80</f>
        <v>16044.6</v>
      </c>
      <c r="K80" s="52" t="s">
        <v>548</v>
      </c>
      <c r="L80" s="7" t="s">
        <v>3373</v>
      </c>
      <c r="M80" s="7" t="s">
        <v>3374</v>
      </c>
    </row>
    <row r="81" customFormat="false" ht="26.85" hidden="false" customHeight="false" outlineLevel="1" collapsed="false">
      <c r="A81" s="27"/>
      <c r="B81" s="27" t="s">
        <v>3379</v>
      </c>
      <c r="C81" s="7" t="s">
        <v>3381</v>
      </c>
      <c r="D81" s="27" t="s">
        <v>727</v>
      </c>
      <c r="E81" s="50" t="n">
        <v>136</v>
      </c>
      <c r="F81" s="50" t="n">
        <v>136</v>
      </c>
      <c r="G81" s="27" t="s">
        <v>767</v>
      </c>
      <c r="H81" s="50" t="n">
        <f aca="false">F81</f>
        <v>136</v>
      </c>
      <c r="I81" s="51" t="n">
        <v>22</v>
      </c>
      <c r="J81" s="28" t="n">
        <f aca="false">H81*I81</f>
        <v>2992</v>
      </c>
      <c r="K81" s="53" t="s">
        <v>551</v>
      </c>
      <c r="L81" s="7" t="s">
        <v>2317</v>
      </c>
      <c r="M81" s="7" t="s">
        <v>3376</v>
      </c>
    </row>
    <row r="82" customFormat="false" ht="39.55" hidden="false" customHeight="false" outlineLevel="1" collapsed="false">
      <c r="A82" s="27"/>
      <c r="B82" s="27" t="s">
        <v>3379</v>
      </c>
      <c r="C82" s="7" t="s">
        <v>3382</v>
      </c>
      <c r="D82" s="27" t="s">
        <v>727</v>
      </c>
      <c r="E82" s="50" t="n">
        <v>17</v>
      </c>
      <c r="F82" s="50" t="n">
        <v>17</v>
      </c>
      <c r="G82" s="27" t="s">
        <v>767</v>
      </c>
      <c r="H82" s="50" t="n">
        <f aca="false">F82</f>
        <v>17</v>
      </c>
      <c r="I82" s="51" t="n">
        <v>300</v>
      </c>
      <c r="J82" s="28" t="n">
        <f aca="false">H82*I82</f>
        <v>5100</v>
      </c>
      <c r="K82" s="53" t="s">
        <v>551</v>
      </c>
      <c r="L82" s="7" t="s">
        <v>3378</v>
      </c>
      <c r="M82" s="7"/>
    </row>
    <row r="83" customFormat="false" ht="15" hidden="false" customHeight="false" outlineLevel="0" collapsed="false">
      <c r="A83" s="48" t="s">
        <v>526</v>
      </c>
      <c r="B83" s="48" t="s">
        <v>3383</v>
      </c>
      <c r="C83" s="48" t="s">
        <v>527</v>
      </c>
      <c r="D83" s="48"/>
      <c r="E83" s="48"/>
      <c r="F83" s="48"/>
      <c r="G83" s="48"/>
      <c r="H83" s="48" t="s">
        <v>765</v>
      </c>
      <c r="I83" s="49" t="n">
        <f aca="false">SUMPRODUCT(E84:E86,I84:I86)</f>
        <v>5098.4</v>
      </c>
      <c r="J83" s="49" t="n">
        <f aca="false">SUM(J84:J86)</f>
        <v>5098.4</v>
      </c>
      <c r="K83" s="48"/>
      <c r="L83" s="48"/>
      <c r="M83" s="48"/>
    </row>
    <row r="84" customFormat="false" ht="64.9" hidden="false" customHeight="false" outlineLevel="1" collapsed="false">
      <c r="A84" s="27"/>
      <c r="B84" s="27" t="s">
        <v>3383</v>
      </c>
      <c r="C84" s="7" t="s">
        <v>3384</v>
      </c>
      <c r="D84" s="27" t="s">
        <v>2353</v>
      </c>
      <c r="E84" s="50" t="n">
        <v>1452</v>
      </c>
      <c r="F84" s="50" t="n">
        <v>1452</v>
      </c>
      <c r="G84" s="27" t="s">
        <v>767</v>
      </c>
      <c r="H84" s="50" t="n">
        <f aca="false">F84</f>
        <v>1452</v>
      </c>
      <c r="I84" s="51" t="n">
        <v>2.2</v>
      </c>
      <c r="J84" s="28" t="n">
        <f aca="false">H84*I84</f>
        <v>3194.4</v>
      </c>
      <c r="K84" s="52" t="s">
        <v>548</v>
      </c>
      <c r="L84" s="7" t="s">
        <v>3385</v>
      </c>
      <c r="M84" s="7" t="s">
        <v>3374</v>
      </c>
    </row>
    <row r="85" customFormat="false" ht="26.85" hidden="false" customHeight="false" outlineLevel="1" collapsed="false">
      <c r="A85" s="27"/>
      <c r="B85" s="27" t="s">
        <v>3383</v>
      </c>
      <c r="C85" s="7" t="s">
        <v>3386</v>
      </c>
      <c r="D85" s="27" t="s">
        <v>727</v>
      </c>
      <c r="E85" s="50" t="n">
        <v>32</v>
      </c>
      <c r="F85" s="50" t="n">
        <v>32</v>
      </c>
      <c r="G85" s="27" t="s">
        <v>767</v>
      </c>
      <c r="H85" s="50" t="n">
        <f aca="false">F85</f>
        <v>32</v>
      </c>
      <c r="I85" s="51" t="n">
        <v>22</v>
      </c>
      <c r="J85" s="28" t="n">
        <f aca="false">H85*I85</f>
        <v>704</v>
      </c>
      <c r="K85" s="53" t="s">
        <v>551</v>
      </c>
      <c r="L85" s="7" t="s">
        <v>2317</v>
      </c>
      <c r="M85" s="7" t="s">
        <v>3376</v>
      </c>
    </row>
    <row r="86" customFormat="false" ht="26.85" hidden="false" customHeight="false" outlineLevel="1" collapsed="false">
      <c r="A86" s="27"/>
      <c r="B86" s="27" t="s">
        <v>3383</v>
      </c>
      <c r="C86" s="7" t="s">
        <v>3387</v>
      </c>
      <c r="D86" s="27" t="s">
        <v>727</v>
      </c>
      <c r="E86" s="50" t="n">
        <v>4</v>
      </c>
      <c r="F86" s="50" t="n">
        <v>4</v>
      </c>
      <c r="G86" s="27" t="s">
        <v>767</v>
      </c>
      <c r="H86" s="50" t="n">
        <f aca="false">F86</f>
        <v>4</v>
      </c>
      <c r="I86" s="51" t="n">
        <v>300</v>
      </c>
      <c r="J86" s="28" t="n">
        <f aca="false">H86*I86</f>
        <v>1200</v>
      </c>
      <c r="K86" s="53" t="s">
        <v>551</v>
      </c>
      <c r="L86" s="7" t="s">
        <v>2317</v>
      </c>
      <c r="M86" s="7"/>
    </row>
    <row r="87" customFormat="false" ht="15" hidden="false" customHeight="false" outlineLevel="0" collapsed="false">
      <c r="A87" s="48" t="s">
        <v>528</v>
      </c>
      <c r="B87" s="48" t="s">
        <v>3388</v>
      </c>
      <c r="C87" s="48" t="s">
        <v>529</v>
      </c>
      <c r="D87" s="48"/>
      <c r="E87" s="48"/>
      <c r="F87" s="48"/>
      <c r="G87" s="48"/>
      <c r="H87" s="48" t="s">
        <v>765</v>
      </c>
      <c r="I87" s="49" t="n">
        <f aca="false">SUMPRODUCT(E88:E90,I88:I90)</f>
        <v>65366.4</v>
      </c>
      <c r="J87" s="49" t="n">
        <f aca="false">SUM(J88:J90)</f>
        <v>65366.4</v>
      </c>
      <c r="K87" s="48"/>
      <c r="L87" s="48"/>
      <c r="M87" s="48"/>
    </row>
    <row r="88" customFormat="false" ht="64.9" hidden="false" customHeight="false" outlineLevel="1" collapsed="false">
      <c r="A88" s="27"/>
      <c r="B88" s="27" t="s">
        <v>3388</v>
      </c>
      <c r="C88" s="7" t="s">
        <v>3389</v>
      </c>
      <c r="D88" s="27" t="s">
        <v>2353</v>
      </c>
      <c r="E88" s="50" t="n">
        <v>21912</v>
      </c>
      <c r="F88" s="50" t="n">
        <v>21912</v>
      </c>
      <c r="G88" s="27" t="s">
        <v>767</v>
      </c>
      <c r="H88" s="50" t="n">
        <f aca="false">F88</f>
        <v>21912</v>
      </c>
      <c r="I88" s="51" t="n">
        <v>2.2</v>
      </c>
      <c r="J88" s="28" t="n">
        <f aca="false">H88*I88</f>
        <v>48206.4</v>
      </c>
      <c r="K88" s="52" t="s">
        <v>548</v>
      </c>
      <c r="L88" s="7" t="s">
        <v>3373</v>
      </c>
      <c r="M88" s="7" t="s">
        <v>3374</v>
      </c>
    </row>
    <row r="89" customFormat="false" ht="26.85" hidden="false" customHeight="false" outlineLevel="1" collapsed="false">
      <c r="A89" s="27"/>
      <c r="B89" s="27" t="s">
        <v>3388</v>
      </c>
      <c r="C89" s="7" t="s">
        <v>3390</v>
      </c>
      <c r="D89" s="27" t="s">
        <v>727</v>
      </c>
      <c r="E89" s="50" t="n">
        <v>330</v>
      </c>
      <c r="F89" s="50" t="n">
        <v>330</v>
      </c>
      <c r="G89" s="27" t="s">
        <v>767</v>
      </c>
      <c r="H89" s="50" t="n">
        <f aca="false">F89</f>
        <v>330</v>
      </c>
      <c r="I89" s="51" t="n">
        <v>22</v>
      </c>
      <c r="J89" s="28" t="n">
        <f aca="false">H89*I89</f>
        <v>7260</v>
      </c>
      <c r="K89" s="53" t="s">
        <v>551</v>
      </c>
      <c r="L89" s="7" t="s">
        <v>2447</v>
      </c>
      <c r="M89" s="7" t="s">
        <v>3376</v>
      </c>
    </row>
    <row r="90" customFormat="false" ht="39.55" hidden="false" customHeight="false" outlineLevel="1" collapsed="false">
      <c r="A90" s="27"/>
      <c r="B90" s="27" t="s">
        <v>3388</v>
      </c>
      <c r="C90" s="7" t="s">
        <v>3391</v>
      </c>
      <c r="D90" s="27" t="s">
        <v>727</v>
      </c>
      <c r="E90" s="50" t="n">
        <v>33</v>
      </c>
      <c r="F90" s="50" t="n">
        <v>33</v>
      </c>
      <c r="G90" s="27" t="s">
        <v>767</v>
      </c>
      <c r="H90" s="50" t="n">
        <f aca="false">F90</f>
        <v>33</v>
      </c>
      <c r="I90" s="51" t="n">
        <v>300</v>
      </c>
      <c r="J90" s="28" t="n">
        <f aca="false">H90*I90</f>
        <v>9900</v>
      </c>
      <c r="K90" s="53" t="s">
        <v>551</v>
      </c>
      <c r="L90" s="7" t="s">
        <v>3378</v>
      </c>
      <c r="M90" s="7"/>
    </row>
    <row r="91" customFormat="false" ht="15" hidden="false" customHeight="false" outlineLevel="0" collapsed="false">
      <c r="A91" s="48" t="s">
        <v>530</v>
      </c>
      <c r="B91" s="48" t="s">
        <v>3392</v>
      </c>
      <c r="C91" s="48" t="s">
        <v>531</v>
      </c>
      <c r="D91" s="48"/>
      <c r="E91" s="48"/>
      <c r="F91" s="48"/>
      <c r="G91" s="48"/>
      <c r="H91" s="48" t="s">
        <v>765</v>
      </c>
      <c r="I91" s="49" t="n">
        <f aca="false">SUMPRODUCT(E92:E94,I92:I94)</f>
        <v>118848</v>
      </c>
      <c r="J91" s="49" t="n">
        <f aca="false">SUM(J92:J94)</f>
        <v>118848</v>
      </c>
      <c r="K91" s="48"/>
      <c r="L91" s="48"/>
      <c r="M91" s="48"/>
    </row>
    <row r="92" customFormat="false" ht="64.9" hidden="false" customHeight="false" outlineLevel="1" collapsed="false">
      <c r="A92" s="27"/>
      <c r="B92" s="27" t="s">
        <v>3392</v>
      </c>
      <c r="C92" s="7" t="s">
        <v>3393</v>
      </c>
      <c r="D92" s="27" t="s">
        <v>2353</v>
      </c>
      <c r="E92" s="50" t="n">
        <v>39840</v>
      </c>
      <c r="F92" s="50" t="n">
        <v>39840</v>
      </c>
      <c r="G92" s="27" t="s">
        <v>767</v>
      </c>
      <c r="H92" s="50" t="n">
        <f aca="false">F92</f>
        <v>39840</v>
      </c>
      <c r="I92" s="51" t="n">
        <v>2.2</v>
      </c>
      <c r="J92" s="28" t="n">
        <f aca="false">H92*I92</f>
        <v>87648</v>
      </c>
      <c r="K92" s="52" t="s">
        <v>548</v>
      </c>
      <c r="L92" s="7" t="s">
        <v>3373</v>
      </c>
      <c r="M92" s="7" t="s">
        <v>3374</v>
      </c>
    </row>
    <row r="93" customFormat="false" ht="26.85" hidden="false" customHeight="false" outlineLevel="1" collapsed="false">
      <c r="A93" s="27"/>
      <c r="B93" s="27" t="s">
        <v>3392</v>
      </c>
      <c r="C93" s="7" t="s">
        <v>3394</v>
      </c>
      <c r="D93" s="27" t="s">
        <v>727</v>
      </c>
      <c r="E93" s="50" t="n">
        <v>600</v>
      </c>
      <c r="F93" s="50" t="n">
        <v>600</v>
      </c>
      <c r="G93" s="27" t="s">
        <v>767</v>
      </c>
      <c r="H93" s="50" t="n">
        <f aca="false">F93</f>
        <v>600</v>
      </c>
      <c r="I93" s="51" t="n">
        <v>22</v>
      </c>
      <c r="J93" s="28" t="n">
        <f aca="false">H93*I93</f>
        <v>13200</v>
      </c>
      <c r="K93" s="53" t="s">
        <v>551</v>
      </c>
      <c r="L93" s="7" t="s">
        <v>2447</v>
      </c>
      <c r="M93" s="7" t="s">
        <v>3376</v>
      </c>
    </row>
    <row r="94" customFormat="false" ht="39.55" hidden="false" customHeight="false" outlineLevel="1" collapsed="false">
      <c r="A94" s="27"/>
      <c r="B94" s="27" t="s">
        <v>3392</v>
      </c>
      <c r="C94" s="7" t="s">
        <v>3395</v>
      </c>
      <c r="D94" s="27" t="s">
        <v>727</v>
      </c>
      <c r="E94" s="50" t="n">
        <v>60</v>
      </c>
      <c r="F94" s="50" t="n">
        <v>60</v>
      </c>
      <c r="G94" s="27" t="s">
        <v>767</v>
      </c>
      <c r="H94" s="50" t="n">
        <f aca="false">F94</f>
        <v>60</v>
      </c>
      <c r="I94" s="51" t="n">
        <v>300</v>
      </c>
      <c r="J94" s="28" t="n">
        <f aca="false">H94*I94</f>
        <v>18000</v>
      </c>
      <c r="K94" s="53" t="s">
        <v>551</v>
      </c>
      <c r="L94" s="7" t="s">
        <v>3378</v>
      </c>
      <c r="M94" s="7"/>
    </row>
    <row r="96" customFormat="false" ht="15" hidden="false" customHeight="false" outlineLevel="0" collapsed="false">
      <c r="C96" s="14" t="s">
        <v>1660</v>
      </c>
      <c r="J96" s="56" t="n">
        <f aca="false">J5+J42+J75+J79+J83+J87+J91</f>
        <v>2104680.81993441</v>
      </c>
    </row>
    <row r="97" customFormat="false" ht="15" hidden="false" customHeight="false" outlineLevel="0" collapsed="false">
      <c r="C97" s="14" t="s">
        <v>1661</v>
      </c>
      <c r="J97" s="56" t="n">
        <f aca="false">I5+I42+I75+I79+I83+I87+I91</f>
        <v>3409899.43</v>
      </c>
    </row>
    <row r="98" customFormat="false" ht="15" hidden="false" customHeight="false" outlineLevel="0" collapsed="false">
      <c r="C98" s="14" t="s">
        <v>1662</v>
      </c>
      <c r="J98" s="56" t="n">
        <f aca="false">J96-J97</f>
        <v>-1305218.61006559</v>
      </c>
    </row>
    <row r="100" customFormat="false" ht="15" hidden="false" customHeight="false" outlineLevel="0" collapsed="false">
      <c r="C100" s="19" t="s">
        <v>1663</v>
      </c>
    </row>
    <row r="101" customFormat="false" ht="15" hidden="false" customHeight="false" outlineLevel="0" collapsed="false">
      <c r="C101" s="57" t="s">
        <v>545</v>
      </c>
      <c r="J101" s="23" t="n">
        <f aca="false">SUMIF($K$5:$K$94,"2026 TEKLİF",$J$5:$J$94)</f>
        <v>0</v>
      </c>
      <c r="K101" s="58" t="n">
        <f aca="false">IF($J$96=0,0,J101/$J$96)</f>
        <v>0</v>
      </c>
    </row>
    <row r="102" customFormat="false" ht="15" hidden="false" customHeight="false" outlineLevel="0" collapsed="false">
      <c r="C102" s="59" t="s">
        <v>548</v>
      </c>
      <c r="J102" s="23" t="n">
        <f aca="false">SUMIF($K$5:$K$94,"GEÇMİŞ TEKLİF UYARLAMA",$J$5:$J$94)</f>
        <v>1641799.18357078</v>
      </c>
      <c r="K102" s="58" t="n">
        <f aca="false">IF($J$96=0,0,J102/$J$96)</f>
        <v>0.780070387880448</v>
      </c>
    </row>
    <row r="103" customFormat="false" ht="15" hidden="false" customHeight="false" outlineLevel="0" collapsed="false">
      <c r="C103" s="60" t="s">
        <v>551</v>
      </c>
      <c r="J103" s="23" t="n">
        <f aca="false">SUMIF($K$5:$K$94,"MÜHENDİSLİK TAHMİNİ",$J$5:$J$94)</f>
        <v>462881.636363636</v>
      </c>
      <c r="K103" s="58" t="n">
        <f aca="false">IF($J$96=0,0,J103/$J$96)</f>
        <v>0.219929612119552</v>
      </c>
    </row>
    <row r="104" customFormat="false" ht="15" hidden="false" customHeight="false" outlineLevel="0" collapsed="false">
      <c r="C104" s="61" t="s">
        <v>1664</v>
      </c>
      <c r="J104" s="23" t="n">
        <f aca="false">SUMPRODUCT(($K$5:$K$94="KAPSAM DIŞI (0)")*$E$5:$E$94*$I$5:$I$94)</f>
        <v>455780.08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24"/>
    <col collapsed="false" customWidth="true" hidden="false" outlineLevel="0" max="5" min="5" style="0" width="11"/>
    <col collapsed="false" customWidth="true" hidden="false" outlineLevel="0" max="6" min="6" style="0" width="60"/>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9"/>
    <col collapsed="false" customWidth="true" hidden="false" outlineLevel="0" max="11" min="11" style="0" width="13"/>
    <col collapsed="false" customWidth="true" hidden="false" outlineLevel="0" max="13" min="12" style="0" width="10"/>
    <col collapsed="false" customWidth="true" hidden="false" outlineLevel="0" max="14" min="14" style="0" width="50"/>
  </cols>
  <sheetData>
    <row r="1" customFormat="false" ht="16.15" hidden="false" customHeight="false" outlineLevel="0" collapsed="false">
      <c r="A1" s="1" t="s">
        <v>3396</v>
      </c>
    </row>
    <row r="2" customFormat="false" ht="27.75" hidden="false" customHeight="true" outlineLevel="0" collapsed="false">
      <c r="A2" s="2" t="s">
        <v>3397</v>
      </c>
      <c r="B2" s="2"/>
      <c r="C2" s="2"/>
      <c r="D2" s="2"/>
      <c r="E2" s="2"/>
      <c r="F2" s="2"/>
      <c r="G2" s="2"/>
      <c r="H2" s="2"/>
      <c r="I2" s="2"/>
      <c r="J2" s="2"/>
      <c r="K2" s="2"/>
      <c r="L2" s="2"/>
      <c r="M2" s="2"/>
      <c r="N2" s="2"/>
    </row>
    <row r="4" customFormat="false" ht="46.25" hidden="false" customHeight="false" outlineLevel="0" collapsed="false">
      <c r="A4" s="3" t="s">
        <v>3398</v>
      </c>
      <c r="B4" s="3" t="s">
        <v>564</v>
      </c>
      <c r="C4" s="3" t="s">
        <v>3399</v>
      </c>
      <c r="D4" s="3" t="s">
        <v>110</v>
      </c>
      <c r="E4" s="3" t="s">
        <v>3400</v>
      </c>
      <c r="F4" s="3" t="s">
        <v>3401</v>
      </c>
      <c r="G4" s="3" t="s">
        <v>720</v>
      </c>
      <c r="H4" s="3" t="s">
        <v>3402</v>
      </c>
      <c r="I4" s="3" t="s">
        <v>591</v>
      </c>
      <c r="J4" s="3" t="s">
        <v>3</v>
      </c>
      <c r="K4" s="3" t="s">
        <v>3403</v>
      </c>
      <c r="L4" s="3" t="s">
        <v>3404</v>
      </c>
      <c r="M4" s="3" t="s">
        <v>3405</v>
      </c>
      <c r="N4" s="3" t="s">
        <v>724</v>
      </c>
    </row>
    <row r="5" customFormat="false" ht="15" hidden="false" customHeight="false" outlineLevel="0" collapsed="false">
      <c r="A5" s="22" t="s">
        <v>3406</v>
      </c>
      <c r="B5" s="22" t="s">
        <v>3407</v>
      </c>
      <c r="C5" s="22" t="s">
        <v>3408</v>
      </c>
      <c r="D5" s="22" t="s">
        <v>3409</v>
      </c>
      <c r="E5" s="22" t="s">
        <v>3410</v>
      </c>
      <c r="F5" s="22" t="s">
        <v>3411</v>
      </c>
      <c r="G5" s="22" t="s">
        <v>727</v>
      </c>
      <c r="H5" s="63" t="n">
        <v>12809.65</v>
      </c>
      <c r="I5" s="22" t="s">
        <v>601</v>
      </c>
      <c r="J5" s="22"/>
      <c r="K5" s="63" t="n">
        <v>2584.47893378794</v>
      </c>
      <c r="L5" s="22" t="s">
        <v>3173</v>
      </c>
      <c r="M5" s="22" t="n">
        <v>1</v>
      </c>
      <c r="N5" s="22" t="s">
        <v>3412</v>
      </c>
    </row>
    <row r="6" customFormat="false" ht="15" hidden="false" customHeight="false" outlineLevel="0" collapsed="false">
      <c r="A6" s="22" t="s">
        <v>3413</v>
      </c>
      <c r="B6" s="22" t="s">
        <v>3407</v>
      </c>
      <c r="C6" s="22" t="s">
        <v>3408</v>
      </c>
      <c r="D6" s="22" t="s">
        <v>3409</v>
      </c>
      <c r="E6" s="22" t="s">
        <v>3410</v>
      </c>
      <c r="F6" s="22" t="s">
        <v>3414</v>
      </c>
      <c r="G6" s="22" t="s">
        <v>748</v>
      </c>
      <c r="H6" s="63" t="n">
        <v>22.68</v>
      </c>
      <c r="I6" s="22" t="s">
        <v>601</v>
      </c>
      <c r="J6" s="22"/>
      <c r="K6" s="63" t="n">
        <v>4.57592379325825</v>
      </c>
      <c r="L6" s="22" t="s">
        <v>3209</v>
      </c>
      <c r="M6" s="22" t="n">
        <v>11</v>
      </c>
      <c r="N6" s="22" t="s">
        <v>3412</v>
      </c>
    </row>
    <row r="7" customFormat="false" ht="15" hidden="false" customHeight="false" outlineLevel="0" collapsed="false">
      <c r="A7" s="22" t="s">
        <v>3415</v>
      </c>
      <c r="B7" s="22" t="s">
        <v>3407</v>
      </c>
      <c r="C7" s="22" t="s">
        <v>3408</v>
      </c>
      <c r="D7" s="22" t="s">
        <v>3409</v>
      </c>
      <c r="E7" s="22" t="s">
        <v>3410</v>
      </c>
      <c r="F7" s="22" t="s">
        <v>3416</v>
      </c>
      <c r="G7" s="22" t="s">
        <v>727</v>
      </c>
      <c r="H7" s="63" t="n">
        <v>8152.33</v>
      </c>
      <c r="I7" s="22" t="s">
        <v>601</v>
      </c>
      <c r="J7" s="22"/>
      <c r="K7" s="63" t="n">
        <v>1644.81661452791</v>
      </c>
      <c r="L7" s="22" t="s">
        <v>1202</v>
      </c>
      <c r="M7" s="22" t="n">
        <v>6</v>
      </c>
      <c r="N7" s="22" t="s">
        <v>3412</v>
      </c>
    </row>
    <row r="8" customFormat="false" ht="15" hidden="false" customHeight="false" outlineLevel="0" collapsed="false">
      <c r="A8" s="22" t="s">
        <v>3417</v>
      </c>
      <c r="B8" s="22" t="s">
        <v>3407</v>
      </c>
      <c r="C8" s="22" t="s">
        <v>3408</v>
      </c>
      <c r="D8" s="22" t="s">
        <v>3409</v>
      </c>
      <c r="E8" s="22" t="s">
        <v>3410</v>
      </c>
      <c r="F8" s="22" t="s">
        <v>3418</v>
      </c>
      <c r="G8" s="22" t="s">
        <v>748</v>
      </c>
      <c r="H8" s="63" t="n">
        <v>16.62</v>
      </c>
      <c r="I8" s="22" t="s">
        <v>601</v>
      </c>
      <c r="J8" s="22"/>
      <c r="K8" s="63" t="n">
        <v>3.35325632468925</v>
      </c>
      <c r="L8" s="22" t="s">
        <v>3209</v>
      </c>
      <c r="M8" s="22" t="n">
        <v>1</v>
      </c>
      <c r="N8" s="22" t="s">
        <v>3412</v>
      </c>
    </row>
    <row r="9" customFormat="false" ht="15" hidden="false" customHeight="false" outlineLevel="0" collapsed="false">
      <c r="A9" s="22" t="s">
        <v>3419</v>
      </c>
      <c r="B9" s="22" t="s">
        <v>3407</v>
      </c>
      <c r="C9" s="22" t="s">
        <v>3408</v>
      </c>
      <c r="D9" s="22" t="s">
        <v>3409</v>
      </c>
      <c r="E9" s="22" t="s">
        <v>3410</v>
      </c>
      <c r="F9" s="22" t="s">
        <v>3420</v>
      </c>
      <c r="G9" s="22" t="s">
        <v>727</v>
      </c>
      <c r="H9" s="63" t="n">
        <v>288.66</v>
      </c>
      <c r="I9" s="22" t="s">
        <v>601</v>
      </c>
      <c r="J9" s="22"/>
      <c r="K9" s="63" t="n">
        <v>58.2401306067869</v>
      </c>
      <c r="L9" s="22" t="s">
        <v>1217</v>
      </c>
      <c r="M9" s="22" t="n">
        <v>3</v>
      </c>
      <c r="N9" s="22" t="s">
        <v>3412</v>
      </c>
    </row>
    <row r="10" customFormat="false" ht="15" hidden="false" customHeight="false" outlineLevel="0" collapsed="false">
      <c r="A10" s="22" t="s">
        <v>3421</v>
      </c>
      <c r="B10" s="22" t="s">
        <v>3407</v>
      </c>
      <c r="C10" s="22" t="s">
        <v>3408</v>
      </c>
      <c r="D10" s="22" t="s">
        <v>3409</v>
      </c>
      <c r="E10" s="22" t="s">
        <v>3410</v>
      </c>
      <c r="F10" s="22" t="s">
        <v>3422</v>
      </c>
      <c r="G10" s="22" t="s">
        <v>727</v>
      </c>
      <c r="H10" s="63" t="n">
        <v>176.47</v>
      </c>
      <c r="I10" s="22" t="s">
        <v>601</v>
      </c>
      <c r="J10" s="22"/>
      <c r="K10" s="63" t="n">
        <v>35.6046416135927</v>
      </c>
      <c r="L10" s="22" t="s">
        <v>1217</v>
      </c>
      <c r="M10" s="22" t="n">
        <v>3</v>
      </c>
      <c r="N10" s="22" t="s">
        <v>3412</v>
      </c>
    </row>
    <row r="11" customFormat="false" ht="15" hidden="false" customHeight="false" outlineLevel="0" collapsed="false">
      <c r="A11" s="22" t="s">
        <v>3423</v>
      </c>
      <c r="B11" s="22" t="s">
        <v>3407</v>
      </c>
      <c r="C11" s="22" t="s">
        <v>3408</v>
      </c>
      <c r="D11" s="22" t="s">
        <v>3409</v>
      </c>
      <c r="E11" s="22" t="s">
        <v>3410</v>
      </c>
      <c r="F11" s="22" t="s">
        <v>3424</v>
      </c>
      <c r="G11" s="22" t="s">
        <v>727</v>
      </c>
      <c r="H11" s="63" t="n">
        <v>235.54</v>
      </c>
      <c r="I11" s="22" t="s">
        <v>601</v>
      </c>
      <c r="J11" s="22"/>
      <c r="K11" s="63" t="n">
        <v>47.5226230275153</v>
      </c>
      <c r="L11" s="22" t="s">
        <v>1202</v>
      </c>
      <c r="M11" s="22" t="n">
        <v>26</v>
      </c>
      <c r="N11" s="22" t="s">
        <v>3412</v>
      </c>
    </row>
    <row r="12" customFormat="false" ht="15" hidden="false" customHeight="false" outlineLevel="0" collapsed="false">
      <c r="A12" s="22" t="s">
        <v>3425</v>
      </c>
      <c r="B12" s="22" t="s">
        <v>3407</v>
      </c>
      <c r="C12" s="22" t="s">
        <v>3408</v>
      </c>
      <c r="D12" s="22" t="s">
        <v>3409</v>
      </c>
      <c r="E12" s="22" t="s">
        <v>3410</v>
      </c>
      <c r="F12" s="22" t="s">
        <v>3426</v>
      </c>
      <c r="G12" s="22" t="s">
        <v>727</v>
      </c>
      <c r="H12" s="63" t="n">
        <v>200.78</v>
      </c>
      <c r="I12" s="22" t="s">
        <v>601</v>
      </c>
      <c r="J12" s="22"/>
      <c r="K12" s="63" t="n">
        <v>40.5094347094529</v>
      </c>
      <c r="L12" s="22" t="s">
        <v>1202</v>
      </c>
      <c r="M12" s="22" t="n">
        <v>6</v>
      </c>
      <c r="N12" s="22" t="s">
        <v>3412</v>
      </c>
    </row>
    <row r="13" customFormat="false" ht="15" hidden="false" customHeight="false" outlineLevel="0" collapsed="false">
      <c r="A13" s="22" t="s">
        <v>3427</v>
      </c>
      <c r="B13" s="22" t="s">
        <v>3407</v>
      </c>
      <c r="C13" s="22" t="s">
        <v>3408</v>
      </c>
      <c r="D13" s="22" t="s">
        <v>3409</v>
      </c>
      <c r="E13" s="22" t="s">
        <v>3410</v>
      </c>
      <c r="F13" s="22" t="s">
        <v>3428</v>
      </c>
      <c r="G13" s="22" t="s">
        <v>727</v>
      </c>
      <c r="H13" s="63" t="n">
        <v>1362.04</v>
      </c>
      <c r="I13" s="22" t="s">
        <v>601</v>
      </c>
      <c r="J13" s="22"/>
      <c r="K13" s="63" t="n">
        <v>274.805610377842</v>
      </c>
      <c r="L13" s="22" t="s">
        <v>1202</v>
      </c>
      <c r="M13" s="22" t="n">
        <v>13</v>
      </c>
      <c r="N13" s="22" t="s">
        <v>3412</v>
      </c>
    </row>
    <row r="14" customFormat="false" ht="15" hidden="false" customHeight="false" outlineLevel="0" collapsed="false">
      <c r="A14" s="22" t="s">
        <v>3429</v>
      </c>
      <c r="B14" s="22" t="s">
        <v>3430</v>
      </c>
      <c r="C14" s="22" t="s">
        <v>3431</v>
      </c>
      <c r="D14" s="22" t="s">
        <v>3432</v>
      </c>
      <c r="E14" s="22" t="s">
        <v>3433</v>
      </c>
      <c r="F14" s="22" t="s">
        <v>3434</v>
      </c>
      <c r="G14" s="22" t="s">
        <v>732</v>
      </c>
      <c r="H14" s="63" t="n">
        <v>84680</v>
      </c>
      <c r="I14" s="22" t="s">
        <v>112</v>
      </c>
      <c r="J14" s="22"/>
      <c r="K14" s="63" t="n">
        <v>113249.097280737</v>
      </c>
      <c r="L14" s="22" t="s">
        <v>3233</v>
      </c>
      <c r="M14" s="22" t="n">
        <v>1</v>
      </c>
      <c r="N14" s="22" t="s">
        <v>3435</v>
      </c>
    </row>
    <row r="15" customFormat="false" ht="15" hidden="false" customHeight="false" outlineLevel="0" collapsed="false">
      <c r="A15" s="22" t="s">
        <v>3436</v>
      </c>
      <c r="B15" s="22" t="s">
        <v>3430</v>
      </c>
      <c r="C15" s="22" t="s">
        <v>3431</v>
      </c>
      <c r="D15" s="22" t="s">
        <v>3432</v>
      </c>
      <c r="E15" s="22" t="s">
        <v>3433</v>
      </c>
      <c r="F15" s="22" t="s">
        <v>3437</v>
      </c>
      <c r="G15" s="22" t="s">
        <v>816</v>
      </c>
      <c r="H15" s="63" t="n">
        <v>100000</v>
      </c>
      <c r="I15" s="22" t="s">
        <v>112</v>
      </c>
      <c r="J15" s="22"/>
      <c r="K15" s="63" t="n">
        <v>133737.71525831</v>
      </c>
      <c r="L15" s="22" t="s">
        <v>3073</v>
      </c>
      <c r="M15" s="22" t="n">
        <v>1</v>
      </c>
      <c r="N15" s="22" t="s">
        <v>3435</v>
      </c>
    </row>
    <row r="16" customFormat="false" ht="15" hidden="false" customHeight="false" outlineLevel="0" collapsed="false">
      <c r="A16" s="22" t="s">
        <v>3438</v>
      </c>
      <c r="B16" s="22" t="s">
        <v>3439</v>
      </c>
      <c r="C16" s="22" t="s">
        <v>3440</v>
      </c>
      <c r="D16" s="22" t="s">
        <v>3441</v>
      </c>
      <c r="E16" s="22" t="s">
        <v>3442</v>
      </c>
      <c r="F16" s="22" t="s">
        <v>3443</v>
      </c>
      <c r="G16" s="22" t="s">
        <v>3444</v>
      </c>
      <c r="H16" s="63" t="n">
        <v>791.82</v>
      </c>
      <c r="I16" s="22" t="s">
        <v>601</v>
      </c>
      <c r="J16" s="22"/>
      <c r="K16" s="63" t="n">
        <v>454.64763938943</v>
      </c>
      <c r="L16" s="22" t="s">
        <v>788</v>
      </c>
      <c r="M16" s="22" t="n">
        <v>7</v>
      </c>
      <c r="N16" s="22" t="s">
        <v>3445</v>
      </c>
    </row>
    <row r="17" customFormat="false" ht="15" hidden="false" customHeight="false" outlineLevel="0" collapsed="false">
      <c r="A17" s="22" t="s">
        <v>3446</v>
      </c>
      <c r="B17" s="22" t="s">
        <v>3439</v>
      </c>
      <c r="C17" s="22" t="s">
        <v>3440</v>
      </c>
      <c r="D17" s="22" t="s">
        <v>3441</v>
      </c>
      <c r="E17" s="22" t="s">
        <v>3442</v>
      </c>
      <c r="F17" s="22" t="s">
        <v>3447</v>
      </c>
      <c r="G17" s="22" t="s">
        <v>853</v>
      </c>
      <c r="H17" s="63" t="n">
        <v>5.27</v>
      </c>
      <c r="I17" s="22" t="s">
        <v>601</v>
      </c>
      <c r="J17" s="22"/>
      <c r="K17" s="63" t="n">
        <v>3.02593147379745</v>
      </c>
      <c r="L17" s="22" t="s">
        <v>3209</v>
      </c>
      <c r="M17" s="22" t="n">
        <v>1</v>
      </c>
      <c r="N17" s="22" t="s">
        <v>3448</v>
      </c>
    </row>
    <row r="18" customFormat="false" ht="15" hidden="false" customHeight="false" outlineLevel="0" collapsed="false">
      <c r="A18" s="22" t="s">
        <v>3449</v>
      </c>
      <c r="B18" s="22" t="s">
        <v>3439</v>
      </c>
      <c r="C18" s="22" t="s">
        <v>3440</v>
      </c>
      <c r="D18" s="22" t="s">
        <v>3441</v>
      </c>
      <c r="E18" s="22" t="s">
        <v>3442</v>
      </c>
      <c r="F18" s="22" t="s">
        <v>3450</v>
      </c>
      <c r="G18" s="22" t="s">
        <v>853</v>
      </c>
      <c r="H18" s="63" t="n">
        <v>5.78</v>
      </c>
      <c r="I18" s="22" t="s">
        <v>601</v>
      </c>
      <c r="J18" s="22"/>
      <c r="K18" s="63" t="n">
        <v>3.31876355190688</v>
      </c>
      <c r="L18" s="22" t="s">
        <v>1202</v>
      </c>
      <c r="M18" s="22" t="n">
        <v>1</v>
      </c>
      <c r="N18" s="22" t="s">
        <v>3448</v>
      </c>
    </row>
    <row r="19" customFormat="false" ht="15" hidden="false" customHeight="false" outlineLevel="0" collapsed="false">
      <c r="A19" s="22" t="s">
        <v>3451</v>
      </c>
      <c r="B19" s="22" t="s">
        <v>3439</v>
      </c>
      <c r="C19" s="22" t="s">
        <v>3440</v>
      </c>
      <c r="D19" s="22" t="s">
        <v>3441</v>
      </c>
      <c r="E19" s="22" t="s">
        <v>3442</v>
      </c>
      <c r="F19" s="22" t="s">
        <v>3452</v>
      </c>
      <c r="G19" s="22" t="s">
        <v>3444</v>
      </c>
      <c r="H19" s="63" t="n">
        <v>4451.26</v>
      </c>
      <c r="I19" s="22" t="s">
        <v>601</v>
      </c>
      <c r="J19" s="22"/>
      <c r="K19" s="63" t="n">
        <v>2555.82689412821</v>
      </c>
      <c r="L19" s="22" t="s">
        <v>1508</v>
      </c>
      <c r="M19" s="22" t="n">
        <v>1</v>
      </c>
      <c r="N19" s="22" t="s">
        <v>3453</v>
      </c>
    </row>
    <row r="20" customFormat="false" ht="15" hidden="false" customHeight="false" outlineLevel="0" collapsed="false">
      <c r="A20" s="22" t="s">
        <v>3454</v>
      </c>
      <c r="B20" s="22" t="s">
        <v>3439</v>
      </c>
      <c r="C20" s="22" t="s">
        <v>3440</v>
      </c>
      <c r="D20" s="22" t="s">
        <v>3441</v>
      </c>
      <c r="E20" s="22" t="s">
        <v>3442</v>
      </c>
      <c r="F20" s="22" t="s">
        <v>3455</v>
      </c>
      <c r="G20" s="22" t="s">
        <v>3444</v>
      </c>
      <c r="H20" s="63" t="n">
        <v>155.09</v>
      </c>
      <c r="I20" s="22" t="s">
        <v>601</v>
      </c>
      <c r="J20" s="22"/>
      <c r="K20" s="63" t="n">
        <v>89.0496607725326</v>
      </c>
      <c r="L20" s="22" t="s">
        <v>1202</v>
      </c>
      <c r="M20" s="22" t="n">
        <v>9</v>
      </c>
      <c r="N20" s="22" t="s">
        <v>3456</v>
      </c>
    </row>
    <row r="21" customFormat="false" ht="15" hidden="false" customHeight="false" outlineLevel="0" collapsed="false">
      <c r="A21" s="22" t="s">
        <v>3457</v>
      </c>
      <c r="B21" s="22" t="s">
        <v>3439</v>
      </c>
      <c r="C21" s="22" t="s">
        <v>3440</v>
      </c>
      <c r="D21" s="22" t="s">
        <v>3441</v>
      </c>
      <c r="E21" s="22" t="s">
        <v>3442</v>
      </c>
      <c r="F21" s="22" t="s">
        <v>3458</v>
      </c>
      <c r="G21" s="22" t="s">
        <v>853</v>
      </c>
      <c r="H21" s="63" t="n">
        <v>3.35</v>
      </c>
      <c r="I21" s="22" t="s">
        <v>601</v>
      </c>
      <c r="J21" s="22"/>
      <c r="K21" s="63" t="n">
        <v>1.92350482679724</v>
      </c>
      <c r="L21" s="22" t="s">
        <v>1508</v>
      </c>
      <c r="M21" s="22" t="n">
        <v>8</v>
      </c>
      <c r="N21" s="22" t="s">
        <v>3459</v>
      </c>
    </row>
    <row r="22" customFormat="false" ht="15" hidden="false" customHeight="false" outlineLevel="0" collapsed="false">
      <c r="A22" s="22" t="s">
        <v>3460</v>
      </c>
      <c r="B22" s="22" t="s">
        <v>3439</v>
      </c>
      <c r="C22" s="22" t="s">
        <v>3440</v>
      </c>
      <c r="D22" s="22" t="s">
        <v>3441</v>
      </c>
      <c r="E22" s="22" t="s">
        <v>3442</v>
      </c>
      <c r="F22" s="22" t="s">
        <v>3461</v>
      </c>
      <c r="G22" s="22" t="s">
        <v>3444</v>
      </c>
      <c r="H22" s="63" t="n">
        <v>262.71</v>
      </c>
      <c r="I22" s="22" t="s">
        <v>601</v>
      </c>
      <c r="J22" s="22"/>
      <c r="K22" s="63" t="n">
        <v>150.842971059076</v>
      </c>
      <c r="L22" s="22" t="s">
        <v>3209</v>
      </c>
      <c r="M22" s="22" t="n">
        <v>2</v>
      </c>
      <c r="N22" s="22" t="s">
        <v>3462</v>
      </c>
    </row>
    <row r="23" customFormat="false" ht="15" hidden="false" customHeight="false" outlineLevel="0" collapsed="false">
      <c r="A23" s="22" t="s">
        <v>3463</v>
      </c>
      <c r="B23" s="22" t="s">
        <v>3439</v>
      </c>
      <c r="C23" s="22" t="s">
        <v>3440</v>
      </c>
      <c r="D23" s="22" t="s">
        <v>3441</v>
      </c>
      <c r="E23" s="22" t="s">
        <v>3442</v>
      </c>
      <c r="F23" s="22" t="s">
        <v>3464</v>
      </c>
      <c r="G23" s="22" t="s">
        <v>3444</v>
      </c>
      <c r="H23" s="63" t="n">
        <v>7562.54</v>
      </c>
      <c r="I23" s="22" t="s">
        <v>601</v>
      </c>
      <c r="J23" s="22"/>
      <c r="K23" s="63" t="n">
        <v>4342.26334114842</v>
      </c>
      <c r="L23" s="22" t="s">
        <v>1202</v>
      </c>
      <c r="M23" s="22" t="n">
        <v>7</v>
      </c>
      <c r="N23" s="22" t="s">
        <v>3465</v>
      </c>
    </row>
    <row r="24" customFormat="false" ht="15" hidden="false" customHeight="false" outlineLevel="0" collapsed="false">
      <c r="A24" s="22" t="s">
        <v>3466</v>
      </c>
      <c r="B24" s="22" t="s">
        <v>3467</v>
      </c>
      <c r="C24" s="22" t="s">
        <v>3431</v>
      </c>
      <c r="D24" s="22" t="s">
        <v>3468</v>
      </c>
      <c r="E24" s="22" t="s">
        <v>3469</v>
      </c>
      <c r="F24" s="22" t="s">
        <v>3470</v>
      </c>
      <c r="G24" s="22" t="s">
        <v>727</v>
      </c>
      <c r="H24" s="63" t="n">
        <v>315</v>
      </c>
      <c r="I24" s="22" t="s">
        <v>112</v>
      </c>
      <c r="J24" s="22"/>
      <c r="K24" s="63" t="n">
        <v>417.553115510569</v>
      </c>
      <c r="L24" s="22" t="s">
        <v>3140</v>
      </c>
      <c r="M24" s="22" t="n">
        <v>1</v>
      </c>
      <c r="N24" s="22" t="s">
        <v>3471</v>
      </c>
    </row>
    <row r="25" customFormat="false" ht="15" hidden="false" customHeight="false" outlineLevel="0" collapsed="false">
      <c r="A25" s="22" t="s">
        <v>3472</v>
      </c>
      <c r="B25" s="22" t="s">
        <v>3467</v>
      </c>
      <c r="C25" s="22" t="s">
        <v>3431</v>
      </c>
      <c r="D25" s="22" t="s">
        <v>3468</v>
      </c>
      <c r="E25" s="22" t="s">
        <v>3469</v>
      </c>
      <c r="F25" s="22" t="s">
        <v>3473</v>
      </c>
      <c r="G25" s="22" t="s">
        <v>727</v>
      </c>
      <c r="H25" s="63" t="n">
        <v>420</v>
      </c>
      <c r="I25" s="22" t="s">
        <v>112</v>
      </c>
      <c r="J25" s="22"/>
      <c r="K25" s="63" t="n">
        <v>556.737487347425</v>
      </c>
      <c r="L25" s="22" t="s">
        <v>3147</v>
      </c>
      <c r="M25" s="22" t="n">
        <v>1</v>
      </c>
      <c r="N25" s="22" t="s">
        <v>3471</v>
      </c>
    </row>
    <row r="26" customFormat="false" ht="15" hidden="false" customHeight="false" outlineLevel="0" collapsed="false">
      <c r="A26" s="22" t="s">
        <v>3474</v>
      </c>
      <c r="B26" s="22" t="s">
        <v>3467</v>
      </c>
      <c r="C26" s="22" t="s">
        <v>3431</v>
      </c>
      <c r="D26" s="22" t="s">
        <v>3468</v>
      </c>
      <c r="E26" s="22" t="s">
        <v>3469</v>
      </c>
      <c r="F26" s="22" t="s">
        <v>3475</v>
      </c>
      <c r="G26" s="22" t="s">
        <v>727</v>
      </c>
      <c r="H26" s="63" t="n">
        <v>205</v>
      </c>
      <c r="I26" s="22" t="s">
        <v>112</v>
      </c>
      <c r="J26" s="22"/>
      <c r="K26" s="63" t="n">
        <v>271.740916443386</v>
      </c>
      <c r="L26" s="22" t="s">
        <v>3077</v>
      </c>
      <c r="M26" s="22" t="n">
        <v>2</v>
      </c>
      <c r="N26" s="22" t="s">
        <v>3471</v>
      </c>
    </row>
    <row r="27" customFormat="false" ht="15" hidden="false" customHeight="false" outlineLevel="0" collapsed="false">
      <c r="A27" s="22" t="s">
        <v>3476</v>
      </c>
      <c r="B27" s="22" t="s">
        <v>3477</v>
      </c>
      <c r="C27" s="22" t="s">
        <v>3478</v>
      </c>
      <c r="D27" s="22" t="s">
        <v>3479</v>
      </c>
      <c r="E27" s="22" t="s">
        <v>3480</v>
      </c>
      <c r="F27" s="22" t="s">
        <v>3481</v>
      </c>
      <c r="G27" s="22" t="s">
        <v>727</v>
      </c>
      <c r="H27" s="63" t="n">
        <v>49500</v>
      </c>
      <c r="I27" s="22" t="s">
        <v>112</v>
      </c>
      <c r="J27" s="22"/>
      <c r="K27" s="63" t="n">
        <v>66694.2998285253</v>
      </c>
      <c r="L27" s="22" t="s">
        <v>3177</v>
      </c>
      <c r="M27" s="22" t="n">
        <v>2</v>
      </c>
      <c r="N27" s="22" t="s">
        <v>3482</v>
      </c>
    </row>
    <row r="28" customFormat="false" ht="15" hidden="false" customHeight="false" outlineLevel="0" collapsed="false">
      <c r="A28" s="22" t="s">
        <v>3483</v>
      </c>
      <c r="B28" s="22" t="s">
        <v>3477</v>
      </c>
      <c r="C28" s="22" t="s">
        <v>3478</v>
      </c>
      <c r="D28" s="22" t="s">
        <v>3479</v>
      </c>
      <c r="E28" s="22" t="s">
        <v>3480</v>
      </c>
      <c r="F28" s="22" t="s">
        <v>3484</v>
      </c>
      <c r="G28" s="22" t="s">
        <v>727</v>
      </c>
      <c r="H28" s="63" t="n">
        <v>16500</v>
      </c>
      <c r="I28" s="22" t="s">
        <v>112</v>
      </c>
      <c r="J28" s="22"/>
      <c r="K28" s="63" t="n">
        <v>22231.4332761751</v>
      </c>
      <c r="L28" s="22" t="s">
        <v>3165</v>
      </c>
      <c r="M28" s="22" t="n">
        <v>1</v>
      </c>
      <c r="N28" s="22" t="s">
        <v>3482</v>
      </c>
    </row>
    <row r="29" customFormat="false" ht="15" hidden="false" customHeight="false" outlineLevel="0" collapsed="false">
      <c r="A29" s="22" t="s">
        <v>3485</v>
      </c>
      <c r="B29" s="22" t="s">
        <v>3477</v>
      </c>
      <c r="C29" s="22" t="s">
        <v>3478</v>
      </c>
      <c r="D29" s="22" t="s">
        <v>3486</v>
      </c>
      <c r="E29" s="22" t="s">
        <v>3487</v>
      </c>
      <c r="F29" s="22" t="s">
        <v>3488</v>
      </c>
      <c r="G29" s="22" t="s">
        <v>3489</v>
      </c>
      <c r="H29" s="63" t="n">
        <v>100400</v>
      </c>
      <c r="I29" s="22" t="s">
        <v>112</v>
      </c>
      <c r="J29" s="22"/>
      <c r="K29" s="63" t="n">
        <v>135274.903086544</v>
      </c>
      <c r="L29" s="22" t="s">
        <v>3233</v>
      </c>
      <c r="M29" s="22" t="n">
        <v>1</v>
      </c>
      <c r="N29" s="22" t="s">
        <v>3490</v>
      </c>
    </row>
    <row r="30" customFormat="false" ht="15" hidden="false" customHeight="false" outlineLevel="0" collapsed="false">
      <c r="A30" s="22" t="s">
        <v>3491</v>
      </c>
      <c r="B30" s="22" t="s">
        <v>3492</v>
      </c>
      <c r="C30" s="22" t="s">
        <v>3431</v>
      </c>
      <c r="D30" s="22" t="s">
        <v>3493</v>
      </c>
      <c r="E30" s="22" t="s">
        <v>3494</v>
      </c>
      <c r="F30" s="22" t="s">
        <v>3495</v>
      </c>
      <c r="G30" s="22" t="s">
        <v>727</v>
      </c>
      <c r="H30" s="63" t="n">
        <v>17200</v>
      </c>
      <c r="I30" s="22" t="s">
        <v>112</v>
      </c>
      <c r="J30" s="22"/>
      <c r="K30" s="63" t="n">
        <v>22417.097824178</v>
      </c>
      <c r="L30" s="22" t="s">
        <v>3140</v>
      </c>
      <c r="M30" s="22" t="n">
        <v>1</v>
      </c>
      <c r="N30" s="22" t="s">
        <v>3496</v>
      </c>
    </row>
    <row r="31" customFormat="false" ht="15" hidden="false" customHeight="false" outlineLevel="0" collapsed="false">
      <c r="A31" s="22" t="s">
        <v>3497</v>
      </c>
      <c r="B31" s="22" t="s">
        <v>3492</v>
      </c>
      <c r="C31" s="22" t="s">
        <v>3431</v>
      </c>
      <c r="D31" s="22" t="s">
        <v>3493</v>
      </c>
      <c r="E31" s="22" t="s">
        <v>3494</v>
      </c>
      <c r="F31" s="22" t="s">
        <v>3498</v>
      </c>
      <c r="G31" s="22" t="s">
        <v>727</v>
      </c>
      <c r="H31" s="63" t="n">
        <v>17100</v>
      </c>
      <c r="I31" s="22" t="s">
        <v>112</v>
      </c>
      <c r="J31" s="22"/>
      <c r="K31" s="63" t="n">
        <v>22286.7658600839</v>
      </c>
      <c r="L31" s="22" t="s">
        <v>3147</v>
      </c>
      <c r="M31" s="22" t="n">
        <v>1</v>
      </c>
      <c r="N31" s="22" t="s">
        <v>3496</v>
      </c>
    </row>
    <row r="32" customFormat="false" ht="15" hidden="false" customHeight="false" outlineLevel="0" collapsed="false">
      <c r="A32" s="22" t="s">
        <v>3499</v>
      </c>
      <c r="B32" s="22" t="s">
        <v>3492</v>
      </c>
      <c r="C32" s="22" t="s">
        <v>3431</v>
      </c>
      <c r="D32" s="22" t="s">
        <v>3493</v>
      </c>
      <c r="E32" s="22" t="s">
        <v>3494</v>
      </c>
      <c r="F32" s="22" t="s">
        <v>3500</v>
      </c>
      <c r="G32" s="22" t="s">
        <v>727</v>
      </c>
      <c r="H32" s="63" t="n">
        <v>38064</v>
      </c>
      <c r="I32" s="22" t="s">
        <v>112</v>
      </c>
      <c r="J32" s="22"/>
      <c r="K32" s="63" t="n">
        <v>49609.5588127622</v>
      </c>
      <c r="L32" s="22" t="s">
        <v>3177</v>
      </c>
      <c r="M32" s="22" t="n">
        <v>2</v>
      </c>
      <c r="N32" s="22" t="s">
        <v>3496</v>
      </c>
    </row>
    <row r="33" customFormat="false" ht="15" hidden="false" customHeight="false" outlineLevel="0" collapsed="false">
      <c r="A33" s="22" t="s">
        <v>3501</v>
      </c>
      <c r="B33" s="22" t="s">
        <v>3492</v>
      </c>
      <c r="C33" s="22" t="s">
        <v>3431</v>
      </c>
      <c r="D33" s="22" t="s">
        <v>3493</v>
      </c>
      <c r="E33" s="22" t="s">
        <v>3494</v>
      </c>
      <c r="F33" s="22" t="s">
        <v>3502</v>
      </c>
      <c r="G33" s="22" t="s">
        <v>727</v>
      </c>
      <c r="H33" s="63" t="n">
        <v>31110</v>
      </c>
      <c r="I33" s="22" t="s">
        <v>112</v>
      </c>
      <c r="J33" s="22"/>
      <c r="K33" s="63" t="n">
        <v>40546.2740296614</v>
      </c>
      <c r="L33" s="22" t="s">
        <v>3177</v>
      </c>
      <c r="M33" s="22" t="n">
        <v>2</v>
      </c>
      <c r="N33" s="22" t="s">
        <v>3496</v>
      </c>
    </row>
    <row r="34" customFormat="false" ht="15" hidden="false" customHeight="false" outlineLevel="0" collapsed="false">
      <c r="A34" s="22" t="s">
        <v>3503</v>
      </c>
      <c r="B34" s="22" t="s">
        <v>3492</v>
      </c>
      <c r="C34" s="22" t="s">
        <v>3431</v>
      </c>
      <c r="D34" s="22" t="s">
        <v>3493</v>
      </c>
      <c r="E34" s="22" t="s">
        <v>3494</v>
      </c>
      <c r="F34" s="22" t="s">
        <v>3504</v>
      </c>
      <c r="G34" s="22" t="s">
        <v>732</v>
      </c>
      <c r="H34" s="63" t="n">
        <v>110410</v>
      </c>
      <c r="I34" s="22" t="s">
        <v>112</v>
      </c>
      <c r="J34" s="22"/>
      <c r="K34" s="63" t="n">
        <v>143899.521556249</v>
      </c>
      <c r="L34" s="22" t="s">
        <v>3177</v>
      </c>
      <c r="M34" s="22" t="n">
        <v>2</v>
      </c>
      <c r="N34" s="22" t="s">
        <v>3505</v>
      </c>
    </row>
    <row r="35" customFormat="false" ht="15" hidden="false" customHeight="false" outlineLevel="0" collapsed="false">
      <c r="A35" s="22" t="s">
        <v>3506</v>
      </c>
      <c r="B35" s="22" t="s">
        <v>3492</v>
      </c>
      <c r="C35" s="22" t="s">
        <v>3431</v>
      </c>
      <c r="D35" s="22" t="s">
        <v>3493</v>
      </c>
      <c r="E35" s="22" t="s">
        <v>3494</v>
      </c>
      <c r="F35" s="22" t="s">
        <v>3507</v>
      </c>
      <c r="G35" s="22" t="s">
        <v>732</v>
      </c>
      <c r="H35" s="63" t="n">
        <v>150000</v>
      </c>
      <c r="I35" s="22" t="s">
        <v>112</v>
      </c>
      <c r="J35" s="22"/>
      <c r="K35" s="63" t="n">
        <v>195497.946141087</v>
      </c>
      <c r="L35" s="22" t="s">
        <v>3073</v>
      </c>
      <c r="M35" s="22" t="n">
        <v>1</v>
      </c>
      <c r="N35" s="22" t="s">
        <v>3496</v>
      </c>
    </row>
    <row r="36" customFormat="false" ht="15" hidden="false" customHeight="false" outlineLevel="0" collapsed="false">
      <c r="A36" s="22" t="s">
        <v>3508</v>
      </c>
      <c r="B36" s="22" t="s">
        <v>3492</v>
      </c>
      <c r="C36" s="22" t="s">
        <v>3431</v>
      </c>
      <c r="D36" s="22" t="s">
        <v>3509</v>
      </c>
      <c r="E36" s="22" t="s">
        <v>3510</v>
      </c>
      <c r="F36" s="22" t="s">
        <v>3511</v>
      </c>
      <c r="G36" s="22" t="s">
        <v>3489</v>
      </c>
      <c r="H36" s="63" t="n">
        <v>1047.51</v>
      </c>
      <c r="I36" s="22" t="s">
        <v>112</v>
      </c>
      <c r="J36" s="22"/>
      <c r="K36" s="63" t="n">
        <v>1354.27297906794</v>
      </c>
      <c r="L36" s="22" t="s">
        <v>3512</v>
      </c>
      <c r="M36" s="22" t="n">
        <v>1</v>
      </c>
      <c r="N36" s="22" t="s">
        <v>3513</v>
      </c>
    </row>
    <row r="37" customFormat="false" ht="15" hidden="false" customHeight="false" outlineLevel="0" collapsed="false">
      <c r="A37" s="22" t="s">
        <v>3514</v>
      </c>
      <c r="B37" s="22" t="s">
        <v>3515</v>
      </c>
      <c r="C37" s="22" t="s">
        <v>3431</v>
      </c>
      <c r="D37" s="22" t="s">
        <v>3516</v>
      </c>
      <c r="E37" s="22" t="s">
        <v>3517</v>
      </c>
      <c r="F37" s="22" t="s">
        <v>3518</v>
      </c>
      <c r="G37" s="22" t="s">
        <v>727</v>
      </c>
      <c r="H37" s="63" t="n">
        <v>25.74</v>
      </c>
      <c r="I37" s="22" t="s">
        <v>112</v>
      </c>
      <c r="J37" s="22"/>
      <c r="K37" s="63" t="n">
        <v>32.2752079245283</v>
      </c>
      <c r="L37" s="22" t="s">
        <v>1202</v>
      </c>
      <c r="M37" s="22" t="n">
        <v>25</v>
      </c>
      <c r="N37" s="22" t="s">
        <v>3519</v>
      </c>
    </row>
    <row r="38" customFormat="false" ht="15" hidden="false" customHeight="false" outlineLevel="0" collapsed="false">
      <c r="A38" s="22" t="s">
        <v>3520</v>
      </c>
      <c r="B38" s="22" t="s">
        <v>3515</v>
      </c>
      <c r="C38" s="22" t="s">
        <v>3431</v>
      </c>
      <c r="D38" s="22" t="s">
        <v>3516</v>
      </c>
      <c r="E38" s="22" t="s">
        <v>3517</v>
      </c>
      <c r="F38" s="22" t="s">
        <v>3521</v>
      </c>
      <c r="G38" s="22" t="s">
        <v>727</v>
      </c>
      <c r="H38" s="63" t="n">
        <v>51.68</v>
      </c>
      <c r="I38" s="22" t="s">
        <v>112</v>
      </c>
      <c r="J38" s="22"/>
      <c r="K38" s="63" t="n">
        <v>64.8011944654088</v>
      </c>
      <c r="L38" s="22" t="s">
        <v>1202</v>
      </c>
      <c r="M38" s="22" t="n">
        <v>4</v>
      </c>
      <c r="N38" s="22" t="s">
        <v>3519</v>
      </c>
    </row>
    <row r="39" customFormat="false" ht="15" hidden="false" customHeight="false" outlineLevel="0" collapsed="false">
      <c r="A39" s="22" t="s">
        <v>3522</v>
      </c>
      <c r="B39" s="22" t="s">
        <v>3515</v>
      </c>
      <c r="C39" s="22" t="s">
        <v>3431</v>
      </c>
      <c r="D39" s="22" t="s">
        <v>3516</v>
      </c>
      <c r="E39" s="22" t="s">
        <v>3517</v>
      </c>
      <c r="F39" s="22" t="s">
        <v>3523</v>
      </c>
      <c r="G39" s="22" t="s">
        <v>727</v>
      </c>
      <c r="H39" s="63" t="n">
        <v>18.7</v>
      </c>
      <c r="I39" s="22" t="s">
        <v>112</v>
      </c>
      <c r="J39" s="22"/>
      <c r="K39" s="63" t="n">
        <v>23.4478006289308</v>
      </c>
      <c r="L39" s="22" t="s">
        <v>1202</v>
      </c>
      <c r="M39" s="22" t="n">
        <v>2</v>
      </c>
      <c r="N39" s="22" t="s">
        <v>3519</v>
      </c>
    </row>
    <row r="40" customFormat="false" ht="15" hidden="false" customHeight="false" outlineLevel="0" collapsed="false">
      <c r="A40" s="22" t="s">
        <v>3524</v>
      </c>
      <c r="B40" s="22" t="s">
        <v>3515</v>
      </c>
      <c r="C40" s="22" t="s">
        <v>3431</v>
      </c>
      <c r="D40" s="22" t="s">
        <v>3516</v>
      </c>
      <c r="E40" s="22" t="s">
        <v>3517</v>
      </c>
      <c r="F40" s="22" t="s">
        <v>3525</v>
      </c>
      <c r="G40" s="22" t="s">
        <v>727</v>
      </c>
      <c r="H40" s="63" t="n">
        <v>52.52</v>
      </c>
      <c r="I40" s="22" t="s">
        <v>112</v>
      </c>
      <c r="J40" s="22"/>
      <c r="K40" s="63" t="n">
        <v>65.8544646540881</v>
      </c>
      <c r="L40" s="22" t="s">
        <v>1202</v>
      </c>
      <c r="M40" s="22" t="n">
        <v>3</v>
      </c>
      <c r="N40" s="22" t="s">
        <v>3519</v>
      </c>
    </row>
    <row r="41" customFormat="false" ht="15" hidden="false" customHeight="false" outlineLevel="0" collapsed="false">
      <c r="A41" s="22" t="s">
        <v>3526</v>
      </c>
      <c r="B41" s="22" t="s">
        <v>3515</v>
      </c>
      <c r="C41" s="22" t="s">
        <v>3431</v>
      </c>
      <c r="D41" s="22" t="s">
        <v>3516</v>
      </c>
      <c r="E41" s="22" t="s">
        <v>3517</v>
      </c>
      <c r="F41" s="22" t="s">
        <v>3527</v>
      </c>
      <c r="G41" s="22" t="s">
        <v>727</v>
      </c>
      <c r="H41" s="63" t="n">
        <v>31.46</v>
      </c>
      <c r="I41" s="22" t="s">
        <v>112</v>
      </c>
      <c r="J41" s="22"/>
      <c r="K41" s="63" t="n">
        <v>39.4474763522013</v>
      </c>
      <c r="L41" s="22" t="s">
        <v>1217</v>
      </c>
      <c r="M41" s="22" t="n">
        <v>3</v>
      </c>
      <c r="N41" s="22" t="s">
        <v>3519</v>
      </c>
    </row>
    <row r="42" customFormat="false" ht="15" hidden="false" customHeight="false" outlineLevel="0" collapsed="false">
      <c r="A42" s="22" t="s">
        <v>3528</v>
      </c>
      <c r="B42" s="22" t="s">
        <v>3515</v>
      </c>
      <c r="C42" s="22" t="s">
        <v>3431</v>
      </c>
      <c r="D42" s="22" t="s">
        <v>3529</v>
      </c>
      <c r="E42" s="22" t="s">
        <v>3530</v>
      </c>
      <c r="F42" s="22" t="s">
        <v>3531</v>
      </c>
      <c r="G42" s="22" t="s">
        <v>727</v>
      </c>
      <c r="H42" s="63" t="n">
        <v>18325.6</v>
      </c>
      <c r="I42" s="22" t="s">
        <v>112</v>
      </c>
      <c r="J42" s="22"/>
      <c r="K42" s="63" t="n">
        <v>22847.5162039201</v>
      </c>
      <c r="L42" s="22" t="s">
        <v>3137</v>
      </c>
      <c r="M42" s="22" t="n">
        <v>1</v>
      </c>
      <c r="N42" s="22" t="s">
        <v>3532</v>
      </c>
    </row>
    <row r="43" customFormat="false" ht="15" hidden="false" customHeight="false" outlineLevel="0" collapsed="false">
      <c r="A43" s="22" t="s">
        <v>3533</v>
      </c>
      <c r="B43" s="22" t="s">
        <v>3515</v>
      </c>
      <c r="C43" s="22" t="s">
        <v>3431</v>
      </c>
      <c r="D43" s="22" t="s">
        <v>3529</v>
      </c>
      <c r="E43" s="22" t="s">
        <v>3530</v>
      </c>
      <c r="F43" s="22" t="s">
        <v>3534</v>
      </c>
      <c r="G43" s="22" t="s">
        <v>727</v>
      </c>
      <c r="H43" s="63" t="n">
        <v>15808</v>
      </c>
      <c r="I43" s="22" t="s">
        <v>112</v>
      </c>
      <c r="J43" s="22"/>
      <c r="K43" s="63" t="n">
        <v>19708.6881821915</v>
      </c>
      <c r="L43" s="22" t="s">
        <v>3147</v>
      </c>
      <c r="M43" s="22" t="n">
        <v>2</v>
      </c>
      <c r="N43" s="22" t="s">
        <v>3532</v>
      </c>
    </row>
    <row r="44" customFormat="false" ht="15" hidden="false" customHeight="false" outlineLevel="0" collapsed="false">
      <c r="A44" s="22" t="s">
        <v>3535</v>
      </c>
      <c r="B44" s="22" t="s">
        <v>3515</v>
      </c>
      <c r="C44" s="22" t="s">
        <v>3431</v>
      </c>
      <c r="D44" s="22" t="s">
        <v>3529</v>
      </c>
      <c r="E44" s="22" t="s">
        <v>3530</v>
      </c>
      <c r="F44" s="22" t="s">
        <v>3536</v>
      </c>
      <c r="G44" s="22" t="s">
        <v>727</v>
      </c>
      <c r="H44" s="63" t="n">
        <v>8687</v>
      </c>
      <c r="I44" s="22" t="s">
        <v>112</v>
      </c>
      <c r="J44" s="22"/>
      <c r="K44" s="63" t="n">
        <v>10830.5525201605</v>
      </c>
      <c r="L44" s="22" t="s">
        <v>3153</v>
      </c>
      <c r="M44" s="22" t="n">
        <v>1</v>
      </c>
      <c r="N44" s="22" t="s">
        <v>3532</v>
      </c>
    </row>
    <row r="45" customFormat="false" ht="15" hidden="false" customHeight="false" outlineLevel="0" collapsed="false">
      <c r="A45" s="22" t="s">
        <v>3537</v>
      </c>
      <c r="B45" s="22" t="s">
        <v>3515</v>
      </c>
      <c r="C45" s="22" t="s">
        <v>3431</v>
      </c>
      <c r="D45" s="22" t="s">
        <v>3529</v>
      </c>
      <c r="E45" s="22" t="s">
        <v>3530</v>
      </c>
      <c r="F45" s="22" t="s">
        <v>3538</v>
      </c>
      <c r="G45" s="22" t="s">
        <v>727</v>
      </c>
      <c r="H45" s="63" t="n">
        <v>15463</v>
      </c>
      <c r="I45" s="22" t="s">
        <v>112</v>
      </c>
      <c r="J45" s="22"/>
      <c r="K45" s="63" t="n">
        <v>19278.5580314542</v>
      </c>
      <c r="L45" s="22" t="s">
        <v>3140</v>
      </c>
      <c r="M45" s="22" t="n">
        <v>1</v>
      </c>
      <c r="N45" s="22" t="s">
        <v>3532</v>
      </c>
    </row>
    <row r="46" customFormat="false" ht="15" hidden="false" customHeight="false" outlineLevel="0" collapsed="false">
      <c r="A46" s="22" t="s">
        <v>3539</v>
      </c>
      <c r="B46" s="22" t="s">
        <v>3515</v>
      </c>
      <c r="C46" s="22" t="s">
        <v>3431</v>
      </c>
      <c r="D46" s="22" t="s">
        <v>3540</v>
      </c>
      <c r="E46" s="22" t="s">
        <v>3541</v>
      </c>
      <c r="F46" s="22" t="s">
        <v>3542</v>
      </c>
      <c r="G46" s="22" t="s">
        <v>727</v>
      </c>
      <c r="H46" s="63" t="n">
        <v>9750</v>
      </c>
      <c r="I46" s="22" t="s">
        <v>113</v>
      </c>
      <c r="J46" s="22"/>
      <c r="K46" s="63" t="n">
        <v>10034.9004734328</v>
      </c>
      <c r="L46" s="22" t="s">
        <v>1202</v>
      </c>
      <c r="M46" s="22" t="n">
        <v>9</v>
      </c>
      <c r="N46" s="22" t="s">
        <v>3543</v>
      </c>
    </row>
    <row r="47" customFormat="false" ht="15" hidden="false" customHeight="false" outlineLevel="0" collapsed="false">
      <c r="A47" s="22" t="s">
        <v>3544</v>
      </c>
      <c r="B47" s="22" t="s">
        <v>3515</v>
      </c>
      <c r="C47" s="22" t="s">
        <v>3431</v>
      </c>
      <c r="D47" s="22" t="s">
        <v>3540</v>
      </c>
      <c r="E47" s="22" t="s">
        <v>3541</v>
      </c>
      <c r="F47" s="22" t="s">
        <v>3545</v>
      </c>
      <c r="G47" s="22" t="s">
        <v>727</v>
      </c>
      <c r="H47" s="63" t="n">
        <v>13750</v>
      </c>
      <c r="I47" s="22" t="s">
        <v>113</v>
      </c>
      <c r="J47" s="22"/>
      <c r="K47" s="63" t="n">
        <v>14151.7827189437</v>
      </c>
      <c r="L47" s="22" t="s">
        <v>1202</v>
      </c>
      <c r="M47" s="22" t="n">
        <v>8</v>
      </c>
      <c r="N47" s="22" t="s">
        <v>3543</v>
      </c>
    </row>
    <row r="48" customFormat="false" ht="15" hidden="false" customHeight="false" outlineLevel="0" collapsed="false">
      <c r="A48" s="22" t="s">
        <v>3546</v>
      </c>
      <c r="B48" s="22" t="s">
        <v>3515</v>
      </c>
      <c r="C48" s="22" t="s">
        <v>3431</v>
      </c>
      <c r="D48" s="22" t="s">
        <v>3540</v>
      </c>
      <c r="E48" s="22" t="s">
        <v>3541</v>
      </c>
      <c r="F48" s="22" t="s">
        <v>3547</v>
      </c>
      <c r="G48" s="22" t="s">
        <v>727</v>
      </c>
      <c r="H48" s="63" t="n">
        <v>16750</v>
      </c>
      <c r="I48" s="22" t="s">
        <v>113</v>
      </c>
      <c r="J48" s="22"/>
      <c r="K48" s="63" t="n">
        <v>17239.4444030768</v>
      </c>
      <c r="L48" s="22" t="s">
        <v>1202</v>
      </c>
      <c r="M48" s="22" t="n">
        <v>1</v>
      </c>
      <c r="N48" s="22" t="s">
        <v>3543</v>
      </c>
    </row>
    <row r="49" customFormat="false" ht="15" hidden="false" customHeight="false" outlineLevel="0" collapsed="false">
      <c r="A49" s="22" t="s">
        <v>3548</v>
      </c>
      <c r="B49" s="22" t="s">
        <v>3515</v>
      </c>
      <c r="C49" s="22" t="s">
        <v>3431</v>
      </c>
      <c r="D49" s="22" t="s">
        <v>3549</v>
      </c>
      <c r="E49" s="22" t="s">
        <v>3550</v>
      </c>
      <c r="F49" s="22" t="s">
        <v>3551</v>
      </c>
      <c r="G49" s="22" t="s">
        <v>853</v>
      </c>
      <c r="H49" s="63" t="n">
        <v>14.43</v>
      </c>
      <c r="I49" s="22" t="s">
        <v>113</v>
      </c>
      <c r="J49" s="22"/>
      <c r="K49" s="63" t="n">
        <v>14.8985111200284</v>
      </c>
      <c r="L49" s="22" t="s">
        <v>3092</v>
      </c>
      <c r="M49" s="22" t="n">
        <v>2</v>
      </c>
      <c r="N49" s="22" t="s">
        <v>3552</v>
      </c>
    </row>
    <row r="50" customFormat="false" ht="15" hidden="false" customHeight="false" outlineLevel="0" collapsed="false">
      <c r="A50" s="22" t="s">
        <v>3553</v>
      </c>
      <c r="B50" s="22" t="s">
        <v>3515</v>
      </c>
      <c r="C50" s="22" t="s">
        <v>3431</v>
      </c>
      <c r="D50" s="22" t="s">
        <v>3549</v>
      </c>
      <c r="E50" s="22" t="s">
        <v>3550</v>
      </c>
      <c r="F50" s="22" t="s">
        <v>3554</v>
      </c>
      <c r="G50" s="22" t="s">
        <v>853</v>
      </c>
      <c r="H50" s="63" t="n">
        <v>29.37</v>
      </c>
      <c r="I50" s="22" t="s">
        <v>113</v>
      </c>
      <c r="J50" s="22"/>
      <c r="K50" s="63" t="n">
        <v>30.3235808451306</v>
      </c>
      <c r="L50" s="22" t="s">
        <v>3237</v>
      </c>
      <c r="M50" s="22" t="n">
        <v>16</v>
      </c>
      <c r="N50" s="22" t="s">
        <v>3552</v>
      </c>
    </row>
    <row r="51" customFormat="false" ht="15" hidden="false" customHeight="false" outlineLevel="0" collapsed="false">
      <c r="A51" s="22" t="s">
        <v>3555</v>
      </c>
      <c r="B51" s="22" t="s">
        <v>3515</v>
      </c>
      <c r="C51" s="22" t="s">
        <v>3431</v>
      </c>
      <c r="D51" s="22" t="s">
        <v>3549</v>
      </c>
      <c r="E51" s="22" t="s">
        <v>3550</v>
      </c>
      <c r="F51" s="22" t="s">
        <v>3556</v>
      </c>
      <c r="G51" s="22" t="s">
        <v>853</v>
      </c>
      <c r="H51" s="63" t="n">
        <v>22.44</v>
      </c>
      <c r="I51" s="22" t="s">
        <v>113</v>
      </c>
      <c r="J51" s="22"/>
      <c r="K51" s="63" t="n">
        <v>23.1685786232458</v>
      </c>
      <c r="L51" s="22" t="s">
        <v>1104</v>
      </c>
      <c r="M51" s="22" t="n">
        <v>8</v>
      </c>
      <c r="N51" s="22" t="s">
        <v>3552</v>
      </c>
    </row>
    <row r="52" customFormat="false" ht="15" hidden="false" customHeight="false" outlineLevel="0" collapsed="false">
      <c r="A52" s="22" t="s">
        <v>3557</v>
      </c>
      <c r="B52" s="22" t="s">
        <v>3515</v>
      </c>
      <c r="C52" s="22" t="s">
        <v>3431</v>
      </c>
      <c r="D52" s="22" t="s">
        <v>3549</v>
      </c>
      <c r="E52" s="22" t="s">
        <v>3550</v>
      </c>
      <c r="F52" s="22" t="s">
        <v>3558</v>
      </c>
      <c r="G52" s="22" t="s">
        <v>853</v>
      </c>
      <c r="H52" s="63" t="n">
        <v>11.63</v>
      </c>
      <c r="I52" s="22" t="s">
        <v>113</v>
      </c>
      <c r="J52" s="22"/>
      <c r="K52" s="63" t="n">
        <v>12.0076011313881</v>
      </c>
      <c r="L52" s="22" t="s">
        <v>1104</v>
      </c>
      <c r="M52" s="22" t="n">
        <v>7</v>
      </c>
      <c r="N52" s="22" t="s">
        <v>3552</v>
      </c>
    </row>
    <row r="53" customFormat="false" ht="15" hidden="false" customHeight="false" outlineLevel="0" collapsed="false">
      <c r="A53" s="22" t="s">
        <v>3559</v>
      </c>
      <c r="B53" s="22" t="s">
        <v>3515</v>
      </c>
      <c r="C53" s="22" t="s">
        <v>3431</v>
      </c>
      <c r="D53" s="22" t="s">
        <v>3549</v>
      </c>
      <c r="E53" s="22" t="s">
        <v>3550</v>
      </c>
      <c r="F53" s="22" t="s">
        <v>3560</v>
      </c>
      <c r="G53" s="22" t="s">
        <v>853</v>
      </c>
      <c r="H53" s="63" t="n">
        <v>1.26</v>
      </c>
      <c r="I53" s="22" t="s">
        <v>113</v>
      </c>
      <c r="J53" s="22"/>
      <c r="K53" s="63" t="n">
        <v>1.30090949488813</v>
      </c>
      <c r="L53" s="22" t="s">
        <v>1202</v>
      </c>
      <c r="M53" s="22" t="n">
        <v>40</v>
      </c>
      <c r="N53" s="22" t="s">
        <v>3552</v>
      </c>
    </row>
    <row r="54" customFormat="false" ht="15" hidden="false" customHeight="false" outlineLevel="0" collapsed="false">
      <c r="A54" s="22" t="s">
        <v>3561</v>
      </c>
      <c r="B54" s="22" t="s">
        <v>3515</v>
      </c>
      <c r="C54" s="22" t="s">
        <v>3431</v>
      </c>
      <c r="D54" s="22" t="s">
        <v>3549</v>
      </c>
      <c r="E54" s="22" t="s">
        <v>3550</v>
      </c>
      <c r="F54" s="22" t="s">
        <v>3562</v>
      </c>
      <c r="G54" s="22" t="s">
        <v>853</v>
      </c>
      <c r="H54" s="63" t="n">
        <v>1.96</v>
      </c>
      <c r="I54" s="22" t="s">
        <v>113</v>
      </c>
      <c r="J54" s="22"/>
      <c r="K54" s="63" t="n">
        <v>2.02363699204821</v>
      </c>
      <c r="L54" s="22" t="s">
        <v>1202</v>
      </c>
      <c r="M54" s="22" t="n">
        <v>15</v>
      </c>
      <c r="N54" s="22" t="s">
        <v>3552</v>
      </c>
    </row>
    <row r="55" customFormat="false" ht="15" hidden="false" customHeight="false" outlineLevel="0" collapsed="false">
      <c r="A55" s="22" t="s">
        <v>3563</v>
      </c>
      <c r="B55" s="22" t="s">
        <v>3515</v>
      </c>
      <c r="C55" s="22" t="s">
        <v>3431</v>
      </c>
      <c r="D55" s="22" t="s">
        <v>3549</v>
      </c>
      <c r="E55" s="22" t="s">
        <v>3550</v>
      </c>
      <c r="F55" s="22" t="s">
        <v>3564</v>
      </c>
      <c r="G55" s="22" t="s">
        <v>853</v>
      </c>
      <c r="H55" s="63" t="n">
        <v>3.48</v>
      </c>
      <c r="I55" s="22" t="s">
        <v>113</v>
      </c>
      <c r="J55" s="22"/>
      <c r="K55" s="63" t="n">
        <v>3.59298812873866</v>
      </c>
      <c r="L55" s="22" t="s">
        <v>3237</v>
      </c>
      <c r="M55" s="22" t="n">
        <v>25</v>
      </c>
      <c r="N55" s="22" t="s">
        <v>3552</v>
      </c>
    </row>
    <row r="56" customFormat="false" ht="15" hidden="false" customHeight="false" outlineLevel="0" collapsed="false">
      <c r="A56" s="22" t="s">
        <v>3565</v>
      </c>
      <c r="B56" s="22" t="s">
        <v>3515</v>
      </c>
      <c r="C56" s="22" t="s">
        <v>3431</v>
      </c>
      <c r="D56" s="22" t="s">
        <v>3549</v>
      </c>
      <c r="E56" s="22" t="s">
        <v>3550</v>
      </c>
      <c r="F56" s="22" t="s">
        <v>3566</v>
      </c>
      <c r="G56" s="22" t="s">
        <v>853</v>
      </c>
      <c r="H56" s="63" t="n">
        <v>8.24</v>
      </c>
      <c r="I56" s="22" t="s">
        <v>113</v>
      </c>
      <c r="J56" s="22"/>
      <c r="K56" s="63" t="n">
        <v>8.50753510942717</v>
      </c>
      <c r="L56" s="22" t="s">
        <v>953</v>
      </c>
      <c r="M56" s="22" t="n">
        <v>9</v>
      </c>
      <c r="N56" s="22" t="s">
        <v>3552</v>
      </c>
    </row>
    <row r="57" customFormat="false" ht="15" hidden="false" customHeight="false" outlineLevel="0" collapsed="false">
      <c r="A57" s="22" t="s">
        <v>3567</v>
      </c>
      <c r="B57" s="22" t="s">
        <v>3515</v>
      </c>
      <c r="C57" s="22" t="s">
        <v>3431</v>
      </c>
      <c r="D57" s="22" t="s">
        <v>3549</v>
      </c>
      <c r="E57" s="22" t="s">
        <v>3550</v>
      </c>
      <c r="F57" s="22" t="s">
        <v>3568</v>
      </c>
      <c r="G57" s="22" t="s">
        <v>853</v>
      </c>
      <c r="H57" s="63" t="n">
        <v>30.18</v>
      </c>
      <c r="I57" s="22" t="s">
        <v>113</v>
      </c>
      <c r="J57" s="22"/>
      <c r="K57" s="63" t="n">
        <v>31.1598798061301</v>
      </c>
      <c r="L57" s="22" t="s">
        <v>953</v>
      </c>
      <c r="M57" s="22" t="n">
        <v>14</v>
      </c>
      <c r="N57" s="22" t="s">
        <v>3552</v>
      </c>
    </row>
    <row r="58" customFormat="false" ht="15" hidden="false" customHeight="false" outlineLevel="0" collapsed="false">
      <c r="A58" s="22" t="s">
        <v>3569</v>
      </c>
      <c r="B58" s="22" t="s">
        <v>3515</v>
      </c>
      <c r="C58" s="22" t="s">
        <v>3431</v>
      </c>
      <c r="D58" s="22" t="s">
        <v>3549</v>
      </c>
      <c r="E58" s="22" t="s">
        <v>3550</v>
      </c>
      <c r="F58" s="22" t="s">
        <v>3570</v>
      </c>
      <c r="G58" s="22" t="s">
        <v>853</v>
      </c>
      <c r="H58" s="63" t="n">
        <v>1.94</v>
      </c>
      <c r="I58" s="22" t="s">
        <v>113</v>
      </c>
      <c r="J58" s="22"/>
      <c r="K58" s="63" t="n">
        <v>2.00298763498649</v>
      </c>
      <c r="L58" s="22" t="s">
        <v>3237</v>
      </c>
      <c r="M58" s="22" t="n">
        <v>13</v>
      </c>
      <c r="N58" s="22" t="s">
        <v>3552</v>
      </c>
    </row>
    <row r="59" customFormat="false" ht="15" hidden="false" customHeight="false" outlineLevel="0" collapsed="false">
      <c r="A59" s="22" t="s">
        <v>3571</v>
      </c>
      <c r="B59" s="22" t="s">
        <v>3515</v>
      </c>
      <c r="C59" s="22" t="s">
        <v>3431</v>
      </c>
      <c r="D59" s="22" t="s">
        <v>3549</v>
      </c>
      <c r="E59" s="22" t="s">
        <v>3550</v>
      </c>
      <c r="F59" s="22" t="s">
        <v>3572</v>
      </c>
      <c r="G59" s="22" t="s">
        <v>853</v>
      </c>
      <c r="H59" s="63" t="n">
        <v>6.25</v>
      </c>
      <c r="I59" s="22" t="s">
        <v>113</v>
      </c>
      <c r="J59" s="22"/>
      <c r="K59" s="63" t="n">
        <v>6.45292408178638</v>
      </c>
      <c r="L59" s="22" t="s">
        <v>953</v>
      </c>
      <c r="M59" s="22" t="n">
        <v>8</v>
      </c>
      <c r="N59" s="22" t="s">
        <v>3552</v>
      </c>
    </row>
    <row r="60" customFormat="false" ht="15" hidden="false" customHeight="false" outlineLevel="0" collapsed="false">
      <c r="A60" s="22" t="s">
        <v>3573</v>
      </c>
      <c r="B60" s="22" t="s">
        <v>3515</v>
      </c>
      <c r="C60" s="22" t="s">
        <v>3431</v>
      </c>
      <c r="D60" s="22" t="s">
        <v>3574</v>
      </c>
      <c r="E60" s="22" t="s">
        <v>3575</v>
      </c>
      <c r="F60" s="22" t="s">
        <v>3576</v>
      </c>
      <c r="G60" s="22" t="s">
        <v>727</v>
      </c>
      <c r="H60" s="63" t="n">
        <v>18900</v>
      </c>
      <c r="I60" s="22" t="s">
        <v>112</v>
      </c>
      <c r="J60" s="22"/>
      <c r="K60" s="63" t="n">
        <v>23502.230934649</v>
      </c>
      <c r="L60" s="22" t="s">
        <v>3137</v>
      </c>
      <c r="M60" s="22" t="n">
        <v>1</v>
      </c>
      <c r="N60" s="22" t="s">
        <v>3577</v>
      </c>
    </row>
    <row r="61" customFormat="false" ht="15" hidden="false" customHeight="false" outlineLevel="0" collapsed="false">
      <c r="A61" s="22" t="s">
        <v>3578</v>
      </c>
      <c r="B61" s="22" t="s">
        <v>3515</v>
      </c>
      <c r="C61" s="22" t="s">
        <v>3431</v>
      </c>
      <c r="D61" s="22" t="s">
        <v>3574</v>
      </c>
      <c r="E61" s="22" t="s">
        <v>3575</v>
      </c>
      <c r="F61" s="22" t="s">
        <v>3579</v>
      </c>
      <c r="G61" s="22" t="s">
        <v>727</v>
      </c>
      <c r="H61" s="63" t="n">
        <v>19300</v>
      </c>
      <c r="I61" s="22" t="s">
        <v>112</v>
      </c>
      <c r="J61" s="22"/>
      <c r="K61" s="63" t="n">
        <v>23999.6326475517</v>
      </c>
      <c r="L61" s="22" t="s">
        <v>3140</v>
      </c>
      <c r="M61" s="22" t="n">
        <v>1</v>
      </c>
      <c r="N61" s="22" t="s">
        <v>3577</v>
      </c>
    </row>
    <row r="62" customFormat="false" ht="15" hidden="false" customHeight="false" outlineLevel="0" collapsed="false">
      <c r="A62" s="22" t="s">
        <v>3580</v>
      </c>
      <c r="B62" s="22" t="s">
        <v>3515</v>
      </c>
      <c r="C62" s="22" t="s">
        <v>3431</v>
      </c>
      <c r="D62" s="22" t="s">
        <v>3574</v>
      </c>
      <c r="E62" s="22" t="s">
        <v>3575</v>
      </c>
      <c r="F62" s="22" t="s">
        <v>3581</v>
      </c>
      <c r="G62" s="22" t="s">
        <v>727</v>
      </c>
      <c r="H62" s="63" t="n">
        <v>19300</v>
      </c>
      <c r="I62" s="22" t="s">
        <v>112</v>
      </c>
      <c r="J62" s="22"/>
      <c r="K62" s="63" t="n">
        <v>23999.6326475517</v>
      </c>
      <c r="L62" s="22" t="s">
        <v>3147</v>
      </c>
      <c r="M62" s="22" t="n">
        <v>1</v>
      </c>
      <c r="N62" s="22" t="s">
        <v>3577</v>
      </c>
    </row>
    <row r="63" customFormat="false" ht="15" hidden="false" customHeight="false" outlineLevel="0" collapsed="false">
      <c r="A63" s="22" t="s">
        <v>3582</v>
      </c>
      <c r="B63" s="22" t="s">
        <v>3515</v>
      </c>
      <c r="C63" s="22" t="s">
        <v>3431</v>
      </c>
      <c r="D63" s="22" t="s">
        <v>3574</v>
      </c>
      <c r="E63" s="22" t="s">
        <v>3575</v>
      </c>
      <c r="F63" s="22" t="s">
        <v>3583</v>
      </c>
      <c r="G63" s="22" t="s">
        <v>727</v>
      </c>
      <c r="H63" s="63" t="n">
        <v>46000</v>
      </c>
      <c r="I63" s="22" t="s">
        <v>112</v>
      </c>
      <c r="J63" s="22"/>
      <c r="K63" s="63" t="n">
        <v>57201.1969838019</v>
      </c>
      <c r="L63" s="22" t="s">
        <v>3169</v>
      </c>
      <c r="M63" s="22" t="n">
        <v>1</v>
      </c>
      <c r="N63" s="22" t="s">
        <v>3577</v>
      </c>
    </row>
    <row r="64" customFormat="false" ht="15" hidden="false" customHeight="false" outlineLevel="0" collapsed="false">
      <c r="A64" s="22" t="s">
        <v>3584</v>
      </c>
      <c r="B64" s="22" t="s">
        <v>3515</v>
      </c>
      <c r="C64" s="22" t="s">
        <v>3431</v>
      </c>
      <c r="D64" s="22" t="s">
        <v>3574</v>
      </c>
      <c r="E64" s="22" t="s">
        <v>3575</v>
      </c>
      <c r="F64" s="22" t="s">
        <v>3585</v>
      </c>
      <c r="G64" s="22" t="s">
        <v>727</v>
      </c>
      <c r="H64" s="63" t="n">
        <v>75000</v>
      </c>
      <c r="I64" s="22" t="s">
        <v>112</v>
      </c>
      <c r="J64" s="22"/>
      <c r="K64" s="63" t="n">
        <v>93262.8211692422</v>
      </c>
      <c r="L64" s="22" t="s">
        <v>3177</v>
      </c>
      <c r="M64" s="22" t="n">
        <v>2</v>
      </c>
      <c r="N64" s="22" t="s">
        <v>3577</v>
      </c>
    </row>
    <row r="65" customFormat="false" ht="15" hidden="false" customHeight="false" outlineLevel="0" collapsed="false">
      <c r="A65" s="22" t="s">
        <v>3586</v>
      </c>
      <c r="B65" s="22" t="s">
        <v>3515</v>
      </c>
      <c r="C65" s="22" t="s">
        <v>3431</v>
      </c>
      <c r="D65" s="22" t="s">
        <v>3574</v>
      </c>
      <c r="E65" s="22" t="s">
        <v>3575</v>
      </c>
      <c r="F65" s="22" t="s">
        <v>3587</v>
      </c>
      <c r="G65" s="22" t="s">
        <v>727</v>
      </c>
      <c r="H65" s="63" t="n">
        <v>30500</v>
      </c>
      <c r="I65" s="22" t="s">
        <v>112</v>
      </c>
      <c r="J65" s="22"/>
      <c r="K65" s="63" t="n">
        <v>37926.8806088252</v>
      </c>
      <c r="L65" s="22" t="s">
        <v>3177</v>
      </c>
      <c r="M65" s="22" t="n">
        <v>2</v>
      </c>
      <c r="N65" s="22" t="s">
        <v>3577</v>
      </c>
    </row>
    <row r="66" customFormat="false" ht="15" hidden="false" customHeight="false" outlineLevel="0" collapsed="false">
      <c r="A66" s="22" t="s">
        <v>3588</v>
      </c>
      <c r="B66" s="22" t="s">
        <v>3515</v>
      </c>
      <c r="C66" s="22" t="s">
        <v>3431</v>
      </c>
      <c r="D66" s="22" t="s">
        <v>3574</v>
      </c>
      <c r="E66" s="22" t="s">
        <v>3575</v>
      </c>
      <c r="F66" s="22" t="s">
        <v>3589</v>
      </c>
      <c r="G66" s="22" t="s">
        <v>727</v>
      </c>
      <c r="H66" s="63" t="n">
        <v>28500</v>
      </c>
      <c r="I66" s="22" t="s">
        <v>112</v>
      </c>
      <c r="J66" s="22"/>
      <c r="K66" s="63" t="n">
        <v>35439.8720443121</v>
      </c>
      <c r="L66" s="22" t="s">
        <v>3177</v>
      </c>
      <c r="M66" s="22" t="n">
        <v>2</v>
      </c>
      <c r="N66" s="22" t="s">
        <v>3577</v>
      </c>
    </row>
    <row r="67" customFormat="false" ht="15" hidden="false" customHeight="false" outlineLevel="0" collapsed="false">
      <c r="A67" s="22" t="s">
        <v>3590</v>
      </c>
      <c r="B67" s="22" t="s">
        <v>3515</v>
      </c>
      <c r="C67" s="22" t="s">
        <v>3431</v>
      </c>
      <c r="D67" s="22" t="s">
        <v>3574</v>
      </c>
      <c r="E67" s="22" t="s">
        <v>3575</v>
      </c>
      <c r="F67" s="22" t="s">
        <v>3591</v>
      </c>
      <c r="G67" s="22" t="s">
        <v>727</v>
      </c>
      <c r="H67" s="63" t="n">
        <v>31200</v>
      </c>
      <c r="I67" s="22" t="s">
        <v>112</v>
      </c>
      <c r="J67" s="22"/>
      <c r="K67" s="63" t="n">
        <v>38797.3336064048</v>
      </c>
      <c r="L67" s="22" t="s">
        <v>3177</v>
      </c>
      <c r="M67" s="22" t="n">
        <v>2</v>
      </c>
      <c r="N67" s="22" t="s">
        <v>3577</v>
      </c>
    </row>
    <row r="68" customFormat="false" ht="15" hidden="false" customHeight="false" outlineLevel="0" collapsed="false">
      <c r="A68" s="22" t="s">
        <v>3592</v>
      </c>
      <c r="B68" s="22" t="s">
        <v>3515</v>
      </c>
      <c r="C68" s="22" t="s">
        <v>3431</v>
      </c>
      <c r="D68" s="22" t="s">
        <v>3574</v>
      </c>
      <c r="E68" s="22" t="s">
        <v>3575</v>
      </c>
      <c r="F68" s="22" t="s">
        <v>3593</v>
      </c>
      <c r="G68" s="22" t="s">
        <v>727</v>
      </c>
      <c r="H68" s="63" t="n">
        <v>27142</v>
      </c>
      <c r="I68" s="22" t="s">
        <v>112</v>
      </c>
      <c r="J68" s="22"/>
      <c r="K68" s="63" t="n">
        <v>33751.1932290076</v>
      </c>
      <c r="L68" s="22" t="s">
        <v>3177</v>
      </c>
      <c r="M68" s="22" t="n">
        <v>2</v>
      </c>
      <c r="N68" s="22" t="s">
        <v>3577</v>
      </c>
    </row>
    <row r="69" customFormat="false" ht="15" hidden="false" customHeight="false" outlineLevel="0" collapsed="false">
      <c r="A69" s="22" t="s">
        <v>3594</v>
      </c>
      <c r="B69" s="22" t="s">
        <v>3515</v>
      </c>
      <c r="C69" s="22" t="s">
        <v>3431</v>
      </c>
      <c r="D69" s="22" t="s">
        <v>3574</v>
      </c>
      <c r="E69" s="22" t="s">
        <v>3575</v>
      </c>
      <c r="F69" s="22" t="s">
        <v>3595</v>
      </c>
      <c r="G69" s="22" t="s">
        <v>732</v>
      </c>
      <c r="H69" s="63" t="n">
        <v>28000</v>
      </c>
      <c r="I69" s="22" t="s">
        <v>112</v>
      </c>
      <c r="J69" s="22"/>
      <c r="K69" s="63" t="n">
        <v>34818.1199031838</v>
      </c>
      <c r="L69" s="22" t="s">
        <v>3177</v>
      </c>
      <c r="M69" s="22" t="n">
        <v>2</v>
      </c>
      <c r="N69" s="22" t="s">
        <v>3596</v>
      </c>
    </row>
    <row r="70" customFormat="false" ht="15" hidden="false" customHeight="false" outlineLevel="0" collapsed="false">
      <c r="A70" s="22" t="s">
        <v>3597</v>
      </c>
      <c r="B70" s="22" t="s">
        <v>3515</v>
      </c>
      <c r="C70" s="22" t="s">
        <v>3431</v>
      </c>
      <c r="D70" s="22" t="s">
        <v>3574</v>
      </c>
      <c r="E70" s="22" t="s">
        <v>3575</v>
      </c>
      <c r="F70" s="22" t="s">
        <v>3598</v>
      </c>
      <c r="G70" s="22" t="s">
        <v>727</v>
      </c>
      <c r="H70" s="63" t="n">
        <v>23000</v>
      </c>
      <c r="I70" s="22" t="s">
        <v>112</v>
      </c>
      <c r="J70" s="22"/>
      <c r="K70" s="63" t="n">
        <v>28600.598491901</v>
      </c>
      <c r="L70" s="22" t="s">
        <v>3177</v>
      </c>
      <c r="M70" s="22" t="n">
        <v>2</v>
      </c>
      <c r="N70" s="22" t="s">
        <v>3577</v>
      </c>
    </row>
    <row r="71" customFormat="false" ht="15" hidden="false" customHeight="false" outlineLevel="0" collapsed="false">
      <c r="A71" s="22" t="s">
        <v>3599</v>
      </c>
      <c r="B71" s="22" t="s">
        <v>3515</v>
      </c>
      <c r="C71" s="22" t="s">
        <v>3431</v>
      </c>
      <c r="D71" s="22" t="s">
        <v>3600</v>
      </c>
      <c r="E71" s="22" t="s">
        <v>3575</v>
      </c>
      <c r="F71" s="22" t="s">
        <v>3601</v>
      </c>
      <c r="G71" s="22" t="s">
        <v>727</v>
      </c>
      <c r="H71" s="63" t="n">
        <v>67000</v>
      </c>
      <c r="I71" s="22" t="s">
        <v>112</v>
      </c>
      <c r="J71" s="22"/>
      <c r="K71" s="63" t="n">
        <v>83314.7869111897</v>
      </c>
      <c r="L71" s="22" t="s">
        <v>788</v>
      </c>
      <c r="M71" s="22" t="n">
        <v>1</v>
      </c>
      <c r="N71" s="22" t="s">
        <v>3602</v>
      </c>
    </row>
    <row r="72" customFormat="false" ht="15" hidden="false" customHeight="false" outlineLevel="0" collapsed="false">
      <c r="A72" s="22" t="s">
        <v>3603</v>
      </c>
      <c r="B72" s="22" t="s">
        <v>3515</v>
      </c>
      <c r="C72" s="22" t="s">
        <v>3431</v>
      </c>
      <c r="D72" s="22" t="s">
        <v>3600</v>
      </c>
      <c r="E72" s="22" t="s">
        <v>3575</v>
      </c>
      <c r="F72" s="22" t="s">
        <v>3604</v>
      </c>
      <c r="G72" s="22" t="s">
        <v>727</v>
      </c>
      <c r="H72" s="63" t="n">
        <v>26000</v>
      </c>
      <c r="I72" s="22" t="s">
        <v>112</v>
      </c>
      <c r="J72" s="22"/>
      <c r="K72" s="63" t="n">
        <v>32331.1113386706</v>
      </c>
      <c r="L72" s="22" t="s">
        <v>3173</v>
      </c>
      <c r="M72" s="22" t="n">
        <v>2</v>
      </c>
      <c r="N72" s="22" t="s">
        <v>3602</v>
      </c>
    </row>
    <row r="73" customFormat="false" ht="15" hidden="false" customHeight="false" outlineLevel="0" collapsed="false">
      <c r="A73" s="22" t="s">
        <v>3605</v>
      </c>
      <c r="B73" s="22" t="s">
        <v>3515</v>
      </c>
      <c r="C73" s="22" t="s">
        <v>3431</v>
      </c>
      <c r="D73" s="22" t="s">
        <v>3600</v>
      </c>
      <c r="E73" s="22" t="s">
        <v>3575</v>
      </c>
      <c r="F73" s="22" t="s">
        <v>3606</v>
      </c>
      <c r="G73" s="22" t="s">
        <v>727</v>
      </c>
      <c r="H73" s="63" t="n">
        <v>6315</v>
      </c>
      <c r="I73" s="22" t="s">
        <v>112</v>
      </c>
      <c r="J73" s="22"/>
      <c r="K73" s="63" t="n">
        <v>7852.7295424502</v>
      </c>
      <c r="L73" s="22" t="s">
        <v>788</v>
      </c>
      <c r="M73" s="22" t="n">
        <v>2</v>
      </c>
      <c r="N73" s="22" t="s">
        <v>3602</v>
      </c>
    </row>
    <row r="74" customFormat="false" ht="15" hidden="false" customHeight="false" outlineLevel="0" collapsed="false">
      <c r="A74" s="22" t="s">
        <v>3607</v>
      </c>
      <c r="B74" s="22" t="s">
        <v>3515</v>
      </c>
      <c r="C74" s="22" t="s">
        <v>3431</v>
      </c>
      <c r="D74" s="22" t="s">
        <v>3600</v>
      </c>
      <c r="E74" s="22" t="s">
        <v>3575</v>
      </c>
      <c r="F74" s="22" t="s">
        <v>3608</v>
      </c>
      <c r="G74" s="22" t="s">
        <v>727</v>
      </c>
      <c r="H74" s="63" t="n">
        <v>2421</v>
      </c>
      <c r="I74" s="22" t="s">
        <v>112</v>
      </c>
      <c r="J74" s="22"/>
      <c r="K74" s="63" t="n">
        <v>3010.52386734314</v>
      </c>
      <c r="L74" s="22" t="s">
        <v>1202</v>
      </c>
      <c r="M74" s="22" t="n">
        <v>5</v>
      </c>
      <c r="N74" s="22" t="s">
        <v>3602</v>
      </c>
    </row>
    <row r="75" customFormat="false" ht="15" hidden="false" customHeight="false" outlineLevel="0" collapsed="false">
      <c r="A75" s="22" t="s">
        <v>3609</v>
      </c>
      <c r="B75" s="22" t="s">
        <v>3515</v>
      </c>
      <c r="C75" s="22" t="s">
        <v>3431</v>
      </c>
      <c r="D75" s="22" t="s">
        <v>3600</v>
      </c>
      <c r="E75" s="22" t="s">
        <v>3575</v>
      </c>
      <c r="F75" s="22" t="s">
        <v>3610</v>
      </c>
      <c r="G75" s="22" t="s">
        <v>727</v>
      </c>
      <c r="H75" s="63" t="n">
        <v>2274</v>
      </c>
      <c r="I75" s="22" t="s">
        <v>112</v>
      </c>
      <c r="J75" s="22"/>
      <c r="K75" s="63" t="n">
        <v>2827.72873785142</v>
      </c>
      <c r="L75" s="22" t="s">
        <v>1202</v>
      </c>
      <c r="M75" s="22" t="n">
        <v>3</v>
      </c>
      <c r="N75" s="22" t="s">
        <v>3602</v>
      </c>
    </row>
    <row r="76" customFormat="false" ht="15" hidden="false" customHeight="false" outlineLevel="0" collapsed="false">
      <c r="A76" s="22" t="s">
        <v>3611</v>
      </c>
      <c r="B76" s="22" t="s">
        <v>3515</v>
      </c>
      <c r="C76" s="22" t="s">
        <v>3431</v>
      </c>
      <c r="D76" s="22" t="s">
        <v>3612</v>
      </c>
      <c r="E76" s="22" t="s">
        <v>3575</v>
      </c>
      <c r="F76" s="22" t="s">
        <v>3613</v>
      </c>
      <c r="G76" s="22" t="s">
        <v>853</v>
      </c>
      <c r="H76" s="63" t="n">
        <v>1.66</v>
      </c>
      <c r="I76" s="22" t="s">
        <v>113</v>
      </c>
      <c r="J76" s="22"/>
      <c r="K76" s="63" t="n">
        <v>1.71946448025481</v>
      </c>
      <c r="L76" s="22" t="s">
        <v>3209</v>
      </c>
      <c r="M76" s="22" t="n">
        <v>4</v>
      </c>
      <c r="N76" s="22" t="s">
        <v>3614</v>
      </c>
    </row>
    <row r="77" customFormat="false" ht="15" hidden="false" customHeight="false" outlineLevel="0" collapsed="false">
      <c r="A77" s="22" t="s">
        <v>3615</v>
      </c>
      <c r="B77" s="22" t="s">
        <v>3515</v>
      </c>
      <c r="C77" s="22" t="s">
        <v>3431</v>
      </c>
      <c r="D77" s="22" t="s">
        <v>3612</v>
      </c>
      <c r="E77" s="22" t="s">
        <v>3575</v>
      </c>
      <c r="F77" s="22" t="s">
        <v>3616</v>
      </c>
      <c r="G77" s="22" t="s">
        <v>853</v>
      </c>
      <c r="H77" s="63" t="n">
        <v>12.13</v>
      </c>
      <c r="I77" s="22" t="s">
        <v>113</v>
      </c>
      <c r="J77" s="22"/>
      <c r="K77" s="63" t="n">
        <v>12.5645205695728</v>
      </c>
      <c r="L77" s="22" t="s">
        <v>3209</v>
      </c>
      <c r="M77" s="22" t="n">
        <v>9</v>
      </c>
      <c r="N77" s="22" t="s">
        <v>3614</v>
      </c>
    </row>
    <row r="78" customFormat="false" ht="15" hidden="false" customHeight="false" outlineLevel="0" collapsed="false">
      <c r="A78" s="22" t="s">
        <v>3617</v>
      </c>
      <c r="B78" s="22" t="s">
        <v>3515</v>
      </c>
      <c r="C78" s="22" t="s">
        <v>3431</v>
      </c>
      <c r="D78" s="22" t="s">
        <v>3612</v>
      </c>
      <c r="E78" s="22" t="s">
        <v>3575</v>
      </c>
      <c r="F78" s="22" t="s">
        <v>3554</v>
      </c>
      <c r="G78" s="22" t="s">
        <v>853</v>
      </c>
      <c r="H78" s="63" t="n">
        <v>25.12</v>
      </c>
      <c r="I78" s="22" t="s">
        <v>113</v>
      </c>
      <c r="J78" s="22"/>
      <c r="K78" s="63" t="n">
        <v>26.0198480385547</v>
      </c>
      <c r="L78" s="22" t="s">
        <v>3237</v>
      </c>
      <c r="M78" s="22" t="n">
        <v>6</v>
      </c>
      <c r="N78" s="22" t="s">
        <v>3614</v>
      </c>
    </row>
    <row r="79" customFormat="false" ht="15" hidden="false" customHeight="false" outlineLevel="0" collapsed="false">
      <c r="A79" s="22" t="s">
        <v>3618</v>
      </c>
      <c r="B79" s="22" t="s">
        <v>3515</v>
      </c>
      <c r="C79" s="22" t="s">
        <v>3431</v>
      </c>
      <c r="D79" s="22" t="s">
        <v>3612</v>
      </c>
      <c r="E79" s="22" t="s">
        <v>3575</v>
      </c>
      <c r="F79" s="22" t="s">
        <v>3619</v>
      </c>
      <c r="G79" s="22" t="s">
        <v>853</v>
      </c>
      <c r="H79" s="63" t="n">
        <v>1.1</v>
      </c>
      <c r="I79" s="22" t="s">
        <v>113</v>
      </c>
      <c r="J79" s="22"/>
      <c r="K79" s="63" t="n">
        <v>1.13940417366282</v>
      </c>
      <c r="L79" s="22" t="s">
        <v>1202</v>
      </c>
      <c r="M79" s="22" t="n">
        <v>32</v>
      </c>
      <c r="N79" s="22" t="s">
        <v>3614</v>
      </c>
    </row>
    <row r="80" customFormat="false" ht="15" hidden="false" customHeight="false" outlineLevel="0" collapsed="false">
      <c r="A80" s="22" t="s">
        <v>3620</v>
      </c>
      <c r="B80" s="22" t="s">
        <v>3515</v>
      </c>
      <c r="C80" s="22" t="s">
        <v>3431</v>
      </c>
      <c r="D80" s="22" t="s">
        <v>3621</v>
      </c>
      <c r="E80" s="22" t="s">
        <v>3622</v>
      </c>
      <c r="F80" s="22" t="s">
        <v>3623</v>
      </c>
      <c r="G80" s="22" t="s">
        <v>727</v>
      </c>
      <c r="H80" s="63" t="n">
        <v>15280</v>
      </c>
      <c r="I80" s="22" t="s">
        <v>112</v>
      </c>
      <c r="J80" s="22"/>
      <c r="K80" s="63" t="n">
        <v>19000.7454328803</v>
      </c>
      <c r="L80" s="22" t="s">
        <v>3137</v>
      </c>
      <c r="M80" s="22" t="n">
        <v>1</v>
      </c>
      <c r="N80" s="22" t="s">
        <v>3624</v>
      </c>
    </row>
    <row r="81" customFormat="false" ht="15" hidden="false" customHeight="false" outlineLevel="0" collapsed="false">
      <c r="A81" s="22" t="s">
        <v>3625</v>
      </c>
      <c r="B81" s="22" t="s">
        <v>3515</v>
      </c>
      <c r="C81" s="22" t="s">
        <v>3431</v>
      </c>
      <c r="D81" s="22" t="s">
        <v>3621</v>
      </c>
      <c r="E81" s="22" t="s">
        <v>3622</v>
      </c>
      <c r="F81" s="22" t="s">
        <v>3626</v>
      </c>
      <c r="G81" s="22" t="s">
        <v>727</v>
      </c>
      <c r="H81" s="63" t="n">
        <v>9385</v>
      </c>
      <c r="I81" s="22" t="s">
        <v>112</v>
      </c>
      <c r="J81" s="22"/>
      <c r="K81" s="63" t="n">
        <v>11670.2876889778</v>
      </c>
      <c r="L81" s="22" t="s">
        <v>3153</v>
      </c>
      <c r="M81" s="22" t="n">
        <v>1</v>
      </c>
      <c r="N81" s="22" t="s">
        <v>3624</v>
      </c>
    </row>
    <row r="82" customFormat="false" ht="15" hidden="false" customHeight="false" outlineLevel="0" collapsed="false">
      <c r="A82" s="22" t="s">
        <v>3627</v>
      </c>
      <c r="B82" s="22" t="s">
        <v>3515</v>
      </c>
      <c r="C82" s="22" t="s">
        <v>3431</v>
      </c>
      <c r="D82" s="22" t="s">
        <v>3621</v>
      </c>
      <c r="E82" s="22" t="s">
        <v>3622</v>
      </c>
      <c r="F82" s="22" t="s">
        <v>3628</v>
      </c>
      <c r="G82" s="22" t="s">
        <v>727</v>
      </c>
      <c r="H82" s="63" t="n">
        <v>10964</v>
      </c>
      <c r="I82" s="22" t="s">
        <v>112</v>
      </c>
      <c r="J82" s="22"/>
      <c r="K82" s="63" t="n">
        <v>13633.780950661</v>
      </c>
      <c r="L82" s="22" t="s">
        <v>3140</v>
      </c>
      <c r="M82" s="22" t="n">
        <v>1</v>
      </c>
      <c r="N82" s="22" t="s">
        <v>3624</v>
      </c>
    </row>
    <row r="83" customFormat="false" ht="15" hidden="false" customHeight="false" outlineLevel="0" collapsed="false">
      <c r="A83" s="22" t="s">
        <v>3629</v>
      </c>
      <c r="B83" s="22" t="s">
        <v>3515</v>
      </c>
      <c r="C83" s="22" t="s">
        <v>3431</v>
      </c>
      <c r="D83" s="22" t="s">
        <v>3621</v>
      </c>
      <c r="E83" s="22" t="s">
        <v>3622</v>
      </c>
      <c r="F83" s="22" t="s">
        <v>3630</v>
      </c>
      <c r="G83" s="22" t="s">
        <v>727</v>
      </c>
      <c r="H83" s="63" t="n">
        <v>11545</v>
      </c>
      <c r="I83" s="22" t="s">
        <v>112</v>
      </c>
      <c r="J83" s="22"/>
      <c r="K83" s="63" t="n">
        <v>14356.256938652</v>
      </c>
      <c r="L83" s="22" t="s">
        <v>3147</v>
      </c>
      <c r="M83" s="22" t="n">
        <v>2</v>
      </c>
      <c r="N83" s="22" t="s">
        <v>3624</v>
      </c>
    </row>
    <row r="84" customFormat="false" ht="15" hidden="false" customHeight="false" outlineLevel="0" collapsed="false">
      <c r="A84" s="22" t="s">
        <v>3631</v>
      </c>
      <c r="B84" s="22" t="s">
        <v>3515</v>
      </c>
      <c r="C84" s="22" t="s">
        <v>3431</v>
      </c>
      <c r="D84" s="22" t="s">
        <v>3632</v>
      </c>
      <c r="E84" s="22" t="s">
        <v>3633</v>
      </c>
      <c r="F84" s="22" t="s">
        <v>3634</v>
      </c>
      <c r="G84" s="22" t="s">
        <v>732</v>
      </c>
      <c r="H84" s="63" t="n">
        <v>15800</v>
      </c>
      <c r="I84" s="22" t="s">
        <v>112</v>
      </c>
      <c r="J84" s="22"/>
      <c r="K84" s="63" t="n">
        <v>19596.2881522748</v>
      </c>
      <c r="L84" s="22" t="s">
        <v>3217</v>
      </c>
      <c r="M84" s="22" t="n">
        <v>2</v>
      </c>
      <c r="N84" s="22" t="s">
        <v>3635</v>
      </c>
    </row>
    <row r="85" customFormat="false" ht="15" hidden="false" customHeight="false" outlineLevel="0" collapsed="false">
      <c r="A85" s="22" t="s">
        <v>3636</v>
      </c>
      <c r="B85" s="22" t="s">
        <v>3515</v>
      </c>
      <c r="C85" s="22" t="s">
        <v>3431</v>
      </c>
      <c r="D85" s="22" t="s">
        <v>3632</v>
      </c>
      <c r="E85" s="22" t="s">
        <v>3633</v>
      </c>
      <c r="F85" s="22" t="s">
        <v>3637</v>
      </c>
      <c r="G85" s="22" t="s">
        <v>816</v>
      </c>
      <c r="H85" s="63" t="n">
        <v>10500</v>
      </c>
      <c r="I85" s="22" t="s">
        <v>112</v>
      </c>
      <c r="J85" s="22"/>
      <c r="K85" s="63" t="n">
        <v>13022.8497214485</v>
      </c>
      <c r="L85" s="22" t="s">
        <v>3217</v>
      </c>
      <c r="M85" s="22" t="n">
        <v>1</v>
      </c>
      <c r="N85" s="22" t="s">
        <v>3638</v>
      </c>
    </row>
    <row r="86" customFormat="false" ht="15" hidden="false" customHeight="false" outlineLevel="0" collapsed="false">
      <c r="A86" s="22" t="s">
        <v>3639</v>
      </c>
      <c r="B86" s="22" t="s">
        <v>3515</v>
      </c>
      <c r="C86" s="22" t="s">
        <v>3431</v>
      </c>
      <c r="D86" s="22" t="s">
        <v>3640</v>
      </c>
      <c r="E86" s="22" t="s">
        <v>3633</v>
      </c>
      <c r="F86" s="22" t="s">
        <v>3641</v>
      </c>
      <c r="G86" s="22" t="s">
        <v>727</v>
      </c>
      <c r="H86" s="63" t="n">
        <v>3497.8</v>
      </c>
      <c r="I86" s="22" t="s">
        <v>113</v>
      </c>
      <c r="J86" s="22"/>
      <c r="K86" s="63" t="n">
        <v>3580.27672696624</v>
      </c>
      <c r="L86" s="22" t="s">
        <v>1508</v>
      </c>
      <c r="M86" s="22" t="n">
        <v>1</v>
      </c>
      <c r="N86" s="22" t="s">
        <v>3642</v>
      </c>
    </row>
    <row r="87" customFormat="false" ht="15" hidden="false" customHeight="false" outlineLevel="0" collapsed="false">
      <c r="A87" s="22" t="s">
        <v>3643</v>
      </c>
      <c r="B87" s="22" t="s">
        <v>3515</v>
      </c>
      <c r="C87" s="22" t="s">
        <v>3431</v>
      </c>
      <c r="D87" s="22" t="s">
        <v>3640</v>
      </c>
      <c r="E87" s="22" t="s">
        <v>3633</v>
      </c>
      <c r="F87" s="22" t="s">
        <v>3644</v>
      </c>
      <c r="G87" s="22" t="s">
        <v>727</v>
      </c>
      <c r="H87" s="63" t="n">
        <v>985.7</v>
      </c>
      <c r="I87" s="22" t="s">
        <v>113</v>
      </c>
      <c r="J87" s="22"/>
      <c r="K87" s="63" t="n">
        <v>1008.94241230791</v>
      </c>
      <c r="L87" s="22" t="s">
        <v>1638</v>
      </c>
      <c r="M87" s="22" t="n">
        <v>2</v>
      </c>
      <c r="N87" s="22" t="s">
        <v>3642</v>
      </c>
    </row>
    <row r="88" customFormat="false" ht="15" hidden="false" customHeight="false" outlineLevel="0" collapsed="false">
      <c r="A88" s="22" t="s">
        <v>3645</v>
      </c>
      <c r="B88" s="22" t="s">
        <v>3515</v>
      </c>
      <c r="C88" s="22" t="s">
        <v>3431</v>
      </c>
      <c r="D88" s="22" t="s">
        <v>3640</v>
      </c>
      <c r="E88" s="22" t="s">
        <v>3633</v>
      </c>
      <c r="F88" s="22" t="s">
        <v>3646</v>
      </c>
      <c r="G88" s="22" t="s">
        <v>727</v>
      </c>
      <c r="H88" s="63" t="n">
        <v>36.1</v>
      </c>
      <c r="I88" s="22" t="s">
        <v>113</v>
      </c>
      <c r="J88" s="22"/>
      <c r="K88" s="63" t="n">
        <v>36.9512235815316</v>
      </c>
      <c r="L88" s="22" t="s">
        <v>1508</v>
      </c>
      <c r="M88" s="22" t="n">
        <v>13</v>
      </c>
      <c r="N88" s="22" t="s">
        <v>3642</v>
      </c>
    </row>
    <row r="89" customFormat="false" ht="15" hidden="false" customHeight="false" outlineLevel="0" collapsed="false">
      <c r="A89" s="22" t="s">
        <v>3647</v>
      </c>
      <c r="B89" s="22" t="s">
        <v>3515</v>
      </c>
      <c r="C89" s="22" t="s">
        <v>3431</v>
      </c>
      <c r="D89" s="22" t="s">
        <v>3640</v>
      </c>
      <c r="E89" s="22" t="s">
        <v>3633</v>
      </c>
      <c r="F89" s="22" t="s">
        <v>3648</v>
      </c>
      <c r="G89" s="22" t="s">
        <v>727</v>
      </c>
      <c r="H89" s="63" t="n">
        <v>39.6</v>
      </c>
      <c r="I89" s="22" t="s">
        <v>113</v>
      </c>
      <c r="J89" s="22"/>
      <c r="K89" s="63" t="n">
        <v>40.5337521836192</v>
      </c>
      <c r="L89" s="22" t="s">
        <v>1508</v>
      </c>
      <c r="M89" s="22" t="n">
        <v>4</v>
      </c>
      <c r="N89" s="22" t="s">
        <v>3642</v>
      </c>
    </row>
    <row r="90" customFormat="false" ht="15" hidden="false" customHeight="false" outlineLevel="0" collapsed="false">
      <c r="A90" s="22" t="s">
        <v>3649</v>
      </c>
      <c r="B90" s="22" t="s">
        <v>3515</v>
      </c>
      <c r="C90" s="22" t="s">
        <v>3431</v>
      </c>
      <c r="D90" s="22" t="s">
        <v>3640</v>
      </c>
      <c r="E90" s="22" t="s">
        <v>3633</v>
      </c>
      <c r="F90" s="22" t="s">
        <v>3650</v>
      </c>
      <c r="G90" s="22" t="s">
        <v>727</v>
      </c>
      <c r="H90" s="63" t="n">
        <v>31.5</v>
      </c>
      <c r="I90" s="22" t="s">
        <v>113</v>
      </c>
      <c r="J90" s="22"/>
      <c r="K90" s="63" t="n">
        <v>32.242757418788</v>
      </c>
      <c r="L90" s="22" t="s">
        <v>1508</v>
      </c>
      <c r="M90" s="22" t="n">
        <v>9</v>
      </c>
      <c r="N90" s="22" t="s">
        <v>3642</v>
      </c>
    </row>
    <row r="91" customFormat="false" ht="15" hidden="false" customHeight="false" outlineLevel="0" collapsed="false">
      <c r="A91" s="22" t="s">
        <v>3651</v>
      </c>
      <c r="B91" s="22" t="s">
        <v>3515</v>
      </c>
      <c r="C91" s="22" t="s">
        <v>3431</v>
      </c>
      <c r="D91" s="22" t="s">
        <v>3640</v>
      </c>
      <c r="E91" s="22" t="s">
        <v>3633</v>
      </c>
      <c r="F91" s="22" t="s">
        <v>3652</v>
      </c>
      <c r="G91" s="22" t="s">
        <v>727</v>
      </c>
      <c r="H91" s="63" t="n">
        <v>87.5</v>
      </c>
      <c r="I91" s="22" t="s">
        <v>113</v>
      </c>
      <c r="J91" s="22"/>
      <c r="K91" s="63" t="n">
        <v>89.5632150521888</v>
      </c>
      <c r="L91" s="22" t="s">
        <v>1508</v>
      </c>
      <c r="M91" s="22" t="n">
        <v>8</v>
      </c>
      <c r="N91" s="22" t="s">
        <v>3642</v>
      </c>
    </row>
    <row r="92" customFormat="false" ht="15" hidden="false" customHeight="false" outlineLevel="0" collapsed="false">
      <c r="A92" s="22" t="s">
        <v>3653</v>
      </c>
      <c r="B92" s="22" t="s">
        <v>3515</v>
      </c>
      <c r="C92" s="22" t="s">
        <v>3431</v>
      </c>
      <c r="D92" s="22" t="s">
        <v>3640</v>
      </c>
      <c r="E92" s="22" t="s">
        <v>3633</v>
      </c>
      <c r="F92" s="22" t="s">
        <v>3654</v>
      </c>
      <c r="G92" s="22" t="s">
        <v>727</v>
      </c>
      <c r="H92" s="63" t="n">
        <v>556.3</v>
      </c>
      <c r="I92" s="22" t="s">
        <v>113</v>
      </c>
      <c r="J92" s="22"/>
      <c r="K92" s="63" t="n">
        <v>569.417331811802</v>
      </c>
      <c r="L92" s="22" t="s">
        <v>1508</v>
      </c>
      <c r="M92" s="22" t="n">
        <v>7</v>
      </c>
      <c r="N92" s="22" t="s">
        <v>3642</v>
      </c>
    </row>
    <row r="93" customFormat="false" ht="15" hidden="false" customHeight="false" outlineLevel="0" collapsed="false">
      <c r="A93" s="22" t="s">
        <v>3655</v>
      </c>
      <c r="B93" s="22" t="s">
        <v>3515</v>
      </c>
      <c r="C93" s="22" t="s">
        <v>3431</v>
      </c>
      <c r="D93" s="22" t="s">
        <v>3640</v>
      </c>
      <c r="E93" s="22" t="s">
        <v>3633</v>
      </c>
      <c r="F93" s="22" t="s">
        <v>3656</v>
      </c>
      <c r="G93" s="22" t="s">
        <v>727</v>
      </c>
      <c r="H93" s="63" t="n">
        <v>28.6</v>
      </c>
      <c r="I93" s="22" t="s">
        <v>113</v>
      </c>
      <c r="J93" s="22"/>
      <c r="K93" s="63" t="n">
        <v>29.2743765770583</v>
      </c>
      <c r="L93" s="22" t="s">
        <v>1508</v>
      </c>
      <c r="M93" s="22" t="n">
        <v>10</v>
      </c>
      <c r="N93" s="22" t="s">
        <v>3642</v>
      </c>
    </row>
    <row r="94" customFormat="false" ht="15" hidden="false" customHeight="false" outlineLevel="0" collapsed="false">
      <c r="A94" s="22" t="s">
        <v>3657</v>
      </c>
      <c r="B94" s="22" t="s">
        <v>3515</v>
      </c>
      <c r="C94" s="22" t="s">
        <v>3431</v>
      </c>
      <c r="D94" s="22" t="s">
        <v>3640</v>
      </c>
      <c r="E94" s="22" t="s">
        <v>3633</v>
      </c>
      <c r="F94" s="22" t="s">
        <v>3658</v>
      </c>
      <c r="G94" s="22" t="s">
        <v>727</v>
      </c>
      <c r="H94" s="63" t="n">
        <v>30.3</v>
      </c>
      <c r="I94" s="22" t="s">
        <v>113</v>
      </c>
      <c r="J94" s="22"/>
      <c r="K94" s="63" t="n">
        <v>31.0144618980723</v>
      </c>
      <c r="L94" s="22" t="s">
        <v>1508</v>
      </c>
      <c r="M94" s="22" t="n">
        <v>11</v>
      </c>
      <c r="N94" s="22" t="s">
        <v>3642</v>
      </c>
    </row>
    <row r="95" customFormat="false" ht="15" hidden="false" customHeight="false" outlineLevel="0" collapsed="false">
      <c r="A95" s="22" t="s">
        <v>3659</v>
      </c>
      <c r="B95" s="22" t="s">
        <v>3515</v>
      </c>
      <c r="C95" s="22" t="s">
        <v>3431</v>
      </c>
      <c r="D95" s="22" t="s">
        <v>3640</v>
      </c>
      <c r="E95" s="22" t="s">
        <v>3633</v>
      </c>
      <c r="F95" s="22" t="s">
        <v>3660</v>
      </c>
      <c r="G95" s="22" t="s">
        <v>727</v>
      </c>
      <c r="H95" s="63" t="n">
        <v>30.6</v>
      </c>
      <c r="I95" s="22" t="s">
        <v>113</v>
      </c>
      <c r="J95" s="22"/>
      <c r="K95" s="63" t="n">
        <v>31.3215357782512</v>
      </c>
      <c r="L95" s="22" t="s">
        <v>1508</v>
      </c>
      <c r="M95" s="22" t="n">
        <v>13</v>
      </c>
      <c r="N95" s="22" t="s">
        <v>3642</v>
      </c>
    </row>
    <row r="96" customFormat="false" ht="15" hidden="false" customHeight="false" outlineLevel="0" collapsed="false">
      <c r="A96" s="22" t="s">
        <v>3661</v>
      </c>
      <c r="B96" s="22" t="s">
        <v>3515</v>
      </c>
      <c r="C96" s="22" t="s">
        <v>3431</v>
      </c>
      <c r="D96" s="22" t="s">
        <v>3662</v>
      </c>
      <c r="E96" s="22" t="s">
        <v>3663</v>
      </c>
      <c r="F96" s="22" t="s">
        <v>3664</v>
      </c>
      <c r="G96" s="22" t="s">
        <v>727</v>
      </c>
      <c r="H96" s="63" t="n">
        <v>29200</v>
      </c>
      <c r="I96" s="22" t="s">
        <v>112</v>
      </c>
      <c r="J96" s="22"/>
      <c r="K96" s="63" t="n">
        <v>36215.9249396472</v>
      </c>
      <c r="L96" s="22" t="s">
        <v>3177</v>
      </c>
      <c r="M96" s="22" t="n">
        <v>2</v>
      </c>
      <c r="N96" s="22" t="s">
        <v>3665</v>
      </c>
    </row>
    <row r="97" customFormat="false" ht="15" hidden="false" customHeight="false" outlineLevel="0" collapsed="false">
      <c r="A97" s="22" t="s">
        <v>3666</v>
      </c>
      <c r="B97" s="22" t="s">
        <v>3515</v>
      </c>
      <c r="C97" s="22" t="s">
        <v>3431</v>
      </c>
      <c r="D97" s="22" t="s">
        <v>3662</v>
      </c>
      <c r="E97" s="22" t="s">
        <v>3663</v>
      </c>
      <c r="F97" s="22" t="s">
        <v>3667</v>
      </c>
      <c r="G97" s="22" t="s">
        <v>727</v>
      </c>
      <c r="H97" s="63" t="n">
        <v>30200</v>
      </c>
      <c r="I97" s="22" t="s">
        <v>112</v>
      </c>
      <c r="J97" s="22"/>
      <c r="K97" s="63" t="n">
        <v>37456.1963416899</v>
      </c>
      <c r="L97" s="22" t="s">
        <v>3177</v>
      </c>
      <c r="M97" s="22" t="n">
        <v>2</v>
      </c>
      <c r="N97" s="22" t="s">
        <v>3665</v>
      </c>
    </row>
    <row r="98" customFormat="false" ht="15" hidden="false" customHeight="false" outlineLevel="0" collapsed="false">
      <c r="A98" s="22" t="s">
        <v>3668</v>
      </c>
      <c r="B98" s="22" t="s">
        <v>3515</v>
      </c>
      <c r="C98" s="22" t="s">
        <v>3431</v>
      </c>
      <c r="D98" s="22" t="s">
        <v>3662</v>
      </c>
      <c r="E98" s="22" t="s">
        <v>3663</v>
      </c>
      <c r="F98" s="22" t="s">
        <v>3669</v>
      </c>
      <c r="G98" s="22" t="s">
        <v>727</v>
      </c>
      <c r="H98" s="63" t="n">
        <v>16900</v>
      </c>
      <c r="I98" s="22" t="s">
        <v>112</v>
      </c>
      <c r="J98" s="22"/>
      <c r="K98" s="63" t="n">
        <v>20960.5866945218</v>
      </c>
      <c r="L98" s="22" t="s">
        <v>3177</v>
      </c>
      <c r="M98" s="22" t="n">
        <v>2</v>
      </c>
      <c r="N98" s="22" t="s">
        <v>3665</v>
      </c>
    </row>
    <row r="99" customFormat="false" ht="15" hidden="false" customHeight="false" outlineLevel="0" collapsed="false">
      <c r="A99" s="22" t="s">
        <v>3670</v>
      </c>
      <c r="B99" s="22" t="s">
        <v>3515</v>
      </c>
      <c r="C99" s="22" t="s">
        <v>3431</v>
      </c>
      <c r="D99" s="22" t="s">
        <v>3662</v>
      </c>
      <c r="E99" s="22" t="s">
        <v>3663</v>
      </c>
      <c r="F99" s="22" t="s">
        <v>3671</v>
      </c>
      <c r="G99" s="22" t="s">
        <v>727</v>
      </c>
      <c r="H99" s="63" t="n">
        <v>29125</v>
      </c>
      <c r="I99" s="22" t="s">
        <v>112</v>
      </c>
      <c r="J99" s="22"/>
      <c r="K99" s="63" t="n">
        <v>36122.904584494</v>
      </c>
      <c r="L99" s="22" t="s">
        <v>3177</v>
      </c>
      <c r="M99" s="22" t="n">
        <v>2</v>
      </c>
      <c r="N99" s="22" t="s">
        <v>3665</v>
      </c>
    </row>
    <row r="100" customFormat="false" ht="15" hidden="false" customHeight="false" outlineLevel="0" collapsed="false">
      <c r="A100" s="22" t="s">
        <v>3672</v>
      </c>
      <c r="B100" s="22" t="s">
        <v>3515</v>
      </c>
      <c r="C100" s="22" t="s">
        <v>3431</v>
      </c>
      <c r="D100" s="22" t="s">
        <v>3673</v>
      </c>
      <c r="E100" s="22" t="s">
        <v>3663</v>
      </c>
      <c r="F100" s="22" t="s">
        <v>3674</v>
      </c>
      <c r="G100" s="22" t="s">
        <v>727</v>
      </c>
      <c r="H100" s="63" t="n">
        <v>79000</v>
      </c>
      <c r="I100" s="22" t="s">
        <v>112</v>
      </c>
      <c r="J100" s="22"/>
      <c r="K100" s="63" t="n">
        <v>97981.4407613742</v>
      </c>
      <c r="L100" s="22" t="s">
        <v>3177</v>
      </c>
      <c r="M100" s="22" t="n">
        <v>2</v>
      </c>
      <c r="N100" s="22" t="s">
        <v>3675</v>
      </c>
    </row>
    <row r="101" customFormat="false" ht="15" hidden="false" customHeight="false" outlineLevel="0" collapsed="false">
      <c r="A101" s="22" t="s">
        <v>3676</v>
      </c>
      <c r="B101" s="22" t="s">
        <v>3515</v>
      </c>
      <c r="C101" s="22" t="s">
        <v>3431</v>
      </c>
      <c r="D101" s="22" t="s">
        <v>3673</v>
      </c>
      <c r="E101" s="22" t="s">
        <v>3663</v>
      </c>
      <c r="F101" s="22" t="s">
        <v>3677</v>
      </c>
      <c r="G101" s="22" t="s">
        <v>727</v>
      </c>
      <c r="H101" s="63" t="n">
        <v>40750</v>
      </c>
      <c r="I101" s="22" t="s">
        <v>112</v>
      </c>
      <c r="J101" s="22"/>
      <c r="K101" s="63" t="n">
        <v>50541.0596332405</v>
      </c>
      <c r="L101" s="22" t="s">
        <v>3169</v>
      </c>
      <c r="M101" s="22" t="n">
        <v>1</v>
      </c>
      <c r="N101" s="22" t="s">
        <v>3675</v>
      </c>
    </row>
    <row r="102" customFormat="false" ht="15" hidden="false" customHeight="false" outlineLevel="0" collapsed="false">
      <c r="A102" s="22" t="s">
        <v>3678</v>
      </c>
      <c r="B102" s="22" t="s">
        <v>3515</v>
      </c>
      <c r="C102" s="22" t="s">
        <v>3431</v>
      </c>
      <c r="D102" s="22" t="s">
        <v>3679</v>
      </c>
      <c r="E102" s="22" t="s">
        <v>3680</v>
      </c>
      <c r="F102" s="22" t="s">
        <v>3681</v>
      </c>
      <c r="G102" s="22" t="s">
        <v>727</v>
      </c>
      <c r="H102" s="63" t="n">
        <v>17237</v>
      </c>
      <c r="I102" s="22" t="s">
        <v>112</v>
      </c>
      <c r="J102" s="22"/>
      <c r="K102" s="63" t="n">
        <v>21378.5581570102</v>
      </c>
      <c r="L102" s="22" t="s">
        <v>3147</v>
      </c>
      <c r="M102" s="22" t="n">
        <v>1</v>
      </c>
      <c r="N102" s="22" t="s">
        <v>3682</v>
      </c>
    </row>
    <row r="103" customFormat="false" ht="15" hidden="false" customHeight="false" outlineLevel="0" collapsed="false">
      <c r="A103" s="22" t="s">
        <v>3683</v>
      </c>
      <c r="B103" s="22" t="s">
        <v>3515</v>
      </c>
      <c r="C103" s="22" t="s">
        <v>3431</v>
      </c>
      <c r="D103" s="22" t="s">
        <v>3679</v>
      </c>
      <c r="E103" s="22" t="s">
        <v>3680</v>
      </c>
      <c r="F103" s="22" t="s">
        <v>3684</v>
      </c>
      <c r="G103" s="22" t="s">
        <v>727</v>
      </c>
      <c r="H103" s="63" t="n">
        <v>18003</v>
      </c>
      <c r="I103" s="22" t="s">
        <v>112</v>
      </c>
      <c r="J103" s="22"/>
      <c r="K103" s="63" t="n">
        <v>22328.6060509749</v>
      </c>
      <c r="L103" s="22" t="s">
        <v>3140</v>
      </c>
      <c r="M103" s="22" t="n">
        <v>1</v>
      </c>
      <c r="N103" s="22" t="s">
        <v>3682</v>
      </c>
    </row>
    <row r="104" customFormat="false" ht="15" hidden="false" customHeight="false" outlineLevel="0" collapsed="false">
      <c r="A104" s="22" t="s">
        <v>3685</v>
      </c>
      <c r="B104" s="22" t="s">
        <v>3515</v>
      </c>
      <c r="C104" s="22" t="s">
        <v>3431</v>
      </c>
      <c r="D104" s="22" t="s">
        <v>3679</v>
      </c>
      <c r="E104" s="22" t="s">
        <v>3680</v>
      </c>
      <c r="F104" s="22" t="s">
        <v>3686</v>
      </c>
      <c r="G104" s="22" t="s">
        <v>727</v>
      </c>
      <c r="H104" s="63" t="n">
        <v>10178</v>
      </c>
      <c r="I104" s="22" t="s">
        <v>112</v>
      </c>
      <c r="J104" s="22"/>
      <c r="K104" s="63" t="n">
        <v>12623.4823299907</v>
      </c>
      <c r="L104" s="22" t="s">
        <v>3153</v>
      </c>
      <c r="M104" s="22" t="n">
        <v>1</v>
      </c>
      <c r="N104" s="22" t="s">
        <v>3682</v>
      </c>
    </row>
    <row r="105" customFormat="false" ht="15" hidden="false" customHeight="false" outlineLevel="0" collapsed="false">
      <c r="A105" s="22" t="s">
        <v>3687</v>
      </c>
      <c r="B105" s="22" t="s">
        <v>3515</v>
      </c>
      <c r="C105" s="22" t="s">
        <v>3431</v>
      </c>
      <c r="D105" s="22" t="s">
        <v>3679</v>
      </c>
      <c r="E105" s="22" t="s">
        <v>3680</v>
      </c>
      <c r="F105" s="22" t="s">
        <v>3688</v>
      </c>
      <c r="G105" s="22" t="s">
        <v>727</v>
      </c>
      <c r="H105" s="63" t="n">
        <v>19914</v>
      </c>
      <c r="I105" s="22" t="s">
        <v>112</v>
      </c>
      <c r="J105" s="22"/>
      <c r="K105" s="63" t="n">
        <v>24698.7647002786</v>
      </c>
      <c r="L105" s="22" t="s">
        <v>3140</v>
      </c>
      <c r="M105" s="22" t="n">
        <v>1</v>
      </c>
      <c r="N105" s="22" t="s">
        <v>3682</v>
      </c>
    </row>
    <row r="106" customFormat="false" ht="15" hidden="false" customHeight="false" outlineLevel="0" collapsed="false">
      <c r="A106" s="22" t="s">
        <v>3689</v>
      </c>
      <c r="B106" s="22" t="s">
        <v>3515</v>
      </c>
      <c r="C106" s="22" t="s">
        <v>3431</v>
      </c>
      <c r="D106" s="22" t="s">
        <v>3690</v>
      </c>
      <c r="E106" s="22" t="s">
        <v>3691</v>
      </c>
      <c r="F106" s="22" t="s">
        <v>3692</v>
      </c>
      <c r="G106" s="22" t="s">
        <v>727</v>
      </c>
      <c r="H106" s="63" t="n">
        <v>17000</v>
      </c>
      <c r="I106" s="22" t="s">
        <v>112</v>
      </c>
      <c r="J106" s="22"/>
      <c r="K106" s="63" t="n">
        <v>21084.6138347261</v>
      </c>
      <c r="L106" s="22" t="s">
        <v>3165</v>
      </c>
      <c r="M106" s="22" t="n">
        <v>1</v>
      </c>
      <c r="N106" s="22" t="s">
        <v>3693</v>
      </c>
    </row>
    <row r="107" customFormat="false" ht="15" hidden="false" customHeight="false" outlineLevel="0" collapsed="false">
      <c r="A107" s="22" t="s">
        <v>3694</v>
      </c>
      <c r="B107" s="22" t="s">
        <v>3515</v>
      </c>
      <c r="C107" s="22" t="s">
        <v>3431</v>
      </c>
      <c r="D107" s="22" t="s">
        <v>3695</v>
      </c>
      <c r="E107" s="22" t="s">
        <v>3696</v>
      </c>
      <c r="F107" s="22" t="s">
        <v>3697</v>
      </c>
      <c r="G107" s="22" t="s">
        <v>727</v>
      </c>
      <c r="H107" s="63" t="n">
        <v>36625</v>
      </c>
      <c r="I107" s="22" t="s">
        <v>112</v>
      </c>
      <c r="J107" s="22"/>
      <c r="K107" s="63" t="n">
        <v>45424.9400998143</v>
      </c>
      <c r="L107" s="22" t="s">
        <v>3177</v>
      </c>
      <c r="M107" s="22" t="n">
        <v>2</v>
      </c>
      <c r="N107" s="22" t="s">
        <v>3698</v>
      </c>
    </row>
    <row r="108" customFormat="false" ht="15" hidden="false" customHeight="false" outlineLevel="0" collapsed="false">
      <c r="A108" s="22" t="s">
        <v>3699</v>
      </c>
      <c r="B108" s="22" t="s">
        <v>3515</v>
      </c>
      <c r="C108" s="22" t="s">
        <v>3431</v>
      </c>
      <c r="D108" s="22" t="s">
        <v>3695</v>
      </c>
      <c r="E108" s="22" t="s">
        <v>3696</v>
      </c>
      <c r="F108" s="22" t="s">
        <v>3700</v>
      </c>
      <c r="G108" s="22" t="s">
        <v>727</v>
      </c>
      <c r="H108" s="63" t="n">
        <v>29690</v>
      </c>
      <c r="I108" s="22" t="s">
        <v>112</v>
      </c>
      <c r="J108" s="22"/>
      <c r="K108" s="63" t="n">
        <v>36823.6579266481</v>
      </c>
      <c r="L108" s="22" t="s">
        <v>3177</v>
      </c>
      <c r="M108" s="22" t="n">
        <v>2</v>
      </c>
      <c r="N108" s="22" t="s">
        <v>3698</v>
      </c>
    </row>
    <row r="109" customFormat="false" ht="15" hidden="false" customHeight="false" outlineLevel="0" collapsed="false">
      <c r="A109" s="22" t="s">
        <v>3701</v>
      </c>
      <c r="B109" s="22" t="s">
        <v>3515</v>
      </c>
      <c r="C109" s="22" t="s">
        <v>3431</v>
      </c>
      <c r="D109" s="22" t="s">
        <v>3695</v>
      </c>
      <c r="E109" s="22" t="s">
        <v>3696</v>
      </c>
      <c r="F109" s="22" t="s">
        <v>3702</v>
      </c>
      <c r="G109" s="22" t="s">
        <v>727</v>
      </c>
      <c r="H109" s="63" t="n">
        <v>34375</v>
      </c>
      <c r="I109" s="22" t="s">
        <v>112</v>
      </c>
      <c r="J109" s="22"/>
      <c r="K109" s="63" t="n">
        <v>42634.3294452182</v>
      </c>
      <c r="L109" s="22" t="s">
        <v>3177</v>
      </c>
      <c r="M109" s="22" t="n">
        <v>2</v>
      </c>
      <c r="N109" s="22" t="s">
        <v>3698</v>
      </c>
    </row>
    <row r="110" customFormat="false" ht="15" hidden="false" customHeight="false" outlineLevel="0" collapsed="false">
      <c r="A110" s="22" t="s">
        <v>3703</v>
      </c>
      <c r="B110" s="22" t="s">
        <v>3515</v>
      </c>
      <c r="C110" s="22" t="s">
        <v>3431</v>
      </c>
      <c r="D110" s="22" t="s">
        <v>3695</v>
      </c>
      <c r="E110" s="22" t="s">
        <v>3696</v>
      </c>
      <c r="F110" s="22" t="s">
        <v>3704</v>
      </c>
      <c r="G110" s="22" t="s">
        <v>727</v>
      </c>
      <c r="H110" s="63" t="n">
        <v>22500</v>
      </c>
      <c r="I110" s="22" t="s">
        <v>112</v>
      </c>
      <c r="J110" s="22"/>
      <c r="K110" s="63" t="n">
        <v>27906.106545961</v>
      </c>
      <c r="L110" s="22" t="s">
        <v>3177</v>
      </c>
      <c r="M110" s="22" t="n">
        <v>2</v>
      </c>
      <c r="N110" s="22" t="s">
        <v>3698</v>
      </c>
    </row>
    <row r="111" customFormat="false" ht="15" hidden="false" customHeight="false" outlineLevel="0" collapsed="false">
      <c r="A111" s="22" t="s">
        <v>3705</v>
      </c>
      <c r="B111" s="22" t="s">
        <v>3515</v>
      </c>
      <c r="C111" s="22" t="s">
        <v>3431</v>
      </c>
      <c r="D111" s="22" t="s">
        <v>3695</v>
      </c>
      <c r="E111" s="22" t="s">
        <v>3696</v>
      </c>
      <c r="F111" s="22" t="s">
        <v>3706</v>
      </c>
      <c r="G111" s="22" t="s">
        <v>727</v>
      </c>
      <c r="H111" s="63" t="n">
        <v>16875</v>
      </c>
      <c r="I111" s="22" t="s">
        <v>112</v>
      </c>
      <c r="J111" s="22"/>
      <c r="K111" s="63" t="n">
        <v>20929.5799094707</v>
      </c>
      <c r="L111" s="22" t="s">
        <v>3177</v>
      </c>
      <c r="M111" s="22" t="n">
        <v>2</v>
      </c>
      <c r="N111" s="22" t="s">
        <v>3698</v>
      </c>
    </row>
    <row r="112" customFormat="false" ht="15" hidden="false" customHeight="false" outlineLevel="0" collapsed="false">
      <c r="A112" s="22" t="s">
        <v>3707</v>
      </c>
      <c r="B112" s="22" t="s">
        <v>3515</v>
      </c>
      <c r="C112" s="22" t="s">
        <v>3431</v>
      </c>
      <c r="D112" s="22" t="s">
        <v>3695</v>
      </c>
      <c r="E112" s="22" t="s">
        <v>3696</v>
      </c>
      <c r="F112" s="22" t="s">
        <v>3708</v>
      </c>
      <c r="G112" s="22" t="s">
        <v>727</v>
      </c>
      <c r="H112" s="63" t="n">
        <v>13565</v>
      </c>
      <c r="I112" s="22" t="s">
        <v>112</v>
      </c>
      <c r="J112" s="22"/>
      <c r="K112" s="63" t="n">
        <v>16824.2815687094</v>
      </c>
      <c r="L112" s="22" t="s">
        <v>3177</v>
      </c>
      <c r="M112" s="22" t="n">
        <v>2</v>
      </c>
      <c r="N112" s="22" t="s">
        <v>3698</v>
      </c>
    </row>
    <row r="113" customFormat="false" ht="15" hidden="false" customHeight="false" outlineLevel="0" collapsed="false">
      <c r="A113" s="22" t="s">
        <v>3709</v>
      </c>
      <c r="B113" s="22" t="s">
        <v>3515</v>
      </c>
      <c r="C113" s="22" t="s">
        <v>3431</v>
      </c>
      <c r="D113" s="22" t="s">
        <v>3710</v>
      </c>
      <c r="E113" s="22" t="s">
        <v>3711</v>
      </c>
      <c r="F113" s="22" t="s">
        <v>3712</v>
      </c>
      <c r="G113" s="22" t="s">
        <v>727</v>
      </c>
      <c r="H113" s="63" t="n">
        <v>21.23</v>
      </c>
      <c r="I113" s="22" t="s">
        <v>112</v>
      </c>
      <c r="J113" s="22"/>
      <c r="K113" s="63" t="n">
        <v>26.3309618653668</v>
      </c>
      <c r="L113" s="22" t="s">
        <v>1508</v>
      </c>
      <c r="M113" s="22" t="n">
        <v>13</v>
      </c>
      <c r="N113" s="22" t="s">
        <v>3713</v>
      </c>
    </row>
    <row r="114" customFormat="false" ht="15" hidden="false" customHeight="false" outlineLevel="0" collapsed="false">
      <c r="A114" s="22" t="s">
        <v>3714</v>
      </c>
      <c r="B114" s="22" t="s">
        <v>3515</v>
      </c>
      <c r="C114" s="22" t="s">
        <v>3431</v>
      </c>
      <c r="D114" s="22" t="s">
        <v>3710</v>
      </c>
      <c r="E114" s="22" t="s">
        <v>3711</v>
      </c>
      <c r="F114" s="22" t="s">
        <v>3715</v>
      </c>
      <c r="G114" s="22" t="s">
        <v>727</v>
      </c>
      <c r="H114" s="63" t="n">
        <v>18.52</v>
      </c>
      <c r="I114" s="22" t="s">
        <v>112</v>
      </c>
      <c r="J114" s="22"/>
      <c r="K114" s="63" t="n">
        <v>22.969826365831</v>
      </c>
      <c r="L114" s="22" t="s">
        <v>1508</v>
      </c>
      <c r="M114" s="22" t="n">
        <v>9</v>
      </c>
      <c r="N114" s="22" t="s">
        <v>3713</v>
      </c>
    </row>
    <row r="115" customFormat="false" ht="15" hidden="false" customHeight="false" outlineLevel="0" collapsed="false">
      <c r="A115" s="22" t="s">
        <v>3716</v>
      </c>
      <c r="B115" s="22" t="s">
        <v>3515</v>
      </c>
      <c r="C115" s="22" t="s">
        <v>3431</v>
      </c>
      <c r="D115" s="22" t="s">
        <v>3710</v>
      </c>
      <c r="E115" s="22" t="s">
        <v>3711</v>
      </c>
      <c r="F115" s="22" t="s">
        <v>3717</v>
      </c>
      <c r="G115" s="22" t="s">
        <v>727</v>
      </c>
      <c r="H115" s="63" t="n">
        <v>23.4</v>
      </c>
      <c r="I115" s="22" t="s">
        <v>112</v>
      </c>
      <c r="J115" s="22"/>
      <c r="K115" s="63" t="n">
        <v>29.0223508077994</v>
      </c>
      <c r="L115" s="22" t="s">
        <v>1508</v>
      </c>
      <c r="M115" s="22" t="n">
        <v>4</v>
      </c>
      <c r="N115" s="22" t="s">
        <v>3713</v>
      </c>
    </row>
    <row r="116" customFormat="false" ht="15" hidden="false" customHeight="false" outlineLevel="0" collapsed="false">
      <c r="A116" s="22" t="s">
        <v>3718</v>
      </c>
      <c r="B116" s="22" t="s">
        <v>3515</v>
      </c>
      <c r="C116" s="22" t="s">
        <v>3431</v>
      </c>
      <c r="D116" s="22" t="s">
        <v>3710</v>
      </c>
      <c r="E116" s="22" t="s">
        <v>3711</v>
      </c>
      <c r="F116" s="22" t="s">
        <v>3719</v>
      </c>
      <c r="G116" s="22" t="s">
        <v>727</v>
      </c>
      <c r="H116" s="63" t="n">
        <v>31.64</v>
      </c>
      <c r="I116" s="22" t="s">
        <v>112</v>
      </c>
      <c r="J116" s="22"/>
      <c r="K116" s="63" t="n">
        <v>39.2421871606314</v>
      </c>
      <c r="L116" s="22" t="s">
        <v>1508</v>
      </c>
      <c r="M116" s="22" t="n">
        <v>10</v>
      </c>
      <c r="N116" s="22" t="s">
        <v>3713</v>
      </c>
    </row>
    <row r="117" customFormat="false" ht="15" hidden="false" customHeight="false" outlineLevel="0" collapsed="false">
      <c r="A117" s="22" t="s">
        <v>3720</v>
      </c>
      <c r="B117" s="22" t="s">
        <v>3515</v>
      </c>
      <c r="C117" s="22" t="s">
        <v>3431</v>
      </c>
      <c r="D117" s="22" t="s">
        <v>3710</v>
      </c>
      <c r="E117" s="22" t="s">
        <v>3711</v>
      </c>
      <c r="F117" s="22" t="s">
        <v>3721</v>
      </c>
      <c r="G117" s="22" t="s">
        <v>727</v>
      </c>
      <c r="H117" s="63" t="n">
        <v>28.61</v>
      </c>
      <c r="I117" s="22" t="s">
        <v>112</v>
      </c>
      <c r="J117" s="22"/>
      <c r="K117" s="63" t="n">
        <v>35.484164812442</v>
      </c>
      <c r="L117" s="22" t="s">
        <v>1508</v>
      </c>
      <c r="M117" s="22" t="n">
        <v>13</v>
      </c>
      <c r="N117" s="22" t="s">
        <v>3713</v>
      </c>
    </row>
    <row r="118" customFormat="false" ht="15" hidden="false" customHeight="false" outlineLevel="0" collapsed="false">
      <c r="A118" s="22" t="s">
        <v>3722</v>
      </c>
      <c r="B118" s="22" t="s">
        <v>3515</v>
      </c>
      <c r="C118" s="22" t="s">
        <v>3431</v>
      </c>
      <c r="D118" s="22" t="s">
        <v>3710</v>
      </c>
      <c r="E118" s="22" t="s">
        <v>3711</v>
      </c>
      <c r="F118" s="22" t="s">
        <v>3723</v>
      </c>
      <c r="G118" s="22" t="s">
        <v>727</v>
      </c>
      <c r="H118" s="63" t="n">
        <v>48.41</v>
      </c>
      <c r="I118" s="22" t="s">
        <v>112</v>
      </c>
      <c r="J118" s="22"/>
      <c r="K118" s="63" t="n">
        <v>60.0415385728876</v>
      </c>
      <c r="L118" s="22" t="s">
        <v>1508</v>
      </c>
      <c r="M118" s="22" t="n">
        <v>10</v>
      </c>
      <c r="N118" s="22" t="s">
        <v>3713</v>
      </c>
    </row>
    <row r="119" customFormat="false" ht="15" hidden="false" customHeight="false" outlineLevel="0" collapsed="false">
      <c r="A119" s="22" t="s">
        <v>3724</v>
      </c>
      <c r="B119" s="22" t="s">
        <v>3515</v>
      </c>
      <c r="C119" s="22" t="s">
        <v>3431</v>
      </c>
      <c r="D119" s="22" t="s">
        <v>3710</v>
      </c>
      <c r="E119" s="22" t="s">
        <v>3711</v>
      </c>
      <c r="F119" s="22" t="s">
        <v>3725</v>
      </c>
      <c r="G119" s="22" t="s">
        <v>727</v>
      </c>
      <c r="H119" s="63" t="n">
        <v>237.08</v>
      </c>
      <c r="I119" s="22" t="s">
        <v>112</v>
      </c>
      <c r="J119" s="22"/>
      <c r="K119" s="63" t="n">
        <v>294.043543996286</v>
      </c>
      <c r="L119" s="22" t="s">
        <v>1508</v>
      </c>
      <c r="M119" s="22" t="n">
        <v>7</v>
      </c>
      <c r="N119" s="22" t="s">
        <v>3713</v>
      </c>
    </row>
    <row r="120" customFormat="false" ht="15" hidden="false" customHeight="false" outlineLevel="0" collapsed="false">
      <c r="A120" s="22" t="s">
        <v>3726</v>
      </c>
      <c r="B120" s="22" t="s">
        <v>3515</v>
      </c>
      <c r="C120" s="22" t="s">
        <v>3431</v>
      </c>
      <c r="D120" s="22" t="s">
        <v>3710</v>
      </c>
      <c r="E120" s="22" t="s">
        <v>3711</v>
      </c>
      <c r="F120" s="22" t="s">
        <v>3727</v>
      </c>
      <c r="G120" s="22" t="s">
        <v>727</v>
      </c>
      <c r="H120" s="63" t="n">
        <v>938.25</v>
      </c>
      <c r="I120" s="22" t="s">
        <v>112</v>
      </c>
      <c r="J120" s="22"/>
      <c r="K120" s="63" t="n">
        <v>1163.68464296657</v>
      </c>
      <c r="L120" s="22" t="s">
        <v>1508</v>
      </c>
      <c r="M120" s="22" t="n">
        <v>11</v>
      </c>
      <c r="N120" s="22" t="s">
        <v>3713</v>
      </c>
    </row>
    <row r="121" customFormat="false" ht="15" hidden="false" customHeight="false" outlineLevel="0" collapsed="false">
      <c r="A121" s="22" t="s">
        <v>3728</v>
      </c>
      <c r="B121" s="22" t="s">
        <v>3515</v>
      </c>
      <c r="C121" s="22" t="s">
        <v>3431</v>
      </c>
      <c r="D121" s="22" t="s">
        <v>3710</v>
      </c>
      <c r="E121" s="22" t="s">
        <v>3711</v>
      </c>
      <c r="F121" s="22" t="s">
        <v>3729</v>
      </c>
      <c r="G121" s="22" t="s">
        <v>727</v>
      </c>
      <c r="H121" s="63" t="n">
        <v>1557.63</v>
      </c>
      <c r="I121" s="22" t="s">
        <v>112</v>
      </c>
      <c r="J121" s="22"/>
      <c r="K121" s="63" t="n">
        <v>1931.88394396379</v>
      </c>
      <c r="L121" s="22" t="s">
        <v>1513</v>
      </c>
      <c r="M121" s="22" t="n">
        <v>9</v>
      </c>
      <c r="N121" s="22" t="s">
        <v>3713</v>
      </c>
    </row>
    <row r="122" customFormat="false" ht="15" hidden="false" customHeight="false" outlineLevel="0" collapsed="false">
      <c r="A122" s="22" t="s">
        <v>3730</v>
      </c>
      <c r="B122" s="22" t="s">
        <v>3515</v>
      </c>
      <c r="C122" s="22" t="s">
        <v>3431</v>
      </c>
      <c r="D122" s="22" t="s">
        <v>3710</v>
      </c>
      <c r="E122" s="22" t="s">
        <v>3711</v>
      </c>
      <c r="F122" s="22" t="s">
        <v>3731</v>
      </c>
      <c r="G122" s="22" t="s">
        <v>727</v>
      </c>
      <c r="H122" s="63" t="n">
        <v>813.64</v>
      </c>
      <c r="I122" s="22" t="s">
        <v>112</v>
      </c>
      <c r="J122" s="22"/>
      <c r="K122" s="63" t="n">
        <v>1009.13442355803</v>
      </c>
      <c r="L122" s="22" t="s">
        <v>1638</v>
      </c>
      <c r="M122" s="22" t="n">
        <v>2</v>
      </c>
      <c r="N122" s="22" t="s">
        <v>3713</v>
      </c>
    </row>
    <row r="123" customFormat="false" ht="15" hidden="false" customHeight="false" outlineLevel="0" collapsed="false">
      <c r="A123" s="22" t="s">
        <v>3732</v>
      </c>
      <c r="B123" s="22" t="s">
        <v>3515</v>
      </c>
      <c r="C123" s="22" t="s">
        <v>3431</v>
      </c>
      <c r="D123" s="22" t="s">
        <v>3710</v>
      </c>
      <c r="E123" s="22" t="s">
        <v>3711</v>
      </c>
      <c r="F123" s="22" t="s">
        <v>3733</v>
      </c>
      <c r="G123" s="22" t="s">
        <v>727</v>
      </c>
      <c r="H123" s="63" t="n">
        <v>1429.16</v>
      </c>
      <c r="I123" s="22" t="s">
        <v>112</v>
      </c>
      <c r="J123" s="22"/>
      <c r="K123" s="63" t="n">
        <v>1772.54627694336</v>
      </c>
      <c r="L123" s="22" t="s">
        <v>1638</v>
      </c>
      <c r="M123" s="22" t="n">
        <v>3</v>
      </c>
      <c r="N123" s="22" t="s">
        <v>3713</v>
      </c>
    </row>
    <row r="124" customFormat="false" ht="15" hidden="false" customHeight="false" outlineLevel="0" collapsed="false">
      <c r="A124" s="22" t="s">
        <v>3734</v>
      </c>
      <c r="B124" s="22" t="s">
        <v>3515</v>
      </c>
      <c r="C124" s="22" t="s">
        <v>3431</v>
      </c>
      <c r="D124" s="22" t="s">
        <v>3710</v>
      </c>
      <c r="E124" s="22" t="s">
        <v>3711</v>
      </c>
      <c r="F124" s="22" t="s">
        <v>3735</v>
      </c>
      <c r="G124" s="22" t="s">
        <v>727</v>
      </c>
      <c r="H124" s="63" t="n">
        <v>5833.2</v>
      </c>
      <c r="I124" s="22" t="s">
        <v>112</v>
      </c>
      <c r="J124" s="22"/>
      <c r="K124" s="63" t="n">
        <v>7234.75114239554</v>
      </c>
      <c r="L124" s="22" t="s">
        <v>1638</v>
      </c>
      <c r="M124" s="22" t="n">
        <v>1</v>
      </c>
      <c r="N124" s="22" t="s">
        <v>3713</v>
      </c>
    </row>
    <row r="125" customFormat="false" ht="15" hidden="false" customHeight="false" outlineLevel="0" collapsed="false">
      <c r="A125" s="22" t="s">
        <v>3736</v>
      </c>
      <c r="B125" s="22" t="s">
        <v>3515</v>
      </c>
      <c r="C125" s="22" t="s">
        <v>3431</v>
      </c>
      <c r="D125" s="22" t="s">
        <v>3710</v>
      </c>
      <c r="E125" s="22" t="s">
        <v>3711</v>
      </c>
      <c r="F125" s="22" t="s">
        <v>3737</v>
      </c>
      <c r="G125" s="22" t="s">
        <v>727</v>
      </c>
      <c r="H125" s="63" t="n">
        <v>21050</v>
      </c>
      <c r="I125" s="22" t="s">
        <v>112</v>
      </c>
      <c r="J125" s="22"/>
      <c r="K125" s="63" t="n">
        <v>26107.7130129991</v>
      </c>
      <c r="L125" s="22" t="s">
        <v>1508</v>
      </c>
      <c r="M125" s="22" t="n">
        <v>1</v>
      </c>
      <c r="N125" s="22" t="s">
        <v>3713</v>
      </c>
    </row>
    <row r="126" customFormat="false" ht="15" hidden="false" customHeight="false" outlineLevel="0" collapsed="false">
      <c r="A126" s="22" t="s">
        <v>3738</v>
      </c>
      <c r="B126" s="22" t="s">
        <v>3515</v>
      </c>
      <c r="C126" s="22" t="s">
        <v>3431</v>
      </c>
      <c r="D126" s="22" t="s">
        <v>3739</v>
      </c>
      <c r="E126" s="22" t="s">
        <v>3740</v>
      </c>
      <c r="F126" s="22" t="s">
        <v>3741</v>
      </c>
      <c r="G126" s="22" t="s">
        <v>853</v>
      </c>
      <c r="H126" s="63" t="n">
        <v>11.92</v>
      </c>
      <c r="I126" s="22" t="s">
        <v>113</v>
      </c>
      <c r="J126" s="22"/>
      <c r="K126" s="63" t="n">
        <v>12.3705423080488</v>
      </c>
      <c r="L126" s="22" t="s">
        <v>3209</v>
      </c>
      <c r="M126" s="22" t="n">
        <v>8</v>
      </c>
      <c r="N126" s="22" t="s">
        <v>3742</v>
      </c>
    </row>
    <row r="127" customFormat="false" ht="15" hidden="false" customHeight="false" outlineLevel="0" collapsed="false">
      <c r="A127" s="22" t="s">
        <v>3743</v>
      </c>
      <c r="B127" s="22" t="s">
        <v>3515</v>
      </c>
      <c r="C127" s="22" t="s">
        <v>3431</v>
      </c>
      <c r="D127" s="22" t="s">
        <v>3739</v>
      </c>
      <c r="E127" s="22" t="s">
        <v>3740</v>
      </c>
      <c r="F127" s="22" t="s">
        <v>3744</v>
      </c>
      <c r="G127" s="22" t="s">
        <v>727</v>
      </c>
      <c r="H127" s="63" t="n">
        <v>115.35</v>
      </c>
      <c r="I127" s="22" t="s">
        <v>113</v>
      </c>
      <c r="J127" s="22"/>
      <c r="K127" s="63" t="n">
        <v>119.709903962536</v>
      </c>
      <c r="L127" s="22" t="s">
        <v>3209</v>
      </c>
      <c r="M127" s="22" t="n">
        <v>13</v>
      </c>
      <c r="N127" s="22" t="s">
        <v>3742</v>
      </c>
    </row>
    <row r="128" customFormat="false" ht="15" hidden="false" customHeight="false" outlineLevel="0" collapsed="false">
      <c r="A128" s="22" t="s">
        <v>3745</v>
      </c>
      <c r="B128" s="22" t="s">
        <v>3515</v>
      </c>
      <c r="C128" s="22" t="s">
        <v>3431</v>
      </c>
      <c r="D128" s="22" t="s">
        <v>3739</v>
      </c>
      <c r="E128" s="22" t="s">
        <v>3740</v>
      </c>
      <c r="F128" s="22" t="s">
        <v>3746</v>
      </c>
      <c r="G128" s="22" t="s">
        <v>853</v>
      </c>
      <c r="H128" s="63" t="n">
        <v>1.45</v>
      </c>
      <c r="I128" s="22" t="s">
        <v>113</v>
      </c>
      <c r="J128" s="22"/>
      <c r="K128" s="63" t="n">
        <v>1.50480590156634</v>
      </c>
      <c r="L128" s="22" t="s">
        <v>3209</v>
      </c>
      <c r="M128" s="22" t="n">
        <v>11</v>
      </c>
      <c r="N128" s="22" t="s">
        <v>3742</v>
      </c>
    </row>
    <row r="129" customFormat="false" ht="15" hidden="false" customHeight="false" outlineLevel="0" collapsed="false">
      <c r="A129" s="22" t="s">
        <v>3747</v>
      </c>
      <c r="B129" s="22" t="s">
        <v>3515</v>
      </c>
      <c r="C129" s="22" t="s">
        <v>3431</v>
      </c>
      <c r="D129" s="22" t="s">
        <v>3739</v>
      </c>
      <c r="E129" s="22" t="s">
        <v>3740</v>
      </c>
      <c r="F129" s="22" t="s">
        <v>3748</v>
      </c>
      <c r="G129" s="22" t="s">
        <v>727</v>
      </c>
      <c r="H129" s="63" t="n">
        <v>1.19</v>
      </c>
      <c r="I129" s="22" t="s">
        <v>113</v>
      </c>
      <c r="J129" s="22"/>
      <c r="K129" s="63" t="n">
        <v>1.23497863645789</v>
      </c>
      <c r="L129" s="22" t="s">
        <v>3209</v>
      </c>
      <c r="M129" s="22" t="n">
        <v>1</v>
      </c>
      <c r="N129" s="22" t="s">
        <v>3742</v>
      </c>
    </row>
    <row r="130" customFormat="false" ht="15" hidden="false" customHeight="false" outlineLevel="0" collapsed="false">
      <c r="A130" s="22" t="s">
        <v>3749</v>
      </c>
      <c r="B130" s="22" t="s">
        <v>3515</v>
      </c>
      <c r="C130" s="22" t="s">
        <v>3431</v>
      </c>
      <c r="D130" s="22" t="s">
        <v>3739</v>
      </c>
      <c r="E130" s="22" t="s">
        <v>3740</v>
      </c>
      <c r="F130" s="22" t="s">
        <v>3750</v>
      </c>
      <c r="G130" s="22" t="s">
        <v>727</v>
      </c>
      <c r="H130" s="63" t="n">
        <v>40.7</v>
      </c>
      <c r="I130" s="22" t="s">
        <v>113</v>
      </c>
      <c r="J130" s="22"/>
      <c r="K130" s="63" t="n">
        <v>42.2383449612069</v>
      </c>
      <c r="L130" s="22" t="s">
        <v>3209</v>
      </c>
      <c r="M130" s="22" t="n">
        <v>6</v>
      </c>
      <c r="N130" s="22" t="s">
        <v>3742</v>
      </c>
    </row>
    <row r="131" customFormat="false" ht="15" hidden="false" customHeight="false" outlineLevel="0" collapsed="false">
      <c r="A131" s="22" t="s">
        <v>3751</v>
      </c>
      <c r="B131" s="22" t="s">
        <v>3515</v>
      </c>
      <c r="C131" s="22" t="s">
        <v>3431</v>
      </c>
      <c r="D131" s="22" t="s">
        <v>3739</v>
      </c>
      <c r="E131" s="22" t="s">
        <v>3740</v>
      </c>
      <c r="F131" s="22" t="s">
        <v>3752</v>
      </c>
      <c r="G131" s="22" t="s">
        <v>727</v>
      </c>
      <c r="H131" s="63" t="n">
        <v>75.15</v>
      </c>
      <c r="I131" s="22" t="s">
        <v>113</v>
      </c>
      <c r="J131" s="22"/>
      <c r="K131" s="63" t="n">
        <v>77.9904575880761</v>
      </c>
      <c r="L131" s="22" t="s">
        <v>3209</v>
      </c>
      <c r="M131" s="22" t="n">
        <v>8</v>
      </c>
      <c r="N131" s="22" t="s">
        <v>3742</v>
      </c>
    </row>
    <row r="132" customFormat="false" ht="15" hidden="false" customHeight="false" outlineLevel="0" collapsed="false">
      <c r="A132" s="22" t="s">
        <v>3753</v>
      </c>
      <c r="B132" s="22" t="s">
        <v>3515</v>
      </c>
      <c r="C132" s="22" t="s">
        <v>3431</v>
      </c>
      <c r="D132" s="22" t="s">
        <v>3754</v>
      </c>
      <c r="E132" s="22" t="s">
        <v>3755</v>
      </c>
      <c r="F132" s="22" t="s">
        <v>3756</v>
      </c>
      <c r="G132" s="22" t="s">
        <v>853</v>
      </c>
      <c r="H132" s="63" t="n">
        <v>3.7</v>
      </c>
      <c r="I132" s="22" t="s">
        <v>113</v>
      </c>
      <c r="J132" s="22"/>
      <c r="K132" s="63" t="n">
        <v>3.88930487835588</v>
      </c>
      <c r="L132" s="22" t="s">
        <v>3237</v>
      </c>
      <c r="M132" s="22" t="n">
        <v>8</v>
      </c>
      <c r="N132" s="22" t="s">
        <v>3757</v>
      </c>
    </row>
    <row r="133" customFormat="false" ht="15" hidden="false" customHeight="false" outlineLevel="0" collapsed="false">
      <c r="A133" s="22" t="s">
        <v>3758</v>
      </c>
      <c r="B133" s="22" t="s">
        <v>3515</v>
      </c>
      <c r="C133" s="22" t="s">
        <v>3431</v>
      </c>
      <c r="D133" s="22" t="s">
        <v>3754</v>
      </c>
      <c r="E133" s="22" t="s">
        <v>3755</v>
      </c>
      <c r="F133" s="22" t="s">
        <v>3759</v>
      </c>
      <c r="G133" s="22" t="s">
        <v>853</v>
      </c>
      <c r="H133" s="63" t="n">
        <v>7.93</v>
      </c>
      <c r="I133" s="22" t="s">
        <v>113</v>
      </c>
      <c r="J133" s="22"/>
      <c r="K133" s="63" t="n">
        <v>8.33572640144922</v>
      </c>
      <c r="L133" s="22" t="s">
        <v>3237</v>
      </c>
      <c r="M133" s="22" t="n">
        <v>1</v>
      </c>
      <c r="N133" s="22" t="s">
        <v>3757</v>
      </c>
    </row>
    <row r="134" customFormat="false" ht="15" hidden="false" customHeight="false" outlineLevel="0" collapsed="false">
      <c r="A134" s="22" t="s">
        <v>3760</v>
      </c>
      <c r="B134" s="22" t="s">
        <v>3515</v>
      </c>
      <c r="C134" s="22" t="s">
        <v>3431</v>
      </c>
      <c r="D134" s="22" t="s">
        <v>3754</v>
      </c>
      <c r="E134" s="22" t="s">
        <v>3755</v>
      </c>
      <c r="F134" s="22" t="s">
        <v>3761</v>
      </c>
      <c r="G134" s="22" t="s">
        <v>853</v>
      </c>
      <c r="H134" s="63" t="n">
        <v>19.72</v>
      </c>
      <c r="I134" s="22" t="s">
        <v>113</v>
      </c>
      <c r="J134" s="22"/>
      <c r="K134" s="63" t="n">
        <v>20.7289438381562</v>
      </c>
      <c r="L134" s="22" t="s">
        <v>3237</v>
      </c>
      <c r="M134" s="22" t="n">
        <v>1</v>
      </c>
      <c r="N134" s="22" t="s">
        <v>3757</v>
      </c>
    </row>
    <row r="135" customFormat="false" ht="15" hidden="false" customHeight="false" outlineLevel="0" collapsed="false">
      <c r="A135" s="22" t="s">
        <v>3762</v>
      </c>
      <c r="B135" s="22" t="s">
        <v>3515</v>
      </c>
      <c r="C135" s="22" t="s">
        <v>3431</v>
      </c>
      <c r="D135" s="22" t="s">
        <v>3754</v>
      </c>
      <c r="E135" s="22" t="s">
        <v>3755</v>
      </c>
      <c r="F135" s="22" t="s">
        <v>3763</v>
      </c>
      <c r="G135" s="22" t="s">
        <v>853</v>
      </c>
      <c r="H135" s="63" t="n">
        <v>8.92</v>
      </c>
      <c r="I135" s="22" t="s">
        <v>113</v>
      </c>
      <c r="J135" s="22"/>
      <c r="K135" s="63" t="n">
        <v>9.37637824727957</v>
      </c>
      <c r="L135" s="22" t="s">
        <v>3237</v>
      </c>
      <c r="M135" s="22" t="n">
        <v>6</v>
      </c>
      <c r="N135" s="22" t="s">
        <v>3757</v>
      </c>
    </row>
    <row r="136" customFormat="false" ht="15" hidden="false" customHeight="false" outlineLevel="0" collapsed="false">
      <c r="A136" s="22" t="s">
        <v>3764</v>
      </c>
      <c r="B136" s="22" t="s">
        <v>3765</v>
      </c>
      <c r="C136" s="22" t="s">
        <v>3431</v>
      </c>
      <c r="D136" s="22" t="s">
        <v>3766</v>
      </c>
      <c r="E136" s="22" t="s">
        <v>3767</v>
      </c>
      <c r="F136" s="22" t="s">
        <v>3768</v>
      </c>
      <c r="G136" s="22" t="s">
        <v>727</v>
      </c>
      <c r="H136" s="63" t="n">
        <v>16042</v>
      </c>
      <c r="I136" s="22" t="s">
        <v>113</v>
      </c>
      <c r="J136" s="22"/>
      <c r="K136" s="63" t="n">
        <v>19106.0756219885</v>
      </c>
      <c r="L136" s="22" t="s">
        <v>3153</v>
      </c>
      <c r="M136" s="22" t="n">
        <v>1</v>
      </c>
      <c r="N136" s="22" t="s">
        <v>3769</v>
      </c>
    </row>
    <row r="137" customFormat="false" ht="15" hidden="false" customHeight="false" outlineLevel="0" collapsed="false">
      <c r="A137" s="22" t="s">
        <v>3770</v>
      </c>
      <c r="B137" s="22" t="s">
        <v>3765</v>
      </c>
      <c r="C137" s="22" t="s">
        <v>3431</v>
      </c>
      <c r="D137" s="22" t="s">
        <v>3771</v>
      </c>
      <c r="E137" s="22" t="s">
        <v>3772</v>
      </c>
      <c r="F137" s="22" t="s">
        <v>3773</v>
      </c>
      <c r="G137" s="22" t="s">
        <v>727</v>
      </c>
      <c r="H137" s="63" t="n">
        <v>34700</v>
      </c>
      <c r="I137" s="22" t="s">
        <v>112</v>
      </c>
      <c r="J137" s="22"/>
      <c r="K137" s="63" t="n">
        <v>46152.841591158</v>
      </c>
      <c r="L137" s="22" t="s">
        <v>3169</v>
      </c>
      <c r="M137" s="22" t="n">
        <v>1</v>
      </c>
      <c r="N137" s="22" t="s">
        <v>3774</v>
      </c>
    </row>
    <row r="138" customFormat="false" ht="15" hidden="false" customHeight="false" outlineLevel="0" collapsed="false">
      <c r="A138" s="22" t="s">
        <v>3775</v>
      </c>
      <c r="B138" s="22" t="s">
        <v>3765</v>
      </c>
      <c r="C138" s="22" t="s">
        <v>3431</v>
      </c>
      <c r="D138" s="22" t="s">
        <v>3776</v>
      </c>
      <c r="E138" s="22" t="s">
        <v>3777</v>
      </c>
      <c r="F138" s="22" t="s">
        <v>3778</v>
      </c>
      <c r="G138" s="22" t="s">
        <v>727</v>
      </c>
      <c r="H138" s="63" t="n">
        <v>48136.66</v>
      </c>
      <c r="I138" s="22" t="s">
        <v>112</v>
      </c>
      <c r="J138" s="22"/>
      <c r="K138" s="63" t="n">
        <v>64024.3124987733</v>
      </c>
      <c r="L138" s="22" t="s">
        <v>3169</v>
      </c>
      <c r="M138" s="22" t="n">
        <v>1</v>
      </c>
      <c r="N138" s="22" t="s">
        <v>3779</v>
      </c>
    </row>
    <row r="139" customFormat="false" ht="15" hidden="false" customHeight="false" outlineLevel="0" collapsed="false">
      <c r="A139" s="22" t="s">
        <v>3780</v>
      </c>
      <c r="B139" s="22" t="s">
        <v>3765</v>
      </c>
      <c r="C139" s="22" t="s">
        <v>3431</v>
      </c>
      <c r="D139" s="22" t="s">
        <v>3776</v>
      </c>
      <c r="E139" s="22" t="s">
        <v>3777</v>
      </c>
      <c r="F139" s="22" t="s">
        <v>3781</v>
      </c>
      <c r="G139" s="22" t="s">
        <v>727</v>
      </c>
      <c r="H139" s="63" t="n">
        <v>15649.96</v>
      </c>
      <c r="I139" s="22" t="s">
        <v>112</v>
      </c>
      <c r="J139" s="22"/>
      <c r="K139" s="63" t="n">
        <v>20815.2773714109</v>
      </c>
      <c r="L139" s="22" t="s">
        <v>3177</v>
      </c>
      <c r="M139" s="22" t="n">
        <v>2</v>
      </c>
      <c r="N139" s="22" t="s">
        <v>3779</v>
      </c>
    </row>
    <row r="140" customFormat="false" ht="15" hidden="false" customHeight="false" outlineLevel="0" collapsed="false">
      <c r="A140" s="22" t="s">
        <v>3782</v>
      </c>
      <c r="B140" s="22" t="s">
        <v>3765</v>
      </c>
      <c r="C140" s="22" t="s">
        <v>3431</v>
      </c>
      <c r="D140" s="22" t="s">
        <v>3776</v>
      </c>
      <c r="E140" s="22" t="s">
        <v>3777</v>
      </c>
      <c r="F140" s="22" t="s">
        <v>3783</v>
      </c>
      <c r="G140" s="22" t="s">
        <v>816</v>
      </c>
      <c r="H140" s="63" t="n">
        <v>385093.31</v>
      </c>
      <c r="I140" s="22" t="s">
        <v>112</v>
      </c>
      <c r="J140" s="22"/>
      <c r="K140" s="63" t="n">
        <v>512194.539891778</v>
      </c>
      <c r="L140" s="22" t="s">
        <v>3073</v>
      </c>
      <c r="M140" s="22" t="n">
        <v>1</v>
      </c>
      <c r="N140" s="22" t="s">
        <v>3779</v>
      </c>
    </row>
    <row r="141" customFormat="false" ht="15" hidden="false" customHeight="false" outlineLevel="0" collapsed="false">
      <c r="A141" s="22" t="s">
        <v>3784</v>
      </c>
      <c r="B141" s="22" t="s">
        <v>3785</v>
      </c>
      <c r="C141" s="22" t="s">
        <v>3478</v>
      </c>
      <c r="D141" s="22" t="s">
        <v>3786</v>
      </c>
      <c r="E141" s="22" t="s">
        <v>3787</v>
      </c>
      <c r="F141" s="22" t="s">
        <v>3788</v>
      </c>
      <c r="G141" s="22" t="s">
        <v>853</v>
      </c>
      <c r="H141" s="63" t="n">
        <v>2.26</v>
      </c>
      <c r="I141" s="22" t="s">
        <v>601</v>
      </c>
      <c r="J141" s="22"/>
      <c r="K141" s="63" t="n">
        <v>1.02698461792862</v>
      </c>
      <c r="L141" s="22" t="s">
        <v>1202</v>
      </c>
      <c r="M141" s="22" t="n">
        <v>34</v>
      </c>
      <c r="N141" s="22" t="s">
        <v>3789</v>
      </c>
    </row>
    <row r="142" customFormat="false" ht="15" hidden="false" customHeight="false" outlineLevel="0" collapsed="false">
      <c r="A142" s="22" t="s">
        <v>3790</v>
      </c>
      <c r="B142" s="22" t="s">
        <v>3785</v>
      </c>
      <c r="C142" s="22" t="s">
        <v>3478</v>
      </c>
      <c r="D142" s="22" t="s">
        <v>3786</v>
      </c>
      <c r="E142" s="22" t="s">
        <v>3787</v>
      </c>
      <c r="F142" s="22" t="s">
        <v>3791</v>
      </c>
      <c r="G142" s="22" t="s">
        <v>853</v>
      </c>
      <c r="H142" s="63" t="n">
        <v>3.46</v>
      </c>
      <c r="I142" s="22" t="s">
        <v>601</v>
      </c>
      <c r="J142" s="22"/>
      <c r="K142" s="63" t="n">
        <v>1.57228618497036</v>
      </c>
      <c r="L142" s="22" t="s">
        <v>1202</v>
      </c>
      <c r="M142" s="22" t="n">
        <v>9</v>
      </c>
      <c r="N142" s="22" t="s">
        <v>3789</v>
      </c>
    </row>
    <row r="143" customFormat="false" ht="15" hidden="false" customHeight="false" outlineLevel="0" collapsed="false">
      <c r="A143" s="22" t="s">
        <v>3792</v>
      </c>
      <c r="B143" s="22" t="s">
        <v>3785</v>
      </c>
      <c r="C143" s="22" t="s">
        <v>3478</v>
      </c>
      <c r="D143" s="22" t="s">
        <v>3786</v>
      </c>
      <c r="E143" s="22" t="s">
        <v>3787</v>
      </c>
      <c r="F143" s="22" t="s">
        <v>3793</v>
      </c>
      <c r="G143" s="22" t="s">
        <v>853</v>
      </c>
      <c r="H143" s="63" t="n">
        <v>5.62</v>
      </c>
      <c r="I143" s="22" t="s">
        <v>601</v>
      </c>
      <c r="J143" s="22"/>
      <c r="K143" s="63" t="n">
        <v>2.5538290056455</v>
      </c>
      <c r="L143" s="22" t="s">
        <v>3237</v>
      </c>
      <c r="M143" s="22" t="n">
        <v>24</v>
      </c>
      <c r="N143" s="22" t="s">
        <v>3789</v>
      </c>
    </row>
    <row r="144" customFormat="false" ht="15" hidden="false" customHeight="false" outlineLevel="0" collapsed="false">
      <c r="A144" s="22" t="s">
        <v>3794</v>
      </c>
      <c r="B144" s="22" t="s">
        <v>3785</v>
      </c>
      <c r="C144" s="22" t="s">
        <v>3478</v>
      </c>
      <c r="D144" s="22" t="s">
        <v>3786</v>
      </c>
      <c r="E144" s="22" t="s">
        <v>3787</v>
      </c>
      <c r="F144" s="22" t="s">
        <v>3795</v>
      </c>
      <c r="G144" s="22" t="s">
        <v>853</v>
      </c>
      <c r="H144" s="63" t="n">
        <v>24.22</v>
      </c>
      <c r="I144" s="22" t="s">
        <v>601</v>
      </c>
      <c r="J144" s="22"/>
      <c r="K144" s="63" t="n">
        <v>11.0060032947925</v>
      </c>
      <c r="L144" s="22" t="s">
        <v>3237</v>
      </c>
      <c r="M144" s="22" t="n">
        <v>1</v>
      </c>
      <c r="N144" s="22" t="s">
        <v>3789</v>
      </c>
    </row>
    <row r="145" customFormat="false" ht="15" hidden="false" customHeight="false" outlineLevel="0" collapsed="false">
      <c r="A145" s="22" t="s">
        <v>3796</v>
      </c>
      <c r="B145" s="22" t="s">
        <v>3785</v>
      </c>
      <c r="C145" s="22" t="s">
        <v>3478</v>
      </c>
      <c r="D145" s="22" t="s">
        <v>3797</v>
      </c>
      <c r="E145" s="22" t="s">
        <v>3798</v>
      </c>
      <c r="F145" s="22" t="s">
        <v>3799</v>
      </c>
      <c r="G145" s="22" t="s">
        <v>3800</v>
      </c>
      <c r="H145" s="63" t="n">
        <v>5.68</v>
      </c>
      <c r="I145" s="22" t="s">
        <v>601</v>
      </c>
      <c r="J145" s="22"/>
      <c r="K145" s="63" t="n">
        <v>2.47982007048673</v>
      </c>
      <c r="L145" s="22" t="s">
        <v>1202</v>
      </c>
      <c r="M145" s="22" t="n">
        <v>8</v>
      </c>
      <c r="N145" s="22" t="s">
        <v>3801</v>
      </c>
    </row>
    <row r="146" customFormat="false" ht="15" hidden="false" customHeight="false" outlineLevel="0" collapsed="false">
      <c r="A146" s="22" t="s">
        <v>3802</v>
      </c>
      <c r="B146" s="22" t="s">
        <v>3785</v>
      </c>
      <c r="C146" s="22" t="s">
        <v>3478</v>
      </c>
      <c r="D146" s="22" t="s">
        <v>3797</v>
      </c>
      <c r="E146" s="22" t="s">
        <v>3798</v>
      </c>
      <c r="F146" s="22" t="s">
        <v>3803</v>
      </c>
      <c r="G146" s="22" t="s">
        <v>3800</v>
      </c>
      <c r="H146" s="63" t="n">
        <v>9.09</v>
      </c>
      <c r="I146" s="22" t="s">
        <v>601</v>
      </c>
      <c r="J146" s="22"/>
      <c r="K146" s="63" t="n">
        <v>3.96858528885993</v>
      </c>
      <c r="L146" s="22" t="s">
        <v>3237</v>
      </c>
      <c r="M146" s="22" t="n">
        <v>11</v>
      </c>
      <c r="N146" s="22" t="s">
        <v>3804</v>
      </c>
    </row>
    <row r="147" customFormat="false" ht="15" hidden="false" customHeight="false" outlineLevel="0" collapsed="false">
      <c r="A147" s="22" t="s">
        <v>3805</v>
      </c>
      <c r="B147" s="22" t="s">
        <v>3785</v>
      </c>
      <c r="C147" s="22" t="s">
        <v>3478</v>
      </c>
      <c r="D147" s="22" t="s">
        <v>3797</v>
      </c>
      <c r="E147" s="22" t="s">
        <v>3798</v>
      </c>
      <c r="F147" s="22" t="s">
        <v>3806</v>
      </c>
      <c r="G147" s="22" t="s">
        <v>748</v>
      </c>
      <c r="H147" s="63" t="n">
        <v>21.05</v>
      </c>
      <c r="I147" s="22" t="s">
        <v>601</v>
      </c>
      <c r="J147" s="22"/>
      <c r="K147" s="63" t="n">
        <v>9.19017825418059</v>
      </c>
      <c r="L147" s="22" t="s">
        <v>3140</v>
      </c>
      <c r="M147" s="22" t="n">
        <v>2</v>
      </c>
      <c r="N147" s="22" t="s">
        <v>3807</v>
      </c>
    </row>
    <row r="148" customFormat="false" ht="15" hidden="false" customHeight="false" outlineLevel="0" collapsed="false">
      <c r="A148" s="22" t="s">
        <v>3808</v>
      </c>
      <c r="B148" s="22" t="s">
        <v>3785</v>
      </c>
      <c r="C148" s="22" t="s">
        <v>3478</v>
      </c>
      <c r="D148" s="22" t="s">
        <v>3797</v>
      </c>
      <c r="E148" s="22" t="s">
        <v>3798</v>
      </c>
      <c r="F148" s="22" t="s">
        <v>3809</v>
      </c>
      <c r="G148" s="22" t="s">
        <v>748</v>
      </c>
      <c r="H148" s="63" t="n">
        <v>24.94</v>
      </c>
      <c r="I148" s="22" t="s">
        <v>601</v>
      </c>
      <c r="J148" s="22"/>
      <c r="K148" s="63" t="n">
        <v>10.8885057320315</v>
      </c>
      <c r="L148" s="22" t="s">
        <v>3077</v>
      </c>
      <c r="M148" s="22" t="n">
        <v>1</v>
      </c>
      <c r="N148" s="22" t="s">
        <v>3807</v>
      </c>
    </row>
    <row r="149" customFormat="false" ht="15" hidden="false" customHeight="false" outlineLevel="0" collapsed="false">
      <c r="A149" s="22" t="s">
        <v>3810</v>
      </c>
      <c r="B149" s="22" t="s">
        <v>3785</v>
      </c>
      <c r="C149" s="22" t="s">
        <v>3478</v>
      </c>
      <c r="D149" s="22" t="s">
        <v>3797</v>
      </c>
      <c r="E149" s="22" t="s">
        <v>3798</v>
      </c>
      <c r="F149" s="22" t="s">
        <v>3811</v>
      </c>
      <c r="G149" s="22" t="s">
        <v>748</v>
      </c>
      <c r="H149" s="63" t="n">
        <v>39.6</v>
      </c>
      <c r="I149" s="22" t="s">
        <v>601</v>
      </c>
      <c r="J149" s="22"/>
      <c r="K149" s="63" t="n">
        <v>17.2888864069146</v>
      </c>
      <c r="L149" s="22" t="s">
        <v>3092</v>
      </c>
      <c r="M149" s="22" t="n">
        <v>2</v>
      </c>
      <c r="N149" s="22" t="s">
        <v>3807</v>
      </c>
    </row>
    <row r="150" customFormat="false" ht="15" hidden="false" customHeight="false" outlineLevel="0" collapsed="false">
      <c r="A150" s="22" t="s">
        <v>3812</v>
      </c>
      <c r="B150" s="22" t="s">
        <v>3785</v>
      </c>
      <c r="C150" s="22" t="s">
        <v>3478</v>
      </c>
      <c r="D150" s="22" t="s">
        <v>3797</v>
      </c>
      <c r="E150" s="22" t="s">
        <v>3798</v>
      </c>
      <c r="F150" s="22" t="s">
        <v>3813</v>
      </c>
      <c r="G150" s="22" t="s">
        <v>727</v>
      </c>
      <c r="H150" s="63" t="n">
        <v>4850</v>
      </c>
      <c r="I150" s="22" t="s">
        <v>601</v>
      </c>
      <c r="J150" s="22"/>
      <c r="K150" s="63" t="n">
        <v>2117.45199680645</v>
      </c>
      <c r="L150" s="22" t="s">
        <v>3173</v>
      </c>
      <c r="M150" s="22" t="n">
        <v>1</v>
      </c>
      <c r="N150" s="22" t="s">
        <v>3801</v>
      </c>
    </row>
    <row r="151" customFormat="false" ht="15" hidden="false" customHeight="false" outlineLevel="0" collapsed="false">
      <c r="A151" s="22" t="s">
        <v>3814</v>
      </c>
      <c r="B151" s="22" t="s">
        <v>3785</v>
      </c>
      <c r="C151" s="22" t="s">
        <v>3478</v>
      </c>
      <c r="D151" s="22" t="s">
        <v>3797</v>
      </c>
      <c r="E151" s="22" t="s">
        <v>3798</v>
      </c>
      <c r="F151" s="22" t="s">
        <v>3815</v>
      </c>
      <c r="G151" s="22" t="s">
        <v>727</v>
      </c>
      <c r="H151" s="63" t="n">
        <v>6150</v>
      </c>
      <c r="I151" s="22" t="s">
        <v>601</v>
      </c>
      <c r="J151" s="22"/>
      <c r="K151" s="63" t="n">
        <v>2685.0164495587</v>
      </c>
      <c r="L151" s="22" t="s">
        <v>3173</v>
      </c>
      <c r="M151" s="22" t="n">
        <v>1</v>
      </c>
      <c r="N151" s="22" t="s">
        <v>3801</v>
      </c>
    </row>
    <row r="152" customFormat="false" ht="15" hidden="false" customHeight="false" outlineLevel="0" collapsed="false">
      <c r="A152" s="22" t="s">
        <v>3816</v>
      </c>
      <c r="B152" s="22" t="s">
        <v>3785</v>
      </c>
      <c r="C152" s="22" t="s">
        <v>3478</v>
      </c>
      <c r="D152" s="22" t="s">
        <v>3797</v>
      </c>
      <c r="E152" s="22" t="s">
        <v>3798</v>
      </c>
      <c r="F152" s="22" t="s">
        <v>3817</v>
      </c>
      <c r="G152" s="22" t="s">
        <v>727</v>
      </c>
      <c r="H152" s="63" t="n">
        <v>9970</v>
      </c>
      <c r="I152" s="22" t="s">
        <v>601</v>
      </c>
      <c r="J152" s="22"/>
      <c r="K152" s="63" t="n">
        <v>4352.78276456915</v>
      </c>
      <c r="L152" s="22" t="s">
        <v>3173</v>
      </c>
      <c r="M152" s="22" t="n">
        <v>1</v>
      </c>
      <c r="N152" s="22" t="s">
        <v>3801</v>
      </c>
    </row>
    <row r="153" customFormat="false" ht="15" hidden="false" customHeight="false" outlineLevel="0" collapsed="false">
      <c r="A153" s="22" t="s">
        <v>3818</v>
      </c>
      <c r="B153" s="22" t="s">
        <v>3785</v>
      </c>
      <c r="C153" s="22" t="s">
        <v>3478</v>
      </c>
      <c r="D153" s="22" t="s">
        <v>3797</v>
      </c>
      <c r="E153" s="22" t="s">
        <v>3798</v>
      </c>
      <c r="F153" s="22" t="s">
        <v>3819</v>
      </c>
      <c r="G153" s="22" t="s">
        <v>727</v>
      </c>
      <c r="H153" s="63" t="n">
        <v>205.92</v>
      </c>
      <c r="I153" s="22" t="s">
        <v>601</v>
      </c>
      <c r="J153" s="22"/>
      <c r="K153" s="63" t="n">
        <v>89.9022093159557</v>
      </c>
      <c r="L153" s="22" t="s">
        <v>1202</v>
      </c>
      <c r="M153" s="22" t="n">
        <v>7</v>
      </c>
      <c r="N153" s="22" t="s">
        <v>3820</v>
      </c>
    </row>
    <row r="154" customFormat="false" ht="15" hidden="false" customHeight="false" outlineLevel="0" collapsed="false">
      <c r="A154" s="22" t="s">
        <v>3821</v>
      </c>
      <c r="B154" s="22" t="s">
        <v>3785</v>
      </c>
      <c r="C154" s="22" t="s">
        <v>3478</v>
      </c>
      <c r="D154" s="22" t="s">
        <v>3797</v>
      </c>
      <c r="E154" s="22" t="s">
        <v>3798</v>
      </c>
      <c r="F154" s="22" t="s">
        <v>3822</v>
      </c>
      <c r="G154" s="22" t="s">
        <v>3823</v>
      </c>
      <c r="H154" s="63" t="n">
        <v>42.9</v>
      </c>
      <c r="I154" s="22" t="s">
        <v>601</v>
      </c>
      <c r="J154" s="22"/>
      <c r="K154" s="63" t="n">
        <v>18.7296269408241</v>
      </c>
      <c r="L154" s="22" t="s">
        <v>3115</v>
      </c>
      <c r="M154" s="22" t="n">
        <v>2</v>
      </c>
      <c r="N154" s="22" t="s">
        <v>3801</v>
      </c>
    </row>
    <row r="155" customFormat="false" ht="15" hidden="false" customHeight="false" outlineLevel="0" collapsed="false">
      <c r="A155" s="22" t="s">
        <v>3824</v>
      </c>
      <c r="B155" s="22" t="s">
        <v>3785</v>
      </c>
      <c r="C155" s="22" t="s">
        <v>3478</v>
      </c>
      <c r="D155" s="22" t="s">
        <v>3797</v>
      </c>
      <c r="E155" s="22" t="s">
        <v>3798</v>
      </c>
      <c r="F155" s="22" t="s">
        <v>3825</v>
      </c>
      <c r="G155" s="22" t="s">
        <v>727</v>
      </c>
      <c r="H155" s="63" t="n">
        <v>82400</v>
      </c>
      <c r="I155" s="22" t="s">
        <v>601</v>
      </c>
      <c r="J155" s="22"/>
      <c r="K155" s="63" t="n">
        <v>35974.8545436808</v>
      </c>
      <c r="L155" s="22" t="s">
        <v>3177</v>
      </c>
      <c r="M155" s="22" t="n">
        <v>2</v>
      </c>
      <c r="N155" s="22" t="s">
        <v>3826</v>
      </c>
    </row>
    <row r="156" customFormat="false" ht="15" hidden="false" customHeight="false" outlineLevel="0" collapsed="false">
      <c r="A156" s="22" t="s">
        <v>3827</v>
      </c>
      <c r="B156" s="22" t="s">
        <v>3785</v>
      </c>
      <c r="C156" s="22" t="s">
        <v>3478</v>
      </c>
      <c r="D156" s="22" t="s">
        <v>3797</v>
      </c>
      <c r="E156" s="22" t="s">
        <v>3798</v>
      </c>
      <c r="F156" s="22" t="s">
        <v>3828</v>
      </c>
      <c r="G156" s="22" t="s">
        <v>727</v>
      </c>
      <c r="H156" s="63" t="n">
        <v>102250</v>
      </c>
      <c r="I156" s="22" t="s">
        <v>601</v>
      </c>
      <c r="J156" s="22"/>
      <c r="K156" s="63" t="n">
        <v>44641.127149167</v>
      </c>
      <c r="L156" s="22" t="s">
        <v>3177</v>
      </c>
      <c r="M156" s="22" t="n">
        <v>2</v>
      </c>
      <c r="N156" s="22" t="s">
        <v>3826</v>
      </c>
    </row>
    <row r="157" customFormat="false" ht="15" hidden="false" customHeight="false" outlineLevel="0" collapsed="false">
      <c r="A157" s="22" t="s">
        <v>3829</v>
      </c>
      <c r="B157" s="22" t="s">
        <v>3785</v>
      </c>
      <c r="C157" s="22" t="s">
        <v>3478</v>
      </c>
      <c r="D157" s="22" t="s">
        <v>3797</v>
      </c>
      <c r="E157" s="22" t="s">
        <v>3798</v>
      </c>
      <c r="F157" s="22" t="s">
        <v>3830</v>
      </c>
      <c r="G157" s="22" t="s">
        <v>727</v>
      </c>
      <c r="H157" s="63" t="n">
        <v>96800</v>
      </c>
      <c r="I157" s="22" t="s">
        <v>601</v>
      </c>
      <c r="J157" s="22"/>
      <c r="K157" s="63" t="n">
        <v>42261.7223280134</v>
      </c>
      <c r="L157" s="22" t="s">
        <v>3177</v>
      </c>
      <c r="M157" s="22" t="n">
        <v>2</v>
      </c>
      <c r="N157" s="22" t="s">
        <v>3826</v>
      </c>
    </row>
    <row r="158" customFormat="false" ht="15" hidden="false" customHeight="false" outlineLevel="0" collapsed="false">
      <c r="A158" s="22" t="s">
        <v>3831</v>
      </c>
      <c r="B158" s="22" t="s">
        <v>3785</v>
      </c>
      <c r="C158" s="22" t="s">
        <v>3478</v>
      </c>
      <c r="D158" s="22" t="s">
        <v>3797</v>
      </c>
      <c r="E158" s="22" t="s">
        <v>3798</v>
      </c>
      <c r="F158" s="22" t="s">
        <v>3832</v>
      </c>
      <c r="G158" s="22" t="s">
        <v>727</v>
      </c>
      <c r="H158" s="63" t="n">
        <v>69900</v>
      </c>
      <c r="I158" s="22" t="s">
        <v>601</v>
      </c>
      <c r="J158" s="22"/>
      <c r="K158" s="63" t="n">
        <v>30517.5040364477</v>
      </c>
      <c r="L158" s="22" t="s">
        <v>3137</v>
      </c>
      <c r="M158" s="22" t="n">
        <v>1</v>
      </c>
      <c r="N158" s="22" t="s">
        <v>3826</v>
      </c>
    </row>
    <row r="159" customFormat="false" ht="15" hidden="false" customHeight="false" outlineLevel="0" collapsed="false">
      <c r="A159" s="22" t="s">
        <v>3833</v>
      </c>
      <c r="B159" s="22" t="s">
        <v>3785</v>
      </c>
      <c r="C159" s="22" t="s">
        <v>3478</v>
      </c>
      <c r="D159" s="22" t="s">
        <v>3797</v>
      </c>
      <c r="E159" s="22" t="s">
        <v>3798</v>
      </c>
      <c r="F159" s="22" t="s">
        <v>3834</v>
      </c>
      <c r="G159" s="22" t="s">
        <v>727</v>
      </c>
      <c r="H159" s="63" t="n">
        <v>44100</v>
      </c>
      <c r="I159" s="22" t="s">
        <v>601</v>
      </c>
      <c r="J159" s="22"/>
      <c r="K159" s="63" t="n">
        <v>19253.5325895185</v>
      </c>
      <c r="L159" s="22" t="s">
        <v>3153</v>
      </c>
      <c r="M159" s="22" t="n">
        <v>1</v>
      </c>
      <c r="N159" s="22" t="s">
        <v>3826</v>
      </c>
    </row>
    <row r="160" customFormat="false" ht="15" hidden="false" customHeight="false" outlineLevel="0" collapsed="false">
      <c r="A160" s="22" t="s">
        <v>3835</v>
      </c>
      <c r="B160" s="22" t="s">
        <v>3785</v>
      </c>
      <c r="C160" s="22" t="s">
        <v>3478</v>
      </c>
      <c r="D160" s="22" t="s">
        <v>3797</v>
      </c>
      <c r="E160" s="22" t="s">
        <v>3798</v>
      </c>
      <c r="F160" s="22" t="s">
        <v>3836</v>
      </c>
      <c r="G160" s="22" t="s">
        <v>727</v>
      </c>
      <c r="H160" s="63" t="n">
        <v>31000</v>
      </c>
      <c r="I160" s="22" t="s">
        <v>601</v>
      </c>
      <c r="J160" s="22"/>
      <c r="K160" s="63" t="n">
        <v>13534.2292579382</v>
      </c>
      <c r="L160" s="22" t="s">
        <v>3153</v>
      </c>
      <c r="M160" s="22" t="n">
        <v>1</v>
      </c>
      <c r="N160" s="22" t="s">
        <v>3826</v>
      </c>
    </row>
    <row r="161" customFormat="false" ht="15" hidden="false" customHeight="false" outlineLevel="0" collapsed="false">
      <c r="A161" s="22" t="s">
        <v>3837</v>
      </c>
      <c r="B161" s="22" t="s">
        <v>3785</v>
      </c>
      <c r="C161" s="22" t="s">
        <v>3478</v>
      </c>
      <c r="D161" s="22" t="s">
        <v>3797</v>
      </c>
      <c r="E161" s="22" t="s">
        <v>3798</v>
      </c>
      <c r="F161" s="22" t="s">
        <v>3838</v>
      </c>
      <c r="G161" s="22" t="s">
        <v>727</v>
      </c>
      <c r="H161" s="63" t="n">
        <v>59850</v>
      </c>
      <c r="I161" s="22" t="s">
        <v>601</v>
      </c>
      <c r="J161" s="22"/>
      <c r="K161" s="63" t="n">
        <v>26129.7942286322</v>
      </c>
      <c r="L161" s="22" t="s">
        <v>3140</v>
      </c>
      <c r="M161" s="22" t="n">
        <v>2</v>
      </c>
      <c r="N161" s="22" t="s">
        <v>3826</v>
      </c>
    </row>
    <row r="162" customFormat="false" ht="15" hidden="false" customHeight="false" outlineLevel="0" collapsed="false">
      <c r="A162" s="22" t="s">
        <v>3839</v>
      </c>
      <c r="B162" s="22" t="s">
        <v>3785</v>
      </c>
      <c r="C162" s="22" t="s">
        <v>3478</v>
      </c>
      <c r="D162" s="22" t="s">
        <v>3797</v>
      </c>
      <c r="E162" s="22" t="s">
        <v>3798</v>
      </c>
      <c r="F162" s="22" t="s">
        <v>3840</v>
      </c>
      <c r="G162" s="22" t="s">
        <v>3823</v>
      </c>
      <c r="H162" s="63" t="n">
        <v>428</v>
      </c>
      <c r="I162" s="22" t="s">
        <v>601</v>
      </c>
      <c r="J162" s="22"/>
      <c r="K162" s="63" t="n">
        <v>186.859681367662</v>
      </c>
      <c r="L162" s="22" t="s">
        <v>3115</v>
      </c>
      <c r="M162" s="22" t="n">
        <v>1</v>
      </c>
      <c r="N162" s="22" t="s">
        <v>3801</v>
      </c>
    </row>
    <row r="163" customFormat="false" ht="15" hidden="false" customHeight="false" outlineLevel="0" collapsed="false">
      <c r="A163" s="22" t="s">
        <v>3841</v>
      </c>
      <c r="B163" s="22" t="s">
        <v>3785</v>
      </c>
      <c r="C163" s="22" t="s">
        <v>3478</v>
      </c>
      <c r="D163" s="22" t="s">
        <v>3797</v>
      </c>
      <c r="E163" s="22" t="s">
        <v>3798</v>
      </c>
      <c r="F163" s="22" t="s">
        <v>3842</v>
      </c>
      <c r="G163" s="22" t="s">
        <v>727</v>
      </c>
      <c r="H163" s="63" t="n">
        <v>36500</v>
      </c>
      <c r="I163" s="22" t="s">
        <v>601</v>
      </c>
      <c r="J163" s="22"/>
      <c r="K163" s="63" t="n">
        <v>15935.4634811207</v>
      </c>
      <c r="L163" s="22" t="s">
        <v>3165</v>
      </c>
      <c r="M163" s="22" t="n">
        <v>1</v>
      </c>
      <c r="N163" s="22" t="s">
        <v>3826</v>
      </c>
    </row>
    <row r="164" customFormat="false" ht="15" hidden="false" customHeight="false" outlineLevel="0" collapsed="false">
      <c r="A164" s="22" t="s">
        <v>3843</v>
      </c>
      <c r="B164" s="22" t="s">
        <v>3785</v>
      </c>
      <c r="C164" s="22" t="s">
        <v>3478</v>
      </c>
      <c r="D164" s="22" t="s">
        <v>3797</v>
      </c>
      <c r="E164" s="22" t="s">
        <v>3798</v>
      </c>
      <c r="F164" s="22" t="s">
        <v>3844</v>
      </c>
      <c r="G164" s="22" t="s">
        <v>732</v>
      </c>
      <c r="H164" s="63" t="n">
        <v>90000</v>
      </c>
      <c r="I164" s="22" t="s">
        <v>601</v>
      </c>
      <c r="J164" s="22"/>
      <c r="K164" s="63" t="n">
        <v>39292.9236520785</v>
      </c>
      <c r="L164" s="22" t="s">
        <v>3162</v>
      </c>
      <c r="M164" s="22" t="n">
        <v>1</v>
      </c>
      <c r="N164" s="22" t="s">
        <v>3845</v>
      </c>
    </row>
    <row r="165" customFormat="false" ht="15" hidden="false" customHeight="false" outlineLevel="0" collapsed="false">
      <c r="A165" s="22" t="s">
        <v>3846</v>
      </c>
      <c r="B165" s="22" t="s">
        <v>3785</v>
      </c>
      <c r="C165" s="22" t="s">
        <v>3478</v>
      </c>
      <c r="D165" s="22" t="s">
        <v>3797</v>
      </c>
      <c r="E165" s="22" t="s">
        <v>3798</v>
      </c>
      <c r="F165" s="22" t="s">
        <v>3847</v>
      </c>
      <c r="G165" s="22" t="s">
        <v>727</v>
      </c>
      <c r="H165" s="63" t="n">
        <v>12144.2</v>
      </c>
      <c r="I165" s="22" t="s">
        <v>601</v>
      </c>
      <c r="J165" s="22"/>
      <c r="K165" s="63" t="n">
        <v>5302.01248239525</v>
      </c>
      <c r="L165" s="22" t="s">
        <v>1202</v>
      </c>
      <c r="M165" s="22" t="n">
        <v>7</v>
      </c>
      <c r="N165" s="22" t="s">
        <v>3801</v>
      </c>
    </row>
    <row r="166" customFormat="false" ht="15" hidden="false" customHeight="false" outlineLevel="0" collapsed="false">
      <c r="A166" s="22" t="s">
        <v>3848</v>
      </c>
      <c r="B166" s="22" t="s">
        <v>3785</v>
      </c>
      <c r="C166" s="22" t="s">
        <v>3478</v>
      </c>
      <c r="D166" s="22" t="s">
        <v>3797</v>
      </c>
      <c r="E166" s="22" t="s">
        <v>3798</v>
      </c>
      <c r="F166" s="22" t="s">
        <v>3849</v>
      </c>
      <c r="G166" s="22" t="s">
        <v>727</v>
      </c>
      <c r="H166" s="63" t="n">
        <v>24128.2</v>
      </c>
      <c r="I166" s="22" t="s">
        <v>601</v>
      </c>
      <c r="J166" s="22"/>
      <c r="K166" s="63" t="n">
        <v>10534.0835606898</v>
      </c>
      <c r="L166" s="22" t="s">
        <v>1217</v>
      </c>
      <c r="M166" s="22" t="n">
        <v>1</v>
      </c>
      <c r="N166" s="22" t="s">
        <v>3801</v>
      </c>
    </row>
    <row r="167" customFormat="false" ht="15" hidden="false" customHeight="false" outlineLevel="0" collapsed="false">
      <c r="A167" s="22" t="s">
        <v>3850</v>
      </c>
      <c r="B167" s="22" t="s">
        <v>3785</v>
      </c>
      <c r="C167" s="22" t="s">
        <v>3478</v>
      </c>
      <c r="D167" s="22" t="s">
        <v>3797</v>
      </c>
      <c r="E167" s="22" t="s">
        <v>3798</v>
      </c>
      <c r="F167" s="22" t="s">
        <v>3851</v>
      </c>
      <c r="G167" s="22" t="s">
        <v>727</v>
      </c>
      <c r="H167" s="63" t="n">
        <v>31650</v>
      </c>
      <c r="I167" s="22" t="s">
        <v>601</v>
      </c>
      <c r="J167" s="22"/>
      <c r="K167" s="63" t="n">
        <v>13818.0114843143</v>
      </c>
      <c r="L167" s="22" t="s">
        <v>3177</v>
      </c>
      <c r="M167" s="22" t="n">
        <v>3</v>
      </c>
      <c r="N167" s="22" t="s">
        <v>3826</v>
      </c>
    </row>
    <row r="168" customFormat="false" ht="15" hidden="false" customHeight="false" outlineLevel="0" collapsed="false">
      <c r="A168" s="22" t="s">
        <v>3852</v>
      </c>
      <c r="B168" s="22" t="s">
        <v>3785</v>
      </c>
      <c r="C168" s="22" t="s">
        <v>3478</v>
      </c>
      <c r="D168" s="22" t="s">
        <v>3797</v>
      </c>
      <c r="E168" s="22" t="s">
        <v>3798</v>
      </c>
      <c r="F168" s="22" t="s">
        <v>3853</v>
      </c>
      <c r="G168" s="22" t="s">
        <v>732</v>
      </c>
      <c r="H168" s="63" t="n">
        <v>200000</v>
      </c>
      <c r="I168" s="22" t="s">
        <v>601</v>
      </c>
      <c r="J168" s="22"/>
      <c r="K168" s="63" t="n">
        <v>87317.6081157301</v>
      </c>
      <c r="L168" s="22" t="s">
        <v>3233</v>
      </c>
      <c r="M168" s="22" t="n">
        <v>1</v>
      </c>
      <c r="N168" s="22" t="s">
        <v>3854</v>
      </c>
    </row>
    <row r="169" customFormat="false" ht="15" hidden="false" customHeight="false" outlineLevel="0" collapsed="false">
      <c r="A169" s="22" t="s">
        <v>3855</v>
      </c>
      <c r="B169" s="22" t="s">
        <v>3785</v>
      </c>
      <c r="C169" s="22" t="s">
        <v>3478</v>
      </c>
      <c r="D169" s="22" t="s">
        <v>3797</v>
      </c>
      <c r="E169" s="22" t="s">
        <v>3798</v>
      </c>
      <c r="F169" s="22" t="s">
        <v>3856</v>
      </c>
      <c r="G169" s="22" t="s">
        <v>732</v>
      </c>
      <c r="H169" s="63" t="n">
        <v>9000</v>
      </c>
      <c r="I169" s="22" t="s">
        <v>601</v>
      </c>
      <c r="J169" s="22"/>
      <c r="K169" s="63" t="n">
        <v>3929.29236520785</v>
      </c>
      <c r="L169" s="22" t="s">
        <v>3857</v>
      </c>
      <c r="M169" s="22" t="n">
        <v>1</v>
      </c>
      <c r="N169" s="22" t="s">
        <v>3854</v>
      </c>
    </row>
    <row r="170" customFormat="false" ht="15" hidden="false" customHeight="false" outlineLevel="0" collapsed="false">
      <c r="A170" s="22" t="s">
        <v>3858</v>
      </c>
      <c r="B170" s="22" t="s">
        <v>3785</v>
      </c>
      <c r="C170" s="22" t="s">
        <v>3478</v>
      </c>
      <c r="D170" s="22" t="s">
        <v>3797</v>
      </c>
      <c r="E170" s="22" t="s">
        <v>3798</v>
      </c>
      <c r="F170" s="22" t="s">
        <v>3859</v>
      </c>
      <c r="G170" s="22" t="s">
        <v>732</v>
      </c>
      <c r="H170" s="63" t="n">
        <v>60000</v>
      </c>
      <c r="I170" s="22" t="s">
        <v>601</v>
      </c>
      <c r="J170" s="22"/>
      <c r="K170" s="63" t="n">
        <v>26195.282434719</v>
      </c>
      <c r="L170" s="22" t="s">
        <v>3860</v>
      </c>
      <c r="M170" s="22" t="n">
        <v>1</v>
      </c>
      <c r="N170" s="22" t="s">
        <v>3854</v>
      </c>
    </row>
    <row r="171" customFormat="false" ht="15" hidden="false" customHeight="false" outlineLevel="0" collapsed="false">
      <c r="A171" s="22" t="s">
        <v>3861</v>
      </c>
      <c r="B171" s="22" t="s">
        <v>3785</v>
      </c>
      <c r="C171" s="22" t="s">
        <v>3478</v>
      </c>
      <c r="D171" s="22" t="s">
        <v>3797</v>
      </c>
      <c r="E171" s="22" t="s">
        <v>3798</v>
      </c>
      <c r="F171" s="22" t="s">
        <v>3862</v>
      </c>
      <c r="G171" s="22" t="s">
        <v>748</v>
      </c>
      <c r="H171" s="63" t="n">
        <v>10.05</v>
      </c>
      <c r="I171" s="22" t="s">
        <v>601</v>
      </c>
      <c r="J171" s="22"/>
      <c r="K171" s="63" t="n">
        <v>4.38770980781544</v>
      </c>
      <c r="L171" s="22" t="s">
        <v>3209</v>
      </c>
      <c r="M171" s="22" t="n">
        <v>2</v>
      </c>
      <c r="N171" s="22" t="s">
        <v>3807</v>
      </c>
    </row>
    <row r="172" customFormat="false" ht="15" hidden="false" customHeight="false" outlineLevel="0" collapsed="false">
      <c r="A172" s="22" t="s">
        <v>3863</v>
      </c>
      <c r="B172" s="22" t="s">
        <v>3785</v>
      </c>
      <c r="C172" s="22" t="s">
        <v>3478</v>
      </c>
      <c r="D172" s="22" t="s">
        <v>3797</v>
      </c>
      <c r="E172" s="22" t="s">
        <v>3798</v>
      </c>
      <c r="F172" s="22" t="s">
        <v>3864</v>
      </c>
      <c r="G172" s="22" t="s">
        <v>748</v>
      </c>
      <c r="H172" s="63" t="n">
        <v>3.43</v>
      </c>
      <c r="I172" s="22" t="s">
        <v>601</v>
      </c>
      <c r="J172" s="22"/>
      <c r="K172" s="63" t="n">
        <v>1.49749697918477</v>
      </c>
      <c r="L172" s="22" t="s">
        <v>1202</v>
      </c>
      <c r="M172" s="22" t="n">
        <v>40</v>
      </c>
      <c r="N172" s="22" t="s">
        <v>3807</v>
      </c>
    </row>
    <row r="173" customFormat="false" ht="15" hidden="false" customHeight="false" outlineLevel="0" collapsed="false">
      <c r="A173" s="22" t="s">
        <v>3865</v>
      </c>
      <c r="B173" s="22" t="s">
        <v>3785</v>
      </c>
      <c r="C173" s="22" t="s">
        <v>3478</v>
      </c>
      <c r="D173" s="22" t="s">
        <v>3797</v>
      </c>
      <c r="E173" s="22" t="s">
        <v>3798</v>
      </c>
      <c r="F173" s="22" t="s">
        <v>3866</v>
      </c>
      <c r="G173" s="22" t="s">
        <v>748</v>
      </c>
      <c r="H173" s="63" t="n">
        <v>17.34</v>
      </c>
      <c r="I173" s="22" t="s">
        <v>601</v>
      </c>
      <c r="J173" s="22"/>
      <c r="K173" s="63" t="n">
        <v>7.5704366236338</v>
      </c>
      <c r="L173" s="22" t="s">
        <v>953</v>
      </c>
      <c r="M173" s="22" t="n">
        <v>8</v>
      </c>
      <c r="N173" s="22" t="s">
        <v>3807</v>
      </c>
    </row>
    <row r="174" customFormat="false" ht="15" hidden="false" customHeight="false" outlineLevel="0" collapsed="false">
      <c r="A174" s="22" t="s">
        <v>3867</v>
      </c>
      <c r="B174" s="22" t="s">
        <v>3785</v>
      </c>
      <c r="C174" s="22" t="s">
        <v>3478</v>
      </c>
      <c r="D174" s="22" t="s">
        <v>3797</v>
      </c>
      <c r="E174" s="22" t="s">
        <v>3798</v>
      </c>
      <c r="F174" s="22" t="s">
        <v>3868</v>
      </c>
      <c r="G174" s="22" t="s">
        <v>748</v>
      </c>
      <c r="H174" s="63" t="n">
        <v>8.03</v>
      </c>
      <c r="I174" s="22" t="s">
        <v>601</v>
      </c>
      <c r="J174" s="22"/>
      <c r="K174" s="63" t="n">
        <v>3.50580196584656</v>
      </c>
      <c r="L174" s="22" t="s">
        <v>3237</v>
      </c>
      <c r="M174" s="22" t="n">
        <v>25</v>
      </c>
      <c r="N174" s="22" t="s">
        <v>3807</v>
      </c>
    </row>
    <row r="175" customFormat="false" ht="15" hidden="false" customHeight="false" outlineLevel="0" collapsed="false">
      <c r="A175" s="22" t="s">
        <v>3869</v>
      </c>
      <c r="B175" s="22" t="s">
        <v>3785</v>
      </c>
      <c r="C175" s="22" t="s">
        <v>3478</v>
      </c>
      <c r="D175" s="22" t="s">
        <v>3797</v>
      </c>
      <c r="E175" s="22" t="s">
        <v>3798</v>
      </c>
      <c r="F175" s="22" t="s">
        <v>3870</v>
      </c>
      <c r="G175" s="22" t="s">
        <v>748</v>
      </c>
      <c r="H175" s="63" t="n">
        <v>5.82</v>
      </c>
      <c r="I175" s="22" t="s">
        <v>601</v>
      </c>
      <c r="J175" s="22"/>
      <c r="K175" s="63" t="n">
        <v>2.54094239616775</v>
      </c>
      <c r="L175" s="22" t="s">
        <v>1202</v>
      </c>
      <c r="M175" s="22" t="n">
        <v>15</v>
      </c>
      <c r="N175" s="22" t="s">
        <v>3807</v>
      </c>
    </row>
    <row r="176" customFormat="false" ht="15" hidden="false" customHeight="false" outlineLevel="0" collapsed="false">
      <c r="A176" s="22" t="s">
        <v>3871</v>
      </c>
      <c r="B176" s="22" t="s">
        <v>3785</v>
      </c>
      <c r="C176" s="22" t="s">
        <v>3478</v>
      </c>
      <c r="D176" s="22" t="s">
        <v>3797</v>
      </c>
      <c r="E176" s="22" t="s">
        <v>3798</v>
      </c>
      <c r="F176" s="22" t="s">
        <v>3872</v>
      </c>
      <c r="G176" s="22" t="s">
        <v>727</v>
      </c>
      <c r="H176" s="63" t="n">
        <v>111.25</v>
      </c>
      <c r="I176" s="22" t="s">
        <v>601</v>
      </c>
      <c r="J176" s="22"/>
      <c r="K176" s="63" t="n">
        <v>48.5704195143749</v>
      </c>
      <c r="L176" s="22" t="s">
        <v>1202</v>
      </c>
      <c r="M176" s="22" t="n">
        <v>4</v>
      </c>
      <c r="N176" s="22" t="s">
        <v>3820</v>
      </c>
    </row>
    <row r="177" customFormat="false" ht="15" hidden="false" customHeight="false" outlineLevel="0" collapsed="false">
      <c r="A177" s="22" t="s">
        <v>3873</v>
      </c>
      <c r="B177" s="22" t="s">
        <v>3785</v>
      </c>
      <c r="C177" s="22" t="s">
        <v>3478</v>
      </c>
      <c r="D177" s="22" t="s">
        <v>3797</v>
      </c>
      <c r="E177" s="22" t="s">
        <v>3798</v>
      </c>
      <c r="F177" s="22" t="s">
        <v>3874</v>
      </c>
      <c r="G177" s="22" t="s">
        <v>727</v>
      </c>
      <c r="H177" s="63" t="n">
        <v>4011.3</v>
      </c>
      <c r="I177" s="22" t="s">
        <v>601</v>
      </c>
      <c r="J177" s="22"/>
      <c r="K177" s="63" t="n">
        <v>1751.28560717314</v>
      </c>
      <c r="L177" s="22" t="s">
        <v>1508</v>
      </c>
      <c r="M177" s="22" t="n">
        <v>10</v>
      </c>
      <c r="N177" s="22" t="s">
        <v>3820</v>
      </c>
    </row>
    <row r="178" customFormat="false" ht="15" hidden="false" customHeight="false" outlineLevel="0" collapsed="false">
      <c r="A178" s="22" t="s">
        <v>3875</v>
      </c>
      <c r="B178" s="22" t="s">
        <v>3785</v>
      </c>
      <c r="C178" s="22" t="s">
        <v>3478</v>
      </c>
      <c r="D178" s="22" t="s">
        <v>3797</v>
      </c>
      <c r="E178" s="22" t="s">
        <v>3798</v>
      </c>
      <c r="F178" s="22" t="s">
        <v>3876</v>
      </c>
      <c r="G178" s="22" t="s">
        <v>727</v>
      </c>
      <c r="H178" s="63" t="n">
        <v>2453.6</v>
      </c>
      <c r="I178" s="22" t="s">
        <v>601</v>
      </c>
      <c r="J178" s="22"/>
      <c r="K178" s="63" t="n">
        <v>1071.21241636378</v>
      </c>
      <c r="L178" s="22" t="s">
        <v>1508</v>
      </c>
      <c r="M178" s="22" t="n">
        <v>2</v>
      </c>
      <c r="N178" s="22" t="s">
        <v>3820</v>
      </c>
    </row>
    <row r="179" customFormat="false" ht="15" hidden="false" customHeight="false" outlineLevel="0" collapsed="false">
      <c r="A179" s="22" t="s">
        <v>3877</v>
      </c>
      <c r="B179" s="22" t="s">
        <v>3785</v>
      </c>
      <c r="C179" s="22" t="s">
        <v>3478</v>
      </c>
      <c r="D179" s="22" t="s">
        <v>3797</v>
      </c>
      <c r="E179" s="22" t="s">
        <v>3798</v>
      </c>
      <c r="F179" s="22" t="s">
        <v>3878</v>
      </c>
      <c r="G179" s="22" t="s">
        <v>727</v>
      </c>
      <c r="H179" s="63" t="n">
        <v>88.7</v>
      </c>
      <c r="I179" s="22" t="s">
        <v>601</v>
      </c>
      <c r="J179" s="22"/>
      <c r="K179" s="63" t="n">
        <v>38.7253591993263</v>
      </c>
      <c r="L179" s="22" t="s">
        <v>1508</v>
      </c>
      <c r="M179" s="22" t="n">
        <v>13</v>
      </c>
      <c r="N179" s="22" t="s">
        <v>3879</v>
      </c>
    </row>
    <row r="180" customFormat="false" ht="15" hidden="false" customHeight="false" outlineLevel="0" collapsed="false">
      <c r="A180" s="22" t="s">
        <v>3880</v>
      </c>
      <c r="B180" s="22" t="s">
        <v>3785</v>
      </c>
      <c r="C180" s="22" t="s">
        <v>3478</v>
      </c>
      <c r="D180" s="22" t="s">
        <v>3797</v>
      </c>
      <c r="E180" s="22" t="s">
        <v>3798</v>
      </c>
      <c r="F180" s="22" t="s">
        <v>3881</v>
      </c>
      <c r="G180" s="22" t="s">
        <v>727</v>
      </c>
      <c r="H180" s="63" t="n">
        <v>121.15</v>
      </c>
      <c r="I180" s="22" t="s">
        <v>601</v>
      </c>
      <c r="J180" s="22"/>
      <c r="K180" s="63" t="n">
        <v>52.8926411161035</v>
      </c>
      <c r="L180" s="22" t="s">
        <v>1508</v>
      </c>
      <c r="M180" s="22" t="n">
        <v>4</v>
      </c>
      <c r="N180" s="22" t="s">
        <v>3879</v>
      </c>
    </row>
    <row r="181" customFormat="false" ht="15" hidden="false" customHeight="false" outlineLevel="0" collapsed="false">
      <c r="A181" s="22" t="s">
        <v>3882</v>
      </c>
      <c r="B181" s="22" t="s">
        <v>3785</v>
      </c>
      <c r="C181" s="22" t="s">
        <v>3478</v>
      </c>
      <c r="D181" s="22" t="s">
        <v>3797</v>
      </c>
      <c r="E181" s="22" t="s">
        <v>3798</v>
      </c>
      <c r="F181" s="22" t="s">
        <v>3883</v>
      </c>
      <c r="G181" s="22" t="s">
        <v>727</v>
      </c>
      <c r="H181" s="63" t="n">
        <v>87.6</v>
      </c>
      <c r="I181" s="22" t="s">
        <v>601</v>
      </c>
      <c r="J181" s="22"/>
      <c r="K181" s="63" t="n">
        <v>38.2451123546898</v>
      </c>
      <c r="L181" s="22" t="s">
        <v>1508</v>
      </c>
      <c r="M181" s="22" t="n">
        <v>13</v>
      </c>
      <c r="N181" s="22" t="s">
        <v>3879</v>
      </c>
    </row>
    <row r="182" customFormat="false" ht="15" hidden="false" customHeight="false" outlineLevel="0" collapsed="false">
      <c r="A182" s="22" t="s">
        <v>3884</v>
      </c>
      <c r="B182" s="22" t="s">
        <v>3785</v>
      </c>
      <c r="C182" s="22" t="s">
        <v>3478</v>
      </c>
      <c r="D182" s="22" t="s">
        <v>3797</v>
      </c>
      <c r="E182" s="22" t="s">
        <v>3798</v>
      </c>
      <c r="F182" s="22" t="s">
        <v>3885</v>
      </c>
      <c r="G182" s="22" t="s">
        <v>727</v>
      </c>
      <c r="H182" s="63" t="n">
        <v>130</v>
      </c>
      <c r="I182" s="22" t="s">
        <v>601</v>
      </c>
      <c r="J182" s="22"/>
      <c r="K182" s="63" t="n">
        <v>56.7564452752246</v>
      </c>
      <c r="L182" s="22" t="s">
        <v>1508</v>
      </c>
      <c r="M182" s="22" t="n">
        <v>13</v>
      </c>
      <c r="N182" s="22" t="s">
        <v>3879</v>
      </c>
    </row>
    <row r="183" customFormat="false" ht="15" hidden="false" customHeight="false" outlineLevel="0" collapsed="false">
      <c r="A183" s="22" t="s">
        <v>3886</v>
      </c>
      <c r="B183" s="22" t="s">
        <v>3785</v>
      </c>
      <c r="C183" s="22" t="s">
        <v>3478</v>
      </c>
      <c r="D183" s="22" t="s">
        <v>3797</v>
      </c>
      <c r="E183" s="22" t="s">
        <v>3798</v>
      </c>
      <c r="F183" s="22" t="s">
        <v>3887</v>
      </c>
      <c r="G183" s="22" t="s">
        <v>727</v>
      </c>
      <c r="H183" s="63" t="n">
        <v>184.7</v>
      </c>
      <c r="I183" s="22" t="s">
        <v>601</v>
      </c>
      <c r="J183" s="22"/>
      <c r="K183" s="63" t="n">
        <v>80.6378110948767</v>
      </c>
      <c r="L183" s="22" t="s">
        <v>1508</v>
      </c>
      <c r="M183" s="22" t="n">
        <v>11</v>
      </c>
      <c r="N183" s="22" t="s">
        <v>3879</v>
      </c>
    </row>
    <row r="184" customFormat="false" ht="15" hidden="false" customHeight="false" outlineLevel="0" collapsed="false">
      <c r="A184" s="22" t="s">
        <v>3888</v>
      </c>
      <c r="B184" s="22" t="s">
        <v>3785</v>
      </c>
      <c r="C184" s="22" t="s">
        <v>3478</v>
      </c>
      <c r="D184" s="22" t="s">
        <v>3797</v>
      </c>
      <c r="E184" s="22" t="s">
        <v>3798</v>
      </c>
      <c r="F184" s="22" t="s">
        <v>3889</v>
      </c>
      <c r="G184" s="22" t="s">
        <v>727</v>
      </c>
      <c r="H184" s="63" t="n">
        <v>184.7</v>
      </c>
      <c r="I184" s="22" t="s">
        <v>601</v>
      </c>
      <c r="J184" s="22"/>
      <c r="K184" s="63" t="n">
        <v>80.6378110948767</v>
      </c>
      <c r="L184" s="22" t="s">
        <v>1508</v>
      </c>
      <c r="M184" s="22" t="n">
        <v>10</v>
      </c>
      <c r="N184" s="22" t="s">
        <v>3820</v>
      </c>
    </row>
    <row r="185" customFormat="false" ht="15" hidden="false" customHeight="false" outlineLevel="0" collapsed="false">
      <c r="A185" s="22" t="s">
        <v>3890</v>
      </c>
      <c r="B185" s="22" t="s">
        <v>3785</v>
      </c>
      <c r="C185" s="22" t="s">
        <v>3478</v>
      </c>
      <c r="D185" s="22" t="s">
        <v>3797</v>
      </c>
      <c r="E185" s="22" t="s">
        <v>3798</v>
      </c>
      <c r="F185" s="22" t="s">
        <v>3891</v>
      </c>
      <c r="G185" s="22" t="s">
        <v>748</v>
      </c>
      <c r="H185" s="63" t="n">
        <v>2.46</v>
      </c>
      <c r="I185" s="22" t="s">
        <v>601</v>
      </c>
      <c r="J185" s="22"/>
      <c r="K185" s="63" t="n">
        <v>1.07400657982348</v>
      </c>
      <c r="L185" s="22" t="s">
        <v>1508</v>
      </c>
      <c r="M185" s="22" t="n">
        <v>3</v>
      </c>
      <c r="N185" s="22" t="s">
        <v>3807</v>
      </c>
    </row>
    <row r="186" customFormat="false" ht="15" hidden="false" customHeight="false" outlineLevel="0" collapsed="false">
      <c r="A186" s="22" t="s">
        <v>3892</v>
      </c>
      <c r="B186" s="22" t="s">
        <v>3785</v>
      </c>
      <c r="C186" s="22" t="s">
        <v>3478</v>
      </c>
      <c r="D186" s="22" t="s">
        <v>3797</v>
      </c>
      <c r="E186" s="22" t="s">
        <v>3798</v>
      </c>
      <c r="F186" s="22" t="s">
        <v>3893</v>
      </c>
      <c r="G186" s="22" t="s">
        <v>748</v>
      </c>
      <c r="H186" s="63" t="n">
        <v>6.25</v>
      </c>
      <c r="I186" s="22" t="s">
        <v>601</v>
      </c>
      <c r="J186" s="22"/>
      <c r="K186" s="63" t="n">
        <v>2.72867525361657</v>
      </c>
      <c r="L186" s="22" t="s">
        <v>3209</v>
      </c>
      <c r="M186" s="22" t="n">
        <v>11</v>
      </c>
      <c r="N186" s="22" t="s">
        <v>3894</v>
      </c>
    </row>
    <row r="187" customFormat="false" ht="15" hidden="false" customHeight="false" outlineLevel="0" collapsed="false">
      <c r="A187" s="22" t="s">
        <v>3895</v>
      </c>
      <c r="B187" s="22" t="s">
        <v>3785</v>
      </c>
      <c r="C187" s="22" t="s">
        <v>3478</v>
      </c>
      <c r="D187" s="22" t="s">
        <v>3797</v>
      </c>
      <c r="E187" s="22" t="s">
        <v>3798</v>
      </c>
      <c r="F187" s="22" t="s">
        <v>3896</v>
      </c>
      <c r="G187" s="22" t="s">
        <v>727</v>
      </c>
      <c r="H187" s="63" t="n">
        <v>350</v>
      </c>
      <c r="I187" s="22" t="s">
        <v>601</v>
      </c>
      <c r="J187" s="22"/>
      <c r="K187" s="63" t="n">
        <v>152.805814202528</v>
      </c>
      <c r="L187" s="22" t="s">
        <v>3209</v>
      </c>
      <c r="M187" s="22" t="n">
        <v>13</v>
      </c>
      <c r="N187" s="22" t="s">
        <v>3897</v>
      </c>
    </row>
    <row r="188" customFormat="false" ht="15" hidden="false" customHeight="false" outlineLevel="0" collapsed="false">
      <c r="A188" s="22" t="s">
        <v>3898</v>
      </c>
      <c r="B188" s="22" t="s">
        <v>3785</v>
      </c>
      <c r="C188" s="22" t="s">
        <v>3478</v>
      </c>
      <c r="D188" s="22" t="s">
        <v>3797</v>
      </c>
      <c r="E188" s="22" t="s">
        <v>3798</v>
      </c>
      <c r="F188" s="22" t="s">
        <v>3899</v>
      </c>
      <c r="G188" s="22" t="s">
        <v>727</v>
      </c>
      <c r="H188" s="63" t="n">
        <v>1550</v>
      </c>
      <c r="I188" s="22" t="s">
        <v>601</v>
      </c>
      <c r="J188" s="22"/>
      <c r="K188" s="63" t="n">
        <v>676.711462896908</v>
      </c>
      <c r="L188" s="22" t="s">
        <v>788</v>
      </c>
      <c r="M188" s="22" t="n">
        <v>6</v>
      </c>
      <c r="N188" s="22" t="s">
        <v>3801</v>
      </c>
    </row>
    <row r="189" customFormat="false" ht="15" hidden="false" customHeight="false" outlineLevel="0" collapsed="false">
      <c r="A189" s="22" t="s">
        <v>3900</v>
      </c>
      <c r="B189" s="22" t="s">
        <v>3785</v>
      </c>
      <c r="C189" s="22" t="s">
        <v>3478</v>
      </c>
      <c r="D189" s="22" t="s">
        <v>3797</v>
      </c>
      <c r="E189" s="22" t="s">
        <v>3798</v>
      </c>
      <c r="F189" s="22" t="s">
        <v>3901</v>
      </c>
      <c r="G189" s="22" t="s">
        <v>727</v>
      </c>
      <c r="H189" s="63" t="n">
        <v>420.2</v>
      </c>
      <c r="I189" s="22" t="s">
        <v>601</v>
      </c>
      <c r="J189" s="22"/>
      <c r="K189" s="63" t="n">
        <v>183.454294651149</v>
      </c>
      <c r="L189" s="22" t="s">
        <v>788</v>
      </c>
      <c r="M189" s="22" t="n">
        <v>7</v>
      </c>
      <c r="N189" s="22" t="s">
        <v>3801</v>
      </c>
    </row>
    <row r="190" customFormat="false" ht="15" hidden="false" customHeight="false" outlineLevel="0" collapsed="false">
      <c r="A190" s="22" t="s">
        <v>3902</v>
      </c>
      <c r="B190" s="22" t="s">
        <v>3785</v>
      </c>
      <c r="C190" s="22" t="s">
        <v>3478</v>
      </c>
      <c r="D190" s="22" t="s">
        <v>3797</v>
      </c>
      <c r="E190" s="22" t="s">
        <v>3798</v>
      </c>
      <c r="F190" s="22" t="s">
        <v>3903</v>
      </c>
      <c r="G190" s="22" t="s">
        <v>727</v>
      </c>
      <c r="H190" s="63" t="n">
        <v>284</v>
      </c>
      <c r="I190" s="22" t="s">
        <v>601</v>
      </c>
      <c r="J190" s="22"/>
      <c r="K190" s="63" t="n">
        <v>123.991003524337</v>
      </c>
      <c r="L190" s="22" t="s">
        <v>1202</v>
      </c>
      <c r="M190" s="22" t="n">
        <v>23</v>
      </c>
      <c r="N190" s="22" t="s">
        <v>3801</v>
      </c>
    </row>
    <row r="191" customFormat="false" ht="15" hidden="false" customHeight="false" outlineLevel="0" collapsed="false">
      <c r="A191" s="22" t="s">
        <v>3904</v>
      </c>
      <c r="B191" s="22" t="s">
        <v>3785</v>
      </c>
      <c r="C191" s="22" t="s">
        <v>3478</v>
      </c>
      <c r="D191" s="22" t="s">
        <v>3797</v>
      </c>
      <c r="E191" s="22" t="s">
        <v>3798</v>
      </c>
      <c r="F191" s="22" t="s">
        <v>3905</v>
      </c>
      <c r="G191" s="22" t="s">
        <v>727</v>
      </c>
      <c r="H191" s="63" t="n">
        <v>215.8</v>
      </c>
      <c r="I191" s="22" t="s">
        <v>601</v>
      </c>
      <c r="J191" s="22"/>
      <c r="K191" s="63" t="n">
        <v>94.2156991568728</v>
      </c>
      <c r="L191" s="22" t="s">
        <v>1202</v>
      </c>
      <c r="M191" s="22" t="n">
        <v>20</v>
      </c>
      <c r="N191" s="22" t="s">
        <v>3801</v>
      </c>
    </row>
    <row r="192" customFormat="false" ht="15" hidden="false" customHeight="false" outlineLevel="0" collapsed="false">
      <c r="A192" s="22" t="s">
        <v>3906</v>
      </c>
      <c r="B192" s="22" t="s">
        <v>3785</v>
      </c>
      <c r="C192" s="22" t="s">
        <v>3478</v>
      </c>
      <c r="D192" s="22" t="s">
        <v>3797</v>
      </c>
      <c r="E192" s="22" t="s">
        <v>3798</v>
      </c>
      <c r="F192" s="22" t="s">
        <v>3907</v>
      </c>
      <c r="G192" s="22" t="s">
        <v>727</v>
      </c>
      <c r="H192" s="63" t="n">
        <v>136</v>
      </c>
      <c r="I192" s="22" t="s">
        <v>601</v>
      </c>
      <c r="J192" s="22"/>
      <c r="K192" s="63" t="n">
        <v>59.3759735186965</v>
      </c>
      <c r="L192" s="22" t="s">
        <v>1202</v>
      </c>
      <c r="M192" s="22" t="n">
        <v>2</v>
      </c>
      <c r="N192" s="22" t="s">
        <v>3801</v>
      </c>
    </row>
    <row r="193" customFormat="false" ht="15" hidden="false" customHeight="false" outlineLevel="0" collapsed="false">
      <c r="A193" s="22" t="s">
        <v>3908</v>
      </c>
      <c r="B193" s="22" t="s">
        <v>3785</v>
      </c>
      <c r="C193" s="22" t="s">
        <v>3478</v>
      </c>
      <c r="D193" s="22" t="s">
        <v>3797</v>
      </c>
      <c r="E193" s="22" t="s">
        <v>3798</v>
      </c>
      <c r="F193" s="22" t="s">
        <v>3909</v>
      </c>
      <c r="G193" s="22" t="s">
        <v>727</v>
      </c>
      <c r="H193" s="63" t="n">
        <v>143.2</v>
      </c>
      <c r="I193" s="22" t="s">
        <v>601</v>
      </c>
      <c r="J193" s="22"/>
      <c r="K193" s="63" t="n">
        <v>62.5194074108627</v>
      </c>
      <c r="L193" s="22" t="s">
        <v>1217</v>
      </c>
      <c r="M193" s="22" t="n">
        <v>3</v>
      </c>
      <c r="N193" s="22" t="s">
        <v>3801</v>
      </c>
    </row>
    <row r="194" customFormat="false" ht="15" hidden="false" customHeight="false" outlineLevel="0" collapsed="false">
      <c r="A194" s="22" t="s">
        <v>3910</v>
      </c>
      <c r="B194" s="22" t="s">
        <v>3785</v>
      </c>
      <c r="C194" s="22" t="s">
        <v>3478</v>
      </c>
      <c r="D194" s="22" t="s">
        <v>3797</v>
      </c>
      <c r="E194" s="22" t="s">
        <v>3798</v>
      </c>
      <c r="F194" s="22" t="s">
        <v>3911</v>
      </c>
      <c r="G194" s="22" t="s">
        <v>727</v>
      </c>
      <c r="H194" s="63" t="n">
        <v>75.5</v>
      </c>
      <c r="I194" s="22" t="s">
        <v>601</v>
      </c>
      <c r="J194" s="22"/>
      <c r="K194" s="63" t="n">
        <v>32.9623970636881</v>
      </c>
      <c r="L194" s="22" t="s">
        <v>1217</v>
      </c>
      <c r="M194" s="22" t="n">
        <v>3</v>
      </c>
      <c r="N194" s="22" t="s">
        <v>3801</v>
      </c>
    </row>
    <row r="195" customFormat="false" ht="15" hidden="false" customHeight="false" outlineLevel="0" collapsed="false">
      <c r="A195" s="22" t="s">
        <v>3912</v>
      </c>
      <c r="B195" s="22" t="s">
        <v>3785</v>
      </c>
      <c r="C195" s="22" t="s">
        <v>3478</v>
      </c>
      <c r="D195" s="22" t="s">
        <v>3797</v>
      </c>
      <c r="E195" s="22" t="s">
        <v>3798</v>
      </c>
      <c r="F195" s="22" t="s">
        <v>3913</v>
      </c>
      <c r="G195" s="22" t="s">
        <v>727</v>
      </c>
      <c r="H195" s="63" t="n">
        <v>6450</v>
      </c>
      <c r="I195" s="22" t="s">
        <v>601</v>
      </c>
      <c r="J195" s="22"/>
      <c r="K195" s="63" t="n">
        <v>2815.9928617323</v>
      </c>
      <c r="L195" s="22" t="s">
        <v>1513</v>
      </c>
      <c r="M195" s="22" t="n">
        <v>1</v>
      </c>
      <c r="N195" s="22" t="s">
        <v>3879</v>
      </c>
    </row>
    <row r="196" customFormat="false" ht="15" hidden="false" customHeight="false" outlineLevel="0" collapsed="false">
      <c r="A196" s="22" t="s">
        <v>3914</v>
      </c>
      <c r="B196" s="22" t="s">
        <v>3785</v>
      </c>
      <c r="C196" s="22" t="s">
        <v>3478</v>
      </c>
      <c r="D196" s="22" t="s">
        <v>3797</v>
      </c>
      <c r="E196" s="22" t="s">
        <v>3798</v>
      </c>
      <c r="F196" s="22" t="s">
        <v>3915</v>
      </c>
      <c r="G196" s="22" t="s">
        <v>727</v>
      </c>
      <c r="H196" s="63" t="n">
        <v>2036.4</v>
      </c>
      <c r="I196" s="22" t="s">
        <v>601</v>
      </c>
      <c r="J196" s="22"/>
      <c r="K196" s="63" t="n">
        <v>889.067885834364</v>
      </c>
      <c r="L196" s="22" t="s">
        <v>1508</v>
      </c>
      <c r="M196" s="22" t="n">
        <v>7</v>
      </c>
      <c r="N196" s="22" t="s">
        <v>3879</v>
      </c>
    </row>
    <row r="197" customFormat="false" ht="15" hidden="false" customHeight="false" outlineLevel="0" collapsed="false">
      <c r="A197" s="22" t="s">
        <v>3916</v>
      </c>
      <c r="B197" s="22" t="s">
        <v>3785</v>
      </c>
      <c r="C197" s="22" t="s">
        <v>3478</v>
      </c>
      <c r="D197" s="22" t="s">
        <v>3797</v>
      </c>
      <c r="E197" s="22" t="s">
        <v>3798</v>
      </c>
      <c r="F197" s="22" t="s">
        <v>3917</v>
      </c>
      <c r="G197" s="22" t="s">
        <v>727</v>
      </c>
      <c r="H197" s="63" t="n">
        <v>58</v>
      </c>
      <c r="I197" s="22" t="s">
        <v>601</v>
      </c>
      <c r="J197" s="22"/>
      <c r="K197" s="63" t="n">
        <v>25.3221063535617</v>
      </c>
      <c r="L197" s="22" t="s">
        <v>1202</v>
      </c>
      <c r="M197" s="22" t="n">
        <v>2</v>
      </c>
      <c r="N197" s="22" t="s">
        <v>3820</v>
      </c>
    </row>
    <row r="198" customFormat="false" ht="15" hidden="false" customHeight="false" outlineLevel="0" collapsed="false">
      <c r="A198" s="22" t="s">
        <v>3918</v>
      </c>
      <c r="B198" s="22" t="s">
        <v>3785</v>
      </c>
      <c r="C198" s="22" t="s">
        <v>3478</v>
      </c>
      <c r="D198" s="22" t="s">
        <v>3797</v>
      </c>
      <c r="E198" s="22" t="s">
        <v>3798</v>
      </c>
      <c r="F198" s="22" t="s">
        <v>3919</v>
      </c>
      <c r="G198" s="22" t="s">
        <v>727</v>
      </c>
      <c r="H198" s="63" t="n">
        <v>26.5</v>
      </c>
      <c r="I198" s="22" t="s">
        <v>601</v>
      </c>
      <c r="J198" s="22"/>
      <c r="K198" s="63" t="n">
        <v>11.5695830753342</v>
      </c>
      <c r="L198" s="22" t="s">
        <v>1202</v>
      </c>
      <c r="M198" s="22" t="n">
        <v>2</v>
      </c>
      <c r="N198" s="22" t="s">
        <v>3820</v>
      </c>
    </row>
    <row r="199" customFormat="false" ht="15" hidden="false" customHeight="false" outlineLevel="0" collapsed="false">
      <c r="A199" s="22" t="s">
        <v>3920</v>
      </c>
      <c r="B199" s="22" t="s">
        <v>3785</v>
      </c>
      <c r="C199" s="22" t="s">
        <v>3478</v>
      </c>
      <c r="D199" s="22" t="s">
        <v>3921</v>
      </c>
      <c r="E199" s="22" t="s">
        <v>3922</v>
      </c>
      <c r="F199" s="22" t="s">
        <v>3923</v>
      </c>
      <c r="G199" s="22" t="s">
        <v>3800</v>
      </c>
      <c r="H199" s="63" t="n">
        <v>7.44</v>
      </c>
      <c r="I199" s="22" t="s">
        <v>601</v>
      </c>
      <c r="J199" s="22"/>
      <c r="K199" s="63" t="n">
        <v>3.19685817982871</v>
      </c>
      <c r="L199" s="22" t="s">
        <v>1202</v>
      </c>
      <c r="M199" s="22" t="n">
        <v>7</v>
      </c>
      <c r="N199" s="22" t="s">
        <v>3924</v>
      </c>
    </row>
    <row r="200" customFormat="false" ht="15" hidden="false" customHeight="false" outlineLevel="0" collapsed="false">
      <c r="A200" s="22" t="s">
        <v>3925</v>
      </c>
      <c r="B200" s="22" t="s">
        <v>3785</v>
      </c>
      <c r="C200" s="22" t="s">
        <v>3478</v>
      </c>
      <c r="D200" s="22" t="s">
        <v>3921</v>
      </c>
      <c r="E200" s="22" t="s">
        <v>3922</v>
      </c>
      <c r="F200" s="22" t="s">
        <v>3926</v>
      </c>
      <c r="G200" s="22" t="s">
        <v>3800</v>
      </c>
      <c r="H200" s="63" t="n">
        <v>7.94</v>
      </c>
      <c r="I200" s="22" t="s">
        <v>601</v>
      </c>
      <c r="J200" s="22"/>
      <c r="K200" s="63" t="n">
        <v>3.41170079944085</v>
      </c>
      <c r="L200" s="22" t="s">
        <v>3237</v>
      </c>
      <c r="M200" s="22" t="n">
        <v>11</v>
      </c>
      <c r="N200" s="22" t="s">
        <v>3924</v>
      </c>
    </row>
    <row r="201" customFormat="false" ht="15" hidden="false" customHeight="false" outlineLevel="0" collapsed="false">
      <c r="A201" s="22" t="s">
        <v>3927</v>
      </c>
      <c r="B201" s="22" t="s">
        <v>3785</v>
      </c>
      <c r="C201" s="22" t="s">
        <v>3478</v>
      </c>
      <c r="D201" s="22" t="s">
        <v>3921</v>
      </c>
      <c r="E201" s="22" t="s">
        <v>3922</v>
      </c>
      <c r="F201" s="22" t="s">
        <v>3928</v>
      </c>
      <c r="G201" s="22" t="s">
        <v>748</v>
      </c>
      <c r="H201" s="63" t="n">
        <v>19.84</v>
      </c>
      <c r="I201" s="22" t="s">
        <v>601</v>
      </c>
      <c r="J201" s="22"/>
      <c r="K201" s="63" t="n">
        <v>8.52495514620988</v>
      </c>
      <c r="L201" s="22" t="s">
        <v>3140</v>
      </c>
      <c r="M201" s="22" t="n">
        <v>2</v>
      </c>
      <c r="N201" s="22" t="s">
        <v>3924</v>
      </c>
    </row>
    <row r="202" customFormat="false" ht="15" hidden="false" customHeight="false" outlineLevel="0" collapsed="false">
      <c r="A202" s="22" t="s">
        <v>3929</v>
      </c>
      <c r="B202" s="22" t="s">
        <v>3785</v>
      </c>
      <c r="C202" s="22" t="s">
        <v>3478</v>
      </c>
      <c r="D202" s="22" t="s">
        <v>3921</v>
      </c>
      <c r="E202" s="22" t="s">
        <v>3922</v>
      </c>
      <c r="F202" s="22" t="s">
        <v>3930</v>
      </c>
      <c r="G202" s="22" t="s">
        <v>748</v>
      </c>
      <c r="H202" s="63" t="n">
        <v>25.58</v>
      </c>
      <c r="I202" s="22" t="s">
        <v>601</v>
      </c>
      <c r="J202" s="22"/>
      <c r="K202" s="63" t="n">
        <v>10.9913484193573</v>
      </c>
      <c r="L202" s="22" t="s">
        <v>3077</v>
      </c>
      <c r="M202" s="22" t="n">
        <v>1</v>
      </c>
      <c r="N202" s="22" t="s">
        <v>3924</v>
      </c>
    </row>
    <row r="203" customFormat="false" ht="15" hidden="false" customHeight="false" outlineLevel="0" collapsed="false">
      <c r="A203" s="22" t="s">
        <v>3931</v>
      </c>
      <c r="B203" s="22" t="s">
        <v>3785</v>
      </c>
      <c r="C203" s="22" t="s">
        <v>3478</v>
      </c>
      <c r="D203" s="22" t="s">
        <v>3921</v>
      </c>
      <c r="E203" s="22" t="s">
        <v>3922</v>
      </c>
      <c r="F203" s="22" t="s">
        <v>3932</v>
      </c>
      <c r="G203" s="22" t="s">
        <v>748</v>
      </c>
      <c r="H203" s="63" t="n">
        <v>44.54</v>
      </c>
      <c r="I203" s="22" t="s">
        <v>601</v>
      </c>
      <c r="J203" s="22"/>
      <c r="K203" s="63" t="n">
        <v>19.1381805550498</v>
      </c>
      <c r="L203" s="22" t="s">
        <v>3092</v>
      </c>
      <c r="M203" s="22" t="n">
        <v>2</v>
      </c>
      <c r="N203" s="22" t="s">
        <v>3924</v>
      </c>
    </row>
    <row r="204" customFormat="false" ht="15" hidden="false" customHeight="false" outlineLevel="0" collapsed="false">
      <c r="A204" s="22" t="s">
        <v>3933</v>
      </c>
      <c r="B204" s="22" t="s">
        <v>3785</v>
      </c>
      <c r="C204" s="22" t="s">
        <v>3478</v>
      </c>
      <c r="D204" s="22" t="s">
        <v>3921</v>
      </c>
      <c r="E204" s="22" t="s">
        <v>3922</v>
      </c>
      <c r="F204" s="22" t="s">
        <v>3934</v>
      </c>
      <c r="G204" s="22" t="s">
        <v>727</v>
      </c>
      <c r="H204" s="63" t="n">
        <v>20929.71</v>
      </c>
      <c r="I204" s="22" t="s">
        <v>601</v>
      </c>
      <c r="J204" s="22"/>
      <c r="K204" s="63" t="n">
        <v>8993.18744824498</v>
      </c>
      <c r="L204" s="22" t="s">
        <v>3173</v>
      </c>
      <c r="M204" s="22" t="n">
        <v>1</v>
      </c>
      <c r="N204" s="22" t="s">
        <v>3924</v>
      </c>
    </row>
    <row r="205" customFormat="false" ht="15" hidden="false" customHeight="false" outlineLevel="0" collapsed="false">
      <c r="A205" s="22" t="s">
        <v>3935</v>
      </c>
      <c r="B205" s="22" t="s">
        <v>3785</v>
      </c>
      <c r="C205" s="22" t="s">
        <v>3478</v>
      </c>
      <c r="D205" s="22" t="s">
        <v>3921</v>
      </c>
      <c r="E205" s="22" t="s">
        <v>3922</v>
      </c>
      <c r="F205" s="22" t="s">
        <v>3936</v>
      </c>
      <c r="G205" s="22" t="s">
        <v>727</v>
      </c>
      <c r="H205" s="63" t="n">
        <v>78182.16</v>
      </c>
      <c r="I205" s="22" t="s">
        <v>601</v>
      </c>
      <c r="J205" s="22"/>
      <c r="K205" s="63" t="n">
        <v>33593.7201226716</v>
      </c>
      <c r="L205" s="22" t="s">
        <v>3217</v>
      </c>
      <c r="M205" s="22" t="n">
        <v>2</v>
      </c>
      <c r="N205" s="22" t="s">
        <v>3924</v>
      </c>
    </row>
    <row r="206" customFormat="false" ht="15" hidden="false" customHeight="false" outlineLevel="0" collapsed="false">
      <c r="A206" s="22" t="s">
        <v>3937</v>
      </c>
      <c r="B206" s="22" t="s">
        <v>3785</v>
      </c>
      <c r="C206" s="22" t="s">
        <v>3478</v>
      </c>
      <c r="D206" s="22" t="s">
        <v>3921</v>
      </c>
      <c r="E206" s="22" t="s">
        <v>3922</v>
      </c>
      <c r="F206" s="22" t="s">
        <v>3938</v>
      </c>
      <c r="G206" s="22" t="s">
        <v>727</v>
      </c>
      <c r="H206" s="63" t="n">
        <v>121.81</v>
      </c>
      <c r="I206" s="22" t="s">
        <v>601</v>
      </c>
      <c r="J206" s="22"/>
      <c r="K206" s="63" t="n">
        <v>52.3399589899106</v>
      </c>
      <c r="L206" s="22" t="s">
        <v>1202</v>
      </c>
      <c r="M206" s="22" t="n">
        <v>6</v>
      </c>
      <c r="N206" s="22" t="s">
        <v>3924</v>
      </c>
    </row>
    <row r="207" customFormat="false" ht="15" hidden="false" customHeight="false" outlineLevel="0" collapsed="false">
      <c r="A207" s="22" t="s">
        <v>3939</v>
      </c>
      <c r="B207" s="22" t="s">
        <v>3785</v>
      </c>
      <c r="C207" s="22" t="s">
        <v>3478</v>
      </c>
      <c r="D207" s="22" t="s">
        <v>3921</v>
      </c>
      <c r="E207" s="22" t="s">
        <v>3922</v>
      </c>
      <c r="F207" s="22" t="s">
        <v>3822</v>
      </c>
      <c r="G207" s="22" t="s">
        <v>3823</v>
      </c>
      <c r="H207" s="63" t="n">
        <v>55.37</v>
      </c>
      <c r="I207" s="22" t="s">
        <v>601</v>
      </c>
      <c r="J207" s="22"/>
      <c r="K207" s="63" t="n">
        <v>23.7916716958489</v>
      </c>
      <c r="L207" s="22" t="s">
        <v>3115</v>
      </c>
      <c r="M207" s="22" t="n">
        <v>2</v>
      </c>
      <c r="N207" s="22" t="s">
        <v>3924</v>
      </c>
    </row>
    <row r="208" customFormat="false" ht="15" hidden="false" customHeight="false" outlineLevel="0" collapsed="false">
      <c r="A208" s="22" t="s">
        <v>3940</v>
      </c>
      <c r="B208" s="22" t="s">
        <v>3785</v>
      </c>
      <c r="C208" s="22" t="s">
        <v>3478</v>
      </c>
      <c r="D208" s="22" t="s">
        <v>3921</v>
      </c>
      <c r="E208" s="22" t="s">
        <v>3922</v>
      </c>
      <c r="F208" s="22" t="s">
        <v>3941</v>
      </c>
      <c r="G208" s="22" t="s">
        <v>727</v>
      </c>
      <c r="H208" s="63" t="n">
        <v>101863.36</v>
      </c>
      <c r="I208" s="22" t="s">
        <v>601</v>
      </c>
      <c r="J208" s="22"/>
      <c r="K208" s="63" t="n">
        <v>43769.1822097898</v>
      </c>
      <c r="L208" s="22" t="s">
        <v>3177</v>
      </c>
      <c r="M208" s="22" t="n">
        <v>2</v>
      </c>
      <c r="N208" s="22" t="s">
        <v>3924</v>
      </c>
    </row>
    <row r="209" customFormat="false" ht="15" hidden="false" customHeight="false" outlineLevel="0" collapsed="false">
      <c r="A209" s="22" t="s">
        <v>3942</v>
      </c>
      <c r="B209" s="22" t="s">
        <v>3785</v>
      </c>
      <c r="C209" s="22" t="s">
        <v>3478</v>
      </c>
      <c r="D209" s="22" t="s">
        <v>3921</v>
      </c>
      <c r="E209" s="22" t="s">
        <v>3922</v>
      </c>
      <c r="F209" s="22" t="s">
        <v>3943</v>
      </c>
      <c r="G209" s="22" t="s">
        <v>727</v>
      </c>
      <c r="H209" s="63" t="n">
        <v>56430.32</v>
      </c>
      <c r="I209" s="22" t="s">
        <v>601</v>
      </c>
      <c r="J209" s="22"/>
      <c r="K209" s="63" t="n">
        <v>24247.2755487032</v>
      </c>
      <c r="L209" s="22" t="s">
        <v>3137</v>
      </c>
      <c r="M209" s="22" t="n">
        <v>1</v>
      </c>
      <c r="N209" s="22" t="s">
        <v>3924</v>
      </c>
    </row>
    <row r="210" customFormat="false" ht="15" hidden="false" customHeight="false" outlineLevel="0" collapsed="false">
      <c r="A210" s="22" t="s">
        <v>3944</v>
      </c>
      <c r="B210" s="22" t="s">
        <v>3785</v>
      </c>
      <c r="C210" s="22" t="s">
        <v>3478</v>
      </c>
      <c r="D210" s="22" t="s">
        <v>3921</v>
      </c>
      <c r="E210" s="22" t="s">
        <v>3922</v>
      </c>
      <c r="F210" s="22" t="s">
        <v>3945</v>
      </c>
      <c r="G210" s="22" t="s">
        <v>727</v>
      </c>
      <c r="H210" s="63" t="n">
        <v>40551.31</v>
      </c>
      <c r="I210" s="22" t="s">
        <v>601</v>
      </c>
      <c r="J210" s="22"/>
      <c r="K210" s="63" t="n">
        <v>17424.2993382083</v>
      </c>
      <c r="L210" s="22" t="s">
        <v>3153</v>
      </c>
      <c r="M210" s="22" t="n">
        <v>1</v>
      </c>
      <c r="N210" s="22" t="s">
        <v>3924</v>
      </c>
    </row>
    <row r="211" customFormat="false" ht="15" hidden="false" customHeight="false" outlineLevel="0" collapsed="false">
      <c r="A211" s="22" t="s">
        <v>3946</v>
      </c>
      <c r="B211" s="22" t="s">
        <v>3785</v>
      </c>
      <c r="C211" s="22" t="s">
        <v>3478</v>
      </c>
      <c r="D211" s="22" t="s">
        <v>3921</v>
      </c>
      <c r="E211" s="22" t="s">
        <v>3922</v>
      </c>
      <c r="F211" s="22" t="s">
        <v>3947</v>
      </c>
      <c r="G211" s="22" t="s">
        <v>727</v>
      </c>
      <c r="H211" s="63" t="n">
        <v>25853.26</v>
      </c>
      <c r="I211" s="22" t="s">
        <v>601</v>
      </c>
      <c r="J211" s="22"/>
      <c r="K211" s="63" t="n">
        <v>11108.7642078277</v>
      </c>
      <c r="L211" s="22" t="s">
        <v>3153</v>
      </c>
      <c r="M211" s="22" t="n">
        <v>1</v>
      </c>
      <c r="N211" s="22" t="s">
        <v>3924</v>
      </c>
    </row>
    <row r="212" customFormat="false" ht="15" hidden="false" customHeight="false" outlineLevel="0" collapsed="false">
      <c r="A212" s="22" t="s">
        <v>3948</v>
      </c>
      <c r="B212" s="22" t="s">
        <v>3785</v>
      </c>
      <c r="C212" s="22" t="s">
        <v>3478</v>
      </c>
      <c r="D212" s="22" t="s">
        <v>3921</v>
      </c>
      <c r="E212" s="22" t="s">
        <v>3922</v>
      </c>
      <c r="F212" s="22" t="s">
        <v>3949</v>
      </c>
      <c r="G212" s="22" t="s">
        <v>727</v>
      </c>
      <c r="H212" s="63" t="n">
        <v>44491.08</v>
      </c>
      <c r="I212" s="22" t="s">
        <v>601</v>
      </c>
      <c r="J212" s="22"/>
      <c r="K212" s="63" t="n">
        <v>19117.160353147</v>
      </c>
      <c r="L212" s="22" t="s">
        <v>3165</v>
      </c>
      <c r="M212" s="22" t="n">
        <v>1</v>
      </c>
      <c r="N212" s="22" t="s">
        <v>3924</v>
      </c>
    </row>
    <row r="213" customFormat="false" ht="15" hidden="false" customHeight="false" outlineLevel="0" collapsed="false">
      <c r="A213" s="22" t="s">
        <v>3950</v>
      </c>
      <c r="B213" s="22" t="s">
        <v>3785</v>
      </c>
      <c r="C213" s="22" t="s">
        <v>3478</v>
      </c>
      <c r="D213" s="22" t="s">
        <v>3921</v>
      </c>
      <c r="E213" s="22" t="s">
        <v>3922</v>
      </c>
      <c r="F213" s="22" t="s">
        <v>3951</v>
      </c>
      <c r="G213" s="22" t="s">
        <v>732</v>
      </c>
      <c r="H213" s="63" t="n">
        <v>69403.05</v>
      </c>
      <c r="I213" s="22" t="s">
        <v>601</v>
      </c>
      <c r="J213" s="22"/>
      <c r="K213" s="63" t="n">
        <v>29821.4661421453</v>
      </c>
      <c r="L213" s="22" t="s">
        <v>3162</v>
      </c>
      <c r="M213" s="22" t="n">
        <v>1</v>
      </c>
      <c r="N213" s="22" t="s">
        <v>3924</v>
      </c>
    </row>
    <row r="214" customFormat="false" ht="15" hidden="false" customHeight="false" outlineLevel="0" collapsed="false">
      <c r="A214" s="22" t="s">
        <v>3952</v>
      </c>
      <c r="B214" s="22" t="s">
        <v>3785</v>
      </c>
      <c r="C214" s="22" t="s">
        <v>3478</v>
      </c>
      <c r="D214" s="22" t="s">
        <v>3921</v>
      </c>
      <c r="E214" s="22" t="s">
        <v>3922</v>
      </c>
      <c r="F214" s="22" t="s">
        <v>3953</v>
      </c>
      <c r="G214" s="22" t="s">
        <v>727</v>
      </c>
      <c r="H214" s="63" t="n">
        <v>25620.39</v>
      </c>
      <c r="I214" s="22" t="s">
        <v>601</v>
      </c>
      <c r="J214" s="22"/>
      <c r="K214" s="63" t="n">
        <v>11008.7034061696</v>
      </c>
      <c r="L214" s="22" t="s">
        <v>1217</v>
      </c>
      <c r="M214" s="22" t="n">
        <v>1</v>
      </c>
      <c r="N214" s="22" t="s">
        <v>3924</v>
      </c>
    </row>
    <row r="215" customFormat="false" ht="15" hidden="false" customHeight="false" outlineLevel="0" collapsed="false">
      <c r="A215" s="22" t="s">
        <v>3954</v>
      </c>
      <c r="B215" s="22" t="s">
        <v>3785</v>
      </c>
      <c r="C215" s="22" t="s">
        <v>3478</v>
      </c>
      <c r="D215" s="22" t="s">
        <v>3921</v>
      </c>
      <c r="E215" s="22" t="s">
        <v>3922</v>
      </c>
      <c r="F215" s="22" t="s">
        <v>3851</v>
      </c>
      <c r="G215" s="22" t="s">
        <v>727</v>
      </c>
      <c r="H215" s="63" t="n">
        <v>74687.18</v>
      </c>
      <c r="I215" s="22" t="s">
        <v>601</v>
      </c>
      <c r="J215" s="22"/>
      <c r="K215" s="63" t="n">
        <v>32091.9788052875</v>
      </c>
      <c r="L215" s="22" t="s">
        <v>3177</v>
      </c>
      <c r="M215" s="22" t="n">
        <v>2</v>
      </c>
      <c r="N215" s="22" t="s">
        <v>3924</v>
      </c>
    </row>
    <row r="216" customFormat="false" ht="15" hidden="false" customHeight="false" outlineLevel="0" collapsed="false">
      <c r="A216" s="22" t="s">
        <v>3955</v>
      </c>
      <c r="B216" s="22" t="s">
        <v>3785</v>
      </c>
      <c r="C216" s="22" t="s">
        <v>3478</v>
      </c>
      <c r="D216" s="22" t="s">
        <v>3921</v>
      </c>
      <c r="E216" s="22" t="s">
        <v>3922</v>
      </c>
      <c r="F216" s="22" t="s">
        <v>3853</v>
      </c>
      <c r="G216" s="22" t="s">
        <v>732</v>
      </c>
      <c r="H216" s="63" t="n">
        <v>253007.04</v>
      </c>
      <c r="I216" s="22" t="s">
        <v>601</v>
      </c>
      <c r="J216" s="22"/>
      <c r="K216" s="63" t="n">
        <v>108713.390507829</v>
      </c>
      <c r="L216" s="22" t="s">
        <v>3233</v>
      </c>
      <c r="M216" s="22" t="n">
        <v>1</v>
      </c>
      <c r="N216" s="22" t="s">
        <v>3924</v>
      </c>
    </row>
    <row r="217" customFormat="false" ht="15" hidden="false" customHeight="false" outlineLevel="0" collapsed="false">
      <c r="A217" s="22" t="s">
        <v>3956</v>
      </c>
      <c r="B217" s="22" t="s">
        <v>3785</v>
      </c>
      <c r="C217" s="22" t="s">
        <v>3478</v>
      </c>
      <c r="D217" s="22" t="s">
        <v>3921</v>
      </c>
      <c r="E217" s="22" t="s">
        <v>3922</v>
      </c>
      <c r="F217" s="22" t="s">
        <v>3856</v>
      </c>
      <c r="G217" s="22" t="s">
        <v>732</v>
      </c>
      <c r="H217" s="63" t="n">
        <v>4625.19</v>
      </c>
      <c r="I217" s="22" t="s">
        <v>601</v>
      </c>
      <c r="J217" s="22"/>
      <c r="K217" s="63" t="n">
        <v>1987.37587160779</v>
      </c>
      <c r="L217" s="22" t="s">
        <v>3857</v>
      </c>
      <c r="M217" s="22" t="n">
        <v>1</v>
      </c>
      <c r="N217" s="22" t="s">
        <v>3924</v>
      </c>
    </row>
    <row r="218" customFormat="false" ht="15" hidden="false" customHeight="false" outlineLevel="0" collapsed="false">
      <c r="A218" s="22" t="s">
        <v>3957</v>
      </c>
      <c r="B218" s="22" t="s">
        <v>3785</v>
      </c>
      <c r="C218" s="22" t="s">
        <v>3478</v>
      </c>
      <c r="D218" s="22" t="s">
        <v>3921</v>
      </c>
      <c r="E218" s="22" t="s">
        <v>3922</v>
      </c>
      <c r="F218" s="22" t="s">
        <v>3859</v>
      </c>
      <c r="G218" s="22" t="s">
        <v>732</v>
      </c>
      <c r="H218" s="63" t="n">
        <v>52356.3</v>
      </c>
      <c r="I218" s="22" t="s">
        <v>601</v>
      </c>
      <c r="J218" s="22"/>
      <c r="K218" s="63" t="n">
        <v>22496.7292903986</v>
      </c>
      <c r="L218" s="22" t="s">
        <v>3860</v>
      </c>
      <c r="M218" s="22" t="n">
        <v>1</v>
      </c>
      <c r="N218" s="22" t="s">
        <v>3924</v>
      </c>
    </row>
    <row r="219" customFormat="false" ht="15" hidden="false" customHeight="false" outlineLevel="0" collapsed="false">
      <c r="A219" s="22" t="s">
        <v>3958</v>
      </c>
      <c r="B219" s="22" t="s">
        <v>3785</v>
      </c>
      <c r="C219" s="22" t="s">
        <v>3478</v>
      </c>
      <c r="D219" s="22" t="s">
        <v>3921</v>
      </c>
      <c r="E219" s="22" t="s">
        <v>3922</v>
      </c>
      <c r="F219" s="22" t="s">
        <v>3959</v>
      </c>
      <c r="G219" s="22" t="s">
        <v>748</v>
      </c>
      <c r="H219" s="63" t="n">
        <v>5.74</v>
      </c>
      <c r="I219" s="22" t="s">
        <v>601</v>
      </c>
      <c r="J219" s="22"/>
      <c r="K219" s="63" t="n">
        <v>2.46639327314742</v>
      </c>
      <c r="L219" s="22" t="s">
        <v>3209</v>
      </c>
      <c r="M219" s="22" t="n">
        <v>2</v>
      </c>
      <c r="N219" s="22" t="s">
        <v>3924</v>
      </c>
    </row>
    <row r="220" customFormat="false" ht="15" hidden="false" customHeight="false" outlineLevel="0" collapsed="false">
      <c r="A220" s="22" t="s">
        <v>3960</v>
      </c>
      <c r="B220" s="22" t="s">
        <v>3785</v>
      </c>
      <c r="C220" s="22" t="s">
        <v>3478</v>
      </c>
      <c r="D220" s="22" t="s">
        <v>3921</v>
      </c>
      <c r="E220" s="22" t="s">
        <v>3922</v>
      </c>
      <c r="F220" s="22" t="s">
        <v>3961</v>
      </c>
      <c r="G220" s="22" t="s">
        <v>748</v>
      </c>
      <c r="H220" s="63" t="n">
        <v>4.45</v>
      </c>
      <c r="I220" s="22" t="s">
        <v>601</v>
      </c>
      <c r="J220" s="22"/>
      <c r="K220" s="63" t="n">
        <v>1.91209931454808</v>
      </c>
      <c r="L220" s="22" t="s">
        <v>1202</v>
      </c>
      <c r="M220" s="22" t="n">
        <v>40</v>
      </c>
      <c r="N220" s="22" t="s">
        <v>3924</v>
      </c>
    </row>
    <row r="221" customFormat="false" ht="15" hidden="false" customHeight="false" outlineLevel="0" collapsed="false">
      <c r="A221" s="22" t="s">
        <v>3962</v>
      </c>
      <c r="B221" s="22" t="s">
        <v>3785</v>
      </c>
      <c r="C221" s="22" t="s">
        <v>3478</v>
      </c>
      <c r="D221" s="22" t="s">
        <v>3921</v>
      </c>
      <c r="E221" s="22" t="s">
        <v>3922</v>
      </c>
      <c r="F221" s="22" t="s">
        <v>3963</v>
      </c>
      <c r="G221" s="22" t="s">
        <v>748</v>
      </c>
      <c r="H221" s="63" t="n">
        <v>23.81</v>
      </c>
      <c r="I221" s="22" t="s">
        <v>601</v>
      </c>
      <c r="J221" s="22"/>
      <c r="K221" s="63" t="n">
        <v>10.2308055459303</v>
      </c>
      <c r="L221" s="22" t="s">
        <v>953</v>
      </c>
      <c r="M221" s="22" t="n">
        <v>8</v>
      </c>
      <c r="N221" s="22" t="s">
        <v>3924</v>
      </c>
    </row>
    <row r="222" customFormat="false" ht="15" hidden="false" customHeight="false" outlineLevel="0" collapsed="false">
      <c r="A222" s="22" t="s">
        <v>3964</v>
      </c>
      <c r="B222" s="22" t="s">
        <v>3785</v>
      </c>
      <c r="C222" s="22" t="s">
        <v>3478</v>
      </c>
      <c r="D222" s="22" t="s">
        <v>3921</v>
      </c>
      <c r="E222" s="22" t="s">
        <v>3922</v>
      </c>
      <c r="F222" s="22" t="s">
        <v>3965</v>
      </c>
      <c r="G222" s="22" t="s">
        <v>748</v>
      </c>
      <c r="H222" s="63" t="n">
        <v>10.24</v>
      </c>
      <c r="I222" s="22" t="s">
        <v>601</v>
      </c>
      <c r="J222" s="22"/>
      <c r="K222" s="63" t="n">
        <v>4.39997684965671</v>
      </c>
      <c r="L222" s="22" t="s">
        <v>3237</v>
      </c>
      <c r="M222" s="22" t="n">
        <v>25</v>
      </c>
      <c r="N222" s="22" t="s">
        <v>3924</v>
      </c>
    </row>
    <row r="223" customFormat="false" ht="15" hidden="false" customHeight="false" outlineLevel="0" collapsed="false">
      <c r="A223" s="22" t="s">
        <v>3966</v>
      </c>
      <c r="B223" s="22" t="s">
        <v>3785</v>
      </c>
      <c r="C223" s="22" t="s">
        <v>3478</v>
      </c>
      <c r="D223" s="22" t="s">
        <v>3921</v>
      </c>
      <c r="E223" s="22" t="s">
        <v>3922</v>
      </c>
      <c r="F223" s="22" t="s">
        <v>3967</v>
      </c>
      <c r="G223" s="22" t="s">
        <v>748</v>
      </c>
      <c r="H223" s="63" t="n">
        <v>6.48</v>
      </c>
      <c r="I223" s="22" t="s">
        <v>601</v>
      </c>
      <c r="J223" s="22"/>
      <c r="K223" s="63" t="n">
        <v>2.78436035017339</v>
      </c>
      <c r="L223" s="22" t="s">
        <v>1202</v>
      </c>
      <c r="M223" s="22" t="n">
        <v>15</v>
      </c>
      <c r="N223" s="22" t="s">
        <v>3924</v>
      </c>
    </row>
    <row r="224" customFormat="false" ht="15" hidden="false" customHeight="false" outlineLevel="0" collapsed="false">
      <c r="A224" s="22" t="s">
        <v>3968</v>
      </c>
      <c r="B224" s="22" t="s">
        <v>3785</v>
      </c>
      <c r="C224" s="22" t="s">
        <v>3478</v>
      </c>
      <c r="D224" s="22" t="s">
        <v>3921</v>
      </c>
      <c r="E224" s="22" t="s">
        <v>3922</v>
      </c>
      <c r="F224" s="22" t="s">
        <v>3969</v>
      </c>
      <c r="G224" s="22" t="s">
        <v>727</v>
      </c>
      <c r="H224" s="63" t="n">
        <v>2204.75</v>
      </c>
      <c r="I224" s="22" t="s">
        <v>601</v>
      </c>
      <c r="J224" s="22"/>
      <c r="K224" s="63" t="n">
        <v>947.34853117975</v>
      </c>
      <c r="L224" s="22" t="s">
        <v>1508</v>
      </c>
      <c r="M224" s="22" t="n">
        <v>2</v>
      </c>
      <c r="N224" s="22" t="s">
        <v>3924</v>
      </c>
    </row>
    <row r="225" customFormat="false" ht="15" hidden="false" customHeight="false" outlineLevel="0" collapsed="false">
      <c r="A225" s="22" t="s">
        <v>3970</v>
      </c>
      <c r="B225" s="22" t="s">
        <v>3785</v>
      </c>
      <c r="C225" s="22" t="s">
        <v>3478</v>
      </c>
      <c r="D225" s="22" t="s">
        <v>3921</v>
      </c>
      <c r="E225" s="22" t="s">
        <v>3922</v>
      </c>
      <c r="F225" s="22" t="s">
        <v>3971</v>
      </c>
      <c r="G225" s="22" t="s">
        <v>727</v>
      </c>
      <c r="H225" s="63" t="n">
        <v>92.69</v>
      </c>
      <c r="I225" s="22" t="s">
        <v>601</v>
      </c>
      <c r="J225" s="22"/>
      <c r="K225" s="63" t="n">
        <v>39.8275248236993</v>
      </c>
      <c r="L225" s="22" t="s">
        <v>1508</v>
      </c>
      <c r="M225" s="22" t="n">
        <v>13</v>
      </c>
      <c r="N225" s="22" t="s">
        <v>3924</v>
      </c>
    </row>
    <row r="226" customFormat="false" ht="15" hidden="false" customHeight="false" outlineLevel="0" collapsed="false">
      <c r="A226" s="22" t="s">
        <v>3972</v>
      </c>
      <c r="B226" s="22" t="s">
        <v>3785</v>
      </c>
      <c r="C226" s="22" t="s">
        <v>3478</v>
      </c>
      <c r="D226" s="22" t="s">
        <v>3921</v>
      </c>
      <c r="E226" s="22" t="s">
        <v>3922</v>
      </c>
      <c r="F226" s="22" t="s">
        <v>3973</v>
      </c>
      <c r="G226" s="22" t="s">
        <v>727</v>
      </c>
      <c r="H226" s="63" t="n">
        <v>140.22</v>
      </c>
      <c r="I226" s="22" t="s">
        <v>601</v>
      </c>
      <c r="J226" s="22"/>
      <c r="K226" s="63" t="n">
        <v>60.2504642440297</v>
      </c>
      <c r="L226" s="22" t="s">
        <v>1508</v>
      </c>
      <c r="M226" s="22" t="n">
        <v>4</v>
      </c>
      <c r="N226" s="22" t="s">
        <v>3924</v>
      </c>
    </row>
    <row r="227" customFormat="false" ht="15" hidden="false" customHeight="false" outlineLevel="0" collapsed="false">
      <c r="A227" s="22" t="s">
        <v>3974</v>
      </c>
      <c r="B227" s="22" t="s">
        <v>3785</v>
      </c>
      <c r="C227" s="22" t="s">
        <v>3478</v>
      </c>
      <c r="D227" s="22" t="s">
        <v>3921</v>
      </c>
      <c r="E227" s="22" t="s">
        <v>3922</v>
      </c>
      <c r="F227" s="22" t="s">
        <v>3975</v>
      </c>
      <c r="G227" s="22" t="s">
        <v>727</v>
      </c>
      <c r="H227" s="63" t="n">
        <v>99.33</v>
      </c>
      <c r="I227" s="22" t="s">
        <v>601</v>
      </c>
      <c r="J227" s="22"/>
      <c r="K227" s="63" t="n">
        <v>42.6806348121486</v>
      </c>
      <c r="L227" s="22" t="s">
        <v>1508</v>
      </c>
      <c r="M227" s="22" t="n">
        <v>13</v>
      </c>
      <c r="N227" s="22" t="s">
        <v>3924</v>
      </c>
    </row>
    <row r="228" customFormat="false" ht="15" hidden="false" customHeight="false" outlineLevel="0" collapsed="false">
      <c r="A228" s="22" t="s">
        <v>3976</v>
      </c>
      <c r="B228" s="22" t="s">
        <v>3785</v>
      </c>
      <c r="C228" s="22" t="s">
        <v>3478</v>
      </c>
      <c r="D228" s="22" t="s">
        <v>3921</v>
      </c>
      <c r="E228" s="22" t="s">
        <v>3922</v>
      </c>
      <c r="F228" s="22" t="s">
        <v>3977</v>
      </c>
      <c r="G228" s="22" t="s">
        <v>727</v>
      </c>
      <c r="H228" s="63" t="n">
        <v>351.27</v>
      </c>
      <c r="I228" s="22" t="s">
        <v>601</v>
      </c>
      <c r="J228" s="22"/>
      <c r="K228" s="63" t="n">
        <v>150.935533982316</v>
      </c>
      <c r="L228" s="22" t="s">
        <v>1508</v>
      </c>
      <c r="M228" s="22" t="n">
        <v>10</v>
      </c>
      <c r="N228" s="22" t="s">
        <v>3924</v>
      </c>
    </row>
    <row r="229" customFormat="false" ht="15" hidden="false" customHeight="false" outlineLevel="0" collapsed="false">
      <c r="A229" s="22" t="s">
        <v>3978</v>
      </c>
      <c r="B229" s="22" t="s">
        <v>3785</v>
      </c>
      <c r="C229" s="22" t="s">
        <v>3478</v>
      </c>
      <c r="D229" s="22" t="s">
        <v>3921</v>
      </c>
      <c r="E229" s="22" t="s">
        <v>3922</v>
      </c>
      <c r="F229" s="22" t="s">
        <v>3979</v>
      </c>
      <c r="G229" s="22" t="s">
        <v>727</v>
      </c>
      <c r="H229" s="63" t="n">
        <v>186.96</v>
      </c>
      <c r="I229" s="22" t="s">
        <v>601</v>
      </c>
      <c r="J229" s="22"/>
      <c r="K229" s="63" t="n">
        <v>80.333952325373</v>
      </c>
      <c r="L229" s="22" t="s">
        <v>1508</v>
      </c>
      <c r="M229" s="22" t="n">
        <v>11</v>
      </c>
      <c r="N229" s="22" t="s">
        <v>3924</v>
      </c>
    </row>
    <row r="230" customFormat="false" ht="15" hidden="false" customHeight="false" outlineLevel="0" collapsed="false">
      <c r="A230" s="22" t="s">
        <v>3980</v>
      </c>
      <c r="B230" s="22" t="s">
        <v>3785</v>
      </c>
      <c r="C230" s="22" t="s">
        <v>3478</v>
      </c>
      <c r="D230" s="22" t="s">
        <v>3921</v>
      </c>
      <c r="E230" s="22" t="s">
        <v>3922</v>
      </c>
      <c r="F230" s="22" t="s">
        <v>3981</v>
      </c>
      <c r="G230" s="22" t="s">
        <v>727</v>
      </c>
      <c r="H230" s="63" t="n">
        <v>159.23</v>
      </c>
      <c r="I230" s="22" t="s">
        <v>601</v>
      </c>
      <c r="J230" s="22"/>
      <c r="K230" s="63" t="n">
        <v>68.4187806416835</v>
      </c>
      <c r="L230" s="22" t="s">
        <v>1508</v>
      </c>
      <c r="M230" s="22" t="n">
        <v>10</v>
      </c>
      <c r="N230" s="22" t="s">
        <v>3924</v>
      </c>
    </row>
    <row r="231" customFormat="false" ht="15" hidden="false" customHeight="false" outlineLevel="0" collapsed="false">
      <c r="A231" s="22" t="s">
        <v>3982</v>
      </c>
      <c r="B231" s="22" t="s">
        <v>3785</v>
      </c>
      <c r="C231" s="22" t="s">
        <v>3478</v>
      </c>
      <c r="D231" s="22" t="s">
        <v>3921</v>
      </c>
      <c r="E231" s="22" t="s">
        <v>3922</v>
      </c>
      <c r="F231" s="22" t="s">
        <v>3983</v>
      </c>
      <c r="G231" s="22" t="s">
        <v>748</v>
      </c>
      <c r="H231" s="63" t="n">
        <v>3.89</v>
      </c>
      <c r="I231" s="22" t="s">
        <v>601</v>
      </c>
      <c r="J231" s="22"/>
      <c r="K231" s="63" t="n">
        <v>1.67147558058248</v>
      </c>
      <c r="L231" s="22" t="s">
        <v>1508</v>
      </c>
      <c r="M231" s="22" t="n">
        <v>3</v>
      </c>
      <c r="N231" s="22" t="s">
        <v>3924</v>
      </c>
    </row>
    <row r="232" customFormat="false" ht="15" hidden="false" customHeight="false" outlineLevel="0" collapsed="false">
      <c r="A232" s="22" t="s">
        <v>3984</v>
      </c>
      <c r="B232" s="22" t="s">
        <v>3785</v>
      </c>
      <c r="C232" s="22" t="s">
        <v>3478</v>
      </c>
      <c r="D232" s="22" t="s">
        <v>3921</v>
      </c>
      <c r="E232" s="22" t="s">
        <v>3922</v>
      </c>
      <c r="F232" s="22" t="s">
        <v>3985</v>
      </c>
      <c r="G232" s="22" t="s">
        <v>727</v>
      </c>
      <c r="H232" s="63" t="n">
        <v>391.53</v>
      </c>
      <c r="I232" s="22" t="s">
        <v>601</v>
      </c>
      <c r="J232" s="22"/>
      <c r="K232" s="63" t="n">
        <v>168.234661713486</v>
      </c>
      <c r="L232" s="22" t="s">
        <v>3209</v>
      </c>
      <c r="M232" s="22" t="n">
        <v>13</v>
      </c>
      <c r="N232" s="22" t="s">
        <v>3924</v>
      </c>
    </row>
    <row r="233" customFormat="false" ht="15" hidden="false" customHeight="false" outlineLevel="0" collapsed="false">
      <c r="A233" s="22" t="s">
        <v>3986</v>
      </c>
      <c r="B233" s="22" t="s">
        <v>3785</v>
      </c>
      <c r="C233" s="22" t="s">
        <v>3478</v>
      </c>
      <c r="D233" s="22" t="s">
        <v>3921</v>
      </c>
      <c r="E233" s="22" t="s">
        <v>3922</v>
      </c>
      <c r="F233" s="22" t="s">
        <v>3987</v>
      </c>
      <c r="G233" s="22" t="s">
        <v>727</v>
      </c>
      <c r="H233" s="63" t="n">
        <v>5033.6</v>
      </c>
      <c r="I233" s="22" t="s">
        <v>601</v>
      </c>
      <c r="J233" s="22"/>
      <c r="K233" s="63" t="n">
        <v>2162.86362015938</v>
      </c>
      <c r="L233" s="22" t="s">
        <v>788</v>
      </c>
      <c r="M233" s="22" t="n">
        <v>6</v>
      </c>
      <c r="N233" s="22" t="s">
        <v>3924</v>
      </c>
    </row>
    <row r="234" customFormat="false" ht="15" hidden="false" customHeight="false" outlineLevel="0" collapsed="false">
      <c r="A234" s="22" t="s">
        <v>3988</v>
      </c>
      <c r="B234" s="22" t="s">
        <v>3785</v>
      </c>
      <c r="C234" s="22" t="s">
        <v>3478</v>
      </c>
      <c r="D234" s="22" t="s">
        <v>3921</v>
      </c>
      <c r="E234" s="22" t="s">
        <v>3922</v>
      </c>
      <c r="F234" s="22" t="s">
        <v>3989</v>
      </c>
      <c r="G234" s="22" t="s">
        <v>727</v>
      </c>
      <c r="H234" s="63" t="n">
        <v>1085.66</v>
      </c>
      <c r="I234" s="22" t="s">
        <v>601</v>
      </c>
      <c r="J234" s="22"/>
      <c r="K234" s="63" t="n">
        <v>466.492076816241</v>
      </c>
      <c r="L234" s="22" t="s">
        <v>788</v>
      </c>
      <c r="M234" s="22" t="n">
        <v>7</v>
      </c>
      <c r="N234" s="22" t="s">
        <v>3924</v>
      </c>
    </row>
    <row r="235" customFormat="false" ht="15" hidden="false" customHeight="false" outlineLevel="0" collapsed="false">
      <c r="A235" s="22" t="s">
        <v>3990</v>
      </c>
      <c r="B235" s="22" t="s">
        <v>3785</v>
      </c>
      <c r="C235" s="22" t="s">
        <v>3478</v>
      </c>
      <c r="D235" s="22" t="s">
        <v>3921</v>
      </c>
      <c r="E235" s="22" t="s">
        <v>3922</v>
      </c>
      <c r="F235" s="22" t="s">
        <v>3991</v>
      </c>
      <c r="G235" s="22" t="s">
        <v>727</v>
      </c>
      <c r="H235" s="63" t="n">
        <v>186.75</v>
      </c>
      <c r="I235" s="22" t="s">
        <v>601</v>
      </c>
      <c r="J235" s="22"/>
      <c r="K235" s="63" t="n">
        <v>80.2437184251359</v>
      </c>
      <c r="L235" s="22" t="s">
        <v>1202</v>
      </c>
      <c r="M235" s="22" t="n">
        <v>23</v>
      </c>
      <c r="N235" s="22" t="s">
        <v>3924</v>
      </c>
    </row>
    <row r="236" customFormat="false" ht="15" hidden="false" customHeight="false" outlineLevel="0" collapsed="false">
      <c r="A236" s="22" t="s">
        <v>3992</v>
      </c>
      <c r="B236" s="22" t="s">
        <v>3785</v>
      </c>
      <c r="C236" s="22" t="s">
        <v>3478</v>
      </c>
      <c r="D236" s="22" t="s">
        <v>3921</v>
      </c>
      <c r="E236" s="22" t="s">
        <v>3922</v>
      </c>
      <c r="F236" s="22" t="s">
        <v>3993</v>
      </c>
      <c r="G236" s="22" t="s">
        <v>727</v>
      </c>
      <c r="H236" s="63" t="n">
        <v>186.75</v>
      </c>
      <c r="I236" s="22" t="s">
        <v>601</v>
      </c>
      <c r="J236" s="22"/>
      <c r="K236" s="63" t="n">
        <v>80.2437184251359</v>
      </c>
      <c r="L236" s="22" t="s">
        <v>1202</v>
      </c>
      <c r="M236" s="22" t="n">
        <v>3</v>
      </c>
      <c r="N236" s="22" t="s">
        <v>3924</v>
      </c>
    </row>
    <row r="237" customFormat="false" ht="15" hidden="false" customHeight="false" outlineLevel="0" collapsed="false">
      <c r="A237" s="22" t="s">
        <v>3994</v>
      </c>
      <c r="B237" s="22" t="s">
        <v>3785</v>
      </c>
      <c r="C237" s="22" t="s">
        <v>3478</v>
      </c>
      <c r="D237" s="22" t="s">
        <v>3921</v>
      </c>
      <c r="E237" s="22" t="s">
        <v>3922</v>
      </c>
      <c r="F237" s="22" t="s">
        <v>3995</v>
      </c>
      <c r="G237" s="22" t="s">
        <v>727</v>
      </c>
      <c r="H237" s="63" t="n">
        <v>114.18</v>
      </c>
      <c r="I237" s="22" t="s">
        <v>601</v>
      </c>
      <c r="J237" s="22"/>
      <c r="K237" s="63" t="n">
        <v>49.0614606146293</v>
      </c>
      <c r="L237" s="22" t="s">
        <v>1202</v>
      </c>
      <c r="M237" s="22" t="n">
        <v>2</v>
      </c>
      <c r="N237" s="22" t="s">
        <v>3924</v>
      </c>
    </row>
    <row r="238" customFormat="false" ht="15" hidden="false" customHeight="false" outlineLevel="0" collapsed="false">
      <c r="A238" s="22" t="s">
        <v>3996</v>
      </c>
      <c r="B238" s="22" t="s">
        <v>3785</v>
      </c>
      <c r="C238" s="22" t="s">
        <v>3478</v>
      </c>
      <c r="D238" s="22" t="s">
        <v>3921</v>
      </c>
      <c r="E238" s="22" t="s">
        <v>3922</v>
      </c>
      <c r="F238" s="22" t="s">
        <v>3997</v>
      </c>
      <c r="G238" s="22" t="s">
        <v>727</v>
      </c>
      <c r="H238" s="63" t="n">
        <v>168.9</v>
      </c>
      <c r="I238" s="22" t="s">
        <v>601</v>
      </c>
      <c r="J238" s="22"/>
      <c r="K238" s="63" t="n">
        <v>72.5738369049823</v>
      </c>
      <c r="L238" s="22" t="s">
        <v>1217</v>
      </c>
      <c r="M238" s="22" t="n">
        <v>3</v>
      </c>
      <c r="N238" s="22" t="s">
        <v>3924</v>
      </c>
    </row>
    <row r="239" customFormat="false" ht="15" hidden="false" customHeight="false" outlineLevel="0" collapsed="false">
      <c r="A239" s="22" t="s">
        <v>3998</v>
      </c>
      <c r="B239" s="22" t="s">
        <v>3785</v>
      </c>
      <c r="C239" s="22" t="s">
        <v>3478</v>
      </c>
      <c r="D239" s="22" t="s">
        <v>3921</v>
      </c>
      <c r="E239" s="22" t="s">
        <v>3922</v>
      </c>
      <c r="F239" s="22" t="s">
        <v>3999</v>
      </c>
      <c r="G239" s="22" t="s">
        <v>727</v>
      </c>
      <c r="H239" s="63" t="n">
        <v>69.81</v>
      </c>
      <c r="I239" s="22" t="s">
        <v>601</v>
      </c>
      <c r="J239" s="22"/>
      <c r="K239" s="63" t="n">
        <v>29.9963265502476</v>
      </c>
      <c r="L239" s="22" t="s">
        <v>1217</v>
      </c>
      <c r="M239" s="22" t="n">
        <v>3</v>
      </c>
      <c r="N239" s="22" t="s">
        <v>3924</v>
      </c>
    </row>
    <row r="240" customFormat="false" ht="15" hidden="false" customHeight="false" outlineLevel="0" collapsed="false">
      <c r="A240" s="22" t="s">
        <v>4000</v>
      </c>
      <c r="B240" s="22" t="s">
        <v>4001</v>
      </c>
      <c r="C240" s="22" t="s">
        <v>3478</v>
      </c>
      <c r="D240" s="22" t="s">
        <v>4002</v>
      </c>
      <c r="E240" s="22" t="s">
        <v>4003</v>
      </c>
      <c r="F240" s="22" t="s">
        <v>4004</v>
      </c>
      <c r="G240" s="22" t="s">
        <v>4005</v>
      </c>
      <c r="H240" s="63" t="n">
        <v>74500</v>
      </c>
      <c r="I240" s="22" t="s">
        <v>601</v>
      </c>
      <c r="J240" s="22"/>
      <c r="K240" s="63" t="n">
        <v>35206.5922360816</v>
      </c>
      <c r="L240" s="22" t="s">
        <v>3137</v>
      </c>
      <c r="M240" s="22" t="n">
        <v>1</v>
      </c>
      <c r="N240" s="22" t="s">
        <v>4006</v>
      </c>
    </row>
    <row r="241" customFormat="false" ht="15" hidden="false" customHeight="false" outlineLevel="0" collapsed="false">
      <c r="A241" s="22" t="s">
        <v>4007</v>
      </c>
      <c r="B241" s="22" t="s">
        <v>4001</v>
      </c>
      <c r="C241" s="22" t="s">
        <v>3478</v>
      </c>
      <c r="D241" s="22" t="s">
        <v>4002</v>
      </c>
      <c r="E241" s="22" t="s">
        <v>4003</v>
      </c>
      <c r="F241" s="22" t="s">
        <v>4008</v>
      </c>
      <c r="G241" s="22" t="s">
        <v>4005</v>
      </c>
      <c r="H241" s="63" t="n">
        <v>73250</v>
      </c>
      <c r="I241" s="22" t="s">
        <v>601</v>
      </c>
      <c r="J241" s="22"/>
      <c r="K241" s="63" t="n">
        <v>34615.877601248</v>
      </c>
      <c r="L241" s="22" t="s">
        <v>3140</v>
      </c>
      <c r="M241" s="22" t="n">
        <v>2</v>
      </c>
      <c r="N241" s="22" t="s">
        <v>4006</v>
      </c>
    </row>
    <row r="242" customFormat="false" ht="15" hidden="false" customHeight="false" outlineLevel="0" collapsed="false">
      <c r="A242" s="22" t="s">
        <v>4009</v>
      </c>
      <c r="B242" s="22" t="s">
        <v>4001</v>
      </c>
      <c r="C242" s="22" t="s">
        <v>3478</v>
      </c>
      <c r="D242" s="22" t="s">
        <v>4002</v>
      </c>
      <c r="E242" s="22" t="s">
        <v>4003</v>
      </c>
      <c r="F242" s="22" t="s">
        <v>4010</v>
      </c>
      <c r="G242" s="22" t="s">
        <v>4005</v>
      </c>
      <c r="H242" s="63" t="n">
        <v>157000</v>
      </c>
      <c r="I242" s="22" t="s">
        <v>601</v>
      </c>
      <c r="J242" s="22"/>
      <c r="K242" s="63" t="n">
        <v>74193.7581350981</v>
      </c>
      <c r="L242" s="22" t="s">
        <v>3177</v>
      </c>
      <c r="M242" s="22" t="n">
        <v>2</v>
      </c>
      <c r="N242" s="22" t="s">
        <v>4006</v>
      </c>
    </row>
    <row r="243" customFormat="false" ht="15" hidden="false" customHeight="false" outlineLevel="0" collapsed="false">
      <c r="A243" s="22" t="s">
        <v>4011</v>
      </c>
      <c r="B243" s="22" t="s">
        <v>4001</v>
      </c>
      <c r="C243" s="22" t="s">
        <v>3478</v>
      </c>
      <c r="D243" s="22" t="s">
        <v>4002</v>
      </c>
      <c r="E243" s="22" t="s">
        <v>4003</v>
      </c>
      <c r="F243" s="22" t="s">
        <v>4012</v>
      </c>
      <c r="G243" s="22" t="s">
        <v>4005</v>
      </c>
      <c r="H243" s="63" t="n">
        <v>49500</v>
      </c>
      <c r="I243" s="22" t="s">
        <v>601</v>
      </c>
      <c r="J243" s="22"/>
      <c r="K243" s="63" t="n">
        <v>23392.2995394099</v>
      </c>
      <c r="L243" s="22" t="s">
        <v>3177</v>
      </c>
      <c r="M243" s="22" t="n">
        <v>2</v>
      </c>
      <c r="N243" s="22" t="s">
        <v>4006</v>
      </c>
    </row>
    <row r="244" customFormat="false" ht="15" hidden="false" customHeight="false" outlineLevel="0" collapsed="false">
      <c r="A244" s="22" t="s">
        <v>4013</v>
      </c>
      <c r="B244" s="22" t="s">
        <v>4001</v>
      </c>
      <c r="C244" s="22" t="s">
        <v>3478</v>
      </c>
      <c r="D244" s="22" t="s">
        <v>4002</v>
      </c>
      <c r="E244" s="22" t="s">
        <v>4003</v>
      </c>
      <c r="F244" s="22" t="s">
        <v>4014</v>
      </c>
      <c r="G244" s="22" t="s">
        <v>4005</v>
      </c>
      <c r="H244" s="63" t="n">
        <v>49500</v>
      </c>
      <c r="I244" s="22" t="s">
        <v>601</v>
      </c>
      <c r="J244" s="22"/>
      <c r="K244" s="63" t="n">
        <v>23392.2995394099</v>
      </c>
      <c r="L244" s="22" t="s">
        <v>3177</v>
      </c>
      <c r="M244" s="22" t="n">
        <v>2</v>
      </c>
      <c r="N244" s="22" t="s">
        <v>4006</v>
      </c>
    </row>
    <row r="245" customFormat="false" ht="15" hidden="false" customHeight="false" outlineLevel="0" collapsed="false">
      <c r="A245" s="22" t="s">
        <v>4015</v>
      </c>
      <c r="B245" s="22" t="s">
        <v>4001</v>
      </c>
      <c r="C245" s="22" t="s">
        <v>3478</v>
      </c>
      <c r="D245" s="22" t="s">
        <v>4002</v>
      </c>
      <c r="E245" s="22" t="s">
        <v>4003</v>
      </c>
      <c r="F245" s="22" t="s">
        <v>4016</v>
      </c>
      <c r="G245" s="22" t="s">
        <v>853</v>
      </c>
      <c r="H245" s="63" t="n">
        <v>65</v>
      </c>
      <c r="I245" s="22" t="s">
        <v>601</v>
      </c>
      <c r="J245" s="22"/>
      <c r="K245" s="63" t="n">
        <v>30.7171610113464</v>
      </c>
      <c r="L245" s="22" t="s">
        <v>3177</v>
      </c>
      <c r="M245" s="22" t="n">
        <v>6</v>
      </c>
      <c r="N245" s="22" t="s">
        <v>4006</v>
      </c>
    </row>
    <row r="246" customFormat="false" ht="15" hidden="false" customHeight="false" outlineLevel="0" collapsed="false">
      <c r="A246" s="22" t="s">
        <v>4017</v>
      </c>
      <c r="B246" s="22" t="s">
        <v>4001</v>
      </c>
      <c r="C246" s="22" t="s">
        <v>3478</v>
      </c>
      <c r="D246" s="22" t="s">
        <v>4002</v>
      </c>
      <c r="E246" s="22" t="s">
        <v>4003</v>
      </c>
      <c r="F246" s="22" t="s">
        <v>4018</v>
      </c>
      <c r="G246" s="22" t="s">
        <v>4005</v>
      </c>
      <c r="H246" s="63" t="n">
        <v>67750</v>
      </c>
      <c r="I246" s="22" t="s">
        <v>601</v>
      </c>
      <c r="J246" s="22"/>
      <c r="K246" s="63" t="n">
        <v>32016.7332079802</v>
      </c>
      <c r="L246" s="22" t="s">
        <v>3165</v>
      </c>
      <c r="M246" s="22" t="n">
        <v>1</v>
      </c>
      <c r="N246" s="22" t="s">
        <v>4006</v>
      </c>
    </row>
    <row r="247" customFormat="false" ht="15" hidden="false" customHeight="false" outlineLevel="0" collapsed="false">
      <c r="A247" s="22" t="s">
        <v>4019</v>
      </c>
      <c r="B247" s="22" t="s">
        <v>4001</v>
      </c>
      <c r="C247" s="22" t="s">
        <v>3478</v>
      </c>
      <c r="D247" s="22" t="s">
        <v>4002</v>
      </c>
      <c r="E247" s="22" t="s">
        <v>4003</v>
      </c>
      <c r="F247" s="22" t="s">
        <v>4020</v>
      </c>
      <c r="G247" s="22" t="s">
        <v>4005</v>
      </c>
      <c r="H247" s="63" t="n">
        <v>23880</v>
      </c>
      <c r="I247" s="22" t="s">
        <v>601</v>
      </c>
      <c r="J247" s="22"/>
      <c r="K247" s="63" t="n">
        <v>11285.0123838608</v>
      </c>
      <c r="L247" s="22" t="s">
        <v>3173</v>
      </c>
      <c r="M247" s="22" t="n">
        <v>1</v>
      </c>
      <c r="N247" s="22" t="s">
        <v>4006</v>
      </c>
    </row>
    <row r="248" customFormat="false" ht="15" hidden="false" customHeight="false" outlineLevel="0" collapsed="false">
      <c r="A248" s="22" t="s">
        <v>4021</v>
      </c>
      <c r="B248" s="22" t="s">
        <v>4001</v>
      </c>
      <c r="C248" s="22" t="s">
        <v>3478</v>
      </c>
      <c r="D248" s="22" t="s">
        <v>4002</v>
      </c>
      <c r="E248" s="22" t="s">
        <v>4003</v>
      </c>
      <c r="F248" s="22" t="s">
        <v>4022</v>
      </c>
      <c r="G248" s="22" t="s">
        <v>4005</v>
      </c>
      <c r="H248" s="63" t="n">
        <v>5130</v>
      </c>
      <c r="I248" s="22" t="s">
        <v>601</v>
      </c>
      <c r="J248" s="22"/>
      <c r="K248" s="63" t="n">
        <v>2424.29286135703</v>
      </c>
      <c r="L248" s="22" t="s">
        <v>3217</v>
      </c>
      <c r="M248" s="22" t="n">
        <v>1</v>
      </c>
      <c r="N248" s="22" t="s">
        <v>4006</v>
      </c>
    </row>
    <row r="249" customFormat="false" ht="15" hidden="false" customHeight="false" outlineLevel="0" collapsed="false">
      <c r="A249" s="22" t="s">
        <v>4023</v>
      </c>
      <c r="B249" s="22" t="s">
        <v>4001</v>
      </c>
      <c r="C249" s="22" t="s">
        <v>3478</v>
      </c>
      <c r="D249" s="22" t="s">
        <v>4002</v>
      </c>
      <c r="E249" s="22" t="s">
        <v>4003</v>
      </c>
      <c r="F249" s="22" t="s">
        <v>4024</v>
      </c>
      <c r="G249" s="22" t="s">
        <v>4005</v>
      </c>
      <c r="H249" s="63" t="n">
        <v>37412</v>
      </c>
      <c r="I249" s="22" t="s">
        <v>601</v>
      </c>
      <c r="J249" s="22"/>
      <c r="K249" s="63" t="n">
        <v>17679.8527347152</v>
      </c>
      <c r="L249" s="22" t="s">
        <v>3217</v>
      </c>
      <c r="M249" s="22" t="n">
        <v>2</v>
      </c>
      <c r="N249" s="22" t="s">
        <v>4006</v>
      </c>
    </row>
    <row r="250" customFormat="false" ht="15" hidden="false" customHeight="false" outlineLevel="0" collapsed="false">
      <c r="A250" s="22" t="s">
        <v>4025</v>
      </c>
      <c r="B250" s="22" t="s">
        <v>4001</v>
      </c>
      <c r="C250" s="22" t="s">
        <v>3478</v>
      </c>
      <c r="D250" s="22" t="s">
        <v>4002</v>
      </c>
      <c r="E250" s="22" t="s">
        <v>4003</v>
      </c>
      <c r="F250" s="22" t="s">
        <v>4026</v>
      </c>
      <c r="G250" s="22" t="s">
        <v>4005</v>
      </c>
      <c r="H250" s="63" t="n">
        <v>15950</v>
      </c>
      <c r="I250" s="22" t="s">
        <v>601</v>
      </c>
      <c r="J250" s="22"/>
      <c r="K250" s="63" t="n">
        <v>7537.51874047653</v>
      </c>
      <c r="L250" s="22" t="s">
        <v>3209</v>
      </c>
      <c r="M250" s="22" t="n">
        <v>1</v>
      </c>
      <c r="N250" s="22" t="s">
        <v>4006</v>
      </c>
    </row>
    <row r="251" customFormat="false" ht="15" hidden="false" customHeight="false" outlineLevel="0" collapsed="false">
      <c r="A251" s="22" t="s">
        <v>4027</v>
      </c>
      <c r="B251" s="22" t="s">
        <v>4001</v>
      </c>
      <c r="C251" s="22" t="s">
        <v>3478</v>
      </c>
      <c r="D251" s="22" t="s">
        <v>4002</v>
      </c>
      <c r="E251" s="22" t="s">
        <v>4003</v>
      </c>
      <c r="F251" s="22" t="s">
        <v>4028</v>
      </c>
      <c r="G251" s="22" t="s">
        <v>4005</v>
      </c>
      <c r="H251" s="63" t="n">
        <v>15537.5</v>
      </c>
      <c r="I251" s="22" t="s">
        <v>601</v>
      </c>
      <c r="J251" s="22"/>
      <c r="K251" s="63" t="n">
        <v>7342.58291098145</v>
      </c>
      <c r="L251" s="22" t="s">
        <v>1394</v>
      </c>
      <c r="M251" s="22" t="n">
        <v>1</v>
      </c>
      <c r="N251" s="22" t="s">
        <v>4006</v>
      </c>
    </row>
    <row r="252" customFormat="false" ht="15" hidden="false" customHeight="false" outlineLevel="0" collapsed="false">
      <c r="A252" s="22" t="s">
        <v>4029</v>
      </c>
      <c r="B252" s="22" t="s">
        <v>4001</v>
      </c>
      <c r="C252" s="22" t="s">
        <v>3478</v>
      </c>
      <c r="D252" s="22" t="s">
        <v>4030</v>
      </c>
      <c r="E252" s="22" t="s">
        <v>4031</v>
      </c>
      <c r="F252" s="22" t="s">
        <v>4032</v>
      </c>
      <c r="G252" s="22" t="s">
        <v>4005</v>
      </c>
      <c r="H252" s="63" t="n">
        <v>37000</v>
      </c>
      <c r="I252" s="22" t="s">
        <v>601</v>
      </c>
      <c r="J252" s="22"/>
      <c r="K252" s="63" t="n">
        <v>17488.2600057846</v>
      </c>
      <c r="L252" s="22" t="s">
        <v>3137</v>
      </c>
      <c r="M252" s="22" t="n">
        <v>1</v>
      </c>
      <c r="N252" s="22" t="s">
        <v>4033</v>
      </c>
    </row>
    <row r="253" customFormat="false" ht="15" hidden="false" customHeight="false" outlineLevel="0" collapsed="false">
      <c r="A253" s="22" t="s">
        <v>4034</v>
      </c>
      <c r="B253" s="22" t="s">
        <v>4001</v>
      </c>
      <c r="C253" s="22" t="s">
        <v>3478</v>
      </c>
      <c r="D253" s="22" t="s">
        <v>4030</v>
      </c>
      <c r="E253" s="22" t="s">
        <v>4031</v>
      </c>
      <c r="F253" s="22" t="s">
        <v>4035</v>
      </c>
      <c r="G253" s="22" t="s">
        <v>4005</v>
      </c>
      <c r="H253" s="63" t="n">
        <v>16000</v>
      </c>
      <c r="I253" s="22" t="s">
        <v>601</v>
      </c>
      <c r="J253" s="22"/>
      <c r="K253" s="63" t="n">
        <v>7562.49081331228</v>
      </c>
      <c r="L253" s="22" t="s">
        <v>3140</v>
      </c>
      <c r="M253" s="22" t="n">
        <v>1</v>
      </c>
      <c r="N253" s="22" t="s">
        <v>4033</v>
      </c>
    </row>
    <row r="254" customFormat="false" ht="15" hidden="false" customHeight="false" outlineLevel="0" collapsed="false">
      <c r="A254" s="22" t="s">
        <v>4036</v>
      </c>
      <c r="B254" s="22" t="s">
        <v>4001</v>
      </c>
      <c r="C254" s="22" t="s">
        <v>3478</v>
      </c>
      <c r="D254" s="22" t="s">
        <v>4030</v>
      </c>
      <c r="E254" s="22" t="s">
        <v>4031</v>
      </c>
      <c r="F254" s="22" t="s">
        <v>4037</v>
      </c>
      <c r="G254" s="22" t="s">
        <v>4005</v>
      </c>
      <c r="H254" s="63" t="n">
        <v>25000</v>
      </c>
      <c r="I254" s="22" t="s">
        <v>601</v>
      </c>
      <c r="J254" s="22"/>
      <c r="K254" s="63" t="n">
        <v>11816.3918958004</v>
      </c>
      <c r="L254" s="22" t="s">
        <v>3165</v>
      </c>
      <c r="M254" s="22" t="n">
        <v>1</v>
      </c>
      <c r="N254" s="22" t="s">
        <v>4033</v>
      </c>
    </row>
    <row r="255" customFormat="false" ht="15" hidden="false" customHeight="false" outlineLevel="0" collapsed="false">
      <c r="A255" s="22" t="s">
        <v>4038</v>
      </c>
      <c r="B255" s="22" t="s">
        <v>4001</v>
      </c>
      <c r="C255" s="22" t="s">
        <v>3478</v>
      </c>
      <c r="D255" s="22" t="s">
        <v>4030</v>
      </c>
      <c r="E255" s="22" t="s">
        <v>4031</v>
      </c>
      <c r="F255" s="22" t="s">
        <v>4039</v>
      </c>
      <c r="G255" s="22" t="s">
        <v>4005</v>
      </c>
      <c r="H255" s="63" t="n">
        <v>26000</v>
      </c>
      <c r="I255" s="22" t="s">
        <v>601</v>
      </c>
      <c r="J255" s="22"/>
      <c r="K255" s="63" t="n">
        <v>12289.0475716325</v>
      </c>
      <c r="L255" s="22" t="s">
        <v>3173</v>
      </c>
      <c r="M255" s="22" t="n">
        <v>1</v>
      </c>
      <c r="N255" s="22" t="s">
        <v>4033</v>
      </c>
    </row>
    <row r="256" customFormat="false" ht="15" hidden="false" customHeight="false" outlineLevel="0" collapsed="false">
      <c r="A256" s="22" t="s">
        <v>4040</v>
      </c>
      <c r="B256" s="22" t="s">
        <v>4001</v>
      </c>
      <c r="C256" s="22" t="s">
        <v>3478</v>
      </c>
      <c r="D256" s="22" t="s">
        <v>4030</v>
      </c>
      <c r="E256" s="22" t="s">
        <v>4031</v>
      </c>
      <c r="F256" s="22" t="s">
        <v>4041</v>
      </c>
      <c r="G256" s="22" t="s">
        <v>4042</v>
      </c>
      <c r="H256" s="63" t="n">
        <v>60</v>
      </c>
      <c r="I256" s="22" t="s">
        <v>601</v>
      </c>
      <c r="J256" s="22"/>
      <c r="K256" s="63" t="n">
        <v>28.3593405499211</v>
      </c>
      <c r="L256" s="22" t="s">
        <v>3177</v>
      </c>
      <c r="M256" s="22" t="n">
        <v>6</v>
      </c>
      <c r="N256" s="22" t="s">
        <v>4033</v>
      </c>
    </row>
    <row r="257" customFormat="false" ht="15" hidden="false" customHeight="false" outlineLevel="0" collapsed="false">
      <c r="A257" s="22" t="s">
        <v>4043</v>
      </c>
      <c r="B257" s="22" t="s">
        <v>4001</v>
      </c>
      <c r="C257" s="22" t="s">
        <v>3478</v>
      </c>
      <c r="D257" s="22" t="s">
        <v>4030</v>
      </c>
      <c r="E257" s="22" t="s">
        <v>4031</v>
      </c>
      <c r="F257" s="22" t="s">
        <v>4044</v>
      </c>
      <c r="G257" s="22" t="s">
        <v>4005</v>
      </c>
      <c r="H257" s="63" t="n">
        <v>7150</v>
      </c>
      <c r="I257" s="22" t="s">
        <v>601</v>
      </c>
      <c r="J257" s="22"/>
      <c r="K257" s="63" t="n">
        <v>3379.48808219893</v>
      </c>
      <c r="L257" s="22" t="s">
        <v>1513</v>
      </c>
      <c r="M257" s="22" t="n">
        <v>10</v>
      </c>
      <c r="N257" s="22" t="s">
        <v>4033</v>
      </c>
    </row>
    <row r="258" customFormat="false" ht="15" hidden="false" customHeight="false" outlineLevel="0" collapsed="false">
      <c r="A258" s="22" t="s">
        <v>4045</v>
      </c>
      <c r="B258" s="22" t="s">
        <v>4001</v>
      </c>
      <c r="C258" s="22" t="s">
        <v>3478</v>
      </c>
      <c r="D258" s="22" t="s">
        <v>4030</v>
      </c>
      <c r="E258" s="22" t="s">
        <v>4031</v>
      </c>
      <c r="F258" s="22" t="s">
        <v>4046</v>
      </c>
      <c r="G258" s="22" t="s">
        <v>4005</v>
      </c>
      <c r="H258" s="63" t="n">
        <v>77</v>
      </c>
      <c r="I258" s="22" t="s">
        <v>601</v>
      </c>
      <c r="J258" s="22"/>
      <c r="K258" s="63" t="n">
        <v>36.3944870390653</v>
      </c>
      <c r="L258" s="22" t="s">
        <v>1508</v>
      </c>
      <c r="M258" s="22" t="n">
        <v>13</v>
      </c>
      <c r="N258" s="22" t="s">
        <v>4033</v>
      </c>
    </row>
    <row r="259" customFormat="false" ht="15" hidden="false" customHeight="false" outlineLevel="0" collapsed="false">
      <c r="A259" s="22" t="s">
        <v>4047</v>
      </c>
      <c r="B259" s="22" t="s">
        <v>4001</v>
      </c>
      <c r="C259" s="22" t="s">
        <v>3478</v>
      </c>
      <c r="D259" s="22" t="s">
        <v>4030</v>
      </c>
      <c r="E259" s="22" t="s">
        <v>4031</v>
      </c>
      <c r="F259" s="22" t="s">
        <v>4048</v>
      </c>
      <c r="G259" s="22" t="s">
        <v>4005</v>
      </c>
      <c r="H259" s="63" t="n">
        <v>253</v>
      </c>
      <c r="I259" s="22" t="s">
        <v>601</v>
      </c>
      <c r="J259" s="22"/>
      <c r="K259" s="63" t="n">
        <v>119.5818859855</v>
      </c>
      <c r="L259" s="22" t="s">
        <v>1508</v>
      </c>
      <c r="M259" s="22" t="n">
        <v>13</v>
      </c>
      <c r="N259" s="22" t="s">
        <v>4033</v>
      </c>
    </row>
    <row r="260" customFormat="false" ht="15" hidden="false" customHeight="false" outlineLevel="0" collapsed="false">
      <c r="A260" s="22" t="s">
        <v>4049</v>
      </c>
      <c r="B260" s="22" t="s">
        <v>4001</v>
      </c>
      <c r="C260" s="22" t="s">
        <v>3478</v>
      </c>
      <c r="D260" s="22" t="s">
        <v>4030</v>
      </c>
      <c r="E260" s="22" t="s">
        <v>4031</v>
      </c>
      <c r="F260" s="22" t="s">
        <v>4050</v>
      </c>
      <c r="G260" s="22" t="s">
        <v>4005</v>
      </c>
      <c r="H260" s="63" t="n">
        <v>132</v>
      </c>
      <c r="I260" s="22" t="s">
        <v>601</v>
      </c>
      <c r="J260" s="22"/>
      <c r="K260" s="63" t="n">
        <v>62.3905492098263</v>
      </c>
      <c r="L260" s="22" t="s">
        <v>1508</v>
      </c>
      <c r="M260" s="22" t="n">
        <v>10</v>
      </c>
      <c r="N260" s="22" t="s">
        <v>4033</v>
      </c>
    </row>
    <row r="261" customFormat="false" ht="15" hidden="false" customHeight="false" outlineLevel="0" collapsed="false">
      <c r="A261" s="22" t="s">
        <v>4051</v>
      </c>
      <c r="B261" s="22" t="s">
        <v>4001</v>
      </c>
      <c r="C261" s="22" t="s">
        <v>3478</v>
      </c>
      <c r="D261" s="22" t="s">
        <v>4030</v>
      </c>
      <c r="E261" s="22" t="s">
        <v>4031</v>
      </c>
      <c r="F261" s="22" t="s">
        <v>4052</v>
      </c>
      <c r="G261" s="22" t="s">
        <v>4005</v>
      </c>
      <c r="H261" s="63" t="n">
        <v>3080</v>
      </c>
      <c r="I261" s="22" t="s">
        <v>601</v>
      </c>
      <c r="J261" s="22"/>
      <c r="K261" s="63" t="n">
        <v>1455.77948156261</v>
      </c>
      <c r="L261" s="22" t="s">
        <v>1508</v>
      </c>
      <c r="M261" s="22" t="n">
        <v>7</v>
      </c>
      <c r="N261" s="22" t="s">
        <v>4033</v>
      </c>
    </row>
    <row r="262" customFormat="false" ht="15" hidden="false" customHeight="false" outlineLevel="0" collapsed="false">
      <c r="A262" s="22" t="s">
        <v>4053</v>
      </c>
      <c r="B262" s="22" t="s">
        <v>4054</v>
      </c>
      <c r="C262" s="22" t="s">
        <v>3431</v>
      </c>
      <c r="D262" s="22" t="s">
        <v>4055</v>
      </c>
      <c r="E262" s="22" t="s">
        <v>4056</v>
      </c>
      <c r="F262" s="22" t="s">
        <v>4057</v>
      </c>
      <c r="G262" s="22" t="s">
        <v>727</v>
      </c>
      <c r="H262" s="63" t="n">
        <v>54875</v>
      </c>
      <c r="I262" s="22" t="s">
        <v>112</v>
      </c>
      <c r="J262" s="22"/>
      <c r="K262" s="63" t="n">
        <v>69597.896850076</v>
      </c>
      <c r="L262" s="22" t="s">
        <v>3177</v>
      </c>
      <c r="M262" s="22" t="n">
        <v>2</v>
      </c>
      <c r="N262" s="22" t="s">
        <v>4058</v>
      </c>
    </row>
    <row r="263" customFormat="false" ht="15" hidden="false" customHeight="false" outlineLevel="0" collapsed="false">
      <c r="A263" s="22" t="s">
        <v>4059</v>
      </c>
      <c r="B263" s="22" t="s">
        <v>4054</v>
      </c>
      <c r="C263" s="22" t="s">
        <v>3431</v>
      </c>
      <c r="D263" s="22" t="s">
        <v>4055</v>
      </c>
      <c r="E263" s="22" t="s">
        <v>4056</v>
      </c>
      <c r="F263" s="22" t="s">
        <v>4060</v>
      </c>
      <c r="G263" s="22" t="s">
        <v>727</v>
      </c>
      <c r="H263" s="63" t="n">
        <v>29125</v>
      </c>
      <c r="I263" s="22" t="s">
        <v>112</v>
      </c>
      <c r="J263" s="22"/>
      <c r="K263" s="63" t="n">
        <v>36939.2026561907</v>
      </c>
      <c r="L263" s="22" t="s">
        <v>3169</v>
      </c>
      <c r="M263" s="22" t="n">
        <v>1</v>
      </c>
      <c r="N263" s="22" t="s">
        <v>4058</v>
      </c>
    </row>
    <row r="264" customFormat="false" ht="15" hidden="false" customHeight="false" outlineLevel="0" collapsed="false">
      <c r="A264" s="22" t="s">
        <v>4061</v>
      </c>
      <c r="B264" s="22" t="s">
        <v>4054</v>
      </c>
      <c r="C264" s="22" t="s">
        <v>3431</v>
      </c>
      <c r="D264" s="22" t="s">
        <v>4062</v>
      </c>
      <c r="E264" s="22" t="s">
        <v>4063</v>
      </c>
      <c r="F264" s="22" t="s">
        <v>4064</v>
      </c>
      <c r="G264" s="22" t="s">
        <v>727</v>
      </c>
      <c r="H264" s="63" t="n">
        <v>28500</v>
      </c>
      <c r="I264" s="22" t="s">
        <v>112</v>
      </c>
      <c r="J264" s="22"/>
      <c r="K264" s="63" t="n">
        <v>36071.1678510517</v>
      </c>
      <c r="L264" s="22" t="s">
        <v>3169</v>
      </c>
      <c r="M264" s="22" t="n">
        <v>1</v>
      </c>
      <c r="N264" s="22" t="s">
        <v>4065</v>
      </c>
    </row>
    <row r="265" customFormat="false" ht="15" hidden="false" customHeight="false" outlineLevel="0" collapsed="false">
      <c r="A265" s="22" t="s">
        <v>4066</v>
      </c>
      <c r="B265" s="22" t="s">
        <v>4054</v>
      </c>
      <c r="C265" s="22" t="s">
        <v>3431</v>
      </c>
      <c r="D265" s="22" t="s">
        <v>4062</v>
      </c>
      <c r="E265" s="22" t="s">
        <v>4063</v>
      </c>
      <c r="F265" s="22" t="s">
        <v>4067</v>
      </c>
      <c r="G265" s="22" t="s">
        <v>727</v>
      </c>
      <c r="H265" s="63" t="n">
        <v>65000</v>
      </c>
      <c r="I265" s="22" t="s">
        <v>112</v>
      </c>
      <c r="J265" s="22"/>
      <c r="K265" s="63" t="n">
        <v>82267.5758006443</v>
      </c>
      <c r="L265" s="22" t="s">
        <v>3177</v>
      </c>
      <c r="M265" s="22" t="n">
        <v>2</v>
      </c>
      <c r="N265" s="22" t="s">
        <v>4065</v>
      </c>
    </row>
    <row r="266" customFormat="false" ht="15" hidden="false" customHeight="false" outlineLevel="0" collapsed="false">
      <c r="A266" s="22" t="s">
        <v>4068</v>
      </c>
      <c r="B266" s="22" t="s">
        <v>4054</v>
      </c>
      <c r="C266" s="22" t="s">
        <v>3431</v>
      </c>
      <c r="D266" s="22" t="s">
        <v>4062</v>
      </c>
      <c r="E266" s="22" t="s">
        <v>4063</v>
      </c>
      <c r="F266" s="22" t="s">
        <v>4069</v>
      </c>
      <c r="G266" s="22" t="s">
        <v>816</v>
      </c>
      <c r="H266" s="63" t="n">
        <v>490000</v>
      </c>
      <c r="I266" s="22" t="s">
        <v>112</v>
      </c>
      <c r="J266" s="22"/>
      <c r="K266" s="63" t="n">
        <v>620170.956035626</v>
      </c>
      <c r="L266" s="22" t="s">
        <v>3073</v>
      </c>
      <c r="M266" s="22" t="n">
        <v>1</v>
      </c>
      <c r="N266" s="22" t="s">
        <v>4065</v>
      </c>
    </row>
    <row r="267" customFormat="false" ht="15" hidden="false" customHeight="false" outlineLevel="0" collapsed="false">
      <c r="A267" s="22" t="s">
        <v>4070</v>
      </c>
      <c r="B267" s="22" t="s">
        <v>4054</v>
      </c>
      <c r="C267" s="22" t="s">
        <v>3431</v>
      </c>
      <c r="D267" s="22" t="s">
        <v>4071</v>
      </c>
      <c r="E267" s="22" t="s">
        <v>4072</v>
      </c>
      <c r="F267" s="22" t="s">
        <v>4073</v>
      </c>
      <c r="G267" s="22" t="s">
        <v>853</v>
      </c>
      <c r="H267" s="63" t="n">
        <v>7.72</v>
      </c>
      <c r="I267" s="22" t="s">
        <v>113</v>
      </c>
      <c r="J267" s="22"/>
      <c r="K267" s="63" t="n">
        <v>8.07241960929602</v>
      </c>
      <c r="L267" s="22" t="s">
        <v>3237</v>
      </c>
      <c r="M267" s="22" t="n">
        <v>1</v>
      </c>
      <c r="N267" s="22" t="s">
        <v>4074</v>
      </c>
    </row>
    <row r="268" customFormat="false" ht="15" hidden="false" customHeight="false" outlineLevel="0" collapsed="false">
      <c r="A268" s="22" t="s">
        <v>4075</v>
      </c>
      <c r="B268" s="22" t="s">
        <v>4054</v>
      </c>
      <c r="C268" s="22" t="s">
        <v>3431</v>
      </c>
      <c r="D268" s="22" t="s">
        <v>4071</v>
      </c>
      <c r="E268" s="22" t="s">
        <v>4072</v>
      </c>
      <c r="F268" s="22" t="s">
        <v>4076</v>
      </c>
      <c r="G268" s="22" t="s">
        <v>853</v>
      </c>
      <c r="H268" s="63" t="n">
        <v>5.39</v>
      </c>
      <c r="I268" s="22" t="s">
        <v>113</v>
      </c>
      <c r="J268" s="22"/>
      <c r="K268" s="63" t="n">
        <v>5.6360546235888</v>
      </c>
      <c r="L268" s="22" t="s">
        <v>3237</v>
      </c>
      <c r="M268" s="22" t="n">
        <v>8</v>
      </c>
      <c r="N268" s="22" t="s">
        <v>4074</v>
      </c>
    </row>
    <row r="269" customFormat="false" ht="15" hidden="false" customHeight="false" outlineLevel="0" collapsed="false">
      <c r="A269" s="22" t="s">
        <v>4077</v>
      </c>
      <c r="B269" s="22" t="s">
        <v>4054</v>
      </c>
      <c r="C269" s="22" t="s">
        <v>3431</v>
      </c>
      <c r="D269" s="22" t="s">
        <v>4071</v>
      </c>
      <c r="E269" s="22" t="s">
        <v>4072</v>
      </c>
      <c r="F269" s="22" t="s">
        <v>4078</v>
      </c>
      <c r="G269" s="22" t="s">
        <v>853</v>
      </c>
      <c r="H269" s="63" t="n">
        <v>7.61</v>
      </c>
      <c r="I269" s="22" t="s">
        <v>113</v>
      </c>
      <c r="J269" s="22"/>
      <c r="K269" s="63" t="n">
        <v>7.95739808636564</v>
      </c>
      <c r="L269" s="22" t="s">
        <v>3237</v>
      </c>
      <c r="M269" s="22" t="n">
        <v>6</v>
      </c>
      <c r="N269" s="22" t="s">
        <v>4074</v>
      </c>
    </row>
    <row r="270" customFormat="false" ht="15" hidden="false" customHeight="false" outlineLevel="0" collapsed="false">
      <c r="A270" s="22" t="s">
        <v>4079</v>
      </c>
      <c r="B270" s="22" t="s">
        <v>4054</v>
      </c>
      <c r="C270" s="22" t="s">
        <v>3431</v>
      </c>
      <c r="D270" s="22" t="s">
        <v>4071</v>
      </c>
      <c r="E270" s="22" t="s">
        <v>4072</v>
      </c>
      <c r="F270" s="22" t="s">
        <v>4080</v>
      </c>
      <c r="G270" s="22" t="s">
        <v>853</v>
      </c>
      <c r="H270" s="63" t="n">
        <v>17.08</v>
      </c>
      <c r="I270" s="22" t="s">
        <v>113</v>
      </c>
      <c r="J270" s="22"/>
      <c r="K270" s="63" t="n">
        <v>17.8597055604632</v>
      </c>
      <c r="L270" s="22" t="s">
        <v>3240</v>
      </c>
      <c r="M270" s="22" t="n">
        <v>1</v>
      </c>
      <c r="N270" s="22" t="s">
        <v>4074</v>
      </c>
    </row>
    <row r="271" customFormat="false" ht="15" hidden="false" customHeight="false" outlineLevel="0" collapsed="false">
      <c r="A271" s="22" t="s">
        <v>4081</v>
      </c>
      <c r="B271" s="22" t="s">
        <v>4054</v>
      </c>
      <c r="C271" s="22" t="s">
        <v>3431</v>
      </c>
      <c r="D271" s="22" t="s">
        <v>4071</v>
      </c>
      <c r="E271" s="22" t="s">
        <v>4072</v>
      </c>
      <c r="F271" s="22" t="s">
        <v>4082</v>
      </c>
      <c r="G271" s="22" t="s">
        <v>853</v>
      </c>
      <c r="H271" s="63" t="n">
        <v>12.41</v>
      </c>
      <c r="I271" s="22" t="s">
        <v>113</v>
      </c>
      <c r="J271" s="22"/>
      <c r="K271" s="63" t="n">
        <v>12.9765190869642</v>
      </c>
      <c r="L271" s="22" t="s">
        <v>3237</v>
      </c>
      <c r="M271" s="22" t="n">
        <v>1</v>
      </c>
      <c r="N271" s="22" t="s">
        <v>4074</v>
      </c>
    </row>
    <row r="272" customFormat="false" ht="15" hidden="false" customHeight="false" outlineLevel="0" collapsed="false">
      <c r="A272" s="22" t="s">
        <v>4083</v>
      </c>
      <c r="B272" s="22" t="s">
        <v>4054</v>
      </c>
      <c r="C272" s="22" t="s">
        <v>3431</v>
      </c>
      <c r="D272" s="22" t="s">
        <v>4071</v>
      </c>
      <c r="E272" s="22" t="s">
        <v>4072</v>
      </c>
      <c r="F272" s="22" t="s">
        <v>4084</v>
      </c>
      <c r="G272" s="22" t="s">
        <v>853</v>
      </c>
      <c r="H272" s="63" t="n">
        <v>8</v>
      </c>
      <c r="I272" s="22" t="s">
        <v>601</v>
      </c>
      <c r="J272" s="22"/>
      <c r="K272" s="63" t="n">
        <v>1.17895743028781</v>
      </c>
      <c r="L272" s="22" t="s">
        <v>3209</v>
      </c>
      <c r="M272" s="22" t="n">
        <v>11</v>
      </c>
      <c r="N272" s="22" t="s">
        <v>4074</v>
      </c>
    </row>
    <row r="273" customFormat="false" ht="15" hidden="false" customHeight="false" outlineLevel="0" collapsed="false">
      <c r="A273" s="22" t="s">
        <v>4085</v>
      </c>
      <c r="B273" s="22" t="s">
        <v>4054</v>
      </c>
      <c r="C273" s="22" t="s">
        <v>3431</v>
      </c>
      <c r="D273" s="22" t="s">
        <v>4071</v>
      </c>
      <c r="E273" s="22" t="s">
        <v>4072</v>
      </c>
      <c r="F273" s="22" t="s">
        <v>4086</v>
      </c>
      <c r="G273" s="22" t="s">
        <v>2353</v>
      </c>
      <c r="H273" s="63" t="n">
        <v>74</v>
      </c>
      <c r="I273" s="22" t="s">
        <v>601</v>
      </c>
      <c r="J273" s="22"/>
      <c r="K273" s="63" t="n">
        <v>10.9053562301623</v>
      </c>
      <c r="L273" s="22" t="s">
        <v>3209</v>
      </c>
      <c r="M273" s="22" t="n">
        <v>7</v>
      </c>
      <c r="N273" s="22" t="s">
        <v>4087</v>
      </c>
    </row>
    <row r="274" customFormat="false" ht="15" hidden="false" customHeight="false" outlineLevel="0" collapsed="false">
      <c r="A274" s="22" t="s">
        <v>4088</v>
      </c>
      <c r="B274" s="22" t="s">
        <v>4054</v>
      </c>
      <c r="C274" s="22" t="s">
        <v>3431</v>
      </c>
      <c r="D274" s="22" t="s">
        <v>4071</v>
      </c>
      <c r="E274" s="22" t="s">
        <v>4072</v>
      </c>
      <c r="F274" s="22" t="s">
        <v>4089</v>
      </c>
      <c r="G274" s="22" t="s">
        <v>727</v>
      </c>
      <c r="H274" s="63" t="n">
        <v>135</v>
      </c>
      <c r="I274" s="22" t="s">
        <v>601</v>
      </c>
      <c r="J274" s="22"/>
      <c r="K274" s="63" t="n">
        <v>19.8949066361069</v>
      </c>
      <c r="L274" s="22" t="s">
        <v>3209</v>
      </c>
      <c r="M274" s="22" t="n">
        <v>8</v>
      </c>
      <c r="N274" s="22" t="s">
        <v>4074</v>
      </c>
    </row>
    <row r="275" customFormat="false" ht="15" hidden="false" customHeight="false" outlineLevel="0" collapsed="false">
      <c r="A275" s="22" t="s">
        <v>4090</v>
      </c>
      <c r="B275" s="22" t="s">
        <v>4054</v>
      </c>
      <c r="C275" s="22" t="s">
        <v>3431</v>
      </c>
      <c r="D275" s="22" t="s">
        <v>4071</v>
      </c>
      <c r="E275" s="22" t="s">
        <v>4072</v>
      </c>
      <c r="F275" s="22" t="s">
        <v>4091</v>
      </c>
      <c r="G275" s="22" t="s">
        <v>853</v>
      </c>
      <c r="H275" s="63" t="n">
        <v>11.1</v>
      </c>
      <c r="I275" s="22" t="s">
        <v>601</v>
      </c>
      <c r="J275" s="22"/>
      <c r="K275" s="63" t="n">
        <v>1.63580343452434</v>
      </c>
      <c r="L275" s="22" t="s">
        <v>3209</v>
      </c>
      <c r="M275" s="22" t="n">
        <v>13</v>
      </c>
      <c r="N275" s="22" t="s">
        <v>4074</v>
      </c>
    </row>
    <row r="276" customFormat="false" ht="15" hidden="false" customHeight="false" outlineLevel="0" collapsed="false">
      <c r="A276" s="22" t="s">
        <v>4092</v>
      </c>
      <c r="B276" s="22" t="s">
        <v>4093</v>
      </c>
      <c r="C276" s="22" t="s">
        <v>3431</v>
      </c>
      <c r="D276" s="22" t="s">
        <v>4094</v>
      </c>
      <c r="E276" s="22" t="s">
        <v>4095</v>
      </c>
      <c r="F276" s="22" t="s">
        <v>4096</v>
      </c>
      <c r="G276" s="22" t="s">
        <v>727</v>
      </c>
      <c r="H276" s="63" t="n">
        <v>18200</v>
      </c>
      <c r="I276" s="22" t="s">
        <v>112</v>
      </c>
      <c r="J276" s="22"/>
      <c r="K276" s="63" t="n">
        <v>25501.9992237491</v>
      </c>
      <c r="L276" s="22" t="s">
        <v>3165</v>
      </c>
      <c r="M276" s="22" t="n">
        <v>1</v>
      </c>
      <c r="N276" s="22" t="s">
        <v>4097</v>
      </c>
    </row>
    <row r="277" customFormat="false" ht="15" hidden="false" customHeight="false" outlineLevel="0" collapsed="false">
      <c r="A277" s="22" t="s">
        <v>4098</v>
      </c>
      <c r="B277" s="22" t="s">
        <v>4093</v>
      </c>
      <c r="C277" s="22" t="s">
        <v>3431</v>
      </c>
      <c r="D277" s="22" t="s">
        <v>4099</v>
      </c>
      <c r="E277" s="22" t="s">
        <v>4100</v>
      </c>
      <c r="F277" s="22" t="s">
        <v>4101</v>
      </c>
      <c r="G277" s="22" t="s">
        <v>732</v>
      </c>
      <c r="H277" s="63" t="n">
        <v>1625.4</v>
      </c>
      <c r="I277" s="22" t="s">
        <v>112</v>
      </c>
      <c r="J277" s="22" t="s">
        <v>4102</v>
      </c>
      <c r="K277" s="63" t="n">
        <v>2273.2324326458</v>
      </c>
      <c r="L277" s="22" t="s">
        <v>3217</v>
      </c>
      <c r="M277" s="22" t="n">
        <v>1</v>
      </c>
      <c r="N277" s="22" t="s">
        <v>4103</v>
      </c>
    </row>
    <row r="278" customFormat="false" ht="15" hidden="false" customHeight="false" outlineLevel="0" collapsed="false">
      <c r="A278" s="22" t="s">
        <v>4104</v>
      </c>
      <c r="B278" s="22" t="s">
        <v>4093</v>
      </c>
      <c r="C278" s="22" t="s">
        <v>3431</v>
      </c>
      <c r="D278" s="22" t="s">
        <v>4099</v>
      </c>
      <c r="E278" s="22" t="s">
        <v>4100</v>
      </c>
      <c r="F278" s="22" t="s">
        <v>4105</v>
      </c>
      <c r="G278" s="22" t="s">
        <v>732</v>
      </c>
      <c r="H278" s="63" t="n">
        <v>14245.36</v>
      </c>
      <c r="I278" s="22" t="s">
        <v>112</v>
      </c>
      <c r="J278" s="22" t="s">
        <v>4102</v>
      </c>
      <c r="K278" s="63" t="n">
        <v>19923.1046922081</v>
      </c>
      <c r="L278" s="22" t="s">
        <v>3217</v>
      </c>
      <c r="M278" s="22" t="n">
        <v>1</v>
      </c>
      <c r="N278" s="22" t="s">
        <v>4106</v>
      </c>
    </row>
    <row r="279" customFormat="false" ht="15" hidden="false" customHeight="false" outlineLevel="0" collapsed="false">
      <c r="A279" s="22" t="s">
        <v>4107</v>
      </c>
      <c r="B279" s="22" t="s">
        <v>4093</v>
      </c>
      <c r="C279" s="22" t="s">
        <v>3431</v>
      </c>
      <c r="D279" s="22" t="s">
        <v>4099</v>
      </c>
      <c r="E279" s="22" t="s">
        <v>4100</v>
      </c>
      <c r="F279" s="22" t="s">
        <v>4108</v>
      </c>
      <c r="G279" s="22" t="s">
        <v>732</v>
      </c>
      <c r="H279" s="63" t="n">
        <v>13491.91</v>
      </c>
      <c r="I279" s="22" t="s">
        <v>112</v>
      </c>
      <c r="J279" s="22" t="s">
        <v>4102</v>
      </c>
      <c r="K279" s="63" t="n">
        <v>18869.3536300838</v>
      </c>
      <c r="L279" s="22" t="s">
        <v>3177</v>
      </c>
      <c r="M279" s="22" t="n">
        <v>2</v>
      </c>
      <c r="N279" s="22" t="s">
        <v>4103</v>
      </c>
    </row>
    <row r="280" customFormat="false" ht="15" hidden="false" customHeight="false" outlineLevel="0" collapsed="false">
      <c r="A280" s="22" t="s">
        <v>4109</v>
      </c>
      <c r="B280" s="22" t="s">
        <v>3407</v>
      </c>
      <c r="C280" s="22" t="s">
        <v>4110</v>
      </c>
      <c r="D280" s="22" t="s">
        <v>4111</v>
      </c>
      <c r="E280" s="22" t="s">
        <v>4112</v>
      </c>
      <c r="F280" s="22" t="s">
        <v>4113</v>
      </c>
      <c r="G280" s="22" t="s">
        <v>4114</v>
      </c>
      <c r="H280" s="63" t="n">
        <v>15.8</v>
      </c>
      <c r="I280" s="22" t="s">
        <v>601</v>
      </c>
      <c r="J280" s="22" t="s">
        <v>4102</v>
      </c>
      <c r="K280" s="63" t="n">
        <v>3.26331884648065</v>
      </c>
      <c r="L280" s="22" t="s">
        <v>1829</v>
      </c>
      <c r="M280" s="22" t="n">
        <v>9</v>
      </c>
      <c r="N280" s="22" t="s">
        <v>4115</v>
      </c>
    </row>
    <row r="281" customFormat="false" ht="15" hidden="false" customHeight="false" outlineLevel="0" collapsed="false">
      <c r="A281" s="22" t="s">
        <v>4116</v>
      </c>
      <c r="B281" s="22" t="s">
        <v>3407</v>
      </c>
      <c r="C281" s="22" t="s">
        <v>4110</v>
      </c>
      <c r="D281" s="22" t="s">
        <v>4111</v>
      </c>
      <c r="E281" s="22" t="s">
        <v>4112</v>
      </c>
      <c r="F281" s="22" t="s">
        <v>4117</v>
      </c>
      <c r="G281" s="22" t="s">
        <v>4114</v>
      </c>
      <c r="H281" s="63" t="n">
        <v>3290</v>
      </c>
      <c r="I281" s="22" t="s">
        <v>601</v>
      </c>
      <c r="J281" s="22" t="s">
        <v>4102</v>
      </c>
      <c r="K281" s="63" t="n">
        <v>679.513861070971</v>
      </c>
      <c r="L281" s="22" t="s">
        <v>2057</v>
      </c>
      <c r="M281" s="22" t="n">
        <v>7</v>
      </c>
      <c r="N281" s="22" t="s">
        <v>4118</v>
      </c>
    </row>
    <row r="282" customFormat="false" ht="15" hidden="false" customHeight="false" outlineLevel="0" collapsed="false">
      <c r="A282" s="22" t="s">
        <v>4119</v>
      </c>
      <c r="B282" s="22" t="s">
        <v>3407</v>
      </c>
      <c r="C282" s="22" t="s">
        <v>4110</v>
      </c>
      <c r="D282" s="22" t="s">
        <v>4111</v>
      </c>
      <c r="E282" s="22" t="s">
        <v>4112</v>
      </c>
      <c r="F282" s="22" t="s">
        <v>4120</v>
      </c>
      <c r="G282" s="22" t="s">
        <v>4114</v>
      </c>
      <c r="H282" s="63" t="n">
        <v>8534</v>
      </c>
      <c r="I282" s="22" t="s">
        <v>601</v>
      </c>
      <c r="J282" s="22" t="s">
        <v>4102</v>
      </c>
      <c r="K282" s="63" t="n">
        <v>1762.60525543455</v>
      </c>
      <c r="L282" s="22" t="s">
        <v>4121</v>
      </c>
      <c r="M282" s="22" t="n">
        <v>2</v>
      </c>
      <c r="N282" s="22" t="s">
        <v>4122</v>
      </c>
    </row>
    <row r="283" customFormat="false" ht="15" hidden="false" customHeight="false" outlineLevel="0" collapsed="false">
      <c r="A283" s="22" t="s">
        <v>4123</v>
      </c>
      <c r="B283" s="22" t="s">
        <v>3407</v>
      </c>
      <c r="C283" s="22" t="s">
        <v>4110</v>
      </c>
      <c r="D283" s="22" t="s">
        <v>4111</v>
      </c>
      <c r="E283" s="22" t="s">
        <v>4112</v>
      </c>
      <c r="F283" s="22" t="s">
        <v>4124</v>
      </c>
      <c r="G283" s="22" t="s">
        <v>4125</v>
      </c>
      <c r="H283" s="63" t="n">
        <v>10.05</v>
      </c>
      <c r="I283" s="22" t="s">
        <v>601</v>
      </c>
      <c r="J283" s="22" t="s">
        <v>4102</v>
      </c>
      <c r="K283" s="63" t="n">
        <v>2.07571863336269</v>
      </c>
      <c r="L283" s="22" t="s">
        <v>1787</v>
      </c>
      <c r="M283" s="22" t="n">
        <v>1</v>
      </c>
      <c r="N283" s="22" t="s">
        <v>4126</v>
      </c>
    </row>
    <row r="284" customFormat="false" ht="15" hidden="false" customHeight="false" outlineLevel="0" collapsed="false">
      <c r="A284" s="22" t="s">
        <v>4127</v>
      </c>
      <c r="B284" s="22" t="s">
        <v>3407</v>
      </c>
      <c r="C284" s="22" t="s">
        <v>4110</v>
      </c>
      <c r="D284" s="22" t="s">
        <v>4111</v>
      </c>
      <c r="E284" s="22" t="s">
        <v>4112</v>
      </c>
      <c r="F284" s="22" t="s">
        <v>4128</v>
      </c>
      <c r="G284" s="22" t="s">
        <v>4114</v>
      </c>
      <c r="H284" s="63" t="n">
        <v>590</v>
      </c>
      <c r="I284" s="22" t="s">
        <v>601</v>
      </c>
      <c r="J284" s="22" t="s">
        <v>4102</v>
      </c>
      <c r="K284" s="63" t="n">
        <v>121.858108824277</v>
      </c>
      <c r="L284" s="22" t="s">
        <v>1787</v>
      </c>
      <c r="M284" s="22" t="n">
        <v>8</v>
      </c>
      <c r="N284" s="22" t="s">
        <v>4129</v>
      </c>
    </row>
    <row r="285" customFormat="false" ht="15" hidden="false" customHeight="false" outlineLevel="0" collapsed="false">
      <c r="A285" s="22" t="s">
        <v>4130</v>
      </c>
      <c r="B285" s="22" t="s">
        <v>3407</v>
      </c>
      <c r="C285" s="22" t="s">
        <v>4110</v>
      </c>
      <c r="D285" s="22" t="s">
        <v>4111</v>
      </c>
      <c r="E285" s="22" t="s">
        <v>4112</v>
      </c>
      <c r="F285" s="22" t="s">
        <v>4131</v>
      </c>
      <c r="G285" s="22" t="s">
        <v>4114</v>
      </c>
      <c r="H285" s="63" t="n">
        <v>1177</v>
      </c>
      <c r="I285" s="22" t="s">
        <v>601</v>
      </c>
      <c r="J285" s="22" t="s">
        <v>4102</v>
      </c>
      <c r="K285" s="63" t="n">
        <v>243.096600146059</v>
      </c>
      <c r="L285" s="22" t="s">
        <v>1961</v>
      </c>
      <c r="M285" s="22" t="n">
        <v>1</v>
      </c>
      <c r="N285" s="22" t="s">
        <v>4132</v>
      </c>
    </row>
    <row r="286" customFormat="false" ht="15" hidden="false" customHeight="false" outlineLevel="0" collapsed="false">
      <c r="A286" s="22" t="s">
        <v>4133</v>
      </c>
      <c r="B286" s="22" t="s">
        <v>3407</v>
      </c>
      <c r="C286" s="22" t="s">
        <v>4110</v>
      </c>
      <c r="D286" s="22" t="s">
        <v>4111</v>
      </c>
      <c r="E286" s="22" t="s">
        <v>4112</v>
      </c>
      <c r="F286" s="22" t="s">
        <v>4134</v>
      </c>
      <c r="G286" s="22" t="s">
        <v>4114</v>
      </c>
      <c r="H286" s="63" t="n">
        <v>431.41</v>
      </c>
      <c r="I286" s="22" t="s">
        <v>601</v>
      </c>
      <c r="J286" s="22" t="s">
        <v>4102</v>
      </c>
      <c r="K286" s="63" t="n">
        <v>89.1030622506467</v>
      </c>
      <c r="L286" s="22" t="s">
        <v>1787</v>
      </c>
      <c r="M286" s="22" t="n">
        <v>3</v>
      </c>
      <c r="N286" s="22" t="s">
        <v>4135</v>
      </c>
    </row>
    <row r="287" customFormat="false" ht="15" hidden="false" customHeight="false" outlineLevel="0" collapsed="false">
      <c r="A287" s="22" t="s">
        <v>4136</v>
      </c>
      <c r="B287" s="22" t="s">
        <v>3407</v>
      </c>
      <c r="C287" s="22" t="s">
        <v>4110</v>
      </c>
      <c r="D287" s="22" t="s">
        <v>4111</v>
      </c>
      <c r="E287" s="22" t="s">
        <v>4112</v>
      </c>
      <c r="F287" s="22" t="s">
        <v>4137</v>
      </c>
      <c r="G287" s="22" t="s">
        <v>4114</v>
      </c>
      <c r="H287" s="63" t="n">
        <v>4496</v>
      </c>
      <c r="I287" s="22" t="s">
        <v>601</v>
      </c>
      <c r="J287" s="22" t="s">
        <v>4102</v>
      </c>
      <c r="K287" s="63" t="n">
        <v>928.600097074494</v>
      </c>
      <c r="L287" s="22" t="s">
        <v>1961</v>
      </c>
      <c r="M287" s="22" t="n">
        <v>8</v>
      </c>
      <c r="N287" s="22" t="s">
        <v>4138</v>
      </c>
    </row>
    <row r="288" customFormat="false" ht="15" hidden="false" customHeight="false" outlineLevel="0" collapsed="false">
      <c r="A288" s="22" t="s">
        <v>4139</v>
      </c>
      <c r="B288" s="22" t="s">
        <v>3407</v>
      </c>
      <c r="C288" s="22" t="s">
        <v>4110</v>
      </c>
      <c r="D288" s="22" t="s">
        <v>4111</v>
      </c>
      <c r="E288" s="22" t="s">
        <v>4112</v>
      </c>
      <c r="F288" s="22" t="s">
        <v>4140</v>
      </c>
      <c r="G288" s="22" t="s">
        <v>4114</v>
      </c>
      <c r="H288" s="63" t="n">
        <v>7279.6</v>
      </c>
      <c r="I288" s="22" t="s">
        <v>601</v>
      </c>
      <c r="J288" s="22" t="s">
        <v>4102</v>
      </c>
      <c r="K288" s="63" t="n">
        <v>1503.52252372409</v>
      </c>
      <c r="L288" s="22" t="s">
        <v>2033</v>
      </c>
      <c r="M288" s="22" t="n">
        <v>1</v>
      </c>
      <c r="N288" s="22" t="s">
        <v>4141</v>
      </c>
    </row>
    <row r="289" customFormat="false" ht="15" hidden="false" customHeight="false" outlineLevel="0" collapsed="false">
      <c r="A289" s="22" t="s">
        <v>4142</v>
      </c>
      <c r="B289" s="22" t="s">
        <v>3407</v>
      </c>
      <c r="C289" s="22" t="s">
        <v>4110</v>
      </c>
      <c r="D289" s="22" t="s">
        <v>4111</v>
      </c>
      <c r="E289" s="22" t="s">
        <v>4112</v>
      </c>
      <c r="F289" s="22" t="s">
        <v>4143</v>
      </c>
      <c r="G289" s="22" t="s">
        <v>4114</v>
      </c>
      <c r="H289" s="63" t="n">
        <v>1834.52</v>
      </c>
      <c r="I289" s="22" t="s">
        <v>601</v>
      </c>
      <c r="J289" s="22" t="s">
        <v>4102</v>
      </c>
      <c r="K289" s="63" t="n">
        <v>378.900233559853</v>
      </c>
      <c r="L289" s="22" t="s">
        <v>2033</v>
      </c>
      <c r="M289" s="22" t="n">
        <v>1</v>
      </c>
      <c r="N289" s="22" t="s">
        <v>4144</v>
      </c>
    </row>
    <row r="290" customFormat="false" ht="15" hidden="false" customHeight="false" outlineLevel="0" collapsed="false">
      <c r="A290" s="22" t="s">
        <v>4145</v>
      </c>
      <c r="B290" s="22" t="s">
        <v>3407</v>
      </c>
      <c r="C290" s="22" t="s">
        <v>4110</v>
      </c>
      <c r="D290" s="22" t="s">
        <v>4111</v>
      </c>
      <c r="E290" s="22" t="s">
        <v>4112</v>
      </c>
      <c r="F290" s="22" t="s">
        <v>4146</v>
      </c>
      <c r="G290" s="22" t="s">
        <v>4114</v>
      </c>
      <c r="H290" s="63" t="n">
        <v>18952.7</v>
      </c>
      <c r="I290" s="22" t="s">
        <v>601</v>
      </c>
      <c r="J290" s="22" t="s">
        <v>4102</v>
      </c>
      <c r="K290" s="63" t="n">
        <v>3914.47487985404</v>
      </c>
      <c r="L290" s="22" t="s">
        <v>1766</v>
      </c>
      <c r="M290" s="22" t="n">
        <v>1</v>
      </c>
      <c r="N290" s="22" t="s">
        <v>4147</v>
      </c>
    </row>
    <row r="291" customFormat="false" ht="15" hidden="false" customHeight="false" outlineLevel="0" collapsed="false">
      <c r="A291" s="22" t="s">
        <v>4148</v>
      </c>
      <c r="B291" s="22" t="s">
        <v>3407</v>
      </c>
      <c r="C291" s="22" t="s">
        <v>4110</v>
      </c>
      <c r="D291" s="22" t="s">
        <v>4111</v>
      </c>
      <c r="E291" s="22" t="s">
        <v>4112</v>
      </c>
      <c r="F291" s="22" t="s">
        <v>4149</v>
      </c>
      <c r="G291" s="22" t="s">
        <v>4114</v>
      </c>
      <c r="H291" s="63" t="n">
        <v>868</v>
      </c>
      <c r="I291" s="22" t="s">
        <v>601</v>
      </c>
      <c r="J291" s="22" t="s">
        <v>4102</v>
      </c>
      <c r="K291" s="63" t="n">
        <v>179.275997388937</v>
      </c>
      <c r="L291" s="22" t="s">
        <v>1961</v>
      </c>
      <c r="M291" s="22" t="n">
        <v>2</v>
      </c>
      <c r="N291" s="22" t="s">
        <v>4150</v>
      </c>
    </row>
    <row r="292" customFormat="false" ht="15" hidden="false" customHeight="false" outlineLevel="0" collapsed="false">
      <c r="A292" s="22" t="s">
        <v>4151</v>
      </c>
      <c r="B292" s="22" t="s">
        <v>3407</v>
      </c>
      <c r="C292" s="22" t="s">
        <v>4110</v>
      </c>
      <c r="D292" s="22" t="s">
        <v>4111</v>
      </c>
      <c r="E292" s="22" t="s">
        <v>4112</v>
      </c>
      <c r="F292" s="22" t="s">
        <v>4152</v>
      </c>
      <c r="G292" s="22" t="s">
        <v>4114</v>
      </c>
      <c r="H292" s="63" t="n">
        <v>6966.8</v>
      </c>
      <c r="I292" s="22" t="s">
        <v>601</v>
      </c>
      <c r="J292" s="22" t="s">
        <v>4102</v>
      </c>
      <c r="K292" s="63" t="n">
        <v>1438.91707213047</v>
      </c>
      <c r="L292" s="22" t="s">
        <v>1673</v>
      </c>
      <c r="M292" s="22" t="n">
        <v>2</v>
      </c>
      <c r="N292" s="22" t="s">
        <v>4153</v>
      </c>
    </row>
    <row r="293" customFormat="false" ht="15" hidden="false" customHeight="false" outlineLevel="0" collapsed="false">
      <c r="A293" s="22" t="s">
        <v>4154</v>
      </c>
      <c r="B293" s="22" t="s">
        <v>3407</v>
      </c>
      <c r="C293" s="22" t="s">
        <v>4110</v>
      </c>
      <c r="D293" s="22" t="s">
        <v>4111</v>
      </c>
      <c r="E293" s="22" t="s">
        <v>4112</v>
      </c>
      <c r="F293" s="22" t="s">
        <v>4155</v>
      </c>
      <c r="G293" s="22" t="s">
        <v>4114</v>
      </c>
      <c r="H293" s="63" t="n">
        <v>10295</v>
      </c>
      <c r="I293" s="22" t="s">
        <v>601</v>
      </c>
      <c r="J293" s="22" t="s">
        <v>4102</v>
      </c>
      <c r="K293" s="63" t="n">
        <v>2126.32072939989</v>
      </c>
      <c r="L293" s="22" t="s">
        <v>1961</v>
      </c>
      <c r="M293" s="22" t="n">
        <v>5</v>
      </c>
      <c r="N293" s="22" t="s">
        <v>4156</v>
      </c>
    </row>
    <row r="294" customFormat="false" ht="15" hidden="false" customHeight="false" outlineLevel="0" collapsed="false">
      <c r="A294" s="22" t="s">
        <v>4157</v>
      </c>
      <c r="B294" s="22" t="s">
        <v>3407</v>
      </c>
      <c r="C294" s="22" t="s">
        <v>4110</v>
      </c>
      <c r="D294" s="22" t="s">
        <v>4111</v>
      </c>
      <c r="E294" s="22" t="s">
        <v>4112</v>
      </c>
      <c r="F294" s="22" t="s">
        <v>4158</v>
      </c>
      <c r="G294" s="22" t="s">
        <v>4114</v>
      </c>
      <c r="H294" s="63" t="n">
        <v>4809.6</v>
      </c>
      <c r="I294" s="22" t="s">
        <v>601</v>
      </c>
      <c r="J294" s="22" t="s">
        <v>4102</v>
      </c>
      <c r="K294" s="63" t="n">
        <v>993.37078000211</v>
      </c>
      <c r="L294" s="22" t="s">
        <v>1673</v>
      </c>
      <c r="M294" s="22" t="n">
        <v>1</v>
      </c>
      <c r="N294" s="22" t="s">
        <v>4159</v>
      </c>
    </row>
    <row r="295" customFormat="false" ht="15" hidden="false" customHeight="false" outlineLevel="0" collapsed="false">
      <c r="A295" s="22" t="s">
        <v>4160</v>
      </c>
      <c r="B295" s="22" t="s">
        <v>3407</v>
      </c>
      <c r="C295" s="22" t="s">
        <v>4110</v>
      </c>
      <c r="D295" s="22" t="s">
        <v>4111</v>
      </c>
      <c r="E295" s="22" t="s">
        <v>4112</v>
      </c>
      <c r="F295" s="22" t="s">
        <v>4161</v>
      </c>
      <c r="G295" s="22" t="s">
        <v>4114</v>
      </c>
      <c r="H295" s="63" t="n">
        <v>6238.2</v>
      </c>
      <c r="I295" s="22" t="s">
        <v>601</v>
      </c>
      <c r="J295" s="22" t="s">
        <v>4102</v>
      </c>
      <c r="K295" s="63" t="n">
        <v>1288.43263469086</v>
      </c>
      <c r="L295" s="22" t="s">
        <v>1673</v>
      </c>
      <c r="M295" s="22" t="n">
        <v>2</v>
      </c>
      <c r="N295" s="22" t="s">
        <v>4162</v>
      </c>
    </row>
    <row r="296" customFormat="false" ht="15" hidden="false" customHeight="false" outlineLevel="0" collapsed="false">
      <c r="A296" s="22" t="s">
        <v>4163</v>
      </c>
      <c r="B296" s="22" t="s">
        <v>3439</v>
      </c>
      <c r="C296" s="22" t="s">
        <v>3440</v>
      </c>
      <c r="D296" s="22" t="s">
        <v>4164</v>
      </c>
      <c r="E296" s="22" t="s">
        <v>4165</v>
      </c>
      <c r="F296" s="22" t="s">
        <v>4166</v>
      </c>
      <c r="G296" s="22" t="s">
        <v>4167</v>
      </c>
      <c r="H296" s="63" t="n">
        <v>457.58</v>
      </c>
      <c r="I296" s="22" t="s">
        <v>112</v>
      </c>
      <c r="J296" s="22"/>
      <c r="K296" s="63" t="n">
        <v>621.413876610411</v>
      </c>
      <c r="L296" s="22" t="s">
        <v>1845</v>
      </c>
      <c r="M296" s="22" t="n">
        <v>1</v>
      </c>
      <c r="N296" s="22" t="s">
        <v>4168</v>
      </c>
    </row>
    <row r="297" customFormat="false" ht="15" hidden="false" customHeight="false" outlineLevel="0" collapsed="false">
      <c r="A297" s="22" t="s">
        <v>4169</v>
      </c>
      <c r="B297" s="22" t="s">
        <v>3439</v>
      </c>
      <c r="C297" s="22" t="s">
        <v>3440</v>
      </c>
      <c r="D297" s="22" t="s">
        <v>4164</v>
      </c>
      <c r="E297" s="22" t="s">
        <v>4165</v>
      </c>
      <c r="F297" s="22" t="s">
        <v>4170</v>
      </c>
      <c r="G297" s="22" t="s">
        <v>727</v>
      </c>
      <c r="H297" s="63" t="n">
        <v>131.33</v>
      </c>
      <c r="I297" s="22" t="s">
        <v>112</v>
      </c>
      <c r="J297" s="22" t="s">
        <v>4102</v>
      </c>
      <c r="K297" s="63" t="n">
        <v>178.351948107971</v>
      </c>
      <c r="L297" s="22" t="s">
        <v>1905</v>
      </c>
      <c r="M297" s="22" t="n">
        <v>7</v>
      </c>
      <c r="N297" s="22" t="s">
        <v>4171</v>
      </c>
    </row>
    <row r="298" customFormat="false" ht="15" hidden="false" customHeight="false" outlineLevel="0" collapsed="false">
      <c r="A298" s="22" t="s">
        <v>4172</v>
      </c>
      <c r="B298" s="22" t="s">
        <v>3439</v>
      </c>
      <c r="C298" s="22" t="s">
        <v>3440</v>
      </c>
      <c r="D298" s="22" t="s">
        <v>4164</v>
      </c>
      <c r="E298" s="22" t="s">
        <v>4165</v>
      </c>
      <c r="F298" s="22" t="s">
        <v>4173</v>
      </c>
      <c r="G298" s="22" t="s">
        <v>727</v>
      </c>
      <c r="H298" s="63" t="n">
        <v>4865.75</v>
      </c>
      <c r="I298" s="22" t="s">
        <v>112</v>
      </c>
      <c r="J298" s="22" t="s">
        <v>4102</v>
      </c>
      <c r="K298" s="63" t="n">
        <v>6607.90368922835</v>
      </c>
      <c r="L298" s="22" t="s">
        <v>2228</v>
      </c>
      <c r="M298" s="22" t="n">
        <v>1</v>
      </c>
      <c r="N298" s="22" t="s">
        <v>4171</v>
      </c>
    </row>
    <row r="299" customFormat="false" ht="15" hidden="false" customHeight="false" outlineLevel="0" collapsed="false">
      <c r="A299" s="22" t="s">
        <v>4174</v>
      </c>
      <c r="B299" s="22" t="s">
        <v>3439</v>
      </c>
      <c r="C299" s="22" t="s">
        <v>3440</v>
      </c>
      <c r="D299" s="22" t="s">
        <v>4164</v>
      </c>
      <c r="E299" s="22" t="s">
        <v>4165</v>
      </c>
      <c r="F299" s="22" t="s">
        <v>4175</v>
      </c>
      <c r="G299" s="22" t="s">
        <v>4176</v>
      </c>
      <c r="H299" s="63" t="n">
        <v>2251.55</v>
      </c>
      <c r="I299" s="22" t="s">
        <v>112</v>
      </c>
      <c r="J299" s="22" t="s">
        <v>4102</v>
      </c>
      <c r="K299" s="63" t="n">
        <v>3057.70447546259</v>
      </c>
      <c r="L299" s="22" t="s">
        <v>1787</v>
      </c>
      <c r="M299" s="22" t="n">
        <v>1</v>
      </c>
      <c r="N299" s="22" t="s">
        <v>4177</v>
      </c>
    </row>
    <row r="300" customFormat="false" ht="15" hidden="false" customHeight="false" outlineLevel="0" collapsed="false">
      <c r="A300" s="22" t="s">
        <v>4178</v>
      </c>
      <c r="B300" s="22" t="s">
        <v>3439</v>
      </c>
      <c r="C300" s="22" t="s">
        <v>3440</v>
      </c>
      <c r="D300" s="22" t="s">
        <v>4164</v>
      </c>
      <c r="E300" s="22" t="s">
        <v>4165</v>
      </c>
      <c r="F300" s="22" t="s">
        <v>4179</v>
      </c>
      <c r="G300" s="22" t="s">
        <v>727</v>
      </c>
      <c r="H300" s="63" t="n">
        <v>1400.71</v>
      </c>
      <c r="I300" s="22" t="s">
        <v>112</v>
      </c>
      <c r="J300" s="22" t="s">
        <v>4102</v>
      </c>
      <c r="K300" s="63" t="n">
        <v>1902.22612681273</v>
      </c>
      <c r="L300" s="22" t="s">
        <v>1787</v>
      </c>
      <c r="M300" s="22" t="n">
        <v>2</v>
      </c>
      <c r="N300" s="22" t="s">
        <v>4177</v>
      </c>
    </row>
    <row r="301" customFormat="false" ht="15" hidden="false" customHeight="false" outlineLevel="0" collapsed="false">
      <c r="A301" s="22" t="s">
        <v>4180</v>
      </c>
      <c r="B301" s="22" t="s">
        <v>3439</v>
      </c>
      <c r="C301" s="22" t="s">
        <v>3440</v>
      </c>
      <c r="D301" s="22" t="s">
        <v>4164</v>
      </c>
      <c r="E301" s="22" t="s">
        <v>4165</v>
      </c>
      <c r="F301" s="22" t="s">
        <v>4181</v>
      </c>
      <c r="G301" s="22" t="s">
        <v>727</v>
      </c>
      <c r="H301" s="63" t="n">
        <v>473.15</v>
      </c>
      <c r="I301" s="22" t="s">
        <v>112</v>
      </c>
      <c r="J301" s="22" t="s">
        <v>4102</v>
      </c>
      <c r="K301" s="63" t="n">
        <v>642.558625198251</v>
      </c>
      <c r="L301" s="22" t="s">
        <v>1787</v>
      </c>
      <c r="M301" s="22" t="n">
        <v>8</v>
      </c>
      <c r="N301" s="22" t="s">
        <v>4177</v>
      </c>
    </row>
    <row r="302" customFormat="false" ht="15" hidden="false" customHeight="false" outlineLevel="0" collapsed="false">
      <c r="A302" s="22" t="s">
        <v>4182</v>
      </c>
      <c r="B302" s="22" t="s">
        <v>3439</v>
      </c>
      <c r="C302" s="22" t="s">
        <v>3440</v>
      </c>
      <c r="D302" s="22" t="s">
        <v>4164</v>
      </c>
      <c r="E302" s="22" t="s">
        <v>4165</v>
      </c>
      <c r="F302" s="22" t="s">
        <v>4183</v>
      </c>
      <c r="G302" s="22" t="s">
        <v>727</v>
      </c>
      <c r="H302" s="63" t="n">
        <v>493.65</v>
      </c>
      <c r="I302" s="22" t="s">
        <v>112</v>
      </c>
      <c r="J302" s="22" t="s">
        <v>4102</v>
      </c>
      <c r="K302" s="63" t="n">
        <v>670.398531816795</v>
      </c>
      <c r="L302" s="22" t="s">
        <v>1787</v>
      </c>
      <c r="M302" s="22" t="n">
        <v>1</v>
      </c>
      <c r="N302" s="22" t="s">
        <v>4177</v>
      </c>
    </row>
    <row r="303" customFormat="false" ht="15" hidden="false" customHeight="false" outlineLevel="0" collapsed="false">
      <c r="A303" s="22" t="s">
        <v>4184</v>
      </c>
      <c r="B303" s="22" t="s">
        <v>3439</v>
      </c>
      <c r="C303" s="22" t="s">
        <v>3440</v>
      </c>
      <c r="D303" s="22" t="s">
        <v>4164</v>
      </c>
      <c r="E303" s="22" t="s">
        <v>4165</v>
      </c>
      <c r="F303" s="22" t="s">
        <v>4185</v>
      </c>
      <c r="G303" s="22" t="s">
        <v>4176</v>
      </c>
      <c r="H303" s="63" t="n">
        <v>1209.6</v>
      </c>
      <c r="I303" s="22" t="s">
        <v>112</v>
      </c>
      <c r="J303" s="22" t="s">
        <v>4102</v>
      </c>
      <c r="K303" s="63" t="n">
        <v>1642.69029491663</v>
      </c>
      <c r="L303" s="22" t="s">
        <v>1787</v>
      </c>
      <c r="M303" s="22" t="n">
        <v>1</v>
      </c>
      <c r="N303" s="22" t="s">
        <v>4177</v>
      </c>
    </row>
    <row r="304" customFormat="false" ht="15" hidden="false" customHeight="false" outlineLevel="0" collapsed="false">
      <c r="A304" s="22" t="s">
        <v>4186</v>
      </c>
      <c r="B304" s="22" t="s">
        <v>3439</v>
      </c>
      <c r="C304" s="22" t="s">
        <v>3440</v>
      </c>
      <c r="D304" s="22" t="s">
        <v>4164</v>
      </c>
      <c r="E304" s="22" t="s">
        <v>4165</v>
      </c>
      <c r="F304" s="22" t="s">
        <v>4187</v>
      </c>
      <c r="G304" s="22" t="s">
        <v>4176</v>
      </c>
      <c r="H304" s="63" t="n">
        <v>302.4</v>
      </c>
      <c r="I304" s="22" t="s">
        <v>112</v>
      </c>
      <c r="J304" s="22" t="s">
        <v>4102</v>
      </c>
      <c r="K304" s="63" t="n">
        <v>410.672573729158</v>
      </c>
      <c r="L304" s="22" t="s">
        <v>1787</v>
      </c>
      <c r="M304" s="22" t="n">
        <v>1</v>
      </c>
      <c r="N304" s="22" t="s">
        <v>4177</v>
      </c>
    </row>
    <row r="305" customFormat="false" ht="15" hidden="false" customHeight="false" outlineLevel="0" collapsed="false">
      <c r="A305" s="22" t="s">
        <v>4188</v>
      </c>
      <c r="B305" s="22" t="s">
        <v>4189</v>
      </c>
      <c r="C305" s="22" t="s">
        <v>4190</v>
      </c>
      <c r="D305" s="22" t="s">
        <v>4191</v>
      </c>
      <c r="E305" s="22" t="s">
        <v>4192</v>
      </c>
      <c r="F305" s="22" t="s">
        <v>4193</v>
      </c>
      <c r="G305" s="22" t="s">
        <v>727</v>
      </c>
      <c r="H305" s="63" t="n">
        <v>2644.18</v>
      </c>
      <c r="I305" s="22" t="s">
        <v>112</v>
      </c>
      <c r="J305" s="22"/>
      <c r="K305" s="63" t="n">
        <v>3374.11387104891</v>
      </c>
      <c r="L305" s="22" t="s">
        <v>1753</v>
      </c>
      <c r="M305" s="22" t="n">
        <v>1</v>
      </c>
      <c r="N305" s="22" t="s">
        <v>4194</v>
      </c>
    </row>
    <row r="306" customFormat="false" ht="15" hidden="false" customHeight="false" outlineLevel="0" collapsed="false">
      <c r="A306" s="22" t="s">
        <v>4195</v>
      </c>
      <c r="B306" s="22" t="s">
        <v>4189</v>
      </c>
      <c r="C306" s="22" t="s">
        <v>4190</v>
      </c>
      <c r="D306" s="22" t="s">
        <v>4191</v>
      </c>
      <c r="E306" s="22" t="s">
        <v>4192</v>
      </c>
      <c r="F306" s="22" t="s">
        <v>4196</v>
      </c>
      <c r="G306" s="22" t="s">
        <v>4197</v>
      </c>
      <c r="H306" s="63" t="n">
        <v>5999.69</v>
      </c>
      <c r="I306" s="22" t="s">
        <v>112</v>
      </c>
      <c r="J306" s="22"/>
      <c r="K306" s="63" t="n">
        <v>7655.92253590657</v>
      </c>
      <c r="L306" s="22" t="s">
        <v>1805</v>
      </c>
      <c r="M306" s="22" t="n">
        <v>1</v>
      </c>
      <c r="N306" s="22" t="s">
        <v>4198</v>
      </c>
    </row>
    <row r="307" customFormat="false" ht="15" hidden="false" customHeight="false" outlineLevel="0" collapsed="false">
      <c r="A307" s="22" t="s">
        <v>4199</v>
      </c>
      <c r="B307" s="22" t="s">
        <v>4189</v>
      </c>
      <c r="C307" s="22" t="s">
        <v>4190</v>
      </c>
      <c r="D307" s="22" t="s">
        <v>4191</v>
      </c>
      <c r="E307" s="22" t="s">
        <v>4192</v>
      </c>
      <c r="F307" s="22" t="s">
        <v>4200</v>
      </c>
      <c r="G307" s="22" t="s">
        <v>853</v>
      </c>
      <c r="H307" s="63" t="n">
        <v>3.63</v>
      </c>
      <c r="I307" s="22" t="s">
        <v>112</v>
      </c>
      <c r="J307" s="22"/>
      <c r="K307" s="63" t="n">
        <v>4.63207245796714</v>
      </c>
      <c r="L307" s="22"/>
      <c r="M307" s="22" t="n">
        <v>8</v>
      </c>
      <c r="N307" s="22" t="s">
        <v>4201</v>
      </c>
    </row>
    <row r="308" customFormat="false" ht="15" hidden="false" customHeight="false" outlineLevel="0" collapsed="false">
      <c r="A308" s="22" t="s">
        <v>4202</v>
      </c>
      <c r="B308" s="22" t="s">
        <v>3477</v>
      </c>
      <c r="C308" s="22" t="s">
        <v>3478</v>
      </c>
      <c r="D308" s="22" t="s">
        <v>4203</v>
      </c>
      <c r="E308" s="22" t="s">
        <v>4204</v>
      </c>
      <c r="F308" s="22" t="s">
        <v>4205</v>
      </c>
      <c r="G308" s="22" t="s">
        <v>727</v>
      </c>
      <c r="H308" s="63" t="n">
        <v>1500</v>
      </c>
      <c r="I308" s="22" t="s">
        <v>112</v>
      </c>
      <c r="J308" s="22"/>
      <c r="K308" s="63" t="n">
        <v>2027.37878174643</v>
      </c>
      <c r="L308" s="22" t="s">
        <v>2174</v>
      </c>
      <c r="M308" s="22" t="n">
        <v>5</v>
      </c>
      <c r="N308" s="22" t="s">
        <v>4206</v>
      </c>
    </row>
    <row r="309" customFormat="false" ht="15" hidden="false" customHeight="false" outlineLevel="0" collapsed="false">
      <c r="A309" s="22" t="s">
        <v>4207</v>
      </c>
      <c r="B309" s="22" t="s">
        <v>3477</v>
      </c>
      <c r="C309" s="22" t="s">
        <v>3478</v>
      </c>
      <c r="D309" s="22" t="s">
        <v>4203</v>
      </c>
      <c r="E309" s="22" t="s">
        <v>4204</v>
      </c>
      <c r="F309" s="22" t="s">
        <v>4208</v>
      </c>
      <c r="G309" s="22" t="s">
        <v>727</v>
      </c>
      <c r="H309" s="63" t="n">
        <v>381</v>
      </c>
      <c r="I309" s="22" t="s">
        <v>112</v>
      </c>
      <c r="J309" s="22"/>
      <c r="K309" s="63" t="n">
        <v>514.954210563594</v>
      </c>
      <c r="L309" s="22" t="s">
        <v>2174</v>
      </c>
      <c r="M309" s="22" t="n">
        <v>5</v>
      </c>
      <c r="N309" s="22" t="s">
        <v>4206</v>
      </c>
    </row>
    <row r="310" customFormat="false" ht="15" hidden="false" customHeight="false" outlineLevel="0" collapsed="false">
      <c r="A310" s="22" t="s">
        <v>4209</v>
      </c>
      <c r="B310" s="22" t="s">
        <v>3477</v>
      </c>
      <c r="C310" s="22" t="s">
        <v>3478</v>
      </c>
      <c r="D310" s="22" t="s">
        <v>4203</v>
      </c>
      <c r="E310" s="22" t="s">
        <v>4204</v>
      </c>
      <c r="F310" s="22" t="s">
        <v>4210</v>
      </c>
      <c r="G310" s="22" t="s">
        <v>727</v>
      </c>
      <c r="H310" s="63" t="n">
        <v>426</v>
      </c>
      <c r="I310" s="22" t="s">
        <v>112</v>
      </c>
      <c r="J310" s="22"/>
      <c r="K310" s="63" t="n">
        <v>575.775574015987</v>
      </c>
      <c r="L310" s="22" t="s">
        <v>2174</v>
      </c>
      <c r="M310" s="22" t="n">
        <v>5</v>
      </c>
      <c r="N310" s="22" t="s">
        <v>4206</v>
      </c>
    </row>
    <row r="311" customFormat="false" ht="15" hidden="false" customHeight="false" outlineLevel="0" collapsed="false">
      <c r="A311" s="22" t="s">
        <v>4211</v>
      </c>
      <c r="B311" s="22" t="s">
        <v>3477</v>
      </c>
      <c r="C311" s="22" t="s">
        <v>3478</v>
      </c>
      <c r="D311" s="22" t="s">
        <v>4203</v>
      </c>
      <c r="E311" s="22" t="s">
        <v>4204</v>
      </c>
      <c r="F311" s="22" t="s">
        <v>4212</v>
      </c>
      <c r="G311" s="22" t="s">
        <v>727</v>
      </c>
      <c r="H311" s="63" t="n">
        <v>323</v>
      </c>
      <c r="I311" s="22" t="s">
        <v>112</v>
      </c>
      <c r="J311" s="22"/>
      <c r="K311" s="63" t="n">
        <v>436.562231002732</v>
      </c>
      <c r="L311" s="22" t="s">
        <v>2174</v>
      </c>
      <c r="M311" s="22" t="n">
        <v>5</v>
      </c>
      <c r="N311" s="22" t="s">
        <v>4206</v>
      </c>
    </row>
    <row r="312" customFormat="false" ht="15" hidden="false" customHeight="false" outlineLevel="0" collapsed="false">
      <c r="A312" s="22" t="s">
        <v>4213</v>
      </c>
      <c r="B312" s="22" t="s">
        <v>3492</v>
      </c>
      <c r="C312" s="22" t="s">
        <v>3431</v>
      </c>
      <c r="D312" s="22" t="s">
        <v>4203</v>
      </c>
      <c r="E312" s="22" t="s">
        <v>4214</v>
      </c>
      <c r="F312" s="22" t="s">
        <v>4215</v>
      </c>
      <c r="G312" s="22" t="s">
        <v>816</v>
      </c>
      <c r="H312" s="63" t="n">
        <v>25000</v>
      </c>
      <c r="I312" s="22" t="s">
        <v>112</v>
      </c>
      <c r="J312" s="22"/>
      <c r="K312" s="63" t="n">
        <v>32881.3583103584</v>
      </c>
      <c r="L312" s="22" t="s">
        <v>2148</v>
      </c>
      <c r="M312" s="22" t="n">
        <v>1</v>
      </c>
      <c r="N312" s="22" t="s">
        <v>4216</v>
      </c>
    </row>
    <row r="313" customFormat="false" ht="15" hidden="false" customHeight="false" outlineLevel="0" collapsed="false">
      <c r="A313" s="22" t="s">
        <v>4217</v>
      </c>
      <c r="B313" s="22" t="s">
        <v>3492</v>
      </c>
      <c r="C313" s="22" t="s">
        <v>3431</v>
      </c>
      <c r="D313" s="22" t="s">
        <v>4218</v>
      </c>
      <c r="E313" s="22" t="s">
        <v>4219</v>
      </c>
      <c r="F313" s="22" t="s">
        <v>4220</v>
      </c>
      <c r="G313" s="22" t="s">
        <v>816</v>
      </c>
      <c r="H313" s="63" t="n">
        <v>14677.15</v>
      </c>
      <c r="I313" s="22" t="s">
        <v>113</v>
      </c>
      <c r="J313" s="22"/>
      <c r="K313" s="63" t="n">
        <v>15477.2506548551</v>
      </c>
      <c r="L313" s="22" t="s">
        <v>1666</v>
      </c>
      <c r="M313" s="22" t="n">
        <v>1</v>
      </c>
      <c r="N313" s="22" t="s">
        <v>4221</v>
      </c>
    </row>
    <row r="314" customFormat="false" ht="15" hidden="false" customHeight="false" outlineLevel="0" collapsed="false">
      <c r="A314" s="22" t="s">
        <v>4222</v>
      </c>
      <c r="B314" s="22" t="s">
        <v>3492</v>
      </c>
      <c r="C314" s="22" t="s">
        <v>3431</v>
      </c>
      <c r="D314" s="22" t="s">
        <v>4218</v>
      </c>
      <c r="E314" s="22" t="s">
        <v>4219</v>
      </c>
      <c r="F314" s="22" t="s">
        <v>4223</v>
      </c>
      <c r="G314" s="22" t="s">
        <v>816</v>
      </c>
      <c r="H314" s="63" t="n">
        <v>30042.61</v>
      </c>
      <c r="I314" s="22" t="s">
        <v>113</v>
      </c>
      <c r="J314" s="22"/>
      <c r="K314" s="63" t="n">
        <v>31680.33339552</v>
      </c>
      <c r="L314" s="22" t="s">
        <v>2093</v>
      </c>
      <c r="M314" s="22" t="n">
        <v>1</v>
      </c>
      <c r="N314" s="22" t="s">
        <v>4221</v>
      </c>
    </row>
    <row r="315" customFormat="false" ht="15" hidden="false" customHeight="false" outlineLevel="0" collapsed="false">
      <c r="A315" s="22" t="s">
        <v>4224</v>
      </c>
      <c r="B315" s="22" t="s">
        <v>3492</v>
      </c>
      <c r="C315" s="22" t="s">
        <v>3431</v>
      </c>
      <c r="D315" s="22" t="s">
        <v>4218</v>
      </c>
      <c r="E315" s="22" t="s">
        <v>4219</v>
      </c>
      <c r="F315" s="22" t="s">
        <v>4225</v>
      </c>
      <c r="G315" s="22" t="s">
        <v>727</v>
      </c>
      <c r="H315" s="63" t="n">
        <v>3542.76</v>
      </c>
      <c r="I315" s="22" t="s">
        <v>113</v>
      </c>
      <c r="J315" s="22" t="s">
        <v>4226</v>
      </c>
      <c r="K315" s="63" t="n">
        <v>3735.88772547766</v>
      </c>
      <c r="L315" s="22" t="s">
        <v>1666</v>
      </c>
      <c r="M315" s="22" t="n">
        <v>1</v>
      </c>
      <c r="N315" s="22" t="s">
        <v>4227</v>
      </c>
    </row>
    <row r="316" customFormat="false" ht="15" hidden="false" customHeight="false" outlineLevel="0" collapsed="false">
      <c r="A316" s="22" t="s">
        <v>4228</v>
      </c>
      <c r="B316" s="22" t="s">
        <v>3492</v>
      </c>
      <c r="C316" s="22" t="s">
        <v>3431</v>
      </c>
      <c r="D316" s="22" t="s">
        <v>4218</v>
      </c>
      <c r="E316" s="22" t="s">
        <v>4219</v>
      </c>
      <c r="F316" s="22" t="s">
        <v>4229</v>
      </c>
      <c r="G316" s="22" t="s">
        <v>727</v>
      </c>
      <c r="H316" s="63" t="n">
        <v>16317.76</v>
      </c>
      <c r="I316" s="22" t="s">
        <v>113</v>
      </c>
      <c r="J316" s="22" t="s">
        <v>4102</v>
      </c>
      <c r="K316" s="63" t="n">
        <v>17207.2958064589</v>
      </c>
      <c r="L316" s="22" t="s">
        <v>1766</v>
      </c>
      <c r="M316" s="22" t="n">
        <v>1</v>
      </c>
      <c r="N316" s="22" t="s">
        <v>4230</v>
      </c>
    </row>
    <row r="317" customFormat="false" ht="15" hidden="false" customHeight="false" outlineLevel="0" collapsed="false">
      <c r="A317" s="22" t="s">
        <v>4231</v>
      </c>
      <c r="B317" s="22" t="s">
        <v>3492</v>
      </c>
      <c r="C317" s="22" t="s">
        <v>3431</v>
      </c>
      <c r="D317" s="22" t="s">
        <v>4218</v>
      </c>
      <c r="E317" s="22" t="s">
        <v>4219</v>
      </c>
      <c r="F317" s="22" t="s">
        <v>4232</v>
      </c>
      <c r="G317" s="22" t="s">
        <v>727</v>
      </c>
      <c r="H317" s="63" t="n">
        <v>60.93</v>
      </c>
      <c r="I317" s="22" t="s">
        <v>113</v>
      </c>
      <c r="J317" s="22" t="s">
        <v>4102</v>
      </c>
      <c r="K317" s="63" t="n">
        <v>64.2514985811496</v>
      </c>
      <c r="L317" s="22" t="s">
        <v>1673</v>
      </c>
      <c r="M317" s="22" t="n">
        <v>6</v>
      </c>
      <c r="N317" s="22" t="s">
        <v>4233</v>
      </c>
    </row>
    <row r="318" customFormat="false" ht="15" hidden="false" customHeight="false" outlineLevel="0" collapsed="false">
      <c r="A318" s="22" t="s">
        <v>4234</v>
      </c>
      <c r="B318" s="22" t="s">
        <v>3492</v>
      </c>
      <c r="C318" s="22" t="s">
        <v>3431</v>
      </c>
      <c r="D318" s="22" t="s">
        <v>4218</v>
      </c>
      <c r="E318" s="22" t="s">
        <v>4219</v>
      </c>
      <c r="F318" s="22" t="s">
        <v>4235</v>
      </c>
      <c r="G318" s="22" t="s">
        <v>727</v>
      </c>
      <c r="H318" s="63" t="n">
        <v>12.64</v>
      </c>
      <c r="I318" s="22" t="s">
        <v>113</v>
      </c>
      <c r="J318" s="22" t="s">
        <v>4102</v>
      </c>
      <c r="K318" s="63" t="n">
        <v>13.3290487783642</v>
      </c>
      <c r="L318" s="22" t="s">
        <v>1673</v>
      </c>
      <c r="M318" s="22" t="n">
        <v>6</v>
      </c>
      <c r="N318" s="22" t="s">
        <v>4236</v>
      </c>
    </row>
    <row r="319" customFormat="false" ht="15" hidden="false" customHeight="false" outlineLevel="0" collapsed="false">
      <c r="A319" s="22" t="s">
        <v>4237</v>
      </c>
      <c r="B319" s="22" t="s">
        <v>3492</v>
      </c>
      <c r="C319" s="22" t="s">
        <v>3431</v>
      </c>
      <c r="D319" s="22" t="s">
        <v>4218</v>
      </c>
      <c r="E319" s="22" t="s">
        <v>4219</v>
      </c>
      <c r="F319" s="22" t="s">
        <v>4238</v>
      </c>
      <c r="G319" s="22" t="s">
        <v>727</v>
      </c>
      <c r="H319" s="63" t="n">
        <v>2.61</v>
      </c>
      <c r="I319" s="22" t="s">
        <v>113</v>
      </c>
      <c r="J319" s="22" t="s">
        <v>4102</v>
      </c>
      <c r="K319" s="63" t="n">
        <v>2.75227985059577</v>
      </c>
      <c r="L319" s="22" t="s">
        <v>4239</v>
      </c>
      <c r="M319" s="22" t="n">
        <v>2</v>
      </c>
      <c r="N319" s="22" t="s">
        <v>4240</v>
      </c>
    </row>
    <row r="320" customFormat="false" ht="15" hidden="false" customHeight="false" outlineLevel="0" collapsed="false">
      <c r="A320" s="22" t="s">
        <v>4241</v>
      </c>
      <c r="B320" s="22" t="s">
        <v>3492</v>
      </c>
      <c r="C320" s="22" t="s">
        <v>3431</v>
      </c>
      <c r="D320" s="22" t="s">
        <v>4218</v>
      </c>
      <c r="E320" s="22" t="s">
        <v>4219</v>
      </c>
      <c r="F320" s="22" t="s">
        <v>4242</v>
      </c>
      <c r="G320" s="22" t="s">
        <v>727</v>
      </c>
      <c r="H320" s="63" t="n">
        <v>3.18</v>
      </c>
      <c r="I320" s="22" t="s">
        <v>113</v>
      </c>
      <c r="J320" s="22" t="s">
        <v>4102</v>
      </c>
      <c r="K320" s="63" t="n">
        <v>3.35335246164543</v>
      </c>
      <c r="L320" s="22" t="s">
        <v>1673</v>
      </c>
      <c r="M320" s="22" t="n">
        <v>32</v>
      </c>
      <c r="N320" s="22" t="s">
        <v>4243</v>
      </c>
    </row>
    <row r="321" customFormat="false" ht="15" hidden="false" customHeight="false" outlineLevel="0" collapsed="false">
      <c r="A321" s="22" t="s">
        <v>4244</v>
      </c>
      <c r="B321" s="22" t="s">
        <v>3492</v>
      </c>
      <c r="C321" s="22" t="s">
        <v>3431</v>
      </c>
      <c r="D321" s="22" t="s">
        <v>4218</v>
      </c>
      <c r="E321" s="22" t="s">
        <v>4219</v>
      </c>
      <c r="F321" s="22" t="s">
        <v>4245</v>
      </c>
      <c r="G321" s="22" t="s">
        <v>727</v>
      </c>
      <c r="H321" s="63" t="n">
        <v>520.81</v>
      </c>
      <c r="I321" s="22" t="s">
        <v>113</v>
      </c>
      <c r="J321" s="22" t="s">
        <v>4226</v>
      </c>
      <c r="K321" s="63" t="n">
        <v>549.20109922942</v>
      </c>
      <c r="L321" s="22" t="s">
        <v>1787</v>
      </c>
      <c r="M321" s="22" t="n">
        <v>2</v>
      </c>
      <c r="N321" s="22" t="s">
        <v>4246</v>
      </c>
    </row>
    <row r="322" customFormat="false" ht="15" hidden="false" customHeight="false" outlineLevel="0" collapsed="false">
      <c r="A322" s="22" t="s">
        <v>4247</v>
      </c>
      <c r="B322" s="22" t="s">
        <v>3492</v>
      </c>
      <c r="C322" s="22" t="s">
        <v>3431</v>
      </c>
      <c r="D322" s="22" t="s">
        <v>4218</v>
      </c>
      <c r="E322" s="22" t="s">
        <v>4219</v>
      </c>
      <c r="F322" s="22" t="s">
        <v>4248</v>
      </c>
      <c r="G322" s="22" t="s">
        <v>727</v>
      </c>
      <c r="H322" s="63" t="n">
        <v>12.75</v>
      </c>
      <c r="I322" s="22" t="s">
        <v>113</v>
      </c>
      <c r="J322" s="22" t="s">
        <v>4102</v>
      </c>
      <c r="K322" s="63" t="n">
        <v>13.4450452471633</v>
      </c>
      <c r="L322" s="22" t="s">
        <v>1787</v>
      </c>
      <c r="M322" s="22" t="n">
        <v>8</v>
      </c>
      <c r="N322" s="22" t="s">
        <v>4249</v>
      </c>
    </row>
    <row r="323" customFormat="false" ht="15" hidden="false" customHeight="false" outlineLevel="0" collapsed="false">
      <c r="A323" s="22" t="s">
        <v>4250</v>
      </c>
      <c r="B323" s="22" t="s">
        <v>3492</v>
      </c>
      <c r="C323" s="22" t="s">
        <v>3431</v>
      </c>
      <c r="D323" s="22" t="s">
        <v>4218</v>
      </c>
      <c r="E323" s="22" t="s">
        <v>4219</v>
      </c>
      <c r="F323" s="22" t="s">
        <v>4225</v>
      </c>
      <c r="G323" s="22" t="s">
        <v>727</v>
      </c>
      <c r="H323" s="63" t="n">
        <v>7085.52</v>
      </c>
      <c r="I323" s="22" t="s">
        <v>112</v>
      </c>
      <c r="J323" s="22" t="s">
        <v>4226</v>
      </c>
      <c r="K323" s="63" t="n">
        <v>9197.0084025809</v>
      </c>
      <c r="L323" s="22" t="s">
        <v>1805</v>
      </c>
      <c r="M323" s="22" t="n">
        <v>1</v>
      </c>
      <c r="N323" s="22" t="s">
        <v>4251</v>
      </c>
    </row>
    <row r="324" customFormat="false" ht="15" hidden="false" customHeight="false" outlineLevel="0" collapsed="false">
      <c r="A324" s="22" t="s">
        <v>4252</v>
      </c>
      <c r="B324" s="22" t="s">
        <v>3492</v>
      </c>
      <c r="C324" s="22" t="s">
        <v>3431</v>
      </c>
      <c r="D324" s="22" t="s">
        <v>4218</v>
      </c>
      <c r="E324" s="22" t="s">
        <v>4219</v>
      </c>
      <c r="F324" s="22" t="s">
        <v>4253</v>
      </c>
      <c r="G324" s="22" t="s">
        <v>727</v>
      </c>
      <c r="H324" s="63" t="n">
        <v>3288.05</v>
      </c>
      <c r="I324" s="22" t="s">
        <v>112</v>
      </c>
      <c r="J324" s="22" t="s">
        <v>4226</v>
      </c>
      <c r="K324" s="63" t="n">
        <v>4267.89049753668</v>
      </c>
      <c r="L324" s="22" t="s">
        <v>4254</v>
      </c>
      <c r="M324" s="22" t="n">
        <v>1</v>
      </c>
      <c r="N324" s="22" t="s">
        <v>4255</v>
      </c>
    </row>
    <row r="325" customFormat="false" ht="15" hidden="false" customHeight="false" outlineLevel="0" collapsed="false">
      <c r="A325" s="22" t="s">
        <v>4256</v>
      </c>
      <c r="B325" s="22" t="s">
        <v>3492</v>
      </c>
      <c r="C325" s="22" t="s">
        <v>3431</v>
      </c>
      <c r="D325" s="22" t="s">
        <v>4218</v>
      </c>
      <c r="E325" s="22" t="s">
        <v>4219</v>
      </c>
      <c r="F325" s="22" t="s">
        <v>4257</v>
      </c>
      <c r="G325" s="22" t="s">
        <v>727</v>
      </c>
      <c r="H325" s="63" t="n">
        <v>36.63</v>
      </c>
      <c r="I325" s="22" t="s">
        <v>112</v>
      </c>
      <c r="J325" s="22" t="s">
        <v>4102</v>
      </c>
      <c r="K325" s="63" t="n">
        <v>47.5457577971043</v>
      </c>
      <c r="L325" s="22" t="s">
        <v>1829</v>
      </c>
      <c r="M325" s="22" t="n">
        <v>1</v>
      </c>
      <c r="N325" s="22" t="s">
        <v>4258</v>
      </c>
    </row>
    <row r="326" customFormat="false" ht="15" hidden="false" customHeight="false" outlineLevel="0" collapsed="false">
      <c r="A326" s="22" t="s">
        <v>4259</v>
      </c>
      <c r="B326" s="22" t="s">
        <v>3492</v>
      </c>
      <c r="C326" s="22" t="s">
        <v>3431</v>
      </c>
      <c r="D326" s="22" t="s">
        <v>4218</v>
      </c>
      <c r="E326" s="22" t="s">
        <v>4219</v>
      </c>
      <c r="F326" s="22" t="s">
        <v>4260</v>
      </c>
      <c r="G326" s="22" t="s">
        <v>727</v>
      </c>
      <c r="H326" s="63" t="n">
        <v>209.02</v>
      </c>
      <c r="I326" s="22" t="s">
        <v>112</v>
      </c>
      <c r="J326" s="22" t="s">
        <v>4102</v>
      </c>
      <c r="K326" s="63" t="n">
        <v>271.308061554757</v>
      </c>
      <c r="L326" s="22" t="s">
        <v>1810</v>
      </c>
      <c r="M326" s="22" t="n">
        <v>6</v>
      </c>
      <c r="N326" s="22" t="s">
        <v>4261</v>
      </c>
    </row>
    <row r="327" customFormat="false" ht="15" hidden="false" customHeight="false" outlineLevel="0" collapsed="false">
      <c r="A327" s="22" t="s">
        <v>4262</v>
      </c>
      <c r="B327" s="22" t="s">
        <v>3492</v>
      </c>
      <c r="C327" s="22" t="s">
        <v>3431</v>
      </c>
      <c r="D327" s="22" t="s">
        <v>4218</v>
      </c>
      <c r="E327" s="22" t="s">
        <v>4219</v>
      </c>
      <c r="F327" s="22" t="s">
        <v>4263</v>
      </c>
      <c r="G327" s="22" t="s">
        <v>727</v>
      </c>
      <c r="H327" s="63" t="n">
        <v>21.2</v>
      </c>
      <c r="I327" s="22" t="s">
        <v>112</v>
      </c>
      <c r="J327" s="22" t="s">
        <v>4102</v>
      </c>
      <c r="K327" s="63" t="n">
        <v>27.5176103002624</v>
      </c>
      <c r="L327" s="22" t="s">
        <v>1829</v>
      </c>
      <c r="M327" s="22" t="n">
        <v>9</v>
      </c>
      <c r="N327" s="22" t="s">
        <v>4264</v>
      </c>
    </row>
    <row r="328" customFormat="false" ht="15" hidden="false" customHeight="false" outlineLevel="0" collapsed="false">
      <c r="A328" s="22" t="s">
        <v>4265</v>
      </c>
      <c r="B328" s="22" t="s">
        <v>3492</v>
      </c>
      <c r="C328" s="22" t="s">
        <v>3431</v>
      </c>
      <c r="D328" s="22" t="s">
        <v>4218</v>
      </c>
      <c r="E328" s="22" t="s">
        <v>4219</v>
      </c>
      <c r="F328" s="22" t="s">
        <v>4266</v>
      </c>
      <c r="G328" s="22" t="s">
        <v>727</v>
      </c>
      <c r="H328" s="63" t="n">
        <v>9794.19</v>
      </c>
      <c r="I328" s="22" t="s">
        <v>112</v>
      </c>
      <c r="J328" s="22" t="s">
        <v>4226</v>
      </c>
      <c r="K328" s="63" t="n">
        <v>12712.8633786192</v>
      </c>
      <c r="L328" s="22" t="s">
        <v>4254</v>
      </c>
      <c r="M328" s="22" t="n">
        <v>1</v>
      </c>
      <c r="N328" s="22" t="s">
        <v>4267</v>
      </c>
    </row>
    <row r="329" customFormat="false" ht="15" hidden="false" customHeight="false" outlineLevel="0" collapsed="false">
      <c r="A329" s="22" t="s">
        <v>4268</v>
      </c>
      <c r="B329" s="22" t="s">
        <v>3492</v>
      </c>
      <c r="C329" s="22" t="s">
        <v>3431</v>
      </c>
      <c r="D329" s="22" t="s">
        <v>4218</v>
      </c>
      <c r="E329" s="22" t="s">
        <v>4219</v>
      </c>
      <c r="F329" s="22" t="s">
        <v>4269</v>
      </c>
      <c r="G329" s="22" t="s">
        <v>727</v>
      </c>
      <c r="H329" s="63" t="n">
        <v>1049.38</v>
      </c>
      <c r="I329" s="22" t="s">
        <v>112</v>
      </c>
      <c r="J329" s="22" t="s">
        <v>4226</v>
      </c>
      <c r="K329" s="63" t="n">
        <v>1362.09574985327</v>
      </c>
      <c r="L329" s="22" t="s">
        <v>4254</v>
      </c>
      <c r="M329" s="22" t="n">
        <v>1</v>
      </c>
      <c r="N329" s="22" t="s">
        <v>4270</v>
      </c>
    </row>
    <row r="330" customFormat="false" ht="15" hidden="false" customHeight="false" outlineLevel="0" collapsed="false">
      <c r="A330" s="22" t="s">
        <v>4271</v>
      </c>
      <c r="B330" s="22" t="s">
        <v>3492</v>
      </c>
      <c r="C330" s="22" t="s">
        <v>3431</v>
      </c>
      <c r="D330" s="22" t="s">
        <v>4218</v>
      </c>
      <c r="E330" s="22" t="s">
        <v>4219</v>
      </c>
      <c r="F330" s="22" t="s">
        <v>4272</v>
      </c>
      <c r="G330" s="22" t="s">
        <v>727</v>
      </c>
      <c r="H330" s="63" t="n">
        <v>1.43</v>
      </c>
      <c r="I330" s="22" t="s">
        <v>112</v>
      </c>
      <c r="J330" s="22" t="s">
        <v>4102</v>
      </c>
      <c r="K330" s="63" t="n">
        <v>1.85614069478185</v>
      </c>
      <c r="L330" s="22" t="s">
        <v>1810</v>
      </c>
      <c r="M330" s="22" t="n">
        <v>6</v>
      </c>
      <c r="N330" s="22" t="s">
        <v>4273</v>
      </c>
    </row>
    <row r="331" customFormat="false" ht="15" hidden="false" customHeight="false" outlineLevel="0" collapsed="false">
      <c r="A331" s="22" t="s">
        <v>4274</v>
      </c>
      <c r="B331" s="22" t="s">
        <v>3492</v>
      </c>
      <c r="C331" s="22" t="s">
        <v>3431</v>
      </c>
      <c r="D331" s="22" t="s">
        <v>4218</v>
      </c>
      <c r="E331" s="22" t="s">
        <v>4219</v>
      </c>
      <c r="F331" s="22" t="s">
        <v>4275</v>
      </c>
      <c r="G331" s="22" t="s">
        <v>727</v>
      </c>
      <c r="H331" s="63" t="n">
        <v>5168.53</v>
      </c>
      <c r="I331" s="22" t="s">
        <v>113</v>
      </c>
      <c r="J331" s="22" t="s">
        <v>4226</v>
      </c>
      <c r="K331" s="63" t="n">
        <v>5450.28389892712</v>
      </c>
      <c r="L331" s="22" t="s">
        <v>2141</v>
      </c>
      <c r="M331" s="22" t="n">
        <v>1</v>
      </c>
      <c r="N331" s="22" t="s">
        <v>4276</v>
      </c>
    </row>
    <row r="332" customFormat="false" ht="15" hidden="false" customHeight="false" outlineLevel="0" collapsed="false">
      <c r="A332" s="22" t="s">
        <v>4277</v>
      </c>
      <c r="B332" s="22" t="s">
        <v>3492</v>
      </c>
      <c r="C332" s="22" t="s">
        <v>3431</v>
      </c>
      <c r="D332" s="22" t="s">
        <v>4218</v>
      </c>
      <c r="E332" s="22" t="s">
        <v>4219</v>
      </c>
      <c r="F332" s="22" t="s">
        <v>4278</v>
      </c>
      <c r="G332" s="22" t="s">
        <v>727</v>
      </c>
      <c r="H332" s="63" t="n">
        <v>1371.51</v>
      </c>
      <c r="I332" s="22" t="s">
        <v>113</v>
      </c>
      <c r="J332" s="22" t="s">
        <v>4102</v>
      </c>
      <c r="K332" s="63" t="n">
        <v>1446.27560838721</v>
      </c>
      <c r="L332" s="22" t="s">
        <v>2141</v>
      </c>
      <c r="M332" s="22" t="n">
        <v>4</v>
      </c>
      <c r="N332" s="22" t="s">
        <v>4279</v>
      </c>
    </row>
    <row r="333" customFormat="false" ht="15" hidden="false" customHeight="false" outlineLevel="0" collapsed="false">
      <c r="A333" s="22" t="s">
        <v>4280</v>
      </c>
      <c r="B333" s="22" t="s">
        <v>3492</v>
      </c>
      <c r="C333" s="22" t="s">
        <v>3431</v>
      </c>
      <c r="D333" s="22" t="s">
        <v>4218</v>
      </c>
      <c r="E333" s="22" t="s">
        <v>4219</v>
      </c>
      <c r="F333" s="22" t="s">
        <v>4281</v>
      </c>
      <c r="G333" s="22" t="s">
        <v>727</v>
      </c>
      <c r="H333" s="63" t="n">
        <v>292.3</v>
      </c>
      <c r="I333" s="22" t="s">
        <v>113</v>
      </c>
      <c r="J333" s="22" t="s">
        <v>4102</v>
      </c>
      <c r="K333" s="63" t="n">
        <v>308.234252999672</v>
      </c>
      <c r="L333" s="22" t="s">
        <v>4282</v>
      </c>
      <c r="M333" s="22" t="n">
        <v>7</v>
      </c>
      <c r="N333" s="22" t="s">
        <v>4283</v>
      </c>
    </row>
    <row r="334" customFormat="false" ht="15" hidden="false" customHeight="false" outlineLevel="0" collapsed="false">
      <c r="A334" s="22" t="s">
        <v>4284</v>
      </c>
      <c r="B334" s="22" t="s">
        <v>3492</v>
      </c>
      <c r="C334" s="22" t="s">
        <v>3431</v>
      </c>
      <c r="D334" s="22" t="s">
        <v>4218</v>
      </c>
      <c r="E334" s="22" t="s">
        <v>4219</v>
      </c>
      <c r="F334" s="22" t="s">
        <v>4285</v>
      </c>
      <c r="G334" s="22" t="s">
        <v>727</v>
      </c>
      <c r="H334" s="63" t="n">
        <v>241.59</v>
      </c>
      <c r="I334" s="22" t="s">
        <v>113</v>
      </c>
      <c r="J334" s="22" t="s">
        <v>4102</v>
      </c>
      <c r="K334" s="63" t="n">
        <v>254.759880883308</v>
      </c>
      <c r="L334" s="22" t="s">
        <v>2096</v>
      </c>
      <c r="M334" s="22" t="n">
        <v>1</v>
      </c>
      <c r="N334" s="22" t="s">
        <v>4286</v>
      </c>
    </row>
    <row r="335" customFormat="false" ht="15" hidden="false" customHeight="false" outlineLevel="0" collapsed="false">
      <c r="A335" s="22" t="s">
        <v>4287</v>
      </c>
      <c r="B335" s="22" t="s">
        <v>3492</v>
      </c>
      <c r="C335" s="22" t="s">
        <v>3431</v>
      </c>
      <c r="D335" s="22" t="s">
        <v>4218</v>
      </c>
      <c r="E335" s="22" t="s">
        <v>4219</v>
      </c>
      <c r="F335" s="22" t="s">
        <v>4288</v>
      </c>
      <c r="G335" s="22" t="s">
        <v>727</v>
      </c>
      <c r="H335" s="63" t="n">
        <v>17.37</v>
      </c>
      <c r="I335" s="22" t="s">
        <v>113</v>
      </c>
      <c r="J335" s="22" t="s">
        <v>4102</v>
      </c>
      <c r="K335" s="63" t="n">
        <v>18.3168969367236</v>
      </c>
      <c r="L335" s="22" t="s">
        <v>2096</v>
      </c>
      <c r="M335" s="22" t="n">
        <v>7</v>
      </c>
      <c r="N335" s="22" t="s">
        <v>4289</v>
      </c>
    </row>
    <row r="336" customFormat="false" ht="15" hidden="false" customHeight="false" outlineLevel="0" collapsed="false">
      <c r="A336" s="22" t="s">
        <v>4290</v>
      </c>
      <c r="B336" s="22" t="s">
        <v>3492</v>
      </c>
      <c r="C336" s="22" t="s">
        <v>3431</v>
      </c>
      <c r="D336" s="22" t="s">
        <v>4218</v>
      </c>
      <c r="E336" s="22" t="s">
        <v>4219</v>
      </c>
      <c r="F336" s="22" t="s">
        <v>4291</v>
      </c>
      <c r="G336" s="22" t="s">
        <v>727</v>
      </c>
      <c r="H336" s="63" t="n">
        <v>5.6</v>
      </c>
      <c r="I336" s="22" t="s">
        <v>113</v>
      </c>
      <c r="J336" s="22" t="s">
        <v>4226</v>
      </c>
      <c r="K336" s="63" t="n">
        <v>5.90527477522465</v>
      </c>
      <c r="L336" s="22" t="s">
        <v>2116</v>
      </c>
      <c r="M336" s="22" t="n">
        <v>1</v>
      </c>
      <c r="N336" s="22" t="s">
        <v>4292</v>
      </c>
    </row>
    <row r="337" customFormat="false" ht="15" hidden="false" customHeight="false" outlineLevel="0" collapsed="false">
      <c r="A337" s="22" t="s">
        <v>4293</v>
      </c>
      <c r="B337" s="22" t="s">
        <v>3492</v>
      </c>
      <c r="C337" s="22" t="s">
        <v>3431</v>
      </c>
      <c r="D337" s="22" t="s">
        <v>4218</v>
      </c>
      <c r="E337" s="22" t="s">
        <v>4219</v>
      </c>
      <c r="F337" s="22" t="s">
        <v>4294</v>
      </c>
      <c r="G337" s="22" t="s">
        <v>727</v>
      </c>
      <c r="H337" s="63" t="n">
        <v>1.72</v>
      </c>
      <c r="I337" s="22" t="s">
        <v>113</v>
      </c>
      <c r="J337" s="22" t="s">
        <v>4102</v>
      </c>
      <c r="K337" s="63" t="n">
        <v>1.81376296667614</v>
      </c>
      <c r="L337" s="22" t="s">
        <v>4282</v>
      </c>
      <c r="M337" s="22" t="n">
        <v>3</v>
      </c>
      <c r="N337" s="22" t="s">
        <v>4295</v>
      </c>
    </row>
    <row r="338" customFormat="false" ht="15" hidden="false" customHeight="false" outlineLevel="0" collapsed="false">
      <c r="A338" s="22" t="s">
        <v>4296</v>
      </c>
      <c r="B338" s="22" t="s">
        <v>3492</v>
      </c>
      <c r="C338" s="22" t="s">
        <v>3431</v>
      </c>
      <c r="D338" s="22" t="s">
        <v>4218</v>
      </c>
      <c r="E338" s="22" t="s">
        <v>4219</v>
      </c>
      <c r="F338" s="22" t="s">
        <v>4297</v>
      </c>
      <c r="G338" s="22" t="s">
        <v>727</v>
      </c>
      <c r="H338" s="63" t="n">
        <v>2.53</v>
      </c>
      <c r="I338" s="22" t="s">
        <v>113</v>
      </c>
      <c r="J338" s="22" t="s">
        <v>4102</v>
      </c>
      <c r="K338" s="63" t="n">
        <v>2.66791878237828</v>
      </c>
      <c r="L338" s="22" t="s">
        <v>2096</v>
      </c>
      <c r="M338" s="22" t="n">
        <v>7</v>
      </c>
      <c r="N338" s="22" t="s">
        <v>4295</v>
      </c>
    </row>
    <row r="339" customFormat="false" ht="15" hidden="false" customHeight="false" outlineLevel="0" collapsed="false">
      <c r="A339" s="22" t="s">
        <v>4298</v>
      </c>
      <c r="B339" s="22" t="s">
        <v>3492</v>
      </c>
      <c r="C339" s="22" t="s">
        <v>3431</v>
      </c>
      <c r="D339" s="22" t="s">
        <v>4218</v>
      </c>
      <c r="E339" s="22" t="s">
        <v>4219</v>
      </c>
      <c r="F339" s="22" t="s">
        <v>4299</v>
      </c>
      <c r="G339" s="22" t="s">
        <v>727</v>
      </c>
      <c r="H339" s="63" t="n">
        <v>1.86</v>
      </c>
      <c r="I339" s="22" t="s">
        <v>113</v>
      </c>
      <c r="J339" s="22" t="s">
        <v>4102</v>
      </c>
      <c r="K339" s="63" t="n">
        <v>1.96139483605676</v>
      </c>
      <c r="L339" s="22" t="s">
        <v>2096</v>
      </c>
      <c r="M339" s="22" t="n">
        <v>1</v>
      </c>
      <c r="N339" s="22" t="s">
        <v>4295</v>
      </c>
    </row>
    <row r="340" customFormat="false" ht="15" hidden="false" customHeight="false" outlineLevel="0" collapsed="false">
      <c r="A340" s="22" t="s">
        <v>4300</v>
      </c>
      <c r="B340" s="22" t="s">
        <v>3492</v>
      </c>
      <c r="C340" s="22" t="s">
        <v>3431</v>
      </c>
      <c r="D340" s="22" t="s">
        <v>4218</v>
      </c>
      <c r="E340" s="22" t="s">
        <v>4219</v>
      </c>
      <c r="F340" s="22" t="s">
        <v>4301</v>
      </c>
      <c r="G340" s="22" t="s">
        <v>727</v>
      </c>
      <c r="H340" s="63" t="n">
        <v>230.86</v>
      </c>
      <c r="I340" s="22" t="s">
        <v>113</v>
      </c>
      <c r="J340" s="22" t="s">
        <v>4226</v>
      </c>
      <c r="K340" s="63" t="n">
        <v>243.444952608636</v>
      </c>
      <c r="L340" s="22" t="s">
        <v>2096</v>
      </c>
      <c r="M340" s="22" t="n">
        <v>6</v>
      </c>
      <c r="N340" s="22" t="s">
        <v>4302</v>
      </c>
    </row>
    <row r="341" customFormat="false" ht="15" hidden="false" customHeight="false" outlineLevel="0" collapsed="false">
      <c r="A341" s="22" t="s">
        <v>4303</v>
      </c>
      <c r="B341" s="22" t="s">
        <v>3492</v>
      </c>
      <c r="C341" s="22" t="s">
        <v>3431</v>
      </c>
      <c r="D341" s="22" t="s">
        <v>4218</v>
      </c>
      <c r="E341" s="22" t="s">
        <v>4219</v>
      </c>
      <c r="F341" s="22" t="s">
        <v>4285</v>
      </c>
      <c r="G341" s="22" t="s">
        <v>727</v>
      </c>
      <c r="H341" s="63" t="n">
        <v>167.9</v>
      </c>
      <c r="I341" s="22" t="s">
        <v>113</v>
      </c>
      <c r="J341" s="22" t="s">
        <v>4226</v>
      </c>
      <c r="K341" s="63" t="n">
        <v>177.052791921468</v>
      </c>
      <c r="L341" s="22" t="s">
        <v>2096</v>
      </c>
      <c r="M341" s="22" t="n">
        <v>1</v>
      </c>
      <c r="N341" s="22" t="s">
        <v>4304</v>
      </c>
    </row>
    <row r="342" customFormat="false" ht="15" hidden="false" customHeight="false" outlineLevel="0" collapsed="false">
      <c r="A342" s="22" t="s">
        <v>4305</v>
      </c>
      <c r="B342" s="22" t="s">
        <v>3492</v>
      </c>
      <c r="C342" s="22" t="s">
        <v>3431</v>
      </c>
      <c r="D342" s="22" t="s">
        <v>4218</v>
      </c>
      <c r="E342" s="22" t="s">
        <v>4219</v>
      </c>
      <c r="F342" s="22" t="s">
        <v>4306</v>
      </c>
      <c r="G342" s="22" t="s">
        <v>727</v>
      </c>
      <c r="H342" s="63" t="n">
        <v>82.55</v>
      </c>
      <c r="I342" s="22" t="s">
        <v>113</v>
      </c>
      <c r="J342" s="22" t="s">
        <v>4226</v>
      </c>
      <c r="K342" s="63" t="n">
        <v>87.0500772669276</v>
      </c>
      <c r="L342" s="22" t="s">
        <v>2096</v>
      </c>
      <c r="M342" s="22" t="n">
        <v>7</v>
      </c>
      <c r="N342" s="22" t="s">
        <v>4307</v>
      </c>
    </row>
    <row r="343" customFormat="false" ht="15" hidden="false" customHeight="false" outlineLevel="0" collapsed="false">
      <c r="A343" s="22" t="s">
        <v>4308</v>
      </c>
      <c r="B343" s="22" t="s">
        <v>3492</v>
      </c>
      <c r="C343" s="22" t="s">
        <v>3431</v>
      </c>
      <c r="D343" s="22" t="s">
        <v>4218</v>
      </c>
      <c r="E343" s="22" t="s">
        <v>4219</v>
      </c>
      <c r="F343" s="22" t="s">
        <v>4309</v>
      </c>
      <c r="G343" s="22" t="s">
        <v>727</v>
      </c>
      <c r="H343" s="63" t="n">
        <v>27.98</v>
      </c>
      <c r="I343" s="22" t="s">
        <v>113</v>
      </c>
      <c r="J343" s="22" t="s">
        <v>4226</v>
      </c>
      <c r="K343" s="63" t="n">
        <v>29.5052836090689</v>
      </c>
      <c r="L343" s="22" t="s">
        <v>2096</v>
      </c>
      <c r="M343" s="22" t="n">
        <v>7</v>
      </c>
      <c r="N343" s="22" t="s">
        <v>4310</v>
      </c>
    </row>
    <row r="344" customFormat="false" ht="15" hidden="false" customHeight="false" outlineLevel="0" collapsed="false">
      <c r="A344" s="22" t="s">
        <v>4311</v>
      </c>
      <c r="B344" s="22" t="s">
        <v>3492</v>
      </c>
      <c r="C344" s="22" t="s">
        <v>3431</v>
      </c>
      <c r="D344" s="22" t="s">
        <v>4218</v>
      </c>
      <c r="E344" s="22" t="s">
        <v>4219</v>
      </c>
      <c r="F344" s="22" t="s">
        <v>4312</v>
      </c>
      <c r="G344" s="22" t="s">
        <v>727</v>
      </c>
      <c r="H344" s="63" t="n">
        <v>79.75</v>
      </c>
      <c r="I344" s="22" t="s">
        <v>113</v>
      </c>
      <c r="J344" s="22" t="s">
        <v>4226</v>
      </c>
      <c r="K344" s="63" t="n">
        <v>84.0974398793153</v>
      </c>
      <c r="L344" s="22" t="s">
        <v>2096</v>
      </c>
      <c r="M344" s="22" t="n">
        <v>7</v>
      </c>
      <c r="N344" s="22" t="s">
        <v>4313</v>
      </c>
    </row>
    <row r="345" customFormat="false" ht="15" hidden="false" customHeight="false" outlineLevel="0" collapsed="false">
      <c r="A345" s="22" t="s">
        <v>4314</v>
      </c>
      <c r="B345" s="22" t="s">
        <v>3492</v>
      </c>
      <c r="C345" s="22" t="s">
        <v>3431</v>
      </c>
      <c r="D345" s="22" t="s">
        <v>4218</v>
      </c>
      <c r="E345" s="22" t="s">
        <v>4219</v>
      </c>
      <c r="F345" s="22" t="s">
        <v>4315</v>
      </c>
      <c r="G345" s="22" t="s">
        <v>732</v>
      </c>
      <c r="H345" s="63" t="n">
        <v>25507.87</v>
      </c>
      <c r="I345" s="22" t="s">
        <v>112</v>
      </c>
      <c r="J345" s="22" t="s">
        <v>4226</v>
      </c>
      <c r="K345" s="63" t="n">
        <v>33109.2276532903</v>
      </c>
      <c r="L345" s="22" t="s">
        <v>1858</v>
      </c>
      <c r="M345" s="22" t="n">
        <v>1</v>
      </c>
      <c r="N345" s="22" t="s">
        <v>4316</v>
      </c>
    </row>
    <row r="346" customFormat="false" ht="15" hidden="false" customHeight="false" outlineLevel="0" collapsed="false">
      <c r="A346" s="22" t="s">
        <v>4317</v>
      </c>
      <c r="B346" s="22" t="s">
        <v>3492</v>
      </c>
      <c r="C346" s="22" t="s">
        <v>3431</v>
      </c>
      <c r="D346" s="22" t="s">
        <v>4218</v>
      </c>
      <c r="E346" s="22" t="s">
        <v>4219</v>
      </c>
      <c r="F346" s="22" t="s">
        <v>4225</v>
      </c>
      <c r="G346" s="22" t="s">
        <v>727</v>
      </c>
      <c r="H346" s="63" t="n">
        <v>10628.28</v>
      </c>
      <c r="I346" s="22" t="s">
        <v>112</v>
      </c>
      <c r="J346" s="22" t="s">
        <v>4226</v>
      </c>
      <c r="K346" s="63" t="n">
        <v>13795.5126038713</v>
      </c>
      <c r="L346" s="22" t="s">
        <v>1858</v>
      </c>
      <c r="M346" s="22" t="n">
        <v>1</v>
      </c>
      <c r="N346" s="22" t="s">
        <v>4318</v>
      </c>
    </row>
    <row r="347" customFormat="false" ht="15" hidden="false" customHeight="false" outlineLevel="0" collapsed="false">
      <c r="A347" s="22" t="s">
        <v>4319</v>
      </c>
      <c r="B347" s="22" t="s">
        <v>3492</v>
      </c>
      <c r="C347" s="22" t="s">
        <v>3431</v>
      </c>
      <c r="D347" s="22" t="s">
        <v>4218</v>
      </c>
      <c r="E347" s="22" t="s">
        <v>4219</v>
      </c>
      <c r="F347" s="22" t="s">
        <v>4320</v>
      </c>
      <c r="G347" s="22" t="s">
        <v>727</v>
      </c>
      <c r="H347" s="63" t="n">
        <v>3234.16</v>
      </c>
      <c r="I347" s="22" t="s">
        <v>113</v>
      </c>
      <c r="J347" s="22" t="s">
        <v>4102</v>
      </c>
      <c r="K347" s="63" t="n">
        <v>3410.46490482867</v>
      </c>
      <c r="L347" s="22" t="s">
        <v>4121</v>
      </c>
      <c r="M347" s="22" t="n">
        <v>4</v>
      </c>
      <c r="N347" s="22" t="s">
        <v>4321</v>
      </c>
    </row>
    <row r="348" customFormat="false" ht="15" hidden="false" customHeight="false" outlineLevel="0" collapsed="false">
      <c r="A348" s="22" t="s">
        <v>4322</v>
      </c>
      <c r="B348" s="22" t="s">
        <v>3492</v>
      </c>
      <c r="C348" s="22" t="s">
        <v>3431</v>
      </c>
      <c r="D348" s="22" t="s">
        <v>4218</v>
      </c>
      <c r="E348" s="22" t="s">
        <v>4219</v>
      </c>
      <c r="F348" s="22" t="s">
        <v>4323</v>
      </c>
      <c r="G348" s="22" t="s">
        <v>727</v>
      </c>
      <c r="H348" s="63" t="n">
        <v>1989.8</v>
      </c>
      <c r="I348" s="22" t="s">
        <v>113</v>
      </c>
      <c r="J348" s="22" t="s">
        <v>4102</v>
      </c>
      <c r="K348" s="63" t="n">
        <v>2098.27066923964</v>
      </c>
      <c r="L348" s="22" t="s">
        <v>4121</v>
      </c>
      <c r="M348" s="22" t="n">
        <v>1</v>
      </c>
      <c r="N348" s="22" t="s">
        <v>4324</v>
      </c>
    </row>
    <row r="349" customFormat="false" ht="15" hidden="false" customHeight="false" outlineLevel="0" collapsed="false">
      <c r="A349" s="22" t="s">
        <v>4325</v>
      </c>
      <c r="B349" s="22" t="s">
        <v>3492</v>
      </c>
      <c r="C349" s="22" t="s">
        <v>3431</v>
      </c>
      <c r="D349" s="22" t="s">
        <v>4218</v>
      </c>
      <c r="E349" s="22" t="s">
        <v>4219</v>
      </c>
      <c r="F349" s="22" t="s">
        <v>4326</v>
      </c>
      <c r="G349" s="22" t="s">
        <v>727</v>
      </c>
      <c r="H349" s="63" t="n">
        <v>541.48</v>
      </c>
      <c r="I349" s="22" t="s">
        <v>113</v>
      </c>
      <c r="J349" s="22" t="s">
        <v>4226</v>
      </c>
      <c r="K349" s="63" t="n">
        <v>570.997890230115</v>
      </c>
      <c r="L349" s="22" t="s">
        <v>4121</v>
      </c>
      <c r="M349" s="22" t="n">
        <v>4</v>
      </c>
      <c r="N349" s="22" t="s">
        <v>4327</v>
      </c>
    </row>
    <row r="350" customFormat="false" ht="15" hidden="false" customHeight="false" outlineLevel="0" collapsed="false">
      <c r="A350" s="22" t="s">
        <v>4328</v>
      </c>
      <c r="B350" s="22" t="s">
        <v>3492</v>
      </c>
      <c r="C350" s="22" t="s">
        <v>3431</v>
      </c>
      <c r="D350" s="22" t="s">
        <v>4218</v>
      </c>
      <c r="E350" s="22" t="s">
        <v>4219</v>
      </c>
      <c r="F350" s="22" t="s">
        <v>4329</v>
      </c>
      <c r="G350" s="22" t="s">
        <v>727</v>
      </c>
      <c r="H350" s="63" t="n">
        <v>4063.19</v>
      </c>
      <c r="I350" s="22" t="s">
        <v>113</v>
      </c>
      <c r="J350" s="22" t="s">
        <v>4226</v>
      </c>
      <c r="K350" s="63" t="n">
        <v>4284.68810963304</v>
      </c>
      <c r="L350" s="22" t="s">
        <v>1946</v>
      </c>
      <c r="M350" s="22" t="n">
        <v>1</v>
      </c>
      <c r="N350" s="22" t="s">
        <v>4330</v>
      </c>
    </row>
    <row r="351" customFormat="false" ht="15" hidden="false" customHeight="false" outlineLevel="0" collapsed="false">
      <c r="A351" s="22" t="s">
        <v>4331</v>
      </c>
      <c r="B351" s="22" t="s">
        <v>3492</v>
      </c>
      <c r="C351" s="22" t="s">
        <v>3431</v>
      </c>
      <c r="D351" s="22" t="s">
        <v>4218</v>
      </c>
      <c r="E351" s="22" t="s">
        <v>4219</v>
      </c>
      <c r="F351" s="22" t="s">
        <v>4332</v>
      </c>
      <c r="G351" s="22" t="s">
        <v>727</v>
      </c>
      <c r="H351" s="63" t="n">
        <v>1385.9</v>
      </c>
      <c r="I351" s="22" t="s">
        <v>113</v>
      </c>
      <c r="J351" s="22" t="s">
        <v>4102</v>
      </c>
      <c r="K351" s="63" t="n">
        <v>1461.45005553283</v>
      </c>
      <c r="L351" s="22" t="s">
        <v>1946</v>
      </c>
      <c r="M351" s="22" t="n">
        <v>2</v>
      </c>
      <c r="N351" s="22" t="s">
        <v>4333</v>
      </c>
    </row>
    <row r="352" customFormat="false" ht="15" hidden="false" customHeight="false" outlineLevel="0" collapsed="false">
      <c r="A352" s="22" t="s">
        <v>4334</v>
      </c>
      <c r="B352" s="22" t="s">
        <v>3492</v>
      </c>
      <c r="C352" s="22" t="s">
        <v>3431</v>
      </c>
      <c r="D352" s="22" t="s">
        <v>4218</v>
      </c>
      <c r="E352" s="22" t="s">
        <v>4219</v>
      </c>
      <c r="F352" s="22" t="s">
        <v>4335</v>
      </c>
      <c r="G352" s="22" t="s">
        <v>727</v>
      </c>
      <c r="H352" s="63" t="n">
        <v>100.23</v>
      </c>
      <c r="I352" s="22" t="s">
        <v>113</v>
      </c>
      <c r="J352" s="22" t="s">
        <v>4102</v>
      </c>
      <c r="K352" s="63" t="n">
        <v>105.693873342994</v>
      </c>
      <c r="L352" s="22" t="s">
        <v>1905</v>
      </c>
      <c r="M352" s="22" t="n">
        <v>1</v>
      </c>
      <c r="N352" s="22" t="s">
        <v>4336</v>
      </c>
    </row>
    <row r="353" customFormat="false" ht="15" hidden="false" customHeight="false" outlineLevel="0" collapsed="false">
      <c r="A353" s="22" t="s">
        <v>4337</v>
      </c>
      <c r="B353" s="22" t="s">
        <v>3492</v>
      </c>
      <c r="C353" s="22" t="s">
        <v>3431</v>
      </c>
      <c r="D353" s="22" t="s">
        <v>4218</v>
      </c>
      <c r="E353" s="22" t="s">
        <v>4219</v>
      </c>
      <c r="F353" s="22" t="s">
        <v>4338</v>
      </c>
      <c r="G353" s="22" t="s">
        <v>727</v>
      </c>
      <c r="H353" s="63" t="n">
        <v>115.62</v>
      </c>
      <c r="I353" s="22" t="s">
        <v>113</v>
      </c>
      <c r="J353" s="22" t="s">
        <v>4102</v>
      </c>
      <c r="K353" s="63" t="n">
        <v>121.922833841335</v>
      </c>
      <c r="L353" s="22" t="s">
        <v>1905</v>
      </c>
      <c r="M353" s="22" t="n">
        <v>7</v>
      </c>
      <c r="N353" s="22" t="s">
        <v>4339</v>
      </c>
    </row>
    <row r="354" customFormat="false" ht="15" hidden="false" customHeight="false" outlineLevel="0" collapsed="false">
      <c r="A354" s="22" t="s">
        <v>4340</v>
      </c>
      <c r="B354" s="22" t="s">
        <v>3492</v>
      </c>
      <c r="C354" s="22" t="s">
        <v>3431</v>
      </c>
      <c r="D354" s="22" t="s">
        <v>4218</v>
      </c>
      <c r="E354" s="22" t="s">
        <v>4219</v>
      </c>
      <c r="F354" s="22" t="s">
        <v>4341</v>
      </c>
      <c r="G354" s="22" t="s">
        <v>727</v>
      </c>
      <c r="H354" s="63" t="n">
        <v>1.59</v>
      </c>
      <c r="I354" s="22" t="s">
        <v>113</v>
      </c>
      <c r="J354" s="22" t="s">
        <v>4102</v>
      </c>
      <c r="K354" s="63" t="n">
        <v>1.67667623082271</v>
      </c>
      <c r="L354" s="22" t="s">
        <v>1905</v>
      </c>
      <c r="M354" s="22" t="n">
        <v>20</v>
      </c>
      <c r="N354" s="22" t="s">
        <v>4336</v>
      </c>
    </row>
    <row r="355" customFormat="false" ht="15" hidden="false" customHeight="false" outlineLevel="0" collapsed="false">
      <c r="A355" s="22" t="s">
        <v>4342</v>
      </c>
      <c r="B355" s="22" t="s">
        <v>3492</v>
      </c>
      <c r="C355" s="22" t="s">
        <v>3431</v>
      </c>
      <c r="D355" s="22" t="s">
        <v>4218</v>
      </c>
      <c r="E355" s="22" t="s">
        <v>4219</v>
      </c>
      <c r="F355" s="22" t="s">
        <v>4343</v>
      </c>
      <c r="G355" s="22" t="s">
        <v>727</v>
      </c>
      <c r="H355" s="63" t="n">
        <v>1.94</v>
      </c>
      <c r="I355" s="22" t="s">
        <v>113</v>
      </c>
      <c r="J355" s="22" t="s">
        <v>4102</v>
      </c>
      <c r="K355" s="63" t="n">
        <v>2.04575590427425</v>
      </c>
      <c r="L355" s="22" t="s">
        <v>1905</v>
      </c>
      <c r="M355" s="22" t="n">
        <v>2</v>
      </c>
      <c r="N355" s="22" t="s">
        <v>4336</v>
      </c>
    </row>
    <row r="356" customFormat="false" ht="15" hidden="false" customHeight="false" outlineLevel="0" collapsed="false">
      <c r="A356" s="22" t="s">
        <v>4344</v>
      </c>
      <c r="B356" s="22" t="s">
        <v>3492</v>
      </c>
      <c r="C356" s="22" t="s">
        <v>3431</v>
      </c>
      <c r="D356" s="22" t="s">
        <v>4218</v>
      </c>
      <c r="E356" s="22" t="s">
        <v>4219</v>
      </c>
      <c r="F356" s="22" t="s">
        <v>4345</v>
      </c>
      <c r="G356" s="22" t="s">
        <v>727</v>
      </c>
      <c r="H356" s="63" t="n">
        <v>1311.02</v>
      </c>
      <c r="I356" s="22" t="s">
        <v>113</v>
      </c>
      <c r="J356" s="22" t="s">
        <v>4226</v>
      </c>
      <c r="K356" s="63" t="n">
        <v>1382.48809568125</v>
      </c>
      <c r="L356" s="22" t="s">
        <v>1905</v>
      </c>
      <c r="M356" s="22" t="n">
        <v>1</v>
      </c>
      <c r="N356" s="22" t="s">
        <v>4346</v>
      </c>
    </row>
    <row r="357" customFormat="false" ht="15" hidden="false" customHeight="false" outlineLevel="0" collapsed="false">
      <c r="A357" s="22" t="s">
        <v>4347</v>
      </c>
      <c r="B357" s="22" t="s">
        <v>3492</v>
      </c>
      <c r="C357" s="22" t="s">
        <v>3431</v>
      </c>
      <c r="D357" s="22" t="s">
        <v>4218</v>
      </c>
      <c r="E357" s="22" t="s">
        <v>4219</v>
      </c>
      <c r="F357" s="22" t="s">
        <v>4348</v>
      </c>
      <c r="G357" s="22" t="s">
        <v>727</v>
      </c>
      <c r="H357" s="63" t="n">
        <v>2613.65</v>
      </c>
      <c r="I357" s="22" t="s">
        <v>113</v>
      </c>
      <c r="J357" s="22" t="s">
        <v>4226</v>
      </c>
      <c r="K357" s="63" t="n">
        <v>2756.1288243332</v>
      </c>
      <c r="L357" s="22" t="s">
        <v>1905</v>
      </c>
      <c r="M357" s="22" t="n">
        <v>7</v>
      </c>
      <c r="N357" s="22" t="s">
        <v>4336</v>
      </c>
    </row>
    <row r="358" customFormat="false" ht="15" hidden="false" customHeight="false" outlineLevel="0" collapsed="false">
      <c r="A358" s="22" t="s">
        <v>4349</v>
      </c>
      <c r="B358" s="22" t="s">
        <v>3492</v>
      </c>
      <c r="C358" s="22" t="s">
        <v>3431</v>
      </c>
      <c r="D358" s="22" t="s">
        <v>4218</v>
      </c>
      <c r="E358" s="22" t="s">
        <v>4219</v>
      </c>
      <c r="F358" s="22" t="s">
        <v>4350</v>
      </c>
      <c r="G358" s="22" t="s">
        <v>727</v>
      </c>
      <c r="H358" s="63" t="n">
        <v>5791.22</v>
      </c>
      <c r="I358" s="22" t="s">
        <v>113</v>
      </c>
      <c r="J358" s="22" t="s">
        <v>4102</v>
      </c>
      <c r="K358" s="63" t="n">
        <v>6106.91881853152</v>
      </c>
      <c r="L358" s="22" t="s">
        <v>2033</v>
      </c>
      <c r="M358" s="22" t="n">
        <v>1</v>
      </c>
      <c r="N358" s="22" t="s">
        <v>4351</v>
      </c>
    </row>
    <row r="359" customFormat="false" ht="15" hidden="false" customHeight="false" outlineLevel="0" collapsed="false">
      <c r="A359" s="22" t="s">
        <v>4352</v>
      </c>
      <c r="B359" s="22" t="s">
        <v>3492</v>
      </c>
      <c r="C359" s="22" t="s">
        <v>3431</v>
      </c>
      <c r="D359" s="22" t="s">
        <v>4218</v>
      </c>
      <c r="E359" s="22" t="s">
        <v>4219</v>
      </c>
      <c r="F359" s="22" t="s">
        <v>4353</v>
      </c>
      <c r="G359" s="22" t="s">
        <v>727</v>
      </c>
      <c r="H359" s="63" t="n">
        <v>2965.47</v>
      </c>
      <c r="I359" s="22" t="s">
        <v>113</v>
      </c>
      <c r="J359" s="22" t="s">
        <v>4102</v>
      </c>
      <c r="K359" s="63" t="n">
        <v>3127.12771208669</v>
      </c>
      <c r="L359" s="22" t="s">
        <v>2033</v>
      </c>
      <c r="M359" s="22" t="n">
        <v>1</v>
      </c>
      <c r="N359" s="22" t="s">
        <v>4354</v>
      </c>
    </row>
    <row r="360" customFormat="false" ht="15" hidden="false" customHeight="false" outlineLevel="0" collapsed="false">
      <c r="A360" s="22" t="s">
        <v>4355</v>
      </c>
      <c r="B360" s="22" t="s">
        <v>3492</v>
      </c>
      <c r="C360" s="22" t="s">
        <v>3431</v>
      </c>
      <c r="D360" s="22" t="s">
        <v>4218</v>
      </c>
      <c r="E360" s="22" t="s">
        <v>4219</v>
      </c>
      <c r="F360" s="22" t="s">
        <v>4356</v>
      </c>
      <c r="G360" s="22" t="s">
        <v>727</v>
      </c>
      <c r="H360" s="63" t="n">
        <v>305.63</v>
      </c>
      <c r="I360" s="22" t="s">
        <v>113</v>
      </c>
      <c r="J360" s="22" t="s">
        <v>4102</v>
      </c>
      <c r="K360" s="63" t="n">
        <v>322.290915991412</v>
      </c>
      <c r="L360" s="22" t="s">
        <v>2033</v>
      </c>
      <c r="M360" s="22" t="n">
        <v>2</v>
      </c>
      <c r="N360" s="22" t="s">
        <v>4357</v>
      </c>
    </row>
    <row r="361" customFormat="false" ht="15" hidden="false" customHeight="false" outlineLevel="0" collapsed="false">
      <c r="A361" s="22" t="s">
        <v>4358</v>
      </c>
      <c r="B361" s="22" t="s">
        <v>3492</v>
      </c>
      <c r="C361" s="22" t="s">
        <v>3431</v>
      </c>
      <c r="D361" s="22" t="s">
        <v>4218</v>
      </c>
      <c r="E361" s="22" t="s">
        <v>4219</v>
      </c>
      <c r="F361" s="22" t="s">
        <v>4359</v>
      </c>
      <c r="G361" s="22" t="s">
        <v>727</v>
      </c>
      <c r="H361" s="63" t="n">
        <v>1275.88</v>
      </c>
      <c r="I361" s="22" t="s">
        <v>113</v>
      </c>
      <c r="J361" s="22" t="s">
        <v>4102</v>
      </c>
      <c r="K361" s="63" t="n">
        <v>1345.43249646672</v>
      </c>
      <c r="L361" s="22" t="s">
        <v>2033</v>
      </c>
      <c r="M361" s="22" t="n">
        <v>1</v>
      </c>
      <c r="N361" s="22" t="s">
        <v>4360</v>
      </c>
    </row>
    <row r="362" customFormat="false" ht="15" hidden="false" customHeight="false" outlineLevel="0" collapsed="false">
      <c r="A362" s="22" t="s">
        <v>4361</v>
      </c>
      <c r="B362" s="22" t="s">
        <v>3492</v>
      </c>
      <c r="C362" s="22" t="s">
        <v>3431</v>
      </c>
      <c r="D362" s="22" t="s">
        <v>4218</v>
      </c>
      <c r="E362" s="22" t="s">
        <v>4219</v>
      </c>
      <c r="F362" s="22" t="s">
        <v>4362</v>
      </c>
      <c r="G362" s="22" t="s">
        <v>727</v>
      </c>
      <c r="H362" s="63" t="n">
        <v>457.53</v>
      </c>
      <c r="I362" s="22" t="s">
        <v>113</v>
      </c>
      <c r="J362" s="22" t="s">
        <v>4102</v>
      </c>
      <c r="K362" s="63" t="n">
        <v>482.471494269381</v>
      </c>
      <c r="L362" s="22" t="s">
        <v>1961</v>
      </c>
      <c r="M362" s="22" t="n">
        <v>11</v>
      </c>
      <c r="N362" s="22" t="s">
        <v>4363</v>
      </c>
    </row>
    <row r="363" customFormat="false" ht="15" hidden="false" customHeight="false" outlineLevel="0" collapsed="false">
      <c r="A363" s="22" t="s">
        <v>4364</v>
      </c>
      <c r="B363" s="22" t="s">
        <v>3492</v>
      </c>
      <c r="C363" s="22" t="s">
        <v>3431</v>
      </c>
      <c r="D363" s="22" t="s">
        <v>4218</v>
      </c>
      <c r="E363" s="22" t="s">
        <v>4219</v>
      </c>
      <c r="F363" s="22" t="s">
        <v>4365</v>
      </c>
      <c r="G363" s="22" t="s">
        <v>727</v>
      </c>
      <c r="H363" s="63" t="n">
        <v>288.17</v>
      </c>
      <c r="I363" s="22" t="s">
        <v>113</v>
      </c>
      <c r="J363" s="22" t="s">
        <v>4102</v>
      </c>
      <c r="K363" s="63" t="n">
        <v>303.879112852944</v>
      </c>
      <c r="L363" s="22" t="s">
        <v>4366</v>
      </c>
      <c r="M363" s="22" t="n">
        <v>2</v>
      </c>
      <c r="N363" s="22" t="s">
        <v>4351</v>
      </c>
    </row>
    <row r="364" customFormat="false" ht="15" hidden="false" customHeight="false" outlineLevel="0" collapsed="false">
      <c r="A364" s="22" t="s">
        <v>4367</v>
      </c>
      <c r="B364" s="22" t="s">
        <v>3492</v>
      </c>
      <c r="C364" s="22" t="s">
        <v>3431</v>
      </c>
      <c r="D364" s="22" t="s">
        <v>4218</v>
      </c>
      <c r="E364" s="22" t="s">
        <v>4219</v>
      </c>
      <c r="F364" s="22" t="s">
        <v>4368</v>
      </c>
      <c r="G364" s="22" t="s">
        <v>727</v>
      </c>
      <c r="H364" s="63" t="n">
        <v>1.55</v>
      </c>
      <c r="I364" s="22" t="s">
        <v>113</v>
      </c>
      <c r="J364" s="22" t="s">
        <v>4102</v>
      </c>
      <c r="K364" s="63" t="n">
        <v>1.63449569671397</v>
      </c>
      <c r="L364" s="22" t="s">
        <v>4366</v>
      </c>
      <c r="M364" s="22" t="n">
        <v>5</v>
      </c>
      <c r="N364" s="22" t="s">
        <v>4351</v>
      </c>
    </row>
    <row r="365" customFormat="false" ht="15" hidden="false" customHeight="false" outlineLevel="0" collapsed="false">
      <c r="A365" s="22" t="s">
        <v>4369</v>
      </c>
      <c r="B365" s="22" t="s">
        <v>3492</v>
      </c>
      <c r="C365" s="22" t="s">
        <v>3431</v>
      </c>
      <c r="D365" s="22" t="s">
        <v>4218</v>
      </c>
      <c r="E365" s="22" t="s">
        <v>4219</v>
      </c>
      <c r="F365" s="22" t="s">
        <v>4370</v>
      </c>
      <c r="G365" s="22" t="s">
        <v>727</v>
      </c>
      <c r="H365" s="63" t="n">
        <v>2</v>
      </c>
      <c r="I365" s="22" t="s">
        <v>113</v>
      </c>
      <c r="J365" s="22" t="s">
        <v>4102</v>
      </c>
      <c r="K365" s="63" t="n">
        <v>2.10902670543737</v>
      </c>
      <c r="L365" s="22" t="s">
        <v>4366</v>
      </c>
      <c r="M365" s="22" t="n">
        <v>25</v>
      </c>
      <c r="N365" s="22" t="s">
        <v>4351</v>
      </c>
    </row>
    <row r="366" customFormat="false" ht="15" hidden="false" customHeight="false" outlineLevel="0" collapsed="false">
      <c r="A366" s="22" t="s">
        <v>4371</v>
      </c>
      <c r="B366" s="22" t="s">
        <v>3492</v>
      </c>
      <c r="C366" s="22" t="s">
        <v>3431</v>
      </c>
      <c r="D366" s="22" t="s">
        <v>4218</v>
      </c>
      <c r="E366" s="22" t="s">
        <v>4219</v>
      </c>
      <c r="F366" s="22" t="s">
        <v>4372</v>
      </c>
      <c r="G366" s="22" t="s">
        <v>727</v>
      </c>
      <c r="H366" s="63" t="n">
        <v>1748.96</v>
      </c>
      <c r="I366" s="22" t="s">
        <v>112</v>
      </c>
      <c r="J366" s="22" t="s">
        <v>4226</v>
      </c>
      <c r="K366" s="63" t="n">
        <v>2270.15092975221</v>
      </c>
      <c r="L366" s="22" t="s">
        <v>2212</v>
      </c>
      <c r="M366" s="22" t="n">
        <v>1</v>
      </c>
      <c r="N366" s="22" t="s">
        <v>4373</v>
      </c>
    </row>
    <row r="367" customFormat="false" ht="15" hidden="false" customHeight="false" outlineLevel="0" collapsed="false">
      <c r="A367" s="22" t="s">
        <v>4374</v>
      </c>
      <c r="B367" s="22" t="s">
        <v>3492</v>
      </c>
      <c r="C367" s="22" t="s">
        <v>3431</v>
      </c>
      <c r="D367" s="22" t="s">
        <v>4218</v>
      </c>
      <c r="E367" s="22" t="s">
        <v>4219</v>
      </c>
      <c r="F367" s="22" t="s">
        <v>4375</v>
      </c>
      <c r="G367" s="22" t="s">
        <v>727</v>
      </c>
      <c r="H367" s="63" t="n">
        <v>5491.02</v>
      </c>
      <c r="I367" s="22" t="s">
        <v>112</v>
      </c>
      <c r="J367" s="22" t="s">
        <v>4102</v>
      </c>
      <c r="K367" s="63" t="n">
        <v>7127.34662787484</v>
      </c>
      <c r="L367" s="22" t="s">
        <v>2212</v>
      </c>
      <c r="M367" s="22" t="n">
        <v>6</v>
      </c>
      <c r="N367" s="22" t="s">
        <v>4376</v>
      </c>
    </row>
    <row r="368" customFormat="false" ht="15" hidden="false" customHeight="false" outlineLevel="0" collapsed="false">
      <c r="A368" s="22" t="s">
        <v>4377</v>
      </c>
      <c r="B368" s="22" t="s">
        <v>3492</v>
      </c>
      <c r="C368" s="22" t="s">
        <v>3431</v>
      </c>
      <c r="D368" s="22" t="s">
        <v>4218</v>
      </c>
      <c r="E368" s="22" t="s">
        <v>4219</v>
      </c>
      <c r="F368" s="22" t="s">
        <v>4378</v>
      </c>
      <c r="G368" s="22" t="s">
        <v>727</v>
      </c>
      <c r="H368" s="63" t="n">
        <v>281.27</v>
      </c>
      <c r="I368" s="22" t="s">
        <v>112</v>
      </c>
      <c r="J368" s="22" t="s">
        <v>4102</v>
      </c>
      <c r="K368" s="63" t="n">
        <v>365.088596658245</v>
      </c>
      <c r="L368" s="22" t="s">
        <v>2212</v>
      </c>
      <c r="M368" s="22" t="n">
        <v>6</v>
      </c>
      <c r="N368" s="22" t="s">
        <v>4379</v>
      </c>
    </row>
    <row r="369" customFormat="false" ht="15" hidden="false" customHeight="false" outlineLevel="0" collapsed="false">
      <c r="A369" s="22" t="s">
        <v>4380</v>
      </c>
      <c r="B369" s="22" t="s">
        <v>3492</v>
      </c>
      <c r="C369" s="22" t="s">
        <v>3431</v>
      </c>
      <c r="D369" s="22" t="s">
        <v>4218</v>
      </c>
      <c r="E369" s="22" t="s">
        <v>4219</v>
      </c>
      <c r="F369" s="22" t="s">
        <v>4381</v>
      </c>
      <c r="G369" s="22" t="s">
        <v>727</v>
      </c>
      <c r="H369" s="63" t="n">
        <v>2</v>
      </c>
      <c r="I369" s="22" t="s">
        <v>112</v>
      </c>
      <c r="J369" s="22" t="s">
        <v>4102</v>
      </c>
      <c r="K369" s="63" t="n">
        <v>2.59600097172286</v>
      </c>
      <c r="L369" s="22" t="s">
        <v>4382</v>
      </c>
      <c r="M369" s="22" t="n">
        <v>25</v>
      </c>
      <c r="N369" s="22" t="s">
        <v>4383</v>
      </c>
    </row>
    <row r="370" customFormat="false" ht="15" hidden="false" customHeight="false" outlineLevel="0" collapsed="false">
      <c r="A370" s="22" t="s">
        <v>4384</v>
      </c>
      <c r="B370" s="22" t="s">
        <v>3492</v>
      </c>
      <c r="C370" s="22" t="s">
        <v>3431</v>
      </c>
      <c r="D370" s="22" t="s">
        <v>4218</v>
      </c>
      <c r="E370" s="22" t="s">
        <v>4219</v>
      </c>
      <c r="F370" s="22" t="s">
        <v>4385</v>
      </c>
      <c r="G370" s="22" t="s">
        <v>727</v>
      </c>
      <c r="H370" s="63" t="n">
        <v>2048.35</v>
      </c>
      <c r="I370" s="22" t="s">
        <v>112</v>
      </c>
      <c r="J370" s="22" t="s">
        <v>4102</v>
      </c>
      <c r="K370" s="63" t="n">
        <v>2658.75929521426</v>
      </c>
      <c r="L370" s="22" t="s">
        <v>2083</v>
      </c>
      <c r="M370" s="22" t="n">
        <v>1</v>
      </c>
      <c r="N370" s="22" t="s">
        <v>4386</v>
      </c>
    </row>
    <row r="371" customFormat="false" ht="15" hidden="false" customHeight="false" outlineLevel="0" collapsed="false">
      <c r="A371" s="22" t="s">
        <v>4387</v>
      </c>
      <c r="B371" s="22" t="s">
        <v>3492</v>
      </c>
      <c r="C371" s="22" t="s">
        <v>3431</v>
      </c>
      <c r="D371" s="22" t="s">
        <v>4218</v>
      </c>
      <c r="E371" s="22" t="s">
        <v>4219</v>
      </c>
      <c r="F371" s="22" t="s">
        <v>4388</v>
      </c>
      <c r="G371" s="22" t="s">
        <v>727</v>
      </c>
      <c r="H371" s="63" t="n">
        <v>3132.18</v>
      </c>
      <c r="I371" s="22" t="s">
        <v>112</v>
      </c>
      <c r="J371" s="22" t="s">
        <v>4102</v>
      </c>
      <c r="K371" s="63" t="n">
        <v>4065.57116180546</v>
      </c>
      <c r="L371" s="22" t="s">
        <v>2057</v>
      </c>
      <c r="M371" s="22" t="n">
        <v>6</v>
      </c>
      <c r="N371" s="22" t="s">
        <v>4389</v>
      </c>
    </row>
    <row r="372" customFormat="false" ht="15" hidden="false" customHeight="false" outlineLevel="0" collapsed="false">
      <c r="A372" s="22" t="s">
        <v>4390</v>
      </c>
      <c r="B372" s="22" t="s">
        <v>3492</v>
      </c>
      <c r="C372" s="22" t="s">
        <v>3431</v>
      </c>
      <c r="D372" s="22" t="s">
        <v>4391</v>
      </c>
      <c r="E372" s="22" t="s">
        <v>3510</v>
      </c>
      <c r="F372" s="22" t="s">
        <v>4392</v>
      </c>
      <c r="G372" s="22" t="s">
        <v>727</v>
      </c>
      <c r="H372" s="63" t="n">
        <v>1464</v>
      </c>
      <c r="I372" s="22" t="s">
        <v>113</v>
      </c>
      <c r="J372" s="22"/>
      <c r="K372" s="63" t="n">
        <v>1538.30619845071</v>
      </c>
      <c r="L372" s="22" t="s">
        <v>2243</v>
      </c>
      <c r="M372" s="22" t="n">
        <v>1</v>
      </c>
      <c r="N372" s="22" t="s">
        <v>4393</v>
      </c>
    </row>
    <row r="373" customFormat="false" ht="15" hidden="false" customHeight="false" outlineLevel="0" collapsed="false">
      <c r="A373" s="22" t="s">
        <v>4394</v>
      </c>
      <c r="B373" s="22" t="s">
        <v>3492</v>
      </c>
      <c r="C373" s="22" t="s">
        <v>3431</v>
      </c>
      <c r="D373" s="22" t="s">
        <v>4391</v>
      </c>
      <c r="E373" s="22" t="s">
        <v>3510</v>
      </c>
      <c r="F373" s="22" t="s">
        <v>4395</v>
      </c>
      <c r="G373" s="22" t="s">
        <v>727</v>
      </c>
      <c r="H373" s="63" t="n">
        <v>1434</v>
      </c>
      <c r="I373" s="22" t="s">
        <v>113</v>
      </c>
      <c r="J373" s="22"/>
      <c r="K373" s="63" t="n">
        <v>1506.78353044967</v>
      </c>
      <c r="L373" s="22" t="s">
        <v>2250</v>
      </c>
      <c r="M373" s="22" t="n">
        <v>1</v>
      </c>
      <c r="N373" s="22" t="s">
        <v>4393</v>
      </c>
    </row>
    <row r="374" customFormat="false" ht="15" hidden="false" customHeight="false" outlineLevel="0" collapsed="false">
      <c r="A374" s="22" t="s">
        <v>4396</v>
      </c>
      <c r="B374" s="22" t="s">
        <v>3515</v>
      </c>
      <c r="C374" s="22" t="s">
        <v>3431</v>
      </c>
      <c r="D374" s="22" t="s">
        <v>4397</v>
      </c>
      <c r="E374" s="22" t="s">
        <v>4398</v>
      </c>
      <c r="F374" s="22" t="s">
        <v>4399</v>
      </c>
      <c r="G374" s="22" t="s">
        <v>727</v>
      </c>
      <c r="H374" s="63" t="n">
        <v>3370</v>
      </c>
      <c r="I374" s="22" t="s">
        <v>112</v>
      </c>
      <c r="J374" s="22"/>
      <c r="K374" s="63" t="n">
        <v>4281.89161133834</v>
      </c>
      <c r="L374" s="22" t="s">
        <v>2212</v>
      </c>
      <c r="M374" s="22" t="n">
        <v>1</v>
      </c>
      <c r="N374" s="22" t="s">
        <v>4400</v>
      </c>
    </row>
    <row r="375" customFormat="false" ht="15" hidden="false" customHeight="false" outlineLevel="0" collapsed="false">
      <c r="A375" s="22" t="s">
        <v>4401</v>
      </c>
      <c r="B375" s="22" t="s">
        <v>3515</v>
      </c>
      <c r="C375" s="22" t="s">
        <v>3431</v>
      </c>
      <c r="D375" s="22" t="s">
        <v>4397</v>
      </c>
      <c r="E375" s="22" t="s">
        <v>4398</v>
      </c>
      <c r="F375" s="22" t="s">
        <v>4402</v>
      </c>
      <c r="G375" s="22" t="s">
        <v>727</v>
      </c>
      <c r="H375" s="63" t="n">
        <v>300</v>
      </c>
      <c r="I375" s="22" t="s">
        <v>112</v>
      </c>
      <c r="J375" s="22"/>
      <c r="K375" s="63" t="n">
        <v>381.177294777894</v>
      </c>
      <c r="L375" s="22" t="s">
        <v>4239</v>
      </c>
      <c r="M375" s="22" t="n">
        <v>1</v>
      </c>
      <c r="N375" s="22"/>
    </row>
    <row r="376" customFormat="false" ht="15" hidden="false" customHeight="false" outlineLevel="0" collapsed="false">
      <c r="A376" s="22" t="s">
        <v>4403</v>
      </c>
      <c r="B376" s="22" t="s">
        <v>3515</v>
      </c>
      <c r="C376" s="22" t="s">
        <v>3431</v>
      </c>
      <c r="D376" s="22" t="s">
        <v>4397</v>
      </c>
      <c r="E376" s="22" t="s">
        <v>4398</v>
      </c>
      <c r="F376" s="22" t="s">
        <v>4404</v>
      </c>
      <c r="G376" s="22" t="s">
        <v>727</v>
      </c>
      <c r="H376" s="63" t="n">
        <v>3500</v>
      </c>
      <c r="I376" s="22" t="s">
        <v>112</v>
      </c>
      <c r="J376" s="22"/>
      <c r="K376" s="63" t="n">
        <v>4447.06843907543</v>
      </c>
      <c r="L376" s="22" t="s">
        <v>2228</v>
      </c>
      <c r="M376" s="22" t="n">
        <v>2</v>
      </c>
      <c r="N376" s="22"/>
    </row>
    <row r="377" customFormat="false" ht="15" hidden="false" customHeight="false" outlineLevel="0" collapsed="false">
      <c r="A377" s="22" t="s">
        <v>4405</v>
      </c>
      <c r="B377" s="22" t="s">
        <v>3515</v>
      </c>
      <c r="C377" s="22" t="s">
        <v>3431</v>
      </c>
      <c r="D377" s="22" t="s">
        <v>4397</v>
      </c>
      <c r="E377" s="22" t="s">
        <v>4398</v>
      </c>
      <c r="F377" s="22" t="s">
        <v>4406</v>
      </c>
      <c r="G377" s="22" t="s">
        <v>727</v>
      </c>
      <c r="H377" s="63" t="n">
        <v>2500</v>
      </c>
      <c r="I377" s="22" t="s">
        <v>112</v>
      </c>
      <c r="J377" s="22"/>
      <c r="K377" s="63" t="n">
        <v>3176.47745648245</v>
      </c>
      <c r="L377" s="22" t="s">
        <v>2206</v>
      </c>
      <c r="M377" s="22" t="n">
        <v>1</v>
      </c>
      <c r="N377" s="22"/>
    </row>
    <row r="378" customFormat="false" ht="15" hidden="false" customHeight="false" outlineLevel="0" collapsed="false">
      <c r="A378" s="22" t="s">
        <v>4407</v>
      </c>
      <c r="B378" s="22" t="s">
        <v>3515</v>
      </c>
      <c r="C378" s="22" t="s">
        <v>3431</v>
      </c>
      <c r="D378" s="22" t="s">
        <v>4397</v>
      </c>
      <c r="E378" s="22" t="s">
        <v>4398</v>
      </c>
      <c r="F378" s="22" t="s">
        <v>4408</v>
      </c>
      <c r="G378" s="22" t="s">
        <v>727</v>
      </c>
      <c r="H378" s="63" t="n">
        <v>5000</v>
      </c>
      <c r="I378" s="22" t="s">
        <v>112</v>
      </c>
      <c r="J378" s="22"/>
      <c r="K378" s="63" t="n">
        <v>6352.9549129649</v>
      </c>
      <c r="L378" s="22" t="s">
        <v>2228</v>
      </c>
      <c r="M378" s="22" t="n">
        <v>3</v>
      </c>
      <c r="N378" s="22"/>
    </row>
    <row r="379" customFormat="false" ht="15" hidden="false" customHeight="false" outlineLevel="0" collapsed="false">
      <c r="A379" s="22" t="s">
        <v>4409</v>
      </c>
      <c r="B379" s="22" t="s">
        <v>3515</v>
      </c>
      <c r="C379" s="22" t="s">
        <v>3431</v>
      </c>
      <c r="D379" s="22" t="s">
        <v>4410</v>
      </c>
      <c r="E379" s="22" t="s">
        <v>4411</v>
      </c>
      <c r="F379" s="22" t="s">
        <v>4412</v>
      </c>
      <c r="G379" s="22" t="s">
        <v>732</v>
      </c>
      <c r="H379" s="63" t="n">
        <v>8300</v>
      </c>
      <c r="I379" s="22" t="s">
        <v>112</v>
      </c>
      <c r="J379" s="22"/>
      <c r="K379" s="63" t="n">
        <v>10407.3125786164</v>
      </c>
      <c r="L379" s="22" t="s">
        <v>2206</v>
      </c>
      <c r="M379" s="22" t="n">
        <v>1</v>
      </c>
      <c r="N379" s="22"/>
    </row>
    <row r="380" customFormat="false" ht="15" hidden="false" customHeight="false" outlineLevel="0" collapsed="false">
      <c r="A380" s="22" t="s">
        <v>4413</v>
      </c>
      <c r="B380" s="22" t="s">
        <v>3515</v>
      </c>
      <c r="C380" s="22" t="s">
        <v>3431</v>
      </c>
      <c r="D380" s="22" t="s">
        <v>4410</v>
      </c>
      <c r="E380" s="22" t="s">
        <v>4411</v>
      </c>
      <c r="F380" s="22" t="s">
        <v>4414</v>
      </c>
      <c r="G380" s="22" t="s">
        <v>727</v>
      </c>
      <c r="H380" s="63" t="n">
        <v>3900</v>
      </c>
      <c r="I380" s="22" t="s">
        <v>112</v>
      </c>
      <c r="J380" s="22"/>
      <c r="K380" s="63" t="n">
        <v>4890.18301886792</v>
      </c>
      <c r="L380" s="22" t="s">
        <v>2212</v>
      </c>
      <c r="M380" s="22" t="n">
        <v>7</v>
      </c>
      <c r="N380" s="22"/>
    </row>
    <row r="381" customFormat="false" ht="15" hidden="false" customHeight="false" outlineLevel="0" collapsed="false">
      <c r="A381" s="22" t="s">
        <v>4415</v>
      </c>
      <c r="B381" s="22" t="s">
        <v>3515</v>
      </c>
      <c r="C381" s="22" t="s">
        <v>3431</v>
      </c>
      <c r="D381" s="22" t="s">
        <v>4410</v>
      </c>
      <c r="E381" s="22" t="s">
        <v>4411</v>
      </c>
      <c r="F381" s="22" t="s">
        <v>4416</v>
      </c>
      <c r="G381" s="22" t="s">
        <v>727</v>
      </c>
      <c r="H381" s="63" t="n">
        <v>2645</v>
      </c>
      <c r="I381" s="22" t="s">
        <v>112</v>
      </c>
      <c r="J381" s="22"/>
      <c r="K381" s="63" t="n">
        <v>3316.54720125786</v>
      </c>
      <c r="L381" s="22" t="s">
        <v>2212</v>
      </c>
      <c r="M381" s="22" t="n">
        <v>1</v>
      </c>
      <c r="N381" s="22"/>
    </row>
    <row r="382" customFormat="false" ht="15" hidden="false" customHeight="false" outlineLevel="0" collapsed="false">
      <c r="A382" s="22" t="s">
        <v>4417</v>
      </c>
      <c r="B382" s="22" t="s">
        <v>3515</v>
      </c>
      <c r="C382" s="22" t="s">
        <v>3431</v>
      </c>
      <c r="D382" s="22" t="s">
        <v>4410</v>
      </c>
      <c r="E382" s="22" t="s">
        <v>4411</v>
      </c>
      <c r="F382" s="22" t="s">
        <v>4418</v>
      </c>
      <c r="G382" s="22" t="s">
        <v>727</v>
      </c>
      <c r="H382" s="63" t="n">
        <v>195</v>
      </c>
      <c r="I382" s="22" t="s">
        <v>112</v>
      </c>
      <c r="J382" s="22"/>
      <c r="K382" s="63" t="n">
        <v>244.509150943396</v>
      </c>
      <c r="L382" s="22" t="s">
        <v>2212</v>
      </c>
      <c r="M382" s="22" t="n">
        <v>6</v>
      </c>
      <c r="N382" s="22"/>
    </row>
    <row r="383" customFormat="false" ht="15" hidden="false" customHeight="false" outlineLevel="0" collapsed="false">
      <c r="A383" s="22" t="s">
        <v>4419</v>
      </c>
      <c r="B383" s="22" t="s">
        <v>3515</v>
      </c>
      <c r="C383" s="22" t="s">
        <v>3431</v>
      </c>
      <c r="D383" s="22" t="s">
        <v>4410</v>
      </c>
      <c r="E383" s="22" t="s">
        <v>4411</v>
      </c>
      <c r="F383" s="22" t="s">
        <v>4420</v>
      </c>
      <c r="G383" s="22" t="s">
        <v>732</v>
      </c>
      <c r="H383" s="63" t="n">
        <v>7500</v>
      </c>
      <c r="I383" s="22" t="s">
        <v>112</v>
      </c>
      <c r="J383" s="22"/>
      <c r="K383" s="63" t="n">
        <v>9404.19811320755</v>
      </c>
      <c r="L383" s="22" t="s">
        <v>2228</v>
      </c>
      <c r="M383" s="22" t="n">
        <v>2</v>
      </c>
      <c r="N383" s="22"/>
    </row>
    <row r="384" customFormat="false" ht="15" hidden="false" customHeight="false" outlineLevel="0" collapsed="false">
      <c r="A384" s="22" t="s">
        <v>4421</v>
      </c>
      <c r="B384" s="22" t="s">
        <v>3515</v>
      </c>
      <c r="C384" s="22" t="s">
        <v>3431</v>
      </c>
      <c r="D384" s="22" t="s">
        <v>4410</v>
      </c>
      <c r="E384" s="22" t="s">
        <v>4411</v>
      </c>
      <c r="F384" s="22" t="s">
        <v>4422</v>
      </c>
      <c r="G384" s="22" t="s">
        <v>732</v>
      </c>
      <c r="H384" s="63" t="n">
        <v>10000</v>
      </c>
      <c r="I384" s="22" t="s">
        <v>112</v>
      </c>
      <c r="J384" s="22"/>
      <c r="K384" s="63" t="n">
        <v>12538.9308176101</v>
      </c>
      <c r="L384" s="22" t="s">
        <v>2228</v>
      </c>
      <c r="M384" s="22" t="n">
        <v>3</v>
      </c>
      <c r="N384" s="22"/>
    </row>
    <row r="385" customFormat="false" ht="15" hidden="false" customHeight="false" outlineLevel="0" collapsed="false">
      <c r="A385" s="22" t="s">
        <v>4423</v>
      </c>
      <c r="B385" s="22" t="s">
        <v>3515</v>
      </c>
      <c r="C385" s="22" t="s">
        <v>3431</v>
      </c>
      <c r="D385" s="22" t="s">
        <v>4410</v>
      </c>
      <c r="E385" s="22" t="s">
        <v>4411</v>
      </c>
      <c r="F385" s="22" t="s">
        <v>4424</v>
      </c>
      <c r="G385" s="22" t="s">
        <v>732</v>
      </c>
      <c r="H385" s="63" t="n">
        <v>4750</v>
      </c>
      <c r="I385" s="22" t="s">
        <v>112</v>
      </c>
      <c r="J385" s="22"/>
      <c r="K385" s="63" t="n">
        <v>5955.99213836478</v>
      </c>
      <c r="L385" s="22" t="s">
        <v>2228</v>
      </c>
      <c r="M385" s="22" t="n">
        <v>2</v>
      </c>
      <c r="N385" s="22"/>
    </row>
    <row r="386" customFormat="false" ht="15" hidden="false" customHeight="false" outlineLevel="0" collapsed="false">
      <c r="A386" s="22" t="s">
        <v>4425</v>
      </c>
      <c r="B386" s="22" t="s">
        <v>3515</v>
      </c>
      <c r="C386" s="22" t="s">
        <v>3431</v>
      </c>
      <c r="D386" s="22" t="s">
        <v>4410</v>
      </c>
      <c r="E386" s="22" t="s">
        <v>4411</v>
      </c>
      <c r="F386" s="22" t="s">
        <v>4426</v>
      </c>
      <c r="G386" s="22" t="s">
        <v>727</v>
      </c>
      <c r="H386" s="63" t="n">
        <v>3150</v>
      </c>
      <c r="I386" s="22" t="s">
        <v>112</v>
      </c>
      <c r="J386" s="22"/>
      <c r="K386" s="63" t="n">
        <v>3949.76320754717</v>
      </c>
      <c r="L386" s="22" t="s">
        <v>2228</v>
      </c>
      <c r="M386" s="22" t="n">
        <v>1</v>
      </c>
      <c r="N386" s="22"/>
    </row>
    <row r="387" customFormat="false" ht="15" hidden="false" customHeight="false" outlineLevel="0" collapsed="false">
      <c r="A387" s="22" t="s">
        <v>4427</v>
      </c>
      <c r="B387" s="22" t="s">
        <v>3515</v>
      </c>
      <c r="C387" s="22" t="s">
        <v>3431</v>
      </c>
      <c r="D387" s="22" t="s">
        <v>4428</v>
      </c>
      <c r="E387" s="22" t="s">
        <v>4429</v>
      </c>
      <c r="F387" s="22" t="s">
        <v>4430</v>
      </c>
      <c r="G387" s="22" t="s">
        <v>4431</v>
      </c>
      <c r="H387" s="63" t="n">
        <v>11232.588</v>
      </c>
      <c r="I387" s="22" t="s">
        <v>112</v>
      </c>
      <c r="J387" s="22"/>
      <c r="K387" s="63" t="n">
        <v>14004.2746945234</v>
      </c>
      <c r="L387" s="22"/>
      <c r="M387" s="22" t="n">
        <v>1</v>
      </c>
      <c r="N387" s="22" t="s">
        <v>4432</v>
      </c>
    </row>
    <row r="388" customFormat="false" ht="15" hidden="false" customHeight="false" outlineLevel="0" collapsed="false">
      <c r="A388" s="22" t="s">
        <v>4433</v>
      </c>
      <c r="B388" s="22" t="s">
        <v>3515</v>
      </c>
      <c r="C388" s="22" t="s">
        <v>3431</v>
      </c>
      <c r="D388" s="22" t="s">
        <v>4428</v>
      </c>
      <c r="E388" s="22" t="s">
        <v>4429</v>
      </c>
      <c r="F388" s="22" t="s">
        <v>4434</v>
      </c>
      <c r="G388" s="22" t="s">
        <v>4431</v>
      </c>
      <c r="H388" s="63" t="n">
        <v>3925.2528</v>
      </c>
      <c r="I388" s="22" t="s">
        <v>112</v>
      </c>
      <c r="J388" s="22"/>
      <c r="K388" s="63" t="n">
        <v>4893.82486535135</v>
      </c>
      <c r="L388" s="22" t="s">
        <v>1673</v>
      </c>
      <c r="M388" s="22" t="n">
        <v>1</v>
      </c>
      <c r="N388" s="22" t="s">
        <v>4432</v>
      </c>
    </row>
    <row r="389" customFormat="false" ht="15" hidden="false" customHeight="false" outlineLevel="0" collapsed="false">
      <c r="A389" s="22" t="s">
        <v>4435</v>
      </c>
      <c r="B389" s="22" t="s">
        <v>3515</v>
      </c>
      <c r="C389" s="22" t="s">
        <v>3431</v>
      </c>
      <c r="D389" s="22" t="s">
        <v>4428</v>
      </c>
      <c r="E389" s="22" t="s">
        <v>4429</v>
      </c>
      <c r="F389" s="22" t="s">
        <v>4436</v>
      </c>
      <c r="G389" s="22" t="s">
        <v>4431</v>
      </c>
      <c r="H389" s="63" t="n">
        <v>378.6336</v>
      </c>
      <c r="I389" s="22" t="s">
        <v>112</v>
      </c>
      <c r="J389" s="22"/>
      <c r="K389" s="63" t="n">
        <v>472.06297809341</v>
      </c>
      <c r="L389" s="22" t="s">
        <v>1961</v>
      </c>
      <c r="M389" s="22" t="n">
        <v>9</v>
      </c>
      <c r="N389" s="22" t="s">
        <v>4432</v>
      </c>
    </row>
    <row r="390" customFormat="false" ht="15" hidden="false" customHeight="false" outlineLevel="0" collapsed="false">
      <c r="A390" s="22" t="s">
        <v>4437</v>
      </c>
      <c r="B390" s="22" t="s">
        <v>3515</v>
      </c>
      <c r="C390" s="22" t="s">
        <v>3431</v>
      </c>
      <c r="D390" s="22" t="s">
        <v>4438</v>
      </c>
      <c r="E390" s="22" t="s">
        <v>4439</v>
      </c>
      <c r="F390" s="22" t="s">
        <v>4440</v>
      </c>
      <c r="G390" s="22" t="s">
        <v>727</v>
      </c>
      <c r="H390" s="63" t="n">
        <v>434.71</v>
      </c>
      <c r="I390" s="22" t="s">
        <v>112</v>
      </c>
      <c r="J390" s="22"/>
      <c r="K390" s="63" t="n">
        <v>540.563746539751</v>
      </c>
      <c r="L390" s="22" t="s">
        <v>1946</v>
      </c>
      <c r="M390" s="22" t="n">
        <v>6</v>
      </c>
      <c r="N390" s="22" t="s">
        <v>4441</v>
      </c>
    </row>
    <row r="391" customFormat="false" ht="15" hidden="false" customHeight="false" outlineLevel="0" collapsed="false">
      <c r="A391" s="22" t="s">
        <v>4442</v>
      </c>
      <c r="B391" s="22" t="s">
        <v>3515</v>
      </c>
      <c r="C391" s="22" t="s">
        <v>3431</v>
      </c>
      <c r="D391" s="22" t="s">
        <v>4438</v>
      </c>
      <c r="E391" s="22" t="s">
        <v>4439</v>
      </c>
      <c r="F391" s="22" t="s">
        <v>4443</v>
      </c>
      <c r="G391" s="22" t="s">
        <v>727</v>
      </c>
      <c r="H391" s="63" t="n">
        <v>23.23</v>
      </c>
      <c r="I391" s="22" t="s">
        <v>112</v>
      </c>
      <c r="J391" s="22"/>
      <c r="K391" s="63" t="n">
        <v>28.88660447682</v>
      </c>
      <c r="L391" s="22" t="s">
        <v>4121</v>
      </c>
      <c r="M391" s="22" t="n">
        <v>7</v>
      </c>
      <c r="N391" s="22" t="s">
        <v>4441</v>
      </c>
    </row>
    <row r="392" customFormat="false" ht="15" hidden="false" customHeight="false" outlineLevel="0" collapsed="false">
      <c r="A392" s="22" t="s">
        <v>4444</v>
      </c>
      <c r="B392" s="22" t="s">
        <v>3515</v>
      </c>
      <c r="C392" s="22" t="s">
        <v>3431</v>
      </c>
      <c r="D392" s="22" t="s">
        <v>4438</v>
      </c>
      <c r="E392" s="22" t="s">
        <v>4439</v>
      </c>
      <c r="F392" s="22" t="s">
        <v>4445</v>
      </c>
      <c r="G392" s="22" t="s">
        <v>727</v>
      </c>
      <c r="H392" s="63" t="n">
        <v>863.79</v>
      </c>
      <c r="I392" s="22" t="s">
        <v>112</v>
      </c>
      <c r="J392" s="22"/>
      <c r="K392" s="63" t="n">
        <v>1074.1265639704</v>
      </c>
      <c r="L392" s="22" t="s">
        <v>1946</v>
      </c>
      <c r="M392" s="22" t="n">
        <v>2</v>
      </c>
      <c r="N392" s="22" t="s">
        <v>4441</v>
      </c>
    </row>
    <row r="393" customFormat="false" ht="15" hidden="false" customHeight="false" outlineLevel="0" collapsed="false">
      <c r="A393" s="22" t="s">
        <v>4446</v>
      </c>
      <c r="B393" s="22" t="s">
        <v>3515</v>
      </c>
      <c r="C393" s="22" t="s">
        <v>3431</v>
      </c>
      <c r="D393" s="22" t="s">
        <v>4438</v>
      </c>
      <c r="E393" s="22" t="s">
        <v>4439</v>
      </c>
      <c r="F393" s="22" t="s">
        <v>4447</v>
      </c>
      <c r="G393" s="22" t="s">
        <v>727</v>
      </c>
      <c r="H393" s="63" t="n">
        <v>981.29</v>
      </c>
      <c r="I393" s="22" t="s">
        <v>112</v>
      </c>
      <c r="J393" s="22"/>
      <c r="K393" s="63" t="n">
        <v>1220.23831713554</v>
      </c>
      <c r="L393" s="22" t="s">
        <v>4121</v>
      </c>
      <c r="M393" s="22" t="n">
        <v>1</v>
      </c>
      <c r="N393" s="22" t="s">
        <v>4441</v>
      </c>
    </row>
    <row r="394" customFormat="false" ht="15" hidden="false" customHeight="false" outlineLevel="0" collapsed="false">
      <c r="A394" s="22" t="s">
        <v>4448</v>
      </c>
      <c r="B394" s="22" t="s">
        <v>3515</v>
      </c>
      <c r="C394" s="22" t="s">
        <v>3431</v>
      </c>
      <c r="D394" s="22" t="s">
        <v>4438</v>
      </c>
      <c r="E394" s="22" t="s">
        <v>4439</v>
      </c>
      <c r="F394" s="22" t="s">
        <v>4449</v>
      </c>
      <c r="G394" s="22" t="s">
        <v>727</v>
      </c>
      <c r="H394" s="63" t="n">
        <v>273.97</v>
      </c>
      <c r="I394" s="22" t="s">
        <v>112</v>
      </c>
      <c r="J394" s="22"/>
      <c r="K394" s="63" t="n">
        <v>340.682868209831</v>
      </c>
      <c r="L394" s="22" t="s">
        <v>4121</v>
      </c>
      <c r="M394" s="22" t="n">
        <v>4</v>
      </c>
      <c r="N394" s="22" t="s">
        <v>4441</v>
      </c>
    </row>
    <row r="395" customFormat="false" ht="15" hidden="false" customHeight="false" outlineLevel="0" collapsed="false">
      <c r="A395" s="22" t="s">
        <v>4450</v>
      </c>
      <c r="B395" s="22" t="s">
        <v>3515</v>
      </c>
      <c r="C395" s="22" t="s">
        <v>3431</v>
      </c>
      <c r="D395" s="22" t="s">
        <v>4438</v>
      </c>
      <c r="E395" s="22" t="s">
        <v>4439</v>
      </c>
      <c r="F395" s="22" t="s">
        <v>4451</v>
      </c>
      <c r="G395" s="22" t="s">
        <v>727</v>
      </c>
      <c r="H395" s="63" t="n">
        <v>1898.89</v>
      </c>
      <c r="I395" s="22" t="s">
        <v>112</v>
      </c>
      <c r="J395" s="22"/>
      <c r="K395" s="63" t="n">
        <v>2361.27784653417</v>
      </c>
      <c r="L395" s="22" t="s">
        <v>1905</v>
      </c>
      <c r="M395" s="22" t="n">
        <v>1</v>
      </c>
      <c r="N395" s="22" t="s">
        <v>4441</v>
      </c>
    </row>
    <row r="396" customFormat="false" ht="15" hidden="false" customHeight="false" outlineLevel="0" collapsed="false">
      <c r="A396" s="22" t="s">
        <v>4452</v>
      </c>
      <c r="B396" s="22" t="s">
        <v>3515</v>
      </c>
      <c r="C396" s="22" t="s">
        <v>3431</v>
      </c>
      <c r="D396" s="22" t="s">
        <v>4438</v>
      </c>
      <c r="E396" s="22" t="s">
        <v>4439</v>
      </c>
      <c r="F396" s="22" t="s">
        <v>4453</v>
      </c>
      <c r="G396" s="22" t="s">
        <v>727</v>
      </c>
      <c r="H396" s="63" t="n">
        <v>38.74</v>
      </c>
      <c r="I396" s="22" t="s">
        <v>112</v>
      </c>
      <c r="J396" s="22"/>
      <c r="K396" s="63" t="n">
        <v>48.1733558946193</v>
      </c>
      <c r="L396" s="22" t="s">
        <v>1905</v>
      </c>
      <c r="M396" s="22" t="n">
        <v>1</v>
      </c>
      <c r="N396" s="22" t="s">
        <v>4441</v>
      </c>
    </row>
    <row r="397" customFormat="false" ht="15" hidden="false" customHeight="false" outlineLevel="0" collapsed="false">
      <c r="A397" s="22" t="s">
        <v>4454</v>
      </c>
      <c r="B397" s="22" t="s">
        <v>3515</v>
      </c>
      <c r="C397" s="22" t="s">
        <v>3431</v>
      </c>
      <c r="D397" s="22" t="s">
        <v>4438</v>
      </c>
      <c r="E397" s="22" t="s">
        <v>4439</v>
      </c>
      <c r="F397" s="22" t="s">
        <v>4455</v>
      </c>
      <c r="G397" s="22" t="s">
        <v>727</v>
      </c>
      <c r="H397" s="63" t="n">
        <v>1760</v>
      </c>
      <c r="I397" s="22" t="s">
        <v>112</v>
      </c>
      <c r="J397" s="22"/>
      <c r="K397" s="63" t="n">
        <v>2188.56753677155</v>
      </c>
      <c r="L397" s="22" t="s">
        <v>4282</v>
      </c>
      <c r="M397" s="22" t="n">
        <v>4</v>
      </c>
      <c r="N397" s="22" t="s">
        <v>4441</v>
      </c>
    </row>
    <row r="398" customFormat="false" ht="15" hidden="false" customHeight="false" outlineLevel="0" collapsed="false">
      <c r="A398" s="22" t="s">
        <v>4456</v>
      </c>
      <c r="B398" s="22" t="s">
        <v>3515</v>
      </c>
      <c r="C398" s="22" t="s">
        <v>3431</v>
      </c>
      <c r="D398" s="22" t="s">
        <v>4438</v>
      </c>
      <c r="E398" s="22" t="s">
        <v>4439</v>
      </c>
      <c r="F398" s="22" t="s">
        <v>4457</v>
      </c>
      <c r="G398" s="22" t="s">
        <v>727</v>
      </c>
      <c r="H398" s="63" t="n">
        <v>398.82</v>
      </c>
      <c r="I398" s="22" t="s">
        <v>112</v>
      </c>
      <c r="J398" s="22"/>
      <c r="K398" s="63" t="n">
        <v>495.934377849562</v>
      </c>
      <c r="L398" s="22" t="s">
        <v>4282</v>
      </c>
      <c r="M398" s="22" t="n">
        <v>1</v>
      </c>
      <c r="N398" s="22" t="s">
        <v>4441</v>
      </c>
    </row>
    <row r="399" customFormat="false" ht="15" hidden="false" customHeight="false" outlineLevel="0" collapsed="false">
      <c r="A399" s="22" t="s">
        <v>4458</v>
      </c>
      <c r="B399" s="22" t="s">
        <v>3515</v>
      </c>
      <c r="C399" s="22" t="s">
        <v>3431</v>
      </c>
      <c r="D399" s="22" t="s">
        <v>4438</v>
      </c>
      <c r="E399" s="22" t="s">
        <v>4439</v>
      </c>
      <c r="F399" s="22" t="s">
        <v>4459</v>
      </c>
      <c r="G399" s="22" t="s">
        <v>727</v>
      </c>
      <c r="H399" s="63" t="n">
        <v>185</v>
      </c>
      <c r="I399" s="22" t="s">
        <v>112</v>
      </c>
      <c r="J399" s="22"/>
      <c r="K399" s="63" t="n">
        <v>230.048292217464</v>
      </c>
      <c r="L399" s="22" t="s">
        <v>4282</v>
      </c>
      <c r="M399" s="22" t="n">
        <v>6</v>
      </c>
      <c r="N399" s="22" t="s">
        <v>4441</v>
      </c>
    </row>
    <row r="400" customFormat="false" ht="15" hidden="false" customHeight="false" outlineLevel="0" collapsed="false">
      <c r="A400" s="22" t="s">
        <v>4460</v>
      </c>
      <c r="B400" s="22" t="s">
        <v>3515</v>
      </c>
      <c r="C400" s="22" t="s">
        <v>3431</v>
      </c>
      <c r="D400" s="22" t="s">
        <v>4438</v>
      </c>
      <c r="E400" s="22" t="s">
        <v>4439</v>
      </c>
      <c r="F400" s="22" t="s">
        <v>4461</v>
      </c>
      <c r="G400" s="22" t="s">
        <v>727</v>
      </c>
      <c r="H400" s="63" t="n">
        <v>47.53</v>
      </c>
      <c r="I400" s="22" t="s">
        <v>112</v>
      </c>
      <c r="J400" s="22"/>
      <c r="K400" s="63" t="n">
        <v>59.1037585356544</v>
      </c>
      <c r="L400" s="22" t="s">
        <v>2096</v>
      </c>
      <c r="M400" s="22" t="n">
        <v>8</v>
      </c>
      <c r="N400" s="22" t="s">
        <v>4441</v>
      </c>
    </row>
    <row r="401" customFormat="false" ht="15" hidden="false" customHeight="false" outlineLevel="0" collapsed="false">
      <c r="A401" s="22" t="s">
        <v>4462</v>
      </c>
      <c r="B401" s="22" t="s">
        <v>3515</v>
      </c>
      <c r="C401" s="22" t="s">
        <v>3431</v>
      </c>
      <c r="D401" s="22" t="s">
        <v>4438</v>
      </c>
      <c r="E401" s="22" t="s">
        <v>4439</v>
      </c>
      <c r="F401" s="22" t="s">
        <v>4463</v>
      </c>
      <c r="G401" s="22" t="s">
        <v>727</v>
      </c>
      <c r="H401" s="63" t="n">
        <v>32.73</v>
      </c>
      <c r="I401" s="22" t="s">
        <v>112</v>
      </c>
      <c r="J401" s="22"/>
      <c r="K401" s="63" t="n">
        <v>40.6998951582573</v>
      </c>
      <c r="L401" s="22" t="s">
        <v>2096</v>
      </c>
      <c r="M401" s="22" t="n">
        <v>8</v>
      </c>
      <c r="N401" s="22" t="s">
        <v>4441</v>
      </c>
    </row>
    <row r="402" customFormat="false" ht="15" hidden="false" customHeight="false" outlineLevel="0" collapsed="false">
      <c r="A402" s="22" t="s">
        <v>4464</v>
      </c>
      <c r="B402" s="22" t="s">
        <v>3515</v>
      </c>
      <c r="C402" s="22" t="s">
        <v>3431</v>
      </c>
      <c r="D402" s="22" t="s">
        <v>4438</v>
      </c>
      <c r="E402" s="22" t="s">
        <v>4439</v>
      </c>
      <c r="F402" s="22" t="s">
        <v>4465</v>
      </c>
      <c r="G402" s="22" t="s">
        <v>727</v>
      </c>
      <c r="H402" s="63" t="n">
        <v>17.27</v>
      </c>
      <c r="I402" s="22" t="s">
        <v>112</v>
      </c>
      <c r="J402" s="22"/>
      <c r="K402" s="63" t="n">
        <v>21.4753189545708</v>
      </c>
      <c r="L402" s="22" t="s">
        <v>4282</v>
      </c>
      <c r="M402" s="22" t="n">
        <v>7</v>
      </c>
      <c r="N402" s="22" t="s">
        <v>4441</v>
      </c>
    </row>
    <row r="403" customFormat="false" ht="15" hidden="false" customHeight="false" outlineLevel="0" collapsed="false">
      <c r="A403" s="22" t="s">
        <v>4466</v>
      </c>
      <c r="B403" s="22" t="s">
        <v>3515</v>
      </c>
      <c r="C403" s="22" t="s">
        <v>3431</v>
      </c>
      <c r="D403" s="22" t="s">
        <v>4438</v>
      </c>
      <c r="E403" s="22" t="s">
        <v>4439</v>
      </c>
      <c r="F403" s="22" t="s">
        <v>4467</v>
      </c>
      <c r="G403" s="22" t="s">
        <v>727</v>
      </c>
      <c r="H403" s="63" t="n">
        <v>15.45</v>
      </c>
      <c r="I403" s="22" t="s">
        <v>112</v>
      </c>
      <c r="J403" s="22"/>
      <c r="K403" s="63" t="n">
        <v>19.2121411608639</v>
      </c>
      <c r="L403" s="22" t="s">
        <v>2096</v>
      </c>
      <c r="M403" s="22" t="n">
        <v>7</v>
      </c>
      <c r="N403" s="22" t="s">
        <v>4441</v>
      </c>
    </row>
    <row r="404" customFormat="false" ht="15" hidden="false" customHeight="false" outlineLevel="0" collapsed="false">
      <c r="A404" s="22" t="s">
        <v>4468</v>
      </c>
      <c r="B404" s="22" t="s">
        <v>3515</v>
      </c>
      <c r="C404" s="22" t="s">
        <v>3431</v>
      </c>
      <c r="D404" s="22" t="s">
        <v>4438</v>
      </c>
      <c r="E404" s="22" t="s">
        <v>4439</v>
      </c>
      <c r="F404" s="22" t="s">
        <v>4469</v>
      </c>
      <c r="G404" s="22" t="s">
        <v>727</v>
      </c>
      <c r="H404" s="63" t="n">
        <v>2558.34</v>
      </c>
      <c r="I404" s="22" t="s">
        <v>112</v>
      </c>
      <c r="J404" s="22"/>
      <c r="K404" s="63" t="n">
        <v>3181.30674546826</v>
      </c>
      <c r="L404" s="22" t="s">
        <v>2033</v>
      </c>
      <c r="M404" s="22" t="n">
        <v>1</v>
      </c>
      <c r="N404" s="22" t="s">
        <v>4441</v>
      </c>
    </row>
    <row r="405" customFormat="false" ht="15" hidden="false" customHeight="false" outlineLevel="0" collapsed="false">
      <c r="A405" s="22" t="s">
        <v>4470</v>
      </c>
      <c r="B405" s="22" t="s">
        <v>3515</v>
      </c>
      <c r="C405" s="22" t="s">
        <v>3431</v>
      </c>
      <c r="D405" s="22" t="s">
        <v>4438</v>
      </c>
      <c r="E405" s="22" t="s">
        <v>4439</v>
      </c>
      <c r="F405" s="22" t="s">
        <v>4471</v>
      </c>
      <c r="G405" s="22" t="s">
        <v>727</v>
      </c>
      <c r="H405" s="63" t="n">
        <v>1313.58</v>
      </c>
      <c r="I405" s="22" t="s">
        <v>112</v>
      </c>
      <c r="J405" s="22"/>
      <c r="K405" s="63" t="n">
        <v>1633.44235508658</v>
      </c>
      <c r="L405" s="22" t="s">
        <v>2033</v>
      </c>
      <c r="M405" s="22" t="n">
        <v>1</v>
      </c>
      <c r="N405" s="22" t="s">
        <v>4441</v>
      </c>
    </row>
    <row r="406" customFormat="false" ht="15" hidden="false" customHeight="false" outlineLevel="0" collapsed="false">
      <c r="A406" s="22" t="s">
        <v>4472</v>
      </c>
      <c r="B406" s="22" t="s">
        <v>3515</v>
      </c>
      <c r="C406" s="22" t="s">
        <v>3431</v>
      </c>
      <c r="D406" s="22" t="s">
        <v>4438</v>
      </c>
      <c r="E406" s="22" t="s">
        <v>4439</v>
      </c>
      <c r="F406" s="22" t="s">
        <v>4473</v>
      </c>
      <c r="G406" s="22" t="s">
        <v>727</v>
      </c>
      <c r="H406" s="63" t="n">
        <v>6071</v>
      </c>
      <c r="I406" s="22" t="s">
        <v>112</v>
      </c>
      <c r="J406" s="22"/>
      <c r="K406" s="63" t="n">
        <v>7549.31449757959</v>
      </c>
      <c r="L406" s="22" t="s">
        <v>2033</v>
      </c>
      <c r="M406" s="22" t="n">
        <v>1</v>
      </c>
      <c r="N406" s="22" t="s">
        <v>4441</v>
      </c>
    </row>
    <row r="407" customFormat="false" ht="15" hidden="false" customHeight="false" outlineLevel="0" collapsed="false">
      <c r="A407" s="22" t="s">
        <v>4474</v>
      </c>
      <c r="B407" s="22" t="s">
        <v>3515</v>
      </c>
      <c r="C407" s="22" t="s">
        <v>3431</v>
      </c>
      <c r="D407" s="22" t="s">
        <v>4438</v>
      </c>
      <c r="E407" s="22" t="s">
        <v>4439</v>
      </c>
      <c r="F407" s="22" t="s">
        <v>4475</v>
      </c>
      <c r="G407" s="22" t="s">
        <v>727</v>
      </c>
      <c r="H407" s="63" t="n">
        <v>280.18</v>
      </c>
      <c r="I407" s="22" t="s">
        <v>112</v>
      </c>
      <c r="J407" s="22"/>
      <c r="K407" s="63" t="n">
        <v>348.405029802644</v>
      </c>
      <c r="L407" s="22" t="s">
        <v>1961</v>
      </c>
      <c r="M407" s="22" t="n">
        <v>2</v>
      </c>
      <c r="N407" s="22" t="s">
        <v>4441</v>
      </c>
    </row>
    <row r="408" customFormat="false" ht="15" hidden="false" customHeight="false" outlineLevel="0" collapsed="false">
      <c r="A408" s="22" t="s">
        <v>4476</v>
      </c>
      <c r="B408" s="22" t="s">
        <v>3515</v>
      </c>
      <c r="C408" s="22" t="s">
        <v>3431</v>
      </c>
      <c r="D408" s="22" t="s">
        <v>4438</v>
      </c>
      <c r="E408" s="22" t="s">
        <v>4439</v>
      </c>
      <c r="F408" s="22" t="s">
        <v>4477</v>
      </c>
      <c r="G408" s="22" t="s">
        <v>727</v>
      </c>
      <c r="H408" s="63" t="n">
        <v>32.46</v>
      </c>
      <c r="I408" s="22" t="s">
        <v>112</v>
      </c>
      <c r="J408" s="22"/>
      <c r="K408" s="63" t="n">
        <v>40.364149002048</v>
      </c>
      <c r="L408" s="22" t="s">
        <v>2022</v>
      </c>
      <c r="M408" s="22" t="n">
        <v>8</v>
      </c>
      <c r="N408" s="22" t="s">
        <v>4441</v>
      </c>
    </row>
    <row r="409" customFormat="false" ht="15" hidden="false" customHeight="false" outlineLevel="0" collapsed="false">
      <c r="A409" s="22" t="s">
        <v>4478</v>
      </c>
      <c r="B409" s="22" t="s">
        <v>3515</v>
      </c>
      <c r="C409" s="22" t="s">
        <v>3431</v>
      </c>
      <c r="D409" s="22" t="s">
        <v>4479</v>
      </c>
      <c r="E409" s="22" t="s">
        <v>4480</v>
      </c>
      <c r="F409" s="22" t="s">
        <v>4481</v>
      </c>
      <c r="G409" s="22" t="s">
        <v>816</v>
      </c>
      <c r="H409" s="63" t="n">
        <v>6000</v>
      </c>
      <c r="I409" s="22" t="s">
        <v>112</v>
      </c>
      <c r="J409" s="22"/>
      <c r="K409" s="63" t="n">
        <v>7461.02569353938</v>
      </c>
      <c r="L409" s="22" t="s">
        <v>1805</v>
      </c>
      <c r="M409" s="22" t="n">
        <v>1</v>
      </c>
      <c r="N409" s="22" t="s">
        <v>4482</v>
      </c>
    </row>
    <row r="410" customFormat="false" ht="15" hidden="false" customHeight="false" outlineLevel="0" collapsed="false">
      <c r="A410" s="22" t="s">
        <v>4483</v>
      </c>
      <c r="B410" s="22" t="s">
        <v>3515</v>
      </c>
      <c r="C410" s="22" t="s">
        <v>3431</v>
      </c>
      <c r="D410" s="22" t="s">
        <v>4479</v>
      </c>
      <c r="E410" s="22" t="s">
        <v>4480</v>
      </c>
      <c r="F410" s="22" t="s">
        <v>4484</v>
      </c>
      <c r="G410" s="22" t="s">
        <v>4005</v>
      </c>
      <c r="H410" s="63" t="n">
        <v>949.9</v>
      </c>
      <c r="I410" s="22" t="s">
        <v>112</v>
      </c>
      <c r="J410" s="22"/>
      <c r="K410" s="63" t="n">
        <v>1181.20471771551</v>
      </c>
      <c r="L410" s="22" t="s">
        <v>1845</v>
      </c>
      <c r="M410" s="22" t="n">
        <v>4</v>
      </c>
      <c r="N410" s="22" t="s">
        <v>4485</v>
      </c>
    </row>
    <row r="411" customFormat="false" ht="15" hidden="false" customHeight="false" outlineLevel="0" collapsed="false">
      <c r="A411" s="22" t="s">
        <v>4486</v>
      </c>
      <c r="B411" s="22" t="s">
        <v>3515</v>
      </c>
      <c r="C411" s="22" t="s">
        <v>3431</v>
      </c>
      <c r="D411" s="22" t="s">
        <v>4479</v>
      </c>
      <c r="E411" s="22" t="s">
        <v>4480</v>
      </c>
      <c r="F411" s="22" t="s">
        <v>4487</v>
      </c>
      <c r="G411" s="22" t="s">
        <v>4005</v>
      </c>
      <c r="H411" s="63" t="n">
        <v>498</v>
      </c>
      <c r="I411" s="22" t="s">
        <v>112</v>
      </c>
      <c r="J411" s="22"/>
      <c r="K411" s="63" t="n">
        <v>619.265132563768</v>
      </c>
      <c r="L411" s="22" t="s">
        <v>1810</v>
      </c>
      <c r="M411" s="22" t="n">
        <v>6</v>
      </c>
      <c r="N411" s="22" t="s">
        <v>4485</v>
      </c>
    </row>
    <row r="412" customFormat="false" ht="15" hidden="false" customHeight="false" outlineLevel="0" collapsed="false">
      <c r="A412" s="22" t="s">
        <v>4488</v>
      </c>
      <c r="B412" s="22" t="s">
        <v>3515</v>
      </c>
      <c r="C412" s="22" t="s">
        <v>3431</v>
      </c>
      <c r="D412" s="22" t="s">
        <v>4479</v>
      </c>
      <c r="E412" s="22" t="s">
        <v>4480</v>
      </c>
      <c r="F412" s="22" t="s">
        <v>4489</v>
      </c>
      <c r="G412" s="22" t="s">
        <v>4005</v>
      </c>
      <c r="H412" s="63" t="n">
        <v>30</v>
      </c>
      <c r="I412" s="22" t="s">
        <v>112</v>
      </c>
      <c r="J412" s="22"/>
      <c r="K412" s="63" t="n">
        <v>37.3051284676969</v>
      </c>
      <c r="L412" s="22" t="s">
        <v>1829</v>
      </c>
      <c r="M412" s="22" t="n">
        <v>1</v>
      </c>
      <c r="N412" s="22" t="s">
        <v>4485</v>
      </c>
    </row>
    <row r="413" customFormat="false" ht="15" hidden="false" customHeight="false" outlineLevel="0" collapsed="false">
      <c r="A413" s="22" t="s">
        <v>4490</v>
      </c>
      <c r="B413" s="22" t="s">
        <v>3515</v>
      </c>
      <c r="C413" s="22" t="s">
        <v>3431</v>
      </c>
      <c r="D413" s="22" t="s">
        <v>4479</v>
      </c>
      <c r="E413" s="22" t="s">
        <v>4480</v>
      </c>
      <c r="F413" s="22" t="s">
        <v>4491</v>
      </c>
      <c r="G413" s="22" t="s">
        <v>4005</v>
      </c>
      <c r="H413" s="63" t="n">
        <v>157.05</v>
      </c>
      <c r="I413" s="22" t="s">
        <v>112</v>
      </c>
      <c r="J413" s="22"/>
      <c r="K413" s="63" t="n">
        <v>195.292347528393</v>
      </c>
      <c r="L413" s="22" t="s">
        <v>1829</v>
      </c>
      <c r="M413" s="22" t="n">
        <v>2</v>
      </c>
      <c r="N413" s="22" t="s">
        <v>4485</v>
      </c>
    </row>
    <row r="414" customFormat="false" ht="15" hidden="false" customHeight="false" outlineLevel="0" collapsed="false">
      <c r="A414" s="22" t="s">
        <v>4492</v>
      </c>
      <c r="B414" s="22" t="s">
        <v>3515</v>
      </c>
      <c r="C414" s="22" t="s">
        <v>3431</v>
      </c>
      <c r="D414" s="22" t="s">
        <v>4479</v>
      </c>
      <c r="E414" s="22" t="s">
        <v>4480</v>
      </c>
      <c r="F414" s="22" t="s">
        <v>4493</v>
      </c>
      <c r="G414" s="22" t="s">
        <v>732</v>
      </c>
      <c r="H414" s="63" t="n">
        <v>2500</v>
      </c>
      <c r="I414" s="22" t="s">
        <v>112</v>
      </c>
      <c r="J414" s="22"/>
      <c r="K414" s="63" t="n">
        <v>3108.76070564141</v>
      </c>
      <c r="L414" s="22" t="s">
        <v>4254</v>
      </c>
      <c r="M414" s="22" t="n">
        <v>1</v>
      </c>
      <c r="N414" s="22" t="s">
        <v>4485</v>
      </c>
    </row>
    <row r="415" customFormat="false" ht="15" hidden="false" customHeight="false" outlineLevel="0" collapsed="false">
      <c r="A415" s="22" t="s">
        <v>4494</v>
      </c>
      <c r="B415" s="22" t="s">
        <v>3515</v>
      </c>
      <c r="C415" s="22" t="s">
        <v>3431</v>
      </c>
      <c r="D415" s="22" t="s">
        <v>4479</v>
      </c>
      <c r="E415" s="22" t="s">
        <v>4480</v>
      </c>
      <c r="F415" s="22" t="s">
        <v>4495</v>
      </c>
      <c r="G415" s="22" t="s">
        <v>4005</v>
      </c>
      <c r="H415" s="63" t="n">
        <v>4000</v>
      </c>
      <c r="I415" s="22" t="s">
        <v>112</v>
      </c>
      <c r="J415" s="22"/>
      <c r="K415" s="63" t="n">
        <v>4974.01712902625</v>
      </c>
      <c r="L415" s="22" t="s">
        <v>1845</v>
      </c>
      <c r="M415" s="22" t="n">
        <v>1</v>
      </c>
      <c r="N415" s="22" t="s">
        <v>4496</v>
      </c>
    </row>
    <row r="416" customFormat="false" ht="15" hidden="false" customHeight="false" outlineLevel="0" collapsed="false">
      <c r="A416" s="22" t="s">
        <v>4497</v>
      </c>
      <c r="B416" s="22" t="s">
        <v>3515</v>
      </c>
      <c r="C416" s="22" t="s">
        <v>3431</v>
      </c>
      <c r="D416" s="22" t="s">
        <v>4479</v>
      </c>
      <c r="E416" s="22" t="s">
        <v>4480</v>
      </c>
      <c r="F416" s="22" t="s">
        <v>4498</v>
      </c>
      <c r="G416" s="22" t="s">
        <v>732</v>
      </c>
      <c r="H416" s="63" t="n">
        <v>3000</v>
      </c>
      <c r="I416" s="22" t="s">
        <v>112</v>
      </c>
      <c r="J416" s="22"/>
      <c r="K416" s="63" t="n">
        <v>3730.51284676969</v>
      </c>
      <c r="L416" s="22" t="s">
        <v>1845</v>
      </c>
      <c r="M416" s="22" t="n">
        <v>1</v>
      </c>
      <c r="N416" s="22" t="s">
        <v>4499</v>
      </c>
    </row>
    <row r="417" customFormat="false" ht="15" hidden="false" customHeight="false" outlineLevel="0" collapsed="false">
      <c r="A417" s="22" t="s">
        <v>4500</v>
      </c>
      <c r="B417" s="22" t="s">
        <v>3515</v>
      </c>
      <c r="C417" s="22" t="s">
        <v>3431</v>
      </c>
      <c r="D417" s="22" t="s">
        <v>4501</v>
      </c>
      <c r="E417" s="22" t="s">
        <v>4502</v>
      </c>
      <c r="F417" s="22" t="s">
        <v>4503</v>
      </c>
      <c r="G417" s="22" t="s">
        <v>727</v>
      </c>
      <c r="H417" s="63" t="n">
        <v>1598.02</v>
      </c>
      <c r="I417" s="22" t="s">
        <v>112</v>
      </c>
      <c r="J417" s="22"/>
      <c r="K417" s="63" t="n">
        <v>1981.97850589229</v>
      </c>
      <c r="L417" s="22" t="s">
        <v>2022</v>
      </c>
      <c r="M417" s="22" t="n">
        <v>2</v>
      </c>
      <c r="N417" s="22" t="s">
        <v>4504</v>
      </c>
    </row>
    <row r="418" customFormat="false" ht="15" hidden="false" customHeight="false" outlineLevel="0" collapsed="false">
      <c r="A418" s="22" t="s">
        <v>4505</v>
      </c>
      <c r="B418" s="22" t="s">
        <v>3515</v>
      </c>
      <c r="C418" s="22" t="s">
        <v>3431</v>
      </c>
      <c r="D418" s="22" t="s">
        <v>4501</v>
      </c>
      <c r="E418" s="22" t="s">
        <v>4502</v>
      </c>
      <c r="F418" s="22" t="s">
        <v>4506</v>
      </c>
      <c r="G418" s="22" t="s">
        <v>727</v>
      </c>
      <c r="H418" s="63" t="n">
        <v>44.86</v>
      </c>
      <c r="I418" s="22" t="s">
        <v>112</v>
      </c>
      <c r="J418" s="22"/>
      <c r="K418" s="63" t="n">
        <v>55.638575095636</v>
      </c>
      <c r="L418" s="22" t="s">
        <v>2022</v>
      </c>
      <c r="M418" s="22" t="n">
        <v>8</v>
      </c>
      <c r="N418" s="22" t="s">
        <v>4504</v>
      </c>
    </row>
    <row r="419" customFormat="false" ht="15" hidden="false" customHeight="false" outlineLevel="0" collapsed="false">
      <c r="A419" s="22" t="s">
        <v>4507</v>
      </c>
      <c r="B419" s="22" t="s">
        <v>3515</v>
      </c>
      <c r="C419" s="22" t="s">
        <v>3431</v>
      </c>
      <c r="D419" s="22" t="s">
        <v>4501</v>
      </c>
      <c r="E419" s="22" t="s">
        <v>4502</v>
      </c>
      <c r="F419" s="22" t="s">
        <v>4508</v>
      </c>
      <c r="G419" s="22" t="s">
        <v>727</v>
      </c>
      <c r="H419" s="63" t="n">
        <v>429.88</v>
      </c>
      <c r="I419" s="22" t="s">
        <v>112</v>
      </c>
      <c r="J419" s="22"/>
      <c r="K419" s="63" t="n">
        <v>533.167870310121</v>
      </c>
      <c r="L419" s="22" t="s">
        <v>1961</v>
      </c>
      <c r="M419" s="22" t="n">
        <v>9</v>
      </c>
      <c r="N419" s="22" t="s">
        <v>4504</v>
      </c>
    </row>
    <row r="420" customFormat="false" ht="15" hidden="false" customHeight="false" outlineLevel="0" collapsed="false">
      <c r="A420" s="22" t="s">
        <v>4509</v>
      </c>
      <c r="B420" s="22" t="s">
        <v>3515</v>
      </c>
      <c r="C420" s="22" t="s">
        <v>3431</v>
      </c>
      <c r="D420" s="22" t="s">
        <v>4501</v>
      </c>
      <c r="E420" s="22" t="s">
        <v>4502</v>
      </c>
      <c r="F420" s="22" t="s">
        <v>4510</v>
      </c>
      <c r="G420" s="22" t="s">
        <v>727</v>
      </c>
      <c r="H420" s="63" t="n">
        <v>374.97</v>
      </c>
      <c r="I420" s="22" t="s">
        <v>112</v>
      </c>
      <c r="J420" s="22"/>
      <c r="K420" s="63" t="n">
        <v>465.064567623955</v>
      </c>
      <c r="L420" s="22" t="s">
        <v>1961</v>
      </c>
      <c r="M420" s="22" t="n">
        <v>11</v>
      </c>
      <c r="N420" s="22" t="s">
        <v>4504</v>
      </c>
    </row>
    <row r="421" customFormat="false" ht="15" hidden="false" customHeight="false" outlineLevel="0" collapsed="false">
      <c r="A421" s="22" t="s">
        <v>4511</v>
      </c>
      <c r="B421" s="22" t="s">
        <v>3515</v>
      </c>
      <c r="C421" s="22" t="s">
        <v>3431</v>
      </c>
      <c r="D421" s="22" t="s">
        <v>4501</v>
      </c>
      <c r="E421" s="22" t="s">
        <v>4502</v>
      </c>
      <c r="F421" s="22" t="s">
        <v>4512</v>
      </c>
      <c r="G421" s="22" t="s">
        <v>727</v>
      </c>
      <c r="H421" s="63" t="n">
        <v>26.63</v>
      </c>
      <c r="I421" s="22" t="s">
        <v>112</v>
      </c>
      <c r="J421" s="22"/>
      <c r="K421" s="63" t="n">
        <v>33.0284274363974</v>
      </c>
      <c r="L421" s="22" t="s">
        <v>1961</v>
      </c>
      <c r="M421" s="22" t="n">
        <v>2</v>
      </c>
      <c r="N421" s="22" t="s">
        <v>4513</v>
      </c>
    </row>
    <row r="422" customFormat="false" ht="15" hidden="false" customHeight="false" outlineLevel="0" collapsed="false">
      <c r="A422" s="22" t="s">
        <v>4514</v>
      </c>
      <c r="B422" s="22" t="s">
        <v>3515</v>
      </c>
      <c r="C422" s="22" t="s">
        <v>3431</v>
      </c>
      <c r="D422" s="22" t="s">
        <v>4501</v>
      </c>
      <c r="E422" s="22" t="s">
        <v>4502</v>
      </c>
      <c r="F422" s="22" t="s">
        <v>4515</v>
      </c>
      <c r="G422" s="22" t="s">
        <v>727</v>
      </c>
      <c r="H422" s="63" t="n">
        <v>1356.29</v>
      </c>
      <c r="I422" s="22" t="s">
        <v>112</v>
      </c>
      <c r="J422" s="22"/>
      <c r="K422" s="63" t="n">
        <v>1682.16769987651</v>
      </c>
      <c r="L422" s="22" t="s">
        <v>4366</v>
      </c>
      <c r="M422" s="22" t="n">
        <v>2</v>
      </c>
      <c r="N422" s="22" t="s">
        <v>4504</v>
      </c>
    </row>
    <row r="423" customFormat="false" ht="15" hidden="false" customHeight="false" outlineLevel="0" collapsed="false">
      <c r="A423" s="22" t="s">
        <v>4516</v>
      </c>
      <c r="B423" s="22" t="s">
        <v>3515</v>
      </c>
      <c r="C423" s="22" t="s">
        <v>3431</v>
      </c>
      <c r="D423" s="22" t="s">
        <v>4501</v>
      </c>
      <c r="E423" s="22" t="s">
        <v>4502</v>
      </c>
      <c r="F423" s="22" t="s">
        <v>4517</v>
      </c>
      <c r="G423" s="22" t="s">
        <v>727</v>
      </c>
      <c r="H423" s="63" t="n">
        <v>60393.08</v>
      </c>
      <c r="I423" s="22" t="s">
        <v>112</v>
      </c>
      <c r="J423" s="22"/>
      <c r="K423" s="63" t="n">
        <v>74903.8100052776</v>
      </c>
      <c r="L423" s="22" t="s">
        <v>2033</v>
      </c>
      <c r="M423" s="22" t="n">
        <v>1</v>
      </c>
      <c r="N423" s="22" t="s">
        <v>4504</v>
      </c>
    </row>
    <row r="424" customFormat="false" ht="15" hidden="false" customHeight="false" outlineLevel="0" collapsed="false">
      <c r="A424" s="22" t="s">
        <v>4518</v>
      </c>
      <c r="B424" s="22" t="s">
        <v>3515</v>
      </c>
      <c r="C424" s="22" t="s">
        <v>3431</v>
      </c>
      <c r="D424" s="22" t="s">
        <v>4501</v>
      </c>
      <c r="E424" s="22" t="s">
        <v>4502</v>
      </c>
      <c r="F424" s="22" t="s">
        <v>4519</v>
      </c>
      <c r="G424" s="22" t="s">
        <v>727</v>
      </c>
      <c r="H424" s="63" t="n">
        <v>5607.09</v>
      </c>
      <c r="I424" s="22" t="s">
        <v>112</v>
      </c>
      <c r="J424" s="22"/>
      <c r="K424" s="63" t="n">
        <v>6954.31337567967</v>
      </c>
      <c r="L424" s="22" t="s">
        <v>2033</v>
      </c>
      <c r="M424" s="22" t="n">
        <v>2</v>
      </c>
      <c r="N424" s="22" t="s">
        <v>4504</v>
      </c>
    </row>
    <row r="425" customFormat="false" ht="15" hidden="false" customHeight="false" outlineLevel="0" collapsed="false">
      <c r="A425" s="22" t="s">
        <v>4520</v>
      </c>
      <c r="B425" s="22" t="s">
        <v>3515</v>
      </c>
      <c r="C425" s="22" t="s">
        <v>3431</v>
      </c>
      <c r="D425" s="22" t="s">
        <v>4501</v>
      </c>
      <c r="E425" s="22" t="s">
        <v>4502</v>
      </c>
      <c r="F425" s="22" t="s">
        <v>4521</v>
      </c>
      <c r="G425" s="22" t="s">
        <v>727</v>
      </c>
      <c r="H425" s="63" t="n">
        <v>1017.22</v>
      </c>
      <c r="I425" s="22" t="s">
        <v>112</v>
      </c>
      <c r="J425" s="22"/>
      <c r="K425" s="63" t="n">
        <v>1261.62887558589</v>
      </c>
      <c r="L425" s="22" t="s">
        <v>4282</v>
      </c>
      <c r="M425" s="22" t="n">
        <v>1</v>
      </c>
      <c r="N425" s="22" t="s">
        <v>4504</v>
      </c>
    </row>
    <row r="426" customFormat="false" ht="15" hidden="false" customHeight="false" outlineLevel="0" collapsed="false">
      <c r="A426" s="22" t="s">
        <v>4522</v>
      </c>
      <c r="B426" s="22" t="s">
        <v>3515</v>
      </c>
      <c r="C426" s="22" t="s">
        <v>3431</v>
      </c>
      <c r="D426" s="22" t="s">
        <v>4501</v>
      </c>
      <c r="E426" s="22" t="s">
        <v>4502</v>
      </c>
      <c r="F426" s="22" t="s">
        <v>4523</v>
      </c>
      <c r="G426" s="22" t="s">
        <v>727</v>
      </c>
      <c r="H426" s="63" t="n">
        <v>184.26</v>
      </c>
      <c r="I426" s="22" t="s">
        <v>112</v>
      </c>
      <c r="J426" s="22"/>
      <c r="K426" s="63" t="n">
        <v>228.53240854039</v>
      </c>
      <c r="L426" s="22" t="s">
        <v>4282</v>
      </c>
      <c r="M426" s="22" t="n">
        <v>1</v>
      </c>
      <c r="N426" s="22" t="s">
        <v>4504</v>
      </c>
    </row>
    <row r="427" customFormat="false" ht="15" hidden="false" customHeight="false" outlineLevel="0" collapsed="false">
      <c r="A427" s="22" t="s">
        <v>4524</v>
      </c>
      <c r="B427" s="22" t="s">
        <v>3515</v>
      </c>
      <c r="C427" s="22" t="s">
        <v>3431</v>
      </c>
      <c r="D427" s="22" t="s">
        <v>4501</v>
      </c>
      <c r="E427" s="22" t="s">
        <v>4502</v>
      </c>
      <c r="F427" s="22" t="s">
        <v>4525</v>
      </c>
      <c r="G427" s="22" t="s">
        <v>727</v>
      </c>
      <c r="H427" s="63" t="n">
        <v>1215.65</v>
      </c>
      <c r="I427" s="22" t="s">
        <v>112</v>
      </c>
      <c r="J427" s="22"/>
      <c r="K427" s="63" t="n">
        <v>1507.73592989322</v>
      </c>
      <c r="L427" s="22" t="s">
        <v>2116</v>
      </c>
      <c r="M427" s="22" t="n">
        <v>1</v>
      </c>
      <c r="N427" s="22" t="s">
        <v>4504</v>
      </c>
    </row>
    <row r="428" customFormat="false" ht="15" hidden="false" customHeight="false" outlineLevel="0" collapsed="false">
      <c r="A428" s="22" t="s">
        <v>4526</v>
      </c>
      <c r="B428" s="22" t="s">
        <v>3515</v>
      </c>
      <c r="C428" s="22" t="s">
        <v>3431</v>
      </c>
      <c r="D428" s="22" t="s">
        <v>4501</v>
      </c>
      <c r="E428" s="22" t="s">
        <v>4502</v>
      </c>
      <c r="F428" s="22" t="s">
        <v>4527</v>
      </c>
      <c r="G428" s="22" t="s">
        <v>727</v>
      </c>
      <c r="H428" s="63" t="n">
        <v>45.19</v>
      </c>
      <c r="I428" s="22" t="s">
        <v>112</v>
      </c>
      <c r="J428" s="22"/>
      <c r="K428" s="63" t="n">
        <v>56.0478646583101</v>
      </c>
      <c r="L428" s="22" t="s">
        <v>2096</v>
      </c>
      <c r="M428" s="22" t="n">
        <v>8</v>
      </c>
      <c r="N428" s="22" t="s">
        <v>4504</v>
      </c>
    </row>
    <row r="429" customFormat="false" ht="15" hidden="false" customHeight="false" outlineLevel="0" collapsed="false">
      <c r="A429" s="22" t="s">
        <v>4528</v>
      </c>
      <c r="B429" s="22" t="s">
        <v>3515</v>
      </c>
      <c r="C429" s="22" t="s">
        <v>3431</v>
      </c>
      <c r="D429" s="22" t="s">
        <v>4501</v>
      </c>
      <c r="E429" s="22" t="s">
        <v>4502</v>
      </c>
      <c r="F429" s="22" t="s">
        <v>4529</v>
      </c>
      <c r="G429" s="22" t="s">
        <v>727</v>
      </c>
      <c r="H429" s="63" t="n">
        <v>18.87</v>
      </c>
      <c r="I429" s="22" t="s">
        <v>112</v>
      </c>
      <c r="J429" s="22"/>
      <c r="K429" s="63" t="n">
        <v>23.403921356546</v>
      </c>
      <c r="L429" s="22" t="s">
        <v>2096</v>
      </c>
      <c r="M429" s="22" t="n">
        <v>8</v>
      </c>
      <c r="N429" s="22" t="s">
        <v>4504</v>
      </c>
    </row>
    <row r="430" customFormat="false" ht="15" hidden="false" customHeight="false" outlineLevel="0" collapsed="false">
      <c r="A430" s="22" t="s">
        <v>4530</v>
      </c>
      <c r="B430" s="22" t="s">
        <v>3515</v>
      </c>
      <c r="C430" s="22" t="s">
        <v>3431</v>
      </c>
      <c r="D430" s="22" t="s">
        <v>4501</v>
      </c>
      <c r="E430" s="22" t="s">
        <v>4502</v>
      </c>
      <c r="F430" s="22" t="s">
        <v>4531</v>
      </c>
      <c r="G430" s="22" t="s">
        <v>727</v>
      </c>
      <c r="H430" s="63" t="n">
        <v>5.04</v>
      </c>
      <c r="I430" s="22" t="s">
        <v>112</v>
      </c>
      <c r="J430" s="22"/>
      <c r="K430" s="63" t="n">
        <v>6.25096786629526</v>
      </c>
      <c r="L430" s="22" t="s">
        <v>2096</v>
      </c>
      <c r="M430" s="22" t="n">
        <v>7</v>
      </c>
      <c r="N430" s="22" t="s">
        <v>4504</v>
      </c>
    </row>
    <row r="431" customFormat="false" ht="15" hidden="false" customHeight="false" outlineLevel="0" collapsed="false">
      <c r="A431" s="22" t="s">
        <v>4532</v>
      </c>
      <c r="B431" s="22" t="s">
        <v>3515</v>
      </c>
      <c r="C431" s="22" t="s">
        <v>3431</v>
      </c>
      <c r="D431" s="22" t="s">
        <v>4501</v>
      </c>
      <c r="E431" s="22" t="s">
        <v>4502</v>
      </c>
      <c r="F431" s="22" t="s">
        <v>4533</v>
      </c>
      <c r="G431" s="22" t="s">
        <v>727</v>
      </c>
      <c r="H431" s="63" t="n">
        <v>7.01</v>
      </c>
      <c r="I431" s="22" t="s">
        <v>112</v>
      </c>
      <c r="J431" s="22"/>
      <c r="K431" s="63" t="n">
        <v>8.69430252831941</v>
      </c>
      <c r="L431" s="22" t="s">
        <v>2096</v>
      </c>
      <c r="M431" s="22" t="n">
        <v>7</v>
      </c>
      <c r="N431" s="22" t="s">
        <v>4504</v>
      </c>
    </row>
    <row r="432" customFormat="false" ht="15" hidden="false" customHeight="false" outlineLevel="0" collapsed="false">
      <c r="A432" s="22" t="s">
        <v>4534</v>
      </c>
      <c r="B432" s="22" t="s">
        <v>3515</v>
      </c>
      <c r="C432" s="22" t="s">
        <v>3431</v>
      </c>
      <c r="D432" s="22" t="s">
        <v>4501</v>
      </c>
      <c r="E432" s="22" t="s">
        <v>4502</v>
      </c>
      <c r="F432" s="22" t="s">
        <v>4535</v>
      </c>
      <c r="G432" s="22" t="s">
        <v>727</v>
      </c>
      <c r="H432" s="63" t="n">
        <v>308.65</v>
      </c>
      <c r="I432" s="22" t="s">
        <v>112</v>
      </c>
      <c r="J432" s="22"/>
      <c r="K432" s="63" t="n">
        <v>382.809768240483</v>
      </c>
      <c r="L432" s="22" t="s">
        <v>2096</v>
      </c>
      <c r="M432" s="22" t="n">
        <v>6</v>
      </c>
      <c r="N432" s="22" t="s">
        <v>4504</v>
      </c>
    </row>
    <row r="433" customFormat="false" ht="15" hidden="false" customHeight="false" outlineLevel="0" collapsed="false">
      <c r="A433" s="22" t="s">
        <v>4536</v>
      </c>
      <c r="B433" s="22" t="s">
        <v>3515</v>
      </c>
      <c r="C433" s="22" t="s">
        <v>3431</v>
      </c>
      <c r="D433" s="22" t="s">
        <v>4501</v>
      </c>
      <c r="E433" s="22" t="s">
        <v>4502</v>
      </c>
      <c r="F433" s="22" t="s">
        <v>4537</v>
      </c>
      <c r="G433" s="22" t="s">
        <v>727</v>
      </c>
      <c r="H433" s="63" t="n">
        <v>442.52</v>
      </c>
      <c r="I433" s="22" t="s">
        <v>112</v>
      </c>
      <c r="J433" s="22"/>
      <c r="K433" s="63" t="n">
        <v>548.84490083194</v>
      </c>
      <c r="L433" s="22" t="s">
        <v>2096</v>
      </c>
      <c r="M433" s="22" t="n">
        <v>1</v>
      </c>
      <c r="N433" s="22" t="s">
        <v>4504</v>
      </c>
    </row>
    <row r="434" customFormat="false" ht="15" hidden="false" customHeight="false" outlineLevel="0" collapsed="false">
      <c r="A434" s="22" t="s">
        <v>4538</v>
      </c>
      <c r="B434" s="22" t="s">
        <v>3515</v>
      </c>
      <c r="C434" s="22" t="s">
        <v>3431</v>
      </c>
      <c r="D434" s="22" t="s">
        <v>4501</v>
      </c>
      <c r="E434" s="22" t="s">
        <v>4502</v>
      </c>
      <c r="F434" s="22" t="s">
        <v>4539</v>
      </c>
      <c r="G434" s="22" t="s">
        <v>727</v>
      </c>
      <c r="H434" s="63" t="n">
        <v>391.45</v>
      </c>
      <c r="I434" s="22" t="s">
        <v>112</v>
      </c>
      <c r="J434" s="22"/>
      <c r="K434" s="63" t="n">
        <v>485.504240329619</v>
      </c>
      <c r="L434" s="22" t="s">
        <v>4121</v>
      </c>
      <c r="M434" s="22" t="n">
        <v>4</v>
      </c>
      <c r="N434" s="22" t="s">
        <v>4504</v>
      </c>
    </row>
    <row r="435" customFormat="false" ht="15" hidden="false" customHeight="false" outlineLevel="0" collapsed="false">
      <c r="A435" s="22" t="s">
        <v>4540</v>
      </c>
      <c r="B435" s="22" t="s">
        <v>3515</v>
      </c>
      <c r="C435" s="22" t="s">
        <v>3431</v>
      </c>
      <c r="D435" s="22" t="s">
        <v>4501</v>
      </c>
      <c r="E435" s="22" t="s">
        <v>4502</v>
      </c>
      <c r="F435" s="22" t="s">
        <v>4541</v>
      </c>
      <c r="G435" s="22" t="s">
        <v>727</v>
      </c>
      <c r="H435" s="63" t="n">
        <v>1499.66</v>
      </c>
      <c r="I435" s="22" t="s">
        <v>112</v>
      </c>
      <c r="J435" s="22"/>
      <c r="K435" s="63" t="n">
        <v>1859.98541078737</v>
      </c>
      <c r="L435" s="22" t="s">
        <v>1905</v>
      </c>
      <c r="M435" s="22" t="n">
        <v>8</v>
      </c>
      <c r="N435" s="22" t="s">
        <v>4504</v>
      </c>
    </row>
    <row r="436" customFormat="false" ht="15" hidden="false" customHeight="false" outlineLevel="0" collapsed="false">
      <c r="A436" s="22" t="s">
        <v>4542</v>
      </c>
      <c r="B436" s="22" t="s">
        <v>3515</v>
      </c>
      <c r="C436" s="22" t="s">
        <v>3431</v>
      </c>
      <c r="D436" s="22" t="s">
        <v>4501</v>
      </c>
      <c r="E436" s="22" t="s">
        <v>4502</v>
      </c>
      <c r="F436" s="22" t="s">
        <v>4543</v>
      </c>
      <c r="G436" s="22" t="s">
        <v>727</v>
      </c>
      <c r="H436" s="63" t="n">
        <v>487.54</v>
      </c>
      <c r="I436" s="22" t="s">
        <v>112</v>
      </c>
      <c r="J436" s="22"/>
      <c r="K436" s="63" t="n">
        <v>604.681919351903</v>
      </c>
      <c r="L436" s="22" t="s">
        <v>4121</v>
      </c>
      <c r="M436" s="22" t="n">
        <v>1</v>
      </c>
      <c r="N436" s="22" t="s">
        <v>4504</v>
      </c>
    </row>
    <row r="437" customFormat="false" ht="15" hidden="false" customHeight="false" outlineLevel="0" collapsed="false">
      <c r="A437" s="22" t="s">
        <v>4544</v>
      </c>
      <c r="B437" s="22" t="s">
        <v>3515</v>
      </c>
      <c r="C437" s="22" t="s">
        <v>3431</v>
      </c>
      <c r="D437" s="22" t="s">
        <v>4501</v>
      </c>
      <c r="E437" s="22" t="s">
        <v>4502</v>
      </c>
      <c r="F437" s="22" t="s">
        <v>4545</v>
      </c>
      <c r="G437" s="22" t="s">
        <v>727</v>
      </c>
      <c r="H437" s="63" t="n">
        <v>221.71</v>
      </c>
      <c r="I437" s="22" t="s">
        <v>112</v>
      </c>
      <c r="J437" s="22"/>
      <c r="K437" s="63" t="n">
        <v>274.980572546889</v>
      </c>
      <c r="L437" s="22" t="s">
        <v>4121</v>
      </c>
      <c r="M437" s="22" t="n">
        <v>6</v>
      </c>
      <c r="N437" s="22" t="s">
        <v>4504</v>
      </c>
    </row>
    <row r="438" customFormat="false" ht="15" hidden="false" customHeight="false" outlineLevel="0" collapsed="false">
      <c r="A438" s="22" t="s">
        <v>4546</v>
      </c>
      <c r="B438" s="22" t="s">
        <v>3515</v>
      </c>
      <c r="C438" s="22" t="s">
        <v>3431</v>
      </c>
      <c r="D438" s="22" t="s">
        <v>4501</v>
      </c>
      <c r="E438" s="22" t="s">
        <v>4502</v>
      </c>
      <c r="F438" s="22" t="s">
        <v>4547</v>
      </c>
      <c r="G438" s="22" t="s">
        <v>727</v>
      </c>
      <c r="H438" s="63" t="n">
        <v>35.43</v>
      </c>
      <c r="I438" s="22" t="s">
        <v>112</v>
      </c>
      <c r="J438" s="22"/>
      <c r="K438" s="63" t="n">
        <v>43.9428157743733</v>
      </c>
      <c r="L438" s="22" t="s">
        <v>1905</v>
      </c>
      <c r="M438" s="22" t="n">
        <v>1</v>
      </c>
      <c r="N438" s="22" t="s">
        <v>4504</v>
      </c>
    </row>
    <row r="439" customFormat="false" ht="15" hidden="false" customHeight="false" outlineLevel="0" collapsed="false">
      <c r="A439" s="22" t="s">
        <v>4548</v>
      </c>
      <c r="B439" s="22" t="s">
        <v>3515</v>
      </c>
      <c r="C439" s="22" t="s">
        <v>3431</v>
      </c>
      <c r="D439" s="22" t="s">
        <v>4501</v>
      </c>
      <c r="E439" s="22" t="s">
        <v>4502</v>
      </c>
      <c r="F439" s="22" t="s">
        <v>4549</v>
      </c>
      <c r="G439" s="22" t="s">
        <v>727</v>
      </c>
      <c r="H439" s="63" t="n">
        <v>63</v>
      </c>
      <c r="I439" s="22" t="s">
        <v>112</v>
      </c>
      <c r="J439" s="22"/>
      <c r="K439" s="63" t="n">
        <v>78.1370983286908</v>
      </c>
      <c r="L439" s="22" t="s">
        <v>4121</v>
      </c>
      <c r="M439" s="22" t="n">
        <v>7</v>
      </c>
      <c r="N439" s="22" t="s">
        <v>4504</v>
      </c>
    </row>
    <row r="440" customFormat="false" ht="15" hidden="false" customHeight="false" outlineLevel="0" collapsed="false">
      <c r="A440" s="22" t="s">
        <v>4550</v>
      </c>
      <c r="B440" s="22" t="s">
        <v>3515</v>
      </c>
      <c r="C440" s="22" t="s">
        <v>3431</v>
      </c>
      <c r="D440" s="22" t="s">
        <v>4551</v>
      </c>
      <c r="E440" s="22" t="s">
        <v>4552</v>
      </c>
      <c r="F440" s="22" t="s">
        <v>4553</v>
      </c>
      <c r="G440" s="22" t="s">
        <v>727</v>
      </c>
      <c r="H440" s="63" t="n">
        <v>725</v>
      </c>
      <c r="I440" s="22" t="s">
        <v>113</v>
      </c>
      <c r="J440" s="22"/>
      <c r="K440" s="63" t="n">
        <v>762.2871611825</v>
      </c>
      <c r="L440" s="22" t="s">
        <v>2243</v>
      </c>
      <c r="M440" s="22" t="n">
        <v>1</v>
      </c>
      <c r="N440" s="22" t="s">
        <v>4554</v>
      </c>
    </row>
    <row r="441" customFormat="false" ht="15" hidden="false" customHeight="false" outlineLevel="0" collapsed="false">
      <c r="A441" s="22" t="s">
        <v>4555</v>
      </c>
      <c r="B441" s="22" t="s">
        <v>3515</v>
      </c>
      <c r="C441" s="22" t="s">
        <v>3431</v>
      </c>
      <c r="D441" s="22" t="s">
        <v>4551</v>
      </c>
      <c r="E441" s="22" t="s">
        <v>4552</v>
      </c>
      <c r="F441" s="22" t="s">
        <v>4556</v>
      </c>
      <c r="G441" s="22" t="s">
        <v>727</v>
      </c>
      <c r="H441" s="63" t="n">
        <v>500</v>
      </c>
      <c r="I441" s="22" t="s">
        <v>113</v>
      </c>
      <c r="J441" s="22"/>
      <c r="K441" s="63" t="n">
        <v>525.715283574138</v>
      </c>
      <c r="L441" s="22" t="s">
        <v>2250</v>
      </c>
      <c r="M441" s="22" t="n">
        <v>1</v>
      </c>
      <c r="N441" s="22" t="s">
        <v>4557</v>
      </c>
    </row>
    <row r="442" customFormat="false" ht="15" hidden="false" customHeight="false" outlineLevel="0" collapsed="false">
      <c r="A442" s="22" t="s">
        <v>4558</v>
      </c>
      <c r="B442" s="22" t="s">
        <v>3515</v>
      </c>
      <c r="C442" s="22" t="s">
        <v>3431</v>
      </c>
      <c r="D442" s="22" t="s">
        <v>4551</v>
      </c>
      <c r="E442" s="22" t="s">
        <v>4552</v>
      </c>
      <c r="F442" s="22" t="s">
        <v>4559</v>
      </c>
      <c r="G442" s="22" t="s">
        <v>727</v>
      </c>
      <c r="H442" s="63" t="n">
        <v>62.5</v>
      </c>
      <c r="I442" s="22" t="s">
        <v>113</v>
      </c>
      <c r="J442" s="22"/>
      <c r="K442" s="63" t="n">
        <v>65.7144104467673</v>
      </c>
      <c r="L442" s="22" t="s">
        <v>2257</v>
      </c>
      <c r="M442" s="22" t="n">
        <v>6</v>
      </c>
      <c r="N442" s="22"/>
    </row>
    <row r="443" customFormat="false" ht="15" hidden="false" customHeight="false" outlineLevel="0" collapsed="false">
      <c r="A443" s="22" t="s">
        <v>4560</v>
      </c>
      <c r="B443" s="22" t="s">
        <v>3515</v>
      </c>
      <c r="C443" s="22" t="s">
        <v>3431</v>
      </c>
      <c r="D443" s="22" t="s">
        <v>4551</v>
      </c>
      <c r="E443" s="22" t="s">
        <v>4552</v>
      </c>
      <c r="F443" s="22" t="s">
        <v>4561</v>
      </c>
      <c r="G443" s="22" t="s">
        <v>727</v>
      </c>
      <c r="H443" s="63" t="n">
        <v>12.5</v>
      </c>
      <c r="I443" s="22" t="s">
        <v>113</v>
      </c>
      <c r="J443" s="22"/>
      <c r="K443" s="63" t="n">
        <v>13.1428820893535</v>
      </c>
      <c r="L443" s="22"/>
      <c r="M443" s="22" t="n">
        <v>6</v>
      </c>
      <c r="N443" s="22"/>
    </row>
    <row r="444" customFormat="false" ht="15" hidden="false" customHeight="false" outlineLevel="0" collapsed="false">
      <c r="A444" s="22" t="s">
        <v>4562</v>
      </c>
      <c r="B444" s="22" t="s">
        <v>3515</v>
      </c>
      <c r="C444" s="22" t="s">
        <v>3431</v>
      </c>
      <c r="D444" s="22" t="s">
        <v>4563</v>
      </c>
      <c r="E444" s="22" t="s">
        <v>4564</v>
      </c>
      <c r="F444" s="22" t="s">
        <v>4565</v>
      </c>
      <c r="G444" s="22" t="s">
        <v>727</v>
      </c>
      <c r="H444" s="63" t="n">
        <v>260</v>
      </c>
      <c r="I444" s="22" t="s">
        <v>112</v>
      </c>
      <c r="J444" s="22"/>
      <c r="K444" s="63" t="n">
        <v>321.634374884238</v>
      </c>
      <c r="L444" s="22" t="s">
        <v>2083</v>
      </c>
      <c r="M444" s="22" t="n">
        <v>1</v>
      </c>
      <c r="N444" s="22" t="s">
        <v>4566</v>
      </c>
    </row>
    <row r="445" customFormat="false" ht="15" hidden="false" customHeight="false" outlineLevel="0" collapsed="false">
      <c r="A445" s="22" t="s">
        <v>4567</v>
      </c>
      <c r="B445" s="22" t="s">
        <v>3515</v>
      </c>
      <c r="C445" s="22" t="s">
        <v>3431</v>
      </c>
      <c r="D445" s="22" t="s">
        <v>4563</v>
      </c>
      <c r="E445" s="22" t="s">
        <v>4564</v>
      </c>
      <c r="F445" s="22" t="s">
        <v>4568</v>
      </c>
      <c r="G445" s="22" t="s">
        <v>727</v>
      </c>
      <c r="H445" s="63" t="n">
        <v>2544</v>
      </c>
      <c r="I445" s="22" t="s">
        <v>112</v>
      </c>
      <c r="J445" s="22"/>
      <c r="K445" s="63" t="n">
        <v>3147.06865271347</v>
      </c>
      <c r="L445" s="22" t="s">
        <v>2057</v>
      </c>
      <c r="M445" s="22" t="n">
        <v>1</v>
      </c>
      <c r="N445" s="22" t="s">
        <v>4569</v>
      </c>
    </row>
    <row r="446" customFormat="false" ht="15" hidden="false" customHeight="false" outlineLevel="0" collapsed="false">
      <c r="A446" s="22" t="s">
        <v>4570</v>
      </c>
      <c r="B446" s="22" t="s">
        <v>3515</v>
      </c>
      <c r="C446" s="22" t="s">
        <v>3431</v>
      </c>
      <c r="D446" s="22" t="s">
        <v>4563</v>
      </c>
      <c r="E446" s="22" t="s">
        <v>4564</v>
      </c>
      <c r="F446" s="22" t="s">
        <v>4571</v>
      </c>
      <c r="G446" s="22" t="s">
        <v>727</v>
      </c>
      <c r="H446" s="63" t="n">
        <v>392</v>
      </c>
      <c r="I446" s="22" t="s">
        <v>112</v>
      </c>
      <c r="J446" s="22"/>
      <c r="K446" s="63" t="n">
        <v>484.925672902389</v>
      </c>
      <c r="L446" s="22" t="s">
        <v>2057</v>
      </c>
      <c r="M446" s="22" t="n">
        <v>6</v>
      </c>
      <c r="N446" s="22" t="s">
        <v>4572</v>
      </c>
    </row>
    <row r="447" customFormat="false" ht="15" hidden="false" customHeight="false" outlineLevel="0" collapsed="false">
      <c r="A447" s="22" t="s">
        <v>4573</v>
      </c>
      <c r="B447" s="22" t="s">
        <v>3515</v>
      </c>
      <c r="C447" s="22" t="s">
        <v>3431</v>
      </c>
      <c r="D447" s="22" t="s">
        <v>4574</v>
      </c>
      <c r="E447" s="22" t="s">
        <v>4575</v>
      </c>
      <c r="F447" s="22" t="s">
        <v>4576</v>
      </c>
      <c r="G447" s="22" t="s">
        <v>727</v>
      </c>
      <c r="H447" s="63" t="n">
        <v>123.2434</v>
      </c>
      <c r="I447" s="22" t="s">
        <v>112</v>
      </c>
      <c r="J447" s="22"/>
      <c r="K447" s="63" t="n">
        <v>152.458899683108</v>
      </c>
      <c r="L447" s="22" t="s">
        <v>1673</v>
      </c>
      <c r="M447" s="22" t="n">
        <v>8</v>
      </c>
      <c r="N447" s="22" t="s">
        <v>4577</v>
      </c>
    </row>
    <row r="448" customFormat="false" ht="15" hidden="false" customHeight="false" outlineLevel="0" collapsed="false">
      <c r="A448" s="22" t="s">
        <v>4578</v>
      </c>
      <c r="B448" s="22" t="s">
        <v>3515</v>
      </c>
      <c r="C448" s="22" t="s">
        <v>3431</v>
      </c>
      <c r="D448" s="22" t="s">
        <v>4574</v>
      </c>
      <c r="E448" s="22" t="s">
        <v>4575</v>
      </c>
      <c r="F448" s="22" t="s">
        <v>4579</v>
      </c>
      <c r="G448" s="22" t="s">
        <v>727</v>
      </c>
      <c r="H448" s="63" t="n">
        <v>127.6878</v>
      </c>
      <c r="I448" s="22" t="s">
        <v>112</v>
      </c>
      <c r="J448" s="22"/>
      <c r="K448" s="63" t="n">
        <v>157.956868205168</v>
      </c>
      <c r="L448" s="22" t="s">
        <v>1673</v>
      </c>
      <c r="M448" s="22" t="n">
        <v>8</v>
      </c>
      <c r="N448" s="22" t="s">
        <v>4580</v>
      </c>
    </row>
    <row r="449" customFormat="false" ht="15" hidden="false" customHeight="false" outlineLevel="0" collapsed="false">
      <c r="A449" s="22" t="s">
        <v>4581</v>
      </c>
      <c r="B449" s="22" t="s">
        <v>3515</v>
      </c>
      <c r="C449" s="22" t="s">
        <v>3431</v>
      </c>
      <c r="D449" s="22" t="s">
        <v>4574</v>
      </c>
      <c r="E449" s="22" t="s">
        <v>4575</v>
      </c>
      <c r="F449" s="22" t="s">
        <v>4582</v>
      </c>
      <c r="G449" s="22" t="s">
        <v>727</v>
      </c>
      <c r="H449" s="63" t="n">
        <v>594.7317</v>
      </c>
      <c r="I449" s="22" t="s">
        <v>112</v>
      </c>
      <c r="J449" s="22"/>
      <c r="K449" s="63" t="n">
        <v>735.715994435923</v>
      </c>
      <c r="L449" s="22" t="s">
        <v>1673</v>
      </c>
      <c r="M449" s="22" t="n">
        <v>4</v>
      </c>
      <c r="N449" s="22" t="s">
        <v>4580</v>
      </c>
    </row>
    <row r="450" customFormat="false" ht="15" hidden="false" customHeight="false" outlineLevel="0" collapsed="false">
      <c r="A450" s="22" t="s">
        <v>4583</v>
      </c>
      <c r="B450" s="22" t="s">
        <v>3515</v>
      </c>
      <c r="C450" s="22" t="s">
        <v>3431</v>
      </c>
      <c r="D450" s="22" t="s">
        <v>4574</v>
      </c>
      <c r="E450" s="22" t="s">
        <v>4575</v>
      </c>
      <c r="F450" s="22" t="s">
        <v>4584</v>
      </c>
      <c r="G450" s="22" t="s">
        <v>727</v>
      </c>
      <c r="H450" s="63" t="n">
        <v>140.4878</v>
      </c>
      <c r="I450" s="22" t="s">
        <v>112</v>
      </c>
      <c r="J450" s="22"/>
      <c r="K450" s="63" t="n">
        <v>173.791175891776</v>
      </c>
      <c r="L450" s="22" t="s">
        <v>1673</v>
      </c>
      <c r="M450" s="22" t="n">
        <v>1</v>
      </c>
      <c r="N450" s="22" t="s">
        <v>4580</v>
      </c>
    </row>
    <row r="451" customFormat="false" ht="15" hidden="false" customHeight="false" outlineLevel="0" collapsed="false">
      <c r="A451" s="22" t="s">
        <v>4585</v>
      </c>
      <c r="B451" s="22" t="s">
        <v>3515</v>
      </c>
      <c r="C451" s="22" t="s">
        <v>3431</v>
      </c>
      <c r="D451" s="22" t="s">
        <v>4574</v>
      </c>
      <c r="E451" s="22" t="s">
        <v>4575</v>
      </c>
      <c r="F451" s="22" t="s">
        <v>4586</v>
      </c>
      <c r="G451" s="22" t="s">
        <v>727</v>
      </c>
      <c r="H451" s="63" t="n">
        <v>772.0585</v>
      </c>
      <c r="I451" s="22" t="s">
        <v>112</v>
      </c>
      <c r="J451" s="22"/>
      <c r="K451" s="63" t="n">
        <v>955.079050082932</v>
      </c>
      <c r="L451" s="22" t="s">
        <v>1673</v>
      </c>
      <c r="M451" s="22" t="n">
        <v>9</v>
      </c>
      <c r="N451" s="22" t="s">
        <v>4580</v>
      </c>
    </row>
    <row r="452" customFormat="false" ht="15" hidden="false" customHeight="false" outlineLevel="0" collapsed="false">
      <c r="A452" s="22" t="s">
        <v>4587</v>
      </c>
      <c r="B452" s="22" t="s">
        <v>3515</v>
      </c>
      <c r="C452" s="22" t="s">
        <v>3431</v>
      </c>
      <c r="D452" s="22" t="s">
        <v>4574</v>
      </c>
      <c r="E452" s="22" t="s">
        <v>4575</v>
      </c>
      <c r="F452" s="22" t="s">
        <v>4584</v>
      </c>
      <c r="G452" s="22" t="s">
        <v>727</v>
      </c>
      <c r="H452" s="63" t="n">
        <v>140.4878</v>
      </c>
      <c r="I452" s="22" t="s">
        <v>112</v>
      </c>
      <c r="J452" s="22"/>
      <c r="K452" s="63" t="n">
        <v>173.791175891776</v>
      </c>
      <c r="L452" s="22" t="s">
        <v>1673</v>
      </c>
      <c r="M452" s="22" t="n">
        <v>6</v>
      </c>
      <c r="N452" s="22" t="s">
        <v>4580</v>
      </c>
    </row>
    <row r="453" customFormat="false" ht="15" hidden="false" customHeight="false" outlineLevel="0" collapsed="false">
      <c r="A453" s="22" t="s">
        <v>4588</v>
      </c>
      <c r="B453" s="22" t="s">
        <v>3515</v>
      </c>
      <c r="C453" s="22" t="s">
        <v>3431</v>
      </c>
      <c r="D453" s="22" t="s">
        <v>4574</v>
      </c>
      <c r="E453" s="22" t="s">
        <v>4575</v>
      </c>
      <c r="F453" s="22" t="s">
        <v>4589</v>
      </c>
      <c r="G453" s="22" t="s">
        <v>727</v>
      </c>
      <c r="H453" s="63" t="n">
        <v>121.1317</v>
      </c>
      <c r="I453" s="22" t="s">
        <v>112</v>
      </c>
      <c r="J453" s="22"/>
      <c r="K453" s="63" t="n">
        <v>149.846610031404</v>
      </c>
      <c r="L453" s="22" t="s">
        <v>1673</v>
      </c>
      <c r="M453" s="22" t="n">
        <v>8</v>
      </c>
      <c r="N453" s="22" t="s">
        <v>4580</v>
      </c>
    </row>
    <row r="454" customFormat="false" ht="15" hidden="false" customHeight="false" outlineLevel="0" collapsed="false">
      <c r="A454" s="22" t="s">
        <v>4590</v>
      </c>
      <c r="B454" s="22" t="s">
        <v>3515</v>
      </c>
      <c r="C454" s="22" t="s">
        <v>3431</v>
      </c>
      <c r="D454" s="22" t="s">
        <v>4574</v>
      </c>
      <c r="E454" s="22" t="s">
        <v>4575</v>
      </c>
      <c r="F454" s="22" t="s">
        <v>4591</v>
      </c>
      <c r="G454" s="22" t="s">
        <v>727</v>
      </c>
      <c r="H454" s="63" t="n">
        <v>600.6623</v>
      </c>
      <c r="I454" s="22" t="s">
        <v>112</v>
      </c>
      <c r="J454" s="22"/>
      <c r="K454" s="63" t="n">
        <v>743.052474527033</v>
      </c>
      <c r="L454" s="22" t="s">
        <v>4239</v>
      </c>
      <c r="M454" s="22" t="n">
        <v>4</v>
      </c>
      <c r="N454" s="22" t="s">
        <v>4592</v>
      </c>
    </row>
    <row r="455" customFormat="false" ht="15" hidden="false" customHeight="false" outlineLevel="0" collapsed="false">
      <c r="A455" s="22" t="s">
        <v>4593</v>
      </c>
      <c r="B455" s="22" t="s">
        <v>3515</v>
      </c>
      <c r="C455" s="22" t="s">
        <v>3431</v>
      </c>
      <c r="D455" s="22" t="s">
        <v>4574</v>
      </c>
      <c r="E455" s="22" t="s">
        <v>4575</v>
      </c>
      <c r="F455" s="22" t="s">
        <v>4594</v>
      </c>
      <c r="G455" s="22" t="s">
        <v>727</v>
      </c>
      <c r="H455" s="63" t="n">
        <v>5.3557</v>
      </c>
      <c r="I455" s="22" t="s">
        <v>112</v>
      </c>
      <c r="J455" s="22"/>
      <c r="K455" s="63" t="n">
        <v>6.62529700602889</v>
      </c>
      <c r="L455" s="22" t="s">
        <v>1787</v>
      </c>
      <c r="M455" s="22" t="n">
        <v>6</v>
      </c>
      <c r="N455" s="22" t="s">
        <v>4592</v>
      </c>
    </row>
    <row r="456" customFormat="false" ht="15" hidden="false" customHeight="false" outlineLevel="0" collapsed="false">
      <c r="A456" s="22" t="s">
        <v>4595</v>
      </c>
      <c r="B456" s="22" t="s">
        <v>3515</v>
      </c>
      <c r="C456" s="22" t="s">
        <v>3431</v>
      </c>
      <c r="D456" s="22" t="s">
        <v>4574</v>
      </c>
      <c r="E456" s="22" t="s">
        <v>4575</v>
      </c>
      <c r="F456" s="22" t="s">
        <v>4596</v>
      </c>
      <c r="G456" s="22" t="s">
        <v>853</v>
      </c>
      <c r="H456" s="63" t="n">
        <v>1.1305</v>
      </c>
      <c r="I456" s="22" t="s">
        <v>112</v>
      </c>
      <c r="J456" s="22"/>
      <c r="K456" s="63" t="n">
        <v>1.39849100310243</v>
      </c>
      <c r="L456" s="22" t="s">
        <v>4239</v>
      </c>
      <c r="M456" s="22" t="n">
        <v>42</v>
      </c>
      <c r="N456" s="22" t="s">
        <v>4592</v>
      </c>
    </row>
    <row r="457" customFormat="false" ht="15" hidden="false" customHeight="false" outlineLevel="0" collapsed="false">
      <c r="A457" s="22" t="s">
        <v>4597</v>
      </c>
      <c r="B457" s="22" t="s">
        <v>3515</v>
      </c>
      <c r="C457" s="22" t="s">
        <v>3431</v>
      </c>
      <c r="D457" s="22" t="s">
        <v>4574</v>
      </c>
      <c r="E457" s="22" t="s">
        <v>4575</v>
      </c>
      <c r="F457" s="22" t="s">
        <v>4598</v>
      </c>
      <c r="G457" s="22" t="s">
        <v>727</v>
      </c>
      <c r="H457" s="63" t="n">
        <v>20.0297</v>
      </c>
      <c r="I457" s="22" t="s">
        <v>112</v>
      </c>
      <c r="J457" s="22"/>
      <c r="K457" s="63" t="n">
        <v>24.7778463023801</v>
      </c>
      <c r="L457" s="22" t="s">
        <v>1673</v>
      </c>
      <c r="M457" s="22" t="n">
        <v>6</v>
      </c>
      <c r="N457" s="22" t="s">
        <v>4592</v>
      </c>
    </row>
    <row r="458" customFormat="false" ht="15" hidden="false" customHeight="false" outlineLevel="0" collapsed="false">
      <c r="A458" s="22" t="s">
        <v>4599</v>
      </c>
      <c r="B458" s="22" t="s">
        <v>3515</v>
      </c>
      <c r="C458" s="22" t="s">
        <v>3431</v>
      </c>
      <c r="D458" s="22" t="s">
        <v>4574</v>
      </c>
      <c r="E458" s="22" t="s">
        <v>4575</v>
      </c>
      <c r="F458" s="22" t="s">
        <v>4600</v>
      </c>
      <c r="G458" s="22" t="s">
        <v>727</v>
      </c>
      <c r="H458" s="63" t="n">
        <v>3.0262</v>
      </c>
      <c r="I458" s="22" t="s">
        <v>112</v>
      </c>
      <c r="J458" s="22"/>
      <c r="K458" s="63" t="n">
        <v>3.74357671259492</v>
      </c>
      <c r="L458" s="22" t="s">
        <v>1673</v>
      </c>
      <c r="M458" s="22" t="n">
        <v>6</v>
      </c>
      <c r="N458" s="22" t="s">
        <v>4592</v>
      </c>
    </row>
    <row r="459" customFormat="false" ht="15" hidden="false" customHeight="false" outlineLevel="0" collapsed="false">
      <c r="A459" s="22" t="s">
        <v>4601</v>
      </c>
      <c r="B459" s="22" t="s">
        <v>3515</v>
      </c>
      <c r="C459" s="22" t="s">
        <v>3431</v>
      </c>
      <c r="D459" s="22" t="s">
        <v>4574</v>
      </c>
      <c r="E459" s="22" t="s">
        <v>4575</v>
      </c>
      <c r="F459" s="22" t="s">
        <v>4602</v>
      </c>
      <c r="G459" s="22" t="s">
        <v>732</v>
      </c>
      <c r="H459" s="63" t="n">
        <v>56634.26</v>
      </c>
      <c r="I459" s="22" t="s">
        <v>112</v>
      </c>
      <c r="J459" s="22"/>
      <c r="K459" s="63" t="n">
        <v>70059.71081589</v>
      </c>
      <c r="L459" s="22" t="s">
        <v>4603</v>
      </c>
      <c r="M459" s="22" t="n">
        <v>1</v>
      </c>
      <c r="N459" s="22" t="s">
        <v>4604</v>
      </c>
    </row>
    <row r="460" customFormat="false" ht="15" hidden="false" customHeight="false" outlineLevel="0" collapsed="false">
      <c r="A460" s="22" t="s">
        <v>4605</v>
      </c>
      <c r="B460" s="22" t="s">
        <v>4606</v>
      </c>
      <c r="C460" s="22" t="s">
        <v>3478</v>
      </c>
      <c r="D460" s="22" t="s">
        <v>4203</v>
      </c>
      <c r="E460" s="22" t="s">
        <v>4607</v>
      </c>
      <c r="F460" s="22" t="s">
        <v>4608</v>
      </c>
      <c r="G460" s="22" t="s">
        <v>732</v>
      </c>
      <c r="H460" s="63" t="n">
        <v>25988</v>
      </c>
      <c r="I460" s="22" t="s">
        <v>112</v>
      </c>
      <c r="J460" s="22"/>
      <c r="K460" s="63" t="n">
        <v>34808.0322193924</v>
      </c>
      <c r="L460" s="22" t="s">
        <v>2148</v>
      </c>
      <c r="M460" s="22" t="n">
        <v>1</v>
      </c>
      <c r="N460" s="22" t="s">
        <v>4609</v>
      </c>
    </row>
    <row r="461" customFormat="false" ht="15" hidden="false" customHeight="false" outlineLevel="0" collapsed="false">
      <c r="A461" s="22" t="s">
        <v>4610</v>
      </c>
      <c r="B461" s="22" t="s">
        <v>4606</v>
      </c>
      <c r="C461" s="22" t="s">
        <v>3478</v>
      </c>
      <c r="D461" s="22" t="s">
        <v>4203</v>
      </c>
      <c r="E461" s="22" t="s">
        <v>4607</v>
      </c>
      <c r="F461" s="22" t="s">
        <v>4611</v>
      </c>
      <c r="G461" s="22" t="s">
        <v>732</v>
      </c>
      <c r="H461" s="63" t="n">
        <v>2500</v>
      </c>
      <c r="I461" s="22" t="s">
        <v>112</v>
      </c>
      <c r="J461" s="22"/>
      <c r="K461" s="63" t="n">
        <v>3348.47162338313</v>
      </c>
      <c r="L461" s="22" t="s">
        <v>2180</v>
      </c>
      <c r="M461" s="22" t="n">
        <v>1</v>
      </c>
      <c r="N461" s="22" t="s">
        <v>4609</v>
      </c>
    </row>
    <row r="462" customFormat="false" ht="15" hidden="false" customHeight="false" outlineLevel="0" collapsed="false">
      <c r="A462" s="22" t="s">
        <v>4612</v>
      </c>
      <c r="B462" s="22" t="s">
        <v>4606</v>
      </c>
      <c r="C462" s="22" t="s">
        <v>3478</v>
      </c>
      <c r="D462" s="22" t="s">
        <v>4203</v>
      </c>
      <c r="E462" s="22" t="s">
        <v>4607</v>
      </c>
      <c r="F462" s="22" t="s">
        <v>4613</v>
      </c>
      <c r="G462" s="22" t="s">
        <v>732</v>
      </c>
      <c r="H462" s="63" t="n">
        <v>14505</v>
      </c>
      <c r="I462" s="22" t="s">
        <v>112</v>
      </c>
      <c r="J462" s="22"/>
      <c r="K462" s="63" t="n">
        <v>19427.8323588689</v>
      </c>
      <c r="L462" s="22" t="s">
        <v>2174</v>
      </c>
      <c r="M462" s="22" t="n">
        <v>2</v>
      </c>
      <c r="N462" s="22" t="s">
        <v>4609</v>
      </c>
    </row>
    <row r="463" customFormat="false" ht="15" hidden="false" customHeight="false" outlineLevel="0" collapsed="false">
      <c r="A463" s="22" t="s">
        <v>4614</v>
      </c>
      <c r="B463" s="22" t="s">
        <v>3765</v>
      </c>
      <c r="C463" s="22" t="s">
        <v>3431</v>
      </c>
      <c r="D463" s="22" t="s">
        <v>4615</v>
      </c>
      <c r="E463" s="22" t="s">
        <v>3777</v>
      </c>
      <c r="F463" s="22" t="s">
        <v>4616</v>
      </c>
      <c r="G463" s="22" t="s">
        <v>727</v>
      </c>
      <c r="H463" s="63" t="n">
        <v>1785</v>
      </c>
      <c r="I463" s="22" t="s">
        <v>112</v>
      </c>
      <c r="J463" s="22"/>
      <c r="K463" s="63" t="n">
        <v>2374.14473314747</v>
      </c>
      <c r="L463" s="22" t="s">
        <v>2057</v>
      </c>
      <c r="M463" s="22" t="n">
        <v>7</v>
      </c>
      <c r="N463" s="22" t="s">
        <v>4617</v>
      </c>
    </row>
    <row r="464" customFormat="false" ht="15" hidden="false" customHeight="false" outlineLevel="0" collapsed="false">
      <c r="A464" s="22" t="s">
        <v>4618</v>
      </c>
      <c r="B464" s="22" t="s">
        <v>3765</v>
      </c>
      <c r="C464" s="22" t="s">
        <v>3431</v>
      </c>
      <c r="D464" s="22" t="s">
        <v>4619</v>
      </c>
      <c r="E464" s="22" t="s">
        <v>4031</v>
      </c>
      <c r="F464" s="22" t="s">
        <v>4620</v>
      </c>
      <c r="G464" s="22" t="s">
        <v>4621</v>
      </c>
      <c r="H464" s="63" t="n">
        <v>64</v>
      </c>
      <c r="I464" s="22" t="s">
        <v>112</v>
      </c>
      <c r="J464" s="22"/>
      <c r="K464" s="63" t="n">
        <v>85.123396594643</v>
      </c>
      <c r="L464" s="22" t="s">
        <v>2096</v>
      </c>
      <c r="M464" s="22" t="n">
        <v>7</v>
      </c>
      <c r="N464" s="22" t="s">
        <v>4622</v>
      </c>
    </row>
    <row r="465" customFormat="false" ht="15" hidden="false" customHeight="false" outlineLevel="0" collapsed="false">
      <c r="A465" s="22" t="s">
        <v>4623</v>
      </c>
      <c r="B465" s="22" t="s">
        <v>3765</v>
      </c>
      <c r="C465" s="22" t="s">
        <v>3431</v>
      </c>
      <c r="D465" s="22" t="s">
        <v>4619</v>
      </c>
      <c r="E465" s="22" t="s">
        <v>4031</v>
      </c>
      <c r="F465" s="22" t="s">
        <v>4624</v>
      </c>
      <c r="G465" s="22" t="s">
        <v>4621</v>
      </c>
      <c r="H465" s="63" t="n">
        <v>715</v>
      </c>
      <c r="I465" s="22" t="s">
        <v>112</v>
      </c>
      <c r="J465" s="22"/>
      <c r="K465" s="63" t="n">
        <v>950.987946330778</v>
      </c>
      <c r="L465" s="22" t="s">
        <v>2096</v>
      </c>
      <c r="M465" s="22" t="n">
        <v>1</v>
      </c>
      <c r="N465" s="22" t="s">
        <v>4622</v>
      </c>
    </row>
    <row r="466" customFormat="false" ht="15" hidden="false" customHeight="false" outlineLevel="0" collapsed="false">
      <c r="A466" s="22" t="s">
        <v>4625</v>
      </c>
      <c r="B466" s="22" t="s">
        <v>3765</v>
      </c>
      <c r="C466" s="22" t="s">
        <v>3431</v>
      </c>
      <c r="D466" s="22" t="s">
        <v>4619</v>
      </c>
      <c r="E466" s="22" t="s">
        <v>4031</v>
      </c>
      <c r="F466" s="22" t="s">
        <v>4626</v>
      </c>
      <c r="G466" s="22" t="s">
        <v>4621</v>
      </c>
      <c r="H466" s="63" t="n">
        <v>569</v>
      </c>
      <c r="I466" s="22" t="s">
        <v>112</v>
      </c>
      <c r="J466" s="22"/>
      <c r="K466" s="63" t="n">
        <v>756.800197849248</v>
      </c>
      <c r="L466" s="22" t="s">
        <v>2096</v>
      </c>
      <c r="M466" s="22" t="n">
        <v>1</v>
      </c>
      <c r="N466" s="22" t="s">
        <v>4622</v>
      </c>
    </row>
    <row r="467" customFormat="false" ht="15" hidden="false" customHeight="false" outlineLevel="0" collapsed="false">
      <c r="A467" s="22" t="s">
        <v>4627</v>
      </c>
      <c r="B467" s="22" t="s">
        <v>3765</v>
      </c>
      <c r="C467" s="22" t="s">
        <v>3431</v>
      </c>
      <c r="D467" s="22" t="s">
        <v>4619</v>
      </c>
      <c r="E467" s="22" t="s">
        <v>4031</v>
      </c>
      <c r="F467" s="22" t="s">
        <v>4628</v>
      </c>
      <c r="G467" s="22" t="s">
        <v>4621</v>
      </c>
      <c r="H467" s="63" t="n">
        <v>1500</v>
      </c>
      <c r="I467" s="22" t="s">
        <v>112</v>
      </c>
      <c r="J467" s="22"/>
      <c r="K467" s="63" t="n">
        <v>1995.07960768695</v>
      </c>
      <c r="L467" s="22" t="s">
        <v>4282</v>
      </c>
      <c r="M467" s="22" t="n">
        <v>2</v>
      </c>
      <c r="N467" s="22" t="s">
        <v>4622</v>
      </c>
    </row>
    <row r="468" customFormat="false" ht="15" hidden="false" customHeight="false" outlineLevel="0" collapsed="false">
      <c r="A468" s="22" t="s">
        <v>4629</v>
      </c>
      <c r="B468" s="22" t="s">
        <v>3765</v>
      </c>
      <c r="C468" s="22" t="s">
        <v>3431</v>
      </c>
      <c r="D468" s="22" t="s">
        <v>4619</v>
      </c>
      <c r="E468" s="22" t="s">
        <v>4031</v>
      </c>
      <c r="F468" s="22" t="s">
        <v>4630</v>
      </c>
      <c r="G468" s="22" t="s">
        <v>4621</v>
      </c>
      <c r="H468" s="63" t="n">
        <v>81</v>
      </c>
      <c r="I468" s="22" t="s">
        <v>112</v>
      </c>
      <c r="J468" s="22"/>
      <c r="K468" s="63" t="n">
        <v>107.734298815095</v>
      </c>
      <c r="L468" s="22" t="s">
        <v>2096</v>
      </c>
      <c r="M468" s="22" t="n">
        <v>7</v>
      </c>
      <c r="N468" s="22" t="s">
        <v>4622</v>
      </c>
    </row>
    <row r="469" customFormat="false" ht="15" hidden="false" customHeight="false" outlineLevel="0" collapsed="false">
      <c r="A469" s="22" t="s">
        <v>4631</v>
      </c>
      <c r="B469" s="22" t="s">
        <v>3765</v>
      </c>
      <c r="C469" s="22" t="s">
        <v>3431</v>
      </c>
      <c r="D469" s="22" t="s">
        <v>4619</v>
      </c>
      <c r="E469" s="22" t="s">
        <v>4031</v>
      </c>
      <c r="F469" s="22" t="s">
        <v>4624</v>
      </c>
      <c r="G469" s="22" t="s">
        <v>4621</v>
      </c>
      <c r="H469" s="63" t="n">
        <v>715</v>
      </c>
      <c r="I469" s="22" t="s">
        <v>112</v>
      </c>
      <c r="J469" s="22"/>
      <c r="K469" s="63" t="n">
        <v>950.987946330778</v>
      </c>
      <c r="L469" s="22" t="s">
        <v>2096</v>
      </c>
      <c r="M469" s="22" t="n">
        <v>1</v>
      </c>
      <c r="N469" s="22" t="s">
        <v>4622</v>
      </c>
    </row>
    <row r="470" customFormat="false" ht="15" hidden="false" customHeight="false" outlineLevel="0" collapsed="false">
      <c r="A470" s="22" t="s">
        <v>4632</v>
      </c>
      <c r="B470" s="22" t="s">
        <v>3765</v>
      </c>
      <c r="C470" s="22" t="s">
        <v>3431</v>
      </c>
      <c r="D470" s="22" t="s">
        <v>4619</v>
      </c>
      <c r="E470" s="22" t="s">
        <v>4031</v>
      </c>
      <c r="F470" s="22" t="s">
        <v>4633</v>
      </c>
      <c r="G470" s="22" t="s">
        <v>4621</v>
      </c>
      <c r="H470" s="63" t="n">
        <v>1000</v>
      </c>
      <c r="I470" s="22" t="s">
        <v>112</v>
      </c>
      <c r="J470" s="22"/>
      <c r="K470" s="63" t="n">
        <v>1330.0530717913</v>
      </c>
      <c r="L470" s="22" t="s">
        <v>1901</v>
      </c>
      <c r="M470" s="22" t="n">
        <v>1</v>
      </c>
      <c r="N470" s="22" t="s">
        <v>4634</v>
      </c>
    </row>
    <row r="471" customFormat="false" ht="15" hidden="false" customHeight="false" outlineLevel="0" collapsed="false">
      <c r="A471" s="22" t="s">
        <v>4635</v>
      </c>
      <c r="B471" s="22" t="s">
        <v>3765</v>
      </c>
      <c r="C471" s="22" t="s">
        <v>3431</v>
      </c>
      <c r="D471" s="22" t="s">
        <v>4619</v>
      </c>
      <c r="E471" s="22" t="s">
        <v>4031</v>
      </c>
      <c r="F471" s="22" t="s">
        <v>4636</v>
      </c>
      <c r="G471" s="22" t="s">
        <v>4621</v>
      </c>
      <c r="H471" s="63" t="n">
        <v>37</v>
      </c>
      <c r="I471" s="22" t="s">
        <v>112</v>
      </c>
      <c r="J471" s="22"/>
      <c r="K471" s="63" t="n">
        <v>49.211963656278</v>
      </c>
      <c r="L471" s="22" t="s">
        <v>1905</v>
      </c>
      <c r="M471" s="22" t="n">
        <v>1</v>
      </c>
      <c r="N471" s="22" t="s">
        <v>4634</v>
      </c>
    </row>
    <row r="472" customFormat="false" ht="15" hidden="false" customHeight="false" outlineLevel="0" collapsed="false">
      <c r="A472" s="22" t="s">
        <v>4637</v>
      </c>
      <c r="B472" s="22" t="s">
        <v>3765</v>
      </c>
      <c r="C472" s="22" t="s">
        <v>3431</v>
      </c>
      <c r="D472" s="22" t="s">
        <v>4619</v>
      </c>
      <c r="E472" s="22" t="s">
        <v>4031</v>
      </c>
      <c r="F472" s="22" t="s">
        <v>4638</v>
      </c>
      <c r="G472" s="22" t="s">
        <v>4621</v>
      </c>
      <c r="H472" s="63" t="n">
        <v>60</v>
      </c>
      <c r="I472" s="22" t="s">
        <v>112</v>
      </c>
      <c r="J472" s="22"/>
      <c r="K472" s="63" t="n">
        <v>79.8031843074778</v>
      </c>
      <c r="L472" s="22" t="s">
        <v>1905</v>
      </c>
      <c r="M472" s="22" t="n">
        <v>7</v>
      </c>
      <c r="N472" s="22" t="s">
        <v>4634</v>
      </c>
    </row>
    <row r="473" customFormat="false" ht="15" hidden="false" customHeight="false" outlineLevel="0" collapsed="false">
      <c r="A473" s="22" t="s">
        <v>4639</v>
      </c>
      <c r="B473" s="22" t="s">
        <v>3765</v>
      </c>
      <c r="C473" s="22" t="s">
        <v>3431</v>
      </c>
      <c r="D473" s="22" t="s">
        <v>4619</v>
      </c>
      <c r="E473" s="22" t="s">
        <v>4031</v>
      </c>
      <c r="F473" s="22" t="s">
        <v>4640</v>
      </c>
      <c r="G473" s="22" t="s">
        <v>4621</v>
      </c>
      <c r="H473" s="63" t="n">
        <v>900</v>
      </c>
      <c r="I473" s="22" t="s">
        <v>112</v>
      </c>
      <c r="J473" s="22"/>
      <c r="K473" s="63" t="n">
        <v>1197.04776461217</v>
      </c>
      <c r="L473" s="22" t="s">
        <v>4121</v>
      </c>
      <c r="M473" s="22" t="n">
        <v>1</v>
      </c>
      <c r="N473" s="22" t="s">
        <v>4634</v>
      </c>
    </row>
    <row r="474" customFormat="false" ht="15" hidden="false" customHeight="false" outlineLevel="0" collapsed="false">
      <c r="A474" s="22" t="s">
        <v>4641</v>
      </c>
      <c r="B474" s="22" t="s">
        <v>3765</v>
      </c>
      <c r="C474" s="22" t="s">
        <v>3431</v>
      </c>
      <c r="D474" s="22" t="s">
        <v>4619</v>
      </c>
      <c r="E474" s="22" t="s">
        <v>4031</v>
      </c>
      <c r="F474" s="22" t="s">
        <v>4642</v>
      </c>
      <c r="G474" s="22" t="s">
        <v>4621</v>
      </c>
      <c r="H474" s="63" t="n">
        <v>2410.66</v>
      </c>
      <c r="I474" s="22" t="s">
        <v>112</v>
      </c>
      <c r="J474" s="22"/>
      <c r="K474" s="63" t="n">
        <v>3206.30573804441</v>
      </c>
      <c r="L474" s="22" t="s">
        <v>4121</v>
      </c>
      <c r="M474" s="22" t="n">
        <v>1</v>
      </c>
      <c r="N474" s="22" t="s">
        <v>4634</v>
      </c>
    </row>
    <row r="475" customFormat="false" ht="15" hidden="false" customHeight="false" outlineLevel="0" collapsed="false">
      <c r="A475" s="22" t="s">
        <v>4643</v>
      </c>
      <c r="B475" s="22" t="s">
        <v>3765</v>
      </c>
      <c r="C475" s="22" t="s">
        <v>3431</v>
      </c>
      <c r="D475" s="22" t="s">
        <v>4619</v>
      </c>
      <c r="E475" s="22" t="s">
        <v>4031</v>
      </c>
      <c r="F475" s="22" t="s">
        <v>4644</v>
      </c>
      <c r="G475" s="22" t="s">
        <v>4621</v>
      </c>
      <c r="H475" s="63" t="n">
        <v>19.2</v>
      </c>
      <c r="I475" s="22" t="s">
        <v>112</v>
      </c>
      <c r="J475" s="22"/>
      <c r="K475" s="63" t="n">
        <v>25.5370189783929</v>
      </c>
      <c r="L475" s="22" t="s">
        <v>4121</v>
      </c>
      <c r="M475" s="22" t="n">
        <v>1</v>
      </c>
      <c r="N475" s="22" t="s">
        <v>4634</v>
      </c>
    </row>
    <row r="476" customFormat="false" ht="15" hidden="false" customHeight="false" outlineLevel="0" collapsed="false">
      <c r="A476" s="22" t="s">
        <v>4645</v>
      </c>
      <c r="B476" s="22" t="s">
        <v>3765</v>
      </c>
      <c r="C476" s="22" t="s">
        <v>3431</v>
      </c>
      <c r="D476" s="22" t="s">
        <v>4619</v>
      </c>
      <c r="E476" s="22" t="s">
        <v>4031</v>
      </c>
      <c r="F476" s="22" t="s">
        <v>4646</v>
      </c>
      <c r="G476" s="22" t="s">
        <v>4621</v>
      </c>
      <c r="H476" s="63" t="n">
        <v>900</v>
      </c>
      <c r="I476" s="22" t="s">
        <v>112</v>
      </c>
      <c r="J476" s="22"/>
      <c r="K476" s="63" t="n">
        <v>1197.04776461217</v>
      </c>
      <c r="L476" s="22" t="s">
        <v>4121</v>
      </c>
      <c r="M476" s="22" t="n">
        <v>4</v>
      </c>
      <c r="N476" s="22" t="s">
        <v>4634</v>
      </c>
    </row>
    <row r="477" customFormat="false" ht="15" hidden="false" customHeight="false" outlineLevel="0" collapsed="false">
      <c r="A477" s="22" t="s">
        <v>4647</v>
      </c>
      <c r="B477" s="22" t="s">
        <v>3765</v>
      </c>
      <c r="C477" s="22" t="s">
        <v>3431</v>
      </c>
      <c r="D477" s="22" t="s">
        <v>4619</v>
      </c>
      <c r="E477" s="22" t="s">
        <v>4031</v>
      </c>
      <c r="F477" s="22" t="s">
        <v>4648</v>
      </c>
      <c r="G477" s="22" t="s">
        <v>4649</v>
      </c>
      <c r="H477" s="63" t="n">
        <v>1500</v>
      </c>
      <c r="I477" s="22" t="s">
        <v>113</v>
      </c>
      <c r="J477" s="22"/>
      <c r="K477" s="63" t="n">
        <v>1836.75161819826</v>
      </c>
      <c r="L477" s="22" t="s">
        <v>1958</v>
      </c>
      <c r="M477" s="22" t="n">
        <v>1</v>
      </c>
      <c r="N477" s="22" t="s">
        <v>4650</v>
      </c>
    </row>
    <row r="478" customFormat="false" ht="15" hidden="false" customHeight="false" outlineLevel="0" collapsed="false">
      <c r="A478" s="22" t="s">
        <v>4651</v>
      </c>
      <c r="B478" s="22" t="s">
        <v>3765</v>
      </c>
      <c r="C478" s="22" t="s">
        <v>3431</v>
      </c>
      <c r="D478" s="22" t="s">
        <v>4619</v>
      </c>
      <c r="E478" s="22" t="s">
        <v>4031</v>
      </c>
      <c r="F478" s="22" t="s">
        <v>4652</v>
      </c>
      <c r="G478" s="22" t="s">
        <v>4621</v>
      </c>
      <c r="H478" s="63" t="n">
        <v>503</v>
      </c>
      <c r="I478" s="22" t="s">
        <v>113</v>
      </c>
      <c r="J478" s="22"/>
      <c r="K478" s="63" t="n">
        <v>615.924042635815</v>
      </c>
      <c r="L478" s="22" t="s">
        <v>2033</v>
      </c>
      <c r="M478" s="22" t="n">
        <v>1</v>
      </c>
      <c r="N478" s="22" t="s">
        <v>4650</v>
      </c>
    </row>
    <row r="479" customFormat="false" ht="15" hidden="false" customHeight="false" outlineLevel="0" collapsed="false">
      <c r="A479" s="22" t="s">
        <v>4653</v>
      </c>
      <c r="B479" s="22" t="s">
        <v>3765</v>
      </c>
      <c r="C479" s="22" t="s">
        <v>3431</v>
      </c>
      <c r="D479" s="22" t="s">
        <v>4619</v>
      </c>
      <c r="E479" s="22" t="s">
        <v>4031</v>
      </c>
      <c r="F479" s="22" t="s">
        <v>4654</v>
      </c>
      <c r="G479" s="22" t="s">
        <v>4621</v>
      </c>
      <c r="H479" s="63" t="n">
        <v>700</v>
      </c>
      <c r="I479" s="22" t="s">
        <v>113</v>
      </c>
      <c r="J479" s="22"/>
      <c r="K479" s="63" t="n">
        <v>857.150755159186</v>
      </c>
      <c r="L479" s="22" t="s">
        <v>2033</v>
      </c>
      <c r="M479" s="22" t="n">
        <v>1</v>
      </c>
      <c r="N479" s="22" t="s">
        <v>4650</v>
      </c>
    </row>
    <row r="480" customFormat="false" ht="15" hidden="false" customHeight="false" outlineLevel="0" collapsed="false">
      <c r="A480" s="22" t="s">
        <v>4655</v>
      </c>
      <c r="B480" s="22" t="s">
        <v>3765</v>
      </c>
      <c r="C480" s="22" t="s">
        <v>3431</v>
      </c>
      <c r="D480" s="22" t="s">
        <v>4656</v>
      </c>
      <c r="E480" s="22" t="s">
        <v>4657</v>
      </c>
      <c r="F480" s="22" t="s">
        <v>4658</v>
      </c>
      <c r="G480" s="22" t="s">
        <v>3444</v>
      </c>
      <c r="H480" s="63" t="n">
        <v>630</v>
      </c>
      <c r="I480" s="22" t="s">
        <v>112</v>
      </c>
      <c r="J480" s="22"/>
      <c r="K480" s="63" t="n">
        <v>837.933435228517</v>
      </c>
      <c r="L480" s="22" t="s">
        <v>4121</v>
      </c>
      <c r="M480" s="22" t="n">
        <v>2</v>
      </c>
      <c r="N480" s="22" t="s">
        <v>4659</v>
      </c>
    </row>
    <row r="481" customFormat="false" ht="15" hidden="false" customHeight="false" outlineLevel="0" collapsed="false">
      <c r="A481" s="22" t="s">
        <v>4660</v>
      </c>
      <c r="B481" s="22" t="s">
        <v>3765</v>
      </c>
      <c r="C481" s="22" t="s">
        <v>3431</v>
      </c>
      <c r="D481" s="22" t="s">
        <v>4656</v>
      </c>
      <c r="E481" s="22" t="s">
        <v>4657</v>
      </c>
      <c r="F481" s="22" t="s">
        <v>4661</v>
      </c>
      <c r="G481" s="22" t="s">
        <v>3444</v>
      </c>
      <c r="H481" s="63" t="n">
        <v>4308.6</v>
      </c>
      <c r="I481" s="22" t="s">
        <v>112</v>
      </c>
      <c r="J481" s="22"/>
      <c r="K481" s="63" t="n">
        <v>5730.66666511998</v>
      </c>
      <c r="L481" s="22" t="s">
        <v>1905</v>
      </c>
      <c r="M481" s="22" t="n">
        <v>1</v>
      </c>
      <c r="N481" s="22" t="s">
        <v>4662</v>
      </c>
    </row>
    <row r="482" customFormat="false" ht="15" hidden="false" customHeight="false" outlineLevel="0" collapsed="false">
      <c r="A482" s="22" t="s">
        <v>4663</v>
      </c>
      <c r="B482" s="22" t="s">
        <v>3765</v>
      </c>
      <c r="C482" s="22" t="s">
        <v>3431</v>
      </c>
      <c r="D482" s="22" t="s">
        <v>4656</v>
      </c>
      <c r="E482" s="22" t="s">
        <v>4657</v>
      </c>
      <c r="F482" s="22" t="s">
        <v>4664</v>
      </c>
      <c r="G482" s="22" t="s">
        <v>3444</v>
      </c>
      <c r="H482" s="63" t="n">
        <v>342.6</v>
      </c>
      <c r="I482" s="22" t="s">
        <v>112</v>
      </c>
      <c r="J482" s="22"/>
      <c r="K482" s="63" t="n">
        <v>455.676182395699</v>
      </c>
      <c r="L482" s="22" t="s">
        <v>4121</v>
      </c>
      <c r="M482" s="22" t="n">
        <v>6</v>
      </c>
      <c r="N482" s="22" t="s">
        <v>4662</v>
      </c>
    </row>
    <row r="483" customFormat="false" ht="15" hidden="false" customHeight="false" outlineLevel="0" collapsed="false">
      <c r="A483" s="22" t="s">
        <v>4665</v>
      </c>
      <c r="B483" s="22" t="s">
        <v>3765</v>
      </c>
      <c r="C483" s="22" t="s">
        <v>3431</v>
      </c>
      <c r="D483" s="22" t="s">
        <v>4656</v>
      </c>
      <c r="E483" s="22" t="s">
        <v>4657</v>
      </c>
      <c r="F483" s="22" t="s">
        <v>4666</v>
      </c>
      <c r="G483" s="22" t="s">
        <v>3444</v>
      </c>
      <c r="H483" s="63" t="n">
        <v>1328.4</v>
      </c>
      <c r="I483" s="22" t="s">
        <v>112</v>
      </c>
      <c r="J483" s="22"/>
      <c r="K483" s="63" t="n">
        <v>1766.84250056756</v>
      </c>
      <c r="L483" s="22" t="s">
        <v>4121</v>
      </c>
      <c r="M483" s="22" t="n">
        <v>1</v>
      </c>
      <c r="N483" s="22" t="s">
        <v>4662</v>
      </c>
    </row>
    <row r="484" customFormat="false" ht="15" hidden="false" customHeight="false" outlineLevel="0" collapsed="false">
      <c r="A484" s="22" t="s">
        <v>4667</v>
      </c>
      <c r="B484" s="22" t="s">
        <v>3765</v>
      </c>
      <c r="C484" s="22" t="s">
        <v>3431</v>
      </c>
      <c r="D484" s="22" t="s">
        <v>4656</v>
      </c>
      <c r="E484" s="22" t="s">
        <v>4657</v>
      </c>
      <c r="F484" s="22" t="s">
        <v>4668</v>
      </c>
      <c r="G484" s="22" t="s">
        <v>3444</v>
      </c>
      <c r="H484" s="63" t="n">
        <v>831</v>
      </c>
      <c r="I484" s="22" t="s">
        <v>112</v>
      </c>
      <c r="J484" s="22"/>
      <c r="K484" s="63" t="n">
        <v>1105.27410265857</v>
      </c>
      <c r="L484" s="22" t="s">
        <v>1905</v>
      </c>
      <c r="M484" s="22" t="n">
        <v>6</v>
      </c>
      <c r="N484" s="22" t="s">
        <v>4662</v>
      </c>
    </row>
    <row r="485" customFormat="false" ht="15" hidden="false" customHeight="false" outlineLevel="0" collapsed="false">
      <c r="A485" s="22" t="s">
        <v>4669</v>
      </c>
      <c r="B485" s="22" t="s">
        <v>3765</v>
      </c>
      <c r="C485" s="22" t="s">
        <v>3431</v>
      </c>
      <c r="D485" s="22" t="s">
        <v>4656</v>
      </c>
      <c r="E485" s="22" t="s">
        <v>4657</v>
      </c>
      <c r="F485" s="22" t="s">
        <v>4670</v>
      </c>
      <c r="G485" s="22" t="s">
        <v>3444</v>
      </c>
      <c r="H485" s="63" t="n">
        <v>480</v>
      </c>
      <c r="I485" s="22" t="s">
        <v>112</v>
      </c>
      <c r="J485" s="22"/>
      <c r="K485" s="63" t="n">
        <v>638.425474459823</v>
      </c>
      <c r="L485" s="22" t="s">
        <v>4121</v>
      </c>
      <c r="M485" s="22" t="n">
        <v>1</v>
      </c>
      <c r="N485" s="22" t="s">
        <v>4662</v>
      </c>
    </row>
    <row r="486" customFormat="false" ht="15" hidden="false" customHeight="false" outlineLevel="0" collapsed="false">
      <c r="A486" s="22" t="s">
        <v>4671</v>
      </c>
      <c r="B486" s="22" t="s">
        <v>3765</v>
      </c>
      <c r="C486" s="22" t="s">
        <v>3431</v>
      </c>
      <c r="D486" s="22" t="s">
        <v>4656</v>
      </c>
      <c r="E486" s="22" t="s">
        <v>4657</v>
      </c>
      <c r="F486" s="22" t="s">
        <v>4672</v>
      </c>
      <c r="G486" s="22" t="s">
        <v>3444</v>
      </c>
      <c r="H486" s="63" t="n">
        <v>727.9682</v>
      </c>
      <c r="I486" s="22" t="s">
        <v>112</v>
      </c>
      <c r="J486" s="22"/>
      <c r="K486" s="63" t="n">
        <v>968.236340576382</v>
      </c>
      <c r="L486" s="22" t="s">
        <v>4121</v>
      </c>
      <c r="M486" s="22" t="n">
        <v>7</v>
      </c>
      <c r="N486" s="22" t="s">
        <v>4662</v>
      </c>
    </row>
    <row r="487" customFormat="false" ht="15" hidden="false" customHeight="false" outlineLevel="0" collapsed="false">
      <c r="A487" s="22" t="s">
        <v>4673</v>
      </c>
      <c r="B487" s="22" t="s">
        <v>3765</v>
      </c>
      <c r="C487" s="22" t="s">
        <v>3431</v>
      </c>
      <c r="D487" s="22" t="s">
        <v>4656</v>
      </c>
      <c r="E487" s="22" t="s">
        <v>4657</v>
      </c>
      <c r="F487" s="22" t="s">
        <v>4674</v>
      </c>
      <c r="G487" s="22" t="s">
        <v>3444</v>
      </c>
      <c r="H487" s="63" t="n">
        <v>157.38</v>
      </c>
      <c r="I487" s="22" t="s">
        <v>112</v>
      </c>
      <c r="J487" s="22"/>
      <c r="K487" s="63" t="n">
        <v>209.323752438514</v>
      </c>
      <c r="L487" s="22" t="s">
        <v>4121</v>
      </c>
      <c r="M487" s="22" t="n">
        <v>7</v>
      </c>
      <c r="N487" s="22" t="s">
        <v>4662</v>
      </c>
    </row>
    <row r="488" customFormat="false" ht="15" hidden="false" customHeight="false" outlineLevel="0" collapsed="false">
      <c r="A488" s="22" t="s">
        <v>4675</v>
      </c>
      <c r="B488" s="22" t="s">
        <v>3765</v>
      </c>
      <c r="C488" s="22" t="s">
        <v>3431</v>
      </c>
      <c r="D488" s="22" t="s">
        <v>4656</v>
      </c>
      <c r="E488" s="22" t="s">
        <v>4657</v>
      </c>
      <c r="F488" s="22" t="s">
        <v>4676</v>
      </c>
      <c r="G488" s="22" t="s">
        <v>3444</v>
      </c>
      <c r="H488" s="63" t="n">
        <v>114</v>
      </c>
      <c r="I488" s="22" t="s">
        <v>112</v>
      </c>
      <c r="J488" s="22"/>
      <c r="K488" s="63" t="n">
        <v>151.626050184208</v>
      </c>
      <c r="L488" s="22" t="s">
        <v>1946</v>
      </c>
      <c r="M488" s="22" t="n">
        <v>6</v>
      </c>
      <c r="N488" s="22" t="s">
        <v>4662</v>
      </c>
    </row>
    <row r="489" customFormat="false" ht="15" hidden="false" customHeight="false" outlineLevel="0" collapsed="false">
      <c r="A489" s="22" t="s">
        <v>4677</v>
      </c>
      <c r="B489" s="22" t="s">
        <v>3765</v>
      </c>
      <c r="C489" s="22" t="s">
        <v>3431</v>
      </c>
      <c r="D489" s="22" t="s">
        <v>4218</v>
      </c>
      <c r="E489" s="22" t="s">
        <v>4678</v>
      </c>
      <c r="F489" s="22" t="s">
        <v>4679</v>
      </c>
      <c r="G489" s="22" t="s">
        <v>727</v>
      </c>
      <c r="H489" s="63" t="n">
        <v>1635.33</v>
      </c>
      <c r="I489" s="22" t="s">
        <v>112</v>
      </c>
      <c r="J489" s="22" t="s">
        <v>4102</v>
      </c>
      <c r="K489" s="63" t="n">
        <v>2175.07568989246</v>
      </c>
      <c r="L489" s="22" t="s">
        <v>1787</v>
      </c>
      <c r="M489" s="22" t="n">
        <v>1</v>
      </c>
      <c r="N489" s="22" t="s">
        <v>4680</v>
      </c>
    </row>
    <row r="490" customFormat="false" ht="15" hidden="false" customHeight="false" outlineLevel="0" collapsed="false">
      <c r="A490" s="22" t="s">
        <v>4681</v>
      </c>
      <c r="B490" s="22" t="s">
        <v>3765</v>
      </c>
      <c r="C490" s="22" t="s">
        <v>3431</v>
      </c>
      <c r="D490" s="22" t="s">
        <v>4218</v>
      </c>
      <c r="E490" s="22" t="s">
        <v>4678</v>
      </c>
      <c r="F490" s="22" t="s">
        <v>4682</v>
      </c>
      <c r="G490" s="22" t="s">
        <v>727</v>
      </c>
      <c r="H490" s="63" t="n">
        <v>33</v>
      </c>
      <c r="I490" s="22" t="s">
        <v>112</v>
      </c>
      <c r="J490" s="22" t="s">
        <v>4102</v>
      </c>
      <c r="K490" s="63" t="n">
        <v>43.8917513691128</v>
      </c>
      <c r="L490" s="22" t="s">
        <v>1829</v>
      </c>
      <c r="M490" s="22" t="n">
        <v>1</v>
      </c>
      <c r="N490" s="22" t="s">
        <v>4683</v>
      </c>
    </row>
    <row r="491" customFormat="false" ht="15" hidden="false" customHeight="false" outlineLevel="0" collapsed="false">
      <c r="A491" s="22" t="s">
        <v>4684</v>
      </c>
      <c r="B491" s="22" t="s">
        <v>3765</v>
      </c>
      <c r="C491" s="22" t="s">
        <v>3431</v>
      </c>
      <c r="D491" s="22" t="s">
        <v>4218</v>
      </c>
      <c r="E491" s="22" t="s">
        <v>4678</v>
      </c>
      <c r="F491" s="22" t="s">
        <v>4685</v>
      </c>
      <c r="G491" s="22" t="s">
        <v>727</v>
      </c>
      <c r="H491" s="63" t="n">
        <v>118</v>
      </c>
      <c r="I491" s="22" t="s">
        <v>112</v>
      </c>
      <c r="J491" s="22" t="s">
        <v>4102</v>
      </c>
      <c r="K491" s="63" t="n">
        <v>156.946262471373</v>
      </c>
      <c r="L491" s="22" t="s">
        <v>4254</v>
      </c>
      <c r="M491" s="22" t="n">
        <v>2</v>
      </c>
      <c r="N491" s="22" t="s">
        <v>4686</v>
      </c>
    </row>
    <row r="492" customFormat="false" ht="15" hidden="false" customHeight="false" outlineLevel="0" collapsed="false">
      <c r="A492" s="22" t="s">
        <v>4687</v>
      </c>
      <c r="B492" s="22" t="s">
        <v>3765</v>
      </c>
      <c r="C492" s="22" t="s">
        <v>3431</v>
      </c>
      <c r="D492" s="22" t="s">
        <v>4218</v>
      </c>
      <c r="E492" s="22" t="s">
        <v>4678</v>
      </c>
      <c r="F492" s="22" t="s">
        <v>4688</v>
      </c>
      <c r="G492" s="22" t="s">
        <v>727</v>
      </c>
      <c r="H492" s="63" t="n">
        <v>9.31</v>
      </c>
      <c r="I492" s="22" t="s">
        <v>112</v>
      </c>
      <c r="J492" s="22" t="s">
        <v>4102</v>
      </c>
      <c r="K492" s="63" t="n">
        <v>12.382794098377</v>
      </c>
      <c r="L492" s="22" t="s">
        <v>1829</v>
      </c>
      <c r="M492" s="22" t="n">
        <v>9</v>
      </c>
      <c r="N492" s="22" t="s">
        <v>4689</v>
      </c>
    </row>
    <row r="493" customFormat="false" ht="15" hidden="false" customHeight="false" outlineLevel="0" collapsed="false">
      <c r="A493" s="22" t="s">
        <v>4690</v>
      </c>
      <c r="B493" s="22" t="s">
        <v>3765</v>
      </c>
      <c r="C493" s="22" t="s">
        <v>3431</v>
      </c>
      <c r="D493" s="22" t="s">
        <v>4218</v>
      </c>
      <c r="E493" s="22" t="s">
        <v>4678</v>
      </c>
      <c r="F493" s="22" t="s">
        <v>4691</v>
      </c>
      <c r="G493" s="22" t="s">
        <v>727</v>
      </c>
      <c r="H493" s="63" t="n">
        <v>5194</v>
      </c>
      <c r="I493" s="22" t="s">
        <v>112</v>
      </c>
      <c r="J493" s="22" t="s">
        <v>4226</v>
      </c>
      <c r="K493" s="63" t="n">
        <v>6908.295654884</v>
      </c>
      <c r="L493" s="22" t="s">
        <v>4254</v>
      </c>
      <c r="M493" s="22" t="n">
        <v>1</v>
      </c>
      <c r="N493" s="22" t="s">
        <v>4692</v>
      </c>
    </row>
    <row r="494" customFormat="false" ht="15" hidden="false" customHeight="false" outlineLevel="0" collapsed="false">
      <c r="A494" s="22" t="s">
        <v>4693</v>
      </c>
      <c r="B494" s="22" t="s">
        <v>3765</v>
      </c>
      <c r="C494" s="22" t="s">
        <v>3431</v>
      </c>
      <c r="D494" s="22" t="s">
        <v>4218</v>
      </c>
      <c r="E494" s="22" t="s">
        <v>4678</v>
      </c>
      <c r="F494" s="22" t="s">
        <v>4694</v>
      </c>
      <c r="G494" s="22" t="s">
        <v>727</v>
      </c>
      <c r="H494" s="63" t="n">
        <v>1.22</v>
      </c>
      <c r="I494" s="22" t="s">
        <v>112</v>
      </c>
      <c r="J494" s="22" t="s">
        <v>4102</v>
      </c>
      <c r="K494" s="63" t="n">
        <v>1.62266474758538</v>
      </c>
      <c r="L494" s="22" t="s">
        <v>4254</v>
      </c>
      <c r="M494" s="22" t="n">
        <v>1</v>
      </c>
      <c r="N494" s="22" t="s">
        <v>4695</v>
      </c>
    </row>
    <row r="495" customFormat="false" ht="15" hidden="false" customHeight="false" outlineLevel="0" collapsed="false">
      <c r="A495" s="22" t="s">
        <v>4696</v>
      </c>
      <c r="B495" s="22" t="s">
        <v>3765</v>
      </c>
      <c r="C495" s="22" t="s">
        <v>3431</v>
      </c>
      <c r="D495" s="22" t="s">
        <v>4218</v>
      </c>
      <c r="E495" s="22" t="s">
        <v>4678</v>
      </c>
      <c r="F495" s="22" t="s">
        <v>4697</v>
      </c>
      <c r="G495" s="22" t="s">
        <v>727</v>
      </c>
      <c r="H495" s="63" t="n">
        <v>1.24</v>
      </c>
      <c r="I495" s="22" t="s">
        <v>112</v>
      </c>
      <c r="J495" s="22" t="s">
        <v>4102</v>
      </c>
      <c r="K495" s="63" t="n">
        <v>1.64926580902121</v>
      </c>
      <c r="L495" s="22" t="s">
        <v>1810</v>
      </c>
      <c r="M495" s="22" t="n">
        <v>6</v>
      </c>
      <c r="N495" s="22" t="s">
        <v>4698</v>
      </c>
    </row>
    <row r="496" customFormat="false" ht="15" hidden="false" customHeight="false" outlineLevel="0" collapsed="false">
      <c r="A496" s="22" t="s">
        <v>4699</v>
      </c>
      <c r="B496" s="22" t="s">
        <v>3765</v>
      </c>
      <c r="C496" s="22" t="s">
        <v>3431</v>
      </c>
      <c r="D496" s="22" t="s">
        <v>4218</v>
      </c>
      <c r="E496" s="22" t="s">
        <v>4678</v>
      </c>
      <c r="F496" s="22" t="s">
        <v>4700</v>
      </c>
      <c r="G496" s="22" t="s">
        <v>727</v>
      </c>
      <c r="H496" s="63" t="n">
        <v>1.13</v>
      </c>
      <c r="I496" s="22" t="s">
        <v>112</v>
      </c>
      <c r="J496" s="22" t="s">
        <v>4102</v>
      </c>
      <c r="K496" s="63" t="n">
        <v>1.50295997112417</v>
      </c>
      <c r="L496" s="22" t="s">
        <v>4254</v>
      </c>
      <c r="M496" s="22" t="n">
        <v>9</v>
      </c>
      <c r="N496" s="22" t="s">
        <v>4701</v>
      </c>
    </row>
    <row r="497" customFormat="false" ht="15" hidden="false" customHeight="false" outlineLevel="0" collapsed="false">
      <c r="A497" s="22" t="s">
        <v>4702</v>
      </c>
      <c r="B497" s="22" t="s">
        <v>3765</v>
      </c>
      <c r="C497" s="22" t="s">
        <v>3431</v>
      </c>
      <c r="D497" s="22" t="s">
        <v>4218</v>
      </c>
      <c r="E497" s="22" t="s">
        <v>4678</v>
      </c>
      <c r="F497" s="22" t="s">
        <v>4703</v>
      </c>
      <c r="G497" s="22" t="s">
        <v>727</v>
      </c>
      <c r="H497" s="63" t="n">
        <v>10530</v>
      </c>
      <c r="I497" s="22" t="s">
        <v>112</v>
      </c>
      <c r="J497" s="22" t="s">
        <v>4226</v>
      </c>
      <c r="K497" s="63" t="n">
        <v>14005.4588459624</v>
      </c>
      <c r="L497" s="22" t="s">
        <v>1858</v>
      </c>
      <c r="M497" s="22" t="n">
        <v>1</v>
      </c>
      <c r="N497" s="22" t="s">
        <v>4704</v>
      </c>
    </row>
    <row r="498" customFormat="false" ht="15" hidden="false" customHeight="false" outlineLevel="0" collapsed="false">
      <c r="A498" s="22" t="s">
        <v>4705</v>
      </c>
      <c r="B498" s="22" t="s">
        <v>3765</v>
      </c>
      <c r="C498" s="22" t="s">
        <v>3431</v>
      </c>
      <c r="D498" s="22" t="s">
        <v>4218</v>
      </c>
      <c r="E498" s="22" t="s">
        <v>4678</v>
      </c>
      <c r="F498" s="22" t="s">
        <v>4706</v>
      </c>
      <c r="G498" s="22" t="s">
        <v>727</v>
      </c>
      <c r="H498" s="63" t="n">
        <v>4500</v>
      </c>
      <c r="I498" s="22" t="s">
        <v>112</v>
      </c>
      <c r="J498" s="22" t="s">
        <v>4102</v>
      </c>
      <c r="K498" s="63" t="n">
        <v>5985.23882306084</v>
      </c>
      <c r="L498" s="22" t="s">
        <v>1885</v>
      </c>
      <c r="M498" s="22" t="n">
        <v>1</v>
      </c>
      <c r="N498" s="22" t="s">
        <v>4707</v>
      </c>
    </row>
    <row r="499" customFormat="false" ht="15" hidden="false" customHeight="false" outlineLevel="0" collapsed="false">
      <c r="A499" s="22" t="s">
        <v>4708</v>
      </c>
      <c r="B499" s="22" t="s">
        <v>3765</v>
      </c>
      <c r="C499" s="22" t="s">
        <v>3431</v>
      </c>
      <c r="D499" s="22" t="s">
        <v>4218</v>
      </c>
      <c r="E499" s="22" t="s">
        <v>4678</v>
      </c>
      <c r="F499" s="22" t="s">
        <v>4709</v>
      </c>
      <c r="G499" s="22" t="s">
        <v>727</v>
      </c>
      <c r="H499" s="63" t="n">
        <v>1150</v>
      </c>
      <c r="I499" s="22" t="s">
        <v>112</v>
      </c>
      <c r="J499" s="22" t="s">
        <v>4102</v>
      </c>
      <c r="K499" s="63" t="n">
        <v>1529.56103255999</v>
      </c>
      <c r="L499" s="22" t="s">
        <v>1885</v>
      </c>
      <c r="M499" s="22" t="n">
        <v>1</v>
      </c>
      <c r="N499" s="22" t="s">
        <v>4710</v>
      </c>
    </row>
    <row r="500" customFormat="false" ht="15" hidden="false" customHeight="false" outlineLevel="0" collapsed="false">
      <c r="A500" s="22" t="s">
        <v>4711</v>
      </c>
      <c r="B500" s="22" t="s">
        <v>3765</v>
      </c>
      <c r="C500" s="22" t="s">
        <v>3431</v>
      </c>
      <c r="D500" s="22" t="s">
        <v>4218</v>
      </c>
      <c r="E500" s="22" t="s">
        <v>4678</v>
      </c>
      <c r="F500" s="22" t="s">
        <v>4712</v>
      </c>
      <c r="G500" s="22" t="s">
        <v>727</v>
      </c>
      <c r="H500" s="63" t="n">
        <v>56300</v>
      </c>
      <c r="I500" s="22" t="s">
        <v>112</v>
      </c>
      <c r="J500" s="22" t="s">
        <v>4102</v>
      </c>
      <c r="K500" s="63" t="n">
        <v>74881.98794185</v>
      </c>
      <c r="L500" s="22" t="s">
        <v>1858</v>
      </c>
      <c r="M500" s="22" t="n">
        <v>1</v>
      </c>
      <c r="N500" s="22" t="s">
        <v>4713</v>
      </c>
    </row>
    <row r="501" customFormat="false" ht="15" hidden="false" customHeight="false" outlineLevel="0" collapsed="false">
      <c r="A501" s="22" t="s">
        <v>4714</v>
      </c>
      <c r="B501" s="22" t="s">
        <v>3765</v>
      </c>
      <c r="C501" s="22" t="s">
        <v>3431</v>
      </c>
      <c r="D501" s="22" t="s">
        <v>4218</v>
      </c>
      <c r="E501" s="22" t="s">
        <v>4678</v>
      </c>
      <c r="F501" s="22" t="s">
        <v>4715</v>
      </c>
      <c r="G501" s="22" t="s">
        <v>727</v>
      </c>
      <c r="H501" s="63" t="n">
        <v>17143.91</v>
      </c>
      <c r="I501" s="22" t="s">
        <v>112</v>
      </c>
      <c r="J501" s="22" t="s">
        <v>4102</v>
      </c>
      <c r="K501" s="63" t="n">
        <v>22802.3101580135</v>
      </c>
      <c r="L501" s="22" t="s">
        <v>1863</v>
      </c>
      <c r="M501" s="22" t="n">
        <v>1</v>
      </c>
      <c r="N501" s="22" t="s">
        <v>4716</v>
      </c>
    </row>
    <row r="502" customFormat="false" ht="15" hidden="false" customHeight="false" outlineLevel="0" collapsed="false">
      <c r="A502" s="22" t="s">
        <v>4717</v>
      </c>
      <c r="B502" s="22" t="s">
        <v>3765</v>
      </c>
      <c r="C502" s="22" t="s">
        <v>3431</v>
      </c>
      <c r="D502" s="22" t="s">
        <v>4218</v>
      </c>
      <c r="E502" s="22" t="s">
        <v>4678</v>
      </c>
      <c r="F502" s="22" t="s">
        <v>4718</v>
      </c>
      <c r="G502" s="22" t="s">
        <v>727</v>
      </c>
      <c r="H502" s="63" t="n">
        <v>3940</v>
      </c>
      <c r="I502" s="22" t="s">
        <v>112</v>
      </c>
      <c r="J502" s="22" t="s">
        <v>4226</v>
      </c>
      <c r="K502" s="63" t="n">
        <v>5240.40910285771</v>
      </c>
      <c r="L502" s="22" t="s">
        <v>1863</v>
      </c>
      <c r="M502" s="22" t="n">
        <v>1</v>
      </c>
      <c r="N502" s="22" t="s">
        <v>4719</v>
      </c>
    </row>
    <row r="503" customFormat="false" ht="15" hidden="false" customHeight="false" outlineLevel="0" collapsed="false">
      <c r="A503" s="22" t="s">
        <v>4720</v>
      </c>
      <c r="B503" s="22" t="s">
        <v>3765</v>
      </c>
      <c r="C503" s="22" t="s">
        <v>3431</v>
      </c>
      <c r="D503" s="22" t="s">
        <v>4218</v>
      </c>
      <c r="E503" s="22" t="s">
        <v>4678</v>
      </c>
      <c r="F503" s="22" t="s">
        <v>4721</v>
      </c>
      <c r="G503" s="22" t="s">
        <v>727</v>
      </c>
      <c r="H503" s="63" t="n">
        <v>2009.45</v>
      </c>
      <c r="I503" s="22" t="s">
        <v>113</v>
      </c>
      <c r="J503" s="22" t="s">
        <v>4102</v>
      </c>
      <c r="K503" s="63" t="n">
        <v>2528.54791401232</v>
      </c>
      <c r="L503" s="22" t="s">
        <v>2022</v>
      </c>
      <c r="M503" s="22" t="n">
        <v>1</v>
      </c>
      <c r="N503" s="22" t="s">
        <v>4722</v>
      </c>
    </row>
    <row r="504" customFormat="false" ht="15" hidden="false" customHeight="false" outlineLevel="0" collapsed="false">
      <c r="A504" s="22" t="s">
        <v>4723</v>
      </c>
      <c r="B504" s="22" t="s">
        <v>3765</v>
      </c>
      <c r="C504" s="22" t="s">
        <v>3431</v>
      </c>
      <c r="D504" s="22" t="s">
        <v>4218</v>
      </c>
      <c r="E504" s="22" t="s">
        <v>4678</v>
      </c>
      <c r="F504" s="22" t="s">
        <v>4724</v>
      </c>
      <c r="G504" s="22" t="s">
        <v>727</v>
      </c>
      <c r="H504" s="63" t="n">
        <v>107</v>
      </c>
      <c r="I504" s="22" t="s">
        <v>113</v>
      </c>
      <c r="J504" s="22" t="s">
        <v>4102</v>
      </c>
      <c r="K504" s="63" t="n">
        <v>134.641134041314</v>
      </c>
      <c r="L504" s="22" t="s">
        <v>1961</v>
      </c>
      <c r="M504" s="22" t="n">
        <v>8</v>
      </c>
      <c r="N504" s="22" t="s">
        <v>4725</v>
      </c>
    </row>
    <row r="505" customFormat="false" ht="15" hidden="false" customHeight="false" outlineLevel="0" collapsed="false">
      <c r="A505" s="22" t="s">
        <v>4726</v>
      </c>
      <c r="B505" s="22" t="s">
        <v>3765</v>
      </c>
      <c r="C505" s="22" t="s">
        <v>3431</v>
      </c>
      <c r="D505" s="22" t="s">
        <v>4218</v>
      </c>
      <c r="E505" s="22" t="s">
        <v>4678</v>
      </c>
      <c r="F505" s="22" t="s">
        <v>4727</v>
      </c>
      <c r="G505" s="22" t="s">
        <v>727</v>
      </c>
      <c r="H505" s="63" t="n">
        <v>94</v>
      </c>
      <c r="I505" s="22" t="s">
        <v>113</v>
      </c>
      <c r="J505" s="22" t="s">
        <v>4226</v>
      </c>
      <c r="K505" s="63" t="n">
        <v>118.282865419472</v>
      </c>
      <c r="L505" s="22" t="s">
        <v>2033</v>
      </c>
      <c r="M505" s="22" t="n">
        <v>1</v>
      </c>
      <c r="N505" s="22" t="s">
        <v>4728</v>
      </c>
    </row>
    <row r="506" customFormat="false" ht="15" hidden="false" customHeight="false" outlineLevel="0" collapsed="false">
      <c r="A506" s="22" t="s">
        <v>4729</v>
      </c>
      <c r="B506" s="22" t="s">
        <v>3765</v>
      </c>
      <c r="C506" s="22" t="s">
        <v>3431</v>
      </c>
      <c r="D506" s="22" t="s">
        <v>4218</v>
      </c>
      <c r="E506" s="22" t="s">
        <v>4678</v>
      </c>
      <c r="F506" s="22" t="s">
        <v>4730</v>
      </c>
      <c r="G506" s="22" t="s">
        <v>727</v>
      </c>
      <c r="H506" s="63" t="n">
        <v>5770</v>
      </c>
      <c r="I506" s="22" t="s">
        <v>113</v>
      </c>
      <c r="J506" s="22" t="s">
        <v>4102</v>
      </c>
      <c r="K506" s="63" t="n">
        <v>7260.55461138674</v>
      </c>
      <c r="L506" s="22" t="s">
        <v>2033</v>
      </c>
      <c r="M506" s="22" t="n">
        <v>2</v>
      </c>
      <c r="N506" s="22" t="s">
        <v>4731</v>
      </c>
    </row>
    <row r="507" customFormat="false" ht="15" hidden="false" customHeight="false" outlineLevel="0" collapsed="false">
      <c r="A507" s="22" t="s">
        <v>4732</v>
      </c>
      <c r="B507" s="22" t="s">
        <v>3765</v>
      </c>
      <c r="C507" s="22" t="s">
        <v>3431</v>
      </c>
      <c r="D507" s="22" t="s">
        <v>4218</v>
      </c>
      <c r="E507" s="22" t="s">
        <v>4678</v>
      </c>
      <c r="F507" s="22" t="s">
        <v>4733</v>
      </c>
      <c r="G507" s="22" t="s">
        <v>727</v>
      </c>
      <c r="H507" s="63" t="n">
        <v>355</v>
      </c>
      <c r="I507" s="22" t="s">
        <v>113</v>
      </c>
      <c r="J507" s="22" t="s">
        <v>4102</v>
      </c>
      <c r="K507" s="63" t="n">
        <v>446.706566211836</v>
      </c>
      <c r="L507" s="22" t="s">
        <v>4366</v>
      </c>
      <c r="M507" s="22" t="n">
        <v>1</v>
      </c>
      <c r="N507" s="22" t="s">
        <v>4734</v>
      </c>
    </row>
    <row r="508" customFormat="false" ht="15" hidden="false" customHeight="false" outlineLevel="0" collapsed="false">
      <c r="A508" s="22" t="s">
        <v>4735</v>
      </c>
      <c r="B508" s="22" t="s">
        <v>3765</v>
      </c>
      <c r="C508" s="22" t="s">
        <v>3431</v>
      </c>
      <c r="D508" s="22" t="s">
        <v>4218</v>
      </c>
      <c r="E508" s="22" t="s">
        <v>4678</v>
      </c>
      <c r="F508" s="22" t="s">
        <v>4736</v>
      </c>
      <c r="G508" s="22" t="s">
        <v>727</v>
      </c>
      <c r="H508" s="63" t="n">
        <v>1646.25</v>
      </c>
      <c r="I508" s="22" t="s">
        <v>113</v>
      </c>
      <c r="J508" s="22" t="s">
        <v>4102</v>
      </c>
      <c r="K508" s="63" t="n">
        <v>2071.52305528517</v>
      </c>
      <c r="L508" s="22" t="s">
        <v>4366</v>
      </c>
      <c r="M508" s="22" t="n">
        <v>2</v>
      </c>
      <c r="N508" s="22" t="s">
        <v>4737</v>
      </c>
    </row>
    <row r="509" customFormat="false" ht="15" hidden="false" customHeight="false" outlineLevel="0" collapsed="false">
      <c r="A509" s="22" t="s">
        <v>4738</v>
      </c>
      <c r="B509" s="22" t="s">
        <v>3765</v>
      </c>
      <c r="C509" s="22" t="s">
        <v>3431</v>
      </c>
      <c r="D509" s="22" t="s">
        <v>4218</v>
      </c>
      <c r="E509" s="22" t="s">
        <v>4678</v>
      </c>
      <c r="F509" s="22" t="s">
        <v>4365</v>
      </c>
      <c r="G509" s="22" t="s">
        <v>727</v>
      </c>
      <c r="H509" s="63" t="n">
        <v>414</v>
      </c>
      <c r="I509" s="22" t="s">
        <v>113</v>
      </c>
      <c r="J509" s="22" t="s">
        <v>4102</v>
      </c>
      <c r="K509" s="63" t="n">
        <v>520.947939187888</v>
      </c>
      <c r="L509" s="22" t="s">
        <v>4366</v>
      </c>
      <c r="M509" s="22" t="n">
        <v>1</v>
      </c>
      <c r="N509" s="22" t="s">
        <v>4739</v>
      </c>
    </row>
    <row r="510" customFormat="false" ht="15" hidden="false" customHeight="false" outlineLevel="0" collapsed="false">
      <c r="A510" s="22" t="s">
        <v>4740</v>
      </c>
      <c r="B510" s="22" t="s">
        <v>3765</v>
      </c>
      <c r="C510" s="22" t="s">
        <v>3431</v>
      </c>
      <c r="D510" s="22" t="s">
        <v>4218</v>
      </c>
      <c r="E510" s="22" t="s">
        <v>4678</v>
      </c>
      <c r="F510" s="22" t="s">
        <v>4741</v>
      </c>
      <c r="G510" s="22" t="s">
        <v>727</v>
      </c>
      <c r="H510" s="63" t="n">
        <v>2.49</v>
      </c>
      <c r="I510" s="22" t="s">
        <v>113</v>
      </c>
      <c r="J510" s="22" t="s">
        <v>4102</v>
      </c>
      <c r="K510" s="63" t="n">
        <v>3.13323760526048</v>
      </c>
      <c r="L510" s="22" t="s">
        <v>4366</v>
      </c>
      <c r="M510" s="22" t="n">
        <v>1</v>
      </c>
      <c r="N510" s="22" t="s">
        <v>4742</v>
      </c>
    </row>
    <row r="511" customFormat="false" ht="15" hidden="false" customHeight="false" outlineLevel="0" collapsed="false">
      <c r="A511" s="22" t="s">
        <v>4743</v>
      </c>
      <c r="B511" s="22" t="s">
        <v>3765</v>
      </c>
      <c r="C511" s="22" t="s">
        <v>3431</v>
      </c>
      <c r="D511" s="22" t="s">
        <v>4218</v>
      </c>
      <c r="E511" s="22" t="s">
        <v>4678</v>
      </c>
      <c r="F511" s="22" t="s">
        <v>4744</v>
      </c>
      <c r="G511" s="22" t="s">
        <v>727</v>
      </c>
      <c r="H511" s="63" t="n">
        <v>2.86</v>
      </c>
      <c r="I511" s="22" t="s">
        <v>113</v>
      </c>
      <c r="J511" s="22" t="s">
        <v>4102</v>
      </c>
      <c r="K511" s="63" t="n">
        <v>3.59881909680521</v>
      </c>
      <c r="L511" s="22" t="s">
        <v>4366</v>
      </c>
      <c r="M511" s="22" t="n">
        <v>7</v>
      </c>
      <c r="N511" s="22" t="s">
        <v>4745</v>
      </c>
    </row>
    <row r="512" customFormat="false" ht="15" hidden="false" customHeight="false" outlineLevel="0" collapsed="false">
      <c r="A512" s="22" t="s">
        <v>4746</v>
      </c>
      <c r="B512" s="22" t="s">
        <v>3765</v>
      </c>
      <c r="C512" s="22" t="s">
        <v>3431</v>
      </c>
      <c r="D512" s="22" t="s">
        <v>4218</v>
      </c>
      <c r="E512" s="22" t="s">
        <v>4678</v>
      </c>
      <c r="F512" s="22" t="s">
        <v>4700</v>
      </c>
      <c r="G512" s="22" t="s">
        <v>727</v>
      </c>
      <c r="H512" s="63" t="n">
        <v>1.53</v>
      </c>
      <c r="I512" s="22" t="s">
        <v>113</v>
      </c>
      <c r="J512" s="22" t="s">
        <v>4102</v>
      </c>
      <c r="K512" s="63" t="n">
        <v>1.92524238395524</v>
      </c>
      <c r="L512" s="22" t="s">
        <v>4366</v>
      </c>
      <c r="M512" s="22" t="n">
        <v>9</v>
      </c>
      <c r="N512" s="22" t="s">
        <v>4747</v>
      </c>
    </row>
    <row r="513" customFormat="false" ht="15" hidden="false" customHeight="false" outlineLevel="0" collapsed="false">
      <c r="A513" s="22" t="s">
        <v>4748</v>
      </c>
      <c r="B513" s="22" t="s">
        <v>3765</v>
      </c>
      <c r="C513" s="22" t="s">
        <v>3431</v>
      </c>
      <c r="D513" s="22" t="s">
        <v>4218</v>
      </c>
      <c r="E513" s="22" t="s">
        <v>4678</v>
      </c>
      <c r="F513" s="22" t="s">
        <v>4749</v>
      </c>
      <c r="G513" s="22" t="s">
        <v>727</v>
      </c>
      <c r="H513" s="63" t="n">
        <v>2050</v>
      </c>
      <c r="I513" s="22" t="s">
        <v>112</v>
      </c>
      <c r="J513" s="22" t="s">
        <v>4102</v>
      </c>
      <c r="K513" s="63" t="n">
        <v>2726.60879717216</v>
      </c>
      <c r="L513" s="22" t="s">
        <v>2083</v>
      </c>
      <c r="M513" s="22" t="n">
        <v>1</v>
      </c>
      <c r="N513" s="22" t="s">
        <v>4750</v>
      </c>
    </row>
    <row r="514" customFormat="false" ht="15" hidden="false" customHeight="false" outlineLevel="0" collapsed="false">
      <c r="A514" s="22" t="s">
        <v>4751</v>
      </c>
      <c r="B514" s="22" t="s">
        <v>3765</v>
      </c>
      <c r="C514" s="22" t="s">
        <v>3431</v>
      </c>
      <c r="D514" s="22" t="s">
        <v>4218</v>
      </c>
      <c r="E514" s="22" t="s">
        <v>4678</v>
      </c>
      <c r="F514" s="22" t="s">
        <v>4752</v>
      </c>
      <c r="G514" s="22" t="s">
        <v>727</v>
      </c>
      <c r="H514" s="63" t="n">
        <v>380</v>
      </c>
      <c r="I514" s="22" t="s">
        <v>112</v>
      </c>
      <c r="J514" s="22" t="s">
        <v>4102</v>
      </c>
      <c r="K514" s="63" t="n">
        <v>505.420167280693</v>
      </c>
      <c r="L514" s="22" t="s">
        <v>2083</v>
      </c>
      <c r="M514" s="22" t="n">
        <v>1</v>
      </c>
      <c r="N514" s="22" t="s">
        <v>4753</v>
      </c>
    </row>
    <row r="515" customFormat="false" ht="15" hidden="false" customHeight="false" outlineLevel="0" collapsed="false">
      <c r="A515" s="22" t="s">
        <v>4754</v>
      </c>
      <c r="B515" s="22" t="s">
        <v>3765</v>
      </c>
      <c r="C515" s="22" t="s">
        <v>3431</v>
      </c>
      <c r="D515" s="22" t="s">
        <v>4218</v>
      </c>
      <c r="E515" s="22" t="s">
        <v>4678</v>
      </c>
      <c r="F515" s="22" t="s">
        <v>4755</v>
      </c>
      <c r="G515" s="22" t="s">
        <v>727</v>
      </c>
      <c r="H515" s="63" t="n">
        <v>4120</v>
      </c>
      <c r="I515" s="22" t="s">
        <v>112</v>
      </c>
      <c r="J515" s="22" t="s">
        <v>4102</v>
      </c>
      <c r="K515" s="63" t="n">
        <v>5479.81865578015</v>
      </c>
      <c r="L515" s="22" t="s">
        <v>2212</v>
      </c>
      <c r="M515" s="22" t="n">
        <v>1</v>
      </c>
      <c r="N515" s="22" t="s">
        <v>4756</v>
      </c>
    </row>
    <row r="516" customFormat="false" ht="15" hidden="false" customHeight="false" outlineLevel="0" collapsed="false">
      <c r="A516" s="22" t="s">
        <v>4757</v>
      </c>
      <c r="B516" s="22" t="s">
        <v>3765</v>
      </c>
      <c r="C516" s="22" t="s">
        <v>3431</v>
      </c>
      <c r="D516" s="22" t="s">
        <v>4218</v>
      </c>
      <c r="E516" s="22" t="s">
        <v>4678</v>
      </c>
      <c r="F516" s="22" t="s">
        <v>4758</v>
      </c>
      <c r="G516" s="22" t="s">
        <v>727</v>
      </c>
      <c r="H516" s="63" t="n">
        <v>71.25</v>
      </c>
      <c r="I516" s="22" t="s">
        <v>112</v>
      </c>
      <c r="J516" s="22" t="s">
        <v>4102</v>
      </c>
      <c r="K516" s="63" t="n">
        <v>94.7662813651299</v>
      </c>
      <c r="L516" s="22" t="s">
        <v>4382</v>
      </c>
      <c r="M516" s="22" t="n">
        <v>6</v>
      </c>
      <c r="N516" s="22" t="s">
        <v>4759</v>
      </c>
    </row>
    <row r="517" customFormat="false" ht="15" hidden="false" customHeight="false" outlineLevel="0" collapsed="false">
      <c r="A517" s="22" t="s">
        <v>4760</v>
      </c>
      <c r="B517" s="22" t="s">
        <v>3765</v>
      </c>
      <c r="C517" s="22" t="s">
        <v>3431</v>
      </c>
      <c r="D517" s="22" t="s">
        <v>4218</v>
      </c>
      <c r="E517" s="22" t="s">
        <v>4678</v>
      </c>
      <c r="F517" s="22" t="s">
        <v>4761</v>
      </c>
      <c r="G517" s="22" t="s">
        <v>727</v>
      </c>
      <c r="H517" s="63" t="n">
        <v>3.12</v>
      </c>
      <c r="I517" s="22" t="s">
        <v>112</v>
      </c>
      <c r="J517" s="22" t="s">
        <v>4102</v>
      </c>
      <c r="K517" s="63" t="n">
        <v>4.14976558398885</v>
      </c>
      <c r="L517" s="22" t="s">
        <v>4382</v>
      </c>
      <c r="M517" s="22" t="n">
        <v>6</v>
      </c>
      <c r="N517" s="22" t="s">
        <v>4762</v>
      </c>
    </row>
    <row r="518" customFormat="false" ht="15" hidden="false" customHeight="false" outlineLevel="0" collapsed="false">
      <c r="A518" s="22" t="s">
        <v>4763</v>
      </c>
      <c r="B518" s="22" t="s">
        <v>3765</v>
      </c>
      <c r="C518" s="22" t="s">
        <v>3431</v>
      </c>
      <c r="D518" s="22" t="s">
        <v>4218</v>
      </c>
      <c r="E518" s="22" t="s">
        <v>4678</v>
      </c>
      <c r="F518" s="22" t="s">
        <v>4378</v>
      </c>
      <c r="G518" s="22" t="s">
        <v>727</v>
      </c>
      <c r="H518" s="63" t="n">
        <v>78</v>
      </c>
      <c r="I518" s="22" t="s">
        <v>112</v>
      </c>
      <c r="J518" s="22" t="s">
        <v>4226</v>
      </c>
      <c r="K518" s="63" t="n">
        <v>103.744139599721</v>
      </c>
      <c r="L518" s="22" t="s">
        <v>2212</v>
      </c>
      <c r="M518" s="22" t="n">
        <v>6</v>
      </c>
      <c r="N518" s="22" t="s">
        <v>4764</v>
      </c>
    </row>
    <row r="519" customFormat="false" ht="15" hidden="false" customHeight="false" outlineLevel="0" collapsed="false">
      <c r="A519" s="22" t="s">
        <v>4765</v>
      </c>
      <c r="B519" s="22" t="s">
        <v>3765</v>
      </c>
      <c r="C519" s="22" t="s">
        <v>3431</v>
      </c>
      <c r="D519" s="22" t="s">
        <v>4218</v>
      </c>
      <c r="E519" s="22" t="s">
        <v>4678</v>
      </c>
      <c r="F519" s="22" t="s">
        <v>4766</v>
      </c>
      <c r="G519" s="22" t="s">
        <v>727</v>
      </c>
      <c r="H519" s="63" t="n">
        <v>1.08</v>
      </c>
      <c r="I519" s="22" t="s">
        <v>112</v>
      </c>
      <c r="J519" s="22" t="s">
        <v>4102</v>
      </c>
      <c r="K519" s="63" t="n">
        <v>1.4364573175346</v>
      </c>
      <c r="L519" s="22" t="s">
        <v>2212</v>
      </c>
      <c r="M519" s="22" t="n">
        <v>15</v>
      </c>
      <c r="N519" s="22" t="s">
        <v>4767</v>
      </c>
    </row>
    <row r="520" customFormat="false" ht="15" hidden="false" customHeight="false" outlineLevel="0" collapsed="false">
      <c r="A520" s="22" t="s">
        <v>4768</v>
      </c>
      <c r="B520" s="22" t="s">
        <v>3765</v>
      </c>
      <c r="C520" s="22" t="s">
        <v>3431</v>
      </c>
      <c r="D520" s="22" t="s">
        <v>4218</v>
      </c>
      <c r="E520" s="22" t="s">
        <v>4678</v>
      </c>
      <c r="F520" s="22" t="s">
        <v>4769</v>
      </c>
      <c r="G520" s="22" t="s">
        <v>727</v>
      </c>
      <c r="H520" s="63" t="n">
        <v>1.36</v>
      </c>
      <c r="I520" s="22" t="s">
        <v>112</v>
      </c>
      <c r="J520" s="22" t="s">
        <v>4102</v>
      </c>
      <c r="K520" s="63" t="n">
        <v>1.80887217763616</v>
      </c>
      <c r="L520" s="22" t="s">
        <v>2212</v>
      </c>
      <c r="M520" s="22" t="n">
        <v>1</v>
      </c>
      <c r="N520" s="22" t="s">
        <v>4770</v>
      </c>
    </row>
    <row r="521" customFormat="false" ht="15" hidden="false" customHeight="false" outlineLevel="0" collapsed="false">
      <c r="A521" s="22" t="s">
        <v>4771</v>
      </c>
      <c r="B521" s="22" t="s">
        <v>3765</v>
      </c>
      <c r="C521" s="22" t="s">
        <v>3431</v>
      </c>
      <c r="D521" s="22" t="s">
        <v>4772</v>
      </c>
      <c r="E521" s="22" t="s">
        <v>4773</v>
      </c>
      <c r="F521" s="22" t="s">
        <v>4774</v>
      </c>
      <c r="G521" s="22" t="s">
        <v>727</v>
      </c>
      <c r="H521" s="63" t="n">
        <v>1431.66</v>
      </c>
      <c r="I521" s="22" t="s">
        <v>112</v>
      </c>
      <c r="J521" s="22"/>
      <c r="K521" s="63" t="n">
        <v>1904.18378076073</v>
      </c>
      <c r="L521" s="22" t="s">
        <v>2057</v>
      </c>
      <c r="M521" s="22" t="n">
        <v>7</v>
      </c>
      <c r="N521" s="22" t="s">
        <v>4775</v>
      </c>
    </row>
    <row r="522" customFormat="false" ht="15" hidden="false" customHeight="false" outlineLevel="0" collapsed="false">
      <c r="A522" s="22" t="s">
        <v>4776</v>
      </c>
      <c r="B522" s="22" t="s">
        <v>3765</v>
      </c>
      <c r="C522" s="22" t="s">
        <v>3431</v>
      </c>
      <c r="D522" s="22" t="s">
        <v>4772</v>
      </c>
      <c r="E522" s="22" t="s">
        <v>4773</v>
      </c>
      <c r="F522" s="22" t="s">
        <v>4777</v>
      </c>
      <c r="G522" s="22" t="s">
        <v>727</v>
      </c>
      <c r="H522" s="63" t="n">
        <v>224.7</v>
      </c>
      <c r="I522" s="22" t="s">
        <v>112</v>
      </c>
      <c r="J522" s="22"/>
      <c r="K522" s="63" t="n">
        <v>298.862925231505</v>
      </c>
      <c r="L522" s="22" t="s">
        <v>1961</v>
      </c>
      <c r="M522" s="22" t="n">
        <v>9</v>
      </c>
      <c r="N522" s="22" t="s">
        <v>4775</v>
      </c>
    </row>
    <row r="523" customFormat="false" ht="15" hidden="false" customHeight="false" outlineLevel="0" collapsed="false">
      <c r="A523" s="22" t="s">
        <v>4778</v>
      </c>
      <c r="B523" s="22" t="s">
        <v>3785</v>
      </c>
      <c r="C523" s="22" t="s">
        <v>3478</v>
      </c>
      <c r="D523" s="22" t="s">
        <v>4779</v>
      </c>
      <c r="E523" s="22" t="s">
        <v>4780</v>
      </c>
      <c r="F523" s="22" t="s">
        <v>4781</v>
      </c>
      <c r="G523" s="22" t="s">
        <v>4176</v>
      </c>
      <c r="H523" s="63" t="n">
        <v>2900</v>
      </c>
      <c r="I523" s="22" t="s">
        <v>601</v>
      </c>
      <c r="J523" s="22"/>
      <c r="K523" s="63" t="n">
        <v>1344.33644632338</v>
      </c>
      <c r="L523" s="22" t="s">
        <v>1787</v>
      </c>
      <c r="M523" s="22" t="n">
        <v>4</v>
      </c>
      <c r="N523" s="22" t="s">
        <v>4782</v>
      </c>
    </row>
    <row r="524" customFormat="false" ht="15" hidden="false" customHeight="false" outlineLevel="0" collapsed="false">
      <c r="A524" s="22" t="s">
        <v>4783</v>
      </c>
      <c r="B524" s="22" t="s">
        <v>3785</v>
      </c>
      <c r="C524" s="22" t="s">
        <v>3478</v>
      </c>
      <c r="D524" s="22" t="s">
        <v>4779</v>
      </c>
      <c r="E524" s="22" t="s">
        <v>4780</v>
      </c>
      <c r="F524" s="22" t="s">
        <v>4784</v>
      </c>
      <c r="G524" s="22" t="s">
        <v>4176</v>
      </c>
      <c r="H524" s="63" t="n">
        <v>11576</v>
      </c>
      <c r="I524" s="22" t="s">
        <v>601</v>
      </c>
      <c r="J524" s="22"/>
      <c r="K524" s="63" t="n">
        <v>5366.22024228944</v>
      </c>
      <c r="L524" s="22" t="s">
        <v>1787</v>
      </c>
      <c r="M524" s="22" t="n">
        <v>1</v>
      </c>
      <c r="N524" s="22" t="s">
        <v>4785</v>
      </c>
    </row>
    <row r="525" customFormat="false" ht="15" hidden="false" customHeight="false" outlineLevel="0" collapsed="false">
      <c r="A525" s="22" t="s">
        <v>4786</v>
      </c>
      <c r="B525" s="22" t="s">
        <v>3785</v>
      </c>
      <c r="C525" s="22" t="s">
        <v>3478</v>
      </c>
      <c r="D525" s="22" t="s">
        <v>4779</v>
      </c>
      <c r="E525" s="22" t="s">
        <v>4780</v>
      </c>
      <c r="F525" s="22" t="s">
        <v>4787</v>
      </c>
      <c r="G525" s="22" t="s">
        <v>4176</v>
      </c>
      <c r="H525" s="63" t="n">
        <v>9246</v>
      </c>
      <c r="I525" s="22" t="s">
        <v>601</v>
      </c>
      <c r="J525" s="22"/>
      <c r="K525" s="63" t="n">
        <v>4286.11544231239</v>
      </c>
      <c r="L525" s="22" t="s">
        <v>1787</v>
      </c>
      <c r="M525" s="22" t="n">
        <v>1</v>
      </c>
      <c r="N525" s="22" t="s">
        <v>4788</v>
      </c>
    </row>
    <row r="526" customFormat="false" ht="15" hidden="false" customHeight="false" outlineLevel="0" collapsed="false">
      <c r="A526" s="22" t="s">
        <v>4789</v>
      </c>
      <c r="B526" s="22" t="s">
        <v>3785</v>
      </c>
      <c r="C526" s="22" t="s">
        <v>3478</v>
      </c>
      <c r="D526" s="22" t="s">
        <v>4790</v>
      </c>
      <c r="E526" s="22" t="s">
        <v>3777</v>
      </c>
      <c r="F526" s="22" t="s">
        <v>4791</v>
      </c>
      <c r="G526" s="22" t="s">
        <v>727</v>
      </c>
      <c r="H526" s="63" t="n">
        <v>1300</v>
      </c>
      <c r="I526" s="22" t="s">
        <v>112</v>
      </c>
      <c r="J526" s="22"/>
      <c r="K526" s="63" t="n">
        <v>1729.06899332869</v>
      </c>
      <c r="L526" s="22" t="s">
        <v>2243</v>
      </c>
      <c r="M526" s="22" t="n">
        <v>1</v>
      </c>
      <c r="N526" s="22" t="s">
        <v>4792</v>
      </c>
    </row>
    <row r="527" customFormat="false" ht="15" hidden="false" customHeight="false" outlineLevel="0" collapsed="false">
      <c r="A527" s="22" t="s">
        <v>4793</v>
      </c>
      <c r="B527" s="22" t="s">
        <v>3785</v>
      </c>
      <c r="C527" s="22" t="s">
        <v>3478</v>
      </c>
      <c r="D527" s="22" t="s">
        <v>4790</v>
      </c>
      <c r="E527" s="22" t="s">
        <v>3777</v>
      </c>
      <c r="F527" s="22" t="s">
        <v>4794</v>
      </c>
      <c r="G527" s="22" t="s">
        <v>727</v>
      </c>
      <c r="H527" s="63" t="n">
        <v>800</v>
      </c>
      <c r="I527" s="22" t="s">
        <v>112</v>
      </c>
      <c r="J527" s="22"/>
      <c r="K527" s="63" t="n">
        <v>1064.04245743304</v>
      </c>
      <c r="L527" s="22" t="s">
        <v>2250</v>
      </c>
      <c r="M527" s="22" t="n">
        <v>1</v>
      </c>
      <c r="N527" s="22" t="s">
        <v>4792</v>
      </c>
    </row>
    <row r="528" customFormat="false" ht="15" hidden="false" customHeight="false" outlineLevel="0" collapsed="false">
      <c r="A528" s="22" t="s">
        <v>4795</v>
      </c>
      <c r="B528" s="22" t="s">
        <v>3785</v>
      </c>
      <c r="C528" s="22" t="s">
        <v>3478</v>
      </c>
      <c r="D528" s="22" t="s">
        <v>4796</v>
      </c>
      <c r="E528" s="22" t="s">
        <v>4031</v>
      </c>
      <c r="F528" s="22" t="s">
        <v>4797</v>
      </c>
      <c r="G528" s="22" t="s">
        <v>727</v>
      </c>
      <c r="H528" s="63" t="n">
        <v>6930</v>
      </c>
      <c r="I528" s="22" t="s">
        <v>601</v>
      </c>
      <c r="J528" s="22"/>
      <c r="K528" s="63" t="n">
        <v>3275.50383351588</v>
      </c>
      <c r="L528" s="22" t="s">
        <v>2022</v>
      </c>
      <c r="M528" s="22" t="n">
        <v>1</v>
      </c>
      <c r="N528" s="22" t="s">
        <v>4798</v>
      </c>
    </row>
    <row r="529" customFormat="false" ht="15" hidden="false" customHeight="false" outlineLevel="0" collapsed="false">
      <c r="A529" s="22" t="s">
        <v>4799</v>
      </c>
      <c r="B529" s="22" t="s">
        <v>3785</v>
      </c>
      <c r="C529" s="22" t="s">
        <v>3478</v>
      </c>
      <c r="D529" s="22" t="s">
        <v>4796</v>
      </c>
      <c r="E529" s="22" t="s">
        <v>4031</v>
      </c>
      <c r="F529" s="22" t="s">
        <v>4800</v>
      </c>
      <c r="G529" s="22" t="s">
        <v>727</v>
      </c>
      <c r="H529" s="63" t="n">
        <v>8</v>
      </c>
      <c r="I529" s="22" t="s">
        <v>601</v>
      </c>
      <c r="J529" s="22"/>
      <c r="K529" s="63" t="n">
        <v>3.78124540665614</v>
      </c>
      <c r="L529" s="22" t="s">
        <v>1829</v>
      </c>
      <c r="M529" s="22" t="n">
        <v>9</v>
      </c>
      <c r="N529" s="22" t="s">
        <v>4798</v>
      </c>
    </row>
    <row r="530" customFormat="false" ht="15" hidden="false" customHeight="false" outlineLevel="0" collapsed="false">
      <c r="A530" s="22" t="s">
        <v>4801</v>
      </c>
      <c r="B530" s="22" t="s">
        <v>3785</v>
      </c>
      <c r="C530" s="22" t="s">
        <v>3478</v>
      </c>
      <c r="D530" s="22" t="s">
        <v>4796</v>
      </c>
      <c r="E530" s="22" t="s">
        <v>4031</v>
      </c>
      <c r="F530" s="22" t="s">
        <v>4802</v>
      </c>
      <c r="G530" s="22" t="s">
        <v>727</v>
      </c>
      <c r="H530" s="63" t="n">
        <v>280.5</v>
      </c>
      <c r="I530" s="22" t="s">
        <v>601</v>
      </c>
      <c r="J530" s="22"/>
      <c r="K530" s="63" t="n">
        <v>132.579917070881</v>
      </c>
      <c r="L530" s="22" t="s">
        <v>1829</v>
      </c>
      <c r="M530" s="22" t="n">
        <v>1</v>
      </c>
      <c r="N530" s="22" t="s">
        <v>4798</v>
      </c>
    </row>
    <row r="531" customFormat="false" ht="15" hidden="false" customHeight="false" outlineLevel="0" collapsed="false">
      <c r="A531" s="22" t="s">
        <v>4803</v>
      </c>
      <c r="B531" s="22" t="s">
        <v>3785</v>
      </c>
      <c r="C531" s="22" t="s">
        <v>3478</v>
      </c>
      <c r="D531" s="22" t="s">
        <v>4796</v>
      </c>
      <c r="E531" s="22" t="s">
        <v>4031</v>
      </c>
      <c r="F531" s="22" t="s">
        <v>4804</v>
      </c>
      <c r="G531" s="22" t="s">
        <v>727</v>
      </c>
      <c r="H531" s="63" t="n">
        <v>814</v>
      </c>
      <c r="I531" s="22" t="s">
        <v>601</v>
      </c>
      <c r="J531" s="22"/>
      <c r="K531" s="63" t="n">
        <v>384.741720127262</v>
      </c>
      <c r="L531" s="22" t="s">
        <v>1845</v>
      </c>
      <c r="M531" s="22" t="n">
        <v>1</v>
      </c>
      <c r="N531" s="22" t="s">
        <v>4798</v>
      </c>
    </row>
    <row r="532" customFormat="false" ht="15" hidden="false" customHeight="false" outlineLevel="0" collapsed="false">
      <c r="A532" s="22" t="s">
        <v>4805</v>
      </c>
      <c r="B532" s="22" t="s">
        <v>4806</v>
      </c>
      <c r="C532" s="22" t="s">
        <v>3431</v>
      </c>
      <c r="D532" s="22" t="s">
        <v>4807</v>
      </c>
      <c r="E532" s="22" t="s">
        <v>4808</v>
      </c>
      <c r="F532" s="22" t="s">
        <v>4809</v>
      </c>
      <c r="G532" s="22" t="s">
        <v>4810</v>
      </c>
      <c r="H532" s="63" t="n">
        <v>12500</v>
      </c>
      <c r="I532" s="22" t="s">
        <v>112</v>
      </c>
      <c r="J532" s="22" t="s">
        <v>4226</v>
      </c>
      <c r="K532" s="63" t="n">
        <v>14000.6320224719</v>
      </c>
      <c r="L532" s="22" t="s">
        <v>1858</v>
      </c>
      <c r="M532" s="22" t="n">
        <v>1</v>
      </c>
      <c r="N532" s="22" t="s">
        <v>4811</v>
      </c>
    </row>
    <row r="533" customFormat="false" ht="15" hidden="false" customHeight="false" outlineLevel="0" collapsed="false">
      <c r="A533" s="22" t="s">
        <v>4812</v>
      </c>
      <c r="B533" s="22" t="s">
        <v>4806</v>
      </c>
      <c r="C533" s="22" t="s">
        <v>3431</v>
      </c>
      <c r="D533" s="22" t="s">
        <v>4807</v>
      </c>
      <c r="E533" s="22" t="s">
        <v>4808</v>
      </c>
      <c r="F533" s="22" t="s">
        <v>4813</v>
      </c>
      <c r="G533" s="22" t="s">
        <v>727</v>
      </c>
      <c r="H533" s="63" t="n">
        <v>2433.85</v>
      </c>
      <c r="I533" s="22" t="s">
        <v>112</v>
      </c>
      <c r="J533" s="22" t="s">
        <v>4102</v>
      </c>
      <c r="K533" s="63" t="n">
        <v>2726.03505983146</v>
      </c>
      <c r="L533" s="22" t="s">
        <v>2243</v>
      </c>
      <c r="M533" s="22" t="n">
        <v>1</v>
      </c>
      <c r="N533" s="22" t="s">
        <v>4814</v>
      </c>
    </row>
    <row r="534" customFormat="false" ht="15" hidden="false" customHeight="false" outlineLevel="0" collapsed="false">
      <c r="A534" s="22" t="s">
        <v>4815</v>
      </c>
      <c r="B534" s="22" t="s">
        <v>4806</v>
      </c>
      <c r="C534" s="22" t="s">
        <v>3431</v>
      </c>
      <c r="D534" s="22" t="s">
        <v>4807</v>
      </c>
      <c r="E534" s="22" t="s">
        <v>4808</v>
      </c>
      <c r="F534" s="22" t="s">
        <v>4816</v>
      </c>
      <c r="G534" s="22" t="s">
        <v>727</v>
      </c>
      <c r="H534" s="63" t="n">
        <v>2207.04</v>
      </c>
      <c r="I534" s="22" t="s">
        <v>112</v>
      </c>
      <c r="J534" s="22" t="s">
        <v>4102</v>
      </c>
      <c r="K534" s="63" t="n">
        <v>2471.99639191011</v>
      </c>
      <c r="L534" s="22" t="s">
        <v>2250</v>
      </c>
      <c r="M534" s="22" t="n">
        <v>1</v>
      </c>
      <c r="N534" s="22" t="s">
        <v>4817</v>
      </c>
    </row>
    <row r="535" customFormat="false" ht="15" hidden="false" customHeight="false" outlineLevel="0" collapsed="false">
      <c r="A535" s="22" t="s">
        <v>4818</v>
      </c>
      <c r="B535" s="22" t="s">
        <v>4806</v>
      </c>
      <c r="C535" s="22" t="s">
        <v>3431</v>
      </c>
      <c r="D535" s="22" t="s">
        <v>4819</v>
      </c>
      <c r="E535" s="22" t="s">
        <v>4808</v>
      </c>
      <c r="F535" s="22" t="s">
        <v>4820</v>
      </c>
      <c r="G535" s="22" t="s">
        <v>727</v>
      </c>
      <c r="H535" s="63" t="n">
        <v>142.6</v>
      </c>
      <c r="I535" s="22" t="s">
        <v>112</v>
      </c>
      <c r="J535" s="22"/>
      <c r="K535" s="63" t="n">
        <v>159.71921011236</v>
      </c>
      <c r="L535" s="22" t="s">
        <v>1673</v>
      </c>
      <c r="M535" s="22" t="n">
        <v>8</v>
      </c>
      <c r="N535" s="22" t="s">
        <v>4821</v>
      </c>
    </row>
    <row r="536" customFormat="false" ht="15" hidden="false" customHeight="false" outlineLevel="0" collapsed="false">
      <c r="A536" s="22" t="s">
        <v>4822</v>
      </c>
      <c r="B536" s="22" t="s">
        <v>4806</v>
      </c>
      <c r="C536" s="22" t="s">
        <v>3431</v>
      </c>
      <c r="D536" s="22" t="s">
        <v>4819</v>
      </c>
      <c r="E536" s="22" t="s">
        <v>4808</v>
      </c>
      <c r="F536" s="22" t="s">
        <v>4823</v>
      </c>
      <c r="G536" s="22" t="s">
        <v>727</v>
      </c>
      <c r="H536" s="63" t="n">
        <v>954.5</v>
      </c>
      <c r="I536" s="22" t="s">
        <v>112</v>
      </c>
      <c r="J536" s="22"/>
      <c r="K536" s="63" t="n">
        <v>1069.08826123596</v>
      </c>
      <c r="L536" s="22" t="s">
        <v>1787</v>
      </c>
      <c r="M536" s="22" t="n">
        <v>6</v>
      </c>
      <c r="N536" s="22" t="s">
        <v>4821</v>
      </c>
    </row>
    <row r="537" customFormat="false" ht="15" hidden="false" customHeight="false" outlineLevel="0" collapsed="false">
      <c r="A537" s="22" t="s">
        <v>4824</v>
      </c>
      <c r="B537" s="22" t="s">
        <v>4806</v>
      </c>
      <c r="C537" s="22" t="s">
        <v>3431</v>
      </c>
      <c r="D537" s="22" t="s">
        <v>4819</v>
      </c>
      <c r="E537" s="22" t="s">
        <v>4808</v>
      </c>
      <c r="F537" s="22" t="s">
        <v>4825</v>
      </c>
      <c r="G537" s="22" t="s">
        <v>727</v>
      </c>
      <c r="H537" s="63" t="n">
        <v>69</v>
      </c>
      <c r="I537" s="22" t="s">
        <v>112</v>
      </c>
      <c r="J537" s="22"/>
      <c r="K537" s="63" t="n">
        <v>77.283488764045</v>
      </c>
      <c r="L537" s="22" t="s">
        <v>1673</v>
      </c>
      <c r="M537" s="22" t="n">
        <v>6</v>
      </c>
      <c r="N537" s="22" t="s">
        <v>4821</v>
      </c>
    </row>
    <row r="538" customFormat="false" ht="15" hidden="false" customHeight="false" outlineLevel="0" collapsed="false">
      <c r="A538" s="22" t="s">
        <v>4826</v>
      </c>
      <c r="B538" s="22" t="s">
        <v>4806</v>
      </c>
      <c r="C538" s="22" t="s">
        <v>3431</v>
      </c>
      <c r="D538" s="22" t="s">
        <v>4819</v>
      </c>
      <c r="E538" s="22" t="s">
        <v>4808</v>
      </c>
      <c r="F538" s="22" t="s">
        <v>4827</v>
      </c>
      <c r="G538" s="22" t="s">
        <v>727</v>
      </c>
      <c r="H538" s="63" t="n">
        <v>3.45</v>
      </c>
      <c r="I538" s="22" t="s">
        <v>112</v>
      </c>
      <c r="J538" s="22"/>
      <c r="K538" s="63" t="n">
        <v>3.86417443820225</v>
      </c>
      <c r="L538" s="22" t="s">
        <v>1673</v>
      </c>
      <c r="M538" s="22" t="n">
        <v>6</v>
      </c>
      <c r="N538" s="22" t="s">
        <v>4821</v>
      </c>
    </row>
    <row r="539" customFormat="false" ht="15" hidden="false" customHeight="false" outlineLevel="0" collapsed="false">
      <c r="A539" s="22" t="s">
        <v>4828</v>
      </c>
      <c r="B539" s="22" t="s">
        <v>4806</v>
      </c>
      <c r="C539" s="22" t="s">
        <v>3431</v>
      </c>
      <c r="D539" s="22" t="s">
        <v>4819</v>
      </c>
      <c r="E539" s="22" t="s">
        <v>4808</v>
      </c>
      <c r="F539" s="22" t="s">
        <v>4829</v>
      </c>
      <c r="G539" s="22" t="s">
        <v>727</v>
      </c>
      <c r="H539" s="63" t="n">
        <v>187.795</v>
      </c>
      <c r="I539" s="22" t="s">
        <v>112</v>
      </c>
      <c r="J539" s="22"/>
      <c r="K539" s="63" t="n">
        <v>210.339895252809</v>
      </c>
      <c r="L539" s="22" t="s">
        <v>4254</v>
      </c>
      <c r="M539" s="22" t="n">
        <v>2</v>
      </c>
      <c r="N539" s="22" t="s">
        <v>4830</v>
      </c>
    </row>
    <row r="540" customFormat="false" ht="15" hidden="false" customHeight="false" outlineLevel="0" collapsed="false">
      <c r="A540" s="22" t="s">
        <v>4831</v>
      </c>
      <c r="B540" s="22" t="s">
        <v>4806</v>
      </c>
      <c r="C540" s="22" t="s">
        <v>3431</v>
      </c>
      <c r="D540" s="22" t="s">
        <v>4819</v>
      </c>
      <c r="E540" s="22" t="s">
        <v>4808</v>
      </c>
      <c r="F540" s="22" t="s">
        <v>4832</v>
      </c>
      <c r="G540" s="22" t="s">
        <v>727</v>
      </c>
      <c r="H540" s="63" t="n">
        <v>6348</v>
      </c>
      <c r="I540" s="22" t="s">
        <v>112</v>
      </c>
      <c r="J540" s="22"/>
      <c r="K540" s="63" t="n">
        <v>7110.08096629214</v>
      </c>
      <c r="L540" s="22" t="s">
        <v>1845</v>
      </c>
      <c r="M540" s="22" t="n">
        <v>1</v>
      </c>
      <c r="N540" s="22" t="s">
        <v>4830</v>
      </c>
    </row>
    <row r="541" customFormat="false" ht="15" hidden="false" customHeight="false" outlineLevel="0" collapsed="false">
      <c r="A541" s="22" t="s">
        <v>4833</v>
      </c>
      <c r="B541" s="22" t="s">
        <v>4806</v>
      </c>
      <c r="C541" s="22" t="s">
        <v>3431</v>
      </c>
      <c r="D541" s="22" t="s">
        <v>4819</v>
      </c>
      <c r="E541" s="22" t="s">
        <v>4808</v>
      </c>
      <c r="F541" s="22" t="s">
        <v>4834</v>
      </c>
      <c r="G541" s="22" t="s">
        <v>727</v>
      </c>
      <c r="H541" s="63" t="n">
        <v>670.5075</v>
      </c>
      <c r="I541" s="22" t="s">
        <v>112</v>
      </c>
      <c r="J541" s="22"/>
      <c r="K541" s="63" t="n">
        <v>751.002302064607</v>
      </c>
      <c r="L541" s="22" t="s">
        <v>1810</v>
      </c>
      <c r="M541" s="22" t="n">
        <v>6</v>
      </c>
      <c r="N541" s="22" t="s">
        <v>4830</v>
      </c>
    </row>
    <row r="542" customFormat="false" ht="15" hidden="false" customHeight="false" outlineLevel="0" collapsed="false">
      <c r="A542" s="22" t="s">
        <v>4835</v>
      </c>
      <c r="B542" s="22" t="s">
        <v>4806</v>
      </c>
      <c r="C542" s="22" t="s">
        <v>3431</v>
      </c>
      <c r="D542" s="22" t="s">
        <v>4819</v>
      </c>
      <c r="E542" s="22" t="s">
        <v>4808</v>
      </c>
      <c r="F542" s="22" t="s">
        <v>4836</v>
      </c>
      <c r="G542" s="22" t="s">
        <v>727</v>
      </c>
      <c r="H542" s="63" t="n">
        <v>1.61</v>
      </c>
      <c r="I542" s="22" t="s">
        <v>112</v>
      </c>
      <c r="J542" s="22"/>
      <c r="K542" s="63" t="n">
        <v>1.80328140449438</v>
      </c>
      <c r="L542" s="22" t="s">
        <v>4254</v>
      </c>
      <c r="M542" s="22" t="n">
        <v>8</v>
      </c>
      <c r="N542" s="22" t="s">
        <v>4830</v>
      </c>
    </row>
    <row r="543" customFormat="false" ht="15" hidden="false" customHeight="false" outlineLevel="0" collapsed="false">
      <c r="A543" s="22" t="s">
        <v>4837</v>
      </c>
      <c r="B543" s="22" t="s">
        <v>4806</v>
      </c>
      <c r="C543" s="22" t="s">
        <v>3431</v>
      </c>
      <c r="D543" s="22" t="s">
        <v>4819</v>
      </c>
      <c r="E543" s="22" t="s">
        <v>4808</v>
      </c>
      <c r="F543" s="22" t="s">
        <v>4838</v>
      </c>
      <c r="G543" s="22" t="s">
        <v>727</v>
      </c>
      <c r="H543" s="63" t="n">
        <v>1.725</v>
      </c>
      <c r="I543" s="22" t="s">
        <v>112</v>
      </c>
      <c r="J543" s="22"/>
      <c r="K543" s="63" t="n">
        <v>1.93208721910112</v>
      </c>
      <c r="L543" s="22" t="s">
        <v>4254</v>
      </c>
      <c r="M543" s="22" t="n">
        <v>6</v>
      </c>
      <c r="N543" s="22" t="s">
        <v>4830</v>
      </c>
    </row>
    <row r="544" customFormat="false" ht="15" hidden="false" customHeight="false" outlineLevel="0" collapsed="false">
      <c r="A544" s="22" t="s">
        <v>4839</v>
      </c>
      <c r="B544" s="22" t="s">
        <v>4806</v>
      </c>
      <c r="C544" s="22" t="s">
        <v>3431</v>
      </c>
      <c r="D544" s="22" t="s">
        <v>4819</v>
      </c>
      <c r="E544" s="22" t="s">
        <v>4808</v>
      </c>
      <c r="F544" s="22" t="s">
        <v>4840</v>
      </c>
      <c r="G544" s="22" t="s">
        <v>4841</v>
      </c>
      <c r="H544" s="63" t="n">
        <v>20</v>
      </c>
      <c r="I544" s="22" t="s">
        <v>112</v>
      </c>
      <c r="J544" s="22"/>
      <c r="K544" s="63" t="n">
        <v>22.4010112359551</v>
      </c>
      <c r="L544" s="22" t="s">
        <v>1905</v>
      </c>
      <c r="M544" s="22" t="n">
        <v>1</v>
      </c>
      <c r="N544" s="22" t="s">
        <v>4842</v>
      </c>
    </row>
    <row r="545" customFormat="false" ht="15" hidden="false" customHeight="false" outlineLevel="0" collapsed="false">
      <c r="A545" s="22" t="s">
        <v>4843</v>
      </c>
      <c r="B545" s="22" t="s">
        <v>4806</v>
      </c>
      <c r="C545" s="22" t="s">
        <v>3431</v>
      </c>
      <c r="D545" s="22" t="s">
        <v>4819</v>
      </c>
      <c r="E545" s="22" t="s">
        <v>4808</v>
      </c>
      <c r="F545" s="22" t="s">
        <v>4844</v>
      </c>
      <c r="G545" s="22" t="s">
        <v>4841</v>
      </c>
      <c r="H545" s="63" t="n">
        <v>98</v>
      </c>
      <c r="I545" s="22" t="s">
        <v>112</v>
      </c>
      <c r="J545" s="22"/>
      <c r="K545" s="63" t="n">
        <v>109.76495505618</v>
      </c>
      <c r="L545" s="22" t="s">
        <v>1905</v>
      </c>
      <c r="M545" s="22" t="n">
        <v>6</v>
      </c>
      <c r="N545" s="22" t="s">
        <v>4842</v>
      </c>
    </row>
    <row r="546" customFormat="false" ht="15" hidden="false" customHeight="false" outlineLevel="0" collapsed="false">
      <c r="A546" s="22" t="s">
        <v>4845</v>
      </c>
      <c r="B546" s="22" t="s">
        <v>4806</v>
      </c>
      <c r="C546" s="22" t="s">
        <v>3431</v>
      </c>
      <c r="D546" s="22" t="s">
        <v>4819</v>
      </c>
      <c r="E546" s="22" t="s">
        <v>4808</v>
      </c>
      <c r="F546" s="22" t="s">
        <v>4846</v>
      </c>
      <c r="G546" s="22" t="s">
        <v>4841</v>
      </c>
      <c r="H546" s="63" t="n">
        <v>23.59</v>
      </c>
      <c r="I546" s="22" t="s">
        <v>112</v>
      </c>
      <c r="J546" s="22"/>
      <c r="K546" s="63" t="n">
        <v>26.421992752809</v>
      </c>
      <c r="L546" s="22" t="s">
        <v>4121</v>
      </c>
      <c r="M546" s="22" t="n">
        <v>7</v>
      </c>
      <c r="N546" s="22" t="s">
        <v>4842</v>
      </c>
    </row>
    <row r="547" customFormat="false" ht="15" hidden="false" customHeight="false" outlineLevel="0" collapsed="false">
      <c r="A547" s="22" t="s">
        <v>4847</v>
      </c>
      <c r="B547" s="22" t="s">
        <v>4806</v>
      </c>
      <c r="C547" s="22" t="s">
        <v>3431</v>
      </c>
      <c r="D547" s="22" t="s">
        <v>4819</v>
      </c>
      <c r="E547" s="22" t="s">
        <v>4808</v>
      </c>
      <c r="F547" s="22" t="s">
        <v>4848</v>
      </c>
      <c r="G547" s="22" t="s">
        <v>4841</v>
      </c>
      <c r="H547" s="63" t="n">
        <v>441.39</v>
      </c>
      <c r="I547" s="22" t="s">
        <v>112</v>
      </c>
      <c r="J547" s="22"/>
      <c r="K547" s="63" t="n">
        <v>494.37911747191</v>
      </c>
      <c r="L547" s="22" t="s">
        <v>1946</v>
      </c>
      <c r="M547" s="22" t="n">
        <v>6</v>
      </c>
      <c r="N547" s="22" t="s">
        <v>4842</v>
      </c>
    </row>
    <row r="548" customFormat="false" ht="15" hidden="false" customHeight="false" outlineLevel="0" collapsed="false">
      <c r="A548" s="22" t="s">
        <v>4849</v>
      </c>
      <c r="B548" s="22" t="s">
        <v>4806</v>
      </c>
      <c r="C548" s="22" t="s">
        <v>3431</v>
      </c>
      <c r="D548" s="22" t="s">
        <v>4819</v>
      </c>
      <c r="E548" s="22" t="s">
        <v>4808</v>
      </c>
      <c r="F548" s="22" t="s">
        <v>4850</v>
      </c>
      <c r="G548" s="22" t="s">
        <v>4841</v>
      </c>
      <c r="H548" s="63" t="n">
        <v>1572.25</v>
      </c>
      <c r="I548" s="22" t="s">
        <v>112</v>
      </c>
      <c r="J548" s="22"/>
      <c r="K548" s="63" t="n">
        <v>1760.99949578652</v>
      </c>
      <c r="L548" s="22" t="s">
        <v>4121</v>
      </c>
      <c r="M548" s="22" t="n">
        <v>2</v>
      </c>
      <c r="N548" s="22" t="s">
        <v>4842</v>
      </c>
    </row>
    <row r="549" customFormat="false" ht="15" hidden="false" customHeight="false" outlineLevel="0" collapsed="false">
      <c r="A549" s="22" t="s">
        <v>4851</v>
      </c>
      <c r="B549" s="22" t="s">
        <v>4806</v>
      </c>
      <c r="C549" s="22" t="s">
        <v>3431</v>
      </c>
      <c r="D549" s="22" t="s">
        <v>4819</v>
      </c>
      <c r="E549" s="22" t="s">
        <v>4808</v>
      </c>
      <c r="F549" s="22" t="s">
        <v>4852</v>
      </c>
      <c r="G549" s="22" t="s">
        <v>4853</v>
      </c>
      <c r="H549" s="63" t="n">
        <v>7828</v>
      </c>
      <c r="I549" s="22" t="s">
        <v>112</v>
      </c>
      <c r="J549" s="22"/>
      <c r="K549" s="63" t="n">
        <v>8767.75579775281</v>
      </c>
      <c r="L549" s="22" t="s">
        <v>1905</v>
      </c>
      <c r="M549" s="22" t="n">
        <v>1</v>
      </c>
      <c r="N549" s="22" t="s">
        <v>4854</v>
      </c>
    </row>
    <row r="550" customFormat="false" ht="15" hidden="false" customHeight="false" outlineLevel="0" collapsed="false">
      <c r="A550" s="22" t="s">
        <v>4855</v>
      </c>
      <c r="B550" s="22" t="s">
        <v>4806</v>
      </c>
      <c r="C550" s="22" t="s">
        <v>3431</v>
      </c>
      <c r="D550" s="22" t="s">
        <v>4819</v>
      </c>
      <c r="E550" s="22" t="s">
        <v>4808</v>
      </c>
      <c r="F550" s="22" t="s">
        <v>4856</v>
      </c>
      <c r="G550" s="22" t="s">
        <v>4857</v>
      </c>
      <c r="H550" s="63" t="n">
        <v>1.27</v>
      </c>
      <c r="I550" s="22" t="s">
        <v>112</v>
      </c>
      <c r="J550" s="22"/>
      <c r="K550" s="63" t="n">
        <v>1.42246421348315</v>
      </c>
      <c r="L550" s="22" t="s">
        <v>1905</v>
      </c>
      <c r="M550" s="22" t="n">
        <v>20</v>
      </c>
      <c r="N550" s="22" t="s">
        <v>4842</v>
      </c>
    </row>
    <row r="551" customFormat="false" ht="15" hidden="false" customHeight="false" outlineLevel="0" collapsed="false">
      <c r="A551" s="22" t="s">
        <v>4858</v>
      </c>
      <c r="B551" s="22" t="s">
        <v>4806</v>
      </c>
      <c r="C551" s="22" t="s">
        <v>3431</v>
      </c>
      <c r="D551" s="22" t="s">
        <v>4819</v>
      </c>
      <c r="E551" s="22" t="s">
        <v>4808</v>
      </c>
      <c r="F551" s="22" t="s">
        <v>4859</v>
      </c>
      <c r="G551" s="22" t="s">
        <v>4857</v>
      </c>
      <c r="H551" s="63" t="n">
        <v>1.03</v>
      </c>
      <c r="I551" s="22" t="s">
        <v>112</v>
      </c>
      <c r="J551" s="22"/>
      <c r="K551" s="63" t="n">
        <v>1.15365207865169</v>
      </c>
      <c r="L551" s="22" t="s">
        <v>1905</v>
      </c>
      <c r="M551" s="22" t="n">
        <v>7</v>
      </c>
      <c r="N551" s="22" t="s">
        <v>4842</v>
      </c>
    </row>
    <row r="552" customFormat="false" ht="15" hidden="false" customHeight="false" outlineLevel="0" collapsed="false">
      <c r="A552" s="22" t="s">
        <v>4860</v>
      </c>
      <c r="B552" s="22" t="s">
        <v>4806</v>
      </c>
      <c r="C552" s="22" t="s">
        <v>3431</v>
      </c>
      <c r="D552" s="22" t="s">
        <v>4819</v>
      </c>
      <c r="E552" s="22" t="s">
        <v>4808</v>
      </c>
      <c r="F552" s="22" t="s">
        <v>4861</v>
      </c>
      <c r="G552" s="22" t="s">
        <v>4857</v>
      </c>
      <c r="H552" s="63" t="n">
        <v>1.55</v>
      </c>
      <c r="I552" s="22" t="s">
        <v>112</v>
      </c>
      <c r="J552" s="22"/>
      <c r="K552" s="63" t="n">
        <v>1.73607837078652</v>
      </c>
      <c r="L552" s="22" t="s">
        <v>1905</v>
      </c>
      <c r="M552" s="22" t="n">
        <v>1</v>
      </c>
      <c r="N552" s="22" t="s">
        <v>4842</v>
      </c>
    </row>
    <row r="553" customFormat="false" ht="15" hidden="false" customHeight="false" outlineLevel="0" collapsed="false">
      <c r="A553" s="22" t="s">
        <v>4862</v>
      </c>
      <c r="B553" s="22" t="s">
        <v>4806</v>
      </c>
      <c r="C553" s="22" t="s">
        <v>3431</v>
      </c>
      <c r="D553" s="22" t="s">
        <v>4819</v>
      </c>
      <c r="E553" s="22" t="s">
        <v>4808</v>
      </c>
      <c r="F553" s="22" t="s">
        <v>4863</v>
      </c>
      <c r="G553" s="22" t="s">
        <v>4841</v>
      </c>
      <c r="H553" s="63" t="n">
        <v>103.42</v>
      </c>
      <c r="I553" s="22" t="s">
        <v>112</v>
      </c>
      <c r="J553" s="22"/>
      <c r="K553" s="63" t="n">
        <v>115.835629101124</v>
      </c>
      <c r="L553" s="22" t="s">
        <v>2096</v>
      </c>
      <c r="M553" s="22" t="n">
        <v>7</v>
      </c>
      <c r="N553" s="22" t="s">
        <v>4864</v>
      </c>
    </row>
    <row r="554" customFormat="false" ht="15" hidden="false" customHeight="false" outlineLevel="0" collapsed="false">
      <c r="A554" s="22" t="s">
        <v>4865</v>
      </c>
      <c r="B554" s="22" t="s">
        <v>4806</v>
      </c>
      <c r="C554" s="22" t="s">
        <v>3431</v>
      </c>
      <c r="D554" s="22" t="s">
        <v>4819</v>
      </c>
      <c r="E554" s="22" t="s">
        <v>4808</v>
      </c>
      <c r="F554" s="22" t="s">
        <v>4866</v>
      </c>
      <c r="G554" s="22" t="s">
        <v>4841</v>
      </c>
      <c r="H554" s="63" t="n">
        <v>65</v>
      </c>
      <c r="I554" s="22" t="s">
        <v>112</v>
      </c>
      <c r="J554" s="22"/>
      <c r="K554" s="63" t="n">
        <v>72.8032865168539</v>
      </c>
      <c r="L554" s="22" t="s">
        <v>2096</v>
      </c>
      <c r="M554" s="22" t="n">
        <v>7</v>
      </c>
      <c r="N554" s="22" t="s">
        <v>4864</v>
      </c>
    </row>
    <row r="555" customFormat="false" ht="15" hidden="false" customHeight="false" outlineLevel="0" collapsed="false">
      <c r="A555" s="22" t="s">
        <v>4867</v>
      </c>
      <c r="B555" s="22" t="s">
        <v>4806</v>
      </c>
      <c r="C555" s="22" t="s">
        <v>3431</v>
      </c>
      <c r="D555" s="22" t="s">
        <v>4819</v>
      </c>
      <c r="E555" s="22" t="s">
        <v>4808</v>
      </c>
      <c r="F555" s="22" t="s">
        <v>4868</v>
      </c>
      <c r="G555" s="22" t="s">
        <v>4841</v>
      </c>
      <c r="H555" s="63" t="n">
        <v>525</v>
      </c>
      <c r="I555" s="22" t="s">
        <v>112</v>
      </c>
      <c r="J555" s="22"/>
      <c r="K555" s="63" t="n">
        <v>588.02654494382</v>
      </c>
      <c r="L555" s="22" t="s">
        <v>4282</v>
      </c>
      <c r="M555" s="22" t="n">
        <v>6</v>
      </c>
      <c r="N555" s="22" t="s">
        <v>4864</v>
      </c>
    </row>
    <row r="556" customFormat="false" ht="15" hidden="false" customHeight="false" outlineLevel="0" collapsed="false">
      <c r="A556" s="22" t="s">
        <v>4869</v>
      </c>
      <c r="B556" s="22" t="s">
        <v>4806</v>
      </c>
      <c r="C556" s="22" t="s">
        <v>3431</v>
      </c>
      <c r="D556" s="22" t="s">
        <v>4819</v>
      </c>
      <c r="E556" s="22" t="s">
        <v>4808</v>
      </c>
      <c r="F556" s="22" t="s">
        <v>4870</v>
      </c>
      <c r="G556" s="22" t="s">
        <v>4841</v>
      </c>
      <c r="H556" s="63" t="n">
        <v>4500</v>
      </c>
      <c r="I556" s="22" t="s">
        <v>112</v>
      </c>
      <c r="J556" s="22"/>
      <c r="K556" s="63" t="n">
        <v>5040.22752808989</v>
      </c>
      <c r="L556" s="22" t="s">
        <v>2141</v>
      </c>
      <c r="M556" s="22" t="n">
        <v>1</v>
      </c>
      <c r="N556" s="22" t="s">
        <v>4864</v>
      </c>
    </row>
    <row r="557" customFormat="false" ht="15" hidden="false" customHeight="false" outlineLevel="0" collapsed="false">
      <c r="A557" s="22" t="s">
        <v>4871</v>
      </c>
      <c r="B557" s="22" t="s">
        <v>4806</v>
      </c>
      <c r="C557" s="22" t="s">
        <v>3431</v>
      </c>
      <c r="D557" s="22" t="s">
        <v>4819</v>
      </c>
      <c r="E557" s="22" t="s">
        <v>4808</v>
      </c>
      <c r="F557" s="22" t="s">
        <v>4872</v>
      </c>
      <c r="G557" s="22" t="s">
        <v>4857</v>
      </c>
      <c r="H557" s="63" t="n">
        <v>2.25</v>
      </c>
      <c r="I557" s="22" t="s">
        <v>112</v>
      </c>
      <c r="J557" s="22"/>
      <c r="K557" s="63" t="n">
        <v>2.52011376404494</v>
      </c>
      <c r="L557" s="22" t="s">
        <v>4282</v>
      </c>
      <c r="M557" s="22" t="n">
        <v>7</v>
      </c>
      <c r="N557" s="22" t="s">
        <v>4864</v>
      </c>
    </row>
    <row r="558" customFormat="false" ht="15" hidden="false" customHeight="false" outlineLevel="0" collapsed="false">
      <c r="A558" s="22" t="s">
        <v>4873</v>
      </c>
      <c r="B558" s="22" t="s">
        <v>4806</v>
      </c>
      <c r="C558" s="22" t="s">
        <v>3431</v>
      </c>
      <c r="D558" s="22" t="s">
        <v>4819</v>
      </c>
      <c r="E558" s="22" t="s">
        <v>4808</v>
      </c>
      <c r="F558" s="22" t="s">
        <v>4874</v>
      </c>
      <c r="G558" s="22" t="s">
        <v>4857</v>
      </c>
      <c r="H558" s="63" t="n">
        <v>0.18</v>
      </c>
      <c r="I558" s="22" t="s">
        <v>112</v>
      </c>
      <c r="J558" s="22"/>
      <c r="K558" s="63" t="n">
        <v>0.201609101123595</v>
      </c>
      <c r="L558" s="22" t="s">
        <v>4282</v>
      </c>
      <c r="M558" s="22" t="n">
        <v>7</v>
      </c>
      <c r="N558" s="22" t="s">
        <v>4864</v>
      </c>
    </row>
    <row r="559" customFormat="false" ht="15" hidden="false" customHeight="false" outlineLevel="0" collapsed="false">
      <c r="A559" s="22" t="s">
        <v>4875</v>
      </c>
      <c r="B559" s="22" t="s">
        <v>4806</v>
      </c>
      <c r="C559" s="22" t="s">
        <v>3431</v>
      </c>
      <c r="D559" s="22" t="s">
        <v>4819</v>
      </c>
      <c r="E559" s="22" t="s">
        <v>4808</v>
      </c>
      <c r="F559" s="22" t="s">
        <v>4876</v>
      </c>
      <c r="G559" s="22" t="s">
        <v>4857</v>
      </c>
      <c r="H559" s="63" t="n">
        <v>1.16</v>
      </c>
      <c r="I559" s="22" t="s">
        <v>112</v>
      </c>
      <c r="J559" s="22"/>
      <c r="K559" s="63" t="n">
        <v>1.29925865168539</v>
      </c>
      <c r="L559" s="22" t="s">
        <v>4282</v>
      </c>
      <c r="M559" s="22" t="n">
        <v>1</v>
      </c>
      <c r="N559" s="22" t="s">
        <v>4864</v>
      </c>
    </row>
    <row r="560" customFormat="false" ht="15" hidden="false" customHeight="false" outlineLevel="0" collapsed="false">
      <c r="A560" s="22" t="s">
        <v>4877</v>
      </c>
      <c r="B560" s="22" t="s">
        <v>4806</v>
      </c>
      <c r="C560" s="22" t="s">
        <v>3431</v>
      </c>
      <c r="D560" s="22" t="s">
        <v>4819</v>
      </c>
      <c r="E560" s="22" t="s">
        <v>4808</v>
      </c>
      <c r="F560" s="22" t="s">
        <v>4878</v>
      </c>
      <c r="G560" s="22" t="s">
        <v>727</v>
      </c>
      <c r="H560" s="63" t="n">
        <v>2041.2507</v>
      </c>
      <c r="I560" s="22" t="s">
        <v>112</v>
      </c>
      <c r="J560" s="22"/>
      <c r="K560" s="63" t="n">
        <v>2286.30399330506</v>
      </c>
      <c r="L560" s="22" t="s">
        <v>2250</v>
      </c>
      <c r="M560" s="22" t="n">
        <v>1</v>
      </c>
      <c r="N560" s="22" t="s">
        <v>4879</v>
      </c>
    </row>
    <row r="561" customFormat="false" ht="15" hidden="false" customHeight="false" outlineLevel="0" collapsed="false">
      <c r="A561" s="22" t="s">
        <v>4880</v>
      </c>
      <c r="B561" s="22" t="s">
        <v>4806</v>
      </c>
      <c r="C561" s="22" t="s">
        <v>3431</v>
      </c>
      <c r="D561" s="22" t="s">
        <v>4819</v>
      </c>
      <c r="E561" s="22" t="s">
        <v>4808</v>
      </c>
      <c r="F561" s="22" t="s">
        <v>4881</v>
      </c>
      <c r="G561" s="22" t="s">
        <v>727</v>
      </c>
      <c r="H561" s="63" t="n">
        <v>3565</v>
      </c>
      <c r="I561" s="22" t="s">
        <v>112</v>
      </c>
      <c r="J561" s="22"/>
      <c r="K561" s="63" t="n">
        <v>3992.98025280899</v>
      </c>
      <c r="L561" s="22" t="s">
        <v>2212</v>
      </c>
      <c r="M561" s="22" t="n">
        <v>6</v>
      </c>
      <c r="N561" s="22" t="s">
        <v>4879</v>
      </c>
    </row>
    <row r="562" customFormat="false" ht="15" hidden="false" customHeight="false" outlineLevel="0" collapsed="false">
      <c r="A562" s="22" t="s">
        <v>4882</v>
      </c>
      <c r="B562" s="22" t="s">
        <v>4806</v>
      </c>
      <c r="C562" s="22" t="s">
        <v>3431</v>
      </c>
      <c r="D562" s="22" t="s">
        <v>4819</v>
      </c>
      <c r="E562" s="22" t="s">
        <v>4808</v>
      </c>
      <c r="F562" s="22" t="s">
        <v>4883</v>
      </c>
      <c r="G562" s="22" t="s">
        <v>727</v>
      </c>
      <c r="H562" s="63" t="n">
        <v>16905</v>
      </c>
      <c r="I562" s="22" t="s">
        <v>112</v>
      </c>
      <c r="J562" s="22"/>
      <c r="K562" s="63" t="n">
        <v>18934.454747191</v>
      </c>
      <c r="L562" s="22" t="s">
        <v>2228</v>
      </c>
      <c r="M562" s="22" t="n">
        <v>3</v>
      </c>
      <c r="N562" s="22" t="s">
        <v>4879</v>
      </c>
    </row>
    <row r="563" customFormat="false" ht="15" hidden="false" customHeight="false" outlineLevel="0" collapsed="false">
      <c r="A563" s="22" t="s">
        <v>4884</v>
      </c>
      <c r="B563" s="22" t="s">
        <v>4806</v>
      </c>
      <c r="C563" s="22" t="s">
        <v>3431</v>
      </c>
      <c r="D563" s="22" t="s">
        <v>4819</v>
      </c>
      <c r="E563" s="22" t="s">
        <v>4808</v>
      </c>
      <c r="F563" s="22" t="s">
        <v>4885</v>
      </c>
      <c r="G563" s="22" t="s">
        <v>853</v>
      </c>
      <c r="H563" s="63" t="n">
        <v>2.185</v>
      </c>
      <c r="I563" s="22" t="s">
        <v>112</v>
      </c>
      <c r="J563" s="22"/>
      <c r="K563" s="63" t="n">
        <v>2.44731047752809</v>
      </c>
      <c r="L563" s="22" t="s">
        <v>4382</v>
      </c>
      <c r="M563" s="22" t="n">
        <v>27</v>
      </c>
      <c r="N563" s="22" t="s">
        <v>4879</v>
      </c>
    </row>
    <row r="564" customFormat="false" ht="15" hidden="false" customHeight="false" outlineLevel="0" collapsed="false">
      <c r="A564" s="22" t="s">
        <v>4886</v>
      </c>
      <c r="B564" s="22" t="s">
        <v>4806</v>
      </c>
      <c r="C564" s="22" t="s">
        <v>3431</v>
      </c>
      <c r="D564" s="22" t="s">
        <v>4819</v>
      </c>
      <c r="E564" s="22" t="s">
        <v>4808</v>
      </c>
      <c r="F564" s="22" t="s">
        <v>4887</v>
      </c>
      <c r="G564" s="22" t="s">
        <v>853</v>
      </c>
      <c r="H564" s="63" t="n">
        <v>2.99</v>
      </c>
      <c r="I564" s="22" t="s">
        <v>112</v>
      </c>
      <c r="J564" s="22"/>
      <c r="K564" s="63" t="n">
        <v>3.34895117977528</v>
      </c>
      <c r="L564" s="22" t="s">
        <v>4382</v>
      </c>
      <c r="M564" s="22" t="n">
        <v>4</v>
      </c>
      <c r="N564" s="22" t="s">
        <v>4879</v>
      </c>
    </row>
    <row r="565" customFormat="false" ht="15" hidden="false" customHeight="false" outlineLevel="0" collapsed="false">
      <c r="A565" s="22" t="s">
        <v>4888</v>
      </c>
      <c r="B565" s="22" t="s">
        <v>4889</v>
      </c>
      <c r="C565" s="22" t="s">
        <v>4110</v>
      </c>
      <c r="D565" s="22" t="s">
        <v>4890</v>
      </c>
      <c r="E565" s="22" t="s">
        <v>4891</v>
      </c>
      <c r="F565" s="22" t="s">
        <v>4892</v>
      </c>
      <c r="G565" s="22" t="s">
        <v>4893</v>
      </c>
      <c r="H565" s="63" t="n">
        <v>102.75</v>
      </c>
      <c r="I565" s="22" t="s">
        <v>113</v>
      </c>
      <c r="J565" s="22" t="s">
        <v>4102</v>
      </c>
      <c r="K565" s="63" t="n">
        <v>115.692658317815</v>
      </c>
      <c r="L565" s="22" t="s">
        <v>4254</v>
      </c>
      <c r="M565" s="22" t="n">
        <v>1</v>
      </c>
      <c r="N565" s="22" t="s">
        <v>4894</v>
      </c>
    </row>
    <row r="566" customFormat="false" ht="15" hidden="false" customHeight="false" outlineLevel="0" collapsed="false">
      <c r="A566" s="22" t="s">
        <v>4895</v>
      </c>
      <c r="B566" s="22" t="s">
        <v>4889</v>
      </c>
      <c r="C566" s="22" t="s">
        <v>4110</v>
      </c>
      <c r="D566" s="22" t="s">
        <v>4890</v>
      </c>
      <c r="E566" s="22" t="s">
        <v>4891</v>
      </c>
      <c r="F566" s="22" t="s">
        <v>4896</v>
      </c>
      <c r="G566" s="22" t="s">
        <v>4893</v>
      </c>
      <c r="H566" s="63" t="n">
        <v>4125</v>
      </c>
      <c r="I566" s="22" t="s">
        <v>113</v>
      </c>
      <c r="J566" s="22" t="s">
        <v>4102</v>
      </c>
      <c r="K566" s="63" t="n">
        <v>4644.5957718831</v>
      </c>
      <c r="L566" s="22" t="s">
        <v>4254</v>
      </c>
      <c r="M566" s="22" t="n">
        <v>1</v>
      </c>
      <c r="N566" s="22" t="s">
        <v>4894</v>
      </c>
    </row>
    <row r="567" customFormat="false" ht="15" hidden="false" customHeight="false" outlineLevel="0" collapsed="false">
      <c r="A567" s="22" t="s">
        <v>4897</v>
      </c>
      <c r="B567" s="22" t="s">
        <v>4889</v>
      </c>
      <c r="C567" s="22" t="s">
        <v>4110</v>
      </c>
      <c r="D567" s="22" t="s">
        <v>4890</v>
      </c>
      <c r="E567" s="22" t="s">
        <v>4891</v>
      </c>
      <c r="F567" s="22" t="s">
        <v>4898</v>
      </c>
      <c r="G567" s="22" t="s">
        <v>4042</v>
      </c>
      <c r="H567" s="63" t="n">
        <v>2.2</v>
      </c>
      <c r="I567" s="22" t="s">
        <v>113</v>
      </c>
      <c r="J567" s="22" t="s">
        <v>4102</v>
      </c>
      <c r="K567" s="63" t="n">
        <v>2.47711774500432</v>
      </c>
      <c r="L567" s="22" t="s">
        <v>4254</v>
      </c>
      <c r="M567" s="22" t="n">
        <v>42</v>
      </c>
      <c r="N567" s="22" t="s">
        <v>4899</v>
      </c>
    </row>
    <row r="568" customFormat="false" ht="15" hidden="false" customHeight="false" outlineLevel="0" collapsed="false">
      <c r="A568" s="22" t="s">
        <v>4900</v>
      </c>
      <c r="B568" s="22" t="s">
        <v>4889</v>
      </c>
      <c r="C568" s="22" t="s">
        <v>4110</v>
      </c>
      <c r="D568" s="22" t="s">
        <v>4890</v>
      </c>
      <c r="E568" s="22" t="s">
        <v>4891</v>
      </c>
      <c r="F568" s="22" t="s">
        <v>4901</v>
      </c>
      <c r="G568" s="22" t="s">
        <v>4893</v>
      </c>
      <c r="H568" s="63" t="n">
        <v>157.5</v>
      </c>
      <c r="I568" s="22" t="s">
        <v>113</v>
      </c>
      <c r="J568" s="22" t="s">
        <v>4102</v>
      </c>
      <c r="K568" s="63" t="n">
        <v>177.339111290082</v>
      </c>
      <c r="L568" s="22" t="s">
        <v>2096</v>
      </c>
      <c r="M568" s="22" t="n">
        <v>7</v>
      </c>
      <c r="N568" s="22" t="s">
        <v>4902</v>
      </c>
    </row>
    <row r="569" customFormat="false" ht="15" hidden="false" customHeight="false" outlineLevel="0" collapsed="false">
      <c r="A569" s="22" t="s">
        <v>4903</v>
      </c>
      <c r="B569" s="22" t="s">
        <v>4889</v>
      </c>
      <c r="C569" s="22" t="s">
        <v>4110</v>
      </c>
      <c r="D569" s="22" t="s">
        <v>4890</v>
      </c>
      <c r="E569" s="22" t="s">
        <v>4891</v>
      </c>
      <c r="F569" s="22" t="s">
        <v>4904</v>
      </c>
      <c r="G569" s="22" t="s">
        <v>4893</v>
      </c>
      <c r="H569" s="63" t="n">
        <v>42.5</v>
      </c>
      <c r="I569" s="22" t="s">
        <v>113</v>
      </c>
      <c r="J569" s="22" t="s">
        <v>4102</v>
      </c>
      <c r="K569" s="63" t="n">
        <v>47.853410983038</v>
      </c>
      <c r="L569" s="22" t="s">
        <v>4282</v>
      </c>
      <c r="M569" s="22" t="n">
        <v>7</v>
      </c>
      <c r="N569" s="22" t="s">
        <v>4902</v>
      </c>
    </row>
    <row r="570" customFormat="false" ht="15" hidden="false" customHeight="false" outlineLevel="0" collapsed="false">
      <c r="A570" s="22" t="s">
        <v>4905</v>
      </c>
      <c r="B570" s="22" t="s">
        <v>4889</v>
      </c>
      <c r="C570" s="22" t="s">
        <v>4110</v>
      </c>
      <c r="D570" s="22" t="s">
        <v>4890</v>
      </c>
      <c r="E570" s="22" t="s">
        <v>4891</v>
      </c>
      <c r="F570" s="22" t="s">
        <v>4906</v>
      </c>
      <c r="G570" s="22" t="s">
        <v>4893</v>
      </c>
      <c r="H570" s="63" t="n">
        <v>32.5</v>
      </c>
      <c r="I570" s="22" t="s">
        <v>113</v>
      </c>
      <c r="J570" s="22" t="s">
        <v>4102</v>
      </c>
      <c r="K570" s="63" t="n">
        <v>36.593784869382</v>
      </c>
      <c r="L570" s="22" t="s">
        <v>2096</v>
      </c>
      <c r="M570" s="22" t="n">
        <v>7</v>
      </c>
      <c r="N570" s="22" t="s">
        <v>4902</v>
      </c>
    </row>
    <row r="571" customFormat="false" ht="15" hidden="false" customHeight="false" outlineLevel="0" collapsed="false">
      <c r="A571" s="22" t="s">
        <v>4907</v>
      </c>
      <c r="B571" s="22" t="s">
        <v>4889</v>
      </c>
      <c r="C571" s="22" t="s">
        <v>4110</v>
      </c>
      <c r="D571" s="22" t="s">
        <v>4890</v>
      </c>
      <c r="E571" s="22" t="s">
        <v>4891</v>
      </c>
      <c r="F571" s="22" t="s">
        <v>4908</v>
      </c>
      <c r="G571" s="22" t="s">
        <v>4893</v>
      </c>
      <c r="H571" s="63" t="n">
        <v>22.5</v>
      </c>
      <c r="I571" s="22" t="s">
        <v>113</v>
      </c>
      <c r="J571" s="22" t="s">
        <v>4102</v>
      </c>
      <c r="K571" s="63" t="n">
        <v>25.334158755726</v>
      </c>
      <c r="L571" s="22" t="s">
        <v>2096</v>
      </c>
      <c r="M571" s="22" t="n">
        <v>7</v>
      </c>
      <c r="N571" s="22" t="s">
        <v>4902</v>
      </c>
    </row>
    <row r="572" customFormat="false" ht="15" hidden="false" customHeight="false" outlineLevel="0" collapsed="false">
      <c r="A572" s="22" t="s">
        <v>4909</v>
      </c>
      <c r="B572" s="22" t="s">
        <v>4889</v>
      </c>
      <c r="C572" s="22" t="s">
        <v>4110</v>
      </c>
      <c r="D572" s="22" t="s">
        <v>4890</v>
      </c>
      <c r="E572" s="22" t="s">
        <v>4891</v>
      </c>
      <c r="F572" s="22" t="s">
        <v>4910</v>
      </c>
      <c r="G572" s="22" t="s">
        <v>4893</v>
      </c>
      <c r="H572" s="63" t="n">
        <v>2020</v>
      </c>
      <c r="I572" s="22" t="s">
        <v>113</v>
      </c>
      <c r="J572" s="22" t="s">
        <v>4102</v>
      </c>
      <c r="K572" s="63" t="n">
        <v>2274.44447495851</v>
      </c>
      <c r="L572" s="22" t="s">
        <v>2116</v>
      </c>
      <c r="M572" s="22" t="n">
        <v>1</v>
      </c>
      <c r="N572" s="22" t="s">
        <v>4911</v>
      </c>
    </row>
    <row r="573" customFormat="false" ht="15" hidden="false" customHeight="false" outlineLevel="0" collapsed="false">
      <c r="A573" s="22" t="s">
        <v>4912</v>
      </c>
      <c r="B573" s="22" t="s">
        <v>4889</v>
      </c>
      <c r="C573" s="22" t="s">
        <v>4110</v>
      </c>
      <c r="D573" s="22" t="s">
        <v>4890</v>
      </c>
      <c r="E573" s="22" t="s">
        <v>4891</v>
      </c>
      <c r="F573" s="22" t="s">
        <v>4913</v>
      </c>
      <c r="G573" s="22" t="s">
        <v>4893</v>
      </c>
      <c r="H573" s="63" t="n">
        <v>7.5</v>
      </c>
      <c r="I573" s="22" t="s">
        <v>113</v>
      </c>
      <c r="J573" s="22" t="s">
        <v>4226</v>
      </c>
      <c r="K573" s="63" t="n">
        <v>8.444719585242</v>
      </c>
      <c r="L573" s="22" t="s">
        <v>2116</v>
      </c>
      <c r="M573" s="22" t="n">
        <v>1</v>
      </c>
      <c r="N573" s="22" t="s">
        <v>4914</v>
      </c>
    </row>
    <row r="574" customFormat="false" ht="15" hidden="false" customHeight="false" outlineLevel="0" collapsed="false">
      <c r="A574" s="22" t="s">
        <v>4915</v>
      </c>
      <c r="B574" s="22" t="s">
        <v>4889</v>
      </c>
      <c r="C574" s="22" t="s">
        <v>4110</v>
      </c>
      <c r="D574" s="22" t="s">
        <v>4890</v>
      </c>
      <c r="E574" s="22" t="s">
        <v>4891</v>
      </c>
      <c r="F574" s="22" t="s">
        <v>4916</v>
      </c>
      <c r="G574" s="22" t="s">
        <v>4042</v>
      </c>
      <c r="H574" s="63" t="n">
        <v>2.2</v>
      </c>
      <c r="I574" s="22" t="s">
        <v>113</v>
      </c>
      <c r="J574" s="22" t="s">
        <v>4102</v>
      </c>
      <c r="K574" s="63" t="n">
        <v>2.47711774500432</v>
      </c>
      <c r="L574" s="22" t="s">
        <v>2096</v>
      </c>
      <c r="M574" s="22" t="n">
        <v>7</v>
      </c>
      <c r="N574" s="22" t="s">
        <v>4917</v>
      </c>
    </row>
    <row r="575" customFormat="false" ht="15" hidden="false" customHeight="false" outlineLevel="0" collapsed="false">
      <c r="A575" s="22" t="s">
        <v>4918</v>
      </c>
      <c r="B575" s="22" t="s">
        <v>4889</v>
      </c>
      <c r="C575" s="22" t="s">
        <v>4110</v>
      </c>
      <c r="D575" s="22" t="s">
        <v>4890</v>
      </c>
      <c r="E575" s="22" t="s">
        <v>4891</v>
      </c>
      <c r="F575" s="22" t="s">
        <v>4919</v>
      </c>
      <c r="G575" s="22" t="s">
        <v>4042</v>
      </c>
      <c r="H575" s="63" t="n">
        <v>2.4</v>
      </c>
      <c r="I575" s="22" t="s">
        <v>113</v>
      </c>
      <c r="J575" s="22" t="s">
        <v>4102</v>
      </c>
      <c r="K575" s="63" t="n">
        <v>2.70231026727744</v>
      </c>
      <c r="L575" s="22" t="s">
        <v>4282</v>
      </c>
      <c r="M575" s="22" t="n">
        <v>7</v>
      </c>
      <c r="N575" s="22" t="s">
        <v>4917</v>
      </c>
    </row>
    <row r="576" customFormat="false" ht="15" hidden="false" customHeight="false" outlineLevel="0" collapsed="false">
      <c r="A576" s="22" t="s">
        <v>4920</v>
      </c>
      <c r="B576" s="22" t="s">
        <v>4889</v>
      </c>
      <c r="C576" s="22" t="s">
        <v>4110</v>
      </c>
      <c r="D576" s="22" t="s">
        <v>4890</v>
      </c>
      <c r="E576" s="22" t="s">
        <v>4891</v>
      </c>
      <c r="F576" s="22" t="s">
        <v>4921</v>
      </c>
      <c r="G576" s="22" t="s">
        <v>4042</v>
      </c>
      <c r="H576" s="63" t="n">
        <v>2.4</v>
      </c>
      <c r="I576" s="22" t="s">
        <v>113</v>
      </c>
      <c r="J576" s="22" t="s">
        <v>4102</v>
      </c>
      <c r="K576" s="63" t="n">
        <v>2.70231026727744</v>
      </c>
      <c r="L576" s="22" t="s">
        <v>2096</v>
      </c>
      <c r="M576" s="22" t="n">
        <v>7</v>
      </c>
      <c r="N576" s="22" t="s">
        <v>4917</v>
      </c>
    </row>
    <row r="577" customFormat="false" ht="15" hidden="false" customHeight="false" outlineLevel="0" collapsed="false">
      <c r="A577" s="22" t="s">
        <v>4922</v>
      </c>
      <c r="B577" s="22" t="s">
        <v>4889</v>
      </c>
      <c r="C577" s="22" t="s">
        <v>4110</v>
      </c>
      <c r="D577" s="22" t="s">
        <v>4890</v>
      </c>
      <c r="E577" s="22" t="s">
        <v>4891</v>
      </c>
      <c r="F577" s="22" t="s">
        <v>4923</v>
      </c>
      <c r="G577" s="22" t="s">
        <v>4893</v>
      </c>
      <c r="H577" s="63" t="n">
        <v>1520</v>
      </c>
      <c r="I577" s="22" t="s">
        <v>113</v>
      </c>
      <c r="J577" s="22" t="s">
        <v>4102</v>
      </c>
      <c r="K577" s="63" t="n">
        <v>1711.46316927571</v>
      </c>
      <c r="L577" s="22" t="s">
        <v>4282</v>
      </c>
      <c r="M577" s="22" t="n">
        <v>1</v>
      </c>
      <c r="N577" s="22" t="s">
        <v>4924</v>
      </c>
    </row>
    <row r="578" customFormat="false" ht="15" hidden="false" customHeight="false" outlineLevel="0" collapsed="false">
      <c r="A578" s="22" t="s">
        <v>4925</v>
      </c>
      <c r="B578" s="22" t="s">
        <v>4889</v>
      </c>
      <c r="C578" s="22" t="s">
        <v>4110</v>
      </c>
      <c r="D578" s="22" t="s">
        <v>4890</v>
      </c>
      <c r="E578" s="22" t="s">
        <v>4891</v>
      </c>
      <c r="F578" s="22" t="s">
        <v>4926</v>
      </c>
      <c r="G578" s="22" t="s">
        <v>4893</v>
      </c>
      <c r="H578" s="63" t="n">
        <v>90</v>
      </c>
      <c r="I578" s="22" t="s">
        <v>113</v>
      </c>
      <c r="J578" s="22" t="s">
        <v>4226</v>
      </c>
      <c r="K578" s="63" t="n">
        <v>101.336635022904</v>
      </c>
      <c r="L578" s="22" t="s">
        <v>4366</v>
      </c>
      <c r="M578" s="22" t="n">
        <v>8</v>
      </c>
      <c r="N578" s="22" t="s">
        <v>4927</v>
      </c>
    </row>
    <row r="579" customFormat="false" ht="15" hidden="false" customHeight="false" outlineLevel="0" collapsed="false">
      <c r="A579" s="22" t="s">
        <v>4928</v>
      </c>
      <c r="B579" s="22" t="s">
        <v>4889</v>
      </c>
      <c r="C579" s="22" t="s">
        <v>4110</v>
      </c>
      <c r="D579" s="22" t="s">
        <v>4890</v>
      </c>
      <c r="E579" s="22" t="s">
        <v>4891</v>
      </c>
      <c r="F579" s="22" t="s">
        <v>4929</v>
      </c>
      <c r="G579" s="22" t="s">
        <v>4893</v>
      </c>
      <c r="H579" s="63" t="n">
        <v>2320</v>
      </c>
      <c r="I579" s="22" t="s">
        <v>113</v>
      </c>
      <c r="J579" s="22" t="s">
        <v>4102</v>
      </c>
      <c r="K579" s="63" t="n">
        <v>2612.23325836819</v>
      </c>
      <c r="L579" s="22" t="s">
        <v>2022</v>
      </c>
      <c r="M579" s="22" t="n">
        <v>1</v>
      </c>
      <c r="N579" s="22" t="s">
        <v>4927</v>
      </c>
    </row>
    <row r="580" customFormat="false" ht="15" hidden="false" customHeight="false" outlineLevel="0" collapsed="false">
      <c r="A580" s="22" t="s">
        <v>4930</v>
      </c>
      <c r="B580" s="22" t="s">
        <v>4889</v>
      </c>
      <c r="C580" s="22" t="s">
        <v>4110</v>
      </c>
      <c r="D580" s="22" t="s">
        <v>4890</v>
      </c>
      <c r="E580" s="22" t="s">
        <v>4891</v>
      </c>
      <c r="F580" s="22" t="s">
        <v>4931</v>
      </c>
      <c r="G580" s="22" t="s">
        <v>4853</v>
      </c>
      <c r="H580" s="63" t="n">
        <v>210</v>
      </c>
      <c r="I580" s="22" t="s">
        <v>113</v>
      </c>
      <c r="J580" s="22" t="s">
        <v>4102</v>
      </c>
      <c r="K580" s="63" t="n">
        <v>236.452148386776</v>
      </c>
      <c r="L580" s="22" t="s">
        <v>1961</v>
      </c>
      <c r="M580" s="22" t="n">
        <v>2</v>
      </c>
      <c r="N580" s="22" t="s">
        <v>4932</v>
      </c>
    </row>
    <row r="581" customFormat="false" ht="15" hidden="false" customHeight="false" outlineLevel="0" collapsed="false">
      <c r="A581" s="22" t="s">
        <v>4933</v>
      </c>
      <c r="B581" s="22" t="s">
        <v>4889</v>
      </c>
      <c r="C581" s="22" t="s">
        <v>4110</v>
      </c>
      <c r="D581" s="22" t="s">
        <v>4890</v>
      </c>
      <c r="E581" s="22" t="s">
        <v>4891</v>
      </c>
      <c r="F581" s="22" t="s">
        <v>4934</v>
      </c>
      <c r="G581" s="22" t="s">
        <v>4893</v>
      </c>
      <c r="H581" s="63" t="n">
        <v>1110</v>
      </c>
      <c r="I581" s="22" t="s">
        <v>113</v>
      </c>
      <c r="J581" s="22" t="s">
        <v>4102</v>
      </c>
      <c r="K581" s="63" t="n">
        <v>1249.81849861582</v>
      </c>
      <c r="L581" s="22" t="s">
        <v>1673</v>
      </c>
      <c r="M581" s="22" t="n">
        <v>6</v>
      </c>
      <c r="N581" s="22" t="s">
        <v>4935</v>
      </c>
    </row>
    <row r="582" customFormat="false" ht="15" hidden="false" customHeight="false" outlineLevel="0" collapsed="false">
      <c r="A582" s="22" t="s">
        <v>4936</v>
      </c>
      <c r="B582" s="22" t="s">
        <v>4889</v>
      </c>
      <c r="C582" s="22" t="s">
        <v>4110</v>
      </c>
      <c r="D582" s="22" t="s">
        <v>4890</v>
      </c>
      <c r="E582" s="22" t="s">
        <v>4891</v>
      </c>
      <c r="F582" s="22" t="s">
        <v>4937</v>
      </c>
      <c r="G582" s="22" t="s">
        <v>4893</v>
      </c>
      <c r="H582" s="63" t="n">
        <v>270</v>
      </c>
      <c r="I582" s="22" t="s">
        <v>113</v>
      </c>
      <c r="J582" s="22" t="s">
        <v>4102</v>
      </c>
      <c r="K582" s="63" t="n">
        <v>304.009905068712</v>
      </c>
      <c r="L582" s="22" t="s">
        <v>1673</v>
      </c>
      <c r="M582" s="22" t="n">
        <v>1</v>
      </c>
      <c r="N582" s="22" t="s">
        <v>4935</v>
      </c>
    </row>
    <row r="583" customFormat="false" ht="15" hidden="false" customHeight="false" outlineLevel="0" collapsed="false">
      <c r="A583" s="22" t="s">
        <v>4938</v>
      </c>
      <c r="B583" s="22" t="s">
        <v>4889</v>
      </c>
      <c r="C583" s="22" t="s">
        <v>4110</v>
      </c>
      <c r="D583" s="22" t="s">
        <v>4890</v>
      </c>
      <c r="E583" s="22" t="s">
        <v>4891</v>
      </c>
      <c r="F583" s="22" t="s">
        <v>4939</v>
      </c>
      <c r="G583" s="22" t="s">
        <v>4853</v>
      </c>
      <c r="H583" s="63" t="n">
        <v>330</v>
      </c>
      <c r="I583" s="22" t="s">
        <v>113</v>
      </c>
      <c r="J583" s="22" t="s">
        <v>4102</v>
      </c>
      <c r="K583" s="63" t="n">
        <v>371.567661750648</v>
      </c>
      <c r="L583" s="22" t="s">
        <v>1673</v>
      </c>
      <c r="M583" s="22" t="n">
        <v>3</v>
      </c>
      <c r="N583" s="22" t="s">
        <v>4935</v>
      </c>
    </row>
    <row r="584" customFormat="false" ht="15" hidden="false" customHeight="false" outlineLevel="0" collapsed="false">
      <c r="A584" s="22" t="s">
        <v>4940</v>
      </c>
      <c r="B584" s="22" t="s">
        <v>4889</v>
      </c>
      <c r="C584" s="22" t="s">
        <v>4110</v>
      </c>
      <c r="D584" s="22" t="s">
        <v>4890</v>
      </c>
      <c r="E584" s="22" t="s">
        <v>4891</v>
      </c>
      <c r="F584" s="22" t="s">
        <v>4941</v>
      </c>
      <c r="G584" s="22" t="s">
        <v>4893</v>
      </c>
      <c r="H584" s="63" t="n">
        <v>4125</v>
      </c>
      <c r="I584" s="22" t="s">
        <v>113</v>
      </c>
      <c r="J584" s="22" t="s">
        <v>4102</v>
      </c>
      <c r="K584" s="63" t="n">
        <v>4644.5957718831</v>
      </c>
      <c r="L584" s="22" t="s">
        <v>1673</v>
      </c>
      <c r="M584" s="22" t="n">
        <v>1</v>
      </c>
      <c r="N584" s="22" t="s">
        <v>4942</v>
      </c>
    </row>
    <row r="585" customFormat="false" ht="15" hidden="false" customHeight="false" outlineLevel="0" collapsed="false">
      <c r="A585" s="22" t="s">
        <v>4943</v>
      </c>
      <c r="B585" s="22" t="s">
        <v>4889</v>
      </c>
      <c r="C585" s="22" t="s">
        <v>4110</v>
      </c>
      <c r="D585" s="22" t="s">
        <v>4890</v>
      </c>
      <c r="E585" s="22" t="s">
        <v>4891</v>
      </c>
      <c r="F585" s="22" t="s">
        <v>4944</v>
      </c>
      <c r="G585" s="22" t="s">
        <v>4853</v>
      </c>
      <c r="H585" s="63" t="n">
        <v>9250</v>
      </c>
      <c r="I585" s="22" t="s">
        <v>113</v>
      </c>
      <c r="J585" s="22" t="s">
        <v>4102</v>
      </c>
      <c r="K585" s="63" t="n">
        <v>10415.1541551318</v>
      </c>
      <c r="L585" s="22" t="s">
        <v>4239</v>
      </c>
      <c r="M585" s="22" t="n">
        <v>1</v>
      </c>
      <c r="N585" s="22" t="s">
        <v>4945</v>
      </c>
    </row>
    <row r="586" customFormat="false" ht="15" hidden="false" customHeight="false" outlineLevel="0" collapsed="false">
      <c r="A586" s="22" t="s">
        <v>4946</v>
      </c>
      <c r="B586" s="22" t="s">
        <v>4889</v>
      </c>
      <c r="C586" s="22" t="s">
        <v>4110</v>
      </c>
      <c r="D586" s="22" t="s">
        <v>4890</v>
      </c>
      <c r="E586" s="22" t="s">
        <v>4891</v>
      </c>
      <c r="F586" s="22" t="s">
        <v>4947</v>
      </c>
      <c r="G586" s="22" t="s">
        <v>4042</v>
      </c>
      <c r="H586" s="63" t="n">
        <v>6</v>
      </c>
      <c r="I586" s="22" t="s">
        <v>113</v>
      </c>
      <c r="J586" s="22" t="s">
        <v>4102</v>
      </c>
      <c r="K586" s="63" t="n">
        <v>6.7557756681936</v>
      </c>
      <c r="L586" s="22" t="s">
        <v>1787</v>
      </c>
      <c r="M586" s="22" t="n">
        <v>3</v>
      </c>
      <c r="N586" s="22" t="s">
        <v>4899</v>
      </c>
    </row>
    <row r="587" customFormat="false" ht="15" hidden="false" customHeight="false" outlineLevel="0" collapsed="false">
      <c r="A587" s="22" t="s">
        <v>4948</v>
      </c>
      <c r="B587" s="22" t="s">
        <v>4889</v>
      </c>
      <c r="C587" s="22" t="s">
        <v>4110</v>
      </c>
      <c r="D587" s="22" t="s">
        <v>4890</v>
      </c>
      <c r="E587" s="22" t="s">
        <v>4891</v>
      </c>
      <c r="F587" s="22" t="s">
        <v>4949</v>
      </c>
      <c r="G587" s="22" t="s">
        <v>4893</v>
      </c>
      <c r="H587" s="63" t="n">
        <v>2.2</v>
      </c>
      <c r="I587" s="22" t="s">
        <v>113</v>
      </c>
      <c r="J587" s="22" t="s">
        <v>4102</v>
      </c>
      <c r="K587" s="63" t="n">
        <v>2.47711774500432</v>
      </c>
      <c r="L587" s="22" t="s">
        <v>1673</v>
      </c>
      <c r="M587" s="22" t="n">
        <v>6</v>
      </c>
      <c r="N587" s="22" t="s">
        <v>4899</v>
      </c>
    </row>
    <row r="588" customFormat="false" ht="15" hidden="false" customHeight="false" outlineLevel="0" collapsed="false">
      <c r="A588" s="22" t="s">
        <v>4950</v>
      </c>
      <c r="B588" s="22" t="s">
        <v>4889</v>
      </c>
      <c r="C588" s="22" t="s">
        <v>4110</v>
      </c>
      <c r="D588" s="22" t="s">
        <v>4890</v>
      </c>
      <c r="E588" s="22" t="s">
        <v>4891</v>
      </c>
      <c r="F588" s="22" t="s">
        <v>4951</v>
      </c>
      <c r="G588" s="22" t="s">
        <v>4893</v>
      </c>
      <c r="H588" s="63" t="n">
        <v>5</v>
      </c>
      <c r="I588" s="22" t="s">
        <v>113</v>
      </c>
      <c r="J588" s="22" t="s">
        <v>4102</v>
      </c>
      <c r="K588" s="63" t="n">
        <v>5.629813056828</v>
      </c>
      <c r="L588" s="22" t="s">
        <v>1787</v>
      </c>
      <c r="M588" s="22" t="n">
        <v>6</v>
      </c>
      <c r="N588" s="22" t="s">
        <v>4899</v>
      </c>
    </row>
    <row r="589" customFormat="false" ht="15" hidden="false" customHeight="false" outlineLevel="0" collapsed="false">
      <c r="A589" s="22" t="s">
        <v>4952</v>
      </c>
      <c r="B589" s="22" t="s">
        <v>4889</v>
      </c>
      <c r="C589" s="22" t="s">
        <v>4110</v>
      </c>
      <c r="D589" s="22" t="s">
        <v>4890</v>
      </c>
      <c r="E589" s="22" t="s">
        <v>4891</v>
      </c>
      <c r="F589" s="22" t="s">
        <v>4953</v>
      </c>
      <c r="G589" s="22" t="s">
        <v>4893</v>
      </c>
      <c r="H589" s="63" t="n">
        <v>7.5</v>
      </c>
      <c r="I589" s="22" t="s">
        <v>113</v>
      </c>
      <c r="J589" s="22" t="s">
        <v>4102</v>
      </c>
      <c r="K589" s="63" t="n">
        <v>8.444719585242</v>
      </c>
      <c r="L589" s="22" t="s">
        <v>1787</v>
      </c>
      <c r="M589" s="22" t="n">
        <v>7</v>
      </c>
      <c r="N589" s="22" t="s">
        <v>4914</v>
      </c>
    </row>
    <row r="590" customFormat="false" ht="15" hidden="false" customHeight="false" outlineLevel="0" collapsed="false">
      <c r="A590" s="22" t="s">
        <v>4954</v>
      </c>
      <c r="B590" s="22" t="s">
        <v>4889</v>
      </c>
      <c r="C590" s="22" t="s">
        <v>4110</v>
      </c>
      <c r="D590" s="22" t="s">
        <v>4890</v>
      </c>
      <c r="E590" s="22" t="s">
        <v>4891</v>
      </c>
      <c r="F590" s="22" t="s">
        <v>4955</v>
      </c>
      <c r="G590" s="22" t="s">
        <v>4893</v>
      </c>
      <c r="H590" s="63" t="n">
        <v>46.4</v>
      </c>
      <c r="I590" s="22" t="s">
        <v>113</v>
      </c>
      <c r="J590" s="22" t="s">
        <v>4102</v>
      </c>
      <c r="K590" s="63" t="n">
        <v>52.2446651673638</v>
      </c>
      <c r="L590" s="22" t="s">
        <v>1905</v>
      </c>
      <c r="M590" s="22" t="n">
        <v>1</v>
      </c>
      <c r="N590" s="22" t="s">
        <v>4956</v>
      </c>
    </row>
    <row r="591" customFormat="false" ht="15" hidden="false" customHeight="false" outlineLevel="0" collapsed="false">
      <c r="A591" s="22" t="s">
        <v>4957</v>
      </c>
      <c r="B591" s="22" t="s">
        <v>4889</v>
      </c>
      <c r="C591" s="22" t="s">
        <v>4110</v>
      </c>
      <c r="D591" s="22" t="s">
        <v>4890</v>
      </c>
      <c r="E591" s="22" t="s">
        <v>4891</v>
      </c>
      <c r="F591" s="22" t="s">
        <v>4958</v>
      </c>
      <c r="G591" s="22" t="s">
        <v>4853</v>
      </c>
      <c r="H591" s="63" t="n">
        <v>4930</v>
      </c>
      <c r="I591" s="22" t="s">
        <v>113</v>
      </c>
      <c r="J591" s="22" t="s">
        <v>4102</v>
      </c>
      <c r="K591" s="63" t="n">
        <v>5550.99567403241</v>
      </c>
      <c r="L591" s="22" t="s">
        <v>1946</v>
      </c>
      <c r="M591" s="22" t="n">
        <v>1</v>
      </c>
      <c r="N591" s="22" t="s">
        <v>4956</v>
      </c>
    </row>
    <row r="592" customFormat="false" ht="15" hidden="false" customHeight="false" outlineLevel="0" collapsed="false">
      <c r="A592" s="22" t="s">
        <v>4959</v>
      </c>
      <c r="B592" s="22" t="s">
        <v>4889</v>
      </c>
      <c r="C592" s="22" t="s">
        <v>4110</v>
      </c>
      <c r="D592" s="22" t="s">
        <v>4890</v>
      </c>
      <c r="E592" s="22" t="s">
        <v>4891</v>
      </c>
      <c r="F592" s="22" t="s">
        <v>4960</v>
      </c>
      <c r="G592" s="22" t="s">
        <v>4042</v>
      </c>
      <c r="H592" s="63" t="n">
        <v>2.3</v>
      </c>
      <c r="I592" s="22" t="s">
        <v>113</v>
      </c>
      <c r="J592" s="22" t="s">
        <v>4102</v>
      </c>
      <c r="K592" s="63" t="n">
        <v>2.58971400614088</v>
      </c>
      <c r="L592" s="22" t="s">
        <v>1905</v>
      </c>
      <c r="M592" s="22" t="n">
        <v>21</v>
      </c>
      <c r="N592" s="22" t="s">
        <v>4917</v>
      </c>
    </row>
    <row r="593" customFormat="false" ht="15" hidden="false" customHeight="false" outlineLevel="0" collapsed="false">
      <c r="A593" s="22" t="s">
        <v>4961</v>
      </c>
      <c r="B593" s="22" t="s">
        <v>4889</v>
      </c>
      <c r="C593" s="22" t="s">
        <v>4110</v>
      </c>
      <c r="D593" s="22" t="s">
        <v>4890</v>
      </c>
      <c r="E593" s="22" t="s">
        <v>4891</v>
      </c>
      <c r="F593" s="22" t="s">
        <v>4962</v>
      </c>
      <c r="G593" s="22" t="s">
        <v>4042</v>
      </c>
      <c r="H593" s="63" t="n">
        <v>1.5</v>
      </c>
      <c r="I593" s="22" t="s">
        <v>113</v>
      </c>
      <c r="J593" s="22" t="s">
        <v>4102</v>
      </c>
      <c r="K593" s="63" t="n">
        <v>1.6889439170484</v>
      </c>
      <c r="L593" s="22" t="s">
        <v>4121</v>
      </c>
      <c r="M593" s="22" t="n">
        <v>1</v>
      </c>
      <c r="N593" s="22" t="s">
        <v>4963</v>
      </c>
    </row>
    <row r="594" customFormat="false" ht="15" hidden="false" customHeight="false" outlineLevel="0" collapsed="false">
      <c r="A594" s="22" t="s">
        <v>4964</v>
      </c>
      <c r="B594" s="22" t="s">
        <v>4965</v>
      </c>
      <c r="C594" s="22" t="s">
        <v>4966</v>
      </c>
      <c r="D594" s="22" t="s">
        <v>4967</v>
      </c>
      <c r="E594" s="22" t="s">
        <v>4968</v>
      </c>
      <c r="F594" s="22" t="s">
        <v>4969</v>
      </c>
      <c r="G594" s="22" t="s">
        <v>727</v>
      </c>
      <c r="H594" s="63" t="n">
        <v>5444</v>
      </c>
      <c r="I594" s="22" t="s">
        <v>112</v>
      </c>
      <c r="J594" s="22"/>
      <c r="K594" s="63" t="n">
        <v>7999.93883520352</v>
      </c>
      <c r="L594" s="22" t="s">
        <v>2257</v>
      </c>
      <c r="M594" s="22" t="n">
        <v>1</v>
      </c>
      <c r="N594" s="22" t="s">
        <v>4970</v>
      </c>
    </row>
    <row r="595" customFormat="false" ht="15" hidden="false" customHeight="false" outlineLevel="0" collapsed="false">
      <c r="A595" s="22" t="s">
        <v>4971</v>
      </c>
      <c r="B595" s="22" t="s">
        <v>4965</v>
      </c>
      <c r="C595" s="22" t="s">
        <v>4966</v>
      </c>
      <c r="D595" s="22" t="s">
        <v>4967</v>
      </c>
      <c r="E595" s="22" t="s">
        <v>4968</v>
      </c>
      <c r="F595" s="22" t="s">
        <v>4972</v>
      </c>
      <c r="G595" s="22" t="s">
        <v>727</v>
      </c>
      <c r="H595" s="63" t="n">
        <v>3217</v>
      </c>
      <c r="I595" s="22" t="s">
        <v>112</v>
      </c>
      <c r="J595" s="22"/>
      <c r="K595" s="63" t="n">
        <v>4727.3701750275</v>
      </c>
      <c r="L595" s="22" t="s">
        <v>2257</v>
      </c>
      <c r="M595" s="22" t="n">
        <v>2</v>
      </c>
      <c r="N595" s="22"/>
    </row>
    <row r="596" customFormat="false" ht="15" hidden="false" customHeight="false" outlineLevel="0" collapsed="false">
      <c r="A596" s="22" t="s">
        <v>4973</v>
      </c>
      <c r="B596" s="22" t="s">
        <v>4965</v>
      </c>
      <c r="C596" s="22" t="s">
        <v>4966</v>
      </c>
      <c r="D596" s="22" t="s">
        <v>4218</v>
      </c>
      <c r="E596" s="22" t="s">
        <v>4968</v>
      </c>
      <c r="F596" s="22" t="s">
        <v>4974</v>
      </c>
      <c r="G596" s="22" t="s">
        <v>727</v>
      </c>
      <c r="H596" s="63" t="n">
        <v>15086</v>
      </c>
      <c r="I596" s="22" t="s">
        <v>112</v>
      </c>
      <c r="J596" s="22"/>
      <c r="K596" s="63" t="n">
        <v>22168.8238919692</v>
      </c>
      <c r="L596" s="22" t="s">
        <v>1766</v>
      </c>
      <c r="M596" s="22" t="n">
        <v>1</v>
      </c>
      <c r="N596" s="22" t="s">
        <v>4975</v>
      </c>
    </row>
    <row r="597" customFormat="false" ht="15" hidden="false" customHeight="false" outlineLevel="0" collapsed="false">
      <c r="A597" s="22" t="s">
        <v>4976</v>
      </c>
      <c r="B597" s="22" t="s">
        <v>4965</v>
      </c>
      <c r="C597" s="22" t="s">
        <v>4966</v>
      </c>
      <c r="D597" s="22" t="s">
        <v>4218</v>
      </c>
      <c r="E597" s="22" t="s">
        <v>4968</v>
      </c>
      <c r="F597" s="22" t="s">
        <v>4977</v>
      </c>
      <c r="G597" s="22" t="s">
        <v>727</v>
      </c>
      <c r="H597" s="63" t="n">
        <v>325</v>
      </c>
      <c r="I597" s="22" t="s">
        <v>112</v>
      </c>
      <c r="J597" s="22"/>
      <c r="K597" s="63" t="n">
        <v>477.586355885589</v>
      </c>
      <c r="L597" s="22" t="s">
        <v>1787</v>
      </c>
      <c r="M597" s="22" t="n">
        <v>7</v>
      </c>
      <c r="N597" s="22" t="s">
        <v>4975</v>
      </c>
    </row>
    <row r="598" customFormat="false" ht="15" hidden="false" customHeight="false" outlineLevel="0" collapsed="false">
      <c r="A598" s="22" t="s">
        <v>4978</v>
      </c>
      <c r="B598" s="22" t="s">
        <v>4965</v>
      </c>
      <c r="C598" s="22" t="s">
        <v>4966</v>
      </c>
      <c r="D598" s="22" t="s">
        <v>4218</v>
      </c>
      <c r="E598" s="22" t="s">
        <v>4968</v>
      </c>
      <c r="F598" s="22" t="s">
        <v>4979</v>
      </c>
      <c r="G598" s="22" t="s">
        <v>727</v>
      </c>
      <c r="H598" s="63" t="n">
        <v>87218</v>
      </c>
      <c r="I598" s="22" t="s">
        <v>112</v>
      </c>
      <c r="J598" s="22"/>
      <c r="K598" s="63" t="n">
        <v>128166.543961936</v>
      </c>
      <c r="L598" s="22" t="s">
        <v>1863</v>
      </c>
      <c r="M598" s="22" t="n">
        <v>1</v>
      </c>
      <c r="N598" s="22" t="s">
        <v>4980</v>
      </c>
    </row>
    <row r="599" customFormat="false" ht="15" hidden="false" customHeight="false" outlineLevel="0" collapsed="false">
      <c r="A599" s="22" t="s">
        <v>4981</v>
      </c>
      <c r="B599" s="22" t="s">
        <v>4965</v>
      </c>
      <c r="C599" s="22" t="s">
        <v>4966</v>
      </c>
      <c r="D599" s="22" t="s">
        <v>4218</v>
      </c>
      <c r="E599" s="22" t="s">
        <v>4968</v>
      </c>
      <c r="F599" s="22" t="s">
        <v>4982</v>
      </c>
      <c r="G599" s="22" t="s">
        <v>727</v>
      </c>
      <c r="H599" s="63" t="n">
        <v>2412</v>
      </c>
      <c r="I599" s="22" t="s">
        <v>112</v>
      </c>
      <c r="J599" s="22"/>
      <c r="K599" s="63" t="n">
        <v>3544.42550891089</v>
      </c>
      <c r="L599" s="22" t="s">
        <v>1863</v>
      </c>
      <c r="M599" s="22" t="n">
        <v>1</v>
      </c>
      <c r="N599" s="22" t="s">
        <v>4980</v>
      </c>
    </row>
    <row r="600" customFormat="false" ht="15" hidden="false" customHeight="false" outlineLevel="0" collapsed="false">
      <c r="A600" s="22" t="s">
        <v>4983</v>
      </c>
      <c r="B600" s="22" t="s">
        <v>4965</v>
      </c>
      <c r="C600" s="22" t="s">
        <v>4966</v>
      </c>
      <c r="D600" s="22" t="s">
        <v>4218</v>
      </c>
      <c r="E600" s="22" t="s">
        <v>4968</v>
      </c>
      <c r="F600" s="22" t="s">
        <v>4984</v>
      </c>
      <c r="G600" s="22" t="s">
        <v>727</v>
      </c>
      <c r="H600" s="63" t="n">
        <v>588</v>
      </c>
      <c r="I600" s="22" t="s">
        <v>112</v>
      </c>
      <c r="J600" s="22"/>
      <c r="K600" s="63" t="n">
        <v>864.063930033003</v>
      </c>
      <c r="L600" s="22" t="s">
        <v>1863</v>
      </c>
      <c r="M600" s="22" t="n">
        <v>1</v>
      </c>
      <c r="N600" s="22" t="s">
        <v>4980</v>
      </c>
    </row>
    <row r="601" customFormat="false" ht="15" hidden="false" customHeight="false" outlineLevel="0" collapsed="false">
      <c r="A601" s="22" t="s">
        <v>4985</v>
      </c>
      <c r="B601" s="22" t="s">
        <v>4965</v>
      </c>
      <c r="C601" s="22" t="s">
        <v>4966</v>
      </c>
      <c r="D601" s="22" t="s">
        <v>4218</v>
      </c>
      <c r="E601" s="22" t="s">
        <v>4968</v>
      </c>
      <c r="F601" s="22" t="s">
        <v>4986</v>
      </c>
      <c r="G601" s="22" t="s">
        <v>727</v>
      </c>
      <c r="H601" s="63" t="n">
        <v>1873</v>
      </c>
      <c r="I601" s="22" t="s">
        <v>112</v>
      </c>
      <c r="J601" s="22"/>
      <c r="K601" s="63" t="n">
        <v>2752.36690638064</v>
      </c>
      <c r="L601" s="22" t="s">
        <v>1858</v>
      </c>
      <c r="M601" s="22" t="n">
        <v>1</v>
      </c>
      <c r="N601" s="22" t="s">
        <v>4980</v>
      </c>
    </row>
    <row r="602" customFormat="false" ht="15" hidden="false" customHeight="false" outlineLevel="0" collapsed="false">
      <c r="A602" s="22" t="s">
        <v>4987</v>
      </c>
      <c r="B602" s="22" t="s">
        <v>4965</v>
      </c>
      <c r="C602" s="22" t="s">
        <v>4966</v>
      </c>
      <c r="D602" s="22" t="s">
        <v>4218</v>
      </c>
      <c r="E602" s="22" t="s">
        <v>4968</v>
      </c>
      <c r="F602" s="22" t="s">
        <v>4988</v>
      </c>
      <c r="G602" s="22" t="s">
        <v>727</v>
      </c>
      <c r="H602" s="63" t="n">
        <v>256</v>
      </c>
      <c r="I602" s="22" t="s">
        <v>112</v>
      </c>
      <c r="J602" s="22"/>
      <c r="K602" s="63" t="n">
        <v>376.191098789879</v>
      </c>
      <c r="L602" s="22" t="s">
        <v>1858</v>
      </c>
      <c r="M602" s="22" t="n">
        <v>2</v>
      </c>
      <c r="N602" s="22" t="s">
        <v>4980</v>
      </c>
    </row>
    <row r="603" customFormat="false" ht="15" hidden="false" customHeight="false" outlineLevel="0" collapsed="false">
      <c r="A603" s="22" t="s">
        <v>4989</v>
      </c>
      <c r="B603" s="22" t="s">
        <v>4965</v>
      </c>
      <c r="C603" s="22" t="s">
        <v>4966</v>
      </c>
      <c r="D603" s="22" t="s">
        <v>4218</v>
      </c>
      <c r="E603" s="22" t="s">
        <v>4968</v>
      </c>
      <c r="F603" s="22" t="s">
        <v>4990</v>
      </c>
      <c r="G603" s="22" t="s">
        <v>727</v>
      </c>
      <c r="H603" s="63" t="n">
        <v>1875</v>
      </c>
      <c r="I603" s="22" t="s">
        <v>112</v>
      </c>
      <c r="J603" s="22"/>
      <c r="K603" s="63" t="n">
        <v>2755.30589933993</v>
      </c>
      <c r="L603" s="22" t="s">
        <v>4991</v>
      </c>
      <c r="M603" s="22" t="n">
        <v>1</v>
      </c>
      <c r="N603" s="22" t="s">
        <v>4992</v>
      </c>
    </row>
    <row r="604" customFormat="false" ht="15" hidden="false" customHeight="false" outlineLevel="0" collapsed="false">
      <c r="A604" s="22" t="s">
        <v>4993</v>
      </c>
      <c r="B604" s="22" t="s">
        <v>4965</v>
      </c>
      <c r="C604" s="22" t="s">
        <v>4966</v>
      </c>
      <c r="D604" s="22" t="s">
        <v>4218</v>
      </c>
      <c r="E604" s="22" t="s">
        <v>4968</v>
      </c>
      <c r="F604" s="22" t="s">
        <v>4994</v>
      </c>
      <c r="G604" s="22" t="s">
        <v>727</v>
      </c>
      <c r="H604" s="63" t="n">
        <v>808</v>
      </c>
      <c r="I604" s="22" t="s">
        <v>112</v>
      </c>
      <c r="J604" s="22"/>
      <c r="K604" s="63" t="n">
        <v>1187.35315555556</v>
      </c>
      <c r="L604" s="22" t="s">
        <v>2033</v>
      </c>
      <c r="M604" s="22" t="n">
        <v>1</v>
      </c>
      <c r="N604" s="22" t="s">
        <v>4995</v>
      </c>
    </row>
    <row r="605" customFormat="false" ht="15" hidden="false" customHeight="false" outlineLevel="0" collapsed="false">
      <c r="A605" s="22" t="s">
        <v>4996</v>
      </c>
      <c r="B605" s="22" t="s">
        <v>4965</v>
      </c>
      <c r="C605" s="22" t="s">
        <v>4966</v>
      </c>
      <c r="D605" s="22" t="s">
        <v>4218</v>
      </c>
      <c r="E605" s="22" t="s">
        <v>4968</v>
      </c>
      <c r="F605" s="22" t="s">
        <v>4997</v>
      </c>
      <c r="G605" s="22" t="s">
        <v>727</v>
      </c>
      <c r="H605" s="63" t="n">
        <v>1351</v>
      </c>
      <c r="I605" s="22" t="s">
        <v>112</v>
      </c>
      <c r="J605" s="22"/>
      <c r="K605" s="63" t="n">
        <v>1985.2897440044</v>
      </c>
      <c r="L605" s="22" t="s">
        <v>1961</v>
      </c>
      <c r="M605" s="22" t="n">
        <v>1</v>
      </c>
      <c r="N605" s="22" t="s">
        <v>4995</v>
      </c>
    </row>
    <row r="606" customFormat="false" ht="15" hidden="false" customHeight="false" outlineLevel="0" collapsed="false">
      <c r="A606" s="22" t="s">
        <v>4998</v>
      </c>
      <c r="B606" s="22" t="s">
        <v>4965</v>
      </c>
      <c r="C606" s="22" t="s">
        <v>4966</v>
      </c>
      <c r="D606" s="22" t="s">
        <v>4218</v>
      </c>
      <c r="E606" s="22" t="s">
        <v>4968</v>
      </c>
      <c r="F606" s="22" t="s">
        <v>4999</v>
      </c>
      <c r="G606" s="22" t="s">
        <v>727</v>
      </c>
      <c r="H606" s="63" t="n">
        <v>780</v>
      </c>
      <c r="I606" s="22" t="s">
        <v>112</v>
      </c>
      <c r="J606" s="22"/>
      <c r="K606" s="63" t="n">
        <v>1146.20725412541</v>
      </c>
      <c r="L606" s="22" t="s">
        <v>4254</v>
      </c>
      <c r="M606" s="22" t="n">
        <v>1</v>
      </c>
      <c r="N606" s="22" t="s">
        <v>5000</v>
      </c>
    </row>
    <row r="607" customFormat="false" ht="15" hidden="false" customHeight="false" outlineLevel="0" collapsed="false">
      <c r="A607" s="22" t="s">
        <v>5001</v>
      </c>
      <c r="B607" s="22" t="s">
        <v>5002</v>
      </c>
      <c r="C607" s="22" t="s">
        <v>4190</v>
      </c>
      <c r="D607" s="22" t="s">
        <v>4428</v>
      </c>
      <c r="E607" s="22" t="s">
        <v>5003</v>
      </c>
      <c r="F607" s="22" t="s">
        <v>5004</v>
      </c>
      <c r="G607" s="22" t="s">
        <v>5005</v>
      </c>
      <c r="H607" s="63" t="n">
        <v>1.18</v>
      </c>
      <c r="I607" s="22" t="s">
        <v>113</v>
      </c>
      <c r="J607" s="22"/>
      <c r="K607" s="63" t="n">
        <v>1.21079226972835</v>
      </c>
      <c r="L607" s="22" t="s">
        <v>1787</v>
      </c>
      <c r="M607" s="22" t="n">
        <v>4</v>
      </c>
      <c r="N607" s="22" t="s">
        <v>5006</v>
      </c>
    </row>
    <row r="608" customFormat="false" ht="15" hidden="false" customHeight="false" outlineLevel="0" collapsed="false">
      <c r="A608" s="22" t="s">
        <v>5007</v>
      </c>
      <c r="B608" s="22" t="s">
        <v>4093</v>
      </c>
      <c r="C608" s="22" t="s">
        <v>3431</v>
      </c>
      <c r="D608" s="22" t="s">
        <v>5008</v>
      </c>
      <c r="E608" s="22" t="s">
        <v>4100</v>
      </c>
      <c r="F608" s="22" t="s">
        <v>5009</v>
      </c>
      <c r="G608" s="22" t="s">
        <v>727</v>
      </c>
      <c r="H608" s="63" t="n">
        <v>23576.23</v>
      </c>
      <c r="I608" s="22" t="s">
        <v>112</v>
      </c>
      <c r="J608" s="22"/>
      <c r="K608" s="63" t="n">
        <v>32972.9609176306</v>
      </c>
      <c r="L608" s="22" t="s">
        <v>2153</v>
      </c>
      <c r="M608" s="22" t="n">
        <v>1</v>
      </c>
      <c r="N608" s="22" t="s">
        <v>5010</v>
      </c>
    </row>
    <row r="609" customFormat="false" ht="15" hidden="false" customHeight="false" outlineLevel="0" collapsed="false">
      <c r="A609" s="22" t="s">
        <v>5011</v>
      </c>
      <c r="B609" s="22" t="s">
        <v>3439</v>
      </c>
      <c r="C609" s="22" t="s">
        <v>3440</v>
      </c>
      <c r="D609" s="22" t="s">
        <v>5012</v>
      </c>
      <c r="E609" s="22" t="s">
        <v>5013</v>
      </c>
      <c r="F609" s="22" t="s">
        <v>5014</v>
      </c>
      <c r="G609" s="22" t="s">
        <v>4167</v>
      </c>
      <c r="H609" s="63" t="n">
        <v>843</v>
      </c>
      <c r="I609" s="22" t="s">
        <v>601</v>
      </c>
      <c r="J609" s="22" t="s">
        <v>4102</v>
      </c>
      <c r="K609" s="63" t="n">
        <v>484.687248909207</v>
      </c>
      <c r="L609" s="22" t="s">
        <v>3244</v>
      </c>
      <c r="M609" s="22" t="n">
        <v>2</v>
      </c>
      <c r="N609" s="22" t="s">
        <v>5015</v>
      </c>
    </row>
    <row r="610" customFormat="false" ht="15" hidden="false" customHeight="false" outlineLevel="0" collapsed="false">
      <c r="A610" s="22" t="s">
        <v>5016</v>
      </c>
      <c r="B610" s="22" t="s">
        <v>3439</v>
      </c>
      <c r="C610" s="22" t="s">
        <v>3440</v>
      </c>
      <c r="D610" s="22" t="s">
        <v>5012</v>
      </c>
      <c r="E610" s="22" t="s">
        <v>5013</v>
      </c>
      <c r="F610" s="22" t="s">
        <v>5017</v>
      </c>
      <c r="G610" s="22" t="s">
        <v>4167</v>
      </c>
      <c r="H610" s="63" t="n">
        <v>73700</v>
      </c>
      <c r="I610" s="22" t="s">
        <v>601</v>
      </c>
      <c r="J610" s="22" t="s">
        <v>4102</v>
      </c>
      <c r="K610" s="63" t="n">
        <v>42374.1995784206</v>
      </c>
      <c r="L610" s="22"/>
      <c r="M610" s="22" t="n">
        <v>1</v>
      </c>
      <c r="N610" s="22" t="s">
        <v>5015</v>
      </c>
    </row>
    <row r="611" customFormat="false" ht="15" hidden="false" customHeight="false" outlineLevel="0" collapsed="false">
      <c r="A611" s="22" t="s">
        <v>5018</v>
      </c>
      <c r="B611" s="22" t="s">
        <v>3439</v>
      </c>
      <c r="C611" s="22" t="s">
        <v>3440</v>
      </c>
      <c r="D611" s="22" t="s">
        <v>5019</v>
      </c>
      <c r="E611" s="22" t="s">
        <v>5020</v>
      </c>
      <c r="F611" s="22" t="s">
        <v>5017</v>
      </c>
      <c r="G611" s="22" t="s">
        <v>4167</v>
      </c>
      <c r="H611" s="63" t="n">
        <v>52038.17</v>
      </c>
      <c r="I611" s="22" t="s">
        <v>601</v>
      </c>
      <c r="J611" s="22"/>
      <c r="K611" s="63" t="n">
        <v>29983.087086725</v>
      </c>
      <c r="L611" s="22"/>
      <c r="M611" s="22" t="n">
        <v>1</v>
      </c>
      <c r="N611" s="22" t="s">
        <v>5021</v>
      </c>
    </row>
    <row r="612" customFormat="false" ht="15" hidden="false" customHeight="false" outlineLevel="0" collapsed="false">
      <c r="A612" s="22" t="s">
        <v>5022</v>
      </c>
      <c r="B612" s="22" t="s">
        <v>5023</v>
      </c>
      <c r="C612" s="22" t="s">
        <v>3408</v>
      </c>
      <c r="D612" s="22" t="s">
        <v>5024</v>
      </c>
      <c r="E612" s="22" t="s">
        <v>5025</v>
      </c>
      <c r="F612" s="22" t="s">
        <v>5026</v>
      </c>
      <c r="G612" s="22" t="s">
        <v>4167</v>
      </c>
      <c r="H612" s="63" t="n">
        <v>895.73</v>
      </c>
      <c r="I612" s="22" t="s">
        <v>601</v>
      </c>
      <c r="J612" s="22" t="s">
        <v>4102</v>
      </c>
      <c r="K612" s="63" t="n">
        <v>237.859651227631</v>
      </c>
      <c r="L612" s="22"/>
      <c r="M612" s="22" t="n">
        <v>1</v>
      </c>
      <c r="N612" s="22" t="s">
        <v>5027</v>
      </c>
    </row>
    <row r="613" customFormat="false" ht="15" hidden="false" customHeight="false" outlineLevel="0" collapsed="false">
      <c r="A613" s="22" t="s">
        <v>5028</v>
      </c>
      <c r="B613" s="22" t="s">
        <v>5023</v>
      </c>
      <c r="C613" s="22" t="s">
        <v>3408</v>
      </c>
      <c r="D613" s="22" t="s">
        <v>5024</v>
      </c>
      <c r="E613" s="22" t="s">
        <v>5025</v>
      </c>
      <c r="F613" s="22" t="s">
        <v>5029</v>
      </c>
      <c r="G613" s="22" t="s">
        <v>4649</v>
      </c>
      <c r="H613" s="63" t="n">
        <v>29723.65</v>
      </c>
      <c r="I613" s="22" t="s">
        <v>601</v>
      </c>
      <c r="J613" s="22" t="s">
        <v>4102</v>
      </c>
      <c r="K613" s="63" t="n">
        <v>7893.06713207348</v>
      </c>
      <c r="L613" s="22"/>
      <c r="M613" s="22" t="n">
        <v>1</v>
      </c>
      <c r="N613" s="22" t="s">
        <v>5027</v>
      </c>
    </row>
    <row r="614" customFormat="false" ht="15" hidden="false" customHeight="false" outlineLevel="0" collapsed="false">
      <c r="A614" s="22" t="s">
        <v>5030</v>
      </c>
      <c r="B614" s="22" t="s">
        <v>5023</v>
      </c>
      <c r="C614" s="22" t="s">
        <v>3408</v>
      </c>
      <c r="D614" s="22" t="s">
        <v>5024</v>
      </c>
      <c r="E614" s="22" t="s">
        <v>5025</v>
      </c>
      <c r="F614" s="22" t="s">
        <v>5031</v>
      </c>
      <c r="G614" s="22" t="s">
        <v>4167</v>
      </c>
      <c r="H614" s="63" t="n">
        <v>4800</v>
      </c>
      <c r="I614" s="22" t="s">
        <v>601</v>
      </c>
      <c r="J614" s="22" t="s">
        <v>4102</v>
      </c>
      <c r="K614" s="63" t="n">
        <v>1274.63222834183</v>
      </c>
      <c r="L614" s="22"/>
      <c r="M614" s="22" t="n">
        <v>1</v>
      </c>
      <c r="N614" s="22" t="s">
        <v>5027</v>
      </c>
    </row>
    <row r="615" customFormat="false" ht="15" hidden="false" customHeight="false" outlineLevel="0" collapsed="false">
      <c r="A615" s="22" t="s">
        <v>5032</v>
      </c>
      <c r="B615" s="22" t="s">
        <v>5023</v>
      </c>
      <c r="C615" s="22" t="s">
        <v>3408</v>
      </c>
      <c r="D615" s="22" t="s">
        <v>5024</v>
      </c>
      <c r="E615" s="22" t="s">
        <v>5025</v>
      </c>
      <c r="F615" s="22" t="s">
        <v>5033</v>
      </c>
      <c r="G615" s="22" t="s">
        <v>4167</v>
      </c>
      <c r="H615" s="63" t="n">
        <v>5949.136</v>
      </c>
      <c r="I615" s="22" t="s">
        <v>601</v>
      </c>
      <c r="J615" s="22" t="s">
        <v>4102</v>
      </c>
      <c r="K615" s="63" t="n">
        <v>1579.78343258096</v>
      </c>
      <c r="L615" s="22"/>
      <c r="M615" s="22" t="n">
        <v>3</v>
      </c>
      <c r="N615" s="22" t="s">
        <v>5027</v>
      </c>
    </row>
    <row r="616" customFormat="false" ht="15" hidden="false" customHeight="false" outlineLevel="0" collapsed="false">
      <c r="A616" s="22" t="s">
        <v>5034</v>
      </c>
      <c r="B616" s="22" t="s">
        <v>5023</v>
      </c>
      <c r="C616" s="22" t="s">
        <v>3408</v>
      </c>
      <c r="D616" s="22" t="s">
        <v>5024</v>
      </c>
      <c r="E616" s="22" t="s">
        <v>5025</v>
      </c>
      <c r="F616" s="22" t="s">
        <v>5035</v>
      </c>
      <c r="G616" s="22" t="s">
        <v>4167</v>
      </c>
      <c r="H616" s="63" t="n">
        <v>12.2</v>
      </c>
      <c r="I616" s="22" t="s">
        <v>601</v>
      </c>
      <c r="J616" s="22" t="s">
        <v>4102</v>
      </c>
      <c r="K616" s="63" t="n">
        <v>3.23969024703549</v>
      </c>
      <c r="L616" s="22" t="s">
        <v>3244</v>
      </c>
      <c r="M616" s="22" t="n">
        <v>2</v>
      </c>
      <c r="N616" s="22" t="s">
        <v>5036</v>
      </c>
    </row>
    <row r="617" customFormat="false" ht="15" hidden="false" customHeight="false" outlineLevel="0" collapsed="false">
      <c r="A617" s="22" t="s">
        <v>5037</v>
      </c>
      <c r="B617" s="22" t="s">
        <v>5023</v>
      </c>
      <c r="C617" s="22" t="s">
        <v>3408</v>
      </c>
      <c r="D617" s="22" t="s">
        <v>5024</v>
      </c>
      <c r="E617" s="22" t="s">
        <v>5025</v>
      </c>
      <c r="F617" s="22" t="s">
        <v>5038</v>
      </c>
      <c r="G617" s="22" t="s">
        <v>5039</v>
      </c>
      <c r="H617" s="63" t="n">
        <v>13.3</v>
      </c>
      <c r="I617" s="22" t="s">
        <v>601</v>
      </c>
      <c r="J617" s="22" t="s">
        <v>4102</v>
      </c>
      <c r="K617" s="63" t="n">
        <v>3.53179346603049</v>
      </c>
      <c r="L617" s="22"/>
      <c r="M617" s="22" t="n">
        <v>3</v>
      </c>
      <c r="N617" s="22" t="s">
        <v>5027</v>
      </c>
    </row>
    <row r="618" customFormat="false" ht="15" hidden="false" customHeight="false" outlineLevel="0" collapsed="false">
      <c r="A618" s="22" t="s">
        <v>5040</v>
      </c>
      <c r="B618" s="22" t="s">
        <v>4189</v>
      </c>
      <c r="C618" s="22" t="s">
        <v>4190</v>
      </c>
      <c r="D618" s="22" t="s">
        <v>5041</v>
      </c>
      <c r="E618" s="22" t="s">
        <v>5042</v>
      </c>
      <c r="F618" s="22" t="s">
        <v>5043</v>
      </c>
      <c r="G618" s="22" t="s">
        <v>4167</v>
      </c>
      <c r="H618" s="63" t="n">
        <v>150</v>
      </c>
      <c r="I618" s="22" t="s">
        <v>112</v>
      </c>
      <c r="J618" s="22" t="s">
        <v>4226</v>
      </c>
      <c r="K618" s="63" t="n">
        <v>191.407952808559</v>
      </c>
      <c r="L618" s="22"/>
      <c r="M618" s="22" t="n">
        <v>1</v>
      </c>
      <c r="N618" s="22" t="s">
        <v>5044</v>
      </c>
    </row>
    <row r="619" customFormat="false" ht="15" hidden="false" customHeight="false" outlineLevel="0" collapsed="false">
      <c r="A619" s="22" t="s">
        <v>5045</v>
      </c>
      <c r="B619" s="22" t="s">
        <v>3477</v>
      </c>
      <c r="C619" s="22" t="s">
        <v>3478</v>
      </c>
      <c r="D619" s="22" t="s">
        <v>5012</v>
      </c>
      <c r="E619" s="22" t="s">
        <v>5046</v>
      </c>
      <c r="F619" s="22" t="s">
        <v>5047</v>
      </c>
      <c r="G619" s="22" t="s">
        <v>727</v>
      </c>
      <c r="H619" s="63" t="n">
        <v>35000</v>
      </c>
      <c r="I619" s="22" t="s">
        <v>112</v>
      </c>
      <c r="J619" s="22" t="s">
        <v>4102</v>
      </c>
      <c r="K619" s="63" t="n">
        <v>47157.5857373411</v>
      </c>
      <c r="L619" s="22" t="s">
        <v>3244</v>
      </c>
      <c r="M619" s="22" t="n">
        <v>1</v>
      </c>
      <c r="N619" s="22" t="s">
        <v>5048</v>
      </c>
    </row>
    <row r="620" customFormat="false" ht="15" hidden="false" customHeight="false" outlineLevel="0" collapsed="false">
      <c r="A620" s="22" t="s">
        <v>5049</v>
      </c>
      <c r="B620" s="22" t="s">
        <v>3477</v>
      </c>
      <c r="C620" s="22" t="s">
        <v>3478</v>
      </c>
      <c r="D620" s="22" t="s">
        <v>5012</v>
      </c>
      <c r="E620" s="22" t="s">
        <v>5046</v>
      </c>
      <c r="F620" s="22" t="s">
        <v>5050</v>
      </c>
      <c r="G620" s="22" t="s">
        <v>727</v>
      </c>
      <c r="H620" s="63" t="n">
        <v>947.92</v>
      </c>
      <c r="I620" s="22" t="s">
        <v>112</v>
      </c>
      <c r="J620" s="22" t="s">
        <v>4102</v>
      </c>
      <c r="K620" s="63" t="n">
        <v>1277.1891049183</v>
      </c>
      <c r="L620" s="22" t="s">
        <v>3371</v>
      </c>
      <c r="M620" s="22" t="n">
        <v>1</v>
      </c>
      <c r="N620" s="22" t="s">
        <v>5051</v>
      </c>
    </row>
    <row r="621" customFormat="false" ht="15" hidden="false" customHeight="false" outlineLevel="0" collapsed="false">
      <c r="A621" s="22" t="s">
        <v>5052</v>
      </c>
      <c r="B621" s="22" t="s">
        <v>3477</v>
      </c>
      <c r="C621" s="22" t="s">
        <v>3478</v>
      </c>
      <c r="D621" s="22" t="s">
        <v>5012</v>
      </c>
      <c r="E621" s="22" t="s">
        <v>5046</v>
      </c>
      <c r="F621" s="22" t="s">
        <v>5053</v>
      </c>
      <c r="G621" s="22" t="s">
        <v>727</v>
      </c>
      <c r="H621" s="63" t="n">
        <v>817.72</v>
      </c>
      <c r="I621" s="22" t="s">
        <v>112</v>
      </c>
      <c r="J621" s="22" t="s">
        <v>4102</v>
      </c>
      <c r="K621" s="63" t="n">
        <v>1101.76288597539</v>
      </c>
      <c r="L621" s="22" t="s">
        <v>3371</v>
      </c>
      <c r="M621" s="22" t="n">
        <v>1</v>
      </c>
      <c r="N621" s="22" t="s">
        <v>5051</v>
      </c>
    </row>
    <row r="622" customFormat="false" ht="15" hidden="false" customHeight="false" outlineLevel="0" collapsed="false">
      <c r="A622" s="22" t="s">
        <v>5054</v>
      </c>
      <c r="B622" s="22" t="s">
        <v>3477</v>
      </c>
      <c r="C622" s="22" t="s">
        <v>3478</v>
      </c>
      <c r="D622" s="22" t="s">
        <v>5012</v>
      </c>
      <c r="E622" s="22" t="s">
        <v>5046</v>
      </c>
      <c r="F622" s="22" t="s">
        <v>5055</v>
      </c>
      <c r="G622" s="22" t="s">
        <v>853</v>
      </c>
      <c r="H622" s="63" t="n">
        <v>11.94</v>
      </c>
      <c r="I622" s="22" t="s">
        <v>112</v>
      </c>
      <c r="J622" s="22" t="s">
        <v>4102</v>
      </c>
      <c r="K622" s="63" t="n">
        <v>16.0874735343958</v>
      </c>
      <c r="L622" s="22" t="s">
        <v>3244</v>
      </c>
      <c r="M622" s="22" t="n">
        <v>2</v>
      </c>
      <c r="N622" s="22" t="s">
        <v>5056</v>
      </c>
    </row>
    <row r="623" customFormat="false" ht="15" hidden="false" customHeight="false" outlineLevel="0" collapsed="false">
      <c r="A623" s="22" t="s">
        <v>5057</v>
      </c>
      <c r="B623" s="22" t="s">
        <v>3477</v>
      </c>
      <c r="C623" s="22" t="s">
        <v>3478</v>
      </c>
      <c r="D623" s="22" t="s">
        <v>5012</v>
      </c>
      <c r="E623" s="22" t="s">
        <v>5046</v>
      </c>
      <c r="F623" s="22" t="s">
        <v>5058</v>
      </c>
      <c r="G623" s="22" t="s">
        <v>853</v>
      </c>
      <c r="H623" s="63" t="n">
        <v>24.6</v>
      </c>
      <c r="I623" s="22" t="s">
        <v>112</v>
      </c>
      <c r="J623" s="22" t="s">
        <v>4102</v>
      </c>
      <c r="K623" s="63" t="n">
        <v>33.1450459753883</v>
      </c>
      <c r="L623" s="22" t="s">
        <v>3244</v>
      </c>
      <c r="M623" s="22" t="n">
        <v>2</v>
      </c>
      <c r="N623" s="22" t="s">
        <v>5056</v>
      </c>
    </row>
    <row r="624" customFormat="false" ht="15" hidden="false" customHeight="false" outlineLevel="0" collapsed="false">
      <c r="A624" s="22" t="s">
        <v>5059</v>
      </c>
      <c r="B624" s="22" t="s">
        <v>3477</v>
      </c>
      <c r="C624" s="22" t="s">
        <v>3478</v>
      </c>
      <c r="D624" s="22" t="s">
        <v>5012</v>
      </c>
      <c r="E624" s="22" t="s">
        <v>5046</v>
      </c>
      <c r="F624" s="22" t="s">
        <v>5060</v>
      </c>
      <c r="G624" s="22" t="s">
        <v>727</v>
      </c>
      <c r="H624" s="63" t="n">
        <v>222</v>
      </c>
      <c r="I624" s="22" t="s">
        <v>112</v>
      </c>
      <c r="J624" s="22" t="s">
        <v>4102</v>
      </c>
      <c r="K624" s="63" t="n">
        <v>299.113829533992</v>
      </c>
      <c r="L624" s="22" t="s">
        <v>3244</v>
      </c>
      <c r="M624" s="22" t="n">
        <v>1</v>
      </c>
      <c r="N624" s="22" t="s">
        <v>5048</v>
      </c>
    </row>
    <row r="625" customFormat="false" ht="15" hidden="false" customHeight="false" outlineLevel="0" collapsed="false">
      <c r="A625" s="22" t="s">
        <v>5061</v>
      </c>
      <c r="B625" s="22" t="s">
        <v>3477</v>
      </c>
      <c r="C625" s="22" t="s">
        <v>3478</v>
      </c>
      <c r="D625" s="22" t="s">
        <v>5012</v>
      </c>
      <c r="E625" s="22" t="s">
        <v>5046</v>
      </c>
      <c r="F625" s="22" t="s">
        <v>5062</v>
      </c>
      <c r="G625" s="22" t="s">
        <v>727</v>
      </c>
      <c r="H625" s="63" t="n">
        <v>342</v>
      </c>
      <c r="I625" s="22" t="s">
        <v>112</v>
      </c>
      <c r="J625" s="22" t="s">
        <v>4102</v>
      </c>
      <c r="K625" s="63" t="n">
        <v>460.796980633448</v>
      </c>
      <c r="L625" s="22" t="s">
        <v>3244</v>
      </c>
      <c r="M625" s="22" t="n">
        <v>3</v>
      </c>
      <c r="N625" s="22" t="s">
        <v>5048</v>
      </c>
    </row>
    <row r="626" customFormat="false" ht="15" hidden="false" customHeight="false" outlineLevel="0" collapsed="false">
      <c r="A626" s="22" t="s">
        <v>5063</v>
      </c>
      <c r="B626" s="22" t="s">
        <v>3477</v>
      </c>
      <c r="C626" s="22" t="s">
        <v>3478</v>
      </c>
      <c r="D626" s="22" t="s">
        <v>5012</v>
      </c>
      <c r="E626" s="22" t="s">
        <v>5046</v>
      </c>
      <c r="F626" s="22" t="s">
        <v>5064</v>
      </c>
      <c r="G626" s="22" t="s">
        <v>727</v>
      </c>
      <c r="H626" s="63" t="n">
        <v>162</v>
      </c>
      <c r="I626" s="22" t="s">
        <v>112</v>
      </c>
      <c r="J626" s="22" t="s">
        <v>4102</v>
      </c>
      <c r="K626" s="63" t="n">
        <v>218.272253984265</v>
      </c>
      <c r="L626" s="22" t="s">
        <v>3244</v>
      </c>
      <c r="M626" s="22" t="n">
        <v>1</v>
      </c>
      <c r="N626" s="22" t="s">
        <v>5048</v>
      </c>
    </row>
    <row r="627" customFormat="false" ht="15" hidden="false" customHeight="false" outlineLevel="0" collapsed="false">
      <c r="A627" s="22" t="s">
        <v>5065</v>
      </c>
      <c r="B627" s="22" t="s">
        <v>3477</v>
      </c>
      <c r="C627" s="22" t="s">
        <v>3478</v>
      </c>
      <c r="D627" s="22" t="s">
        <v>5012</v>
      </c>
      <c r="E627" s="22" t="s">
        <v>5046</v>
      </c>
      <c r="F627" s="22" t="s">
        <v>5066</v>
      </c>
      <c r="G627" s="22" t="s">
        <v>727</v>
      </c>
      <c r="H627" s="63" t="n">
        <v>828</v>
      </c>
      <c r="I627" s="22" t="s">
        <v>112</v>
      </c>
      <c r="J627" s="22" t="s">
        <v>4102</v>
      </c>
      <c r="K627" s="63" t="n">
        <v>1115.61374258624</v>
      </c>
      <c r="L627" s="22" t="s">
        <v>3244</v>
      </c>
      <c r="M627" s="22" t="n">
        <v>3</v>
      </c>
      <c r="N627" s="22" t="s">
        <v>5048</v>
      </c>
    </row>
    <row r="628" customFormat="false" ht="15" hidden="false" customHeight="false" outlineLevel="0" collapsed="false">
      <c r="A628" s="22" t="s">
        <v>5067</v>
      </c>
      <c r="B628" s="22" t="s">
        <v>3477</v>
      </c>
      <c r="C628" s="22" t="s">
        <v>3478</v>
      </c>
      <c r="D628" s="22" t="s">
        <v>5012</v>
      </c>
      <c r="E628" s="22" t="s">
        <v>5046</v>
      </c>
      <c r="F628" s="22" t="s">
        <v>5068</v>
      </c>
      <c r="G628" s="22" t="s">
        <v>727</v>
      </c>
      <c r="H628" s="63" t="n">
        <v>1320</v>
      </c>
      <c r="I628" s="22" t="s">
        <v>112</v>
      </c>
      <c r="J628" s="22" t="s">
        <v>4102</v>
      </c>
      <c r="K628" s="63" t="n">
        <v>1778.51466209401</v>
      </c>
      <c r="L628" s="22" t="s">
        <v>3312</v>
      </c>
      <c r="M628" s="22" t="n">
        <v>1</v>
      </c>
      <c r="N628" s="22" t="s">
        <v>5048</v>
      </c>
    </row>
    <row r="629" customFormat="false" ht="15" hidden="false" customHeight="false" outlineLevel="0" collapsed="false">
      <c r="A629" s="22" t="s">
        <v>5069</v>
      </c>
      <c r="B629" s="22" t="s">
        <v>3477</v>
      </c>
      <c r="C629" s="22" t="s">
        <v>3478</v>
      </c>
      <c r="D629" s="22" t="s">
        <v>5012</v>
      </c>
      <c r="E629" s="22" t="s">
        <v>5046</v>
      </c>
      <c r="F629" s="22" t="s">
        <v>5070</v>
      </c>
      <c r="G629" s="22" t="s">
        <v>727</v>
      </c>
      <c r="H629" s="63" t="n">
        <v>1860</v>
      </c>
      <c r="I629" s="22" t="s">
        <v>112</v>
      </c>
      <c r="J629" s="22" t="s">
        <v>4102</v>
      </c>
      <c r="K629" s="63" t="n">
        <v>2506.08884204156</v>
      </c>
      <c r="L629" s="22" t="s">
        <v>3244</v>
      </c>
      <c r="M629" s="22" t="n">
        <v>1</v>
      </c>
      <c r="N629" s="22" t="s">
        <v>5048</v>
      </c>
    </row>
    <row r="630" customFormat="false" ht="15" hidden="false" customHeight="false" outlineLevel="0" collapsed="false">
      <c r="A630" s="22" t="s">
        <v>5071</v>
      </c>
      <c r="B630" s="22" t="s">
        <v>3477</v>
      </c>
      <c r="C630" s="22" t="s">
        <v>3478</v>
      </c>
      <c r="D630" s="22" t="s">
        <v>5012</v>
      </c>
      <c r="E630" s="22" t="s">
        <v>5046</v>
      </c>
      <c r="F630" s="22" t="s">
        <v>5072</v>
      </c>
      <c r="G630" s="22" t="s">
        <v>727</v>
      </c>
      <c r="H630" s="63" t="n">
        <v>384</v>
      </c>
      <c r="I630" s="22" t="s">
        <v>112</v>
      </c>
      <c r="J630" s="22" t="s">
        <v>4102</v>
      </c>
      <c r="K630" s="63" t="n">
        <v>517.386083518257</v>
      </c>
      <c r="L630" s="22" t="s">
        <v>3312</v>
      </c>
      <c r="M630" s="22" t="n">
        <v>2</v>
      </c>
      <c r="N630" s="22" t="s">
        <v>5048</v>
      </c>
    </row>
    <row r="631" customFormat="false" ht="15" hidden="false" customHeight="false" outlineLevel="0" collapsed="false">
      <c r="A631" s="22" t="s">
        <v>5073</v>
      </c>
      <c r="B631" s="22" t="s">
        <v>3477</v>
      </c>
      <c r="C631" s="22" t="s">
        <v>3478</v>
      </c>
      <c r="D631" s="22" t="s">
        <v>5012</v>
      </c>
      <c r="E631" s="22" t="s">
        <v>5046</v>
      </c>
      <c r="F631" s="22" t="s">
        <v>5074</v>
      </c>
      <c r="G631" s="22" t="s">
        <v>727</v>
      </c>
      <c r="H631" s="63" t="n">
        <v>852</v>
      </c>
      <c r="I631" s="22" t="s">
        <v>112</v>
      </c>
      <c r="J631" s="22" t="s">
        <v>4102</v>
      </c>
      <c r="K631" s="63" t="n">
        <v>1147.95037280613</v>
      </c>
      <c r="L631" s="22" t="s">
        <v>3244</v>
      </c>
      <c r="M631" s="22" t="n">
        <v>2</v>
      </c>
      <c r="N631" s="22" t="s">
        <v>5048</v>
      </c>
    </row>
    <row r="632" customFormat="false" ht="15" hidden="false" customHeight="false" outlineLevel="0" collapsed="false">
      <c r="A632" s="22" t="s">
        <v>5075</v>
      </c>
      <c r="B632" s="22" t="s">
        <v>3477</v>
      </c>
      <c r="C632" s="22" t="s">
        <v>3478</v>
      </c>
      <c r="D632" s="22" t="s">
        <v>5012</v>
      </c>
      <c r="E632" s="22" t="s">
        <v>5046</v>
      </c>
      <c r="F632" s="22" t="s">
        <v>5076</v>
      </c>
      <c r="G632" s="22" t="s">
        <v>727</v>
      </c>
      <c r="H632" s="63" t="n">
        <v>864</v>
      </c>
      <c r="I632" s="22" t="s">
        <v>112</v>
      </c>
      <c r="J632" s="22" t="s">
        <v>4102</v>
      </c>
      <c r="K632" s="63" t="n">
        <v>1164.11868791608</v>
      </c>
      <c r="L632" s="22" t="s">
        <v>3244</v>
      </c>
      <c r="M632" s="22" t="n">
        <v>1</v>
      </c>
      <c r="N632" s="22" t="s">
        <v>5048</v>
      </c>
    </row>
    <row r="633" customFormat="false" ht="15" hidden="false" customHeight="false" outlineLevel="0" collapsed="false">
      <c r="A633" s="22" t="s">
        <v>5077</v>
      </c>
      <c r="B633" s="22" t="s">
        <v>3477</v>
      </c>
      <c r="C633" s="22" t="s">
        <v>3478</v>
      </c>
      <c r="D633" s="22" t="s">
        <v>5012</v>
      </c>
      <c r="E633" s="22" t="s">
        <v>5046</v>
      </c>
      <c r="F633" s="22" t="s">
        <v>5078</v>
      </c>
      <c r="G633" s="22" t="s">
        <v>727</v>
      </c>
      <c r="H633" s="63" t="n">
        <v>1536</v>
      </c>
      <c r="I633" s="22" t="s">
        <v>112</v>
      </c>
      <c r="J633" s="22" t="s">
        <v>4102</v>
      </c>
      <c r="K633" s="63" t="n">
        <v>2069.54433407303</v>
      </c>
      <c r="L633" s="22" t="s">
        <v>3244</v>
      </c>
      <c r="M633" s="22" t="n">
        <v>2</v>
      </c>
      <c r="N633" s="22" t="s">
        <v>5048</v>
      </c>
    </row>
    <row r="634" customFormat="false" ht="15" hidden="false" customHeight="false" outlineLevel="0" collapsed="false">
      <c r="A634" s="22" t="s">
        <v>5079</v>
      </c>
      <c r="B634" s="22" t="s">
        <v>3477</v>
      </c>
      <c r="C634" s="22" t="s">
        <v>3478</v>
      </c>
      <c r="D634" s="22" t="s">
        <v>5012</v>
      </c>
      <c r="E634" s="22" t="s">
        <v>5046</v>
      </c>
      <c r="F634" s="22" t="s">
        <v>5080</v>
      </c>
      <c r="G634" s="22" t="s">
        <v>727</v>
      </c>
      <c r="H634" s="63" t="n">
        <v>552</v>
      </c>
      <c r="I634" s="22" t="s">
        <v>112</v>
      </c>
      <c r="J634" s="22" t="s">
        <v>4102</v>
      </c>
      <c r="K634" s="63" t="n">
        <v>743.742495057495</v>
      </c>
      <c r="L634" s="22" t="s">
        <v>3244</v>
      </c>
      <c r="M634" s="22" t="n">
        <v>1</v>
      </c>
      <c r="N634" s="22" t="s">
        <v>5048</v>
      </c>
    </row>
    <row r="635" customFormat="false" ht="15" hidden="false" customHeight="false" outlineLevel="0" collapsed="false">
      <c r="A635" s="22" t="s">
        <v>5081</v>
      </c>
      <c r="B635" s="22" t="s">
        <v>3477</v>
      </c>
      <c r="C635" s="22" t="s">
        <v>3478</v>
      </c>
      <c r="D635" s="22" t="s">
        <v>5012</v>
      </c>
      <c r="E635" s="22" t="s">
        <v>5046</v>
      </c>
      <c r="F635" s="22" t="s">
        <v>5082</v>
      </c>
      <c r="G635" s="22" t="s">
        <v>727</v>
      </c>
      <c r="H635" s="63" t="n">
        <v>432</v>
      </c>
      <c r="I635" s="22" t="s">
        <v>112</v>
      </c>
      <c r="J635" s="22" t="s">
        <v>4102</v>
      </c>
      <c r="K635" s="63" t="n">
        <v>582.059343958039</v>
      </c>
      <c r="L635" s="22"/>
      <c r="M635" s="22" t="n">
        <v>2</v>
      </c>
      <c r="N635" s="22" t="s">
        <v>5048</v>
      </c>
    </row>
    <row r="636" customFormat="false" ht="15" hidden="false" customHeight="false" outlineLevel="0" collapsed="false">
      <c r="A636" s="22" t="s">
        <v>5083</v>
      </c>
      <c r="B636" s="22" t="s">
        <v>3477</v>
      </c>
      <c r="C636" s="22" t="s">
        <v>3478</v>
      </c>
      <c r="D636" s="22" t="s">
        <v>5012</v>
      </c>
      <c r="E636" s="22" t="s">
        <v>5046</v>
      </c>
      <c r="F636" s="22" t="s">
        <v>5084</v>
      </c>
      <c r="G636" s="22" t="s">
        <v>727</v>
      </c>
      <c r="H636" s="63" t="n">
        <v>3360</v>
      </c>
      <c r="I636" s="22" t="s">
        <v>112</v>
      </c>
      <c r="J636" s="22" t="s">
        <v>4102</v>
      </c>
      <c r="K636" s="63" t="n">
        <v>4527.12823078475</v>
      </c>
      <c r="L636" s="22" t="s">
        <v>3312</v>
      </c>
      <c r="M636" s="22" t="n">
        <v>1</v>
      </c>
      <c r="N636" s="22" t="s">
        <v>5048</v>
      </c>
    </row>
    <row r="637" customFormat="false" ht="15" hidden="false" customHeight="false" outlineLevel="0" collapsed="false">
      <c r="A637" s="22" t="s">
        <v>5085</v>
      </c>
      <c r="B637" s="22" t="s">
        <v>3477</v>
      </c>
      <c r="C637" s="22" t="s">
        <v>3478</v>
      </c>
      <c r="D637" s="22" t="s">
        <v>5012</v>
      </c>
      <c r="E637" s="22" t="s">
        <v>5046</v>
      </c>
      <c r="F637" s="22" t="s">
        <v>5086</v>
      </c>
      <c r="G637" s="22" t="s">
        <v>748</v>
      </c>
      <c r="H637" s="63" t="n">
        <v>36</v>
      </c>
      <c r="I637" s="22" t="s">
        <v>112</v>
      </c>
      <c r="J637" s="22" t="s">
        <v>4102</v>
      </c>
      <c r="K637" s="63" t="n">
        <v>48.5049453298366</v>
      </c>
      <c r="L637" s="22" t="s">
        <v>3244</v>
      </c>
      <c r="M637" s="22" t="n">
        <v>8</v>
      </c>
      <c r="N637" s="22" t="s">
        <v>5048</v>
      </c>
    </row>
    <row r="638" customFormat="false" ht="15" hidden="false" customHeight="false" outlineLevel="0" collapsed="false">
      <c r="A638" s="22" t="s">
        <v>5087</v>
      </c>
      <c r="B638" s="22" t="s">
        <v>3477</v>
      </c>
      <c r="C638" s="22" t="s">
        <v>3478</v>
      </c>
      <c r="D638" s="22" t="s">
        <v>5012</v>
      </c>
      <c r="E638" s="22" t="s">
        <v>5046</v>
      </c>
      <c r="F638" s="22" t="s">
        <v>5088</v>
      </c>
      <c r="G638" s="22" t="s">
        <v>727</v>
      </c>
      <c r="H638" s="63" t="n">
        <v>612</v>
      </c>
      <c r="I638" s="22" t="s">
        <v>112</v>
      </c>
      <c r="J638" s="22" t="s">
        <v>4102</v>
      </c>
      <c r="K638" s="63" t="n">
        <v>824.584070607222</v>
      </c>
      <c r="L638" s="22" t="s">
        <v>3312</v>
      </c>
      <c r="M638" s="22" t="n">
        <v>1</v>
      </c>
      <c r="N638" s="22" t="s">
        <v>5089</v>
      </c>
    </row>
    <row r="639" customFormat="false" ht="15" hidden="false" customHeight="false" outlineLevel="0" collapsed="false">
      <c r="A639" s="22" t="s">
        <v>5090</v>
      </c>
      <c r="B639" s="22" t="s">
        <v>3477</v>
      </c>
      <c r="C639" s="22" t="s">
        <v>3478</v>
      </c>
      <c r="D639" s="22" t="s">
        <v>5012</v>
      </c>
      <c r="E639" s="22" t="s">
        <v>5046</v>
      </c>
      <c r="F639" s="22" t="s">
        <v>5091</v>
      </c>
      <c r="G639" s="22" t="s">
        <v>727</v>
      </c>
      <c r="H639" s="63" t="n">
        <v>552</v>
      </c>
      <c r="I639" s="22" t="s">
        <v>112</v>
      </c>
      <c r="J639" s="22" t="s">
        <v>4102</v>
      </c>
      <c r="K639" s="63" t="n">
        <v>743.742495057495</v>
      </c>
      <c r="L639" s="22" t="s">
        <v>3312</v>
      </c>
      <c r="M639" s="22" t="n">
        <v>1</v>
      </c>
      <c r="N639" s="22" t="s">
        <v>5089</v>
      </c>
    </row>
    <row r="640" customFormat="false" ht="15" hidden="false" customHeight="false" outlineLevel="0" collapsed="false">
      <c r="A640" s="22" t="s">
        <v>5092</v>
      </c>
      <c r="B640" s="22" t="s">
        <v>3477</v>
      </c>
      <c r="C640" s="22" t="s">
        <v>3478</v>
      </c>
      <c r="D640" s="22" t="s">
        <v>5012</v>
      </c>
      <c r="E640" s="22" t="s">
        <v>5046</v>
      </c>
      <c r="F640" s="22" t="s">
        <v>5093</v>
      </c>
      <c r="G640" s="22" t="s">
        <v>727</v>
      </c>
      <c r="H640" s="63" t="n">
        <v>15240</v>
      </c>
      <c r="I640" s="22" t="s">
        <v>112</v>
      </c>
      <c r="J640" s="22" t="s">
        <v>4102</v>
      </c>
      <c r="K640" s="63" t="n">
        <v>20533.7601896308</v>
      </c>
      <c r="L640" s="22" t="s">
        <v>3312</v>
      </c>
      <c r="M640" s="22" t="n">
        <v>1</v>
      </c>
      <c r="N640" s="22" t="s">
        <v>5094</v>
      </c>
    </row>
    <row r="641" customFormat="false" ht="15" hidden="false" customHeight="false" outlineLevel="0" collapsed="false">
      <c r="A641" s="22" t="s">
        <v>5095</v>
      </c>
      <c r="B641" s="22" t="s">
        <v>3477</v>
      </c>
      <c r="C641" s="22" t="s">
        <v>3478</v>
      </c>
      <c r="D641" s="22" t="s">
        <v>5012</v>
      </c>
      <c r="E641" s="22" t="s">
        <v>5046</v>
      </c>
      <c r="F641" s="22" t="s">
        <v>5096</v>
      </c>
      <c r="G641" s="22" t="s">
        <v>727</v>
      </c>
      <c r="H641" s="63" t="n">
        <v>18840</v>
      </c>
      <c r="I641" s="22" t="s">
        <v>112</v>
      </c>
      <c r="J641" s="22" t="s">
        <v>4102</v>
      </c>
      <c r="K641" s="63" t="n">
        <v>25384.2547226145</v>
      </c>
      <c r="L641" s="22" t="s">
        <v>3312</v>
      </c>
      <c r="M641" s="22" t="n">
        <v>1</v>
      </c>
      <c r="N641" s="22" t="s">
        <v>5094</v>
      </c>
    </row>
    <row r="642" customFormat="false" ht="15" hidden="false" customHeight="false" outlineLevel="0" collapsed="false">
      <c r="A642" s="22" t="s">
        <v>5097</v>
      </c>
      <c r="B642" s="22" t="s">
        <v>3477</v>
      </c>
      <c r="C642" s="22" t="s">
        <v>3478</v>
      </c>
      <c r="D642" s="22" t="s">
        <v>5012</v>
      </c>
      <c r="E642" s="22" t="s">
        <v>5046</v>
      </c>
      <c r="F642" s="22" t="s">
        <v>5098</v>
      </c>
      <c r="G642" s="22" t="s">
        <v>727</v>
      </c>
      <c r="H642" s="63" t="n">
        <v>900</v>
      </c>
      <c r="I642" s="22" t="s">
        <v>112</v>
      </c>
      <c r="J642" s="22" t="s">
        <v>4102</v>
      </c>
      <c r="K642" s="63" t="n">
        <v>1212.62363324591</v>
      </c>
      <c r="L642" s="22" t="s">
        <v>3312</v>
      </c>
      <c r="M642" s="22" t="n">
        <v>3</v>
      </c>
      <c r="N642" s="22" t="s">
        <v>5089</v>
      </c>
    </row>
    <row r="643" customFormat="false" ht="15" hidden="false" customHeight="false" outlineLevel="0" collapsed="false">
      <c r="A643" s="22" t="s">
        <v>5099</v>
      </c>
      <c r="B643" s="22" t="s">
        <v>3477</v>
      </c>
      <c r="C643" s="22" t="s">
        <v>3478</v>
      </c>
      <c r="D643" s="22" t="s">
        <v>5012</v>
      </c>
      <c r="E643" s="22" t="s">
        <v>5046</v>
      </c>
      <c r="F643" s="22" t="s">
        <v>5100</v>
      </c>
      <c r="G643" s="22" t="s">
        <v>727</v>
      </c>
      <c r="H643" s="63" t="n">
        <v>28680</v>
      </c>
      <c r="I643" s="22" t="s">
        <v>112</v>
      </c>
      <c r="J643" s="22" t="s">
        <v>4102</v>
      </c>
      <c r="K643" s="63" t="n">
        <v>38642.2731127698</v>
      </c>
      <c r="L643" s="22" t="s">
        <v>3312</v>
      </c>
      <c r="M643" s="22" t="n">
        <v>1</v>
      </c>
      <c r="N643" s="22" t="s">
        <v>5094</v>
      </c>
    </row>
    <row r="644" customFormat="false" ht="15" hidden="false" customHeight="false" outlineLevel="0" collapsed="false">
      <c r="A644" s="22" t="s">
        <v>5101</v>
      </c>
      <c r="B644" s="22" t="s">
        <v>3477</v>
      </c>
      <c r="C644" s="22" t="s">
        <v>3478</v>
      </c>
      <c r="D644" s="22" t="s">
        <v>5012</v>
      </c>
      <c r="E644" s="22" t="s">
        <v>5046</v>
      </c>
      <c r="F644" s="22" t="s">
        <v>5102</v>
      </c>
      <c r="G644" s="22" t="s">
        <v>727</v>
      </c>
      <c r="H644" s="63" t="n">
        <v>780</v>
      </c>
      <c r="I644" s="22" t="s">
        <v>112</v>
      </c>
      <c r="J644" s="22" t="s">
        <v>4102</v>
      </c>
      <c r="K644" s="63" t="n">
        <v>1050.94048214646</v>
      </c>
      <c r="L644" s="22" t="s">
        <v>3244</v>
      </c>
      <c r="M644" s="22" t="n">
        <v>2</v>
      </c>
      <c r="N644" s="22" t="s">
        <v>5103</v>
      </c>
    </row>
    <row r="645" customFormat="false" ht="15" hidden="false" customHeight="false" outlineLevel="0" collapsed="false">
      <c r="A645" s="22" t="s">
        <v>5104</v>
      </c>
      <c r="B645" s="22" t="s">
        <v>3477</v>
      </c>
      <c r="C645" s="22" t="s">
        <v>3478</v>
      </c>
      <c r="D645" s="22" t="s">
        <v>5105</v>
      </c>
      <c r="E645" s="22" t="s">
        <v>5046</v>
      </c>
      <c r="F645" s="22" t="s">
        <v>5106</v>
      </c>
      <c r="G645" s="22" t="s">
        <v>732</v>
      </c>
      <c r="H645" s="63" t="n">
        <v>345.44</v>
      </c>
      <c r="I645" s="22" t="s">
        <v>112</v>
      </c>
      <c r="J645" s="22" t="s">
        <v>4226</v>
      </c>
      <c r="K645" s="63" t="n">
        <v>465.431897631632</v>
      </c>
      <c r="L645" s="22" t="s">
        <v>3244</v>
      </c>
      <c r="M645" s="22" t="n">
        <v>3</v>
      </c>
      <c r="N645" s="22" t="s">
        <v>5107</v>
      </c>
    </row>
    <row r="646" customFormat="false" ht="15" hidden="false" customHeight="false" outlineLevel="0" collapsed="false">
      <c r="A646" s="22" t="s">
        <v>5108</v>
      </c>
      <c r="B646" s="22" t="s">
        <v>3477</v>
      </c>
      <c r="C646" s="22" t="s">
        <v>3478</v>
      </c>
      <c r="D646" s="22" t="s">
        <v>5105</v>
      </c>
      <c r="E646" s="22" t="s">
        <v>5046</v>
      </c>
      <c r="F646" s="22" t="s">
        <v>5109</v>
      </c>
      <c r="G646" s="22" t="s">
        <v>732</v>
      </c>
      <c r="H646" s="63" t="n">
        <v>1361.76</v>
      </c>
      <c r="I646" s="22" t="s">
        <v>112</v>
      </c>
      <c r="J646" s="22" t="s">
        <v>4226</v>
      </c>
      <c r="K646" s="63" t="n">
        <v>1834.78039867662</v>
      </c>
      <c r="L646" s="22" t="s">
        <v>3244</v>
      </c>
      <c r="M646" s="22" t="n">
        <v>1</v>
      </c>
      <c r="N646" s="22" t="s">
        <v>5110</v>
      </c>
    </row>
    <row r="647" customFormat="false" ht="15" hidden="false" customHeight="false" outlineLevel="0" collapsed="false">
      <c r="A647" s="22" t="s">
        <v>5111</v>
      </c>
      <c r="B647" s="22" t="s">
        <v>3477</v>
      </c>
      <c r="C647" s="22" t="s">
        <v>3478</v>
      </c>
      <c r="D647" s="22" t="s">
        <v>5105</v>
      </c>
      <c r="E647" s="22" t="s">
        <v>5046</v>
      </c>
      <c r="F647" s="22" t="s">
        <v>5112</v>
      </c>
      <c r="G647" s="22" t="s">
        <v>732</v>
      </c>
      <c r="H647" s="63" t="n">
        <v>261.17</v>
      </c>
      <c r="I647" s="22" t="s">
        <v>112</v>
      </c>
      <c r="J647" s="22" t="s">
        <v>4226</v>
      </c>
      <c r="K647" s="63" t="n">
        <v>351.88990477204</v>
      </c>
      <c r="L647" s="22" t="s">
        <v>3312</v>
      </c>
      <c r="M647" s="22" t="n">
        <v>1</v>
      </c>
      <c r="N647" s="22" t="s">
        <v>5113</v>
      </c>
    </row>
    <row r="648" customFormat="false" ht="15" hidden="false" customHeight="false" outlineLevel="0" collapsed="false">
      <c r="A648" s="22" t="s">
        <v>5114</v>
      </c>
      <c r="B648" s="22" t="s">
        <v>3477</v>
      </c>
      <c r="C648" s="22" t="s">
        <v>3478</v>
      </c>
      <c r="D648" s="22" t="s">
        <v>5105</v>
      </c>
      <c r="E648" s="22" t="s">
        <v>5046</v>
      </c>
      <c r="F648" s="22" t="s">
        <v>5115</v>
      </c>
      <c r="G648" s="22" t="s">
        <v>732</v>
      </c>
      <c r="H648" s="63" t="n">
        <v>539.13</v>
      </c>
      <c r="I648" s="22" t="s">
        <v>112</v>
      </c>
      <c r="J648" s="22" t="s">
        <v>4226</v>
      </c>
      <c r="K648" s="63" t="n">
        <v>726.401977102078</v>
      </c>
      <c r="L648" s="22" t="s">
        <v>3244</v>
      </c>
      <c r="M648" s="22" t="n">
        <v>1</v>
      </c>
      <c r="N648" s="22" t="s">
        <v>5116</v>
      </c>
    </row>
    <row r="649" customFormat="false" ht="15" hidden="false" customHeight="false" outlineLevel="0" collapsed="false">
      <c r="A649" s="22" t="s">
        <v>5117</v>
      </c>
      <c r="B649" s="22" t="s">
        <v>3477</v>
      </c>
      <c r="C649" s="22" t="s">
        <v>3478</v>
      </c>
      <c r="D649" s="22" t="s">
        <v>5105</v>
      </c>
      <c r="E649" s="22" t="s">
        <v>5046</v>
      </c>
      <c r="F649" s="22" t="s">
        <v>5118</v>
      </c>
      <c r="G649" s="22" t="s">
        <v>732</v>
      </c>
      <c r="H649" s="63" t="n">
        <v>646.73</v>
      </c>
      <c r="I649" s="22" t="s">
        <v>112</v>
      </c>
      <c r="J649" s="22" t="s">
        <v>4226</v>
      </c>
      <c r="K649" s="63" t="n">
        <v>871.377869254589</v>
      </c>
      <c r="L649" s="22" t="s">
        <v>3312</v>
      </c>
      <c r="M649" s="22" t="n">
        <v>2</v>
      </c>
      <c r="N649" s="22" t="s">
        <v>5119</v>
      </c>
    </row>
    <row r="650" customFormat="false" ht="15" hidden="false" customHeight="false" outlineLevel="0" collapsed="false">
      <c r="A650" s="22" t="s">
        <v>5120</v>
      </c>
      <c r="B650" s="22" t="s">
        <v>3477</v>
      </c>
      <c r="C650" s="22" t="s">
        <v>3478</v>
      </c>
      <c r="D650" s="22" t="s">
        <v>5105</v>
      </c>
      <c r="E650" s="22" t="s">
        <v>5046</v>
      </c>
      <c r="F650" s="22" t="s">
        <v>5121</v>
      </c>
      <c r="G650" s="22" t="s">
        <v>732</v>
      </c>
      <c r="H650" s="63" t="n">
        <v>5910.15</v>
      </c>
      <c r="I650" s="22" t="s">
        <v>112</v>
      </c>
      <c r="J650" s="22" t="s">
        <v>4226</v>
      </c>
      <c r="K650" s="63" t="n">
        <v>7963.09729558705</v>
      </c>
      <c r="L650" s="22" t="s">
        <v>3244</v>
      </c>
      <c r="M650" s="22" t="n">
        <v>2</v>
      </c>
      <c r="N650" s="22" t="s">
        <v>5122</v>
      </c>
    </row>
    <row r="651" customFormat="false" ht="15" hidden="false" customHeight="false" outlineLevel="0" collapsed="false">
      <c r="A651" s="22" t="s">
        <v>5123</v>
      </c>
      <c r="B651" s="22" t="s">
        <v>3477</v>
      </c>
      <c r="C651" s="22" t="s">
        <v>3478</v>
      </c>
      <c r="D651" s="22" t="s">
        <v>5105</v>
      </c>
      <c r="E651" s="22" t="s">
        <v>5046</v>
      </c>
      <c r="F651" s="22" t="s">
        <v>5124</v>
      </c>
      <c r="G651" s="22" t="s">
        <v>732</v>
      </c>
      <c r="H651" s="63" t="n">
        <v>3842.04</v>
      </c>
      <c r="I651" s="22" t="s">
        <v>112</v>
      </c>
      <c r="J651" s="22" t="s">
        <v>4226</v>
      </c>
      <c r="K651" s="63" t="n">
        <v>5176.60944875126</v>
      </c>
      <c r="L651" s="22" t="s">
        <v>3312</v>
      </c>
      <c r="M651" s="22" t="n">
        <v>1</v>
      </c>
      <c r="N651" s="22" t="s">
        <v>5125</v>
      </c>
    </row>
    <row r="652" customFormat="false" ht="15" hidden="false" customHeight="false" outlineLevel="0" collapsed="false">
      <c r="A652" s="22" t="s">
        <v>5126</v>
      </c>
      <c r="B652" s="22" t="s">
        <v>3477</v>
      </c>
      <c r="C652" s="22" t="s">
        <v>3478</v>
      </c>
      <c r="D652" s="22" t="s">
        <v>5105</v>
      </c>
      <c r="E652" s="22" t="s">
        <v>5046</v>
      </c>
      <c r="F652" s="22" t="s">
        <v>5127</v>
      </c>
      <c r="G652" s="22" t="s">
        <v>732</v>
      </c>
      <c r="H652" s="63" t="n">
        <v>147.87</v>
      </c>
      <c r="I652" s="22" t="s">
        <v>112</v>
      </c>
      <c r="J652" s="22" t="s">
        <v>4226</v>
      </c>
      <c r="K652" s="63" t="n">
        <v>199.234062942304</v>
      </c>
      <c r="L652" s="22" t="s">
        <v>3244</v>
      </c>
      <c r="M652" s="22" t="n">
        <v>2</v>
      </c>
      <c r="N652" s="22" t="s">
        <v>5128</v>
      </c>
    </row>
    <row r="653" customFormat="false" ht="15" hidden="false" customHeight="false" outlineLevel="0" collapsed="false">
      <c r="A653" s="22" t="s">
        <v>5129</v>
      </c>
      <c r="B653" s="22" t="s">
        <v>3477</v>
      </c>
      <c r="C653" s="22" t="s">
        <v>3478</v>
      </c>
      <c r="D653" s="22" t="s">
        <v>5105</v>
      </c>
      <c r="E653" s="22" t="s">
        <v>5046</v>
      </c>
      <c r="F653" s="22" t="s">
        <v>5130</v>
      </c>
      <c r="G653" s="22" t="s">
        <v>732</v>
      </c>
      <c r="H653" s="63" t="n">
        <v>29.55</v>
      </c>
      <c r="I653" s="22" t="s">
        <v>112</v>
      </c>
      <c r="J653" s="22" t="s">
        <v>4226</v>
      </c>
      <c r="K653" s="63" t="n">
        <v>39.8144759582409</v>
      </c>
      <c r="L653" s="22" t="s">
        <v>3244</v>
      </c>
      <c r="M653" s="22" t="n">
        <v>1</v>
      </c>
      <c r="N653" s="22" t="s">
        <v>5131</v>
      </c>
    </row>
    <row r="654" customFormat="false" ht="15" hidden="false" customHeight="false" outlineLevel="0" collapsed="false">
      <c r="A654" s="22" t="s">
        <v>5132</v>
      </c>
      <c r="B654" s="22" t="s">
        <v>5133</v>
      </c>
      <c r="C654" s="22" t="s">
        <v>3478</v>
      </c>
      <c r="D654" s="22" t="s">
        <v>5134</v>
      </c>
      <c r="E654" s="22" t="s">
        <v>5135</v>
      </c>
      <c r="F654" s="22" t="s">
        <v>5136</v>
      </c>
      <c r="G654" s="22" t="s">
        <v>4167</v>
      </c>
      <c r="H654" s="63" t="n">
        <v>1620</v>
      </c>
      <c r="I654" s="22" t="s">
        <v>601</v>
      </c>
      <c r="J654" s="22"/>
      <c r="K654" s="63" t="n">
        <v>763.365827206337</v>
      </c>
      <c r="L654" s="22"/>
      <c r="M654" s="22" t="n">
        <v>1</v>
      </c>
      <c r="N654" s="22" t="s">
        <v>5137</v>
      </c>
    </row>
    <row r="655" customFormat="false" ht="15" hidden="false" customHeight="false" outlineLevel="0" collapsed="false">
      <c r="A655" s="22" t="s">
        <v>5138</v>
      </c>
      <c r="B655" s="22" t="s">
        <v>5133</v>
      </c>
      <c r="C655" s="22" t="s">
        <v>3478</v>
      </c>
      <c r="D655" s="22" t="s">
        <v>5134</v>
      </c>
      <c r="E655" s="22" t="s">
        <v>5135</v>
      </c>
      <c r="F655" s="22" t="s">
        <v>5139</v>
      </c>
      <c r="G655" s="22" t="s">
        <v>853</v>
      </c>
      <c r="H655" s="63" t="n">
        <v>28.5</v>
      </c>
      <c r="I655" s="22" t="s">
        <v>601</v>
      </c>
      <c r="J655" s="22"/>
      <c r="K655" s="63" t="n">
        <v>13.4295839971485</v>
      </c>
      <c r="L655" s="22" t="s">
        <v>3244</v>
      </c>
      <c r="M655" s="22" t="n">
        <v>2</v>
      </c>
      <c r="N655" s="22" t="s">
        <v>5137</v>
      </c>
    </row>
    <row r="656" customFormat="false" ht="15" hidden="false" customHeight="false" outlineLevel="0" collapsed="false">
      <c r="A656" s="22" t="s">
        <v>5140</v>
      </c>
      <c r="B656" s="22" t="s">
        <v>5133</v>
      </c>
      <c r="C656" s="22" t="s">
        <v>3478</v>
      </c>
      <c r="D656" s="22" t="s">
        <v>5134</v>
      </c>
      <c r="E656" s="22" t="s">
        <v>5135</v>
      </c>
      <c r="F656" s="22" t="s">
        <v>5141</v>
      </c>
      <c r="G656" s="22" t="s">
        <v>853</v>
      </c>
      <c r="H656" s="63" t="n">
        <v>31</v>
      </c>
      <c r="I656" s="22" t="s">
        <v>601</v>
      </c>
      <c r="J656" s="22"/>
      <c r="K656" s="63" t="n">
        <v>14.6076176811089</v>
      </c>
      <c r="L656" s="22" t="s">
        <v>3244</v>
      </c>
      <c r="M656" s="22" t="n">
        <v>1</v>
      </c>
      <c r="N656" s="22" t="s">
        <v>5137</v>
      </c>
    </row>
    <row r="657" customFormat="false" ht="15" hidden="false" customHeight="false" outlineLevel="0" collapsed="false">
      <c r="A657" s="22" t="s">
        <v>5142</v>
      </c>
      <c r="B657" s="22" t="s">
        <v>5133</v>
      </c>
      <c r="C657" s="22" t="s">
        <v>3478</v>
      </c>
      <c r="D657" s="22" t="s">
        <v>5134</v>
      </c>
      <c r="E657" s="22" t="s">
        <v>5135</v>
      </c>
      <c r="F657" s="22" t="s">
        <v>5143</v>
      </c>
      <c r="G657" s="22" t="s">
        <v>4167</v>
      </c>
      <c r="H657" s="63" t="n">
        <v>1750</v>
      </c>
      <c r="I657" s="22" t="s">
        <v>601</v>
      </c>
      <c r="J657" s="22"/>
      <c r="K657" s="63" t="n">
        <v>824.623578772278</v>
      </c>
      <c r="L657" s="22" t="s">
        <v>3244</v>
      </c>
      <c r="M657" s="22" t="n">
        <v>3</v>
      </c>
      <c r="N657" s="22" t="s">
        <v>5137</v>
      </c>
    </row>
    <row r="658" customFormat="false" ht="15" hidden="false" customHeight="false" outlineLevel="0" collapsed="false">
      <c r="A658" s="22" t="s">
        <v>5144</v>
      </c>
      <c r="B658" s="22" t="s">
        <v>5133</v>
      </c>
      <c r="C658" s="22" t="s">
        <v>3478</v>
      </c>
      <c r="D658" s="22" t="s">
        <v>5134</v>
      </c>
      <c r="E658" s="22" t="s">
        <v>5135</v>
      </c>
      <c r="F658" s="22" t="s">
        <v>5145</v>
      </c>
      <c r="G658" s="22" t="s">
        <v>4167</v>
      </c>
      <c r="H658" s="63" t="n">
        <v>2200</v>
      </c>
      <c r="I658" s="22" t="s">
        <v>601</v>
      </c>
      <c r="J658" s="22"/>
      <c r="K658" s="63" t="n">
        <v>1036.66964188515</v>
      </c>
      <c r="L658" s="22" t="s">
        <v>3312</v>
      </c>
      <c r="M658" s="22" t="n">
        <v>1</v>
      </c>
      <c r="N658" s="22" t="s">
        <v>5137</v>
      </c>
    </row>
    <row r="659" customFormat="false" ht="15" hidden="false" customHeight="false" outlineLevel="0" collapsed="false">
      <c r="A659" s="22" t="s">
        <v>5146</v>
      </c>
      <c r="B659" s="22" t="s">
        <v>5133</v>
      </c>
      <c r="C659" s="22" t="s">
        <v>3478</v>
      </c>
      <c r="D659" s="22" t="s">
        <v>5134</v>
      </c>
      <c r="E659" s="22" t="s">
        <v>5135</v>
      </c>
      <c r="F659" s="22" t="s">
        <v>5147</v>
      </c>
      <c r="G659" s="22" t="s">
        <v>4167</v>
      </c>
      <c r="H659" s="63" t="n">
        <v>3100</v>
      </c>
      <c r="I659" s="22" t="s">
        <v>601</v>
      </c>
      <c r="J659" s="22"/>
      <c r="K659" s="63" t="n">
        <v>1460.76176811089</v>
      </c>
      <c r="L659" s="22" t="s">
        <v>3244</v>
      </c>
      <c r="M659" s="22" t="n">
        <v>1</v>
      </c>
      <c r="N659" s="22" t="s">
        <v>5137</v>
      </c>
    </row>
    <row r="660" customFormat="false" ht="15" hidden="false" customHeight="false" outlineLevel="0" collapsed="false">
      <c r="A660" s="22" t="s">
        <v>5148</v>
      </c>
      <c r="B660" s="22" t="s">
        <v>5133</v>
      </c>
      <c r="C660" s="22" t="s">
        <v>3478</v>
      </c>
      <c r="D660" s="22" t="s">
        <v>5134</v>
      </c>
      <c r="E660" s="22" t="s">
        <v>5135</v>
      </c>
      <c r="F660" s="22" t="s">
        <v>5149</v>
      </c>
      <c r="G660" s="22" t="s">
        <v>4167</v>
      </c>
      <c r="H660" s="63" t="n">
        <v>225</v>
      </c>
      <c r="I660" s="22" t="s">
        <v>601</v>
      </c>
      <c r="J660" s="22"/>
      <c r="K660" s="63" t="n">
        <v>106.023031556436</v>
      </c>
      <c r="L660" s="22"/>
      <c r="M660" s="22" t="n">
        <v>2</v>
      </c>
      <c r="N660" s="22" t="s">
        <v>5137</v>
      </c>
    </row>
    <row r="661" customFormat="false" ht="15" hidden="false" customHeight="false" outlineLevel="0" collapsed="false">
      <c r="A661" s="22" t="s">
        <v>5150</v>
      </c>
      <c r="B661" s="22" t="s">
        <v>5133</v>
      </c>
      <c r="C661" s="22" t="s">
        <v>3478</v>
      </c>
      <c r="D661" s="22" t="s">
        <v>5134</v>
      </c>
      <c r="E661" s="22" t="s">
        <v>5135</v>
      </c>
      <c r="F661" s="22" t="s">
        <v>5151</v>
      </c>
      <c r="G661" s="22" t="s">
        <v>4167</v>
      </c>
      <c r="H661" s="63" t="n">
        <v>850</v>
      </c>
      <c r="I661" s="22" t="s">
        <v>601</v>
      </c>
      <c r="J661" s="22"/>
      <c r="K661" s="63" t="n">
        <v>400.531452546535</v>
      </c>
      <c r="L661" s="22" t="s">
        <v>3312</v>
      </c>
      <c r="M661" s="22" t="n">
        <v>2</v>
      </c>
      <c r="N661" s="22" t="s">
        <v>5137</v>
      </c>
    </row>
    <row r="662" customFormat="false" ht="15" hidden="false" customHeight="false" outlineLevel="0" collapsed="false">
      <c r="A662" s="22" t="s">
        <v>5152</v>
      </c>
      <c r="B662" s="22" t="s">
        <v>5133</v>
      </c>
      <c r="C662" s="22" t="s">
        <v>3478</v>
      </c>
      <c r="D662" s="22" t="s">
        <v>5134</v>
      </c>
      <c r="E662" s="22" t="s">
        <v>5135</v>
      </c>
      <c r="F662" s="22" t="s">
        <v>5153</v>
      </c>
      <c r="G662" s="22" t="s">
        <v>4167</v>
      </c>
      <c r="H662" s="63" t="n">
        <v>3850</v>
      </c>
      <c r="I662" s="22" t="s">
        <v>601</v>
      </c>
      <c r="J662" s="22"/>
      <c r="K662" s="63" t="n">
        <v>1814.17187329901</v>
      </c>
      <c r="L662" s="22" t="s">
        <v>3244</v>
      </c>
      <c r="M662" s="22" t="n">
        <v>1</v>
      </c>
      <c r="N662" s="22" t="s">
        <v>5137</v>
      </c>
    </row>
    <row r="663" customFormat="false" ht="15" hidden="false" customHeight="false" outlineLevel="0" collapsed="false">
      <c r="A663" s="22" t="s">
        <v>5154</v>
      </c>
      <c r="B663" s="22" t="s">
        <v>5133</v>
      </c>
      <c r="C663" s="22" t="s">
        <v>3478</v>
      </c>
      <c r="D663" s="22" t="s">
        <v>5134</v>
      </c>
      <c r="E663" s="22" t="s">
        <v>5135</v>
      </c>
      <c r="F663" s="22" t="s">
        <v>5155</v>
      </c>
      <c r="G663" s="22" t="s">
        <v>4167</v>
      </c>
      <c r="H663" s="63" t="n">
        <v>7750</v>
      </c>
      <c r="I663" s="22" t="s">
        <v>601</v>
      </c>
      <c r="J663" s="22"/>
      <c r="K663" s="63" t="n">
        <v>3651.90442027723</v>
      </c>
      <c r="L663" s="22" t="s">
        <v>3244</v>
      </c>
      <c r="M663" s="22" t="n">
        <v>1</v>
      </c>
      <c r="N663" s="22" t="s">
        <v>5137</v>
      </c>
    </row>
    <row r="664" customFormat="false" ht="15" hidden="false" customHeight="false" outlineLevel="0" collapsed="false">
      <c r="A664" s="22" t="s">
        <v>5156</v>
      </c>
      <c r="B664" s="22" t="s">
        <v>5133</v>
      </c>
      <c r="C664" s="22" t="s">
        <v>3478</v>
      </c>
      <c r="D664" s="22" t="s">
        <v>5134</v>
      </c>
      <c r="E664" s="22" t="s">
        <v>5135</v>
      </c>
      <c r="F664" s="22" t="s">
        <v>5157</v>
      </c>
      <c r="G664" s="22" t="s">
        <v>4167</v>
      </c>
      <c r="H664" s="63" t="n">
        <v>2850</v>
      </c>
      <c r="I664" s="22" t="s">
        <v>601</v>
      </c>
      <c r="J664" s="22"/>
      <c r="K664" s="63" t="n">
        <v>1342.95839971485</v>
      </c>
      <c r="L664" s="22" t="s">
        <v>3244</v>
      </c>
      <c r="M664" s="22" t="n">
        <v>2</v>
      </c>
      <c r="N664" s="22" t="s">
        <v>5137</v>
      </c>
    </row>
    <row r="665" customFormat="false" ht="15" hidden="false" customHeight="false" outlineLevel="0" collapsed="false">
      <c r="A665" s="22" t="s">
        <v>5158</v>
      </c>
      <c r="B665" s="22" t="s">
        <v>5133</v>
      </c>
      <c r="C665" s="22" t="s">
        <v>3478</v>
      </c>
      <c r="D665" s="22" t="s">
        <v>5134</v>
      </c>
      <c r="E665" s="22" t="s">
        <v>5135</v>
      </c>
      <c r="F665" s="22" t="s">
        <v>5159</v>
      </c>
      <c r="G665" s="22" t="s">
        <v>4167</v>
      </c>
      <c r="H665" s="63" t="n">
        <v>1100</v>
      </c>
      <c r="I665" s="22" t="s">
        <v>601</v>
      </c>
      <c r="J665" s="22"/>
      <c r="K665" s="63" t="n">
        <v>518.334820942575</v>
      </c>
      <c r="L665" s="22" t="s">
        <v>3244</v>
      </c>
      <c r="M665" s="22" t="n">
        <v>2</v>
      </c>
      <c r="N665" s="22" t="s">
        <v>5137</v>
      </c>
    </row>
    <row r="666" customFormat="false" ht="15" hidden="false" customHeight="false" outlineLevel="0" collapsed="false">
      <c r="A666" s="22" t="s">
        <v>5160</v>
      </c>
      <c r="B666" s="22" t="s">
        <v>5133</v>
      </c>
      <c r="C666" s="22" t="s">
        <v>3478</v>
      </c>
      <c r="D666" s="22" t="s">
        <v>5134</v>
      </c>
      <c r="E666" s="22" t="s">
        <v>5135</v>
      </c>
      <c r="F666" s="22" t="s">
        <v>5161</v>
      </c>
      <c r="G666" s="22" t="s">
        <v>4167</v>
      </c>
      <c r="H666" s="63" t="n">
        <v>3150</v>
      </c>
      <c r="I666" s="22" t="s">
        <v>601</v>
      </c>
      <c r="J666" s="22"/>
      <c r="K666" s="63" t="n">
        <v>1484.3224417901</v>
      </c>
      <c r="L666" s="22" t="s">
        <v>3312</v>
      </c>
      <c r="M666" s="22" t="n">
        <v>1</v>
      </c>
      <c r="N666" s="22" t="s">
        <v>5137</v>
      </c>
    </row>
    <row r="667" customFormat="false" ht="15" hidden="false" customHeight="false" outlineLevel="0" collapsed="false">
      <c r="A667" s="22" t="s">
        <v>5162</v>
      </c>
      <c r="B667" s="22" t="s">
        <v>5133</v>
      </c>
      <c r="C667" s="22" t="s">
        <v>3478</v>
      </c>
      <c r="D667" s="22" t="s">
        <v>5134</v>
      </c>
      <c r="E667" s="22" t="s">
        <v>5135</v>
      </c>
      <c r="F667" s="22" t="s">
        <v>5163</v>
      </c>
      <c r="G667" s="22" t="s">
        <v>4167</v>
      </c>
      <c r="H667" s="63" t="n">
        <v>8100</v>
      </c>
      <c r="I667" s="22" t="s">
        <v>601</v>
      </c>
      <c r="J667" s="22"/>
      <c r="K667" s="63" t="n">
        <v>3816.82913603169</v>
      </c>
      <c r="L667" s="22" t="s">
        <v>3244</v>
      </c>
      <c r="M667" s="22" t="n">
        <v>2</v>
      </c>
      <c r="N667" s="22" t="s">
        <v>5137</v>
      </c>
    </row>
    <row r="668" customFormat="false" ht="15" hidden="false" customHeight="false" outlineLevel="0" collapsed="false">
      <c r="A668" s="22" t="s">
        <v>5164</v>
      </c>
      <c r="B668" s="22" t="s">
        <v>3785</v>
      </c>
      <c r="C668" s="22" t="s">
        <v>3478</v>
      </c>
      <c r="D668" s="22" t="s">
        <v>5165</v>
      </c>
      <c r="E668" s="22" t="s">
        <v>3480</v>
      </c>
      <c r="F668" s="22" t="s">
        <v>5166</v>
      </c>
      <c r="G668" s="22" t="s">
        <v>2353</v>
      </c>
      <c r="H668" s="63" t="n">
        <v>4</v>
      </c>
      <c r="I668" s="22" t="s">
        <v>601</v>
      </c>
      <c r="J668" s="22" t="s">
        <v>4226</v>
      </c>
      <c r="K668" s="63" t="n">
        <v>1.77220031238099</v>
      </c>
      <c r="L668" s="22" t="s">
        <v>3371</v>
      </c>
      <c r="M668" s="22" t="n">
        <v>7</v>
      </c>
      <c r="N668" s="22" t="s">
        <v>5167</v>
      </c>
    </row>
    <row r="669" customFormat="false" ht="15" hidden="false" customHeight="false" outlineLevel="0" collapsed="false">
      <c r="A669" s="22" t="s">
        <v>5168</v>
      </c>
      <c r="B669" s="22" t="s">
        <v>3785</v>
      </c>
      <c r="C669" s="22" t="s">
        <v>3478</v>
      </c>
      <c r="D669" s="22" t="s">
        <v>5165</v>
      </c>
      <c r="E669" s="22" t="s">
        <v>3480</v>
      </c>
      <c r="F669" s="22" t="s">
        <v>5169</v>
      </c>
      <c r="G669" s="22" t="s">
        <v>2353</v>
      </c>
      <c r="H669" s="63" t="n">
        <v>4.15</v>
      </c>
      <c r="I669" s="22" t="s">
        <v>601</v>
      </c>
      <c r="J669" s="22" t="s">
        <v>4226</v>
      </c>
      <c r="K669" s="63" t="n">
        <v>1.83865782409528</v>
      </c>
      <c r="L669" s="22" t="s">
        <v>3371</v>
      </c>
      <c r="M669" s="22" t="n">
        <v>7</v>
      </c>
      <c r="N669" s="22" t="s">
        <v>5167</v>
      </c>
    </row>
    <row r="670" customFormat="false" ht="15" hidden="false" customHeight="false" outlineLevel="0" collapsed="false">
      <c r="A670" s="22" t="s">
        <v>5170</v>
      </c>
      <c r="B670" s="22" t="s">
        <v>3785</v>
      </c>
      <c r="C670" s="22" t="s">
        <v>3478</v>
      </c>
      <c r="D670" s="22" t="s">
        <v>5171</v>
      </c>
      <c r="E670" s="22" t="s">
        <v>3798</v>
      </c>
      <c r="F670" s="22" t="s">
        <v>5172</v>
      </c>
      <c r="G670" s="22" t="s">
        <v>2353</v>
      </c>
      <c r="H670" s="63" t="n">
        <v>4.2</v>
      </c>
      <c r="I670" s="22" t="s">
        <v>601</v>
      </c>
      <c r="J670" s="22" t="s">
        <v>4226</v>
      </c>
      <c r="K670" s="63" t="n">
        <v>1.83366977043033</v>
      </c>
      <c r="L670" s="22" t="s">
        <v>3371</v>
      </c>
      <c r="M670" s="22" t="n">
        <v>4</v>
      </c>
      <c r="N670" s="22" t="s">
        <v>5173</v>
      </c>
    </row>
    <row r="671" customFormat="false" ht="15" hidden="false" customHeight="false" outlineLevel="0" collapsed="false">
      <c r="A671" s="22" t="s">
        <v>5174</v>
      </c>
      <c r="B671" s="22" t="s">
        <v>3785</v>
      </c>
      <c r="C671" s="22" t="s">
        <v>3478</v>
      </c>
      <c r="D671" s="22" t="s">
        <v>5175</v>
      </c>
      <c r="E671" s="22" t="s">
        <v>3798</v>
      </c>
      <c r="F671" s="22" t="s">
        <v>5176</v>
      </c>
      <c r="G671" s="22" t="s">
        <v>2353</v>
      </c>
      <c r="H671" s="63" t="n">
        <v>3.5</v>
      </c>
      <c r="I671" s="22" t="s">
        <v>601</v>
      </c>
      <c r="J671" s="22" t="s">
        <v>4226</v>
      </c>
      <c r="K671" s="63" t="n">
        <v>1.52805814202528</v>
      </c>
      <c r="L671" s="22" t="s">
        <v>3371</v>
      </c>
      <c r="M671" s="22" t="n">
        <v>4</v>
      </c>
      <c r="N671" s="22" t="s">
        <v>5177</v>
      </c>
    </row>
    <row r="672" customFormat="false" ht="15" hidden="false" customHeight="false" outlineLevel="0" collapsed="false">
      <c r="A672" s="22" t="s">
        <v>5178</v>
      </c>
      <c r="B672" s="22" t="s">
        <v>3785</v>
      </c>
      <c r="C672" s="22" t="s">
        <v>3478</v>
      </c>
      <c r="D672" s="22" t="s">
        <v>5175</v>
      </c>
      <c r="E672" s="22" t="s">
        <v>3798</v>
      </c>
      <c r="F672" s="22" t="s">
        <v>5179</v>
      </c>
      <c r="G672" s="22" t="s">
        <v>2353</v>
      </c>
      <c r="H672" s="63" t="n">
        <v>3.15</v>
      </c>
      <c r="I672" s="22" t="s">
        <v>601</v>
      </c>
      <c r="J672" s="22" t="s">
        <v>4226</v>
      </c>
      <c r="K672" s="63" t="n">
        <v>1.37525232782275</v>
      </c>
      <c r="L672" s="22" t="s">
        <v>3371</v>
      </c>
      <c r="M672" s="22" t="n">
        <v>4</v>
      </c>
      <c r="N672" s="22" t="s">
        <v>5180</v>
      </c>
    </row>
    <row r="673" customFormat="false" ht="15" hidden="false" customHeight="false" outlineLevel="0" collapsed="false">
      <c r="A673" s="22" t="s">
        <v>5181</v>
      </c>
      <c r="B673" s="22" t="s">
        <v>3785</v>
      </c>
      <c r="C673" s="22" t="s">
        <v>3478</v>
      </c>
      <c r="D673" s="22" t="s">
        <v>5175</v>
      </c>
      <c r="E673" s="22" t="s">
        <v>3798</v>
      </c>
      <c r="F673" s="22" t="s">
        <v>5182</v>
      </c>
      <c r="G673" s="22" t="s">
        <v>2353</v>
      </c>
      <c r="H673" s="63" t="n">
        <v>2.34</v>
      </c>
      <c r="I673" s="22" t="s">
        <v>113</v>
      </c>
      <c r="J673" s="22" t="s">
        <v>4226</v>
      </c>
      <c r="K673" s="63" t="n">
        <v>2.74221345641592</v>
      </c>
      <c r="L673" s="22" t="s">
        <v>3371</v>
      </c>
      <c r="M673" s="22" t="n">
        <v>4</v>
      </c>
      <c r="N673" s="22" t="s">
        <v>5183</v>
      </c>
    </row>
    <row r="674" customFormat="false" ht="15" hidden="false" customHeight="false" outlineLevel="0" collapsed="false">
      <c r="A674" s="22" t="s">
        <v>5184</v>
      </c>
      <c r="B674" s="22" t="s">
        <v>4965</v>
      </c>
      <c r="C674" s="22" t="s">
        <v>4966</v>
      </c>
      <c r="D674" s="22" t="s">
        <v>5012</v>
      </c>
      <c r="E674" s="22" t="s">
        <v>5185</v>
      </c>
      <c r="F674" s="22" t="s">
        <v>5186</v>
      </c>
      <c r="G674" s="22" t="s">
        <v>853</v>
      </c>
      <c r="H674" s="63" t="n">
        <v>12.44</v>
      </c>
      <c r="I674" s="22" t="s">
        <v>112</v>
      </c>
      <c r="J674" s="22" t="s">
        <v>4102</v>
      </c>
      <c r="K674" s="63" t="n">
        <v>18.2805362068207</v>
      </c>
      <c r="L674" s="22" t="s">
        <v>3244</v>
      </c>
      <c r="M674" s="22" t="n">
        <v>2</v>
      </c>
      <c r="N674" s="22" t="s">
        <v>5187</v>
      </c>
    </row>
    <row r="675" customFormat="false" ht="15" hidden="false" customHeight="false" outlineLevel="0" collapsed="false">
      <c r="A675" s="22" t="s">
        <v>5188</v>
      </c>
      <c r="B675" s="22" t="s">
        <v>4965</v>
      </c>
      <c r="C675" s="22" t="s">
        <v>4966</v>
      </c>
      <c r="D675" s="22" t="s">
        <v>5012</v>
      </c>
      <c r="E675" s="22" t="s">
        <v>5185</v>
      </c>
      <c r="F675" s="22" t="s">
        <v>5189</v>
      </c>
      <c r="G675" s="22" t="s">
        <v>3444</v>
      </c>
      <c r="H675" s="63" t="n">
        <v>3925</v>
      </c>
      <c r="I675" s="22" t="s">
        <v>112</v>
      </c>
      <c r="J675" s="22" t="s">
        <v>4102</v>
      </c>
      <c r="K675" s="63" t="n">
        <v>5767.77368261826</v>
      </c>
      <c r="L675" s="22" t="s">
        <v>3244</v>
      </c>
      <c r="M675" s="22" t="n">
        <v>2</v>
      </c>
      <c r="N675" s="22" t="s">
        <v>5187</v>
      </c>
    </row>
    <row r="676" customFormat="false" ht="15" hidden="false" customHeight="false" outlineLevel="0" collapsed="false">
      <c r="A676" s="22" t="s">
        <v>5190</v>
      </c>
      <c r="B676" s="22" t="s">
        <v>4965</v>
      </c>
      <c r="C676" s="22" t="s">
        <v>4966</v>
      </c>
      <c r="D676" s="22" t="s">
        <v>5012</v>
      </c>
      <c r="E676" s="22" t="s">
        <v>5185</v>
      </c>
      <c r="F676" s="22" t="s">
        <v>5191</v>
      </c>
      <c r="G676" s="22" t="s">
        <v>3444</v>
      </c>
      <c r="H676" s="63" t="n">
        <v>404</v>
      </c>
      <c r="I676" s="22" t="s">
        <v>112</v>
      </c>
      <c r="J676" s="22" t="s">
        <v>4102</v>
      </c>
      <c r="K676" s="63" t="n">
        <v>593.676577777778</v>
      </c>
      <c r="L676" s="22" t="s">
        <v>3244</v>
      </c>
      <c r="M676" s="22" t="n">
        <v>2</v>
      </c>
      <c r="N676" s="22" t="s">
        <v>5187</v>
      </c>
    </row>
    <row r="677" customFormat="false" ht="15" hidden="false" customHeight="false" outlineLevel="0" collapsed="false">
      <c r="A677" s="22" t="s">
        <v>5192</v>
      </c>
      <c r="B677" s="22" t="s">
        <v>5193</v>
      </c>
      <c r="C677" s="22" t="s">
        <v>3408</v>
      </c>
      <c r="D677" s="22" t="s">
        <v>5194</v>
      </c>
      <c r="E677" s="22" t="s">
        <v>5195</v>
      </c>
      <c r="F677" s="22" t="s">
        <v>5196</v>
      </c>
      <c r="G677" s="22" t="s">
        <v>727</v>
      </c>
      <c r="H677" s="63" t="n">
        <v>475</v>
      </c>
      <c r="I677" s="22" t="s">
        <v>112</v>
      </c>
      <c r="J677" s="22"/>
      <c r="K677" s="63" t="n">
        <v>628.458639560222</v>
      </c>
      <c r="L677" s="22"/>
      <c r="M677" s="22" t="n">
        <v>1</v>
      </c>
      <c r="N677" s="22" t="s">
        <v>5197</v>
      </c>
    </row>
    <row r="678" customFormat="false" ht="15" hidden="false" customHeight="false" outlineLevel="0" collapsed="false">
      <c r="A678" s="22" t="s">
        <v>5198</v>
      </c>
      <c r="B678" s="22" t="s">
        <v>5193</v>
      </c>
      <c r="C678" s="22" t="s">
        <v>3408</v>
      </c>
      <c r="D678" s="22" t="s">
        <v>5194</v>
      </c>
      <c r="E678" s="22" t="s">
        <v>5195</v>
      </c>
      <c r="F678" s="22" t="s">
        <v>5199</v>
      </c>
      <c r="G678" s="22" t="s">
        <v>727</v>
      </c>
      <c r="H678" s="63" t="n">
        <v>2.5</v>
      </c>
      <c r="I678" s="22" t="s">
        <v>112</v>
      </c>
      <c r="J678" s="22"/>
      <c r="K678" s="63" t="n">
        <v>3.30767705031696</v>
      </c>
      <c r="L678" s="22" t="s">
        <v>3244</v>
      </c>
      <c r="M678" s="22" t="n">
        <v>2</v>
      </c>
      <c r="N678" s="22" t="s">
        <v>5200</v>
      </c>
    </row>
    <row r="679" customFormat="false" ht="15" hidden="false" customHeight="false" outlineLevel="0" collapsed="false">
      <c r="A679" s="22" t="s">
        <v>5201</v>
      </c>
      <c r="B679" s="22" t="s">
        <v>5193</v>
      </c>
      <c r="C679" s="22" t="s">
        <v>3408</v>
      </c>
      <c r="D679" s="22" t="s">
        <v>5202</v>
      </c>
      <c r="E679" s="22" t="s">
        <v>5203</v>
      </c>
      <c r="F679" s="22" t="s">
        <v>5196</v>
      </c>
      <c r="G679" s="22" t="s">
        <v>727</v>
      </c>
      <c r="H679" s="63" t="n">
        <v>417</v>
      </c>
      <c r="I679" s="22" t="s">
        <v>112</v>
      </c>
      <c r="J679" s="22"/>
      <c r="K679" s="63" t="n">
        <v>551.720531992869</v>
      </c>
      <c r="L679" s="22"/>
      <c r="M679" s="22" t="n">
        <v>1</v>
      </c>
      <c r="N679" s="22" t="s">
        <v>5197</v>
      </c>
    </row>
    <row r="680" customFormat="false" ht="15" hidden="false" customHeight="false" outlineLevel="0" collapsed="false">
      <c r="A680" s="22" t="s">
        <v>5204</v>
      </c>
      <c r="B680" s="22" t="s">
        <v>5193</v>
      </c>
      <c r="C680" s="22" t="s">
        <v>3408</v>
      </c>
      <c r="D680" s="22" t="s">
        <v>5202</v>
      </c>
      <c r="E680" s="22" t="s">
        <v>5203</v>
      </c>
      <c r="F680" s="22" t="s">
        <v>5033</v>
      </c>
      <c r="G680" s="22" t="s">
        <v>727</v>
      </c>
      <c r="H680" s="63" t="n">
        <v>2328.89</v>
      </c>
      <c r="I680" s="22" t="s">
        <v>112</v>
      </c>
      <c r="J680" s="22"/>
      <c r="K680" s="63" t="n">
        <v>3081.28640228506</v>
      </c>
      <c r="L680" s="22"/>
      <c r="M680" s="22" t="n">
        <v>2</v>
      </c>
      <c r="N680" s="22" t="s">
        <v>5197</v>
      </c>
    </row>
    <row r="681" customFormat="false" ht="15" hidden="false" customHeight="false" outlineLevel="0" collapsed="false">
      <c r="A681" s="22" t="s">
        <v>5205</v>
      </c>
      <c r="B681" s="22" t="s">
        <v>5193</v>
      </c>
      <c r="C681" s="22" t="s">
        <v>3408</v>
      </c>
      <c r="D681" s="22" t="s">
        <v>5202</v>
      </c>
      <c r="E681" s="22" t="s">
        <v>5203</v>
      </c>
      <c r="F681" s="22" t="s">
        <v>5199</v>
      </c>
      <c r="G681" s="22" t="s">
        <v>727</v>
      </c>
      <c r="H681" s="63" t="n">
        <v>27.75</v>
      </c>
      <c r="I681" s="22" t="s">
        <v>112</v>
      </c>
      <c r="J681" s="22"/>
      <c r="K681" s="63" t="n">
        <v>36.7152152585182</v>
      </c>
      <c r="L681" s="22" t="s">
        <v>3244</v>
      </c>
      <c r="M681" s="22" t="n">
        <v>2</v>
      </c>
      <c r="N681" s="22" t="s">
        <v>5197</v>
      </c>
    </row>
    <row r="682" customFormat="false" ht="15" hidden="false" customHeight="false" outlineLevel="0" collapsed="false">
      <c r="A682" s="22" t="s">
        <v>5206</v>
      </c>
      <c r="B682" s="22" t="s">
        <v>3430</v>
      </c>
      <c r="C682" s="22" t="s">
        <v>3431</v>
      </c>
      <c r="D682" s="22" t="s">
        <v>5207</v>
      </c>
      <c r="E682" s="22" t="s">
        <v>5208</v>
      </c>
      <c r="F682" s="22" t="s">
        <v>5209</v>
      </c>
      <c r="G682" s="22" t="s">
        <v>727</v>
      </c>
      <c r="H682" s="63" t="n">
        <v>119.58</v>
      </c>
      <c r="I682" s="22" t="s">
        <v>113</v>
      </c>
      <c r="J682" s="22"/>
      <c r="K682" s="63" t="n">
        <v>128.143878129717</v>
      </c>
      <c r="L682" s="22" t="s">
        <v>2550</v>
      </c>
      <c r="M682" s="22" t="n">
        <v>1</v>
      </c>
      <c r="N682" s="22" t="s">
        <v>5210</v>
      </c>
    </row>
    <row r="683" customFormat="false" ht="15" hidden="false" customHeight="false" outlineLevel="0" collapsed="false">
      <c r="A683" s="22" t="s">
        <v>5211</v>
      </c>
      <c r="B683" s="22" t="s">
        <v>3515</v>
      </c>
      <c r="C683" s="22" t="s">
        <v>3431</v>
      </c>
      <c r="D683" s="22" t="s">
        <v>5212</v>
      </c>
      <c r="E683" s="22" t="s">
        <v>3691</v>
      </c>
      <c r="F683" s="22" t="s">
        <v>5213</v>
      </c>
      <c r="G683" s="22" t="s">
        <v>4114</v>
      </c>
      <c r="H683" s="63" t="n">
        <v>471.5</v>
      </c>
      <c r="I683" s="22" t="s">
        <v>112</v>
      </c>
      <c r="J683" s="22" t="s">
        <v>4102</v>
      </c>
      <c r="K683" s="63" t="n">
        <v>584.787966063138</v>
      </c>
      <c r="L683" s="22" t="s">
        <v>2307</v>
      </c>
      <c r="M683" s="22" t="n">
        <v>6</v>
      </c>
      <c r="N683" s="22" t="s">
        <v>5214</v>
      </c>
    </row>
    <row r="684" customFormat="false" ht="15" hidden="false" customHeight="false" outlineLevel="0" collapsed="false">
      <c r="A684" s="22" t="s">
        <v>5215</v>
      </c>
      <c r="B684" s="22" t="s">
        <v>3515</v>
      </c>
      <c r="C684" s="22" t="s">
        <v>3431</v>
      </c>
      <c r="D684" s="22" t="s">
        <v>5212</v>
      </c>
      <c r="E684" s="22" t="s">
        <v>3691</v>
      </c>
      <c r="F684" s="22" t="s">
        <v>5216</v>
      </c>
      <c r="G684" s="22" t="s">
        <v>4114</v>
      </c>
      <c r="H684" s="63" t="n">
        <v>624.61</v>
      </c>
      <c r="I684" s="22" t="s">
        <v>112</v>
      </c>
      <c r="J684" s="22" t="s">
        <v>4102</v>
      </c>
      <c r="K684" s="63" t="n">
        <v>774.685920429898</v>
      </c>
      <c r="L684" s="22" t="s">
        <v>2307</v>
      </c>
      <c r="M684" s="22" t="n">
        <v>5</v>
      </c>
      <c r="N684" s="22" t="s">
        <v>5217</v>
      </c>
    </row>
    <row r="685" customFormat="false" ht="15" hidden="false" customHeight="false" outlineLevel="0" collapsed="false">
      <c r="A685" s="22" t="s">
        <v>5218</v>
      </c>
      <c r="B685" s="22" t="s">
        <v>3515</v>
      </c>
      <c r="C685" s="22" t="s">
        <v>3431</v>
      </c>
      <c r="D685" s="22" t="s">
        <v>5212</v>
      </c>
      <c r="E685" s="22" t="s">
        <v>3691</v>
      </c>
      <c r="F685" s="22" t="s">
        <v>5219</v>
      </c>
      <c r="G685" s="22" t="s">
        <v>4114</v>
      </c>
      <c r="H685" s="63" t="n">
        <v>511.38</v>
      </c>
      <c r="I685" s="22" t="s">
        <v>112</v>
      </c>
      <c r="J685" s="22" t="s">
        <v>4102</v>
      </c>
      <c r="K685" s="63" t="n">
        <v>634.249989576602</v>
      </c>
      <c r="L685" s="22" t="s">
        <v>2367</v>
      </c>
      <c r="M685" s="22" t="n">
        <v>3</v>
      </c>
      <c r="N685" s="22" t="s">
        <v>5220</v>
      </c>
    </row>
    <row r="686" customFormat="false" ht="15" hidden="false" customHeight="false" outlineLevel="0" collapsed="false">
      <c r="A686" s="22" t="s">
        <v>5221</v>
      </c>
      <c r="B686" s="22" t="s">
        <v>3515</v>
      </c>
      <c r="C686" s="22" t="s">
        <v>3431</v>
      </c>
      <c r="D686" s="22" t="s">
        <v>5212</v>
      </c>
      <c r="E686" s="22" t="s">
        <v>3691</v>
      </c>
      <c r="F686" s="22" t="s">
        <v>5222</v>
      </c>
      <c r="G686" s="22" t="s">
        <v>4114</v>
      </c>
      <c r="H686" s="63" t="n">
        <v>8041.38</v>
      </c>
      <c r="I686" s="22" t="s">
        <v>112</v>
      </c>
      <c r="J686" s="22" t="s">
        <v>4102</v>
      </c>
      <c r="K686" s="63" t="n">
        <v>9973.49364695822</v>
      </c>
      <c r="L686" s="22" t="s">
        <v>2335</v>
      </c>
      <c r="M686" s="22" t="n">
        <v>3</v>
      </c>
      <c r="N686" s="22" t="s">
        <v>5223</v>
      </c>
    </row>
    <row r="687" customFormat="false" ht="15" hidden="false" customHeight="false" outlineLevel="0" collapsed="false">
      <c r="A687" s="22" t="s">
        <v>5224</v>
      </c>
      <c r="B687" s="22" t="s">
        <v>3515</v>
      </c>
      <c r="C687" s="22" t="s">
        <v>3431</v>
      </c>
      <c r="D687" s="22" t="s">
        <v>5212</v>
      </c>
      <c r="E687" s="22" t="s">
        <v>3691</v>
      </c>
      <c r="F687" s="22" t="s">
        <v>5225</v>
      </c>
      <c r="G687" s="22" t="s">
        <v>4114</v>
      </c>
      <c r="H687" s="63" t="n">
        <v>43.94</v>
      </c>
      <c r="I687" s="22" t="s">
        <v>112</v>
      </c>
      <c r="J687" s="22" t="s">
        <v>4102</v>
      </c>
      <c r="K687" s="63" t="n">
        <v>54.4975254057567</v>
      </c>
      <c r="L687" s="22" t="s">
        <v>2367</v>
      </c>
      <c r="M687" s="22" t="n">
        <v>2</v>
      </c>
      <c r="N687" s="22" t="s">
        <v>5226</v>
      </c>
    </row>
    <row r="688" customFormat="false" ht="15" hidden="false" customHeight="false" outlineLevel="0" collapsed="false">
      <c r="A688" s="22" t="s">
        <v>5227</v>
      </c>
      <c r="B688" s="22" t="s">
        <v>3515</v>
      </c>
      <c r="C688" s="22" t="s">
        <v>3431</v>
      </c>
      <c r="D688" s="22" t="s">
        <v>5212</v>
      </c>
      <c r="E688" s="22" t="s">
        <v>3691</v>
      </c>
      <c r="F688" s="22" t="s">
        <v>5228</v>
      </c>
      <c r="G688" s="22" t="s">
        <v>4114</v>
      </c>
      <c r="H688" s="63" t="n">
        <v>89.71</v>
      </c>
      <c r="I688" s="22" t="s">
        <v>112</v>
      </c>
      <c r="J688" s="22" t="s">
        <v>4102</v>
      </c>
      <c r="K688" s="63" t="n">
        <v>111.264747477252</v>
      </c>
      <c r="L688" s="22" t="s">
        <v>2458</v>
      </c>
      <c r="M688" s="22" t="n">
        <v>2</v>
      </c>
      <c r="N688" s="22" t="s">
        <v>5229</v>
      </c>
    </row>
    <row r="689" customFormat="false" ht="15" hidden="false" customHeight="false" outlineLevel="0" collapsed="false">
      <c r="A689" s="22" t="s">
        <v>5230</v>
      </c>
      <c r="B689" s="22" t="s">
        <v>3515</v>
      </c>
      <c r="C689" s="22" t="s">
        <v>3431</v>
      </c>
      <c r="D689" s="22" t="s">
        <v>5212</v>
      </c>
      <c r="E689" s="22" t="s">
        <v>3691</v>
      </c>
      <c r="F689" s="22" t="s">
        <v>5231</v>
      </c>
      <c r="G689" s="22" t="s">
        <v>4114</v>
      </c>
      <c r="H689" s="63" t="n">
        <v>78.12</v>
      </c>
      <c r="I689" s="22" t="s">
        <v>112</v>
      </c>
      <c r="J689" s="22" t="s">
        <v>4102</v>
      </c>
      <c r="K689" s="63" t="n">
        <v>96.8900019275766</v>
      </c>
      <c r="L689" s="22" t="s">
        <v>2458</v>
      </c>
      <c r="M689" s="22" t="n">
        <v>1</v>
      </c>
      <c r="N689" s="22" t="s">
        <v>5232</v>
      </c>
    </row>
    <row r="690" customFormat="false" ht="15" hidden="false" customHeight="false" outlineLevel="0" collapsed="false">
      <c r="A690" s="22" t="s">
        <v>5233</v>
      </c>
      <c r="B690" s="22" t="s">
        <v>3515</v>
      </c>
      <c r="C690" s="22" t="s">
        <v>3431</v>
      </c>
      <c r="D690" s="22" t="s">
        <v>5212</v>
      </c>
      <c r="E690" s="22" t="s">
        <v>3691</v>
      </c>
      <c r="F690" s="22" t="s">
        <v>5234</v>
      </c>
      <c r="G690" s="22" t="s">
        <v>4114</v>
      </c>
      <c r="H690" s="63" t="n">
        <v>89.71</v>
      </c>
      <c r="I690" s="22" t="s">
        <v>112</v>
      </c>
      <c r="J690" s="22" t="s">
        <v>4102</v>
      </c>
      <c r="K690" s="63" t="n">
        <v>111.264747477252</v>
      </c>
      <c r="L690" s="22" t="s">
        <v>2458</v>
      </c>
      <c r="M690" s="22" t="n">
        <v>1</v>
      </c>
      <c r="N690" s="22" t="s">
        <v>5235</v>
      </c>
    </row>
    <row r="691" customFormat="false" ht="15" hidden="false" customHeight="false" outlineLevel="0" collapsed="false">
      <c r="A691" s="22" t="s">
        <v>5236</v>
      </c>
      <c r="B691" s="22" t="s">
        <v>3515</v>
      </c>
      <c r="C691" s="22" t="s">
        <v>3431</v>
      </c>
      <c r="D691" s="22" t="s">
        <v>5212</v>
      </c>
      <c r="E691" s="22" t="s">
        <v>3691</v>
      </c>
      <c r="F691" s="22" t="s">
        <v>5237</v>
      </c>
      <c r="G691" s="22" t="s">
        <v>4114</v>
      </c>
      <c r="H691" s="63" t="n">
        <v>89.71</v>
      </c>
      <c r="I691" s="22" t="s">
        <v>112</v>
      </c>
      <c r="J691" s="22" t="s">
        <v>4102</v>
      </c>
      <c r="K691" s="63" t="n">
        <v>111.264747477252</v>
      </c>
      <c r="L691" s="22" t="s">
        <v>2458</v>
      </c>
      <c r="M691" s="22" t="n">
        <v>2</v>
      </c>
      <c r="N691" s="22" t="s">
        <v>5229</v>
      </c>
    </row>
    <row r="692" customFormat="false" ht="15" hidden="false" customHeight="false" outlineLevel="0" collapsed="false">
      <c r="A692" s="22" t="s">
        <v>5238</v>
      </c>
      <c r="B692" s="22" t="s">
        <v>3515</v>
      </c>
      <c r="C692" s="22" t="s">
        <v>3431</v>
      </c>
      <c r="D692" s="22" t="s">
        <v>5212</v>
      </c>
      <c r="E692" s="22" t="s">
        <v>3691</v>
      </c>
      <c r="F692" s="22" t="s">
        <v>5239</v>
      </c>
      <c r="G692" s="22" t="s">
        <v>4114</v>
      </c>
      <c r="H692" s="63" t="n">
        <v>89.71</v>
      </c>
      <c r="I692" s="22" t="s">
        <v>112</v>
      </c>
      <c r="J692" s="22" t="s">
        <v>4102</v>
      </c>
      <c r="K692" s="63" t="n">
        <v>111.264747477252</v>
      </c>
      <c r="L692" s="22" t="s">
        <v>2458</v>
      </c>
      <c r="M692" s="22" t="n">
        <v>1</v>
      </c>
      <c r="N692" s="22" t="s">
        <v>5229</v>
      </c>
    </row>
    <row r="693" customFormat="false" ht="15" hidden="false" customHeight="false" outlineLevel="0" collapsed="false">
      <c r="A693" s="22" t="s">
        <v>5240</v>
      </c>
      <c r="B693" s="22" t="s">
        <v>3515</v>
      </c>
      <c r="C693" s="22" t="s">
        <v>3431</v>
      </c>
      <c r="D693" s="22" t="s">
        <v>5212</v>
      </c>
      <c r="E693" s="22" t="s">
        <v>3691</v>
      </c>
      <c r="F693" s="22" t="s">
        <v>5241</v>
      </c>
      <c r="G693" s="22" t="s">
        <v>4114</v>
      </c>
      <c r="H693" s="63" t="n">
        <v>116.91</v>
      </c>
      <c r="I693" s="22" t="s">
        <v>112</v>
      </c>
      <c r="J693" s="22" t="s">
        <v>4102</v>
      </c>
      <c r="K693" s="63" t="n">
        <v>145.000129612813</v>
      </c>
      <c r="L693" s="22" t="s">
        <v>2458</v>
      </c>
      <c r="M693" s="22" t="n">
        <v>1</v>
      </c>
      <c r="N693" s="22" t="s">
        <v>5242</v>
      </c>
    </row>
    <row r="694" customFormat="false" ht="15" hidden="false" customHeight="false" outlineLevel="0" collapsed="false">
      <c r="A694" s="22" t="s">
        <v>5243</v>
      </c>
      <c r="B694" s="22" t="s">
        <v>3515</v>
      </c>
      <c r="C694" s="22" t="s">
        <v>3431</v>
      </c>
      <c r="D694" s="22" t="s">
        <v>5212</v>
      </c>
      <c r="E694" s="22" t="s">
        <v>3691</v>
      </c>
      <c r="F694" s="22" t="s">
        <v>5244</v>
      </c>
      <c r="G694" s="22" t="s">
        <v>5245</v>
      </c>
      <c r="H694" s="63" t="n">
        <v>21.58</v>
      </c>
      <c r="I694" s="22" t="s">
        <v>112</v>
      </c>
      <c r="J694" s="22" t="s">
        <v>4102</v>
      </c>
      <c r="K694" s="63" t="n">
        <v>26.7650568560817</v>
      </c>
      <c r="L694" s="22" t="s">
        <v>2458</v>
      </c>
      <c r="M694" s="22" t="n">
        <v>5</v>
      </c>
      <c r="N694" s="22" t="s">
        <v>5246</v>
      </c>
    </row>
    <row r="695" customFormat="false" ht="15" hidden="false" customHeight="false" outlineLevel="0" collapsed="false">
      <c r="A695" s="22" t="s">
        <v>5247</v>
      </c>
      <c r="B695" s="22" t="s">
        <v>3515</v>
      </c>
      <c r="C695" s="22" t="s">
        <v>3431</v>
      </c>
      <c r="D695" s="22" t="s">
        <v>5212</v>
      </c>
      <c r="E695" s="22" t="s">
        <v>3691</v>
      </c>
      <c r="F695" s="22" t="s">
        <v>5248</v>
      </c>
      <c r="G695" s="22" t="s">
        <v>5245</v>
      </c>
      <c r="H695" s="63" t="n">
        <v>24.95</v>
      </c>
      <c r="I695" s="22" t="s">
        <v>112</v>
      </c>
      <c r="J695" s="22" t="s">
        <v>4102</v>
      </c>
      <c r="K695" s="63" t="n">
        <v>30.9447714809656</v>
      </c>
      <c r="L695" s="22" t="s">
        <v>2458</v>
      </c>
      <c r="M695" s="22" t="n">
        <v>5</v>
      </c>
      <c r="N695" s="22" t="s">
        <v>5249</v>
      </c>
    </row>
    <row r="696" customFormat="false" ht="15" hidden="false" customHeight="false" outlineLevel="0" collapsed="false">
      <c r="A696" s="22" t="s">
        <v>5250</v>
      </c>
      <c r="B696" s="22" t="s">
        <v>3515</v>
      </c>
      <c r="C696" s="22" t="s">
        <v>3431</v>
      </c>
      <c r="D696" s="22" t="s">
        <v>5212</v>
      </c>
      <c r="E696" s="22" t="s">
        <v>3691</v>
      </c>
      <c r="F696" s="22" t="s">
        <v>5251</v>
      </c>
      <c r="G696" s="22" t="s">
        <v>4114</v>
      </c>
      <c r="H696" s="63" t="n">
        <v>52.46</v>
      </c>
      <c r="I696" s="22" t="s">
        <v>112</v>
      </c>
      <c r="J696" s="22" t="s">
        <v>4102</v>
      </c>
      <c r="K696" s="63" t="n">
        <v>65.0646377511606</v>
      </c>
      <c r="L696" s="22" t="s">
        <v>2534</v>
      </c>
      <c r="M696" s="22" t="n">
        <v>11</v>
      </c>
      <c r="N696" s="22" t="s">
        <v>5252</v>
      </c>
    </row>
    <row r="697" customFormat="false" ht="15" hidden="false" customHeight="false" outlineLevel="0" collapsed="false">
      <c r="A697" s="22" t="s">
        <v>5253</v>
      </c>
      <c r="B697" s="22" t="s">
        <v>3515</v>
      </c>
      <c r="C697" s="22" t="s">
        <v>3431</v>
      </c>
      <c r="D697" s="22" t="s">
        <v>5212</v>
      </c>
      <c r="E697" s="22" t="s">
        <v>3691</v>
      </c>
      <c r="F697" s="22" t="s">
        <v>5254</v>
      </c>
      <c r="G697" s="22" t="s">
        <v>4114</v>
      </c>
      <c r="H697" s="63" t="n">
        <v>27.73</v>
      </c>
      <c r="I697" s="22" t="s">
        <v>112</v>
      </c>
      <c r="J697" s="22" t="s">
        <v>4102</v>
      </c>
      <c r="K697" s="63" t="n">
        <v>34.3927259786444</v>
      </c>
      <c r="L697" s="22" t="s">
        <v>2534</v>
      </c>
      <c r="M697" s="22" t="n">
        <v>9</v>
      </c>
      <c r="N697" s="22" t="s">
        <v>5255</v>
      </c>
    </row>
    <row r="698" customFormat="false" ht="15" hidden="false" customHeight="false" outlineLevel="0" collapsed="false">
      <c r="A698" s="22" t="s">
        <v>5256</v>
      </c>
      <c r="B698" s="22" t="s">
        <v>3515</v>
      </c>
      <c r="C698" s="22" t="s">
        <v>3431</v>
      </c>
      <c r="D698" s="22" t="s">
        <v>5212</v>
      </c>
      <c r="E698" s="22" t="s">
        <v>3691</v>
      </c>
      <c r="F698" s="22" t="s">
        <v>5257</v>
      </c>
      <c r="G698" s="22" t="s">
        <v>4114</v>
      </c>
      <c r="H698" s="63" t="n">
        <v>45.96</v>
      </c>
      <c r="I698" s="22" t="s">
        <v>112</v>
      </c>
      <c r="J698" s="22" t="s">
        <v>4102</v>
      </c>
      <c r="K698" s="63" t="n">
        <v>57.002873637883</v>
      </c>
      <c r="L698" s="22" t="s">
        <v>2550</v>
      </c>
      <c r="M698" s="22" t="n">
        <v>1</v>
      </c>
      <c r="N698" s="22" t="s">
        <v>5258</v>
      </c>
    </row>
    <row r="699" customFormat="false" ht="15" hidden="false" customHeight="false" outlineLevel="0" collapsed="false">
      <c r="A699" s="22" t="s">
        <v>5259</v>
      </c>
      <c r="B699" s="22" t="s">
        <v>3515</v>
      </c>
      <c r="C699" s="22" t="s">
        <v>3431</v>
      </c>
      <c r="D699" s="22" t="s">
        <v>5212</v>
      </c>
      <c r="E699" s="22" t="s">
        <v>3691</v>
      </c>
      <c r="F699" s="22" t="s">
        <v>5260</v>
      </c>
      <c r="G699" s="22" t="s">
        <v>4114</v>
      </c>
      <c r="H699" s="63" t="n">
        <v>276.48</v>
      </c>
      <c r="I699" s="22" t="s">
        <v>112</v>
      </c>
      <c r="J699" s="22" t="s">
        <v>4102</v>
      </c>
      <c r="K699" s="63" t="n">
        <v>342.910237236769</v>
      </c>
      <c r="L699" s="22" t="s">
        <v>2550</v>
      </c>
      <c r="M699" s="22" t="n">
        <v>1</v>
      </c>
      <c r="N699" s="22" t="s">
        <v>5261</v>
      </c>
    </row>
    <row r="700" customFormat="false" ht="15" hidden="false" customHeight="false" outlineLevel="0" collapsed="false">
      <c r="A700" s="22" t="s">
        <v>5262</v>
      </c>
      <c r="B700" s="22" t="s">
        <v>3515</v>
      </c>
      <c r="C700" s="22" t="s">
        <v>3431</v>
      </c>
      <c r="D700" s="22" t="s">
        <v>5212</v>
      </c>
      <c r="E700" s="22" t="s">
        <v>3691</v>
      </c>
      <c r="F700" s="22" t="s">
        <v>5263</v>
      </c>
      <c r="G700" s="22" t="s">
        <v>4114</v>
      </c>
      <c r="H700" s="63" t="n">
        <v>199.07</v>
      </c>
      <c r="I700" s="22" t="s">
        <v>112</v>
      </c>
      <c r="J700" s="22" t="s">
        <v>4102</v>
      </c>
      <c r="K700" s="63" t="n">
        <v>246.900828004642</v>
      </c>
      <c r="L700" s="22" t="s">
        <v>2550</v>
      </c>
      <c r="M700" s="22" t="n">
        <v>1</v>
      </c>
      <c r="N700" s="22" t="s">
        <v>5264</v>
      </c>
    </row>
    <row r="701" customFormat="false" ht="15" hidden="false" customHeight="false" outlineLevel="0" collapsed="false">
      <c r="A701" s="22" t="s">
        <v>5265</v>
      </c>
      <c r="B701" s="22" t="s">
        <v>3515</v>
      </c>
      <c r="C701" s="22" t="s">
        <v>3431</v>
      </c>
      <c r="D701" s="22" t="s">
        <v>5212</v>
      </c>
      <c r="E701" s="22" t="s">
        <v>3691</v>
      </c>
      <c r="F701" s="22" t="s">
        <v>5266</v>
      </c>
      <c r="G701" s="22" t="s">
        <v>4114</v>
      </c>
      <c r="H701" s="63" t="n">
        <v>106.98</v>
      </c>
      <c r="I701" s="22" t="s">
        <v>112</v>
      </c>
      <c r="J701" s="22" t="s">
        <v>4102</v>
      </c>
      <c r="K701" s="63" t="n">
        <v>132.684234590529</v>
      </c>
      <c r="L701" s="22" t="s">
        <v>2550</v>
      </c>
      <c r="M701" s="22" t="n">
        <v>1</v>
      </c>
      <c r="N701" s="22" t="s">
        <v>5267</v>
      </c>
    </row>
    <row r="702" customFormat="false" ht="15" hidden="false" customHeight="false" outlineLevel="0" collapsed="false">
      <c r="A702" s="22" t="s">
        <v>5268</v>
      </c>
      <c r="B702" s="22" t="s">
        <v>3515</v>
      </c>
      <c r="C702" s="22" t="s">
        <v>3431</v>
      </c>
      <c r="D702" s="22" t="s">
        <v>5212</v>
      </c>
      <c r="E702" s="22" t="s">
        <v>3691</v>
      </c>
      <c r="F702" s="22" t="s">
        <v>5269</v>
      </c>
      <c r="G702" s="22" t="s">
        <v>4114</v>
      </c>
      <c r="H702" s="63" t="n">
        <v>194.97</v>
      </c>
      <c r="I702" s="22" t="s">
        <v>112</v>
      </c>
      <c r="J702" s="22" t="s">
        <v>4102</v>
      </c>
      <c r="K702" s="63" t="n">
        <v>241.815715256267</v>
      </c>
      <c r="L702" s="22" t="s">
        <v>2550</v>
      </c>
      <c r="M702" s="22" t="n">
        <v>2</v>
      </c>
      <c r="N702" s="22" t="s">
        <v>5270</v>
      </c>
    </row>
    <row r="703" customFormat="false" ht="15" hidden="false" customHeight="false" outlineLevel="0" collapsed="false">
      <c r="A703" s="22" t="s">
        <v>5271</v>
      </c>
      <c r="B703" s="22" t="s">
        <v>3515</v>
      </c>
      <c r="C703" s="22" t="s">
        <v>3431</v>
      </c>
      <c r="D703" s="22" t="s">
        <v>5212</v>
      </c>
      <c r="E703" s="22" t="s">
        <v>3691</v>
      </c>
      <c r="F703" s="22" t="s">
        <v>5272</v>
      </c>
      <c r="G703" s="22" t="s">
        <v>4114</v>
      </c>
      <c r="H703" s="63" t="n">
        <v>75.95</v>
      </c>
      <c r="I703" s="22" t="s">
        <v>112</v>
      </c>
      <c r="J703" s="22" t="s">
        <v>4102</v>
      </c>
      <c r="K703" s="63" t="n">
        <v>94.1986129851439</v>
      </c>
      <c r="L703" s="22" t="s">
        <v>2550</v>
      </c>
      <c r="M703" s="22" t="n">
        <v>1</v>
      </c>
      <c r="N703" s="22" t="s">
        <v>5273</v>
      </c>
    </row>
    <row r="704" customFormat="false" ht="15" hidden="false" customHeight="false" outlineLevel="0" collapsed="false">
      <c r="A704" s="22" t="s">
        <v>5274</v>
      </c>
      <c r="B704" s="22" t="s">
        <v>3515</v>
      </c>
      <c r="C704" s="22" t="s">
        <v>3431</v>
      </c>
      <c r="D704" s="22" t="s">
        <v>5212</v>
      </c>
      <c r="E704" s="22" t="s">
        <v>3691</v>
      </c>
      <c r="F704" s="22" t="s">
        <v>5275</v>
      </c>
      <c r="G704" s="22" t="s">
        <v>4114</v>
      </c>
      <c r="H704" s="63" t="n">
        <v>162.89</v>
      </c>
      <c r="I704" s="22" t="s">
        <v>112</v>
      </c>
      <c r="J704" s="22" t="s">
        <v>4102</v>
      </c>
      <c r="K704" s="63" t="n">
        <v>202.027808678737</v>
      </c>
      <c r="L704" s="22" t="s">
        <v>2550</v>
      </c>
      <c r="M704" s="22" t="n">
        <v>1</v>
      </c>
      <c r="N704" s="22" t="s">
        <v>5276</v>
      </c>
    </row>
    <row r="705" customFormat="false" ht="15" hidden="false" customHeight="false" outlineLevel="0" collapsed="false">
      <c r="A705" s="22" t="s">
        <v>5277</v>
      </c>
      <c r="B705" s="22" t="s">
        <v>3515</v>
      </c>
      <c r="C705" s="22" t="s">
        <v>3431</v>
      </c>
      <c r="D705" s="22" t="s">
        <v>5212</v>
      </c>
      <c r="E705" s="22" t="s">
        <v>3691</v>
      </c>
      <c r="F705" s="22" t="s">
        <v>5278</v>
      </c>
      <c r="G705" s="22" t="s">
        <v>4114</v>
      </c>
      <c r="H705" s="63" t="n">
        <v>1220.14</v>
      </c>
      <c r="I705" s="22" t="s">
        <v>112</v>
      </c>
      <c r="J705" s="22" t="s">
        <v>4102</v>
      </c>
      <c r="K705" s="63" t="n">
        <v>1513.30474848839</v>
      </c>
      <c r="L705" s="22" t="s">
        <v>2550</v>
      </c>
      <c r="M705" s="22" t="n">
        <v>1</v>
      </c>
      <c r="N705" s="22" t="s">
        <v>5279</v>
      </c>
    </row>
    <row r="706" customFormat="false" ht="15" hidden="false" customHeight="false" outlineLevel="0" collapsed="false">
      <c r="A706" s="22" t="s">
        <v>5280</v>
      </c>
      <c r="B706" s="22" t="s">
        <v>3515</v>
      </c>
      <c r="C706" s="22" t="s">
        <v>3431</v>
      </c>
      <c r="D706" s="22" t="s">
        <v>5212</v>
      </c>
      <c r="E706" s="22" t="s">
        <v>3691</v>
      </c>
      <c r="F706" s="22" t="s">
        <v>5281</v>
      </c>
      <c r="G706" s="22" t="s">
        <v>4114</v>
      </c>
      <c r="H706" s="63" t="n">
        <v>26.44</v>
      </c>
      <c r="I706" s="22" t="s">
        <v>112</v>
      </c>
      <c r="J706" s="22" t="s">
        <v>4102</v>
      </c>
      <c r="K706" s="63" t="n">
        <v>32.7927758700093</v>
      </c>
      <c r="L706" s="22" t="s">
        <v>2550</v>
      </c>
      <c r="M706" s="22" t="n">
        <v>1</v>
      </c>
      <c r="N706" s="22" t="s">
        <v>5282</v>
      </c>
    </row>
    <row r="707" customFormat="false" ht="15" hidden="false" customHeight="false" outlineLevel="0" collapsed="false">
      <c r="A707" s="22" t="s">
        <v>5283</v>
      </c>
      <c r="B707" s="22" t="s">
        <v>3515</v>
      </c>
      <c r="C707" s="22" t="s">
        <v>3431</v>
      </c>
      <c r="D707" s="22" t="s">
        <v>5212</v>
      </c>
      <c r="E707" s="22" t="s">
        <v>3691</v>
      </c>
      <c r="F707" s="22" t="s">
        <v>5284</v>
      </c>
      <c r="G707" s="22" t="s">
        <v>4114</v>
      </c>
      <c r="H707" s="63" t="n">
        <v>5.88</v>
      </c>
      <c r="I707" s="22" t="s">
        <v>112</v>
      </c>
      <c r="J707" s="22" t="s">
        <v>4102</v>
      </c>
      <c r="K707" s="63" t="n">
        <v>7.29279584401114</v>
      </c>
      <c r="L707" s="22" t="s">
        <v>2550</v>
      </c>
      <c r="M707" s="22" t="n">
        <v>1</v>
      </c>
      <c r="N707" s="22" t="s">
        <v>5285</v>
      </c>
    </row>
    <row r="708" customFormat="false" ht="15" hidden="false" customHeight="false" outlineLevel="0" collapsed="false">
      <c r="A708" s="22" t="s">
        <v>5286</v>
      </c>
      <c r="B708" s="22" t="s">
        <v>3515</v>
      </c>
      <c r="C708" s="22" t="s">
        <v>3431</v>
      </c>
      <c r="D708" s="22" t="s">
        <v>5212</v>
      </c>
      <c r="E708" s="22" t="s">
        <v>3691</v>
      </c>
      <c r="F708" s="22" t="s">
        <v>5287</v>
      </c>
      <c r="G708" s="22" t="s">
        <v>4125</v>
      </c>
      <c r="H708" s="63" t="n">
        <v>43.47</v>
      </c>
      <c r="I708" s="22" t="s">
        <v>112</v>
      </c>
      <c r="J708" s="22" t="s">
        <v>4102</v>
      </c>
      <c r="K708" s="63" t="n">
        <v>53.9145978467966</v>
      </c>
      <c r="L708" s="22" t="s">
        <v>2550</v>
      </c>
      <c r="M708" s="22" t="n">
        <v>1</v>
      </c>
      <c r="N708" s="22" t="s">
        <v>5288</v>
      </c>
    </row>
    <row r="709" customFormat="false" ht="15" hidden="false" customHeight="false" outlineLevel="0" collapsed="false">
      <c r="A709" s="22" t="s">
        <v>5289</v>
      </c>
      <c r="B709" s="22" t="s">
        <v>3515</v>
      </c>
      <c r="C709" s="22" t="s">
        <v>3431</v>
      </c>
      <c r="D709" s="22" t="s">
        <v>5212</v>
      </c>
      <c r="E709" s="22" t="s">
        <v>3691</v>
      </c>
      <c r="F709" s="22" t="s">
        <v>5290</v>
      </c>
      <c r="G709" s="22" t="s">
        <v>4125</v>
      </c>
      <c r="H709" s="63" t="n">
        <v>10.14</v>
      </c>
      <c r="I709" s="22" t="s">
        <v>112</v>
      </c>
      <c r="J709" s="22" t="s">
        <v>4102</v>
      </c>
      <c r="K709" s="63" t="n">
        <v>12.5763520167131</v>
      </c>
      <c r="L709" s="22" t="s">
        <v>2550</v>
      </c>
      <c r="M709" s="22" t="n">
        <v>1</v>
      </c>
      <c r="N709" s="22" t="s">
        <v>5291</v>
      </c>
    </row>
    <row r="710" customFormat="false" ht="15" hidden="false" customHeight="false" outlineLevel="0" collapsed="false">
      <c r="A710" s="22" t="s">
        <v>5292</v>
      </c>
      <c r="B710" s="22" t="s">
        <v>3515</v>
      </c>
      <c r="C710" s="22" t="s">
        <v>3431</v>
      </c>
      <c r="D710" s="22" t="s">
        <v>5212</v>
      </c>
      <c r="E710" s="22" t="s">
        <v>3691</v>
      </c>
      <c r="F710" s="22" t="s">
        <v>5293</v>
      </c>
      <c r="G710" s="22" t="s">
        <v>4125</v>
      </c>
      <c r="H710" s="63" t="n">
        <v>12.69</v>
      </c>
      <c r="I710" s="22" t="s">
        <v>112</v>
      </c>
      <c r="J710" s="22" t="s">
        <v>4102</v>
      </c>
      <c r="K710" s="63" t="n">
        <v>15.739044091922</v>
      </c>
      <c r="L710" s="22" t="s">
        <v>2550</v>
      </c>
      <c r="M710" s="22" t="n">
        <v>1</v>
      </c>
      <c r="N710" s="22" t="s">
        <v>5294</v>
      </c>
    </row>
    <row r="711" customFormat="false" ht="15" hidden="false" customHeight="false" outlineLevel="0" collapsed="false">
      <c r="A711" s="22" t="s">
        <v>5295</v>
      </c>
      <c r="B711" s="22" t="s">
        <v>3515</v>
      </c>
      <c r="C711" s="22" t="s">
        <v>3431</v>
      </c>
      <c r="D711" s="22" t="s">
        <v>5212</v>
      </c>
      <c r="E711" s="22" t="s">
        <v>3691</v>
      </c>
      <c r="F711" s="22" t="s">
        <v>5296</v>
      </c>
      <c r="G711" s="22" t="s">
        <v>4125</v>
      </c>
      <c r="H711" s="63" t="n">
        <v>14.58</v>
      </c>
      <c r="I711" s="22" t="s">
        <v>112</v>
      </c>
      <c r="J711" s="22" t="s">
        <v>4102</v>
      </c>
      <c r="K711" s="63" t="n">
        <v>18.0831570417827</v>
      </c>
      <c r="L711" s="22" t="s">
        <v>2550</v>
      </c>
      <c r="M711" s="22" t="n">
        <v>1</v>
      </c>
      <c r="N711" s="22" t="s">
        <v>5297</v>
      </c>
    </row>
    <row r="712" customFormat="false" ht="15" hidden="false" customHeight="false" outlineLevel="0" collapsed="false">
      <c r="A712" s="22" t="s">
        <v>5298</v>
      </c>
      <c r="B712" s="22" t="s">
        <v>3515</v>
      </c>
      <c r="C712" s="22" t="s">
        <v>3431</v>
      </c>
      <c r="D712" s="22" t="s">
        <v>5212</v>
      </c>
      <c r="E712" s="22" t="s">
        <v>3691</v>
      </c>
      <c r="F712" s="22" t="s">
        <v>5299</v>
      </c>
      <c r="G712" s="22" t="s">
        <v>4125</v>
      </c>
      <c r="H712" s="63" t="n">
        <v>18.79</v>
      </c>
      <c r="I712" s="22" t="s">
        <v>112</v>
      </c>
      <c r="J712" s="22" t="s">
        <v>4102</v>
      </c>
      <c r="K712" s="63" t="n">
        <v>23.3046996443825</v>
      </c>
      <c r="L712" s="22" t="s">
        <v>2550</v>
      </c>
      <c r="M712" s="22" t="n">
        <v>3</v>
      </c>
      <c r="N712" s="22" t="s">
        <v>5300</v>
      </c>
    </row>
    <row r="713" customFormat="false" ht="15" hidden="false" customHeight="false" outlineLevel="0" collapsed="false">
      <c r="A713" s="22" t="s">
        <v>5301</v>
      </c>
      <c r="B713" s="22" t="s">
        <v>3515</v>
      </c>
      <c r="C713" s="22" t="s">
        <v>3431</v>
      </c>
      <c r="D713" s="22" t="s">
        <v>5212</v>
      </c>
      <c r="E713" s="22" t="s">
        <v>3691</v>
      </c>
      <c r="F713" s="22" t="s">
        <v>5302</v>
      </c>
      <c r="G713" s="22" t="s">
        <v>4125</v>
      </c>
      <c r="H713" s="63" t="n">
        <v>24.99</v>
      </c>
      <c r="I713" s="22" t="s">
        <v>112</v>
      </c>
      <c r="J713" s="22" t="s">
        <v>4102</v>
      </c>
      <c r="K713" s="63" t="n">
        <v>30.9943823370473</v>
      </c>
      <c r="L713" s="22" t="s">
        <v>2550</v>
      </c>
      <c r="M713" s="22" t="n">
        <v>3</v>
      </c>
      <c r="N713" s="22" t="s">
        <v>5303</v>
      </c>
    </row>
    <row r="714" customFormat="false" ht="15" hidden="false" customHeight="false" outlineLevel="0" collapsed="false">
      <c r="A714" s="22" t="s">
        <v>5304</v>
      </c>
      <c r="B714" s="22" t="s">
        <v>3515</v>
      </c>
      <c r="C714" s="22" t="s">
        <v>3431</v>
      </c>
      <c r="D714" s="22" t="s">
        <v>5212</v>
      </c>
      <c r="E714" s="22" t="s">
        <v>3691</v>
      </c>
      <c r="F714" s="22" t="s">
        <v>5305</v>
      </c>
      <c r="G714" s="22" t="s">
        <v>4125</v>
      </c>
      <c r="H714" s="63" t="n">
        <v>30.34</v>
      </c>
      <c r="I714" s="22" t="s">
        <v>112</v>
      </c>
      <c r="J714" s="22" t="s">
        <v>4102</v>
      </c>
      <c r="K714" s="63" t="n">
        <v>37.6298343379759</v>
      </c>
      <c r="L714" s="22" t="s">
        <v>2550</v>
      </c>
      <c r="M714" s="22" t="n">
        <v>1</v>
      </c>
      <c r="N714" s="22" t="s">
        <v>5306</v>
      </c>
    </row>
    <row r="715" customFormat="false" ht="15" hidden="false" customHeight="false" outlineLevel="0" collapsed="false">
      <c r="A715" s="22" t="s">
        <v>5307</v>
      </c>
      <c r="B715" s="22" t="s">
        <v>3515</v>
      </c>
      <c r="C715" s="22" t="s">
        <v>3431</v>
      </c>
      <c r="D715" s="22" t="s">
        <v>5212</v>
      </c>
      <c r="E715" s="22" t="s">
        <v>3691</v>
      </c>
      <c r="F715" s="22" t="s">
        <v>5308</v>
      </c>
      <c r="G715" s="22" t="s">
        <v>4125</v>
      </c>
      <c r="H715" s="63" t="n">
        <v>42.15</v>
      </c>
      <c r="I715" s="22" t="s">
        <v>112</v>
      </c>
      <c r="J715" s="22" t="s">
        <v>4102</v>
      </c>
      <c r="K715" s="63" t="n">
        <v>52.2774395961003</v>
      </c>
      <c r="L715" s="22" t="s">
        <v>2550</v>
      </c>
      <c r="M715" s="22" t="n">
        <v>3</v>
      </c>
      <c r="N715" s="22" t="s">
        <v>5309</v>
      </c>
    </row>
    <row r="716" customFormat="false" ht="15" hidden="false" customHeight="false" outlineLevel="0" collapsed="false">
      <c r="A716" s="22" t="s">
        <v>5310</v>
      </c>
      <c r="B716" s="22" t="s">
        <v>3515</v>
      </c>
      <c r="C716" s="22" t="s">
        <v>3431</v>
      </c>
      <c r="D716" s="22" t="s">
        <v>5212</v>
      </c>
      <c r="E716" s="22" t="s">
        <v>3691</v>
      </c>
      <c r="F716" s="22" t="s">
        <v>5311</v>
      </c>
      <c r="G716" s="22" t="s">
        <v>4125</v>
      </c>
      <c r="H716" s="63" t="n">
        <v>66</v>
      </c>
      <c r="I716" s="22" t="s">
        <v>112</v>
      </c>
      <c r="J716" s="22" t="s">
        <v>4102</v>
      </c>
      <c r="K716" s="63" t="n">
        <v>81.8579125348189</v>
      </c>
      <c r="L716" s="22" t="s">
        <v>2550</v>
      </c>
      <c r="M716" s="22" t="n">
        <v>2</v>
      </c>
      <c r="N716" s="22" t="s">
        <v>5312</v>
      </c>
    </row>
    <row r="717" customFormat="false" ht="15" hidden="false" customHeight="false" outlineLevel="0" collapsed="false">
      <c r="A717" s="22" t="s">
        <v>5313</v>
      </c>
      <c r="B717" s="22" t="s">
        <v>3515</v>
      </c>
      <c r="C717" s="22" t="s">
        <v>3431</v>
      </c>
      <c r="D717" s="22" t="s">
        <v>5212</v>
      </c>
      <c r="E717" s="22" t="s">
        <v>3691</v>
      </c>
      <c r="F717" s="22" t="s">
        <v>5314</v>
      </c>
      <c r="G717" s="22" t="s">
        <v>4114</v>
      </c>
      <c r="H717" s="63" t="n">
        <v>2446.3</v>
      </c>
      <c r="I717" s="22" t="s">
        <v>112</v>
      </c>
      <c r="J717" s="22" t="s">
        <v>4102</v>
      </c>
      <c r="K717" s="63" t="n">
        <v>3034.07593081708</v>
      </c>
      <c r="L717" s="22" t="s">
        <v>2730</v>
      </c>
      <c r="M717" s="22" t="n">
        <v>1</v>
      </c>
      <c r="N717" s="22" t="s">
        <v>5315</v>
      </c>
    </row>
    <row r="718" customFormat="false" ht="15" hidden="false" customHeight="false" outlineLevel="0" collapsed="false">
      <c r="A718" s="22" t="s">
        <v>5316</v>
      </c>
      <c r="B718" s="22" t="s">
        <v>3515</v>
      </c>
      <c r="C718" s="22" t="s">
        <v>3431</v>
      </c>
      <c r="D718" s="22" t="s">
        <v>5212</v>
      </c>
      <c r="E718" s="22" t="s">
        <v>3691</v>
      </c>
      <c r="F718" s="22" t="s">
        <v>5317</v>
      </c>
      <c r="G718" s="22" t="s">
        <v>5318</v>
      </c>
      <c r="H718" s="63" t="n">
        <v>3921</v>
      </c>
      <c r="I718" s="22" t="s">
        <v>112</v>
      </c>
      <c r="J718" s="22" t="s">
        <v>4102</v>
      </c>
      <c r="K718" s="63" t="n">
        <v>4863.10416740947</v>
      </c>
      <c r="L718" s="22" t="s">
        <v>2730</v>
      </c>
      <c r="M718" s="22" t="n">
        <v>2</v>
      </c>
      <c r="N718" s="22" t="s">
        <v>5319</v>
      </c>
    </row>
    <row r="719" customFormat="false" ht="15" hidden="false" customHeight="false" outlineLevel="0" collapsed="false">
      <c r="A719" s="22" t="s">
        <v>5320</v>
      </c>
      <c r="B719" s="22" t="s">
        <v>3515</v>
      </c>
      <c r="C719" s="22" t="s">
        <v>3431</v>
      </c>
      <c r="D719" s="22" t="s">
        <v>5212</v>
      </c>
      <c r="E719" s="22" t="s">
        <v>3691</v>
      </c>
      <c r="F719" s="22" t="s">
        <v>5321</v>
      </c>
      <c r="G719" s="22" t="s">
        <v>4114</v>
      </c>
      <c r="H719" s="63" t="n">
        <v>7322.08</v>
      </c>
      <c r="I719" s="22" t="s">
        <v>112</v>
      </c>
      <c r="J719" s="22" t="s">
        <v>4102</v>
      </c>
      <c r="K719" s="63" t="n">
        <v>9081.36642746889</v>
      </c>
      <c r="L719" s="22" t="s">
        <v>2730</v>
      </c>
      <c r="M719" s="22" t="n">
        <v>1</v>
      </c>
      <c r="N719" s="22" t="s">
        <v>5322</v>
      </c>
    </row>
    <row r="720" customFormat="false" ht="15" hidden="false" customHeight="false" outlineLevel="0" collapsed="false">
      <c r="A720" s="22" t="s">
        <v>5323</v>
      </c>
      <c r="B720" s="22" t="s">
        <v>3515</v>
      </c>
      <c r="C720" s="22" t="s">
        <v>3431</v>
      </c>
      <c r="D720" s="22" t="s">
        <v>5212</v>
      </c>
      <c r="E720" s="22" t="s">
        <v>3691</v>
      </c>
      <c r="F720" s="22" t="s">
        <v>5324</v>
      </c>
      <c r="G720" s="22" t="s">
        <v>4114</v>
      </c>
      <c r="H720" s="63" t="n">
        <v>153.08</v>
      </c>
      <c r="I720" s="22" t="s">
        <v>112</v>
      </c>
      <c r="J720" s="22" t="s">
        <v>4102</v>
      </c>
      <c r="K720" s="63" t="n">
        <v>189.860746224698</v>
      </c>
      <c r="L720" s="22" t="s">
        <v>2730</v>
      </c>
      <c r="M720" s="22" t="n">
        <v>1</v>
      </c>
      <c r="N720" s="22" t="s">
        <v>5325</v>
      </c>
    </row>
    <row r="721" customFormat="false" ht="15" hidden="false" customHeight="false" outlineLevel="0" collapsed="false">
      <c r="A721" s="22" t="s">
        <v>5326</v>
      </c>
      <c r="B721" s="22" t="s">
        <v>3515</v>
      </c>
      <c r="C721" s="22" t="s">
        <v>3431</v>
      </c>
      <c r="D721" s="22" t="s">
        <v>5212</v>
      </c>
      <c r="E721" s="22" t="s">
        <v>3691</v>
      </c>
      <c r="F721" s="22" t="s">
        <v>5327</v>
      </c>
      <c r="G721" s="22" t="s">
        <v>4114</v>
      </c>
      <c r="H721" s="63" t="n">
        <v>123.96</v>
      </c>
      <c r="I721" s="22" t="s">
        <v>112</v>
      </c>
      <c r="J721" s="22" t="s">
        <v>4102</v>
      </c>
      <c r="K721" s="63" t="n">
        <v>153.744042997214</v>
      </c>
      <c r="L721" s="22" t="s">
        <v>2730</v>
      </c>
      <c r="M721" s="22" t="n">
        <v>1</v>
      </c>
      <c r="N721" s="22" t="s">
        <v>5328</v>
      </c>
    </row>
    <row r="722" customFormat="false" ht="15" hidden="false" customHeight="false" outlineLevel="0" collapsed="false">
      <c r="A722" s="22" t="s">
        <v>5329</v>
      </c>
      <c r="B722" s="22" t="s">
        <v>3515</v>
      </c>
      <c r="C722" s="22" t="s">
        <v>3431</v>
      </c>
      <c r="D722" s="22" t="s">
        <v>5212</v>
      </c>
      <c r="E722" s="22" t="s">
        <v>3691</v>
      </c>
      <c r="F722" s="22" t="s">
        <v>5330</v>
      </c>
      <c r="G722" s="22" t="s">
        <v>4114</v>
      </c>
      <c r="H722" s="63" t="n">
        <v>386.34</v>
      </c>
      <c r="I722" s="22" t="s">
        <v>112</v>
      </c>
      <c r="J722" s="22" t="s">
        <v>4102</v>
      </c>
      <c r="K722" s="63" t="n">
        <v>479.166453465181</v>
      </c>
      <c r="L722" s="22" t="s">
        <v>2730</v>
      </c>
      <c r="M722" s="22" t="n">
        <v>1</v>
      </c>
      <c r="N722" s="22" t="s">
        <v>5331</v>
      </c>
    </row>
    <row r="723" customFormat="false" ht="15" hidden="false" customHeight="false" outlineLevel="0" collapsed="false">
      <c r="A723" s="22" t="s">
        <v>5332</v>
      </c>
      <c r="B723" s="22" t="s">
        <v>3515</v>
      </c>
      <c r="C723" s="22" t="s">
        <v>3431</v>
      </c>
      <c r="D723" s="22" t="s">
        <v>5212</v>
      </c>
      <c r="E723" s="22" t="s">
        <v>3691</v>
      </c>
      <c r="F723" s="22" t="s">
        <v>5333</v>
      </c>
      <c r="G723" s="22" t="s">
        <v>5318</v>
      </c>
      <c r="H723" s="63" t="n">
        <v>155.47</v>
      </c>
      <c r="I723" s="22" t="s">
        <v>112</v>
      </c>
      <c r="J723" s="22" t="s">
        <v>4102</v>
      </c>
      <c r="K723" s="63" t="n">
        <v>192.82499487558</v>
      </c>
      <c r="L723" s="22" t="s">
        <v>2730</v>
      </c>
      <c r="M723" s="22" t="n">
        <v>3</v>
      </c>
      <c r="N723" s="22" t="s">
        <v>5334</v>
      </c>
    </row>
    <row r="724" customFormat="false" ht="15" hidden="false" customHeight="false" outlineLevel="0" collapsed="false">
      <c r="A724" s="22" t="s">
        <v>5335</v>
      </c>
      <c r="B724" s="22" t="s">
        <v>3515</v>
      </c>
      <c r="C724" s="22" t="s">
        <v>3431</v>
      </c>
      <c r="D724" s="22" t="s">
        <v>5212</v>
      </c>
      <c r="E724" s="22" t="s">
        <v>3691</v>
      </c>
      <c r="F724" s="22" t="s">
        <v>5336</v>
      </c>
      <c r="G724" s="22" t="s">
        <v>4114</v>
      </c>
      <c r="H724" s="63" t="n">
        <v>92.53</v>
      </c>
      <c r="I724" s="22" t="s">
        <v>112</v>
      </c>
      <c r="J724" s="22" t="s">
        <v>4102</v>
      </c>
      <c r="K724" s="63" t="n">
        <v>114.762312831012</v>
      </c>
      <c r="L724" s="22" t="s">
        <v>2730</v>
      </c>
      <c r="M724" s="22" t="n">
        <v>3</v>
      </c>
      <c r="N724" s="22" t="s">
        <v>5337</v>
      </c>
    </row>
    <row r="725" customFormat="false" ht="15" hidden="false" customHeight="false" outlineLevel="0" collapsed="false">
      <c r="A725" s="22" t="s">
        <v>5338</v>
      </c>
      <c r="B725" s="22" t="s">
        <v>3515</v>
      </c>
      <c r="C725" s="22" t="s">
        <v>3431</v>
      </c>
      <c r="D725" s="22" t="s">
        <v>5212</v>
      </c>
      <c r="E725" s="22" t="s">
        <v>3691</v>
      </c>
      <c r="F725" s="22" t="s">
        <v>5339</v>
      </c>
      <c r="G725" s="22" t="s">
        <v>4114</v>
      </c>
      <c r="H725" s="63" t="n">
        <v>275.08</v>
      </c>
      <c r="I725" s="22" t="s">
        <v>112</v>
      </c>
      <c r="J725" s="22" t="s">
        <v>4102</v>
      </c>
      <c r="K725" s="63" t="n">
        <v>341.173857273909</v>
      </c>
      <c r="L725" s="22" t="s">
        <v>2730</v>
      </c>
      <c r="M725" s="22" t="n">
        <v>1</v>
      </c>
      <c r="N725" s="22" t="s">
        <v>5340</v>
      </c>
    </row>
    <row r="726" customFormat="false" ht="15" hidden="false" customHeight="false" outlineLevel="0" collapsed="false">
      <c r="A726" s="22" t="s">
        <v>5341</v>
      </c>
      <c r="B726" s="22" t="s">
        <v>3515</v>
      </c>
      <c r="C726" s="22" t="s">
        <v>3431</v>
      </c>
      <c r="D726" s="22" t="s">
        <v>5212</v>
      </c>
      <c r="E726" s="22" t="s">
        <v>3691</v>
      </c>
      <c r="F726" s="22" t="s">
        <v>5342</v>
      </c>
      <c r="G726" s="22" t="s">
        <v>4114</v>
      </c>
      <c r="H726" s="63" t="n">
        <v>136.06</v>
      </c>
      <c r="I726" s="22" t="s">
        <v>112</v>
      </c>
      <c r="J726" s="22" t="s">
        <v>4102</v>
      </c>
      <c r="K726" s="63" t="n">
        <v>168.751326961931</v>
      </c>
      <c r="L726" s="22" t="s">
        <v>2730</v>
      </c>
      <c r="M726" s="22" t="n">
        <v>1</v>
      </c>
      <c r="N726" s="22" t="s">
        <v>5343</v>
      </c>
    </row>
    <row r="727" customFormat="false" ht="15" hidden="false" customHeight="false" outlineLevel="0" collapsed="false">
      <c r="A727" s="22" t="s">
        <v>5344</v>
      </c>
      <c r="B727" s="22" t="s">
        <v>3515</v>
      </c>
      <c r="C727" s="22" t="s">
        <v>3431</v>
      </c>
      <c r="D727" s="22" t="s">
        <v>5212</v>
      </c>
      <c r="E727" s="22" t="s">
        <v>3691</v>
      </c>
      <c r="F727" s="22" t="s">
        <v>5345</v>
      </c>
      <c r="G727" s="22" t="s">
        <v>4125</v>
      </c>
      <c r="H727" s="63" t="n">
        <v>3.47</v>
      </c>
      <c r="I727" s="22" t="s">
        <v>112</v>
      </c>
      <c r="J727" s="22" t="s">
        <v>4102</v>
      </c>
      <c r="K727" s="63" t="n">
        <v>4.30374176508821</v>
      </c>
      <c r="L727" s="22" t="s">
        <v>2730</v>
      </c>
      <c r="M727" s="22" t="n">
        <v>12</v>
      </c>
      <c r="N727" s="22" t="s">
        <v>5346</v>
      </c>
    </row>
    <row r="728" customFormat="false" ht="15" hidden="false" customHeight="false" outlineLevel="0" collapsed="false">
      <c r="A728" s="22" t="s">
        <v>5347</v>
      </c>
      <c r="B728" s="22" t="s">
        <v>3515</v>
      </c>
      <c r="C728" s="22" t="s">
        <v>3431</v>
      </c>
      <c r="D728" s="22" t="s">
        <v>5212</v>
      </c>
      <c r="E728" s="22" t="s">
        <v>3691</v>
      </c>
      <c r="F728" s="22" t="s">
        <v>5348</v>
      </c>
      <c r="G728" s="22" t="s">
        <v>4125</v>
      </c>
      <c r="H728" s="63" t="n">
        <v>4.82</v>
      </c>
      <c r="I728" s="22" t="s">
        <v>112</v>
      </c>
      <c r="J728" s="22" t="s">
        <v>4102</v>
      </c>
      <c r="K728" s="63" t="n">
        <v>5.97810815784587</v>
      </c>
      <c r="L728" s="22" t="s">
        <v>2730</v>
      </c>
      <c r="M728" s="22" t="n">
        <v>15</v>
      </c>
      <c r="N728" s="22" t="s">
        <v>5349</v>
      </c>
    </row>
    <row r="729" customFormat="false" ht="15" hidden="false" customHeight="false" outlineLevel="0" collapsed="false">
      <c r="A729" s="22" t="s">
        <v>5350</v>
      </c>
      <c r="B729" s="22" t="s">
        <v>3515</v>
      </c>
      <c r="C729" s="22" t="s">
        <v>3431</v>
      </c>
      <c r="D729" s="22" t="s">
        <v>5212</v>
      </c>
      <c r="E729" s="22" t="s">
        <v>3691</v>
      </c>
      <c r="F729" s="22" t="s">
        <v>5351</v>
      </c>
      <c r="G729" s="22" t="s">
        <v>4114</v>
      </c>
      <c r="H729" s="63" t="n">
        <v>18424.06</v>
      </c>
      <c r="I729" s="22" t="s">
        <v>112</v>
      </c>
      <c r="J729" s="22" t="s">
        <v>4102</v>
      </c>
      <c r="K729" s="63" t="n">
        <v>22850.834727519</v>
      </c>
      <c r="L729" s="22" t="s">
        <v>2846</v>
      </c>
      <c r="M729" s="22" t="n">
        <v>1</v>
      </c>
      <c r="N729" s="22" t="s">
        <v>5352</v>
      </c>
    </row>
    <row r="730" customFormat="false" ht="15" hidden="false" customHeight="false" outlineLevel="0" collapsed="false">
      <c r="A730" s="22" t="s">
        <v>5353</v>
      </c>
      <c r="B730" s="22" t="s">
        <v>3515</v>
      </c>
      <c r="C730" s="22" t="s">
        <v>3431</v>
      </c>
      <c r="D730" s="22" t="s">
        <v>5212</v>
      </c>
      <c r="E730" s="22" t="s">
        <v>3691</v>
      </c>
      <c r="F730" s="22" t="s">
        <v>5354</v>
      </c>
      <c r="G730" s="22" t="s">
        <v>4114</v>
      </c>
      <c r="H730" s="63" t="n">
        <v>63.08</v>
      </c>
      <c r="I730" s="22" t="s">
        <v>112</v>
      </c>
      <c r="J730" s="22" t="s">
        <v>4102</v>
      </c>
      <c r="K730" s="63" t="n">
        <v>78.2363200408542</v>
      </c>
      <c r="L730" s="22" t="s">
        <v>2846</v>
      </c>
      <c r="M730" s="22" t="n">
        <v>1</v>
      </c>
      <c r="N730" s="22" t="s">
        <v>5355</v>
      </c>
    </row>
    <row r="731" customFormat="false" ht="15" hidden="false" customHeight="false" outlineLevel="0" collapsed="false">
      <c r="A731" s="22" t="s">
        <v>5356</v>
      </c>
      <c r="B731" s="22" t="s">
        <v>3515</v>
      </c>
      <c r="C731" s="22" t="s">
        <v>3431</v>
      </c>
      <c r="D731" s="22" t="s">
        <v>5212</v>
      </c>
      <c r="E731" s="22" t="s">
        <v>3691</v>
      </c>
      <c r="F731" s="22" t="s">
        <v>5357</v>
      </c>
      <c r="G731" s="22" t="s">
        <v>4125</v>
      </c>
      <c r="H731" s="63" t="n">
        <v>8.66</v>
      </c>
      <c r="I731" s="22" t="s">
        <v>112</v>
      </c>
      <c r="J731" s="22" t="s">
        <v>4102</v>
      </c>
      <c r="K731" s="63" t="n">
        <v>10.7407503416899</v>
      </c>
      <c r="L731" s="22" t="s">
        <v>2846</v>
      </c>
      <c r="M731" s="22" t="n">
        <v>1</v>
      </c>
      <c r="N731" s="22" t="s">
        <v>5358</v>
      </c>
    </row>
    <row r="732" customFormat="false" ht="15" hidden="false" customHeight="false" outlineLevel="0" collapsed="false">
      <c r="A732" s="22" t="s">
        <v>5359</v>
      </c>
      <c r="B732" s="22" t="s">
        <v>3515</v>
      </c>
      <c r="C732" s="22" t="s">
        <v>3431</v>
      </c>
      <c r="D732" s="22" t="s">
        <v>5212</v>
      </c>
      <c r="E732" s="22" t="s">
        <v>3691</v>
      </c>
      <c r="F732" s="22" t="s">
        <v>5360</v>
      </c>
      <c r="G732" s="22" t="s">
        <v>4125</v>
      </c>
      <c r="H732" s="63" t="n">
        <v>21.91</v>
      </c>
      <c r="I732" s="22" t="s">
        <v>112</v>
      </c>
      <c r="J732" s="22" t="s">
        <v>4102</v>
      </c>
      <c r="K732" s="63" t="n">
        <v>27.1743464187558</v>
      </c>
      <c r="L732" s="22" t="s">
        <v>2846</v>
      </c>
      <c r="M732" s="22" t="n">
        <v>1</v>
      </c>
      <c r="N732" s="22" t="s">
        <v>5361</v>
      </c>
    </row>
    <row r="733" customFormat="false" ht="15" hidden="false" customHeight="false" outlineLevel="0" collapsed="false">
      <c r="A733" s="22" t="s">
        <v>5362</v>
      </c>
      <c r="B733" s="22" t="s">
        <v>3515</v>
      </c>
      <c r="C733" s="22" t="s">
        <v>3431</v>
      </c>
      <c r="D733" s="22" t="s">
        <v>5212</v>
      </c>
      <c r="E733" s="22" t="s">
        <v>3691</v>
      </c>
      <c r="F733" s="22" t="s">
        <v>5363</v>
      </c>
      <c r="G733" s="22" t="s">
        <v>4125</v>
      </c>
      <c r="H733" s="63" t="n">
        <v>29.39</v>
      </c>
      <c r="I733" s="22" t="s">
        <v>112</v>
      </c>
      <c r="J733" s="22" t="s">
        <v>4102</v>
      </c>
      <c r="K733" s="63" t="n">
        <v>36.4515765060353</v>
      </c>
      <c r="L733" s="22" t="s">
        <v>2846</v>
      </c>
      <c r="M733" s="22" t="n">
        <v>1</v>
      </c>
      <c r="N733" s="22" t="s">
        <v>5364</v>
      </c>
    </row>
    <row r="734" customFormat="false" ht="15" hidden="false" customHeight="false" outlineLevel="0" collapsed="false">
      <c r="A734" s="22" t="s">
        <v>5365</v>
      </c>
      <c r="B734" s="22" t="s">
        <v>3515</v>
      </c>
      <c r="C734" s="22" t="s">
        <v>3431</v>
      </c>
      <c r="D734" s="22" t="s">
        <v>5212</v>
      </c>
      <c r="E734" s="22" t="s">
        <v>3691</v>
      </c>
      <c r="F734" s="22" t="s">
        <v>5366</v>
      </c>
      <c r="G734" s="22" t="s">
        <v>4114</v>
      </c>
      <c r="H734" s="63" t="n">
        <v>85.57</v>
      </c>
      <c r="I734" s="22" t="s">
        <v>112</v>
      </c>
      <c r="J734" s="22" t="s">
        <v>4102</v>
      </c>
      <c r="K734" s="63" t="n">
        <v>106.130023872795</v>
      </c>
      <c r="L734" s="22" t="s">
        <v>2846</v>
      </c>
      <c r="M734" s="22" t="n">
        <v>1</v>
      </c>
      <c r="N734" s="22" t="s">
        <v>5367</v>
      </c>
    </row>
    <row r="735" customFormat="false" ht="15" hidden="false" customHeight="false" outlineLevel="0" collapsed="false">
      <c r="A735" s="22" t="s">
        <v>5368</v>
      </c>
      <c r="B735" s="22" t="s">
        <v>3515</v>
      </c>
      <c r="C735" s="22" t="s">
        <v>3431</v>
      </c>
      <c r="D735" s="22" t="s">
        <v>5212</v>
      </c>
      <c r="E735" s="22" t="s">
        <v>3691</v>
      </c>
      <c r="F735" s="22" t="s">
        <v>5369</v>
      </c>
      <c r="G735" s="22" t="s">
        <v>4125</v>
      </c>
      <c r="H735" s="63" t="n">
        <v>14.84</v>
      </c>
      <c r="I735" s="22" t="s">
        <v>112</v>
      </c>
      <c r="J735" s="22" t="s">
        <v>4102</v>
      </c>
      <c r="K735" s="63" t="n">
        <v>18.4056276063138</v>
      </c>
      <c r="L735" s="22" t="s">
        <v>2819</v>
      </c>
      <c r="M735" s="22" t="n">
        <v>4</v>
      </c>
      <c r="N735" s="22" t="s">
        <v>5370</v>
      </c>
    </row>
    <row r="736" customFormat="false" ht="15" hidden="false" customHeight="false" outlineLevel="0" collapsed="false">
      <c r="A736" s="22" t="s">
        <v>5371</v>
      </c>
      <c r="B736" s="22" t="s">
        <v>3515</v>
      </c>
      <c r="C736" s="22" t="s">
        <v>3431</v>
      </c>
      <c r="D736" s="22" t="s">
        <v>5212</v>
      </c>
      <c r="E736" s="22" t="s">
        <v>3691</v>
      </c>
      <c r="F736" s="22" t="s">
        <v>5372</v>
      </c>
      <c r="G736" s="22" t="s">
        <v>4125</v>
      </c>
      <c r="H736" s="63" t="n">
        <v>22.17</v>
      </c>
      <c r="I736" s="22" t="s">
        <v>112</v>
      </c>
      <c r="J736" s="22" t="s">
        <v>4102</v>
      </c>
      <c r="K736" s="63" t="n">
        <v>27.4968169832869</v>
      </c>
      <c r="L736" s="22" t="s">
        <v>2819</v>
      </c>
      <c r="M736" s="22" t="n">
        <v>21</v>
      </c>
      <c r="N736" s="22" t="s">
        <v>5373</v>
      </c>
    </row>
    <row r="737" customFormat="false" ht="15" hidden="false" customHeight="false" outlineLevel="0" collapsed="false">
      <c r="A737" s="22" t="s">
        <v>5374</v>
      </c>
      <c r="B737" s="22" t="s">
        <v>3515</v>
      </c>
      <c r="C737" s="22" t="s">
        <v>3431</v>
      </c>
      <c r="D737" s="22" t="s">
        <v>5212</v>
      </c>
      <c r="E737" s="22" t="s">
        <v>3691</v>
      </c>
      <c r="F737" s="22" t="s">
        <v>5375</v>
      </c>
      <c r="G737" s="22" t="s">
        <v>4125</v>
      </c>
      <c r="H737" s="63" t="n">
        <v>26.04</v>
      </c>
      <c r="I737" s="22" t="s">
        <v>112</v>
      </c>
      <c r="J737" s="22" t="s">
        <v>4102</v>
      </c>
      <c r="K737" s="63" t="n">
        <v>32.2966673091922</v>
      </c>
      <c r="L737" s="22" t="s">
        <v>2819</v>
      </c>
      <c r="M737" s="22" t="n">
        <v>4</v>
      </c>
      <c r="N737" s="22" t="s">
        <v>5376</v>
      </c>
    </row>
    <row r="738" customFormat="false" ht="15" hidden="false" customHeight="false" outlineLevel="0" collapsed="false">
      <c r="A738" s="22" t="s">
        <v>5377</v>
      </c>
      <c r="B738" s="22" t="s">
        <v>3515</v>
      </c>
      <c r="C738" s="22" t="s">
        <v>3431</v>
      </c>
      <c r="D738" s="22" t="s">
        <v>5212</v>
      </c>
      <c r="E738" s="22" t="s">
        <v>3691</v>
      </c>
      <c r="F738" s="22" t="s">
        <v>5378</v>
      </c>
      <c r="G738" s="22" t="s">
        <v>4114</v>
      </c>
      <c r="H738" s="63" t="n">
        <v>35.03</v>
      </c>
      <c r="I738" s="22" t="s">
        <v>112</v>
      </c>
      <c r="J738" s="22" t="s">
        <v>4102</v>
      </c>
      <c r="K738" s="63" t="n">
        <v>43.4467072135562</v>
      </c>
      <c r="L738" s="22" t="s">
        <v>2819</v>
      </c>
      <c r="M738" s="22" t="n">
        <v>3</v>
      </c>
      <c r="N738" s="22" t="s">
        <v>5379</v>
      </c>
    </row>
    <row r="739" customFormat="false" ht="15" hidden="false" customHeight="false" outlineLevel="0" collapsed="false">
      <c r="A739" s="22" t="s">
        <v>5380</v>
      </c>
      <c r="B739" s="22" t="s">
        <v>3515</v>
      </c>
      <c r="C739" s="22" t="s">
        <v>3431</v>
      </c>
      <c r="D739" s="22" t="s">
        <v>5212</v>
      </c>
      <c r="E739" s="22" t="s">
        <v>3691</v>
      </c>
      <c r="F739" s="22" t="s">
        <v>5381</v>
      </c>
      <c r="G739" s="22" t="s">
        <v>4114</v>
      </c>
      <c r="H739" s="63" t="n">
        <v>30.4</v>
      </c>
      <c r="I739" s="22" t="s">
        <v>112</v>
      </c>
      <c r="J739" s="22" t="s">
        <v>4102</v>
      </c>
      <c r="K739" s="63" t="n">
        <v>37.7042506220984</v>
      </c>
      <c r="L739" s="22" t="s">
        <v>2678</v>
      </c>
      <c r="M739" s="22" t="n">
        <v>7</v>
      </c>
      <c r="N739" s="22" t="s">
        <v>5382</v>
      </c>
    </row>
    <row r="740" customFormat="false" ht="15" hidden="false" customHeight="false" outlineLevel="0" collapsed="false">
      <c r="A740" s="22" t="s">
        <v>5383</v>
      </c>
      <c r="B740" s="22" t="s">
        <v>3515</v>
      </c>
      <c r="C740" s="22" t="s">
        <v>3431</v>
      </c>
      <c r="D740" s="22" t="s">
        <v>5212</v>
      </c>
      <c r="E740" s="22" t="s">
        <v>3691</v>
      </c>
      <c r="F740" s="22" t="s">
        <v>5384</v>
      </c>
      <c r="G740" s="22" t="s">
        <v>4114</v>
      </c>
      <c r="H740" s="63" t="n">
        <v>23.26</v>
      </c>
      <c r="I740" s="22" t="s">
        <v>112</v>
      </c>
      <c r="J740" s="22" t="s">
        <v>4102</v>
      </c>
      <c r="K740" s="63" t="n">
        <v>28.8487128115135</v>
      </c>
      <c r="L740" s="22" t="s">
        <v>2819</v>
      </c>
      <c r="M740" s="22" t="n">
        <v>4</v>
      </c>
      <c r="N740" s="22" t="s">
        <v>5385</v>
      </c>
    </row>
    <row r="741" customFormat="false" ht="15" hidden="false" customHeight="false" outlineLevel="0" collapsed="false">
      <c r="A741" s="22" t="s">
        <v>5386</v>
      </c>
      <c r="B741" s="22" t="s">
        <v>3515</v>
      </c>
      <c r="C741" s="22" t="s">
        <v>3431</v>
      </c>
      <c r="D741" s="22" t="s">
        <v>5212</v>
      </c>
      <c r="E741" s="22" t="s">
        <v>3691</v>
      </c>
      <c r="F741" s="22" t="s">
        <v>5387</v>
      </c>
      <c r="G741" s="22" t="s">
        <v>5318</v>
      </c>
      <c r="H741" s="63" t="n">
        <v>3260.81</v>
      </c>
      <c r="I741" s="22" t="s">
        <v>112</v>
      </c>
      <c r="J741" s="22" t="s">
        <v>4102</v>
      </c>
      <c r="K741" s="63" t="n">
        <v>4044.28939049489</v>
      </c>
      <c r="L741" s="22" t="s">
        <v>2678</v>
      </c>
      <c r="M741" s="22" t="n">
        <v>1</v>
      </c>
      <c r="N741" s="22" t="s">
        <v>5388</v>
      </c>
    </row>
    <row r="742" customFormat="false" ht="15" hidden="false" customHeight="false" outlineLevel="0" collapsed="false">
      <c r="A742" s="22" t="s">
        <v>5389</v>
      </c>
      <c r="B742" s="22" t="s">
        <v>3515</v>
      </c>
      <c r="C742" s="22" t="s">
        <v>3431</v>
      </c>
      <c r="D742" s="22" t="s">
        <v>5212</v>
      </c>
      <c r="E742" s="22" t="s">
        <v>3691</v>
      </c>
      <c r="F742" s="22" t="s">
        <v>5390</v>
      </c>
      <c r="G742" s="22" t="s">
        <v>5318</v>
      </c>
      <c r="H742" s="63" t="n">
        <v>3290.28</v>
      </c>
      <c r="I742" s="22" t="s">
        <v>112</v>
      </c>
      <c r="J742" s="22" t="s">
        <v>4102</v>
      </c>
      <c r="K742" s="63" t="n">
        <v>4080.84018871309</v>
      </c>
      <c r="L742" s="22" t="s">
        <v>2678</v>
      </c>
      <c r="M742" s="22" t="n">
        <v>1</v>
      </c>
      <c r="N742" s="22" t="s">
        <v>5391</v>
      </c>
    </row>
    <row r="743" customFormat="false" ht="15" hidden="false" customHeight="false" outlineLevel="0" collapsed="false">
      <c r="A743" s="22" t="s">
        <v>5392</v>
      </c>
      <c r="B743" s="22" t="s">
        <v>3515</v>
      </c>
      <c r="C743" s="22" t="s">
        <v>3431</v>
      </c>
      <c r="D743" s="22" t="s">
        <v>5212</v>
      </c>
      <c r="E743" s="22" t="s">
        <v>3691</v>
      </c>
      <c r="F743" s="22" t="s">
        <v>5393</v>
      </c>
      <c r="G743" s="22" t="s">
        <v>5318</v>
      </c>
      <c r="H743" s="63" t="n">
        <v>1048.69</v>
      </c>
      <c r="I743" s="22" t="s">
        <v>112</v>
      </c>
      <c r="J743" s="22" t="s">
        <v>4102</v>
      </c>
      <c r="K743" s="63" t="n">
        <v>1300.66021660817</v>
      </c>
      <c r="L743" s="22" t="s">
        <v>2678</v>
      </c>
      <c r="M743" s="22" t="n">
        <v>1</v>
      </c>
      <c r="N743" s="22" t="s">
        <v>5394</v>
      </c>
    </row>
    <row r="744" customFormat="false" ht="15" hidden="false" customHeight="false" outlineLevel="0" collapsed="false">
      <c r="A744" s="22" t="s">
        <v>5395</v>
      </c>
      <c r="B744" s="22" t="s">
        <v>5133</v>
      </c>
      <c r="C744" s="22" t="s">
        <v>3478</v>
      </c>
      <c r="D744" s="22" t="s">
        <v>5396</v>
      </c>
      <c r="E744" s="22" t="s">
        <v>5135</v>
      </c>
      <c r="F744" s="22" t="s">
        <v>5397</v>
      </c>
      <c r="G744" s="22" t="s">
        <v>5398</v>
      </c>
      <c r="H744" s="63" t="n">
        <v>76</v>
      </c>
      <c r="I744" s="22" t="s">
        <v>601</v>
      </c>
      <c r="J744" s="22"/>
      <c r="K744" s="63" t="n">
        <v>35.8122239923961</v>
      </c>
      <c r="L744" s="22" t="s">
        <v>2458</v>
      </c>
      <c r="M744" s="22" t="n">
        <v>4</v>
      </c>
      <c r="N744" s="22" t="s">
        <v>5399</v>
      </c>
    </row>
    <row r="745" customFormat="false" ht="15" hidden="false" customHeight="false" outlineLevel="0" collapsed="false">
      <c r="A745" s="22" t="s">
        <v>5400</v>
      </c>
      <c r="B745" s="22" t="s">
        <v>5133</v>
      </c>
      <c r="C745" s="22" t="s">
        <v>3478</v>
      </c>
      <c r="D745" s="22" t="s">
        <v>5396</v>
      </c>
      <c r="E745" s="22" t="s">
        <v>5135</v>
      </c>
      <c r="F745" s="22" t="s">
        <v>5401</v>
      </c>
      <c r="G745" s="22" t="s">
        <v>3444</v>
      </c>
      <c r="H745" s="63" t="n">
        <v>700</v>
      </c>
      <c r="I745" s="22" t="s">
        <v>601</v>
      </c>
      <c r="J745" s="22"/>
      <c r="K745" s="63" t="n">
        <v>329.849431508911</v>
      </c>
      <c r="L745" s="22" t="s">
        <v>2448</v>
      </c>
      <c r="M745" s="22" t="n">
        <v>4</v>
      </c>
      <c r="N745" s="22" t="s">
        <v>5399</v>
      </c>
    </row>
    <row r="746" customFormat="false" ht="15" hidden="false" customHeight="false" outlineLevel="0" collapsed="false">
      <c r="A746" s="22" t="s">
        <v>5402</v>
      </c>
      <c r="B746" s="22" t="s">
        <v>5403</v>
      </c>
      <c r="C746" s="22" t="s">
        <v>3478</v>
      </c>
      <c r="D746" s="22" t="s">
        <v>5404</v>
      </c>
      <c r="E746" s="22" t="s">
        <v>3777</v>
      </c>
      <c r="F746" s="22" t="s">
        <v>5405</v>
      </c>
      <c r="G746" s="22" t="s">
        <v>4114</v>
      </c>
      <c r="H746" s="63" t="n">
        <v>280</v>
      </c>
      <c r="I746" s="22" t="s">
        <v>601</v>
      </c>
      <c r="J746" s="22" t="s">
        <v>4102</v>
      </c>
      <c r="K746" s="63" t="n">
        <v>132.631098009745</v>
      </c>
      <c r="L746" s="22" t="s">
        <v>2730</v>
      </c>
      <c r="M746" s="22" t="n">
        <v>3</v>
      </c>
      <c r="N746" s="22" t="s">
        <v>5406</v>
      </c>
    </row>
    <row r="747" customFormat="false" ht="15" hidden="false" customHeight="false" outlineLevel="0" collapsed="false">
      <c r="A747" s="22" t="s">
        <v>5407</v>
      </c>
      <c r="B747" s="22" t="s">
        <v>5403</v>
      </c>
      <c r="C747" s="22" t="s">
        <v>3478</v>
      </c>
      <c r="D747" s="22" t="s">
        <v>5404</v>
      </c>
      <c r="E747" s="22" t="s">
        <v>3777</v>
      </c>
      <c r="F747" s="22" t="s">
        <v>5408</v>
      </c>
      <c r="G747" s="22" t="s">
        <v>5318</v>
      </c>
      <c r="H747" s="63" t="n">
        <v>230</v>
      </c>
      <c r="I747" s="22" t="s">
        <v>601</v>
      </c>
      <c r="J747" s="22" t="s">
        <v>4102</v>
      </c>
      <c r="K747" s="63" t="n">
        <v>108.946973365148</v>
      </c>
      <c r="L747" s="22" t="s">
        <v>2730</v>
      </c>
      <c r="M747" s="22" t="n">
        <v>1</v>
      </c>
      <c r="N747" s="22" t="s">
        <v>5406</v>
      </c>
    </row>
    <row r="748" customFormat="false" ht="15" hidden="false" customHeight="false" outlineLevel="0" collapsed="false">
      <c r="A748" s="22" t="s">
        <v>5409</v>
      </c>
      <c r="B748" s="22" t="s">
        <v>5403</v>
      </c>
      <c r="C748" s="22" t="s">
        <v>3478</v>
      </c>
      <c r="D748" s="22" t="s">
        <v>5404</v>
      </c>
      <c r="E748" s="22" t="s">
        <v>3777</v>
      </c>
      <c r="F748" s="22" t="s">
        <v>5410</v>
      </c>
      <c r="G748" s="22" t="s">
        <v>4114</v>
      </c>
      <c r="H748" s="63" t="n">
        <v>120</v>
      </c>
      <c r="I748" s="22" t="s">
        <v>601</v>
      </c>
      <c r="J748" s="22" t="s">
        <v>4102</v>
      </c>
      <c r="K748" s="63" t="n">
        <v>56.8418991470336</v>
      </c>
      <c r="L748" s="22" t="s">
        <v>2730</v>
      </c>
      <c r="M748" s="22" t="n">
        <v>1</v>
      </c>
      <c r="N748" s="22" t="s">
        <v>5406</v>
      </c>
    </row>
    <row r="749" customFormat="false" ht="15" hidden="false" customHeight="false" outlineLevel="0" collapsed="false">
      <c r="A749" s="22" t="s">
        <v>5411</v>
      </c>
      <c r="B749" s="22" t="s">
        <v>5403</v>
      </c>
      <c r="C749" s="22" t="s">
        <v>3478</v>
      </c>
      <c r="D749" s="22" t="s">
        <v>5404</v>
      </c>
      <c r="E749" s="22" t="s">
        <v>3777</v>
      </c>
      <c r="F749" s="22" t="s">
        <v>5412</v>
      </c>
      <c r="G749" s="22" t="s">
        <v>4114</v>
      </c>
      <c r="H749" s="63" t="n">
        <v>349</v>
      </c>
      <c r="I749" s="22" t="s">
        <v>601</v>
      </c>
      <c r="J749" s="22" t="s">
        <v>4102</v>
      </c>
      <c r="K749" s="63" t="n">
        <v>165.315190019289</v>
      </c>
      <c r="L749" s="22" t="s">
        <v>2678</v>
      </c>
      <c r="M749" s="22" t="n">
        <v>1</v>
      </c>
      <c r="N749" s="22" t="s">
        <v>5406</v>
      </c>
    </row>
    <row r="750" customFormat="false" ht="15" hidden="false" customHeight="false" outlineLevel="0" collapsed="false">
      <c r="A750" s="22" t="s">
        <v>5413</v>
      </c>
      <c r="B750" s="22" t="s">
        <v>5403</v>
      </c>
      <c r="C750" s="22" t="s">
        <v>3478</v>
      </c>
      <c r="D750" s="22" t="s">
        <v>5404</v>
      </c>
      <c r="E750" s="22" t="s">
        <v>3777</v>
      </c>
      <c r="F750" s="22" t="s">
        <v>5414</v>
      </c>
      <c r="G750" s="22" t="s">
        <v>4114</v>
      </c>
      <c r="H750" s="63" t="n">
        <v>24</v>
      </c>
      <c r="I750" s="22" t="s">
        <v>601</v>
      </c>
      <c r="J750" s="22" t="s">
        <v>4102</v>
      </c>
      <c r="K750" s="63" t="n">
        <v>11.3683798294067</v>
      </c>
      <c r="L750" s="22" t="s">
        <v>2819</v>
      </c>
      <c r="M750" s="22" t="n">
        <v>4</v>
      </c>
      <c r="N750" s="22" t="s">
        <v>5406</v>
      </c>
    </row>
    <row r="751" customFormat="false" ht="15" hidden="false" customHeight="false" outlineLevel="0" collapsed="false">
      <c r="A751" s="22" t="s">
        <v>5415</v>
      </c>
      <c r="B751" s="22" t="s">
        <v>5403</v>
      </c>
      <c r="C751" s="22" t="s">
        <v>3478</v>
      </c>
      <c r="D751" s="22" t="s">
        <v>5404</v>
      </c>
      <c r="E751" s="22" t="s">
        <v>3777</v>
      </c>
      <c r="F751" s="22" t="s">
        <v>5416</v>
      </c>
      <c r="G751" s="22" t="s">
        <v>4114</v>
      </c>
      <c r="H751" s="63" t="n">
        <v>310</v>
      </c>
      <c r="I751" s="22" t="s">
        <v>601</v>
      </c>
      <c r="J751" s="22" t="s">
        <v>4102</v>
      </c>
      <c r="K751" s="63" t="n">
        <v>146.841572796504</v>
      </c>
      <c r="L751" s="22" t="s">
        <v>2678</v>
      </c>
      <c r="M751" s="22" t="n">
        <v>3</v>
      </c>
      <c r="N751" s="22" t="s">
        <v>5406</v>
      </c>
    </row>
    <row r="752" customFormat="false" ht="15" hidden="false" customHeight="false" outlineLevel="0" collapsed="false">
      <c r="A752" s="22" t="s">
        <v>5417</v>
      </c>
      <c r="B752" s="22" t="s">
        <v>5403</v>
      </c>
      <c r="C752" s="22" t="s">
        <v>3478</v>
      </c>
      <c r="D752" s="22" t="s">
        <v>5404</v>
      </c>
      <c r="E752" s="22" t="s">
        <v>3777</v>
      </c>
      <c r="F752" s="22" t="s">
        <v>5418</v>
      </c>
      <c r="G752" s="22" t="s">
        <v>4114</v>
      </c>
      <c r="H752" s="63" t="n">
        <v>665</v>
      </c>
      <c r="I752" s="22" t="s">
        <v>601</v>
      </c>
      <c r="J752" s="22" t="s">
        <v>4102</v>
      </c>
      <c r="K752" s="63" t="n">
        <v>314.998857773145</v>
      </c>
      <c r="L752" s="22" t="s">
        <v>2550</v>
      </c>
      <c r="M752" s="22" t="n">
        <v>1</v>
      </c>
      <c r="N752" s="22" t="s">
        <v>5406</v>
      </c>
    </row>
    <row r="753" customFormat="false" ht="15" hidden="false" customHeight="false" outlineLevel="0" collapsed="false">
      <c r="A753" s="22" t="s">
        <v>5419</v>
      </c>
      <c r="B753" s="22" t="s">
        <v>5403</v>
      </c>
      <c r="C753" s="22" t="s">
        <v>3478</v>
      </c>
      <c r="D753" s="22" t="s">
        <v>5404</v>
      </c>
      <c r="E753" s="22" t="s">
        <v>3777</v>
      </c>
      <c r="F753" s="22" t="s">
        <v>5420</v>
      </c>
      <c r="G753" s="22" t="s">
        <v>4114</v>
      </c>
      <c r="H753" s="63" t="n">
        <v>20</v>
      </c>
      <c r="I753" s="22" t="s">
        <v>601</v>
      </c>
      <c r="J753" s="22" t="s">
        <v>4102</v>
      </c>
      <c r="K753" s="63" t="n">
        <v>9.47364985783893</v>
      </c>
      <c r="L753" s="22" t="s">
        <v>2550</v>
      </c>
      <c r="M753" s="22" t="n">
        <v>1</v>
      </c>
      <c r="N753" s="22" t="s">
        <v>5406</v>
      </c>
    </row>
    <row r="754" customFormat="false" ht="15" hidden="false" customHeight="false" outlineLevel="0" collapsed="false">
      <c r="A754" s="22" t="s">
        <v>5421</v>
      </c>
      <c r="B754" s="22" t="s">
        <v>5403</v>
      </c>
      <c r="C754" s="22" t="s">
        <v>3478</v>
      </c>
      <c r="D754" s="22" t="s">
        <v>5404</v>
      </c>
      <c r="E754" s="22" t="s">
        <v>3777</v>
      </c>
      <c r="F754" s="22" t="s">
        <v>5422</v>
      </c>
      <c r="G754" s="22" t="s">
        <v>4114</v>
      </c>
      <c r="H754" s="63" t="n">
        <v>23</v>
      </c>
      <c r="I754" s="22" t="s">
        <v>601</v>
      </c>
      <c r="J754" s="22" t="s">
        <v>4102</v>
      </c>
      <c r="K754" s="63" t="n">
        <v>10.8946973365148</v>
      </c>
      <c r="L754" s="22" t="s">
        <v>2550</v>
      </c>
      <c r="M754" s="22" t="n">
        <v>1</v>
      </c>
      <c r="N754" s="22" t="s">
        <v>5423</v>
      </c>
    </row>
    <row r="755" customFormat="false" ht="15" hidden="false" customHeight="false" outlineLevel="0" collapsed="false">
      <c r="A755" s="22" t="s">
        <v>5424</v>
      </c>
      <c r="B755" s="22" t="s">
        <v>5403</v>
      </c>
      <c r="C755" s="22" t="s">
        <v>3478</v>
      </c>
      <c r="D755" s="22" t="s">
        <v>5404</v>
      </c>
      <c r="E755" s="22" t="s">
        <v>3777</v>
      </c>
      <c r="F755" s="22" t="s">
        <v>5425</v>
      </c>
      <c r="G755" s="22" t="s">
        <v>4114</v>
      </c>
      <c r="H755" s="63" t="n">
        <v>4225</v>
      </c>
      <c r="I755" s="22" t="s">
        <v>601</v>
      </c>
      <c r="J755" s="22" t="s">
        <v>4102</v>
      </c>
      <c r="K755" s="63" t="n">
        <v>2001.30853246847</v>
      </c>
      <c r="L755" s="22" t="s">
        <v>2550</v>
      </c>
      <c r="M755" s="22" t="n">
        <v>1</v>
      </c>
      <c r="N755" s="22" t="s">
        <v>5426</v>
      </c>
    </row>
    <row r="756" customFormat="false" ht="15" hidden="false" customHeight="false" outlineLevel="0" collapsed="false">
      <c r="A756" s="22" t="s">
        <v>5427</v>
      </c>
      <c r="B756" s="22" t="s">
        <v>5403</v>
      </c>
      <c r="C756" s="22" t="s">
        <v>3478</v>
      </c>
      <c r="D756" s="22" t="s">
        <v>5404</v>
      </c>
      <c r="E756" s="22" t="s">
        <v>3777</v>
      </c>
      <c r="F756" s="22" t="s">
        <v>5428</v>
      </c>
      <c r="G756" s="22" t="s">
        <v>4114</v>
      </c>
      <c r="H756" s="63" t="n">
        <v>465</v>
      </c>
      <c r="I756" s="22" t="s">
        <v>601</v>
      </c>
      <c r="J756" s="22" t="s">
        <v>4102</v>
      </c>
      <c r="K756" s="63" t="n">
        <v>220.262359194755</v>
      </c>
      <c r="L756" s="22" t="s">
        <v>2550</v>
      </c>
      <c r="M756" s="22" t="n">
        <v>1</v>
      </c>
      <c r="N756" s="22" t="s">
        <v>5406</v>
      </c>
    </row>
    <row r="757" customFormat="false" ht="15" hidden="false" customHeight="false" outlineLevel="0" collapsed="false">
      <c r="A757" s="22" t="s">
        <v>5429</v>
      </c>
      <c r="B757" s="22" t="s">
        <v>5403</v>
      </c>
      <c r="C757" s="22" t="s">
        <v>3478</v>
      </c>
      <c r="D757" s="22" t="s">
        <v>5404</v>
      </c>
      <c r="E757" s="22" t="s">
        <v>3777</v>
      </c>
      <c r="F757" s="22" t="s">
        <v>5430</v>
      </c>
      <c r="G757" s="22" t="s">
        <v>4114</v>
      </c>
      <c r="H757" s="63" t="n">
        <v>705</v>
      </c>
      <c r="I757" s="22" t="s">
        <v>601</v>
      </c>
      <c r="J757" s="22" t="s">
        <v>4102</v>
      </c>
      <c r="K757" s="63" t="n">
        <v>333.946157488822</v>
      </c>
      <c r="L757" s="22" t="s">
        <v>2550</v>
      </c>
      <c r="M757" s="22" t="n">
        <v>2</v>
      </c>
      <c r="N757" s="22" t="s">
        <v>5406</v>
      </c>
    </row>
    <row r="758" customFormat="false" ht="15" hidden="false" customHeight="false" outlineLevel="0" collapsed="false">
      <c r="A758" s="22" t="s">
        <v>5431</v>
      </c>
      <c r="B758" s="22" t="s">
        <v>5403</v>
      </c>
      <c r="C758" s="22" t="s">
        <v>3478</v>
      </c>
      <c r="D758" s="22" t="s">
        <v>5404</v>
      </c>
      <c r="E758" s="22" t="s">
        <v>3777</v>
      </c>
      <c r="F758" s="22" t="s">
        <v>5432</v>
      </c>
      <c r="G758" s="22" t="s">
        <v>4114</v>
      </c>
      <c r="H758" s="63" t="n">
        <v>71500</v>
      </c>
      <c r="I758" s="22" t="s">
        <v>601</v>
      </c>
      <c r="J758" s="22" t="s">
        <v>4102</v>
      </c>
      <c r="K758" s="63" t="n">
        <v>33868.2982417742</v>
      </c>
      <c r="L758" s="22" t="s">
        <v>2550</v>
      </c>
      <c r="M758" s="22" t="n">
        <v>2</v>
      </c>
      <c r="N758" s="22" t="s">
        <v>5433</v>
      </c>
    </row>
    <row r="759" customFormat="false" ht="15" hidden="false" customHeight="false" outlineLevel="0" collapsed="false">
      <c r="A759" s="22" t="s">
        <v>5434</v>
      </c>
      <c r="B759" s="22" t="s">
        <v>5403</v>
      </c>
      <c r="C759" s="22" t="s">
        <v>3478</v>
      </c>
      <c r="D759" s="22" t="s">
        <v>5404</v>
      </c>
      <c r="E759" s="22" t="s">
        <v>3777</v>
      </c>
      <c r="F759" s="22" t="s">
        <v>5435</v>
      </c>
      <c r="G759" s="22" t="s">
        <v>4114</v>
      </c>
      <c r="H759" s="63" t="n">
        <v>9000</v>
      </c>
      <c r="I759" s="22" t="s">
        <v>601</v>
      </c>
      <c r="J759" s="22" t="s">
        <v>4102</v>
      </c>
      <c r="K759" s="63" t="n">
        <v>4263.14243602752</v>
      </c>
      <c r="L759" s="22" t="s">
        <v>2550</v>
      </c>
      <c r="M759" s="22" t="n">
        <v>1</v>
      </c>
      <c r="N759" s="22" t="s">
        <v>5406</v>
      </c>
    </row>
    <row r="760" customFormat="false" ht="15" hidden="false" customHeight="false" outlineLevel="0" collapsed="false">
      <c r="A760" s="22" t="s">
        <v>5436</v>
      </c>
      <c r="B760" s="22" t="s">
        <v>5403</v>
      </c>
      <c r="C760" s="22" t="s">
        <v>3478</v>
      </c>
      <c r="D760" s="22" t="s">
        <v>5404</v>
      </c>
      <c r="E760" s="22" t="s">
        <v>3777</v>
      </c>
      <c r="F760" s="22" t="s">
        <v>5437</v>
      </c>
      <c r="G760" s="22" t="s">
        <v>4114</v>
      </c>
      <c r="H760" s="63" t="n">
        <v>69500</v>
      </c>
      <c r="I760" s="22" t="s">
        <v>601</v>
      </c>
      <c r="J760" s="22" t="s">
        <v>4102</v>
      </c>
      <c r="K760" s="63" t="n">
        <v>32920.9332559903</v>
      </c>
      <c r="L760" s="22" t="s">
        <v>2550</v>
      </c>
      <c r="M760" s="22" t="n">
        <v>2</v>
      </c>
      <c r="N760" s="22" t="s">
        <v>5438</v>
      </c>
    </row>
    <row r="761" customFormat="false" ht="15" hidden="false" customHeight="false" outlineLevel="0" collapsed="false">
      <c r="A761" s="22" t="s">
        <v>5439</v>
      </c>
      <c r="B761" s="22" t="s">
        <v>5403</v>
      </c>
      <c r="C761" s="22" t="s">
        <v>3478</v>
      </c>
      <c r="D761" s="22" t="s">
        <v>5404</v>
      </c>
      <c r="E761" s="22" t="s">
        <v>3777</v>
      </c>
      <c r="F761" s="22" t="s">
        <v>5440</v>
      </c>
      <c r="G761" s="22" t="s">
        <v>4114</v>
      </c>
      <c r="H761" s="63" t="n">
        <v>90</v>
      </c>
      <c r="I761" s="22" t="s">
        <v>601</v>
      </c>
      <c r="J761" s="22" t="s">
        <v>4102</v>
      </c>
      <c r="K761" s="63" t="n">
        <v>42.6314243602752</v>
      </c>
      <c r="L761" s="22" t="s">
        <v>2534</v>
      </c>
      <c r="M761" s="22" t="n">
        <v>9</v>
      </c>
      <c r="N761" s="22" t="s">
        <v>5406</v>
      </c>
    </row>
    <row r="762" customFormat="false" ht="15" hidden="false" customHeight="false" outlineLevel="0" collapsed="false">
      <c r="A762" s="22" t="s">
        <v>5441</v>
      </c>
      <c r="B762" s="22" t="s">
        <v>5403</v>
      </c>
      <c r="C762" s="22" t="s">
        <v>3478</v>
      </c>
      <c r="D762" s="22" t="s">
        <v>5404</v>
      </c>
      <c r="E762" s="22" t="s">
        <v>3777</v>
      </c>
      <c r="F762" s="22" t="s">
        <v>5442</v>
      </c>
      <c r="G762" s="22" t="s">
        <v>4114</v>
      </c>
      <c r="H762" s="63" t="n">
        <v>23900</v>
      </c>
      <c r="I762" s="22" t="s">
        <v>601</v>
      </c>
      <c r="J762" s="22" t="s">
        <v>4102</v>
      </c>
      <c r="K762" s="63" t="n">
        <v>11321.0115801175</v>
      </c>
      <c r="L762" s="22" t="s">
        <v>2730</v>
      </c>
      <c r="M762" s="22" t="n">
        <v>1</v>
      </c>
      <c r="N762" s="22" t="s">
        <v>5406</v>
      </c>
    </row>
    <row r="763" customFormat="false" ht="15" hidden="false" customHeight="false" outlineLevel="0" collapsed="false">
      <c r="A763" s="22" t="s">
        <v>5443</v>
      </c>
      <c r="B763" s="22" t="s">
        <v>5403</v>
      </c>
      <c r="C763" s="22" t="s">
        <v>3478</v>
      </c>
      <c r="D763" s="22" t="s">
        <v>5404</v>
      </c>
      <c r="E763" s="22" t="s">
        <v>3777</v>
      </c>
      <c r="F763" s="22" t="s">
        <v>5444</v>
      </c>
      <c r="G763" s="22" t="s">
        <v>4125</v>
      </c>
      <c r="H763" s="63" t="n">
        <v>13.39</v>
      </c>
      <c r="I763" s="22" t="s">
        <v>601</v>
      </c>
      <c r="J763" s="22" t="s">
        <v>4102</v>
      </c>
      <c r="K763" s="63" t="n">
        <v>6.34260857982317</v>
      </c>
      <c r="L763" s="22" t="s">
        <v>2550</v>
      </c>
      <c r="M763" s="22" t="n">
        <v>1</v>
      </c>
      <c r="N763" s="22" t="s">
        <v>5445</v>
      </c>
    </row>
    <row r="764" customFormat="false" ht="15" hidden="false" customHeight="false" outlineLevel="0" collapsed="false">
      <c r="A764" s="22" t="s">
        <v>5446</v>
      </c>
      <c r="B764" s="22" t="s">
        <v>5403</v>
      </c>
      <c r="C764" s="22" t="s">
        <v>3478</v>
      </c>
      <c r="D764" s="22" t="s">
        <v>5404</v>
      </c>
      <c r="E764" s="22" t="s">
        <v>3777</v>
      </c>
      <c r="F764" s="22" t="s">
        <v>5447</v>
      </c>
      <c r="G764" s="22" t="s">
        <v>4125</v>
      </c>
      <c r="H764" s="63" t="n">
        <v>19.97</v>
      </c>
      <c r="I764" s="22" t="s">
        <v>601</v>
      </c>
      <c r="J764" s="22" t="s">
        <v>4102</v>
      </c>
      <c r="K764" s="63" t="n">
        <v>9.45943938305218</v>
      </c>
      <c r="L764" s="22" t="s">
        <v>2550</v>
      </c>
      <c r="M764" s="22" t="n">
        <v>1</v>
      </c>
      <c r="N764" s="22" t="s">
        <v>5445</v>
      </c>
    </row>
    <row r="765" customFormat="false" ht="15" hidden="false" customHeight="false" outlineLevel="0" collapsed="false">
      <c r="A765" s="22" t="s">
        <v>5448</v>
      </c>
      <c r="B765" s="22" t="s">
        <v>5403</v>
      </c>
      <c r="C765" s="22" t="s">
        <v>3478</v>
      </c>
      <c r="D765" s="22" t="s">
        <v>5404</v>
      </c>
      <c r="E765" s="22" t="s">
        <v>3777</v>
      </c>
      <c r="F765" s="22" t="s">
        <v>5449</v>
      </c>
      <c r="G765" s="22" t="s">
        <v>4125</v>
      </c>
      <c r="H765" s="63" t="n">
        <v>11.32</v>
      </c>
      <c r="I765" s="22" t="s">
        <v>601</v>
      </c>
      <c r="J765" s="22" t="s">
        <v>4102</v>
      </c>
      <c r="K765" s="63" t="n">
        <v>5.36208581953684</v>
      </c>
      <c r="L765" s="22" t="s">
        <v>2846</v>
      </c>
      <c r="M765" s="22" t="n">
        <v>1</v>
      </c>
      <c r="N765" s="22" t="s">
        <v>5406</v>
      </c>
    </row>
    <row r="766" customFormat="false" ht="15" hidden="false" customHeight="false" outlineLevel="0" collapsed="false">
      <c r="A766" s="22" t="s">
        <v>5450</v>
      </c>
      <c r="B766" s="22" t="s">
        <v>5403</v>
      </c>
      <c r="C766" s="22" t="s">
        <v>3478</v>
      </c>
      <c r="D766" s="22" t="s">
        <v>5404</v>
      </c>
      <c r="E766" s="22" t="s">
        <v>3777</v>
      </c>
      <c r="F766" s="22" t="s">
        <v>5451</v>
      </c>
      <c r="G766" s="22" t="s">
        <v>4125</v>
      </c>
      <c r="H766" s="63" t="n">
        <v>17.84</v>
      </c>
      <c r="I766" s="22" t="s">
        <v>601</v>
      </c>
      <c r="J766" s="22" t="s">
        <v>4102</v>
      </c>
      <c r="K766" s="63" t="n">
        <v>8.45049567319233</v>
      </c>
      <c r="L766" s="22" t="s">
        <v>2846</v>
      </c>
      <c r="M766" s="22" t="n">
        <v>1</v>
      </c>
      <c r="N766" s="22" t="s">
        <v>5406</v>
      </c>
    </row>
    <row r="767" customFormat="false" ht="15" hidden="false" customHeight="false" outlineLevel="0" collapsed="false">
      <c r="A767" s="22" t="s">
        <v>5452</v>
      </c>
      <c r="B767" s="22" t="s">
        <v>5403</v>
      </c>
      <c r="C767" s="22" t="s">
        <v>3478</v>
      </c>
      <c r="D767" s="22" t="s">
        <v>5404</v>
      </c>
      <c r="E767" s="22" t="s">
        <v>3777</v>
      </c>
      <c r="F767" s="22" t="s">
        <v>5453</v>
      </c>
      <c r="G767" s="22" t="s">
        <v>4125</v>
      </c>
      <c r="H767" s="63" t="n">
        <v>22.64</v>
      </c>
      <c r="I767" s="22" t="s">
        <v>601</v>
      </c>
      <c r="J767" s="22" t="s">
        <v>4102</v>
      </c>
      <c r="K767" s="63" t="n">
        <v>10.7241716390737</v>
      </c>
      <c r="L767" s="22" t="s">
        <v>2846</v>
      </c>
      <c r="M767" s="22" t="n">
        <v>1</v>
      </c>
      <c r="N767" s="22" t="s">
        <v>5406</v>
      </c>
    </row>
    <row r="768" customFormat="false" ht="15" hidden="false" customHeight="false" outlineLevel="0" collapsed="false">
      <c r="A768" s="22" t="s">
        <v>5454</v>
      </c>
      <c r="B768" s="22" t="s">
        <v>5403</v>
      </c>
      <c r="C768" s="22" t="s">
        <v>3478</v>
      </c>
      <c r="D768" s="22" t="s">
        <v>5404</v>
      </c>
      <c r="E768" s="22" t="s">
        <v>3777</v>
      </c>
      <c r="F768" s="22" t="s">
        <v>5455</v>
      </c>
      <c r="G768" s="22" t="s">
        <v>4125</v>
      </c>
      <c r="H768" s="63" t="n">
        <v>34.48</v>
      </c>
      <c r="I768" s="22" t="s">
        <v>601</v>
      </c>
      <c r="J768" s="22" t="s">
        <v>4102</v>
      </c>
      <c r="K768" s="63" t="n">
        <v>16.3325723549143</v>
      </c>
      <c r="L768" s="22" t="s">
        <v>2550</v>
      </c>
      <c r="M768" s="22" t="n">
        <v>3</v>
      </c>
      <c r="N768" s="22" t="s">
        <v>5406</v>
      </c>
    </row>
    <row r="769" customFormat="false" ht="15" hidden="false" customHeight="false" outlineLevel="0" collapsed="false">
      <c r="A769" s="22" t="s">
        <v>5456</v>
      </c>
      <c r="B769" s="22" t="s">
        <v>5403</v>
      </c>
      <c r="C769" s="22" t="s">
        <v>3478</v>
      </c>
      <c r="D769" s="22" t="s">
        <v>5404</v>
      </c>
      <c r="E769" s="22" t="s">
        <v>3777</v>
      </c>
      <c r="F769" s="22" t="s">
        <v>5457</v>
      </c>
      <c r="G769" s="22" t="s">
        <v>4125</v>
      </c>
      <c r="H769" s="63" t="n">
        <v>41.12</v>
      </c>
      <c r="I769" s="22" t="s">
        <v>601</v>
      </c>
      <c r="J769" s="22" t="s">
        <v>4102</v>
      </c>
      <c r="K769" s="63" t="n">
        <v>19.4778241077169</v>
      </c>
      <c r="L769" s="22" t="s">
        <v>2550</v>
      </c>
      <c r="M769" s="22" t="n">
        <v>3</v>
      </c>
      <c r="N769" s="22" t="s">
        <v>5406</v>
      </c>
    </row>
    <row r="770" customFormat="false" ht="15" hidden="false" customHeight="false" outlineLevel="0" collapsed="false">
      <c r="A770" s="22" t="s">
        <v>5458</v>
      </c>
      <c r="B770" s="22" t="s">
        <v>5403</v>
      </c>
      <c r="C770" s="22" t="s">
        <v>3478</v>
      </c>
      <c r="D770" s="22" t="s">
        <v>5404</v>
      </c>
      <c r="E770" s="22" t="s">
        <v>3777</v>
      </c>
      <c r="F770" s="22" t="s">
        <v>5459</v>
      </c>
      <c r="G770" s="22" t="s">
        <v>4125</v>
      </c>
      <c r="H770" s="63" t="n">
        <v>8.25</v>
      </c>
      <c r="I770" s="22" t="s">
        <v>601</v>
      </c>
      <c r="J770" s="22" t="s">
        <v>4102</v>
      </c>
      <c r="K770" s="63" t="n">
        <v>3.90788056635856</v>
      </c>
      <c r="L770" s="22" t="s">
        <v>2730</v>
      </c>
      <c r="M770" s="22" t="n">
        <v>12</v>
      </c>
      <c r="N770" s="22" t="s">
        <v>5406</v>
      </c>
    </row>
    <row r="771" customFormat="false" ht="15" hidden="false" customHeight="false" outlineLevel="0" collapsed="false">
      <c r="A771" s="22" t="s">
        <v>5460</v>
      </c>
      <c r="B771" s="22" t="s">
        <v>5403</v>
      </c>
      <c r="C771" s="22" t="s">
        <v>3478</v>
      </c>
      <c r="D771" s="22" t="s">
        <v>5404</v>
      </c>
      <c r="E771" s="22" t="s">
        <v>3777</v>
      </c>
      <c r="F771" s="22" t="s">
        <v>5461</v>
      </c>
      <c r="G771" s="22" t="s">
        <v>4125</v>
      </c>
      <c r="H771" s="63" t="n">
        <v>10.7</v>
      </c>
      <c r="I771" s="22" t="s">
        <v>601</v>
      </c>
      <c r="J771" s="22" t="s">
        <v>4102</v>
      </c>
      <c r="K771" s="63" t="n">
        <v>5.06840267394383</v>
      </c>
      <c r="L771" s="22" t="s">
        <v>2730</v>
      </c>
      <c r="M771" s="22" t="n">
        <v>15</v>
      </c>
      <c r="N771" s="22" t="s">
        <v>5406</v>
      </c>
    </row>
    <row r="772" customFormat="false" ht="15" hidden="false" customHeight="false" outlineLevel="0" collapsed="false">
      <c r="A772" s="22" t="s">
        <v>5462</v>
      </c>
      <c r="B772" s="22" t="s">
        <v>5403</v>
      </c>
      <c r="C772" s="22" t="s">
        <v>3478</v>
      </c>
      <c r="D772" s="22" t="s">
        <v>5404</v>
      </c>
      <c r="E772" s="22" t="s">
        <v>3777</v>
      </c>
      <c r="F772" s="22" t="s">
        <v>5463</v>
      </c>
      <c r="G772" s="22" t="s">
        <v>4125</v>
      </c>
      <c r="H772" s="63" t="n">
        <v>16.15</v>
      </c>
      <c r="I772" s="22" t="s">
        <v>601</v>
      </c>
      <c r="J772" s="22" t="s">
        <v>4102</v>
      </c>
      <c r="K772" s="63" t="n">
        <v>7.64997226020494</v>
      </c>
      <c r="L772" s="22" t="s">
        <v>2730</v>
      </c>
      <c r="M772" s="22" t="n">
        <v>5</v>
      </c>
      <c r="N772" s="22" t="s">
        <v>5406</v>
      </c>
    </row>
    <row r="773" customFormat="false" ht="15" hidden="false" customHeight="false" outlineLevel="0" collapsed="false">
      <c r="A773" s="22" t="s">
        <v>5464</v>
      </c>
      <c r="B773" s="22" t="s">
        <v>5403</v>
      </c>
      <c r="C773" s="22" t="s">
        <v>3478</v>
      </c>
      <c r="D773" s="22" t="s">
        <v>5404</v>
      </c>
      <c r="E773" s="22" t="s">
        <v>3777</v>
      </c>
      <c r="F773" s="22" t="s">
        <v>5465</v>
      </c>
      <c r="G773" s="22" t="s">
        <v>4125</v>
      </c>
      <c r="H773" s="63" t="n">
        <v>22.15</v>
      </c>
      <c r="I773" s="22" t="s">
        <v>601</v>
      </c>
      <c r="J773" s="22" t="s">
        <v>4102</v>
      </c>
      <c r="K773" s="63" t="n">
        <v>10.4920672175566</v>
      </c>
      <c r="L773" s="22" t="s">
        <v>2730</v>
      </c>
      <c r="M773" s="22" t="n">
        <v>1</v>
      </c>
      <c r="N773" s="22" t="s">
        <v>5406</v>
      </c>
    </row>
    <row r="774" customFormat="false" ht="15" hidden="false" customHeight="false" outlineLevel="0" collapsed="false">
      <c r="A774" s="22" t="s">
        <v>5466</v>
      </c>
      <c r="B774" s="22" t="s">
        <v>5403</v>
      </c>
      <c r="C774" s="22" t="s">
        <v>3478</v>
      </c>
      <c r="D774" s="22" t="s">
        <v>5404</v>
      </c>
      <c r="E774" s="22" t="s">
        <v>3777</v>
      </c>
      <c r="F774" s="22" t="s">
        <v>5467</v>
      </c>
      <c r="G774" s="22" t="s">
        <v>4125</v>
      </c>
      <c r="H774" s="63" t="n">
        <v>31.86</v>
      </c>
      <c r="I774" s="22" t="s">
        <v>601</v>
      </c>
      <c r="J774" s="22" t="s">
        <v>4102</v>
      </c>
      <c r="K774" s="63" t="n">
        <v>15.0915242235374</v>
      </c>
      <c r="L774" s="22" t="s">
        <v>2730</v>
      </c>
      <c r="M774" s="22" t="n">
        <v>1</v>
      </c>
      <c r="N774" s="22" t="s">
        <v>5406</v>
      </c>
    </row>
    <row r="775" customFormat="false" ht="15" hidden="false" customHeight="false" outlineLevel="0" collapsed="false">
      <c r="A775" s="22" t="s">
        <v>5468</v>
      </c>
      <c r="B775" s="22" t="s">
        <v>5403</v>
      </c>
      <c r="C775" s="22" t="s">
        <v>3478</v>
      </c>
      <c r="D775" s="22" t="s">
        <v>5404</v>
      </c>
      <c r="E775" s="22" t="s">
        <v>3777</v>
      </c>
      <c r="F775" s="22" t="s">
        <v>5469</v>
      </c>
      <c r="G775" s="22" t="s">
        <v>4125</v>
      </c>
      <c r="H775" s="63" t="n">
        <v>13.61</v>
      </c>
      <c r="I775" s="22" t="s">
        <v>601</v>
      </c>
      <c r="J775" s="22" t="s">
        <v>4102</v>
      </c>
      <c r="K775" s="63" t="n">
        <v>6.44681872825939</v>
      </c>
      <c r="L775" s="22" t="s">
        <v>2819</v>
      </c>
      <c r="M775" s="22" t="n">
        <v>1</v>
      </c>
      <c r="N775" s="22" t="s">
        <v>5406</v>
      </c>
    </row>
    <row r="776" customFormat="false" ht="15" hidden="false" customHeight="false" outlineLevel="0" collapsed="false">
      <c r="A776" s="22" t="s">
        <v>5470</v>
      </c>
      <c r="B776" s="22" t="s">
        <v>5403</v>
      </c>
      <c r="C776" s="22" t="s">
        <v>3478</v>
      </c>
      <c r="D776" s="22" t="s">
        <v>5404</v>
      </c>
      <c r="E776" s="22" t="s">
        <v>3777</v>
      </c>
      <c r="F776" s="22" t="s">
        <v>5471</v>
      </c>
      <c r="G776" s="22" t="s">
        <v>4125</v>
      </c>
      <c r="H776" s="63" t="n">
        <v>23.45</v>
      </c>
      <c r="I776" s="22" t="s">
        <v>601</v>
      </c>
      <c r="J776" s="22" t="s">
        <v>4102</v>
      </c>
      <c r="K776" s="63" t="n">
        <v>11.1078544583162</v>
      </c>
      <c r="L776" s="22" t="s">
        <v>2819</v>
      </c>
      <c r="M776" s="22" t="n">
        <v>4</v>
      </c>
      <c r="N776" s="22" t="s">
        <v>5406</v>
      </c>
    </row>
    <row r="777" customFormat="false" ht="15" hidden="false" customHeight="false" outlineLevel="0" collapsed="false">
      <c r="A777" s="22" t="s">
        <v>5472</v>
      </c>
      <c r="B777" s="22" t="s">
        <v>5403</v>
      </c>
      <c r="C777" s="22" t="s">
        <v>3478</v>
      </c>
      <c r="D777" s="22" t="s">
        <v>5404</v>
      </c>
      <c r="E777" s="22" t="s">
        <v>3777</v>
      </c>
      <c r="F777" s="22" t="s">
        <v>5473</v>
      </c>
      <c r="G777" s="22" t="s">
        <v>4125</v>
      </c>
      <c r="H777" s="63" t="n">
        <v>25.72</v>
      </c>
      <c r="I777" s="22" t="s">
        <v>601</v>
      </c>
      <c r="J777" s="22" t="s">
        <v>4102</v>
      </c>
      <c r="K777" s="63" t="n">
        <v>12.1831137171809</v>
      </c>
      <c r="L777" s="22" t="s">
        <v>2819</v>
      </c>
      <c r="M777" s="22" t="n">
        <v>21</v>
      </c>
      <c r="N777" s="22" t="s">
        <v>5406</v>
      </c>
    </row>
    <row r="778" customFormat="false" ht="15" hidden="false" customHeight="false" outlineLevel="0" collapsed="false">
      <c r="A778" s="22" t="s">
        <v>5474</v>
      </c>
      <c r="B778" s="22" t="s">
        <v>5403</v>
      </c>
      <c r="C778" s="22" t="s">
        <v>3478</v>
      </c>
      <c r="D778" s="22" t="s">
        <v>5404</v>
      </c>
      <c r="E778" s="22" t="s">
        <v>3777</v>
      </c>
      <c r="F778" s="22" t="s">
        <v>5475</v>
      </c>
      <c r="G778" s="22" t="s">
        <v>4125</v>
      </c>
      <c r="H778" s="63" t="n">
        <v>34.81</v>
      </c>
      <c r="I778" s="22" t="s">
        <v>601</v>
      </c>
      <c r="J778" s="22" t="s">
        <v>4102</v>
      </c>
      <c r="K778" s="63" t="n">
        <v>16.4888875775687</v>
      </c>
      <c r="L778" s="22" t="s">
        <v>2819</v>
      </c>
      <c r="M778" s="22" t="n">
        <v>4</v>
      </c>
      <c r="N778" s="22" t="s">
        <v>5406</v>
      </c>
    </row>
    <row r="779" customFormat="false" ht="15" hidden="false" customHeight="false" outlineLevel="0" collapsed="false">
      <c r="A779" s="22" t="s">
        <v>5476</v>
      </c>
      <c r="B779" s="22" t="s">
        <v>5403</v>
      </c>
      <c r="C779" s="22" t="s">
        <v>3478</v>
      </c>
      <c r="D779" s="22" t="s">
        <v>5404</v>
      </c>
      <c r="E779" s="22" t="s">
        <v>3777</v>
      </c>
      <c r="F779" s="22" t="s">
        <v>5477</v>
      </c>
      <c r="G779" s="22" t="s">
        <v>4125</v>
      </c>
      <c r="H779" s="63" t="n">
        <v>68.49</v>
      </c>
      <c r="I779" s="22" t="s">
        <v>601</v>
      </c>
      <c r="J779" s="22" t="s">
        <v>4102</v>
      </c>
      <c r="K779" s="63" t="n">
        <v>32.4425139381694</v>
      </c>
      <c r="L779" s="22"/>
      <c r="M779" s="22" t="n">
        <v>1</v>
      </c>
      <c r="N779" s="22" t="s">
        <v>5406</v>
      </c>
    </row>
    <row r="780" customFormat="false" ht="15" hidden="false" customHeight="false" outlineLevel="0" collapsed="false">
      <c r="A780" s="22" t="s">
        <v>5478</v>
      </c>
      <c r="B780" s="22" t="s">
        <v>5403</v>
      </c>
      <c r="C780" s="22" t="s">
        <v>3478</v>
      </c>
      <c r="D780" s="22" t="s">
        <v>5404</v>
      </c>
      <c r="E780" s="22" t="s">
        <v>3777</v>
      </c>
      <c r="F780" s="22" t="s">
        <v>5479</v>
      </c>
      <c r="G780" s="22" t="s">
        <v>4114</v>
      </c>
      <c r="H780" s="63" t="n">
        <v>6320</v>
      </c>
      <c r="I780" s="22" t="s">
        <v>601</v>
      </c>
      <c r="J780" s="22" t="s">
        <v>4102</v>
      </c>
      <c r="K780" s="63" t="n">
        <v>2993.6733550771</v>
      </c>
      <c r="L780" s="22" t="s">
        <v>2678</v>
      </c>
      <c r="M780" s="22" t="n">
        <v>1</v>
      </c>
      <c r="N780" s="22" t="s">
        <v>5406</v>
      </c>
    </row>
    <row r="781" customFormat="false" ht="15" hidden="false" customHeight="false" outlineLevel="0" collapsed="false">
      <c r="A781" s="22" t="s">
        <v>5480</v>
      </c>
      <c r="B781" s="22" t="s">
        <v>5403</v>
      </c>
      <c r="C781" s="22" t="s">
        <v>3478</v>
      </c>
      <c r="D781" s="22" t="s">
        <v>5404</v>
      </c>
      <c r="E781" s="22" t="s">
        <v>3777</v>
      </c>
      <c r="F781" s="22" t="s">
        <v>5481</v>
      </c>
      <c r="G781" s="22" t="s">
        <v>4114</v>
      </c>
      <c r="H781" s="63" t="n">
        <v>7020</v>
      </c>
      <c r="I781" s="22" t="s">
        <v>601</v>
      </c>
      <c r="J781" s="22" t="s">
        <v>4102</v>
      </c>
      <c r="K781" s="63" t="n">
        <v>3325.25110010147</v>
      </c>
      <c r="L781" s="22" t="s">
        <v>2678</v>
      </c>
      <c r="M781" s="22" t="n">
        <v>1</v>
      </c>
      <c r="N781" s="22" t="s">
        <v>5406</v>
      </c>
    </row>
    <row r="782" customFormat="false" ht="15" hidden="false" customHeight="false" outlineLevel="0" collapsed="false">
      <c r="A782" s="22" t="s">
        <v>5482</v>
      </c>
      <c r="B782" s="22" t="s">
        <v>5403</v>
      </c>
      <c r="C782" s="22" t="s">
        <v>3478</v>
      </c>
      <c r="D782" s="22" t="s">
        <v>5404</v>
      </c>
      <c r="E782" s="22" t="s">
        <v>3777</v>
      </c>
      <c r="F782" s="22" t="s">
        <v>5483</v>
      </c>
      <c r="G782" s="22" t="s">
        <v>4114</v>
      </c>
      <c r="H782" s="63" t="n">
        <v>530</v>
      </c>
      <c r="I782" s="22" t="s">
        <v>601</v>
      </c>
      <c r="J782" s="22" t="s">
        <v>4102</v>
      </c>
      <c r="K782" s="63" t="n">
        <v>251.051721232732</v>
      </c>
      <c r="L782" s="22" t="s">
        <v>2458</v>
      </c>
      <c r="M782" s="22" t="n">
        <v>1</v>
      </c>
      <c r="N782" s="22" t="s">
        <v>5406</v>
      </c>
    </row>
    <row r="783" customFormat="false" ht="15" hidden="false" customHeight="false" outlineLevel="0" collapsed="false">
      <c r="A783" s="22" t="s">
        <v>5484</v>
      </c>
      <c r="B783" s="22" t="s">
        <v>5403</v>
      </c>
      <c r="C783" s="22" t="s">
        <v>3478</v>
      </c>
      <c r="D783" s="22" t="s">
        <v>5404</v>
      </c>
      <c r="E783" s="22" t="s">
        <v>3777</v>
      </c>
      <c r="F783" s="22" t="s">
        <v>5485</v>
      </c>
      <c r="G783" s="22" t="s">
        <v>4114</v>
      </c>
      <c r="H783" s="63" t="n">
        <v>1620</v>
      </c>
      <c r="I783" s="22" t="s">
        <v>601</v>
      </c>
      <c r="J783" s="22" t="s">
        <v>4102</v>
      </c>
      <c r="K783" s="63" t="n">
        <v>767.365638484954</v>
      </c>
      <c r="L783" s="22" t="s">
        <v>2458</v>
      </c>
      <c r="M783" s="22" t="n">
        <v>1</v>
      </c>
      <c r="N783" s="22" t="s">
        <v>5406</v>
      </c>
    </row>
    <row r="784" customFormat="false" ht="15" hidden="false" customHeight="false" outlineLevel="0" collapsed="false">
      <c r="A784" s="22" t="s">
        <v>5486</v>
      </c>
      <c r="B784" s="22" t="s">
        <v>5403</v>
      </c>
      <c r="C784" s="22" t="s">
        <v>3478</v>
      </c>
      <c r="D784" s="22" t="s">
        <v>5404</v>
      </c>
      <c r="E784" s="22" t="s">
        <v>3777</v>
      </c>
      <c r="F784" s="22" t="s">
        <v>5487</v>
      </c>
      <c r="G784" s="22" t="s">
        <v>4114</v>
      </c>
      <c r="H784" s="63" t="n">
        <v>2410</v>
      </c>
      <c r="I784" s="22" t="s">
        <v>601</v>
      </c>
      <c r="J784" s="22" t="s">
        <v>4102</v>
      </c>
      <c r="K784" s="63" t="n">
        <v>1141.57480786959</v>
      </c>
      <c r="L784" s="22" t="s">
        <v>2458</v>
      </c>
      <c r="M784" s="22" t="n">
        <v>1</v>
      </c>
      <c r="N784" s="22" t="s">
        <v>5406</v>
      </c>
    </row>
    <row r="785" customFormat="false" ht="15" hidden="false" customHeight="false" outlineLevel="0" collapsed="false">
      <c r="A785" s="22" t="s">
        <v>5488</v>
      </c>
      <c r="B785" s="22" t="s">
        <v>5403</v>
      </c>
      <c r="C785" s="22" t="s">
        <v>3478</v>
      </c>
      <c r="D785" s="22" t="s">
        <v>5404</v>
      </c>
      <c r="E785" s="22" t="s">
        <v>3777</v>
      </c>
      <c r="F785" s="22" t="s">
        <v>5489</v>
      </c>
      <c r="G785" s="22" t="s">
        <v>4114</v>
      </c>
      <c r="H785" s="63" t="n">
        <v>85</v>
      </c>
      <c r="I785" s="22" t="s">
        <v>601</v>
      </c>
      <c r="J785" s="22" t="s">
        <v>4102</v>
      </c>
      <c r="K785" s="63" t="n">
        <v>40.2630118958155</v>
      </c>
      <c r="L785" s="22" t="s">
        <v>2458</v>
      </c>
      <c r="M785" s="22" t="n">
        <v>3</v>
      </c>
      <c r="N785" s="22" t="s">
        <v>5406</v>
      </c>
    </row>
    <row r="786" customFormat="false" ht="15" hidden="false" customHeight="false" outlineLevel="0" collapsed="false">
      <c r="A786" s="22" t="s">
        <v>5490</v>
      </c>
      <c r="B786" s="22" t="s">
        <v>5403</v>
      </c>
      <c r="C786" s="22" t="s">
        <v>3478</v>
      </c>
      <c r="D786" s="22" t="s">
        <v>5404</v>
      </c>
      <c r="E786" s="22" t="s">
        <v>3777</v>
      </c>
      <c r="F786" s="22" t="s">
        <v>5491</v>
      </c>
      <c r="G786" s="22" t="s">
        <v>4114</v>
      </c>
      <c r="H786" s="63" t="n">
        <v>2690</v>
      </c>
      <c r="I786" s="22" t="s">
        <v>601</v>
      </c>
      <c r="J786" s="22" t="s">
        <v>4102</v>
      </c>
      <c r="K786" s="63" t="n">
        <v>1274.20590587934</v>
      </c>
      <c r="L786" s="22" t="s">
        <v>2448</v>
      </c>
      <c r="M786" s="22" t="n">
        <v>4</v>
      </c>
      <c r="N786" s="22" t="s">
        <v>5406</v>
      </c>
    </row>
    <row r="787" customFormat="false" ht="15" hidden="false" customHeight="false" outlineLevel="0" collapsed="false">
      <c r="A787" s="22" t="s">
        <v>5492</v>
      </c>
      <c r="B787" s="22" t="s">
        <v>5403</v>
      </c>
      <c r="C787" s="22" t="s">
        <v>3478</v>
      </c>
      <c r="D787" s="22" t="s">
        <v>5404</v>
      </c>
      <c r="E787" s="22" t="s">
        <v>3777</v>
      </c>
      <c r="F787" s="22" t="s">
        <v>5493</v>
      </c>
      <c r="G787" s="22" t="s">
        <v>4114</v>
      </c>
      <c r="H787" s="63" t="n">
        <v>5110</v>
      </c>
      <c r="I787" s="22" t="s">
        <v>601</v>
      </c>
      <c r="J787" s="22" t="s">
        <v>4102</v>
      </c>
      <c r="K787" s="63" t="n">
        <v>2420.51753867785</v>
      </c>
      <c r="L787" s="22" t="s">
        <v>2458</v>
      </c>
      <c r="M787" s="22" t="n">
        <v>3</v>
      </c>
      <c r="N787" s="22" t="s">
        <v>5494</v>
      </c>
    </row>
    <row r="788" customFormat="false" ht="15" hidden="false" customHeight="false" outlineLevel="0" collapsed="false">
      <c r="A788" s="22" t="s">
        <v>5495</v>
      </c>
      <c r="B788" s="22" t="s">
        <v>5403</v>
      </c>
      <c r="C788" s="22" t="s">
        <v>3478</v>
      </c>
      <c r="D788" s="22" t="s">
        <v>5404</v>
      </c>
      <c r="E788" s="22" t="s">
        <v>3777</v>
      </c>
      <c r="F788" s="22" t="s">
        <v>5397</v>
      </c>
      <c r="G788" s="22" t="s">
        <v>5245</v>
      </c>
      <c r="H788" s="63" t="n">
        <v>47</v>
      </c>
      <c r="I788" s="22" t="s">
        <v>601</v>
      </c>
      <c r="J788" s="22" t="s">
        <v>4102</v>
      </c>
      <c r="K788" s="63" t="n">
        <v>22.2630771659215</v>
      </c>
      <c r="L788" s="22" t="s">
        <v>2458</v>
      </c>
      <c r="M788" s="22" t="n">
        <v>5</v>
      </c>
      <c r="N788" s="22" t="s">
        <v>5496</v>
      </c>
    </row>
    <row r="789" customFormat="false" ht="15" hidden="false" customHeight="false" outlineLevel="0" collapsed="false">
      <c r="A789" s="22" t="s">
        <v>5497</v>
      </c>
      <c r="B789" s="22" t="s">
        <v>5403</v>
      </c>
      <c r="C789" s="22" t="s">
        <v>3478</v>
      </c>
      <c r="D789" s="22" t="s">
        <v>5404</v>
      </c>
      <c r="E789" s="22" t="s">
        <v>3777</v>
      </c>
      <c r="F789" s="22" t="s">
        <v>5498</v>
      </c>
      <c r="G789" s="22" t="s">
        <v>5245</v>
      </c>
      <c r="H789" s="63" t="n">
        <v>50</v>
      </c>
      <c r="I789" s="22" t="s">
        <v>601</v>
      </c>
      <c r="J789" s="22" t="s">
        <v>4102</v>
      </c>
      <c r="K789" s="63" t="n">
        <v>23.6841246445973</v>
      </c>
      <c r="L789" s="22" t="s">
        <v>2458</v>
      </c>
      <c r="M789" s="22" t="n">
        <v>5</v>
      </c>
      <c r="N789" s="22" t="s">
        <v>5406</v>
      </c>
    </row>
    <row r="790" customFormat="false" ht="15" hidden="false" customHeight="false" outlineLevel="0" collapsed="false">
      <c r="A790" s="22" t="s">
        <v>5499</v>
      </c>
      <c r="B790" s="22" t="s">
        <v>5403</v>
      </c>
      <c r="C790" s="22" t="s">
        <v>3478</v>
      </c>
      <c r="D790" s="22" t="s">
        <v>5404</v>
      </c>
      <c r="E790" s="22" t="s">
        <v>3777</v>
      </c>
      <c r="F790" s="22" t="s">
        <v>5500</v>
      </c>
      <c r="G790" s="22" t="s">
        <v>4114</v>
      </c>
      <c r="H790" s="63" t="n">
        <v>120</v>
      </c>
      <c r="I790" s="22" t="s">
        <v>601</v>
      </c>
      <c r="J790" s="22" t="s">
        <v>4102</v>
      </c>
      <c r="K790" s="63" t="n">
        <v>56.8418991470336</v>
      </c>
      <c r="L790" s="22" t="s">
        <v>2458</v>
      </c>
      <c r="M790" s="22" t="n">
        <v>2</v>
      </c>
      <c r="N790" s="22" t="s">
        <v>5406</v>
      </c>
    </row>
    <row r="791" customFormat="false" ht="15" hidden="false" customHeight="false" outlineLevel="0" collapsed="false">
      <c r="A791" s="22" t="s">
        <v>5501</v>
      </c>
      <c r="B791" s="22" t="s">
        <v>5403</v>
      </c>
      <c r="C791" s="22" t="s">
        <v>3478</v>
      </c>
      <c r="D791" s="22" t="s">
        <v>5404</v>
      </c>
      <c r="E791" s="22" t="s">
        <v>3777</v>
      </c>
      <c r="F791" s="22" t="s">
        <v>5502</v>
      </c>
      <c r="G791" s="22" t="s">
        <v>4114</v>
      </c>
      <c r="H791" s="63" t="n">
        <v>80</v>
      </c>
      <c r="I791" s="22" t="s">
        <v>601</v>
      </c>
      <c r="J791" s="22" t="s">
        <v>4102</v>
      </c>
      <c r="K791" s="63" t="n">
        <v>37.8945994313557</v>
      </c>
      <c r="L791" s="22" t="s">
        <v>2458</v>
      </c>
      <c r="M791" s="22" t="n">
        <v>3</v>
      </c>
      <c r="N791" s="22" t="s">
        <v>5406</v>
      </c>
    </row>
    <row r="792" customFormat="false" ht="15" hidden="false" customHeight="false" outlineLevel="0" collapsed="false">
      <c r="A792" s="22" t="s">
        <v>5503</v>
      </c>
      <c r="B792" s="22" t="s">
        <v>5403</v>
      </c>
      <c r="C792" s="22" t="s">
        <v>3478</v>
      </c>
      <c r="D792" s="22" t="s">
        <v>5404</v>
      </c>
      <c r="E792" s="22" t="s">
        <v>3777</v>
      </c>
      <c r="F792" s="22" t="s">
        <v>5504</v>
      </c>
      <c r="G792" s="22" t="s">
        <v>5245</v>
      </c>
      <c r="H792" s="63" t="n">
        <v>89</v>
      </c>
      <c r="I792" s="22" t="s">
        <v>601</v>
      </c>
      <c r="J792" s="22" t="s">
        <v>4102</v>
      </c>
      <c r="K792" s="63" t="n">
        <v>42.1577418673833</v>
      </c>
      <c r="L792" s="22" t="s">
        <v>2458</v>
      </c>
      <c r="M792" s="22" t="n">
        <v>1</v>
      </c>
      <c r="N792" s="22" t="s">
        <v>5505</v>
      </c>
    </row>
    <row r="793" customFormat="false" ht="15" hidden="false" customHeight="false" outlineLevel="0" collapsed="false">
      <c r="A793" s="22" t="s">
        <v>5506</v>
      </c>
      <c r="B793" s="22" t="s">
        <v>5403</v>
      </c>
      <c r="C793" s="22" t="s">
        <v>3478</v>
      </c>
      <c r="D793" s="22" t="s">
        <v>5404</v>
      </c>
      <c r="E793" s="22" t="s">
        <v>3777</v>
      </c>
      <c r="F793" s="22" t="s">
        <v>5507</v>
      </c>
      <c r="G793" s="22" t="s">
        <v>4114</v>
      </c>
      <c r="H793" s="63" t="n">
        <v>44651.88</v>
      </c>
      <c r="I793" s="22" t="s">
        <v>601</v>
      </c>
      <c r="J793" s="22" t="s">
        <v>4102</v>
      </c>
      <c r="K793" s="63" t="n">
        <v>21150.8138307121</v>
      </c>
      <c r="L793" s="22" t="s">
        <v>2335</v>
      </c>
      <c r="M793" s="22" t="n">
        <v>3</v>
      </c>
      <c r="N793" s="22" t="s">
        <v>5508</v>
      </c>
    </row>
    <row r="794" customFormat="false" ht="15" hidden="false" customHeight="false" outlineLevel="0" collapsed="false">
      <c r="A794" s="22" t="s">
        <v>5509</v>
      </c>
      <c r="B794" s="22" t="s">
        <v>5403</v>
      </c>
      <c r="C794" s="22" t="s">
        <v>3478</v>
      </c>
      <c r="D794" s="22" t="s">
        <v>5404</v>
      </c>
      <c r="E794" s="22" t="s">
        <v>3777</v>
      </c>
      <c r="F794" s="22" t="s">
        <v>5510</v>
      </c>
      <c r="G794" s="22" t="s">
        <v>4114</v>
      </c>
      <c r="H794" s="63" t="n">
        <v>2004</v>
      </c>
      <c r="I794" s="22" t="s">
        <v>601</v>
      </c>
      <c r="J794" s="22" t="s">
        <v>4102</v>
      </c>
      <c r="K794" s="63" t="n">
        <v>949.259715755461</v>
      </c>
      <c r="L794" s="22" t="s">
        <v>2367</v>
      </c>
      <c r="M794" s="22" t="n">
        <v>1</v>
      </c>
      <c r="N794" s="22" t="s">
        <v>5406</v>
      </c>
    </row>
    <row r="795" customFormat="false" ht="15" hidden="false" customHeight="false" outlineLevel="0" collapsed="false">
      <c r="A795" s="22" t="s">
        <v>5511</v>
      </c>
      <c r="B795" s="22" t="s">
        <v>5403</v>
      </c>
      <c r="C795" s="22" t="s">
        <v>3478</v>
      </c>
      <c r="D795" s="22" t="s">
        <v>5404</v>
      </c>
      <c r="E795" s="22" t="s">
        <v>3777</v>
      </c>
      <c r="F795" s="22" t="s">
        <v>5512</v>
      </c>
      <c r="G795" s="22" t="s">
        <v>4114</v>
      </c>
      <c r="H795" s="63" t="n">
        <v>2268</v>
      </c>
      <c r="I795" s="22" t="s">
        <v>601</v>
      </c>
      <c r="J795" s="22" t="s">
        <v>4102</v>
      </c>
      <c r="K795" s="63" t="n">
        <v>1074.31189387894</v>
      </c>
      <c r="L795" s="22" t="s">
        <v>2367</v>
      </c>
      <c r="M795" s="22" t="n">
        <v>1</v>
      </c>
      <c r="N795" s="22" t="s">
        <v>5406</v>
      </c>
    </row>
    <row r="796" customFormat="false" ht="15" hidden="false" customHeight="false" outlineLevel="0" collapsed="false">
      <c r="A796" s="22" t="s">
        <v>5513</v>
      </c>
      <c r="B796" s="22" t="s">
        <v>5403</v>
      </c>
      <c r="C796" s="22" t="s">
        <v>3478</v>
      </c>
      <c r="D796" s="22" t="s">
        <v>5404</v>
      </c>
      <c r="E796" s="22" t="s">
        <v>3777</v>
      </c>
      <c r="F796" s="22" t="s">
        <v>5514</v>
      </c>
      <c r="G796" s="22" t="s">
        <v>4114</v>
      </c>
      <c r="H796" s="63" t="n">
        <v>2448</v>
      </c>
      <c r="I796" s="22" t="s">
        <v>601</v>
      </c>
      <c r="J796" s="22" t="s">
        <v>4102</v>
      </c>
      <c r="K796" s="63" t="n">
        <v>1159.57474259949</v>
      </c>
      <c r="L796" s="22" t="s">
        <v>2367</v>
      </c>
      <c r="M796" s="22" t="n">
        <v>1</v>
      </c>
      <c r="N796" s="22" t="s">
        <v>5406</v>
      </c>
    </row>
    <row r="797" customFormat="false" ht="15" hidden="false" customHeight="false" outlineLevel="0" collapsed="false">
      <c r="A797" s="22" t="s">
        <v>5515</v>
      </c>
      <c r="B797" s="22" t="s">
        <v>5403</v>
      </c>
      <c r="C797" s="22" t="s">
        <v>3478</v>
      </c>
      <c r="D797" s="22" t="s">
        <v>5404</v>
      </c>
      <c r="E797" s="22" t="s">
        <v>3777</v>
      </c>
      <c r="F797" s="22" t="s">
        <v>5516</v>
      </c>
      <c r="G797" s="22" t="s">
        <v>4114</v>
      </c>
      <c r="H797" s="63" t="n">
        <v>2736</v>
      </c>
      <c r="I797" s="22" t="s">
        <v>601</v>
      </c>
      <c r="J797" s="22" t="s">
        <v>4102</v>
      </c>
      <c r="K797" s="63" t="n">
        <v>1295.99530055237</v>
      </c>
      <c r="L797" s="22" t="s">
        <v>2367</v>
      </c>
      <c r="M797" s="22" t="n">
        <v>2</v>
      </c>
      <c r="N797" s="22" t="s">
        <v>5517</v>
      </c>
    </row>
    <row r="798" customFormat="false" ht="15" hidden="false" customHeight="false" outlineLevel="0" collapsed="false">
      <c r="A798" s="22" t="s">
        <v>5518</v>
      </c>
      <c r="B798" s="22" t="s">
        <v>5403</v>
      </c>
      <c r="C798" s="22" t="s">
        <v>3478</v>
      </c>
      <c r="D798" s="22" t="s">
        <v>5404</v>
      </c>
      <c r="E798" s="22" t="s">
        <v>3777</v>
      </c>
      <c r="F798" s="22" t="s">
        <v>5519</v>
      </c>
      <c r="G798" s="22" t="s">
        <v>4114</v>
      </c>
      <c r="H798" s="63" t="n">
        <v>3756</v>
      </c>
      <c r="I798" s="22" t="s">
        <v>601</v>
      </c>
      <c r="J798" s="22" t="s">
        <v>4102</v>
      </c>
      <c r="K798" s="63" t="n">
        <v>1779.15144330215</v>
      </c>
      <c r="L798" s="22" t="s">
        <v>2335</v>
      </c>
      <c r="M798" s="22" t="n">
        <v>2</v>
      </c>
      <c r="N798" s="22" t="s">
        <v>5517</v>
      </c>
    </row>
    <row r="799" customFormat="false" ht="15" hidden="false" customHeight="false" outlineLevel="0" collapsed="false">
      <c r="A799" s="22" t="s">
        <v>5520</v>
      </c>
      <c r="B799" s="22" t="s">
        <v>5403</v>
      </c>
      <c r="C799" s="22" t="s">
        <v>3478</v>
      </c>
      <c r="D799" s="22" t="s">
        <v>5404</v>
      </c>
      <c r="E799" s="22" t="s">
        <v>3777</v>
      </c>
      <c r="F799" s="22" t="s">
        <v>5521</v>
      </c>
      <c r="G799" s="22" t="s">
        <v>4114</v>
      </c>
      <c r="H799" s="63" t="n">
        <v>234</v>
      </c>
      <c r="I799" s="22" t="s">
        <v>601</v>
      </c>
      <c r="J799" s="22" t="s">
        <v>4102</v>
      </c>
      <c r="K799" s="63" t="n">
        <v>110.841703336716</v>
      </c>
      <c r="L799" s="22" t="s">
        <v>2367</v>
      </c>
      <c r="M799" s="22" t="n">
        <v>3</v>
      </c>
      <c r="N799" s="22" t="s">
        <v>5406</v>
      </c>
    </row>
    <row r="800" customFormat="false" ht="15" hidden="false" customHeight="false" outlineLevel="0" collapsed="false">
      <c r="A800" s="22" t="s">
        <v>5522</v>
      </c>
      <c r="B800" s="22" t="s">
        <v>5403</v>
      </c>
      <c r="C800" s="22" t="s">
        <v>3478</v>
      </c>
      <c r="D800" s="22" t="s">
        <v>5404</v>
      </c>
      <c r="E800" s="22" t="s">
        <v>3777</v>
      </c>
      <c r="F800" s="22" t="s">
        <v>5523</v>
      </c>
      <c r="G800" s="22" t="s">
        <v>4114</v>
      </c>
      <c r="H800" s="63" t="n">
        <v>3096</v>
      </c>
      <c r="I800" s="22" t="s">
        <v>601</v>
      </c>
      <c r="J800" s="22" t="s">
        <v>4102</v>
      </c>
      <c r="K800" s="63" t="n">
        <v>1466.52099799347</v>
      </c>
      <c r="L800" s="22" t="s">
        <v>2367</v>
      </c>
      <c r="M800" s="22" t="n">
        <v>2</v>
      </c>
      <c r="N800" s="22" t="s">
        <v>5406</v>
      </c>
    </row>
    <row r="801" customFormat="false" ht="15" hidden="false" customHeight="false" outlineLevel="0" collapsed="false">
      <c r="A801" s="22" t="s">
        <v>5524</v>
      </c>
      <c r="B801" s="22" t="s">
        <v>5403</v>
      </c>
      <c r="C801" s="22" t="s">
        <v>3478</v>
      </c>
      <c r="D801" s="22" t="s">
        <v>5404</v>
      </c>
      <c r="E801" s="22" t="s">
        <v>3777</v>
      </c>
      <c r="F801" s="22" t="s">
        <v>5525</v>
      </c>
      <c r="G801" s="22" t="s">
        <v>4125</v>
      </c>
      <c r="H801" s="63" t="n">
        <v>19.8</v>
      </c>
      <c r="I801" s="22" t="s">
        <v>601</v>
      </c>
      <c r="J801" s="22" t="s">
        <v>4102</v>
      </c>
      <c r="K801" s="63" t="n">
        <v>9.37891335926055</v>
      </c>
      <c r="L801" s="22" t="s">
        <v>2367</v>
      </c>
      <c r="M801" s="22" t="n">
        <v>17</v>
      </c>
      <c r="N801" s="22" t="s">
        <v>5526</v>
      </c>
    </row>
    <row r="802" customFormat="false" ht="15" hidden="false" customHeight="false" outlineLevel="0" collapsed="false">
      <c r="A802" s="22" t="s">
        <v>5527</v>
      </c>
      <c r="B802" s="22" t="s">
        <v>5403</v>
      </c>
      <c r="C802" s="22" t="s">
        <v>3478</v>
      </c>
      <c r="D802" s="22" t="s">
        <v>5404</v>
      </c>
      <c r="E802" s="22" t="s">
        <v>3777</v>
      </c>
      <c r="F802" s="22" t="s">
        <v>5528</v>
      </c>
      <c r="G802" s="22" t="s">
        <v>4125</v>
      </c>
      <c r="H802" s="63" t="n">
        <v>29.4</v>
      </c>
      <c r="I802" s="22" t="s">
        <v>601</v>
      </c>
      <c r="J802" s="22" t="s">
        <v>4102</v>
      </c>
      <c r="K802" s="63" t="n">
        <v>13.9262652910232</v>
      </c>
      <c r="L802" s="22" t="s">
        <v>2367</v>
      </c>
      <c r="M802" s="22" t="n">
        <v>17</v>
      </c>
      <c r="N802" s="22" t="s">
        <v>5526</v>
      </c>
    </row>
    <row r="803" customFormat="false" ht="15" hidden="false" customHeight="false" outlineLevel="0" collapsed="false">
      <c r="A803" s="22" t="s">
        <v>5529</v>
      </c>
      <c r="B803" s="22" t="s">
        <v>5403</v>
      </c>
      <c r="C803" s="22" t="s">
        <v>3478</v>
      </c>
      <c r="D803" s="22" t="s">
        <v>5404</v>
      </c>
      <c r="E803" s="22" t="s">
        <v>3777</v>
      </c>
      <c r="F803" s="22" t="s">
        <v>5530</v>
      </c>
      <c r="G803" s="22" t="s">
        <v>4125</v>
      </c>
      <c r="H803" s="63" t="n">
        <v>42.6</v>
      </c>
      <c r="I803" s="22" t="s">
        <v>601</v>
      </c>
      <c r="J803" s="22" t="s">
        <v>4102</v>
      </c>
      <c r="K803" s="63" t="n">
        <v>20.1788741971969</v>
      </c>
      <c r="L803" s="22" t="s">
        <v>2367</v>
      </c>
      <c r="M803" s="22" t="n">
        <v>18</v>
      </c>
      <c r="N803" s="22" t="s">
        <v>5526</v>
      </c>
    </row>
    <row r="804" customFormat="false" ht="15" hidden="false" customHeight="false" outlineLevel="0" collapsed="false">
      <c r="A804" s="22" t="s">
        <v>5531</v>
      </c>
      <c r="B804" s="22" t="s">
        <v>5403</v>
      </c>
      <c r="C804" s="22" t="s">
        <v>3478</v>
      </c>
      <c r="D804" s="22" t="s">
        <v>5404</v>
      </c>
      <c r="E804" s="22" t="s">
        <v>3777</v>
      </c>
      <c r="F804" s="22" t="s">
        <v>5532</v>
      </c>
      <c r="G804" s="22" t="s">
        <v>4125</v>
      </c>
      <c r="H804" s="63" t="n">
        <v>77.4</v>
      </c>
      <c r="I804" s="22" t="s">
        <v>601</v>
      </c>
      <c r="J804" s="22" t="s">
        <v>4102</v>
      </c>
      <c r="K804" s="63" t="n">
        <v>36.6630249498367</v>
      </c>
      <c r="L804" s="22" t="s">
        <v>2367</v>
      </c>
      <c r="M804" s="22" t="n">
        <v>17</v>
      </c>
      <c r="N804" s="22" t="s">
        <v>5526</v>
      </c>
    </row>
    <row r="805" customFormat="false" ht="15" hidden="false" customHeight="false" outlineLevel="0" collapsed="false">
      <c r="A805" s="22" t="s">
        <v>5533</v>
      </c>
      <c r="B805" s="22" t="s">
        <v>5403</v>
      </c>
      <c r="C805" s="22" t="s">
        <v>3478</v>
      </c>
      <c r="D805" s="22" t="s">
        <v>5404</v>
      </c>
      <c r="E805" s="22" t="s">
        <v>3777</v>
      </c>
      <c r="F805" s="22" t="s">
        <v>5534</v>
      </c>
      <c r="G805" s="22" t="s">
        <v>4125</v>
      </c>
      <c r="H805" s="63" t="n">
        <v>112.8</v>
      </c>
      <c r="I805" s="22" t="s">
        <v>601</v>
      </c>
      <c r="J805" s="22" t="s">
        <v>4102</v>
      </c>
      <c r="K805" s="63" t="n">
        <v>53.4313851982116</v>
      </c>
      <c r="L805" s="22" t="s">
        <v>2367</v>
      </c>
      <c r="M805" s="22" t="n">
        <v>17</v>
      </c>
      <c r="N805" s="22" t="s">
        <v>5526</v>
      </c>
    </row>
    <row r="806" customFormat="false" ht="15" hidden="false" customHeight="false" outlineLevel="0" collapsed="false">
      <c r="A806" s="22" t="s">
        <v>5535</v>
      </c>
      <c r="B806" s="22" t="s">
        <v>5403</v>
      </c>
      <c r="C806" s="22" t="s">
        <v>3478</v>
      </c>
      <c r="D806" s="22" t="s">
        <v>5404</v>
      </c>
      <c r="E806" s="22" t="s">
        <v>3777</v>
      </c>
      <c r="F806" s="22" t="s">
        <v>5536</v>
      </c>
      <c r="G806" s="22" t="s">
        <v>5318</v>
      </c>
      <c r="H806" s="63" t="n">
        <v>139.86</v>
      </c>
      <c r="I806" s="22" t="s">
        <v>601</v>
      </c>
      <c r="J806" s="22" t="s">
        <v>4102</v>
      </c>
      <c r="K806" s="63" t="n">
        <v>66.2492334558677</v>
      </c>
      <c r="L806" s="22" t="s">
        <v>2367</v>
      </c>
      <c r="M806" s="22" t="n">
        <v>2</v>
      </c>
      <c r="N806" s="22" t="s">
        <v>5406</v>
      </c>
    </row>
    <row r="807" customFormat="false" ht="15" hidden="false" customHeight="false" outlineLevel="0" collapsed="false">
      <c r="A807" s="22" t="s">
        <v>5537</v>
      </c>
      <c r="B807" s="22" t="s">
        <v>5403</v>
      </c>
      <c r="C807" s="22" t="s">
        <v>3478</v>
      </c>
      <c r="D807" s="22" t="s">
        <v>5404</v>
      </c>
      <c r="E807" s="22" t="s">
        <v>3777</v>
      </c>
      <c r="F807" s="22" t="s">
        <v>5538</v>
      </c>
      <c r="G807" s="22" t="s">
        <v>5318</v>
      </c>
      <c r="H807" s="63" t="n">
        <v>273.42</v>
      </c>
      <c r="I807" s="22" t="s">
        <v>601</v>
      </c>
      <c r="J807" s="22" t="s">
        <v>4102</v>
      </c>
      <c r="K807" s="63" t="n">
        <v>129.514267206516</v>
      </c>
      <c r="L807" s="22" t="s">
        <v>2335</v>
      </c>
      <c r="M807" s="22" t="n">
        <v>2</v>
      </c>
      <c r="N807" s="22" t="s">
        <v>5406</v>
      </c>
    </row>
    <row r="808" customFormat="false" ht="15" hidden="false" customHeight="false" outlineLevel="0" collapsed="false">
      <c r="A808" s="22" t="s">
        <v>5539</v>
      </c>
      <c r="B808" s="22" t="s">
        <v>5403</v>
      </c>
      <c r="C808" s="22" t="s">
        <v>3478</v>
      </c>
      <c r="D808" s="22" t="s">
        <v>5404</v>
      </c>
      <c r="E808" s="22" t="s">
        <v>3777</v>
      </c>
      <c r="F808" s="22" t="s">
        <v>5540</v>
      </c>
      <c r="G808" s="22" t="s">
        <v>4114</v>
      </c>
      <c r="H808" s="63" t="n">
        <v>2234</v>
      </c>
      <c r="I808" s="22" t="s">
        <v>601</v>
      </c>
      <c r="J808" s="22" t="s">
        <v>4102</v>
      </c>
      <c r="K808" s="63" t="n">
        <v>1058.20668912061</v>
      </c>
      <c r="L808" s="22" t="s">
        <v>2307</v>
      </c>
      <c r="M808" s="22" t="n">
        <v>8</v>
      </c>
      <c r="N808" s="22" t="s">
        <v>5406</v>
      </c>
    </row>
    <row r="809" customFormat="false" ht="15" hidden="false" customHeight="false" outlineLevel="0" collapsed="false">
      <c r="A809" s="22" t="s">
        <v>5541</v>
      </c>
      <c r="B809" s="22" t="s">
        <v>5403</v>
      </c>
      <c r="C809" s="22" t="s">
        <v>3478</v>
      </c>
      <c r="D809" s="22" t="s">
        <v>5404</v>
      </c>
      <c r="E809" s="22" t="s">
        <v>3777</v>
      </c>
      <c r="F809" s="22" t="s">
        <v>5542</v>
      </c>
      <c r="G809" s="22" t="s">
        <v>4114</v>
      </c>
      <c r="H809" s="63" t="n">
        <v>3829</v>
      </c>
      <c r="I809" s="22" t="s">
        <v>601</v>
      </c>
      <c r="J809" s="22" t="s">
        <v>4102</v>
      </c>
      <c r="K809" s="63" t="n">
        <v>1813.73026528326</v>
      </c>
      <c r="L809" s="22" t="s">
        <v>2307</v>
      </c>
      <c r="M809" s="22" t="n">
        <v>6</v>
      </c>
      <c r="N809" s="22" t="s">
        <v>5406</v>
      </c>
    </row>
    <row r="810" customFormat="false" ht="15" hidden="false" customHeight="false" outlineLevel="0" collapsed="false">
      <c r="A810" s="22" t="s">
        <v>5543</v>
      </c>
      <c r="B810" s="22" t="s">
        <v>5403</v>
      </c>
      <c r="C810" s="22" t="s">
        <v>3478</v>
      </c>
      <c r="D810" s="22" t="s">
        <v>5404</v>
      </c>
      <c r="E810" s="22" t="s">
        <v>3777</v>
      </c>
      <c r="F810" s="22" t="s">
        <v>5544</v>
      </c>
      <c r="G810" s="22" t="s">
        <v>4125</v>
      </c>
      <c r="H810" s="63" t="n">
        <v>62</v>
      </c>
      <c r="I810" s="22" t="s">
        <v>601</v>
      </c>
      <c r="J810" s="22" t="s">
        <v>4102</v>
      </c>
      <c r="K810" s="63" t="n">
        <v>29.3683145593007</v>
      </c>
      <c r="L810" s="22" t="s">
        <v>2550</v>
      </c>
      <c r="M810" s="22" t="n">
        <v>1</v>
      </c>
      <c r="N810" s="22" t="s">
        <v>5406</v>
      </c>
    </row>
    <row r="811" customFormat="false" ht="15" hidden="false" customHeight="false" outlineLevel="0" collapsed="false">
      <c r="A811" s="22" t="s">
        <v>5545</v>
      </c>
      <c r="B811" s="22" t="s">
        <v>5403</v>
      </c>
      <c r="C811" s="22" t="s">
        <v>3478</v>
      </c>
      <c r="D811" s="22" t="s">
        <v>5546</v>
      </c>
      <c r="E811" s="22" t="s">
        <v>4657</v>
      </c>
      <c r="F811" s="22" t="s">
        <v>5547</v>
      </c>
      <c r="G811" s="22" t="s">
        <v>5548</v>
      </c>
      <c r="H811" s="63" t="n">
        <v>11.41</v>
      </c>
      <c r="I811" s="22" t="s">
        <v>113</v>
      </c>
      <c r="J811" s="22" t="s">
        <v>4102</v>
      </c>
      <c r="K811" s="63" t="n">
        <v>14.3575265365551</v>
      </c>
      <c r="L811" s="22" t="s">
        <v>2730</v>
      </c>
      <c r="M811" s="22" t="n">
        <v>3</v>
      </c>
      <c r="N811" s="22" t="s">
        <v>5549</v>
      </c>
    </row>
    <row r="812" customFormat="false" ht="15" hidden="false" customHeight="false" outlineLevel="0" collapsed="false">
      <c r="A812" s="22" t="s">
        <v>5550</v>
      </c>
      <c r="B812" s="22" t="s">
        <v>5403</v>
      </c>
      <c r="C812" s="22" t="s">
        <v>3478</v>
      </c>
      <c r="D812" s="22" t="s">
        <v>5546</v>
      </c>
      <c r="E812" s="22" t="s">
        <v>4657</v>
      </c>
      <c r="F812" s="22" t="s">
        <v>5551</v>
      </c>
      <c r="G812" s="22" t="s">
        <v>4114</v>
      </c>
      <c r="H812" s="63" t="n">
        <v>195</v>
      </c>
      <c r="I812" s="22" t="s">
        <v>601</v>
      </c>
      <c r="J812" s="22" t="s">
        <v>4102</v>
      </c>
      <c r="K812" s="63" t="n">
        <v>92.8907807740779</v>
      </c>
      <c r="L812" s="22" t="s">
        <v>2678</v>
      </c>
      <c r="M812" s="22" t="n">
        <v>1</v>
      </c>
      <c r="N812" s="22" t="s">
        <v>5549</v>
      </c>
    </row>
    <row r="813" customFormat="false" ht="15" hidden="false" customHeight="false" outlineLevel="0" collapsed="false">
      <c r="A813" s="22" t="s">
        <v>5552</v>
      </c>
      <c r="B813" s="22" t="s">
        <v>5403</v>
      </c>
      <c r="C813" s="22" t="s">
        <v>3478</v>
      </c>
      <c r="D813" s="22" t="s">
        <v>5546</v>
      </c>
      <c r="E813" s="22" t="s">
        <v>4657</v>
      </c>
      <c r="F813" s="22" t="s">
        <v>5553</v>
      </c>
      <c r="G813" s="22" t="s">
        <v>4114</v>
      </c>
      <c r="H813" s="63" t="n">
        <v>200</v>
      </c>
      <c r="I813" s="22" t="s">
        <v>601</v>
      </c>
      <c r="J813" s="22" t="s">
        <v>4102</v>
      </c>
      <c r="K813" s="63" t="n">
        <v>95.2725956657209</v>
      </c>
      <c r="L813" s="22" t="s">
        <v>2819</v>
      </c>
      <c r="M813" s="22" t="n">
        <v>4</v>
      </c>
      <c r="N813" s="22" t="s">
        <v>5554</v>
      </c>
    </row>
    <row r="814" customFormat="false" ht="15" hidden="false" customHeight="false" outlineLevel="0" collapsed="false">
      <c r="A814" s="22" t="s">
        <v>5555</v>
      </c>
      <c r="B814" s="22" t="s">
        <v>5403</v>
      </c>
      <c r="C814" s="22" t="s">
        <v>3478</v>
      </c>
      <c r="D814" s="22" t="s">
        <v>5546</v>
      </c>
      <c r="E814" s="22" t="s">
        <v>4657</v>
      </c>
      <c r="F814" s="22" t="s">
        <v>5556</v>
      </c>
      <c r="G814" s="22" t="s">
        <v>4114</v>
      </c>
      <c r="H814" s="63" t="n">
        <v>100</v>
      </c>
      <c r="I814" s="22" t="s">
        <v>601</v>
      </c>
      <c r="J814" s="22" t="s">
        <v>4102</v>
      </c>
      <c r="K814" s="63" t="n">
        <v>47.6362978328605</v>
      </c>
      <c r="L814" s="22" t="s">
        <v>2678</v>
      </c>
      <c r="M814" s="22" t="n">
        <v>3</v>
      </c>
      <c r="N814" s="22" t="s">
        <v>5549</v>
      </c>
    </row>
    <row r="815" customFormat="false" ht="15" hidden="false" customHeight="false" outlineLevel="0" collapsed="false">
      <c r="A815" s="22" t="s">
        <v>5557</v>
      </c>
      <c r="B815" s="22" t="s">
        <v>5403</v>
      </c>
      <c r="C815" s="22" t="s">
        <v>3478</v>
      </c>
      <c r="D815" s="22" t="s">
        <v>5546</v>
      </c>
      <c r="E815" s="22" t="s">
        <v>4657</v>
      </c>
      <c r="F815" s="22" t="s">
        <v>5558</v>
      </c>
      <c r="G815" s="22" t="s">
        <v>4114</v>
      </c>
      <c r="H815" s="63" t="n">
        <v>357.33</v>
      </c>
      <c r="I815" s="22" t="s">
        <v>113</v>
      </c>
      <c r="J815" s="22" t="s">
        <v>4102</v>
      </c>
      <c r="K815" s="63" t="n">
        <v>449.638471280212</v>
      </c>
      <c r="L815" s="22" t="s">
        <v>2550</v>
      </c>
      <c r="M815" s="22" t="n">
        <v>1</v>
      </c>
      <c r="N815" s="22" t="s">
        <v>5549</v>
      </c>
    </row>
    <row r="816" customFormat="false" ht="15" hidden="false" customHeight="false" outlineLevel="0" collapsed="false">
      <c r="A816" s="22" t="s">
        <v>5559</v>
      </c>
      <c r="B816" s="22" t="s">
        <v>5403</v>
      </c>
      <c r="C816" s="22" t="s">
        <v>3478</v>
      </c>
      <c r="D816" s="22" t="s">
        <v>5546</v>
      </c>
      <c r="E816" s="22" t="s">
        <v>4657</v>
      </c>
      <c r="F816" s="22" t="s">
        <v>5560</v>
      </c>
      <c r="G816" s="22" t="s">
        <v>4114</v>
      </c>
      <c r="H816" s="63" t="n">
        <v>7.2</v>
      </c>
      <c r="I816" s="22" t="s">
        <v>113</v>
      </c>
      <c r="J816" s="22" t="s">
        <v>4102</v>
      </c>
      <c r="K816" s="63" t="n">
        <v>9.05996415978935</v>
      </c>
      <c r="L816" s="22" t="s">
        <v>2550</v>
      </c>
      <c r="M816" s="22" t="n">
        <v>2</v>
      </c>
      <c r="N816" s="22" t="s">
        <v>5561</v>
      </c>
    </row>
    <row r="817" customFormat="false" ht="15" hidden="false" customHeight="false" outlineLevel="0" collapsed="false">
      <c r="A817" s="22" t="s">
        <v>5562</v>
      </c>
      <c r="B817" s="22" t="s">
        <v>5403</v>
      </c>
      <c r="C817" s="22" t="s">
        <v>3478</v>
      </c>
      <c r="D817" s="22" t="s">
        <v>5546</v>
      </c>
      <c r="E817" s="22" t="s">
        <v>4657</v>
      </c>
      <c r="F817" s="22" t="s">
        <v>5563</v>
      </c>
      <c r="G817" s="22" t="s">
        <v>4114</v>
      </c>
      <c r="H817" s="63" t="n">
        <v>1265.31</v>
      </c>
      <c r="I817" s="22" t="s">
        <v>113</v>
      </c>
      <c r="J817" s="22" t="s">
        <v>4102</v>
      </c>
      <c r="K817" s="63" t="n">
        <v>1592.17545153098</v>
      </c>
      <c r="L817" s="22" t="s">
        <v>2550</v>
      </c>
      <c r="M817" s="22" t="n">
        <v>1</v>
      </c>
      <c r="N817" s="22" t="s">
        <v>5564</v>
      </c>
    </row>
    <row r="818" customFormat="false" ht="15" hidden="false" customHeight="false" outlineLevel="0" collapsed="false">
      <c r="A818" s="22" t="s">
        <v>5565</v>
      </c>
      <c r="B818" s="22" t="s">
        <v>5403</v>
      </c>
      <c r="C818" s="22" t="s">
        <v>3478</v>
      </c>
      <c r="D818" s="22" t="s">
        <v>5546</v>
      </c>
      <c r="E818" s="22" t="s">
        <v>4657</v>
      </c>
      <c r="F818" s="22" t="s">
        <v>5566</v>
      </c>
      <c r="G818" s="22" t="s">
        <v>4114</v>
      </c>
      <c r="H818" s="63" t="n">
        <v>199.44</v>
      </c>
      <c r="I818" s="22" t="s">
        <v>113</v>
      </c>
      <c r="J818" s="22" t="s">
        <v>4102</v>
      </c>
      <c r="K818" s="63" t="n">
        <v>250.961007226165</v>
      </c>
      <c r="L818" s="22" t="s">
        <v>2550</v>
      </c>
      <c r="M818" s="22" t="n">
        <v>1</v>
      </c>
      <c r="N818" s="22" t="s">
        <v>5549</v>
      </c>
    </row>
    <row r="819" customFormat="false" ht="15" hidden="false" customHeight="false" outlineLevel="0" collapsed="false">
      <c r="A819" s="22" t="s">
        <v>5567</v>
      </c>
      <c r="B819" s="22" t="s">
        <v>5403</v>
      </c>
      <c r="C819" s="22" t="s">
        <v>3478</v>
      </c>
      <c r="D819" s="22" t="s">
        <v>5546</v>
      </c>
      <c r="E819" s="22" t="s">
        <v>4657</v>
      </c>
      <c r="F819" s="22" t="s">
        <v>5568</v>
      </c>
      <c r="G819" s="22" t="s">
        <v>4114</v>
      </c>
      <c r="H819" s="63" t="n">
        <v>275.68</v>
      </c>
      <c r="I819" s="22" t="s">
        <v>113</v>
      </c>
      <c r="J819" s="22" t="s">
        <v>4102</v>
      </c>
      <c r="K819" s="63" t="n">
        <v>346.89596105149</v>
      </c>
      <c r="L819" s="22" t="s">
        <v>2550</v>
      </c>
      <c r="M819" s="22" t="n">
        <v>2</v>
      </c>
      <c r="N819" s="22" t="s">
        <v>5549</v>
      </c>
    </row>
    <row r="820" customFormat="false" ht="15" hidden="false" customHeight="false" outlineLevel="0" collapsed="false">
      <c r="A820" s="22" t="s">
        <v>5569</v>
      </c>
      <c r="B820" s="22" t="s">
        <v>5403</v>
      </c>
      <c r="C820" s="22" t="s">
        <v>3478</v>
      </c>
      <c r="D820" s="22" t="s">
        <v>5546</v>
      </c>
      <c r="E820" s="22" t="s">
        <v>4657</v>
      </c>
      <c r="F820" s="22" t="s">
        <v>5570</v>
      </c>
      <c r="G820" s="22" t="s">
        <v>4114</v>
      </c>
      <c r="H820" s="63" t="n">
        <v>221.31</v>
      </c>
      <c r="I820" s="22" t="s">
        <v>113</v>
      </c>
      <c r="J820" s="22" t="s">
        <v>4102</v>
      </c>
      <c r="K820" s="63" t="n">
        <v>278.480648361525</v>
      </c>
      <c r="L820" s="22" t="s">
        <v>2550</v>
      </c>
      <c r="M820" s="22" t="n">
        <v>1</v>
      </c>
      <c r="N820" s="22" t="s">
        <v>5549</v>
      </c>
    </row>
    <row r="821" customFormat="false" ht="15" hidden="false" customHeight="false" outlineLevel="0" collapsed="false">
      <c r="A821" s="22" t="s">
        <v>5571</v>
      </c>
      <c r="B821" s="22" t="s">
        <v>5403</v>
      </c>
      <c r="C821" s="22" t="s">
        <v>3478</v>
      </c>
      <c r="D821" s="22" t="s">
        <v>5546</v>
      </c>
      <c r="E821" s="22" t="s">
        <v>4657</v>
      </c>
      <c r="F821" s="22" t="s">
        <v>5572</v>
      </c>
      <c r="G821" s="22" t="s">
        <v>4114</v>
      </c>
      <c r="H821" s="63" t="n">
        <v>28502</v>
      </c>
      <c r="I821" s="22" t="s">
        <v>113</v>
      </c>
      <c r="J821" s="22" t="s">
        <v>4102</v>
      </c>
      <c r="K821" s="63" t="n">
        <v>35864.8747892106</v>
      </c>
      <c r="L821" s="22" t="s">
        <v>2550</v>
      </c>
      <c r="M821" s="22" t="n">
        <v>3</v>
      </c>
      <c r="N821" s="22" t="s">
        <v>5573</v>
      </c>
    </row>
    <row r="822" customFormat="false" ht="15" hidden="false" customHeight="false" outlineLevel="0" collapsed="false">
      <c r="A822" s="22" t="s">
        <v>5574</v>
      </c>
      <c r="B822" s="22" t="s">
        <v>5403</v>
      </c>
      <c r="C822" s="22" t="s">
        <v>3478</v>
      </c>
      <c r="D822" s="22" t="s">
        <v>5546</v>
      </c>
      <c r="E822" s="22" t="s">
        <v>4657</v>
      </c>
      <c r="F822" s="22" t="s">
        <v>5575</v>
      </c>
      <c r="G822" s="22" t="s">
        <v>4114</v>
      </c>
      <c r="H822" s="63" t="n">
        <v>4563</v>
      </c>
      <c r="I822" s="22" t="s">
        <v>113</v>
      </c>
      <c r="J822" s="22" t="s">
        <v>4102</v>
      </c>
      <c r="K822" s="63" t="n">
        <v>5741.7522862665</v>
      </c>
      <c r="L822" s="22" t="s">
        <v>2550</v>
      </c>
      <c r="M822" s="22" t="n">
        <v>1</v>
      </c>
      <c r="N822" s="22" t="s">
        <v>5576</v>
      </c>
    </row>
    <row r="823" customFormat="false" ht="15" hidden="false" customHeight="false" outlineLevel="0" collapsed="false">
      <c r="A823" s="22" t="s">
        <v>5577</v>
      </c>
      <c r="B823" s="22" t="s">
        <v>5403</v>
      </c>
      <c r="C823" s="22" t="s">
        <v>3478</v>
      </c>
      <c r="D823" s="22" t="s">
        <v>5546</v>
      </c>
      <c r="E823" s="22" t="s">
        <v>4657</v>
      </c>
      <c r="F823" s="22" t="s">
        <v>5578</v>
      </c>
      <c r="G823" s="22" t="s">
        <v>4114</v>
      </c>
      <c r="H823" s="63" t="n">
        <v>60.78</v>
      </c>
      <c r="I823" s="22" t="s">
        <v>113</v>
      </c>
      <c r="J823" s="22" t="s">
        <v>4226</v>
      </c>
      <c r="K823" s="63" t="n">
        <v>76.4811974488884</v>
      </c>
      <c r="L823" s="22" t="s">
        <v>2534</v>
      </c>
      <c r="M823" s="22" t="n">
        <v>9</v>
      </c>
      <c r="N823" s="22" t="s">
        <v>5549</v>
      </c>
    </row>
    <row r="824" customFormat="false" ht="15" hidden="false" customHeight="false" outlineLevel="0" collapsed="false">
      <c r="A824" s="22" t="s">
        <v>5579</v>
      </c>
      <c r="B824" s="22" t="s">
        <v>5403</v>
      </c>
      <c r="C824" s="22" t="s">
        <v>3478</v>
      </c>
      <c r="D824" s="22" t="s">
        <v>5546</v>
      </c>
      <c r="E824" s="22" t="s">
        <v>4657</v>
      </c>
      <c r="F824" s="22" t="s">
        <v>5580</v>
      </c>
      <c r="G824" s="22" t="s">
        <v>4114</v>
      </c>
      <c r="H824" s="63" t="n">
        <v>12952.5</v>
      </c>
      <c r="I824" s="22" t="s">
        <v>112</v>
      </c>
      <c r="J824" s="22" t="s">
        <v>4102</v>
      </c>
      <c r="K824" s="63" t="n">
        <v>17227.5124123768</v>
      </c>
      <c r="L824" s="22" t="s">
        <v>2730</v>
      </c>
      <c r="M824" s="22" t="n">
        <v>1</v>
      </c>
      <c r="N824" s="22" t="s">
        <v>5581</v>
      </c>
    </row>
    <row r="825" customFormat="false" ht="15" hidden="false" customHeight="false" outlineLevel="0" collapsed="false">
      <c r="A825" s="22" t="s">
        <v>5582</v>
      </c>
      <c r="B825" s="22" t="s">
        <v>5403</v>
      </c>
      <c r="C825" s="22" t="s">
        <v>3478</v>
      </c>
      <c r="D825" s="22" t="s">
        <v>5546</v>
      </c>
      <c r="E825" s="22" t="s">
        <v>4657</v>
      </c>
      <c r="F825" s="22" t="s">
        <v>5583</v>
      </c>
      <c r="G825" s="22" t="s">
        <v>4125</v>
      </c>
      <c r="H825" s="63" t="n">
        <v>73.84</v>
      </c>
      <c r="I825" s="22" t="s">
        <v>601</v>
      </c>
      <c r="J825" s="22" t="s">
        <v>4102</v>
      </c>
      <c r="K825" s="63" t="n">
        <v>35.1746423197842</v>
      </c>
      <c r="L825" s="22" t="s">
        <v>2550</v>
      </c>
      <c r="M825" s="22" t="n">
        <v>1</v>
      </c>
      <c r="N825" s="22" t="s">
        <v>5549</v>
      </c>
    </row>
    <row r="826" customFormat="false" ht="15" hidden="false" customHeight="false" outlineLevel="0" collapsed="false">
      <c r="A826" s="22" t="s">
        <v>5584</v>
      </c>
      <c r="B826" s="22" t="s">
        <v>5403</v>
      </c>
      <c r="C826" s="22" t="s">
        <v>3478</v>
      </c>
      <c r="D826" s="22" t="s">
        <v>5546</v>
      </c>
      <c r="E826" s="22" t="s">
        <v>4657</v>
      </c>
      <c r="F826" s="22" t="s">
        <v>5585</v>
      </c>
      <c r="G826" s="22" t="s">
        <v>4125</v>
      </c>
      <c r="H826" s="63" t="n">
        <v>110.22</v>
      </c>
      <c r="I826" s="22" t="s">
        <v>601</v>
      </c>
      <c r="J826" s="22" t="s">
        <v>4102</v>
      </c>
      <c r="K826" s="63" t="n">
        <v>52.5047274713788</v>
      </c>
      <c r="L826" s="22"/>
      <c r="M826" s="22" t="n">
        <v>2</v>
      </c>
      <c r="N826" s="22" t="s">
        <v>5549</v>
      </c>
    </row>
    <row r="827" customFormat="false" ht="15" hidden="false" customHeight="false" outlineLevel="0" collapsed="false">
      <c r="A827" s="22" t="s">
        <v>5586</v>
      </c>
      <c r="B827" s="22" t="s">
        <v>5403</v>
      </c>
      <c r="C827" s="22" t="s">
        <v>3478</v>
      </c>
      <c r="D827" s="22" t="s">
        <v>5546</v>
      </c>
      <c r="E827" s="22" t="s">
        <v>4657</v>
      </c>
      <c r="F827" s="22" t="s">
        <v>5449</v>
      </c>
      <c r="G827" s="22" t="s">
        <v>4125</v>
      </c>
      <c r="H827" s="63" t="n">
        <v>24.3</v>
      </c>
      <c r="I827" s="22" t="s">
        <v>601</v>
      </c>
      <c r="J827" s="22" t="s">
        <v>4102</v>
      </c>
      <c r="K827" s="63" t="n">
        <v>11.5756203733851</v>
      </c>
      <c r="L827" s="22" t="s">
        <v>2846</v>
      </c>
      <c r="M827" s="22" t="n">
        <v>1</v>
      </c>
      <c r="N827" s="22" t="s">
        <v>5587</v>
      </c>
    </row>
    <row r="828" customFormat="false" ht="15" hidden="false" customHeight="false" outlineLevel="0" collapsed="false">
      <c r="A828" s="22" t="s">
        <v>5588</v>
      </c>
      <c r="B828" s="22" t="s">
        <v>5403</v>
      </c>
      <c r="C828" s="22" t="s">
        <v>3478</v>
      </c>
      <c r="D828" s="22" t="s">
        <v>5546</v>
      </c>
      <c r="E828" s="22" t="s">
        <v>4657</v>
      </c>
      <c r="F828" s="22" t="s">
        <v>5451</v>
      </c>
      <c r="G828" s="22" t="s">
        <v>4125</v>
      </c>
      <c r="H828" s="63" t="n">
        <v>28.32</v>
      </c>
      <c r="I828" s="22" t="s">
        <v>601</v>
      </c>
      <c r="J828" s="22" t="s">
        <v>4102</v>
      </c>
      <c r="K828" s="63" t="n">
        <v>13.4905995462661</v>
      </c>
      <c r="L828" s="22" t="s">
        <v>2846</v>
      </c>
      <c r="M828" s="22" t="n">
        <v>1</v>
      </c>
      <c r="N828" s="22" t="s">
        <v>5587</v>
      </c>
    </row>
    <row r="829" customFormat="false" ht="15" hidden="false" customHeight="false" outlineLevel="0" collapsed="false">
      <c r="A829" s="22" t="s">
        <v>5589</v>
      </c>
      <c r="B829" s="22" t="s">
        <v>5403</v>
      </c>
      <c r="C829" s="22" t="s">
        <v>3478</v>
      </c>
      <c r="D829" s="22" t="s">
        <v>5546</v>
      </c>
      <c r="E829" s="22" t="s">
        <v>4657</v>
      </c>
      <c r="F829" s="22" t="s">
        <v>5453</v>
      </c>
      <c r="G829" s="22" t="s">
        <v>4125</v>
      </c>
      <c r="H829" s="63" t="n">
        <v>35.7</v>
      </c>
      <c r="I829" s="22" t="s">
        <v>601</v>
      </c>
      <c r="J829" s="22" t="s">
        <v>4102</v>
      </c>
      <c r="K829" s="63" t="n">
        <v>17.0061583263312</v>
      </c>
      <c r="L829" s="22" t="s">
        <v>2846</v>
      </c>
      <c r="M829" s="22" t="n">
        <v>1</v>
      </c>
      <c r="N829" s="22" t="s">
        <v>5587</v>
      </c>
    </row>
    <row r="830" customFormat="false" ht="15" hidden="false" customHeight="false" outlineLevel="0" collapsed="false">
      <c r="A830" s="22" t="s">
        <v>5590</v>
      </c>
      <c r="B830" s="22" t="s">
        <v>5403</v>
      </c>
      <c r="C830" s="22" t="s">
        <v>3478</v>
      </c>
      <c r="D830" s="22" t="s">
        <v>5546</v>
      </c>
      <c r="E830" s="22" t="s">
        <v>4657</v>
      </c>
      <c r="F830" s="22" t="s">
        <v>5455</v>
      </c>
      <c r="G830" s="22" t="s">
        <v>4125</v>
      </c>
      <c r="H830" s="63" t="n">
        <v>47.33</v>
      </c>
      <c r="I830" s="22" t="s">
        <v>601</v>
      </c>
      <c r="J830" s="22" t="s">
        <v>4102</v>
      </c>
      <c r="K830" s="63" t="n">
        <v>22.5462597642929</v>
      </c>
      <c r="L830" s="22" t="s">
        <v>2846</v>
      </c>
      <c r="M830" s="22" t="n">
        <v>3</v>
      </c>
      <c r="N830" s="22" t="s">
        <v>5587</v>
      </c>
    </row>
    <row r="831" customFormat="false" ht="15" hidden="false" customHeight="false" outlineLevel="0" collapsed="false">
      <c r="A831" s="22" t="s">
        <v>5591</v>
      </c>
      <c r="B831" s="22" t="s">
        <v>5403</v>
      </c>
      <c r="C831" s="22" t="s">
        <v>3478</v>
      </c>
      <c r="D831" s="22" t="s">
        <v>5546</v>
      </c>
      <c r="E831" s="22" t="s">
        <v>4657</v>
      </c>
      <c r="F831" s="22" t="s">
        <v>5457</v>
      </c>
      <c r="G831" s="22" t="s">
        <v>4125</v>
      </c>
      <c r="H831" s="63" t="n">
        <v>52.09</v>
      </c>
      <c r="I831" s="22" t="s">
        <v>601</v>
      </c>
      <c r="J831" s="22" t="s">
        <v>4102</v>
      </c>
      <c r="K831" s="63" t="n">
        <v>24.813747541137</v>
      </c>
      <c r="L831" s="22" t="s">
        <v>2550</v>
      </c>
      <c r="M831" s="22" t="n">
        <v>3</v>
      </c>
      <c r="N831" s="22" t="s">
        <v>5587</v>
      </c>
    </row>
    <row r="832" customFormat="false" ht="15" hidden="false" customHeight="false" outlineLevel="0" collapsed="false">
      <c r="A832" s="22" t="s">
        <v>5592</v>
      </c>
      <c r="B832" s="22" t="s">
        <v>5403</v>
      </c>
      <c r="C832" s="22" t="s">
        <v>3478</v>
      </c>
      <c r="D832" s="22" t="s">
        <v>5546</v>
      </c>
      <c r="E832" s="22" t="s">
        <v>4657</v>
      </c>
      <c r="F832" s="22" t="s">
        <v>5593</v>
      </c>
      <c r="G832" s="22" t="s">
        <v>4125</v>
      </c>
      <c r="H832" s="63" t="n">
        <v>6.58</v>
      </c>
      <c r="I832" s="22" t="s">
        <v>601</v>
      </c>
      <c r="J832" s="22" t="s">
        <v>4102</v>
      </c>
      <c r="K832" s="63" t="n">
        <v>3.13446839740222</v>
      </c>
      <c r="L832" s="22" t="s">
        <v>2730</v>
      </c>
      <c r="M832" s="22" t="n">
        <v>12</v>
      </c>
      <c r="N832" s="22" t="s">
        <v>5594</v>
      </c>
    </row>
    <row r="833" customFormat="false" ht="15" hidden="false" customHeight="false" outlineLevel="0" collapsed="false">
      <c r="A833" s="22" t="s">
        <v>5595</v>
      </c>
      <c r="B833" s="22" t="s">
        <v>5403</v>
      </c>
      <c r="C833" s="22" t="s">
        <v>3478</v>
      </c>
      <c r="D833" s="22" t="s">
        <v>5546</v>
      </c>
      <c r="E833" s="22" t="s">
        <v>4657</v>
      </c>
      <c r="F833" s="22" t="s">
        <v>5596</v>
      </c>
      <c r="G833" s="22" t="s">
        <v>4125</v>
      </c>
      <c r="H833" s="63" t="n">
        <v>8</v>
      </c>
      <c r="I833" s="22" t="s">
        <v>601</v>
      </c>
      <c r="J833" s="22" t="s">
        <v>4102</v>
      </c>
      <c r="K833" s="63" t="n">
        <v>3.81090382662884</v>
      </c>
      <c r="L833" s="22" t="s">
        <v>2730</v>
      </c>
      <c r="M833" s="22" t="n">
        <v>15</v>
      </c>
      <c r="N833" s="22" t="s">
        <v>5594</v>
      </c>
    </row>
    <row r="834" customFormat="false" ht="15" hidden="false" customHeight="false" outlineLevel="0" collapsed="false">
      <c r="A834" s="22" t="s">
        <v>5597</v>
      </c>
      <c r="B834" s="22" t="s">
        <v>5403</v>
      </c>
      <c r="C834" s="22" t="s">
        <v>3478</v>
      </c>
      <c r="D834" s="22" t="s">
        <v>5546</v>
      </c>
      <c r="E834" s="22" t="s">
        <v>4657</v>
      </c>
      <c r="F834" s="22" t="s">
        <v>5598</v>
      </c>
      <c r="G834" s="22" t="s">
        <v>4125</v>
      </c>
      <c r="H834" s="63" t="n">
        <v>10.3</v>
      </c>
      <c r="I834" s="22" t="s">
        <v>601</v>
      </c>
      <c r="J834" s="22" t="s">
        <v>4102</v>
      </c>
      <c r="K834" s="63" t="n">
        <v>4.90653867678463</v>
      </c>
      <c r="L834" s="22" t="s">
        <v>2730</v>
      </c>
      <c r="M834" s="22" t="n">
        <v>5</v>
      </c>
      <c r="N834" s="22" t="s">
        <v>5594</v>
      </c>
    </row>
    <row r="835" customFormat="false" ht="15" hidden="false" customHeight="false" outlineLevel="0" collapsed="false">
      <c r="A835" s="22" t="s">
        <v>5599</v>
      </c>
      <c r="B835" s="22" t="s">
        <v>5403</v>
      </c>
      <c r="C835" s="22" t="s">
        <v>3478</v>
      </c>
      <c r="D835" s="22" t="s">
        <v>5546</v>
      </c>
      <c r="E835" s="22" t="s">
        <v>4657</v>
      </c>
      <c r="F835" s="22" t="s">
        <v>5600</v>
      </c>
      <c r="G835" s="22" t="s">
        <v>4125</v>
      </c>
      <c r="H835" s="63" t="n">
        <v>13.49</v>
      </c>
      <c r="I835" s="22" t="s">
        <v>601</v>
      </c>
      <c r="J835" s="22" t="s">
        <v>4102</v>
      </c>
      <c r="K835" s="63" t="n">
        <v>6.42613657765288</v>
      </c>
      <c r="L835" s="22" t="s">
        <v>2730</v>
      </c>
      <c r="M835" s="22" t="n">
        <v>1</v>
      </c>
      <c r="N835" s="22" t="s">
        <v>5594</v>
      </c>
    </row>
    <row r="836" customFormat="false" ht="15" hidden="false" customHeight="false" outlineLevel="0" collapsed="false">
      <c r="A836" s="22" t="s">
        <v>5601</v>
      </c>
      <c r="B836" s="22" t="s">
        <v>5403</v>
      </c>
      <c r="C836" s="22" t="s">
        <v>3478</v>
      </c>
      <c r="D836" s="22" t="s">
        <v>5546</v>
      </c>
      <c r="E836" s="22" t="s">
        <v>4657</v>
      </c>
      <c r="F836" s="22" t="s">
        <v>5602</v>
      </c>
      <c r="G836" s="22" t="s">
        <v>4125</v>
      </c>
      <c r="H836" s="63" t="n">
        <v>18.48</v>
      </c>
      <c r="I836" s="22" t="s">
        <v>601</v>
      </c>
      <c r="J836" s="22" t="s">
        <v>4102</v>
      </c>
      <c r="K836" s="63" t="n">
        <v>8.80318783951262</v>
      </c>
      <c r="L836" s="22" t="s">
        <v>2730</v>
      </c>
      <c r="M836" s="22" t="n">
        <v>1</v>
      </c>
      <c r="N836" s="22" t="s">
        <v>5594</v>
      </c>
    </row>
    <row r="837" customFormat="false" ht="15" hidden="false" customHeight="false" outlineLevel="0" collapsed="false">
      <c r="A837" s="22" t="s">
        <v>5603</v>
      </c>
      <c r="B837" s="22" t="s">
        <v>5403</v>
      </c>
      <c r="C837" s="22" t="s">
        <v>3478</v>
      </c>
      <c r="D837" s="22" t="s">
        <v>5546</v>
      </c>
      <c r="E837" s="22" t="s">
        <v>4657</v>
      </c>
      <c r="F837" s="22" t="s">
        <v>5469</v>
      </c>
      <c r="G837" s="22" t="s">
        <v>4125</v>
      </c>
      <c r="H837" s="63" t="n">
        <v>9.74</v>
      </c>
      <c r="I837" s="22" t="s">
        <v>601</v>
      </c>
      <c r="J837" s="22" t="s">
        <v>4102</v>
      </c>
      <c r="K837" s="63" t="n">
        <v>4.63977540892061</v>
      </c>
      <c r="L837" s="22" t="s">
        <v>2819</v>
      </c>
      <c r="M837" s="22" t="n">
        <v>1</v>
      </c>
      <c r="N837" s="22" t="s">
        <v>5549</v>
      </c>
    </row>
    <row r="838" customFormat="false" ht="15" hidden="false" customHeight="false" outlineLevel="0" collapsed="false">
      <c r="A838" s="22" t="s">
        <v>5604</v>
      </c>
      <c r="B838" s="22" t="s">
        <v>5403</v>
      </c>
      <c r="C838" s="22" t="s">
        <v>3478</v>
      </c>
      <c r="D838" s="22" t="s">
        <v>5546</v>
      </c>
      <c r="E838" s="22" t="s">
        <v>4657</v>
      </c>
      <c r="F838" s="22" t="s">
        <v>5471</v>
      </c>
      <c r="G838" s="22" t="s">
        <v>4125</v>
      </c>
      <c r="H838" s="63" t="n">
        <v>11.81</v>
      </c>
      <c r="I838" s="22" t="s">
        <v>601</v>
      </c>
      <c r="J838" s="22" t="s">
        <v>4102</v>
      </c>
      <c r="K838" s="63" t="n">
        <v>5.62584677406082</v>
      </c>
      <c r="L838" s="22" t="s">
        <v>2819</v>
      </c>
      <c r="M838" s="22" t="n">
        <v>4</v>
      </c>
      <c r="N838" s="22" t="s">
        <v>5549</v>
      </c>
    </row>
    <row r="839" customFormat="false" ht="15" hidden="false" customHeight="false" outlineLevel="0" collapsed="false">
      <c r="A839" s="22" t="s">
        <v>5605</v>
      </c>
      <c r="B839" s="22" t="s">
        <v>5403</v>
      </c>
      <c r="C839" s="22" t="s">
        <v>3478</v>
      </c>
      <c r="D839" s="22" t="s">
        <v>5546</v>
      </c>
      <c r="E839" s="22" t="s">
        <v>4657</v>
      </c>
      <c r="F839" s="22" t="s">
        <v>5473</v>
      </c>
      <c r="G839" s="22" t="s">
        <v>4125</v>
      </c>
      <c r="H839" s="63" t="n">
        <v>16.65</v>
      </c>
      <c r="I839" s="22" t="s">
        <v>601</v>
      </c>
      <c r="J839" s="22" t="s">
        <v>4102</v>
      </c>
      <c r="K839" s="63" t="n">
        <v>7.93144358917127</v>
      </c>
      <c r="L839" s="22" t="s">
        <v>2819</v>
      </c>
      <c r="M839" s="22" t="n">
        <v>21</v>
      </c>
      <c r="N839" s="22" t="s">
        <v>5549</v>
      </c>
    </row>
    <row r="840" customFormat="false" ht="15" hidden="false" customHeight="false" outlineLevel="0" collapsed="false">
      <c r="A840" s="22" t="s">
        <v>5606</v>
      </c>
      <c r="B840" s="22" t="s">
        <v>5403</v>
      </c>
      <c r="C840" s="22" t="s">
        <v>3478</v>
      </c>
      <c r="D840" s="22" t="s">
        <v>5546</v>
      </c>
      <c r="E840" s="22" t="s">
        <v>4657</v>
      </c>
      <c r="F840" s="22" t="s">
        <v>5475</v>
      </c>
      <c r="G840" s="22" t="s">
        <v>4125</v>
      </c>
      <c r="H840" s="63" t="n">
        <v>21.53</v>
      </c>
      <c r="I840" s="22" t="s">
        <v>601</v>
      </c>
      <c r="J840" s="22" t="s">
        <v>4102</v>
      </c>
      <c r="K840" s="63" t="n">
        <v>10.2560949234149</v>
      </c>
      <c r="L840" s="22" t="s">
        <v>2819</v>
      </c>
      <c r="M840" s="22" t="n">
        <v>4</v>
      </c>
      <c r="N840" s="22" t="s">
        <v>5549</v>
      </c>
    </row>
    <row r="841" customFormat="false" ht="15" hidden="false" customHeight="false" outlineLevel="0" collapsed="false">
      <c r="A841" s="22" t="s">
        <v>5607</v>
      </c>
      <c r="B841" s="22" t="s">
        <v>5403</v>
      </c>
      <c r="C841" s="22" t="s">
        <v>3478</v>
      </c>
      <c r="D841" s="22" t="s">
        <v>5546</v>
      </c>
      <c r="E841" s="22" t="s">
        <v>4657</v>
      </c>
      <c r="F841" s="22" t="s">
        <v>5608</v>
      </c>
      <c r="G841" s="22" t="s">
        <v>4125</v>
      </c>
      <c r="H841" s="63" t="n">
        <v>31.25</v>
      </c>
      <c r="I841" s="22" t="s">
        <v>601</v>
      </c>
      <c r="J841" s="22" t="s">
        <v>4102</v>
      </c>
      <c r="K841" s="63" t="n">
        <v>14.8863430727689</v>
      </c>
      <c r="L841" s="22"/>
      <c r="M841" s="22" t="n">
        <v>1</v>
      </c>
      <c r="N841" s="22" t="s">
        <v>5549</v>
      </c>
    </row>
    <row r="842" customFormat="false" ht="15" hidden="false" customHeight="false" outlineLevel="0" collapsed="false">
      <c r="A842" s="22" t="s">
        <v>5609</v>
      </c>
      <c r="B842" s="22" t="s">
        <v>5403</v>
      </c>
      <c r="C842" s="22" t="s">
        <v>3478</v>
      </c>
      <c r="D842" s="22" t="s">
        <v>5546</v>
      </c>
      <c r="E842" s="22" t="s">
        <v>4657</v>
      </c>
      <c r="F842" s="22" t="s">
        <v>5477</v>
      </c>
      <c r="G842" s="22" t="s">
        <v>4125</v>
      </c>
      <c r="H842" s="63" t="n">
        <v>46.1</v>
      </c>
      <c r="I842" s="22" t="s">
        <v>601</v>
      </c>
      <c r="J842" s="22" t="s">
        <v>4102</v>
      </c>
      <c r="K842" s="63" t="n">
        <v>21.9603333009487</v>
      </c>
      <c r="L842" s="22"/>
      <c r="M842" s="22" t="n">
        <v>1</v>
      </c>
      <c r="N842" s="22" t="s">
        <v>5549</v>
      </c>
    </row>
    <row r="843" customFormat="false" ht="15" hidden="false" customHeight="false" outlineLevel="0" collapsed="false">
      <c r="A843" s="22" t="s">
        <v>5610</v>
      </c>
      <c r="B843" s="22" t="s">
        <v>5403</v>
      </c>
      <c r="C843" s="22" t="s">
        <v>3478</v>
      </c>
      <c r="D843" s="22" t="s">
        <v>5546</v>
      </c>
      <c r="E843" s="22" t="s">
        <v>4657</v>
      </c>
      <c r="F843" s="22" t="s">
        <v>5611</v>
      </c>
      <c r="G843" s="22" t="s">
        <v>4114</v>
      </c>
      <c r="H843" s="63" t="n">
        <v>192</v>
      </c>
      <c r="I843" s="22" t="s">
        <v>112</v>
      </c>
      <c r="J843" s="22" t="s">
        <v>4102</v>
      </c>
      <c r="K843" s="63" t="n">
        <v>255.370189783929</v>
      </c>
      <c r="L843" s="22" t="s">
        <v>2730</v>
      </c>
      <c r="M843" s="22" t="n">
        <v>1</v>
      </c>
      <c r="N843" s="22" t="s">
        <v>5549</v>
      </c>
    </row>
    <row r="844" customFormat="false" ht="15" hidden="false" customHeight="false" outlineLevel="0" collapsed="false">
      <c r="A844" s="22" t="s">
        <v>5612</v>
      </c>
      <c r="B844" s="22" t="s">
        <v>5403</v>
      </c>
      <c r="C844" s="22" t="s">
        <v>3478</v>
      </c>
      <c r="D844" s="22" t="s">
        <v>5546</v>
      </c>
      <c r="E844" s="22" t="s">
        <v>4657</v>
      </c>
      <c r="F844" s="22" t="s">
        <v>5613</v>
      </c>
      <c r="G844" s="22" t="s">
        <v>4114</v>
      </c>
      <c r="H844" s="63" t="n">
        <v>654.6</v>
      </c>
      <c r="I844" s="22" t="s">
        <v>112</v>
      </c>
      <c r="J844" s="22" t="s">
        <v>4102</v>
      </c>
      <c r="K844" s="63" t="n">
        <v>870.652740794583</v>
      </c>
      <c r="L844" s="22" t="s">
        <v>2458</v>
      </c>
      <c r="M844" s="22" t="n">
        <v>1</v>
      </c>
      <c r="N844" s="22" t="s">
        <v>5549</v>
      </c>
    </row>
    <row r="845" customFormat="false" ht="15" hidden="false" customHeight="false" outlineLevel="0" collapsed="false">
      <c r="A845" s="22" t="s">
        <v>5614</v>
      </c>
      <c r="B845" s="22" t="s">
        <v>5403</v>
      </c>
      <c r="C845" s="22" t="s">
        <v>3478</v>
      </c>
      <c r="D845" s="22" t="s">
        <v>5546</v>
      </c>
      <c r="E845" s="22" t="s">
        <v>4657</v>
      </c>
      <c r="F845" s="22" t="s">
        <v>5615</v>
      </c>
      <c r="G845" s="22" t="s">
        <v>4114</v>
      </c>
      <c r="H845" s="63" t="n">
        <v>1095.14</v>
      </c>
      <c r="I845" s="22" t="s">
        <v>112</v>
      </c>
      <c r="J845" s="22" t="s">
        <v>4102</v>
      </c>
      <c r="K845" s="63" t="n">
        <v>1456.59432104152</v>
      </c>
      <c r="L845" s="22" t="s">
        <v>2458</v>
      </c>
      <c r="M845" s="22" t="n">
        <v>1</v>
      </c>
      <c r="N845" s="22" t="s">
        <v>5549</v>
      </c>
    </row>
    <row r="846" customFormat="false" ht="15" hidden="false" customHeight="false" outlineLevel="0" collapsed="false">
      <c r="A846" s="22" t="s">
        <v>5616</v>
      </c>
      <c r="B846" s="22" t="s">
        <v>5403</v>
      </c>
      <c r="C846" s="22" t="s">
        <v>3478</v>
      </c>
      <c r="D846" s="22" t="s">
        <v>5546</v>
      </c>
      <c r="E846" s="22" t="s">
        <v>4657</v>
      </c>
      <c r="F846" s="22" t="s">
        <v>5617</v>
      </c>
      <c r="G846" s="22" t="s">
        <v>4114</v>
      </c>
      <c r="H846" s="63" t="n">
        <v>1095.14</v>
      </c>
      <c r="I846" s="22" t="s">
        <v>112</v>
      </c>
      <c r="J846" s="22" t="s">
        <v>4102</v>
      </c>
      <c r="K846" s="63" t="n">
        <v>1456.59432104152</v>
      </c>
      <c r="L846" s="22" t="s">
        <v>2458</v>
      </c>
      <c r="M846" s="22" t="n">
        <v>1</v>
      </c>
      <c r="N846" s="22" t="s">
        <v>5549</v>
      </c>
    </row>
    <row r="847" customFormat="false" ht="15" hidden="false" customHeight="false" outlineLevel="0" collapsed="false">
      <c r="A847" s="22" t="s">
        <v>5618</v>
      </c>
      <c r="B847" s="22" t="s">
        <v>5403</v>
      </c>
      <c r="C847" s="22" t="s">
        <v>3478</v>
      </c>
      <c r="D847" s="22" t="s">
        <v>5546</v>
      </c>
      <c r="E847" s="22" t="s">
        <v>4657</v>
      </c>
      <c r="F847" s="22" t="s">
        <v>5619</v>
      </c>
      <c r="G847" s="22" t="s">
        <v>4114</v>
      </c>
      <c r="H847" s="63" t="n">
        <v>30.7</v>
      </c>
      <c r="I847" s="22" t="s">
        <v>112</v>
      </c>
      <c r="J847" s="22" t="s">
        <v>4102</v>
      </c>
      <c r="K847" s="63" t="n">
        <v>40.8326293039928</v>
      </c>
      <c r="L847" s="22" t="s">
        <v>2458</v>
      </c>
      <c r="M847" s="22" t="n">
        <v>3</v>
      </c>
      <c r="N847" s="22" t="s">
        <v>5549</v>
      </c>
    </row>
    <row r="848" customFormat="false" ht="15" hidden="false" customHeight="false" outlineLevel="0" collapsed="false">
      <c r="A848" s="22" t="s">
        <v>5620</v>
      </c>
      <c r="B848" s="22" t="s">
        <v>5403</v>
      </c>
      <c r="C848" s="22" t="s">
        <v>3478</v>
      </c>
      <c r="D848" s="22" t="s">
        <v>5546</v>
      </c>
      <c r="E848" s="22" t="s">
        <v>4657</v>
      </c>
      <c r="F848" s="22" t="s">
        <v>5621</v>
      </c>
      <c r="G848" s="22" t="s">
        <v>4114</v>
      </c>
      <c r="H848" s="63" t="n">
        <v>807.6</v>
      </c>
      <c r="I848" s="22" t="s">
        <v>112</v>
      </c>
      <c r="J848" s="22" t="s">
        <v>4102</v>
      </c>
      <c r="K848" s="63" t="n">
        <v>1074.15086077865</v>
      </c>
      <c r="L848" s="22" t="s">
        <v>2448</v>
      </c>
      <c r="M848" s="22" t="n">
        <v>4</v>
      </c>
      <c r="N848" s="22" t="s">
        <v>5549</v>
      </c>
    </row>
    <row r="849" customFormat="false" ht="15" hidden="false" customHeight="false" outlineLevel="0" collapsed="false">
      <c r="A849" s="22" t="s">
        <v>5622</v>
      </c>
      <c r="B849" s="22" t="s">
        <v>5403</v>
      </c>
      <c r="C849" s="22" t="s">
        <v>3478</v>
      </c>
      <c r="D849" s="22" t="s">
        <v>5546</v>
      </c>
      <c r="E849" s="22" t="s">
        <v>4657</v>
      </c>
      <c r="F849" s="22" t="s">
        <v>5623</v>
      </c>
      <c r="G849" s="22" t="s">
        <v>4114</v>
      </c>
      <c r="H849" s="63" t="n">
        <v>3168</v>
      </c>
      <c r="I849" s="22" t="s">
        <v>112</v>
      </c>
      <c r="J849" s="22" t="s">
        <v>4102</v>
      </c>
      <c r="K849" s="63" t="n">
        <v>4213.60813143483</v>
      </c>
      <c r="L849" s="22" t="s">
        <v>2458</v>
      </c>
      <c r="M849" s="22" t="n">
        <v>3</v>
      </c>
      <c r="N849" s="22" t="s">
        <v>5549</v>
      </c>
    </row>
    <row r="850" customFormat="false" ht="15" hidden="false" customHeight="false" outlineLevel="0" collapsed="false">
      <c r="A850" s="22" t="s">
        <v>5624</v>
      </c>
      <c r="B850" s="22" t="s">
        <v>5403</v>
      </c>
      <c r="C850" s="22" t="s">
        <v>3478</v>
      </c>
      <c r="D850" s="22" t="s">
        <v>5546</v>
      </c>
      <c r="E850" s="22" t="s">
        <v>4657</v>
      </c>
      <c r="F850" s="22" t="s">
        <v>5625</v>
      </c>
      <c r="G850" s="22" t="s">
        <v>5245</v>
      </c>
      <c r="H850" s="63" t="n">
        <v>92</v>
      </c>
      <c r="I850" s="22" t="s">
        <v>601</v>
      </c>
      <c r="J850" s="22" t="s">
        <v>4102</v>
      </c>
      <c r="K850" s="63" t="n">
        <v>43.8253940062316</v>
      </c>
      <c r="L850" s="22" t="s">
        <v>2458</v>
      </c>
      <c r="M850" s="22" t="n">
        <v>5</v>
      </c>
      <c r="N850" s="22" t="s">
        <v>5626</v>
      </c>
    </row>
    <row r="851" customFormat="false" ht="15" hidden="false" customHeight="false" outlineLevel="0" collapsed="false">
      <c r="A851" s="22" t="s">
        <v>5627</v>
      </c>
      <c r="B851" s="22" t="s">
        <v>5403</v>
      </c>
      <c r="C851" s="22" t="s">
        <v>3478</v>
      </c>
      <c r="D851" s="22" t="s">
        <v>5546</v>
      </c>
      <c r="E851" s="22" t="s">
        <v>4657</v>
      </c>
      <c r="F851" s="22" t="s">
        <v>5628</v>
      </c>
      <c r="G851" s="22" t="s">
        <v>5245</v>
      </c>
      <c r="H851" s="63" t="n">
        <v>98</v>
      </c>
      <c r="I851" s="22" t="s">
        <v>601</v>
      </c>
      <c r="J851" s="22" t="s">
        <v>4102</v>
      </c>
      <c r="K851" s="63" t="n">
        <v>46.6835718762033</v>
      </c>
      <c r="L851" s="22" t="s">
        <v>2458</v>
      </c>
      <c r="M851" s="22" t="n">
        <v>5</v>
      </c>
      <c r="N851" s="22" t="s">
        <v>5549</v>
      </c>
    </row>
    <row r="852" customFormat="false" ht="15" hidden="false" customHeight="false" outlineLevel="0" collapsed="false">
      <c r="A852" s="22" t="s">
        <v>5629</v>
      </c>
      <c r="B852" s="22" t="s">
        <v>5403</v>
      </c>
      <c r="C852" s="22" t="s">
        <v>3478</v>
      </c>
      <c r="D852" s="22" t="s">
        <v>5546</v>
      </c>
      <c r="E852" s="22" t="s">
        <v>4657</v>
      </c>
      <c r="F852" s="22" t="s">
        <v>5630</v>
      </c>
      <c r="G852" s="22" t="s">
        <v>4114</v>
      </c>
      <c r="H852" s="63" t="n">
        <v>67</v>
      </c>
      <c r="I852" s="22" t="s">
        <v>601</v>
      </c>
      <c r="J852" s="22" t="s">
        <v>4102</v>
      </c>
      <c r="K852" s="63" t="n">
        <v>31.9163195480165</v>
      </c>
      <c r="L852" s="22" t="s">
        <v>2458</v>
      </c>
      <c r="M852" s="22" t="n">
        <v>2</v>
      </c>
      <c r="N852" s="22" t="s">
        <v>5549</v>
      </c>
    </row>
    <row r="853" customFormat="false" ht="15" hidden="false" customHeight="false" outlineLevel="0" collapsed="false">
      <c r="A853" s="22" t="s">
        <v>5631</v>
      </c>
      <c r="B853" s="22" t="s">
        <v>5403</v>
      </c>
      <c r="C853" s="22" t="s">
        <v>3478</v>
      </c>
      <c r="D853" s="22" t="s">
        <v>5546</v>
      </c>
      <c r="E853" s="22" t="s">
        <v>4657</v>
      </c>
      <c r="F853" s="22" t="s">
        <v>5632</v>
      </c>
      <c r="G853" s="22" t="s">
        <v>4114</v>
      </c>
      <c r="H853" s="63" t="n">
        <v>170</v>
      </c>
      <c r="I853" s="22" t="s">
        <v>601</v>
      </c>
      <c r="J853" s="22" t="s">
        <v>4102</v>
      </c>
      <c r="K853" s="63" t="n">
        <v>80.9817063158628</v>
      </c>
      <c r="L853" s="22" t="s">
        <v>2458</v>
      </c>
      <c r="M853" s="22" t="n">
        <v>3</v>
      </c>
      <c r="N853" s="22" t="s">
        <v>5549</v>
      </c>
    </row>
    <row r="854" customFormat="false" ht="15" hidden="false" customHeight="false" outlineLevel="0" collapsed="false">
      <c r="A854" s="22" t="s">
        <v>5633</v>
      </c>
      <c r="B854" s="22" t="s">
        <v>5403</v>
      </c>
      <c r="C854" s="22" t="s">
        <v>3478</v>
      </c>
      <c r="D854" s="22" t="s">
        <v>5546</v>
      </c>
      <c r="E854" s="22" t="s">
        <v>4657</v>
      </c>
      <c r="F854" s="22" t="s">
        <v>5634</v>
      </c>
      <c r="G854" s="22" t="s">
        <v>5245</v>
      </c>
      <c r="H854" s="63" t="n">
        <v>445</v>
      </c>
      <c r="I854" s="22" t="s">
        <v>601</v>
      </c>
      <c r="J854" s="22" t="s">
        <v>4102</v>
      </c>
      <c r="K854" s="63" t="n">
        <v>211.981525356229</v>
      </c>
      <c r="L854" s="22" t="s">
        <v>2458</v>
      </c>
      <c r="M854" s="22" t="n">
        <v>1</v>
      </c>
      <c r="N854" s="22" t="s">
        <v>5635</v>
      </c>
    </row>
    <row r="855" customFormat="false" ht="15" hidden="false" customHeight="false" outlineLevel="0" collapsed="false">
      <c r="A855" s="22" t="s">
        <v>5636</v>
      </c>
      <c r="B855" s="22" t="s">
        <v>5403</v>
      </c>
      <c r="C855" s="22" t="s">
        <v>3478</v>
      </c>
      <c r="D855" s="22" t="s">
        <v>5546</v>
      </c>
      <c r="E855" s="22" t="s">
        <v>4657</v>
      </c>
      <c r="F855" s="22" t="s">
        <v>5637</v>
      </c>
      <c r="G855" s="22" t="s">
        <v>4114</v>
      </c>
      <c r="H855" s="63" t="n">
        <v>15628.8</v>
      </c>
      <c r="I855" s="22" t="s">
        <v>112</v>
      </c>
      <c r="J855" s="22" t="s">
        <v>4102</v>
      </c>
      <c r="K855" s="63" t="n">
        <v>20787.1334484118</v>
      </c>
      <c r="L855" s="22" t="s">
        <v>2335</v>
      </c>
      <c r="M855" s="22" t="n">
        <v>3</v>
      </c>
      <c r="N855" s="22" t="s">
        <v>5549</v>
      </c>
    </row>
    <row r="856" customFormat="false" ht="15" hidden="false" customHeight="false" outlineLevel="0" collapsed="false">
      <c r="A856" s="22" t="s">
        <v>5638</v>
      </c>
      <c r="B856" s="22" t="s">
        <v>5403</v>
      </c>
      <c r="C856" s="22" t="s">
        <v>3478</v>
      </c>
      <c r="D856" s="22" t="s">
        <v>5546</v>
      </c>
      <c r="E856" s="22" t="s">
        <v>4657</v>
      </c>
      <c r="F856" s="22" t="s">
        <v>5639</v>
      </c>
      <c r="G856" s="22" t="s">
        <v>4114</v>
      </c>
      <c r="H856" s="63" t="n">
        <v>687.48</v>
      </c>
      <c r="I856" s="22" t="s">
        <v>112</v>
      </c>
      <c r="J856" s="22" t="s">
        <v>4102</v>
      </c>
      <c r="K856" s="63" t="n">
        <v>914.384885795081</v>
      </c>
      <c r="L856" s="22" t="s">
        <v>2367</v>
      </c>
      <c r="M856" s="22" t="n">
        <v>1</v>
      </c>
      <c r="N856" s="22" t="s">
        <v>5549</v>
      </c>
    </row>
    <row r="857" customFormat="false" ht="15" hidden="false" customHeight="false" outlineLevel="0" collapsed="false">
      <c r="A857" s="22" t="s">
        <v>5640</v>
      </c>
      <c r="B857" s="22" t="s">
        <v>5403</v>
      </c>
      <c r="C857" s="22" t="s">
        <v>3478</v>
      </c>
      <c r="D857" s="22" t="s">
        <v>5546</v>
      </c>
      <c r="E857" s="22" t="s">
        <v>4657</v>
      </c>
      <c r="F857" s="22" t="s">
        <v>5641</v>
      </c>
      <c r="G857" s="22" t="s">
        <v>4114</v>
      </c>
      <c r="H857" s="63" t="n">
        <v>714.36</v>
      </c>
      <c r="I857" s="22" t="s">
        <v>112</v>
      </c>
      <c r="J857" s="22" t="s">
        <v>4102</v>
      </c>
      <c r="K857" s="63" t="n">
        <v>950.136712364831</v>
      </c>
      <c r="L857" s="22" t="s">
        <v>2367</v>
      </c>
      <c r="M857" s="22" t="n">
        <v>1</v>
      </c>
      <c r="N857" s="22" t="s">
        <v>5549</v>
      </c>
    </row>
    <row r="858" customFormat="false" ht="15" hidden="false" customHeight="false" outlineLevel="0" collapsed="false">
      <c r="A858" s="22" t="s">
        <v>5642</v>
      </c>
      <c r="B858" s="22" t="s">
        <v>5403</v>
      </c>
      <c r="C858" s="22" t="s">
        <v>3478</v>
      </c>
      <c r="D858" s="22" t="s">
        <v>5546</v>
      </c>
      <c r="E858" s="22" t="s">
        <v>4657</v>
      </c>
      <c r="F858" s="22" t="s">
        <v>5643</v>
      </c>
      <c r="G858" s="22" t="s">
        <v>4114</v>
      </c>
      <c r="H858" s="63" t="n">
        <v>851.64</v>
      </c>
      <c r="I858" s="22" t="s">
        <v>112</v>
      </c>
      <c r="J858" s="22" t="s">
        <v>4102</v>
      </c>
      <c r="K858" s="63" t="n">
        <v>1132.72639806034</v>
      </c>
      <c r="L858" s="22" t="s">
        <v>2367</v>
      </c>
      <c r="M858" s="22" t="n">
        <v>1</v>
      </c>
      <c r="N858" s="22" t="s">
        <v>5549</v>
      </c>
    </row>
    <row r="859" customFormat="false" ht="15" hidden="false" customHeight="false" outlineLevel="0" collapsed="false">
      <c r="A859" s="22" t="s">
        <v>5644</v>
      </c>
      <c r="B859" s="22" t="s">
        <v>5403</v>
      </c>
      <c r="C859" s="22" t="s">
        <v>3478</v>
      </c>
      <c r="D859" s="22" t="s">
        <v>5546</v>
      </c>
      <c r="E859" s="22" t="s">
        <v>4657</v>
      </c>
      <c r="F859" s="22" t="s">
        <v>5645</v>
      </c>
      <c r="G859" s="22" t="s">
        <v>4114</v>
      </c>
      <c r="H859" s="63" t="n">
        <v>941.88</v>
      </c>
      <c r="I859" s="22" t="s">
        <v>112</v>
      </c>
      <c r="J859" s="22" t="s">
        <v>4102</v>
      </c>
      <c r="K859" s="63" t="n">
        <v>1252.75038725879</v>
      </c>
      <c r="L859" s="22" t="s">
        <v>2367</v>
      </c>
      <c r="M859" s="22" t="n">
        <v>2</v>
      </c>
      <c r="N859" s="22" t="s">
        <v>5646</v>
      </c>
    </row>
    <row r="860" customFormat="false" ht="15" hidden="false" customHeight="false" outlineLevel="0" collapsed="false">
      <c r="A860" s="22" t="s">
        <v>5647</v>
      </c>
      <c r="B860" s="22" t="s">
        <v>5403</v>
      </c>
      <c r="C860" s="22" t="s">
        <v>3478</v>
      </c>
      <c r="D860" s="22" t="s">
        <v>5546</v>
      </c>
      <c r="E860" s="22" t="s">
        <v>4657</v>
      </c>
      <c r="F860" s="22" t="s">
        <v>5648</v>
      </c>
      <c r="G860" s="22" t="s">
        <v>4114</v>
      </c>
      <c r="H860" s="63" t="n">
        <v>1141.56</v>
      </c>
      <c r="I860" s="22" t="s">
        <v>112</v>
      </c>
      <c r="J860" s="22" t="s">
        <v>4102</v>
      </c>
      <c r="K860" s="63" t="n">
        <v>1518.33538463407</v>
      </c>
      <c r="L860" s="22" t="s">
        <v>2335</v>
      </c>
      <c r="M860" s="22" t="n">
        <v>2</v>
      </c>
      <c r="N860" s="22" t="s">
        <v>5646</v>
      </c>
    </row>
    <row r="861" customFormat="false" ht="15" hidden="false" customHeight="false" outlineLevel="0" collapsed="false">
      <c r="A861" s="22" t="s">
        <v>5649</v>
      </c>
      <c r="B861" s="22" t="s">
        <v>5403</v>
      </c>
      <c r="C861" s="22" t="s">
        <v>3478</v>
      </c>
      <c r="D861" s="22" t="s">
        <v>5546</v>
      </c>
      <c r="E861" s="22" t="s">
        <v>4657</v>
      </c>
      <c r="F861" s="22" t="s">
        <v>5650</v>
      </c>
      <c r="G861" s="22" t="s">
        <v>4114</v>
      </c>
      <c r="H861" s="63" t="n">
        <v>57.6</v>
      </c>
      <c r="I861" s="22" t="s">
        <v>112</v>
      </c>
      <c r="J861" s="22" t="s">
        <v>4226</v>
      </c>
      <c r="K861" s="63" t="n">
        <v>76.6110569351787</v>
      </c>
      <c r="L861" s="22" t="s">
        <v>2367</v>
      </c>
      <c r="M861" s="22" t="n">
        <v>2</v>
      </c>
      <c r="N861" s="22" t="s">
        <v>5549</v>
      </c>
    </row>
    <row r="862" customFormat="false" ht="15" hidden="false" customHeight="false" outlineLevel="0" collapsed="false">
      <c r="A862" s="22" t="s">
        <v>5651</v>
      </c>
      <c r="B862" s="22" t="s">
        <v>5403</v>
      </c>
      <c r="C862" s="22" t="s">
        <v>3478</v>
      </c>
      <c r="D862" s="22" t="s">
        <v>5546</v>
      </c>
      <c r="E862" s="22" t="s">
        <v>4657</v>
      </c>
      <c r="F862" s="22" t="s">
        <v>5652</v>
      </c>
      <c r="G862" s="22" t="s">
        <v>4114</v>
      </c>
      <c r="H862" s="63" t="n">
        <v>664.32</v>
      </c>
      <c r="I862" s="22" t="s">
        <v>112</v>
      </c>
      <c r="J862" s="22" t="s">
        <v>4226</v>
      </c>
      <c r="K862" s="63" t="n">
        <v>883.580856652395</v>
      </c>
      <c r="L862" s="22" t="s">
        <v>2367</v>
      </c>
      <c r="M862" s="22" t="n">
        <v>1</v>
      </c>
      <c r="N862" s="22" t="s">
        <v>5549</v>
      </c>
    </row>
    <row r="863" customFormat="false" ht="15" hidden="false" customHeight="false" outlineLevel="0" collapsed="false">
      <c r="A863" s="22" t="s">
        <v>5653</v>
      </c>
      <c r="B863" s="22" t="s">
        <v>5403</v>
      </c>
      <c r="C863" s="22" t="s">
        <v>3478</v>
      </c>
      <c r="D863" s="22" t="s">
        <v>5546</v>
      </c>
      <c r="E863" s="22" t="s">
        <v>4657</v>
      </c>
      <c r="F863" s="22" t="s">
        <v>5525</v>
      </c>
      <c r="G863" s="22" t="s">
        <v>4125</v>
      </c>
      <c r="H863" s="63" t="n">
        <v>8.1</v>
      </c>
      <c r="I863" s="22" t="s">
        <v>112</v>
      </c>
      <c r="J863" s="22" t="s">
        <v>4102</v>
      </c>
      <c r="K863" s="63" t="n">
        <v>10.7734298815095</v>
      </c>
      <c r="L863" s="22" t="s">
        <v>2367</v>
      </c>
      <c r="M863" s="22" t="n">
        <v>17</v>
      </c>
      <c r="N863" s="22" t="s">
        <v>5654</v>
      </c>
    </row>
    <row r="864" customFormat="false" ht="15" hidden="false" customHeight="false" outlineLevel="0" collapsed="false">
      <c r="A864" s="22" t="s">
        <v>5655</v>
      </c>
      <c r="B864" s="22" t="s">
        <v>5403</v>
      </c>
      <c r="C864" s="22" t="s">
        <v>3478</v>
      </c>
      <c r="D864" s="22" t="s">
        <v>5546</v>
      </c>
      <c r="E864" s="22" t="s">
        <v>4657</v>
      </c>
      <c r="F864" s="22" t="s">
        <v>5656</v>
      </c>
      <c r="G864" s="22" t="s">
        <v>4125</v>
      </c>
      <c r="H864" s="63" t="n">
        <v>10.18</v>
      </c>
      <c r="I864" s="22" t="s">
        <v>112</v>
      </c>
      <c r="J864" s="22" t="s">
        <v>4102</v>
      </c>
      <c r="K864" s="63" t="n">
        <v>13.5399402708354</v>
      </c>
      <c r="L864" s="22" t="s">
        <v>2367</v>
      </c>
      <c r="M864" s="22" t="n">
        <v>17</v>
      </c>
      <c r="N864" s="22" t="s">
        <v>5654</v>
      </c>
    </row>
    <row r="865" customFormat="false" ht="15" hidden="false" customHeight="false" outlineLevel="0" collapsed="false">
      <c r="A865" s="22" t="s">
        <v>5657</v>
      </c>
      <c r="B865" s="22" t="s">
        <v>5403</v>
      </c>
      <c r="C865" s="22" t="s">
        <v>3478</v>
      </c>
      <c r="D865" s="22" t="s">
        <v>5546</v>
      </c>
      <c r="E865" s="22" t="s">
        <v>4657</v>
      </c>
      <c r="F865" s="22" t="s">
        <v>5528</v>
      </c>
      <c r="G865" s="22" t="s">
        <v>4125</v>
      </c>
      <c r="H865" s="63" t="n">
        <v>14.17</v>
      </c>
      <c r="I865" s="22" t="s">
        <v>112</v>
      </c>
      <c r="J865" s="22" t="s">
        <v>4102</v>
      </c>
      <c r="K865" s="63" t="n">
        <v>18.8468520272827</v>
      </c>
      <c r="L865" s="22" t="s">
        <v>2367</v>
      </c>
      <c r="M865" s="22" t="n">
        <v>17</v>
      </c>
      <c r="N865" s="22" t="s">
        <v>5654</v>
      </c>
    </row>
    <row r="866" customFormat="false" ht="15" hidden="false" customHeight="false" outlineLevel="0" collapsed="false">
      <c r="A866" s="22" t="s">
        <v>5658</v>
      </c>
      <c r="B866" s="22" t="s">
        <v>5403</v>
      </c>
      <c r="C866" s="22" t="s">
        <v>3478</v>
      </c>
      <c r="D866" s="22" t="s">
        <v>5546</v>
      </c>
      <c r="E866" s="22" t="s">
        <v>4657</v>
      </c>
      <c r="F866" s="22" t="s">
        <v>5659</v>
      </c>
      <c r="G866" s="22" t="s">
        <v>4125</v>
      </c>
      <c r="H866" s="63" t="n">
        <v>17.13</v>
      </c>
      <c r="I866" s="22" t="s">
        <v>112</v>
      </c>
      <c r="J866" s="22" t="s">
        <v>4102</v>
      </c>
      <c r="K866" s="63" t="n">
        <v>22.7838091197849</v>
      </c>
      <c r="L866" s="22" t="s">
        <v>2367</v>
      </c>
      <c r="M866" s="22" t="n">
        <v>18</v>
      </c>
      <c r="N866" s="22" t="s">
        <v>5654</v>
      </c>
    </row>
    <row r="867" customFormat="false" ht="15" hidden="false" customHeight="false" outlineLevel="0" collapsed="false">
      <c r="A867" s="22" t="s">
        <v>5660</v>
      </c>
      <c r="B867" s="22" t="s">
        <v>5403</v>
      </c>
      <c r="C867" s="22" t="s">
        <v>3478</v>
      </c>
      <c r="D867" s="22" t="s">
        <v>5546</v>
      </c>
      <c r="E867" s="22" t="s">
        <v>4657</v>
      </c>
      <c r="F867" s="22" t="s">
        <v>5661</v>
      </c>
      <c r="G867" s="22" t="s">
        <v>4125</v>
      </c>
      <c r="H867" s="63" t="n">
        <v>26.36</v>
      </c>
      <c r="I867" s="22" t="s">
        <v>112</v>
      </c>
      <c r="J867" s="22" t="s">
        <v>4102</v>
      </c>
      <c r="K867" s="63" t="n">
        <v>35.0601989724186</v>
      </c>
      <c r="L867" s="22" t="s">
        <v>2367</v>
      </c>
      <c r="M867" s="22" t="n">
        <v>17</v>
      </c>
      <c r="N867" s="22" t="s">
        <v>5654</v>
      </c>
    </row>
    <row r="868" customFormat="false" ht="15" hidden="false" customHeight="false" outlineLevel="0" collapsed="false">
      <c r="A868" s="22" t="s">
        <v>5662</v>
      </c>
      <c r="B868" s="22" t="s">
        <v>5403</v>
      </c>
      <c r="C868" s="22" t="s">
        <v>3478</v>
      </c>
      <c r="D868" s="22" t="s">
        <v>5546</v>
      </c>
      <c r="E868" s="22" t="s">
        <v>4657</v>
      </c>
      <c r="F868" s="22" t="s">
        <v>5532</v>
      </c>
      <c r="G868" s="22" t="s">
        <v>4125</v>
      </c>
      <c r="H868" s="63" t="n">
        <v>33.61</v>
      </c>
      <c r="I868" s="22" t="s">
        <v>112</v>
      </c>
      <c r="J868" s="22" t="s">
        <v>4102</v>
      </c>
      <c r="K868" s="63" t="n">
        <v>44.7030837429055</v>
      </c>
      <c r="L868" s="22" t="s">
        <v>2367</v>
      </c>
      <c r="M868" s="22" t="n">
        <v>17</v>
      </c>
      <c r="N868" s="22" t="s">
        <v>5654</v>
      </c>
    </row>
    <row r="869" customFormat="false" ht="15" hidden="false" customHeight="false" outlineLevel="0" collapsed="false">
      <c r="A869" s="22" t="s">
        <v>5663</v>
      </c>
      <c r="B869" s="22" t="s">
        <v>5403</v>
      </c>
      <c r="C869" s="22" t="s">
        <v>3478</v>
      </c>
      <c r="D869" s="22" t="s">
        <v>5546</v>
      </c>
      <c r="E869" s="22" t="s">
        <v>4657</v>
      </c>
      <c r="F869" s="22" t="s">
        <v>5664</v>
      </c>
      <c r="G869" s="22" t="s">
        <v>4125</v>
      </c>
      <c r="H869" s="63" t="n">
        <v>48.16</v>
      </c>
      <c r="I869" s="22" t="s">
        <v>112</v>
      </c>
      <c r="J869" s="22" t="s">
        <v>4102</v>
      </c>
      <c r="K869" s="63" t="n">
        <v>64.0553559374689</v>
      </c>
      <c r="L869" s="22" t="s">
        <v>2367</v>
      </c>
      <c r="M869" s="22" t="n">
        <v>17</v>
      </c>
      <c r="N869" s="22" t="s">
        <v>5654</v>
      </c>
    </row>
    <row r="870" customFormat="false" ht="15" hidden="false" customHeight="false" outlineLevel="0" collapsed="false">
      <c r="A870" s="22" t="s">
        <v>5665</v>
      </c>
      <c r="B870" s="22" t="s">
        <v>5403</v>
      </c>
      <c r="C870" s="22" t="s">
        <v>3478</v>
      </c>
      <c r="D870" s="22" t="s">
        <v>5546</v>
      </c>
      <c r="E870" s="22" t="s">
        <v>4657</v>
      </c>
      <c r="F870" s="22" t="s">
        <v>5534</v>
      </c>
      <c r="G870" s="22" t="s">
        <v>4125</v>
      </c>
      <c r="H870" s="63" t="n">
        <v>54.93</v>
      </c>
      <c r="I870" s="22" t="s">
        <v>112</v>
      </c>
      <c r="J870" s="22" t="s">
        <v>4102</v>
      </c>
      <c r="K870" s="63" t="n">
        <v>73.059815233496</v>
      </c>
      <c r="L870" s="22" t="s">
        <v>2367</v>
      </c>
      <c r="M870" s="22" t="n">
        <v>18</v>
      </c>
      <c r="N870" s="22" t="s">
        <v>5654</v>
      </c>
    </row>
    <row r="871" customFormat="false" ht="15" hidden="false" customHeight="false" outlineLevel="0" collapsed="false">
      <c r="A871" s="22" t="s">
        <v>5666</v>
      </c>
      <c r="B871" s="22" t="s">
        <v>5403</v>
      </c>
      <c r="C871" s="22" t="s">
        <v>3478</v>
      </c>
      <c r="D871" s="22" t="s">
        <v>5546</v>
      </c>
      <c r="E871" s="22" t="s">
        <v>4657</v>
      </c>
      <c r="F871" s="22" t="s">
        <v>5667</v>
      </c>
      <c r="G871" s="22" t="s">
        <v>5318</v>
      </c>
      <c r="H871" s="63" t="n">
        <v>58</v>
      </c>
      <c r="I871" s="22" t="s">
        <v>112</v>
      </c>
      <c r="J871" s="22" t="s">
        <v>4102</v>
      </c>
      <c r="K871" s="63" t="n">
        <v>77.1430781638952</v>
      </c>
      <c r="L871" s="22" t="s">
        <v>2367</v>
      </c>
      <c r="M871" s="22" t="n">
        <v>2</v>
      </c>
      <c r="N871" s="22" t="s">
        <v>5549</v>
      </c>
    </row>
    <row r="872" customFormat="false" ht="15" hidden="false" customHeight="false" outlineLevel="0" collapsed="false">
      <c r="A872" s="22" t="s">
        <v>5668</v>
      </c>
      <c r="B872" s="22" t="s">
        <v>5403</v>
      </c>
      <c r="C872" s="22" t="s">
        <v>3478</v>
      </c>
      <c r="D872" s="22" t="s">
        <v>5546</v>
      </c>
      <c r="E872" s="22" t="s">
        <v>4657</v>
      </c>
      <c r="F872" s="22" t="s">
        <v>5669</v>
      </c>
      <c r="G872" s="22" t="s">
        <v>5318</v>
      </c>
      <c r="H872" s="63" t="n">
        <v>91.8</v>
      </c>
      <c r="I872" s="22" t="s">
        <v>112</v>
      </c>
      <c r="J872" s="22" t="s">
        <v>4102</v>
      </c>
      <c r="K872" s="63" t="n">
        <v>122.098871990441</v>
      </c>
      <c r="L872" s="22" t="s">
        <v>2367</v>
      </c>
      <c r="M872" s="22" t="n">
        <v>2</v>
      </c>
      <c r="N872" s="22" t="s">
        <v>5549</v>
      </c>
    </row>
    <row r="873" customFormat="false" ht="15" hidden="false" customHeight="false" outlineLevel="0" collapsed="false">
      <c r="A873" s="22" t="s">
        <v>5670</v>
      </c>
      <c r="B873" s="22" t="s">
        <v>5403</v>
      </c>
      <c r="C873" s="22" t="s">
        <v>3478</v>
      </c>
      <c r="D873" s="22" t="s">
        <v>5546</v>
      </c>
      <c r="E873" s="22" t="s">
        <v>4657</v>
      </c>
      <c r="F873" s="22" t="s">
        <v>5671</v>
      </c>
      <c r="G873" s="22" t="s">
        <v>5318</v>
      </c>
      <c r="H873" s="63" t="n">
        <v>118.2</v>
      </c>
      <c r="I873" s="22" t="s">
        <v>112</v>
      </c>
      <c r="J873" s="22" t="s">
        <v>4102</v>
      </c>
      <c r="K873" s="63" t="n">
        <v>157.212273085731</v>
      </c>
      <c r="L873" s="22" t="s">
        <v>2335</v>
      </c>
      <c r="M873" s="22" t="n">
        <v>2</v>
      </c>
      <c r="N873" s="22" t="s">
        <v>5549</v>
      </c>
    </row>
    <row r="874" customFormat="false" ht="15" hidden="false" customHeight="false" outlineLevel="0" collapsed="false">
      <c r="A874" s="22" t="s">
        <v>5672</v>
      </c>
      <c r="B874" s="22" t="s">
        <v>5403</v>
      </c>
      <c r="C874" s="22" t="s">
        <v>3478</v>
      </c>
      <c r="D874" s="22" t="s">
        <v>5546</v>
      </c>
      <c r="E874" s="22" t="s">
        <v>4657</v>
      </c>
      <c r="F874" s="22" t="s">
        <v>5673</v>
      </c>
      <c r="G874" s="22" t="s">
        <v>4114</v>
      </c>
      <c r="H874" s="63" t="n">
        <v>8700</v>
      </c>
      <c r="I874" s="22" t="s">
        <v>112</v>
      </c>
      <c r="J874" s="22" t="s">
        <v>4102</v>
      </c>
      <c r="K874" s="63" t="n">
        <v>11571.4617245843</v>
      </c>
      <c r="L874" s="22" t="s">
        <v>2550</v>
      </c>
      <c r="M874" s="22" t="n">
        <v>1</v>
      </c>
      <c r="N874" s="22" t="s">
        <v>5674</v>
      </c>
    </row>
    <row r="875" customFormat="false" ht="15" hidden="false" customHeight="false" outlineLevel="0" collapsed="false">
      <c r="A875" s="22" t="s">
        <v>5675</v>
      </c>
      <c r="B875" s="22" t="s">
        <v>5676</v>
      </c>
      <c r="C875" s="22" t="s">
        <v>3431</v>
      </c>
      <c r="D875" s="22" t="s">
        <v>5677</v>
      </c>
      <c r="E875" s="22" t="s">
        <v>5678</v>
      </c>
      <c r="F875" s="22" t="s">
        <v>5679</v>
      </c>
      <c r="G875" s="22" t="s">
        <v>727</v>
      </c>
      <c r="H875" s="63" t="n">
        <v>13585.78</v>
      </c>
      <c r="I875" s="22" t="s">
        <v>113</v>
      </c>
      <c r="J875" s="22"/>
      <c r="K875" s="63" t="n">
        <v>13655.1746280572</v>
      </c>
      <c r="L875" s="22" t="s">
        <v>2550</v>
      </c>
      <c r="M875" s="22" t="n">
        <v>1</v>
      </c>
      <c r="N875" s="22" t="s">
        <v>5680</v>
      </c>
    </row>
    <row r="876" customFormat="false" ht="15" hidden="false" customHeight="false" outlineLevel="0" collapsed="false">
      <c r="A876" s="22" t="s">
        <v>5681</v>
      </c>
      <c r="B876" s="22" t="s">
        <v>5676</v>
      </c>
      <c r="C876" s="22" t="s">
        <v>3431</v>
      </c>
      <c r="D876" s="22" t="s">
        <v>5682</v>
      </c>
      <c r="E876" s="22" t="s">
        <v>5683</v>
      </c>
      <c r="F876" s="22" t="s">
        <v>5684</v>
      </c>
      <c r="G876" s="22" t="s">
        <v>727</v>
      </c>
      <c r="H876" s="63" t="n">
        <v>15390</v>
      </c>
      <c r="I876" s="22" t="s">
        <v>113</v>
      </c>
      <c r="J876" s="22"/>
      <c r="K876" s="63" t="n">
        <v>15540.4936876866</v>
      </c>
      <c r="L876" s="22" t="s">
        <v>2550</v>
      </c>
      <c r="M876" s="22" t="n">
        <v>1</v>
      </c>
      <c r="N876" s="22" t="s">
        <v>5685</v>
      </c>
    </row>
    <row r="877" customFormat="false" ht="15" hidden="false" customHeight="false" outlineLevel="0" collapsed="false">
      <c r="A877" s="22" t="s">
        <v>5686</v>
      </c>
      <c r="B877" s="22" t="s">
        <v>5676</v>
      </c>
      <c r="C877" s="22" t="s">
        <v>3431</v>
      </c>
      <c r="D877" s="22" t="s">
        <v>5687</v>
      </c>
      <c r="E877" s="22" t="s">
        <v>5688</v>
      </c>
      <c r="F877" s="22" t="s">
        <v>5689</v>
      </c>
      <c r="G877" s="22" t="s">
        <v>5398</v>
      </c>
      <c r="H877" s="63" t="n">
        <v>80</v>
      </c>
      <c r="I877" s="22" t="s">
        <v>601</v>
      </c>
      <c r="J877" s="22"/>
      <c r="K877" s="63" t="n">
        <v>45.634456799658</v>
      </c>
      <c r="L877" s="22" t="s">
        <v>2458</v>
      </c>
      <c r="M877" s="22" t="n">
        <v>1</v>
      </c>
      <c r="N877" s="22" t="s">
        <v>5690</v>
      </c>
    </row>
    <row r="878" customFormat="false" ht="15" hidden="false" customHeight="false" outlineLevel="0" collapsed="false">
      <c r="A878" s="22" t="s">
        <v>5691</v>
      </c>
      <c r="B878" s="22" t="s">
        <v>5676</v>
      </c>
      <c r="C878" s="22" t="s">
        <v>3431</v>
      </c>
      <c r="D878" s="22" t="s">
        <v>5687</v>
      </c>
      <c r="E878" s="22" t="s">
        <v>5688</v>
      </c>
      <c r="F878" s="22" t="s">
        <v>5692</v>
      </c>
      <c r="G878" s="22" t="s">
        <v>4005</v>
      </c>
      <c r="H878" s="63" t="n">
        <v>500</v>
      </c>
      <c r="I878" s="22" t="s">
        <v>601</v>
      </c>
      <c r="J878" s="22"/>
      <c r="K878" s="63" t="n">
        <v>285.215354997862</v>
      </c>
      <c r="L878" s="22" t="s">
        <v>2730</v>
      </c>
      <c r="M878" s="22" t="n">
        <v>1</v>
      </c>
      <c r="N878" s="22" t="s">
        <v>5693</v>
      </c>
    </row>
    <row r="879" customFormat="false" ht="15" hidden="false" customHeight="false" outlineLevel="0" collapsed="false">
      <c r="A879" s="22" t="s">
        <v>5694</v>
      </c>
      <c r="B879" s="22" t="s">
        <v>3785</v>
      </c>
      <c r="C879" s="22" t="s">
        <v>3478</v>
      </c>
      <c r="D879" s="22" t="s">
        <v>5695</v>
      </c>
      <c r="E879" s="22" t="s">
        <v>3787</v>
      </c>
      <c r="F879" s="22" t="s">
        <v>5696</v>
      </c>
      <c r="G879" s="22" t="s">
        <v>4841</v>
      </c>
      <c r="H879" s="63" t="n">
        <v>427</v>
      </c>
      <c r="I879" s="22" t="s">
        <v>112</v>
      </c>
      <c r="J879" s="22" t="s">
        <v>4102</v>
      </c>
      <c r="K879" s="63" t="n">
        <v>566.353661106146</v>
      </c>
      <c r="L879" s="22" t="s">
        <v>2730</v>
      </c>
      <c r="M879" s="22" t="n">
        <v>1</v>
      </c>
      <c r="N879" s="22" t="s">
        <v>5697</v>
      </c>
    </row>
    <row r="880" customFormat="false" ht="15" hidden="false" customHeight="false" outlineLevel="0" collapsed="false">
      <c r="A880" s="22" t="s">
        <v>5698</v>
      </c>
      <c r="B880" s="22" t="s">
        <v>3785</v>
      </c>
      <c r="C880" s="22" t="s">
        <v>3478</v>
      </c>
      <c r="D880" s="22" t="s">
        <v>5695</v>
      </c>
      <c r="E880" s="22" t="s">
        <v>3787</v>
      </c>
      <c r="F880" s="22" t="s">
        <v>5699</v>
      </c>
      <c r="G880" s="22" t="s">
        <v>4841</v>
      </c>
      <c r="H880" s="63" t="n">
        <v>265</v>
      </c>
      <c r="I880" s="22" t="s">
        <v>112</v>
      </c>
      <c r="J880" s="22" t="s">
        <v>4102</v>
      </c>
      <c r="K880" s="63" t="n">
        <v>351.484122232152</v>
      </c>
      <c r="L880" s="22" t="s">
        <v>2730</v>
      </c>
      <c r="M880" s="22" t="n">
        <v>1</v>
      </c>
      <c r="N880" s="22" t="s">
        <v>5697</v>
      </c>
    </row>
    <row r="881" customFormat="false" ht="15" hidden="false" customHeight="false" outlineLevel="0" collapsed="false">
      <c r="A881" s="22" t="s">
        <v>5700</v>
      </c>
      <c r="B881" s="22" t="s">
        <v>3785</v>
      </c>
      <c r="C881" s="22" t="s">
        <v>3478</v>
      </c>
      <c r="D881" s="22" t="s">
        <v>5695</v>
      </c>
      <c r="E881" s="22" t="s">
        <v>3787</v>
      </c>
      <c r="F881" s="22" t="s">
        <v>5701</v>
      </c>
      <c r="G881" s="22" t="s">
        <v>4841</v>
      </c>
      <c r="H881" s="63" t="n">
        <v>188.5</v>
      </c>
      <c r="I881" s="22" t="s">
        <v>601</v>
      </c>
      <c r="J881" s="22" t="s">
        <v>4102</v>
      </c>
      <c r="K881" s="63" t="n">
        <v>85.6577878228072</v>
      </c>
      <c r="L881" s="22" t="s">
        <v>2730</v>
      </c>
      <c r="M881" s="22" t="n">
        <v>3</v>
      </c>
      <c r="N881" s="22" t="s">
        <v>5702</v>
      </c>
    </row>
    <row r="882" customFormat="false" ht="15" hidden="false" customHeight="false" outlineLevel="0" collapsed="false">
      <c r="A882" s="22" t="s">
        <v>5703</v>
      </c>
      <c r="B882" s="22" t="s">
        <v>3785</v>
      </c>
      <c r="C882" s="22" t="s">
        <v>3478</v>
      </c>
      <c r="D882" s="22" t="s">
        <v>5695</v>
      </c>
      <c r="E882" s="22" t="s">
        <v>3787</v>
      </c>
      <c r="F882" s="22" t="s">
        <v>5704</v>
      </c>
      <c r="G882" s="22" t="s">
        <v>4841</v>
      </c>
      <c r="H882" s="63" t="n">
        <v>295</v>
      </c>
      <c r="I882" s="22" t="s">
        <v>601</v>
      </c>
      <c r="J882" s="22" t="s">
        <v>4102</v>
      </c>
      <c r="K882" s="63" t="n">
        <v>134.053301897762</v>
      </c>
      <c r="L882" s="22" t="s">
        <v>2730</v>
      </c>
      <c r="M882" s="22" t="n">
        <v>3</v>
      </c>
      <c r="N882" s="22" t="s">
        <v>5697</v>
      </c>
    </row>
    <row r="883" customFormat="false" ht="15" hidden="false" customHeight="false" outlineLevel="0" collapsed="false">
      <c r="A883" s="22" t="s">
        <v>5705</v>
      </c>
      <c r="B883" s="22" t="s">
        <v>3785</v>
      </c>
      <c r="C883" s="22" t="s">
        <v>3478</v>
      </c>
      <c r="D883" s="22" t="s">
        <v>5695</v>
      </c>
      <c r="E883" s="22" t="s">
        <v>3787</v>
      </c>
      <c r="F883" s="22" t="s">
        <v>5706</v>
      </c>
      <c r="G883" s="22" t="s">
        <v>4841</v>
      </c>
      <c r="H883" s="63" t="n">
        <v>310</v>
      </c>
      <c r="I883" s="22" t="s">
        <v>601</v>
      </c>
      <c r="J883" s="22" t="s">
        <v>4102</v>
      </c>
      <c r="K883" s="63" t="n">
        <v>140.869571485784</v>
      </c>
      <c r="L883" s="22" t="s">
        <v>2730</v>
      </c>
      <c r="M883" s="22" t="n">
        <v>1</v>
      </c>
      <c r="N883" s="22" t="s">
        <v>5707</v>
      </c>
    </row>
    <row r="884" customFormat="false" ht="15" hidden="false" customHeight="false" outlineLevel="0" collapsed="false">
      <c r="A884" s="22" t="s">
        <v>5708</v>
      </c>
      <c r="B884" s="22" t="s">
        <v>3785</v>
      </c>
      <c r="C884" s="22" t="s">
        <v>3478</v>
      </c>
      <c r="D884" s="22" t="s">
        <v>5695</v>
      </c>
      <c r="E884" s="22" t="s">
        <v>3787</v>
      </c>
      <c r="F884" s="22" t="s">
        <v>5709</v>
      </c>
      <c r="G884" s="22" t="s">
        <v>4841</v>
      </c>
      <c r="H884" s="63" t="n">
        <v>275</v>
      </c>
      <c r="I884" s="22" t="s">
        <v>601</v>
      </c>
      <c r="J884" s="22" t="s">
        <v>4102</v>
      </c>
      <c r="K884" s="63" t="n">
        <v>124.964942447066</v>
      </c>
      <c r="L884" s="22"/>
      <c r="M884" s="22" t="n">
        <v>1</v>
      </c>
      <c r="N884" s="22" t="s">
        <v>5697</v>
      </c>
    </row>
    <row r="885" customFormat="false" ht="15" hidden="false" customHeight="false" outlineLevel="0" collapsed="false">
      <c r="A885" s="22" t="s">
        <v>5710</v>
      </c>
      <c r="B885" s="22" t="s">
        <v>3785</v>
      </c>
      <c r="C885" s="22" t="s">
        <v>3478</v>
      </c>
      <c r="D885" s="22" t="s">
        <v>5695</v>
      </c>
      <c r="E885" s="22" t="s">
        <v>3787</v>
      </c>
      <c r="F885" s="22" t="s">
        <v>5711</v>
      </c>
      <c r="G885" s="22" t="s">
        <v>4841</v>
      </c>
      <c r="H885" s="63" t="n">
        <v>206</v>
      </c>
      <c r="I885" s="22" t="s">
        <v>601</v>
      </c>
      <c r="J885" s="22" t="s">
        <v>4102</v>
      </c>
      <c r="K885" s="63" t="n">
        <v>93.610102342166</v>
      </c>
      <c r="L885" s="22" t="s">
        <v>2678</v>
      </c>
      <c r="M885" s="22" t="n">
        <v>6</v>
      </c>
      <c r="N885" s="22" t="s">
        <v>5697</v>
      </c>
    </row>
    <row r="886" customFormat="false" ht="15" hidden="false" customHeight="false" outlineLevel="0" collapsed="false">
      <c r="A886" s="22" t="s">
        <v>5712</v>
      </c>
      <c r="B886" s="22" t="s">
        <v>3785</v>
      </c>
      <c r="C886" s="22" t="s">
        <v>3478</v>
      </c>
      <c r="D886" s="22" t="s">
        <v>5695</v>
      </c>
      <c r="E886" s="22" t="s">
        <v>3787</v>
      </c>
      <c r="F886" s="22" t="s">
        <v>5713</v>
      </c>
      <c r="G886" s="22" t="s">
        <v>4841</v>
      </c>
      <c r="H886" s="63" t="n">
        <v>483</v>
      </c>
      <c r="I886" s="22" t="s">
        <v>601</v>
      </c>
      <c r="J886" s="22" t="s">
        <v>4102</v>
      </c>
      <c r="K886" s="63" t="n">
        <v>219.483880734302</v>
      </c>
      <c r="L886" s="22"/>
      <c r="M886" s="22" t="n">
        <v>1</v>
      </c>
      <c r="N886" s="22" t="s">
        <v>5697</v>
      </c>
    </row>
    <row r="887" customFormat="false" ht="15" hidden="false" customHeight="false" outlineLevel="0" collapsed="false">
      <c r="A887" s="22" t="s">
        <v>5714</v>
      </c>
      <c r="B887" s="22" t="s">
        <v>3785</v>
      </c>
      <c r="C887" s="22" t="s">
        <v>3478</v>
      </c>
      <c r="D887" s="22" t="s">
        <v>5695</v>
      </c>
      <c r="E887" s="22" t="s">
        <v>3787</v>
      </c>
      <c r="F887" s="22" t="s">
        <v>5715</v>
      </c>
      <c r="G887" s="22" t="s">
        <v>4841</v>
      </c>
      <c r="H887" s="63" t="n">
        <v>4025</v>
      </c>
      <c r="I887" s="22" t="s">
        <v>601</v>
      </c>
      <c r="J887" s="22" t="s">
        <v>4102</v>
      </c>
      <c r="K887" s="63" t="n">
        <v>1829.03233945252</v>
      </c>
      <c r="L887" s="22" t="s">
        <v>2730</v>
      </c>
      <c r="M887" s="22" t="n">
        <v>1</v>
      </c>
      <c r="N887" s="22" t="s">
        <v>5697</v>
      </c>
    </row>
    <row r="888" customFormat="false" ht="15" hidden="false" customHeight="false" outlineLevel="0" collapsed="false">
      <c r="A888" s="22" t="s">
        <v>5716</v>
      </c>
      <c r="B888" s="22" t="s">
        <v>3785</v>
      </c>
      <c r="C888" s="22" t="s">
        <v>3478</v>
      </c>
      <c r="D888" s="22" t="s">
        <v>5695</v>
      </c>
      <c r="E888" s="22" t="s">
        <v>3787</v>
      </c>
      <c r="F888" s="22" t="s">
        <v>5717</v>
      </c>
      <c r="G888" s="22" t="s">
        <v>4841</v>
      </c>
      <c r="H888" s="63" t="n">
        <v>3250</v>
      </c>
      <c r="I888" s="22" t="s">
        <v>601</v>
      </c>
      <c r="J888" s="22" t="s">
        <v>4102</v>
      </c>
      <c r="K888" s="63" t="n">
        <v>1476.85841073806</v>
      </c>
      <c r="L888" s="22" t="s">
        <v>2730</v>
      </c>
      <c r="M888" s="22" t="n">
        <v>1</v>
      </c>
      <c r="N888" s="22" t="s">
        <v>5718</v>
      </c>
    </row>
    <row r="889" customFormat="false" ht="15" hidden="false" customHeight="false" outlineLevel="0" collapsed="false">
      <c r="A889" s="22" t="s">
        <v>5719</v>
      </c>
      <c r="B889" s="22" t="s">
        <v>3785</v>
      </c>
      <c r="C889" s="22" t="s">
        <v>3478</v>
      </c>
      <c r="D889" s="22" t="s">
        <v>5695</v>
      </c>
      <c r="E889" s="22" t="s">
        <v>3787</v>
      </c>
      <c r="F889" s="22" t="s">
        <v>5720</v>
      </c>
      <c r="G889" s="22" t="s">
        <v>4042</v>
      </c>
      <c r="H889" s="63" t="n">
        <v>24.3</v>
      </c>
      <c r="I889" s="22" t="s">
        <v>601</v>
      </c>
      <c r="J889" s="22" t="s">
        <v>4102</v>
      </c>
      <c r="K889" s="63" t="n">
        <v>11.0423567325953</v>
      </c>
      <c r="L889" s="22"/>
      <c r="M889" s="22" t="n">
        <v>1</v>
      </c>
      <c r="N889" s="22" t="s">
        <v>5721</v>
      </c>
    </row>
    <row r="890" customFormat="false" ht="15" hidden="false" customHeight="false" outlineLevel="0" collapsed="false">
      <c r="A890" s="22" t="s">
        <v>5722</v>
      </c>
      <c r="B890" s="22" t="s">
        <v>3785</v>
      </c>
      <c r="C890" s="22" t="s">
        <v>3478</v>
      </c>
      <c r="D890" s="22" t="s">
        <v>5695</v>
      </c>
      <c r="E890" s="22" t="s">
        <v>3787</v>
      </c>
      <c r="F890" s="22" t="s">
        <v>5723</v>
      </c>
      <c r="G890" s="22" t="s">
        <v>4042</v>
      </c>
      <c r="H890" s="63" t="n">
        <v>33.2</v>
      </c>
      <c r="I890" s="22" t="s">
        <v>601</v>
      </c>
      <c r="J890" s="22" t="s">
        <v>4102</v>
      </c>
      <c r="K890" s="63" t="n">
        <v>15.0866766881549</v>
      </c>
      <c r="L890" s="22"/>
      <c r="M890" s="22" t="n">
        <v>1</v>
      </c>
      <c r="N890" s="22" t="s">
        <v>5721</v>
      </c>
    </row>
    <row r="891" customFormat="false" ht="15" hidden="false" customHeight="false" outlineLevel="0" collapsed="false">
      <c r="A891" s="22" t="s">
        <v>5724</v>
      </c>
      <c r="B891" s="22" t="s">
        <v>3785</v>
      </c>
      <c r="C891" s="22" t="s">
        <v>3478</v>
      </c>
      <c r="D891" s="22" t="s">
        <v>5695</v>
      </c>
      <c r="E891" s="22" t="s">
        <v>3787</v>
      </c>
      <c r="F891" s="22" t="s">
        <v>5725</v>
      </c>
      <c r="G891" s="22" t="s">
        <v>4042</v>
      </c>
      <c r="H891" s="63" t="n">
        <v>41</v>
      </c>
      <c r="I891" s="22" t="s">
        <v>601</v>
      </c>
      <c r="J891" s="22" t="s">
        <v>4102</v>
      </c>
      <c r="K891" s="63" t="n">
        <v>18.6311368739262</v>
      </c>
      <c r="L891" s="22"/>
      <c r="M891" s="22" t="n">
        <v>1</v>
      </c>
      <c r="N891" s="22" t="s">
        <v>5721</v>
      </c>
    </row>
    <row r="892" customFormat="false" ht="15" hidden="false" customHeight="false" outlineLevel="0" collapsed="false">
      <c r="A892" s="22" t="s">
        <v>5726</v>
      </c>
      <c r="B892" s="22" t="s">
        <v>3785</v>
      </c>
      <c r="C892" s="22" t="s">
        <v>3478</v>
      </c>
      <c r="D892" s="22" t="s">
        <v>5695</v>
      </c>
      <c r="E892" s="22" t="s">
        <v>3787</v>
      </c>
      <c r="F892" s="22" t="s">
        <v>5727</v>
      </c>
      <c r="G892" s="22" t="s">
        <v>4042</v>
      </c>
      <c r="H892" s="63" t="n">
        <v>52.28</v>
      </c>
      <c r="I892" s="22" t="s">
        <v>601</v>
      </c>
      <c r="J892" s="22" t="s">
        <v>4102</v>
      </c>
      <c r="K892" s="63" t="n">
        <v>23.7569716041186</v>
      </c>
      <c r="L892" s="22" t="s">
        <v>2550</v>
      </c>
      <c r="M892" s="22" t="n">
        <v>4</v>
      </c>
      <c r="N892" s="22" t="s">
        <v>5721</v>
      </c>
    </row>
    <row r="893" customFormat="false" ht="15" hidden="false" customHeight="false" outlineLevel="0" collapsed="false">
      <c r="A893" s="22" t="s">
        <v>5728</v>
      </c>
      <c r="B893" s="22" t="s">
        <v>3785</v>
      </c>
      <c r="C893" s="22" t="s">
        <v>3478</v>
      </c>
      <c r="D893" s="22" t="s">
        <v>5695</v>
      </c>
      <c r="E893" s="22" t="s">
        <v>3787</v>
      </c>
      <c r="F893" s="22" t="s">
        <v>5729</v>
      </c>
      <c r="G893" s="22" t="s">
        <v>4042</v>
      </c>
      <c r="H893" s="63" t="n">
        <v>62.01</v>
      </c>
      <c r="I893" s="22" t="s">
        <v>601</v>
      </c>
      <c r="J893" s="22" t="s">
        <v>4102</v>
      </c>
      <c r="K893" s="63" t="n">
        <v>28.1784584768821</v>
      </c>
      <c r="L893" s="22" t="s">
        <v>2550</v>
      </c>
      <c r="M893" s="22" t="n">
        <v>3</v>
      </c>
      <c r="N893" s="22" t="s">
        <v>5721</v>
      </c>
    </row>
    <row r="894" customFormat="false" ht="15" hidden="false" customHeight="false" outlineLevel="0" collapsed="false">
      <c r="A894" s="22" t="s">
        <v>5730</v>
      </c>
      <c r="B894" s="22" t="s">
        <v>3785</v>
      </c>
      <c r="C894" s="22" t="s">
        <v>3478</v>
      </c>
      <c r="D894" s="22" t="s">
        <v>5695</v>
      </c>
      <c r="E894" s="22" t="s">
        <v>3787</v>
      </c>
      <c r="F894" s="22" t="s">
        <v>5731</v>
      </c>
      <c r="G894" s="22" t="s">
        <v>4042</v>
      </c>
      <c r="H894" s="63" t="n">
        <v>74</v>
      </c>
      <c r="I894" s="22" t="s">
        <v>601</v>
      </c>
      <c r="J894" s="22" t="s">
        <v>4102</v>
      </c>
      <c r="K894" s="63" t="n">
        <v>33.6269299675742</v>
      </c>
      <c r="L894" s="22" t="s">
        <v>2846</v>
      </c>
      <c r="M894" s="22" t="n">
        <v>2</v>
      </c>
      <c r="N894" s="22" t="s">
        <v>5721</v>
      </c>
    </row>
    <row r="895" customFormat="false" ht="15" hidden="false" customHeight="false" outlineLevel="0" collapsed="false">
      <c r="A895" s="22" t="s">
        <v>5732</v>
      </c>
      <c r="B895" s="22" t="s">
        <v>3785</v>
      </c>
      <c r="C895" s="22" t="s">
        <v>3478</v>
      </c>
      <c r="D895" s="22" t="s">
        <v>5695</v>
      </c>
      <c r="E895" s="22" t="s">
        <v>3787</v>
      </c>
      <c r="F895" s="22" t="s">
        <v>5733</v>
      </c>
      <c r="G895" s="22" t="s">
        <v>4042</v>
      </c>
      <c r="H895" s="63" t="n">
        <v>87</v>
      </c>
      <c r="I895" s="22" t="s">
        <v>601</v>
      </c>
      <c r="J895" s="22" t="s">
        <v>4102</v>
      </c>
      <c r="K895" s="63" t="n">
        <v>39.5343636105264</v>
      </c>
      <c r="L895" s="22" t="s">
        <v>2550</v>
      </c>
      <c r="M895" s="22" t="n">
        <v>3</v>
      </c>
      <c r="N895" s="22" t="s">
        <v>5721</v>
      </c>
    </row>
    <row r="896" customFormat="false" ht="15" hidden="false" customHeight="false" outlineLevel="0" collapsed="false">
      <c r="A896" s="22" t="s">
        <v>5734</v>
      </c>
      <c r="B896" s="22" t="s">
        <v>3785</v>
      </c>
      <c r="C896" s="22" t="s">
        <v>3478</v>
      </c>
      <c r="D896" s="22" t="s">
        <v>5695</v>
      </c>
      <c r="E896" s="22" t="s">
        <v>3787</v>
      </c>
      <c r="F896" s="22" t="s">
        <v>5735</v>
      </c>
      <c r="G896" s="22" t="s">
        <v>4042</v>
      </c>
      <c r="H896" s="63" t="n">
        <v>127</v>
      </c>
      <c r="I896" s="22" t="s">
        <v>601</v>
      </c>
      <c r="J896" s="22" t="s">
        <v>4102</v>
      </c>
      <c r="K896" s="63" t="n">
        <v>57.7110825119179</v>
      </c>
      <c r="L896" s="22"/>
      <c r="M896" s="22" t="n">
        <v>2</v>
      </c>
      <c r="N896" s="22" t="s">
        <v>5721</v>
      </c>
    </row>
    <row r="897" customFormat="false" ht="15" hidden="false" customHeight="false" outlineLevel="0" collapsed="false">
      <c r="A897" s="22" t="s">
        <v>5736</v>
      </c>
      <c r="B897" s="22" t="s">
        <v>3785</v>
      </c>
      <c r="C897" s="22" t="s">
        <v>3478</v>
      </c>
      <c r="D897" s="22" t="s">
        <v>5695</v>
      </c>
      <c r="E897" s="22" t="s">
        <v>3787</v>
      </c>
      <c r="F897" s="22" t="s">
        <v>5737</v>
      </c>
      <c r="G897" s="22" t="s">
        <v>4042</v>
      </c>
      <c r="H897" s="63" t="n">
        <v>9.41</v>
      </c>
      <c r="I897" s="22" t="s">
        <v>601</v>
      </c>
      <c r="J897" s="22" t="s">
        <v>4102</v>
      </c>
      <c r="K897" s="63" t="n">
        <v>4.27607312155234</v>
      </c>
      <c r="L897" s="22" t="s">
        <v>2819</v>
      </c>
      <c r="M897" s="22" t="n">
        <v>1</v>
      </c>
      <c r="N897" s="22" t="s">
        <v>5738</v>
      </c>
    </row>
    <row r="898" customFormat="false" ht="15" hidden="false" customHeight="false" outlineLevel="0" collapsed="false">
      <c r="A898" s="22" t="s">
        <v>5739</v>
      </c>
      <c r="B898" s="22" t="s">
        <v>3785</v>
      </c>
      <c r="C898" s="22" t="s">
        <v>3478</v>
      </c>
      <c r="D898" s="22" t="s">
        <v>5695</v>
      </c>
      <c r="E898" s="22" t="s">
        <v>3787</v>
      </c>
      <c r="F898" s="22" t="s">
        <v>5740</v>
      </c>
      <c r="G898" s="22" t="s">
        <v>4042</v>
      </c>
      <c r="H898" s="63" t="n">
        <v>11.79</v>
      </c>
      <c r="I898" s="22" t="s">
        <v>601</v>
      </c>
      <c r="J898" s="22" t="s">
        <v>4102</v>
      </c>
      <c r="K898" s="63" t="n">
        <v>5.35758789618513</v>
      </c>
      <c r="L898" s="22" t="s">
        <v>2819</v>
      </c>
      <c r="M898" s="22" t="n">
        <v>4</v>
      </c>
      <c r="N898" s="22" t="s">
        <v>5738</v>
      </c>
    </row>
    <row r="899" customFormat="false" ht="15" hidden="false" customHeight="false" outlineLevel="0" collapsed="false">
      <c r="A899" s="22" t="s">
        <v>5741</v>
      </c>
      <c r="B899" s="22" t="s">
        <v>3785</v>
      </c>
      <c r="C899" s="22" t="s">
        <v>3478</v>
      </c>
      <c r="D899" s="22" t="s">
        <v>5695</v>
      </c>
      <c r="E899" s="22" t="s">
        <v>3787</v>
      </c>
      <c r="F899" s="22" t="s">
        <v>5742</v>
      </c>
      <c r="G899" s="22" t="s">
        <v>4042</v>
      </c>
      <c r="H899" s="63" t="n">
        <v>19.2</v>
      </c>
      <c r="I899" s="22" t="s">
        <v>601</v>
      </c>
      <c r="J899" s="22" t="s">
        <v>4102</v>
      </c>
      <c r="K899" s="63" t="n">
        <v>8.7248250726679</v>
      </c>
      <c r="L899" s="22" t="s">
        <v>2819</v>
      </c>
      <c r="M899" s="22" t="n">
        <v>21</v>
      </c>
      <c r="N899" s="22" t="s">
        <v>5738</v>
      </c>
    </row>
    <row r="900" customFormat="false" ht="15" hidden="false" customHeight="false" outlineLevel="0" collapsed="false">
      <c r="A900" s="22" t="s">
        <v>5743</v>
      </c>
      <c r="B900" s="22" t="s">
        <v>3785</v>
      </c>
      <c r="C900" s="22" t="s">
        <v>3478</v>
      </c>
      <c r="D900" s="22" t="s">
        <v>5695</v>
      </c>
      <c r="E900" s="22" t="s">
        <v>3787</v>
      </c>
      <c r="F900" s="22" t="s">
        <v>5744</v>
      </c>
      <c r="G900" s="22" t="s">
        <v>4042</v>
      </c>
      <c r="H900" s="63" t="n">
        <v>26</v>
      </c>
      <c r="I900" s="22" t="s">
        <v>601</v>
      </c>
      <c r="J900" s="22" t="s">
        <v>4102</v>
      </c>
      <c r="K900" s="63" t="n">
        <v>11.8148672859044</v>
      </c>
      <c r="L900" s="22" t="s">
        <v>2819</v>
      </c>
      <c r="M900" s="22" t="n">
        <v>4</v>
      </c>
      <c r="N900" s="22" t="s">
        <v>5738</v>
      </c>
    </row>
    <row r="901" customFormat="false" ht="15" hidden="false" customHeight="false" outlineLevel="0" collapsed="false">
      <c r="A901" s="22" t="s">
        <v>5745</v>
      </c>
      <c r="B901" s="22" t="s">
        <v>3785</v>
      </c>
      <c r="C901" s="22" t="s">
        <v>3478</v>
      </c>
      <c r="D901" s="22" t="s">
        <v>5695</v>
      </c>
      <c r="E901" s="22" t="s">
        <v>3787</v>
      </c>
      <c r="F901" s="22" t="s">
        <v>5746</v>
      </c>
      <c r="G901" s="22" t="s">
        <v>4042</v>
      </c>
      <c r="H901" s="63" t="n">
        <v>38</v>
      </c>
      <c r="I901" s="22" t="s">
        <v>601</v>
      </c>
      <c r="J901" s="22" t="s">
        <v>4102</v>
      </c>
      <c r="K901" s="63" t="n">
        <v>17.2678829563219</v>
      </c>
      <c r="L901" s="22"/>
      <c r="M901" s="22" t="n">
        <v>1</v>
      </c>
      <c r="N901" s="22" t="s">
        <v>5738</v>
      </c>
    </row>
    <row r="902" customFormat="false" ht="15" hidden="false" customHeight="false" outlineLevel="0" collapsed="false">
      <c r="A902" s="22" t="s">
        <v>5747</v>
      </c>
      <c r="B902" s="22" t="s">
        <v>3785</v>
      </c>
      <c r="C902" s="22" t="s">
        <v>3478</v>
      </c>
      <c r="D902" s="22" t="s">
        <v>5695</v>
      </c>
      <c r="E902" s="22" t="s">
        <v>3787</v>
      </c>
      <c r="F902" s="22" t="s">
        <v>5748</v>
      </c>
      <c r="G902" s="22" t="s">
        <v>4042</v>
      </c>
      <c r="H902" s="63" t="n">
        <v>57</v>
      </c>
      <c r="I902" s="22" t="s">
        <v>601</v>
      </c>
      <c r="J902" s="22" t="s">
        <v>4102</v>
      </c>
      <c r="K902" s="63" t="n">
        <v>25.9018244344828</v>
      </c>
      <c r="L902" s="22"/>
      <c r="M902" s="22" t="n">
        <v>1</v>
      </c>
      <c r="N902" s="22" t="s">
        <v>5738</v>
      </c>
    </row>
    <row r="903" customFormat="false" ht="15" hidden="false" customHeight="false" outlineLevel="0" collapsed="false">
      <c r="A903" s="22" t="s">
        <v>5749</v>
      </c>
      <c r="B903" s="22" t="s">
        <v>3785</v>
      </c>
      <c r="C903" s="22" t="s">
        <v>3478</v>
      </c>
      <c r="D903" s="22" t="s">
        <v>5695</v>
      </c>
      <c r="E903" s="22" t="s">
        <v>3787</v>
      </c>
      <c r="F903" s="22" t="s">
        <v>5750</v>
      </c>
      <c r="G903" s="22" t="s">
        <v>4042</v>
      </c>
      <c r="H903" s="63" t="n">
        <v>7.56</v>
      </c>
      <c r="I903" s="22" t="s">
        <v>113</v>
      </c>
      <c r="J903" s="22" t="s">
        <v>4102</v>
      </c>
      <c r="K903" s="63" t="n">
        <v>9.14060633313863</v>
      </c>
      <c r="L903" s="22" t="s">
        <v>2722</v>
      </c>
      <c r="M903" s="22" t="n">
        <v>6</v>
      </c>
      <c r="N903" s="22" t="s">
        <v>5697</v>
      </c>
    </row>
    <row r="904" customFormat="false" ht="15" hidden="false" customHeight="false" outlineLevel="0" collapsed="false">
      <c r="A904" s="22" t="s">
        <v>5751</v>
      </c>
      <c r="B904" s="22" t="s">
        <v>3785</v>
      </c>
      <c r="C904" s="22" t="s">
        <v>3478</v>
      </c>
      <c r="D904" s="22" t="s">
        <v>5695</v>
      </c>
      <c r="E904" s="22" t="s">
        <v>3787</v>
      </c>
      <c r="F904" s="22" t="s">
        <v>5752</v>
      </c>
      <c r="G904" s="22" t="s">
        <v>4042</v>
      </c>
      <c r="H904" s="63" t="n">
        <v>13.11</v>
      </c>
      <c r="I904" s="22" t="s">
        <v>113</v>
      </c>
      <c r="J904" s="22" t="s">
        <v>4102</v>
      </c>
      <c r="K904" s="63" t="n">
        <v>15.8509720935777</v>
      </c>
      <c r="L904" s="22"/>
      <c r="M904" s="22" t="n">
        <v>1</v>
      </c>
      <c r="N904" s="22" t="s">
        <v>5697</v>
      </c>
    </row>
    <row r="905" customFormat="false" ht="15" hidden="false" customHeight="false" outlineLevel="0" collapsed="false">
      <c r="A905" s="22" t="s">
        <v>5753</v>
      </c>
      <c r="B905" s="22" t="s">
        <v>3785</v>
      </c>
      <c r="C905" s="22" t="s">
        <v>3478</v>
      </c>
      <c r="D905" s="22" t="s">
        <v>5695</v>
      </c>
      <c r="E905" s="22" t="s">
        <v>3787</v>
      </c>
      <c r="F905" s="22" t="s">
        <v>5754</v>
      </c>
      <c r="G905" s="22" t="s">
        <v>4042</v>
      </c>
      <c r="H905" s="63" t="n">
        <v>6.41</v>
      </c>
      <c r="I905" s="22" t="s">
        <v>601</v>
      </c>
      <c r="J905" s="22" t="s">
        <v>4102</v>
      </c>
      <c r="K905" s="63" t="n">
        <v>2.91281920394798</v>
      </c>
      <c r="L905" s="22" t="s">
        <v>2730</v>
      </c>
      <c r="M905" s="22" t="n">
        <v>12</v>
      </c>
      <c r="N905" s="22" t="s">
        <v>5755</v>
      </c>
    </row>
    <row r="906" customFormat="false" ht="15" hidden="false" customHeight="false" outlineLevel="0" collapsed="false">
      <c r="A906" s="22" t="s">
        <v>5756</v>
      </c>
      <c r="B906" s="22" t="s">
        <v>3785</v>
      </c>
      <c r="C906" s="22" t="s">
        <v>3478</v>
      </c>
      <c r="D906" s="22" t="s">
        <v>5695</v>
      </c>
      <c r="E906" s="22" t="s">
        <v>3787</v>
      </c>
      <c r="F906" s="22" t="s">
        <v>5757</v>
      </c>
      <c r="G906" s="22" t="s">
        <v>4042</v>
      </c>
      <c r="H906" s="63" t="n">
        <v>7.52</v>
      </c>
      <c r="I906" s="22" t="s">
        <v>601</v>
      </c>
      <c r="J906" s="22" t="s">
        <v>4102</v>
      </c>
      <c r="K906" s="63" t="n">
        <v>3.41722315346159</v>
      </c>
      <c r="L906" s="22" t="s">
        <v>2730</v>
      </c>
      <c r="M906" s="22" t="n">
        <v>15</v>
      </c>
      <c r="N906" s="22" t="s">
        <v>5755</v>
      </c>
    </row>
    <row r="907" customFormat="false" ht="15" hidden="false" customHeight="false" outlineLevel="0" collapsed="false">
      <c r="A907" s="22" t="s">
        <v>5758</v>
      </c>
      <c r="B907" s="22" t="s">
        <v>3785</v>
      </c>
      <c r="C907" s="22" t="s">
        <v>3478</v>
      </c>
      <c r="D907" s="22" t="s">
        <v>5695</v>
      </c>
      <c r="E907" s="22" t="s">
        <v>3787</v>
      </c>
      <c r="F907" s="22" t="s">
        <v>5759</v>
      </c>
      <c r="G907" s="22" t="s">
        <v>4042</v>
      </c>
      <c r="H907" s="63" t="n">
        <v>9.83</v>
      </c>
      <c r="I907" s="22" t="s">
        <v>601</v>
      </c>
      <c r="J907" s="22" t="s">
        <v>4102</v>
      </c>
      <c r="K907" s="63" t="n">
        <v>4.46692867001695</v>
      </c>
      <c r="L907" s="22" t="s">
        <v>2730</v>
      </c>
      <c r="M907" s="22" t="n">
        <v>5</v>
      </c>
      <c r="N907" s="22" t="s">
        <v>5755</v>
      </c>
    </row>
    <row r="908" customFormat="false" ht="15" hidden="false" customHeight="false" outlineLevel="0" collapsed="false">
      <c r="A908" s="22" t="s">
        <v>5760</v>
      </c>
      <c r="B908" s="22" t="s">
        <v>3785</v>
      </c>
      <c r="C908" s="22" t="s">
        <v>3478</v>
      </c>
      <c r="D908" s="22" t="s">
        <v>5695</v>
      </c>
      <c r="E908" s="22" t="s">
        <v>3787</v>
      </c>
      <c r="F908" s="22" t="s">
        <v>5761</v>
      </c>
      <c r="G908" s="22" t="s">
        <v>4042</v>
      </c>
      <c r="H908" s="63" t="n">
        <v>13.65</v>
      </c>
      <c r="I908" s="22" t="s">
        <v>601</v>
      </c>
      <c r="J908" s="22" t="s">
        <v>4102</v>
      </c>
      <c r="K908" s="63" t="n">
        <v>6.20280532509984</v>
      </c>
      <c r="L908" s="22" t="s">
        <v>2730</v>
      </c>
      <c r="M908" s="22" t="n">
        <v>1</v>
      </c>
      <c r="N908" s="22" t="s">
        <v>5755</v>
      </c>
    </row>
    <row r="909" customFormat="false" ht="15" hidden="false" customHeight="false" outlineLevel="0" collapsed="false">
      <c r="A909" s="22" t="s">
        <v>5762</v>
      </c>
      <c r="B909" s="22" t="s">
        <v>3785</v>
      </c>
      <c r="C909" s="22" t="s">
        <v>3478</v>
      </c>
      <c r="D909" s="22" t="s">
        <v>5695</v>
      </c>
      <c r="E909" s="22" t="s">
        <v>3787</v>
      </c>
      <c r="F909" s="22" t="s">
        <v>5763</v>
      </c>
      <c r="G909" s="22" t="s">
        <v>4042</v>
      </c>
      <c r="H909" s="63" t="n">
        <v>19.5</v>
      </c>
      <c r="I909" s="22" t="s">
        <v>601</v>
      </c>
      <c r="J909" s="22" t="s">
        <v>4102</v>
      </c>
      <c r="K909" s="63" t="n">
        <v>8.86115046442833</v>
      </c>
      <c r="L909" s="22" t="s">
        <v>2730</v>
      </c>
      <c r="M909" s="22" t="n">
        <v>1</v>
      </c>
      <c r="N909" s="22" t="s">
        <v>5755</v>
      </c>
    </row>
    <row r="910" customFormat="false" ht="15" hidden="false" customHeight="false" outlineLevel="0" collapsed="false">
      <c r="A910" s="22" t="s">
        <v>5764</v>
      </c>
      <c r="B910" s="22" t="s">
        <v>3785</v>
      </c>
      <c r="C910" s="22" t="s">
        <v>3478</v>
      </c>
      <c r="D910" s="22" t="s">
        <v>5695</v>
      </c>
      <c r="E910" s="22" t="s">
        <v>3787</v>
      </c>
      <c r="F910" s="22" t="s">
        <v>5765</v>
      </c>
      <c r="G910" s="22" t="s">
        <v>4621</v>
      </c>
      <c r="H910" s="63" t="n">
        <v>780</v>
      </c>
      <c r="I910" s="22" t="s">
        <v>112</v>
      </c>
      <c r="J910" s="22" t="s">
        <v>4102</v>
      </c>
      <c r="K910" s="63" t="n">
        <v>1034.55703902294</v>
      </c>
      <c r="L910" s="22" t="s">
        <v>2678</v>
      </c>
      <c r="M910" s="22" t="n">
        <v>1</v>
      </c>
      <c r="N910" s="22" t="s">
        <v>5697</v>
      </c>
    </row>
    <row r="911" customFormat="false" ht="15" hidden="false" customHeight="false" outlineLevel="0" collapsed="false">
      <c r="A911" s="22" t="s">
        <v>5766</v>
      </c>
      <c r="B911" s="22" t="s">
        <v>3785</v>
      </c>
      <c r="C911" s="22" t="s">
        <v>3478</v>
      </c>
      <c r="D911" s="22" t="s">
        <v>5695</v>
      </c>
      <c r="E911" s="22" t="s">
        <v>3787</v>
      </c>
      <c r="F911" s="22" t="s">
        <v>5767</v>
      </c>
      <c r="G911" s="22" t="s">
        <v>4841</v>
      </c>
      <c r="H911" s="63" t="n">
        <v>5109.25</v>
      </c>
      <c r="I911" s="22" t="s">
        <v>601</v>
      </c>
      <c r="J911" s="22" t="s">
        <v>4102</v>
      </c>
      <c r="K911" s="63" t="n">
        <v>2321.73502617336</v>
      </c>
      <c r="L911" s="22" t="s">
        <v>2819</v>
      </c>
      <c r="M911" s="22" t="n">
        <v>1</v>
      </c>
      <c r="N911" s="22" t="s">
        <v>5697</v>
      </c>
    </row>
    <row r="912" customFormat="false" ht="15" hidden="false" customHeight="false" outlineLevel="0" collapsed="false">
      <c r="A912" s="22" t="s">
        <v>5768</v>
      </c>
      <c r="B912" s="22" t="s">
        <v>3785</v>
      </c>
      <c r="C912" s="22" t="s">
        <v>3478</v>
      </c>
      <c r="D912" s="22" t="s">
        <v>5695</v>
      </c>
      <c r="E912" s="22" t="s">
        <v>3787</v>
      </c>
      <c r="F912" s="22" t="s">
        <v>5769</v>
      </c>
      <c r="G912" s="22" t="s">
        <v>4042</v>
      </c>
      <c r="H912" s="63" t="n">
        <v>32.02</v>
      </c>
      <c r="I912" s="22" t="s">
        <v>601</v>
      </c>
      <c r="J912" s="22" t="s">
        <v>4102</v>
      </c>
      <c r="K912" s="63" t="n">
        <v>14.5504634805639</v>
      </c>
      <c r="L912" s="22" t="s">
        <v>2730</v>
      </c>
      <c r="M912" s="22" t="n">
        <v>2</v>
      </c>
      <c r="N912" s="22" t="s">
        <v>5697</v>
      </c>
    </row>
    <row r="913" customFormat="false" ht="15" hidden="false" customHeight="false" outlineLevel="0" collapsed="false">
      <c r="A913" s="22" t="s">
        <v>5770</v>
      </c>
      <c r="B913" s="22" t="s">
        <v>3785</v>
      </c>
      <c r="C913" s="22" t="s">
        <v>3478</v>
      </c>
      <c r="D913" s="22" t="s">
        <v>5695</v>
      </c>
      <c r="E913" s="22" t="s">
        <v>3787</v>
      </c>
      <c r="F913" s="22" t="s">
        <v>5771</v>
      </c>
      <c r="G913" s="22" t="s">
        <v>732</v>
      </c>
      <c r="H913" s="63" t="n">
        <v>38800</v>
      </c>
      <c r="I913" s="22" t="s">
        <v>601</v>
      </c>
      <c r="J913" s="22" t="s">
        <v>4102</v>
      </c>
      <c r="K913" s="63" t="n">
        <v>17631.4173343497</v>
      </c>
      <c r="L913" s="22" t="s">
        <v>2550</v>
      </c>
      <c r="M913" s="22" t="n">
        <v>1</v>
      </c>
      <c r="N913" s="22" t="s">
        <v>5772</v>
      </c>
    </row>
    <row r="914" customFormat="false" ht="15" hidden="false" customHeight="false" outlineLevel="0" collapsed="false">
      <c r="A914" s="22" t="s">
        <v>5773</v>
      </c>
      <c r="B914" s="22" t="s">
        <v>3785</v>
      </c>
      <c r="C914" s="22" t="s">
        <v>3478</v>
      </c>
      <c r="D914" s="22" t="s">
        <v>5695</v>
      </c>
      <c r="E914" s="22" t="s">
        <v>3787</v>
      </c>
      <c r="F914" s="22" t="s">
        <v>5774</v>
      </c>
      <c r="G914" s="22" t="s">
        <v>4841</v>
      </c>
      <c r="H914" s="63" t="n">
        <v>640</v>
      </c>
      <c r="I914" s="22" t="s">
        <v>601</v>
      </c>
      <c r="J914" s="22" t="s">
        <v>4102</v>
      </c>
      <c r="K914" s="63" t="n">
        <v>290.827502422263</v>
      </c>
      <c r="L914" s="22" t="s">
        <v>2550</v>
      </c>
      <c r="M914" s="22" t="n">
        <v>1</v>
      </c>
      <c r="N914" s="22" t="s">
        <v>5697</v>
      </c>
    </row>
    <row r="915" customFormat="false" ht="15" hidden="false" customHeight="false" outlineLevel="0" collapsed="false">
      <c r="A915" s="22" t="s">
        <v>5775</v>
      </c>
      <c r="B915" s="22" t="s">
        <v>3785</v>
      </c>
      <c r="C915" s="22" t="s">
        <v>3478</v>
      </c>
      <c r="D915" s="22" t="s">
        <v>5695</v>
      </c>
      <c r="E915" s="22" t="s">
        <v>3787</v>
      </c>
      <c r="F915" s="22" t="s">
        <v>5776</v>
      </c>
      <c r="G915" s="22" t="s">
        <v>4042</v>
      </c>
      <c r="H915" s="63" t="n">
        <v>48</v>
      </c>
      <c r="I915" s="22" t="s">
        <v>601</v>
      </c>
      <c r="J915" s="22" t="s">
        <v>4102</v>
      </c>
      <c r="K915" s="63" t="n">
        <v>21.8120626816698</v>
      </c>
      <c r="L915" s="22" t="s">
        <v>2550</v>
      </c>
      <c r="M915" s="22" t="n">
        <v>1</v>
      </c>
      <c r="N915" s="22" t="s">
        <v>5697</v>
      </c>
    </row>
    <row r="916" customFormat="false" ht="15" hidden="false" customHeight="false" outlineLevel="0" collapsed="false">
      <c r="A916" s="22" t="s">
        <v>5777</v>
      </c>
      <c r="B916" s="22" t="s">
        <v>3785</v>
      </c>
      <c r="C916" s="22" t="s">
        <v>3478</v>
      </c>
      <c r="D916" s="22" t="s">
        <v>5695</v>
      </c>
      <c r="E916" s="22" t="s">
        <v>3787</v>
      </c>
      <c r="F916" s="22" t="s">
        <v>5778</v>
      </c>
      <c r="G916" s="22" t="s">
        <v>4042</v>
      </c>
      <c r="H916" s="63" t="n">
        <v>103</v>
      </c>
      <c r="I916" s="22" t="s">
        <v>601</v>
      </c>
      <c r="J916" s="22" t="s">
        <v>4102</v>
      </c>
      <c r="K916" s="63" t="n">
        <v>46.805051171083</v>
      </c>
      <c r="L916" s="22" t="s">
        <v>2550</v>
      </c>
      <c r="M916" s="22" t="n">
        <v>1</v>
      </c>
      <c r="N916" s="22" t="s">
        <v>5697</v>
      </c>
    </row>
    <row r="917" customFormat="false" ht="15" hidden="false" customHeight="false" outlineLevel="0" collapsed="false">
      <c r="A917" s="22" t="s">
        <v>5779</v>
      </c>
      <c r="B917" s="22" t="s">
        <v>3785</v>
      </c>
      <c r="C917" s="22" t="s">
        <v>3478</v>
      </c>
      <c r="D917" s="22" t="s">
        <v>5695</v>
      </c>
      <c r="E917" s="22" t="s">
        <v>3787</v>
      </c>
      <c r="F917" s="22" t="s">
        <v>5780</v>
      </c>
      <c r="G917" s="22" t="s">
        <v>5781</v>
      </c>
      <c r="H917" s="63" t="n">
        <v>7800</v>
      </c>
      <c r="I917" s="22" t="s">
        <v>112</v>
      </c>
      <c r="J917" s="22" t="s">
        <v>4102</v>
      </c>
      <c r="K917" s="63" t="n">
        <v>10345.5703902294</v>
      </c>
      <c r="L917" s="22" t="s">
        <v>2550</v>
      </c>
      <c r="M917" s="22" t="n">
        <v>1</v>
      </c>
      <c r="N917" s="22" t="s">
        <v>5782</v>
      </c>
    </row>
    <row r="918" customFormat="false" ht="15" hidden="false" customHeight="false" outlineLevel="0" collapsed="false">
      <c r="A918" s="22" t="s">
        <v>5783</v>
      </c>
      <c r="B918" s="22" t="s">
        <v>3785</v>
      </c>
      <c r="C918" s="22" t="s">
        <v>3478</v>
      </c>
      <c r="D918" s="22" t="s">
        <v>5695</v>
      </c>
      <c r="E918" s="22" t="s">
        <v>3787</v>
      </c>
      <c r="F918" s="22" t="s">
        <v>5784</v>
      </c>
      <c r="G918" s="22" t="s">
        <v>4841</v>
      </c>
      <c r="H918" s="63" t="n">
        <v>81</v>
      </c>
      <c r="I918" s="22" t="s">
        <v>601</v>
      </c>
      <c r="J918" s="22" t="s">
        <v>4226</v>
      </c>
      <c r="K918" s="63" t="n">
        <v>36.8078557753177</v>
      </c>
      <c r="L918" s="22" t="s">
        <v>2534</v>
      </c>
      <c r="M918" s="22" t="n">
        <v>9</v>
      </c>
      <c r="N918" s="22" t="s">
        <v>5697</v>
      </c>
    </row>
    <row r="919" customFormat="false" ht="15" hidden="false" customHeight="false" outlineLevel="0" collapsed="false">
      <c r="A919" s="22" t="s">
        <v>5785</v>
      </c>
      <c r="B919" s="22" t="s">
        <v>3785</v>
      </c>
      <c r="C919" s="22" t="s">
        <v>3478</v>
      </c>
      <c r="D919" s="22" t="s">
        <v>5695</v>
      </c>
      <c r="E919" s="22" t="s">
        <v>3787</v>
      </c>
      <c r="F919" s="22" t="s">
        <v>5786</v>
      </c>
      <c r="G919" s="22" t="s">
        <v>4841</v>
      </c>
      <c r="H919" s="63" t="n">
        <v>205</v>
      </c>
      <c r="I919" s="22" t="s">
        <v>113</v>
      </c>
      <c r="J919" s="22" t="s">
        <v>4102</v>
      </c>
      <c r="K919" s="63" t="n">
        <v>247.860356917119</v>
      </c>
      <c r="L919" s="22" t="s">
        <v>2550</v>
      </c>
      <c r="M919" s="22" t="n">
        <v>1</v>
      </c>
      <c r="N919" s="22" t="s">
        <v>5697</v>
      </c>
    </row>
    <row r="920" customFormat="false" ht="15" hidden="false" customHeight="false" outlineLevel="0" collapsed="false">
      <c r="A920" s="22" t="s">
        <v>5787</v>
      </c>
      <c r="B920" s="22" t="s">
        <v>3785</v>
      </c>
      <c r="C920" s="22" t="s">
        <v>3478</v>
      </c>
      <c r="D920" s="22" t="s">
        <v>5695</v>
      </c>
      <c r="E920" s="22" t="s">
        <v>3787</v>
      </c>
      <c r="F920" s="22" t="s">
        <v>5568</v>
      </c>
      <c r="G920" s="22" t="s">
        <v>4841</v>
      </c>
      <c r="H920" s="63" t="n">
        <v>276.25</v>
      </c>
      <c r="I920" s="22" t="s">
        <v>113</v>
      </c>
      <c r="J920" s="22" t="s">
        <v>4102</v>
      </c>
      <c r="K920" s="63" t="n">
        <v>334.006944382215</v>
      </c>
      <c r="L920" s="22" t="s">
        <v>2550</v>
      </c>
      <c r="M920" s="22" t="n">
        <v>2</v>
      </c>
      <c r="N920" s="22" t="s">
        <v>5697</v>
      </c>
    </row>
    <row r="921" customFormat="false" ht="15" hidden="false" customHeight="false" outlineLevel="0" collapsed="false">
      <c r="A921" s="22" t="s">
        <v>5788</v>
      </c>
      <c r="B921" s="22" t="s">
        <v>3785</v>
      </c>
      <c r="C921" s="22" t="s">
        <v>3478</v>
      </c>
      <c r="D921" s="22" t="s">
        <v>5695</v>
      </c>
      <c r="E921" s="22" t="s">
        <v>3787</v>
      </c>
      <c r="F921" s="22" t="s">
        <v>5789</v>
      </c>
      <c r="G921" s="22" t="s">
        <v>4841</v>
      </c>
      <c r="H921" s="63" t="n">
        <v>406.25</v>
      </c>
      <c r="I921" s="22" t="s">
        <v>113</v>
      </c>
      <c r="J921" s="22" t="s">
        <v>4102</v>
      </c>
      <c r="K921" s="63" t="n">
        <v>491.186682915023</v>
      </c>
      <c r="L921" s="22"/>
      <c r="M921" s="22" t="n">
        <v>1</v>
      </c>
      <c r="N921" s="22" t="s">
        <v>5697</v>
      </c>
    </row>
    <row r="922" customFormat="false" ht="15" hidden="false" customHeight="false" outlineLevel="0" collapsed="false">
      <c r="A922" s="22" t="s">
        <v>5790</v>
      </c>
      <c r="B922" s="22" t="s">
        <v>3785</v>
      </c>
      <c r="C922" s="22" t="s">
        <v>3478</v>
      </c>
      <c r="D922" s="22" t="s">
        <v>5695</v>
      </c>
      <c r="E922" s="22" t="s">
        <v>3787</v>
      </c>
      <c r="F922" s="22" t="s">
        <v>5791</v>
      </c>
      <c r="G922" s="22" t="s">
        <v>4841</v>
      </c>
      <c r="H922" s="63" t="n">
        <v>611</v>
      </c>
      <c r="I922" s="22" t="s">
        <v>113</v>
      </c>
      <c r="J922" s="22" t="s">
        <v>4102</v>
      </c>
      <c r="K922" s="63" t="n">
        <v>738.744771104194</v>
      </c>
      <c r="L922" s="22"/>
      <c r="M922" s="22" t="n">
        <v>1</v>
      </c>
      <c r="N922" s="22" t="s">
        <v>5697</v>
      </c>
    </row>
    <row r="923" customFormat="false" ht="15" hidden="false" customHeight="false" outlineLevel="0" collapsed="false">
      <c r="A923" s="22" t="s">
        <v>5792</v>
      </c>
      <c r="B923" s="22" t="s">
        <v>3785</v>
      </c>
      <c r="C923" s="22" t="s">
        <v>3478</v>
      </c>
      <c r="D923" s="22" t="s">
        <v>5695</v>
      </c>
      <c r="E923" s="22" t="s">
        <v>3787</v>
      </c>
      <c r="F923" s="22" t="s">
        <v>5793</v>
      </c>
      <c r="G923" s="22" t="s">
        <v>4841</v>
      </c>
      <c r="H923" s="63" t="n">
        <v>700</v>
      </c>
      <c r="I923" s="22" t="s">
        <v>601</v>
      </c>
      <c r="J923" s="22" t="s">
        <v>4102</v>
      </c>
      <c r="K923" s="63" t="n">
        <v>318.092580774351</v>
      </c>
      <c r="L923" s="22" t="s">
        <v>2458</v>
      </c>
      <c r="M923" s="22" t="n">
        <v>2</v>
      </c>
      <c r="N923" s="22" t="s">
        <v>5697</v>
      </c>
    </row>
    <row r="924" customFormat="false" ht="15" hidden="false" customHeight="false" outlineLevel="0" collapsed="false">
      <c r="A924" s="22" t="s">
        <v>5794</v>
      </c>
      <c r="B924" s="22" t="s">
        <v>3785</v>
      </c>
      <c r="C924" s="22" t="s">
        <v>3478</v>
      </c>
      <c r="D924" s="22" t="s">
        <v>5695</v>
      </c>
      <c r="E924" s="22" t="s">
        <v>3787</v>
      </c>
      <c r="F924" s="22" t="s">
        <v>5795</v>
      </c>
      <c r="G924" s="22" t="s">
        <v>4841</v>
      </c>
      <c r="H924" s="63" t="n">
        <v>1075</v>
      </c>
      <c r="I924" s="22" t="s">
        <v>601</v>
      </c>
      <c r="J924" s="22" t="s">
        <v>4102</v>
      </c>
      <c r="K924" s="63" t="n">
        <v>488.499320474895</v>
      </c>
      <c r="L924" s="22" t="s">
        <v>2458</v>
      </c>
      <c r="M924" s="22" t="n">
        <v>1</v>
      </c>
      <c r="N924" s="22" t="s">
        <v>5697</v>
      </c>
    </row>
    <row r="925" customFormat="false" ht="15" hidden="false" customHeight="false" outlineLevel="0" collapsed="false">
      <c r="A925" s="22" t="s">
        <v>5796</v>
      </c>
      <c r="B925" s="22" t="s">
        <v>3785</v>
      </c>
      <c r="C925" s="22" t="s">
        <v>3478</v>
      </c>
      <c r="D925" s="22" t="s">
        <v>5695</v>
      </c>
      <c r="E925" s="22" t="s">
        <v>3787</v>
      </c>
      <c r="F925" s="22" t="s">
        <v>5797</v>
      </c>
      <c r="G925" s="22" t="s">
        <v>4841</v>
      </c>
      <c r="H925" s="63" t="n">
        <v>1300</v>
      </c>
      <c r="I925" s="22" t="s">
        <v>601</v>
      </c>
      <c r="J925" s="22" t="s">
        <v>4102</v>
      </c>
      <c r="K925" s="63" t="n">
        <v>590.743364295222</v>
      </c>
      <c r="L925" s="22" t="s">
        <v>2458</v>
      </c>
      <c r="M925" s="22" t="n">
        <v>1</v>
      </c>
      <c r="N925" s="22" t="s">
        <v>5697</v>
      </c>
    </row>
    <row r="926" customFormat="false" ht="15" hidden="false" customHeight="false" outlineLevel="0" collapsed="false">
      <c r="A926" s="22" t="s">
        <v>5798</v>
      </c>
      <c r="B926" s="22" t="s">
        <v>3785</v>
      </c>
      <c r="C926" s="22" t="s">
        <v>3478</v>
      </c>
      <c r="D926" s="22" t="s">
        <v>5695</v>
      </c>
      <c r="E926" s="22" t="s">
        <v>3787</v>
      </c>
      <c r="F926" s="22" t="s">
        <v>5799</v>
      </c>
      <c r="G926" s="22" t="s">
        <v>2355</v>
      </c>
      <c r="H926" s="63" t="n">
        <v>74</v>
      </c>
      <c r="I926" s="22" t="s">
        <v>601</v>
      </c>
      <c r="J926" s="22" t="s">
        <v>4102</v>
      </c>
      <c r="K926" s="63" t="n">
        <v>33.6269299675742</v>
      </c>
      <c r="L926" s="22" t="s">
        <v>2458</v>
      </c>
      <c r="M926" s="22" t="n">
        <v>5</v>
      </c>
      <c r="N926" s="22" t="s">
        <v>5800</v>
      </c>
    </row>
    <row r="927" customFormat="false" ht="15" hidden="false" customHeight="false" outlineLevel="0" collapsed="false">
      <c r="A927" s="22" t="s">
        <v>5801</v>
      </c>
      <c r="B927" s="22" t="s">
        <v>3785</v>
      </c>
      <c r="C927" s="22" t="s">
        <v>3478</v>
      </c>
      <c r="D927" s="22" t="s">
        <v>5695</v>
      </c>
      <c r="E927" s="22" t="s">
        <v>3787</v>
      </c>
      <c r="F927" s="22" t="s">
        <v>5802</v>
      </c>
      <c r="G927" s="22" t="s">
        <v>4841</v>
      </c>
      <c r="H927" s="63" t="n">
        <v>77</v>
      </c>
      <c r="I927" s="22" t="s">
        <v>601</v>
      </c>
      <c r="J927" s="22" t="s">
        <v>4102</v>
      </c>
      <c r="K927" s="63" t="n">
        <v>34.9901838851786</v>
      </c>
      <c r="L927" s="22" t="s">
        <v>2458</v>
      </c>
      <c r="M927" s="22" t="n">
        <v>2</v>
      </c>
      <c r="N927" s="22" t="s">
        <v>5697</v>
      </c>
    </row>
    <row r="928" customFormat="false" ht="15" hidden="false" customHeight="false" outlineLevel="0" collapsed="false">
      <c r="A928" s="22" t="s">
        <v>5803</v>
      </c>
      <c r="B928" s="22" t="s">
        <v>3785</v>
      </c>
      <c r="C928" s="22" t="s">
        <v>3478</v>
      </c>
      <c r="D928" s="22" t="s">
        <v>5695</v>
      </c>
      <c r="E928" s="22" t="s">
        <v>3787</v>
      </c>
      <c r="F928" s="22" t="s">
        <v>5804</v>
      </c>
      <c r="G928" s="22" t="s">
        <v>4841</v>
      </c>
      <c r="H928" s="63" t="n">
        <v>9300</v>
      </c>
      <c r="I928" s="22" t="s">
        <v>112</v>
      </c>
      <c r="J928" s="22" t="s">
        <v>4102</v>
      </c>
      <c r="K928" s="63" t="n">
        <v>12335.1031575812</v>
      </c>
      <c r="L928" s="22" t="s">
        <v>2367</v>
      </c>
      <c r="M928" s="22" t="n">
        <v>2</v>
      </c>
      <c r="N928" s="22" t="s">
        <v>5697</v>
      </c>
    </row>
    <row r="929" customFormat="false" ht="15" hidden="false" customHeight="false" outlineLevel="0" collapsed="false">
      <c r="A929" s="22" t="s">
        <v>5805</v>
      </c>
      <c r="B929" s="22" t="s">
        <v>3785</v>
      </c>
      <c r="C929" s="22" t="s">
        <v>3478</v>
      </c>
      <c r="D929" s="22" t="s">
        <v>5695</v>
      </c>
      <c r="E929" s="22" t="s">
        <v>3787</v>
      </c>
      <c r="F929" s="22" t="s">
        <v>5806</v>
      </c>
      <c r="G929" s="22" t="s">
        <v>4841</v>
      </c>
      <c r="H929" s="63" t="n">
        <v>10400</v>
      </c>
      <c r="I929" s="22" t="s">
        <v>112</v>
      </c>
      <c r="J929" s="22" t="s">
        <v>4102</v>
      </c>
      <c r="K929" s="63" t="n">
        <v>13794.0938536392</v>
      </c>
      <c r="L929" s="22" t="s">
        <v>2367</v>
      </c>
      <c r="M929" s="22" t="n">
        <v>1</v>
      </c>
      <c r="N929" s="22" t="s">
        <v>5697</v>
      </c>
    </row>
    <row r="930" customFormat="false" ht="15" hidden="false" customHeight="false" outlineLevel="0" collapsed="false">
      <c r="A930" s="22" t="s">
        <v>5807</v>
      </c>
      <c r="B930" s="22" t="s">
        <v>3785</v>
      </c>
      <c r="C930" s="22" t="s">
        <v>3478</v>
      </c>
      <c r="D930" s="22" t="s">
        <v>5695</v>
      </c>
      <c r="E930" s="22" t="s">
        <v>3787</v>
      </c>
      <c r="F930" s="22" t="s">
        <v>5808</v>
      </c>
      <c r="G930" s="22" t="s">
        <v>4841</v>
      </c>
      <c r="H930" s="63" t="n">
        <v>658</v>
      </c>
      <c r="I930" s="22" t="s">
        <v>112</v>
      </c>
      <c r="J930" s="22" t="s">
        <v>4102</v>
      </c>
      <c r="K930" s="63" t="n">
        <v>872.741707278324</v>
      </c>
      <c r="L930" s="22" t="s">
        <v>2367</v>
      </c>
      <c r="M930" s="22" t="n">
        <v>1</v>
      </c>
      <c r="N930" s="22" t="s">
        <v>5809</v>
      </c>
    </row>
    <row r="931" customFormat="false" ht="15" hidden="false" customHeight="false" outlineLevel="0" collapsed="false">
      <c r="A931" s="22" t="s">
        <v>5810</v>
      </c>
      <c r="B931" s="22" t="s">
        <v>3785</v>
      </c>
      <c r="C931" s="22" t="s">
        <v>3478</v>
      </c>
      <c r="D931" s="22" t="s">
        <v>5695</v>
      </c>
      <c r="E931" s="22" t="s">
        <v>3787</v>
      </c>
      <c r="F931" s="22" t="s">
        <v>5811</v>
      </c>
      <c r="G931" s="22" t="s">
        <v>4841</v>
      </c>
      <c r="H931" s="63" t="n">
        <v>682</v>
      </c>
      <c r="I931" s="22" t="s">
        <v>112</v>
      </c>
      <c r="J931" s="22" t="s">
        <v>4102</v>
      </c>
      <c r="K931" s="63" t="n">
        <v>904.574231555953</v>
      </c>
      <c r="L931" s="22" t="s">
        <v>2367</v>
      </c>
      <c r="M931" s="22" t="n">
        <v>1</v>
      </c>
      <c r="N931" s="22" t="s">
        <v>5697</v>
      </c>
    </row>
    <row r="932" customFormat="false" ht="15" hidden="false" customHeight="false" outlineLevel="0" collapsed="false">
      <c r="A932" s="22" t="s">
        <v>5812</v>
      </c>
      <c r="B932" s="22" t="s">
        <v>3785</v>
      </c>
      <c r="C932" s="22" t="s">
        <v>3478</v>
      </c>
      <c r="D932" s="22" t="s">
        <v>5695</v>
      </c>
      <c r="E932" s="22" t="s">
        <v>3787</v>
      </c>
      <c r="F932" s="22" t="s">
        <v>5813</v>
      </c>
      <c r="G932" s="22" t="s">
        <v>4841</v>
      </c>
      <c r="H932" s="63" t="n">
        <v>705</v>
      </c>
      <c r="I932" s="22" t="s">
        <v>112</v>
      </c>
      <c r="J932" s="22" t="s">
        <v>4102</v>
      </c>
      <c r="K932" s="63" t="n">
        <v>935.080400655347</v>
      </c>
      <c r="L932" s="22" t="s">
        <v>2367</v>
      </c>
      <c r="M932" s="22" t="n">
        <v>1</v>
      </c>
      <c r="N932" s="22" t="s">
        <v>5697</v>
      </c>
    </row>
    <row r="933" customFormat="false" ht="15" hidden="false" customHeight="false" outlineLevel="0" collapsed="false">
      <c r="A933" s="22" t="s">
        <v>5814</v>
      </c>
      <c r="B933" s="22" t="s">
        <v>3785</v>
      </c>
      <c r="C933" s="22" t="s">
        <v>3478</v>
      </c>
      <c r="D933" s="22" t="s">
        <v>5695</v>
      </c>
      <c r="E933" s="22" t="s">
        <v>3787</v>
      </c>
      <c r="F933" s="22" t="s">
        <v>5815</v>
      </c>
      <c r="G933" s="22" t="s">
        <v>4841</v>
      </c>
      <c r="H933" s="63" t="n">
        <v>935</v>
      </c>
      <c r="I933" s="22" t="s">
        <v>112</v>
      </c>
      <c r="J933" s="22" t="s">
        <v>4102</v>
      </c>
      <c r="K933" s="63" t="n">
        <v>1240.14209164929</v>
      </c>
      <c r="L933" s="22" t="s">
        <v>2367</v>
      </c>
      <c r="M933" s="22" t="n">
        <v>1</v>
      </c>
      <c r="N933" s="22" t="s">
        <v>5697</v>
      </c>
    </row>
    <row r="934" customFormat="false" ht="15" hidden="false" customHeight="false" outlineLevel="0" collapsed="false">
      <c r="A934" s="22" t="s">
        <v>5816</v>
      </c>
      <c r="B934" s="22" t="s">
        <v>3785</v>
      </c>
      <c r="C934" s="22" t="s">
        <v>3478</v>
      </c>
      <c r="D934" s="22" t="s">
        <v>5695</v>
      </c>
      <c r="E934" s="22" t="s">
        <v>3787</v>
      </c>
      <c r="F934" s="22" t="s">
        <v>5817</v>
      </c>
      <c r="G934" s="22" t="s">
        <v>4841</v>
      </c>
      <c r="H934" s="63" t="n">
        <v>1075</v>
      </c>
      <c r="I934" s="22" t="s">
        <v>112</v>
      </c>
      <c r="J934" s="22" t="s">
        <v>4102</v>
      </c>
      <c r="K934" s="63" t="n">
        <v>1425.83181660212</v>
      </c>
      <c r="L934" s="22" t="s">
        <v>2335</v>
      </c>
      <c r="M934" s="22" t="n">
        <v>2</v>
      </c>
      <c r="N934" s="22" t="s">
        <v>5818</v>
      </c>
    </row>
    <row r="935" customFormat="false" ht="15" hidden="false" customHeight="false" outlineLevel="0" collapsed="false">
      <c r="A935" s="22" t="s">
        <v>5819</v>
      </c>
      <c r="B935" s="22" t="s">
        <v>3785</v>
      </c>
      <c r="C935" s="22" t="s">
        <v>3478</v>
      </c>
      <c r="D935" s="22" t="s">
        <v>5695</v>
      </c>
      <c r="E935" s="22" t="s">
        <v>3787</v>
      </c>
      <c r="F935" s="22" t="s">
        <v>5820</v>
      </c>
      <c r="G935" s="22" t="s">
        <v>4841</v>
      </c>
      <c r="H935" s="63" t="n">
        <v>58</v>
      </c>
      <c r="I935" s="22" t="s">
        <v>112</v>
      </c>
      <c r="J935" s="22" t="s">
        <v>4226</v>
      </c>
      <c r="K935" s="63" t="n">
        <v>76.928600337603</v>
      </c>
      <c r="L935" s="22" t="s">
        <v>2367</v>
      </c>
      <c r="M935" s="22" t="n">
        <v>2</v>
      </c>
      <c r="N935" s="22" t="s">
        <v>5697</v>
      </c>
    </row>
    <row r="936" customFormat="false" ht="15" hidden="false" customHeight="false" outlineLevel="0" collapsed="false">
      <c r="A936" s="22" t="s">
        <v>5821</v>
      </c>
      <c r="B936" s="22" t="s">
        <v>3785</v>
      </c>
      <c r="C936" s="22" t="s">
        <v>3478</v>
      </c>
      <c r="D936" s="22" t="s">
        <v>5695</v>
      </c>
      <c r="E936" s="22" t="s">
        <v>3787</v>
      </c>
      <c r="F936" s="22" t="s">
        <v>5822</v>
      </c>
      <c r="G936" s="22" t="s">
        <v>4841</v>
      </c>
      <c r="H936" s="63" t="n">
        <v>720</v>
      </c>
      <c r="I936" s="22" t="s">
        <v>112</v>
      </c>
      <c r="J936" s="22" t="s">
        <v>4226</v>
      </c>
      <c r="K936" s="63" t="n">
        <v>954.975728328865</v>
      </c>
      <c r="L936" s="22" t="s">
        <v>2367</v>
      </c>
      <c r="M936" s="22" t="n">
        <v>1</v>
      </c>
      <c r="N936" s="22" t="s">
        <v>5697</v>
      </c>
    </row>
    <row r="937" customFormat="false" ht="15" hidden="false" customHeight="false" outlineLevel="0" collapsed="false">
      <c r="A937" s="22" t="s">
        <v>5823</v>
      </c>
      <c r="B937" s="22" t="s">
        <v>3785</v>
      </c>
      <c r="C937" s="22" t="s">
        <v>3478</v>
      </c>
      <c r="D937" s="22" t="s">
        <v>5695</v>
      </c>
      <c r="E937" s="22" t="s">
        <v>3787</v>
      </c>
      <c r="F937" s="22" t="s">
        <v>5525</v>
      </c>
      <c r="G937" s="22" t="s">
        <v>853</v>
      </c>
      <c r="H937" s="63" t="n">
        <v>8.65</v>
      </c>
      <c r="I937" s="22" t="s">
        <v>112</v>
      </c>
      <c r="J937" s="22" t="s">
        <v>4102</v>
      </c>
      <c r="K937" s="63" t="n">
        <v>11.4729722917287</v>
      </c>
      <c r="L937" s="22" t="s">
        <v>2367</v>
      </c>
      <c r="M937" s="22" t="n">
        <v>17</v>
      </c>
      <c r="N937" s="22" t="s">
        <v>5824</v>
      </c>
    </row>
    <row r="938" customFormat="false" ht="15" hidden="false" customHeight="false" outlineLevel="0" collapsed="false">
      <c r="A938" s="22" t="s">
        <v>5825</v>
      </c>
      <c r="B938" s="22" t="s">
        <v>3785</v>
      </c>
      <c r="C938" s="22" t="s">
        <v>3478</v>
      </c>
      <c r="D938" s="22" t="s">
        <v>5695</v>
      </c>
      <c r="E938" s="22" t="s">
        <v>3787</v>
      </c>
      <c r="F938" s="22" t="s">
        <v>5528</v>
      </c>
      <c r="G938" s="22" t="s">
        <v>853</v>
      </c>
      <c r="H938" s="63" t="n">
        <v>14.67</v>
      </c>
      <c r="I938" s="22" t="s">
        <v>112</v>
      </c>
      <c r="J938" s="22" t="s">
        <v>4102</v>
      </c>
      <c r="K938" s="63" t="n">
        <v>19.4576304647006</v>
      </c>
      <c r="L938" s="22" t="s">
        <v>2367</v>
      </c>
      <c r="M938" s="22" t="n">
        <v>17</v>
      </c>
      <c r="N938" s="22" t="s">
        <v>5824</v>
      </c>
    </row>
    <row r="939" customFormat="false" ht="15" hidden="false" customHeight="false" outlineLevel="0" collapsed="false">
      <c r="A939" s="22" t="s">
        <v>5826</v>
      </c>
      <c r="B939" s="22" t="s">
        <v>3785</v>
      </c>
      <c r="C939" s="22" t="s">
        <v>3478</v>
      </c>
      <c r="D939" s="22" t="s">
        <v>5695</v>
      </c>
      <c r="E939" s="22" t="s">
        <v>3787</v>
      </c>
      <c r="F939" s="22" t="s">
        <v>5530</v>
      </c>
      <c r="G939" s="22" t="s">
        <v>853</v>
      </c>
      <c r="H939" s="63" t="n">
        <v>20.22</v>
      </c>
      <c r="I939" s="22" t="s">
        <v>112</v>
      </c>
      <c r="J939" s="22" t="s">
        <v>4102</v>
      </c>
      <c r="K939" s="63" t="n">
        <v>26.8189017039023</v>
      </c>
      <c r="L939" s="22" t="s">
        <v>2367</v>
      </c>
      <c r="M939" s="22" t="n">
        <v>18</v>
      </c>
      <c r="N939" s="22" t="s">
        <v>5824</v>
      </c>
    </row>
    <row r="940" customFormat="false" ht="15" hidden="false" customHeight="false" outlineLevel="0" collapsed="false">
      <c r="A940" s="22" t="s">
        <v>5827</v>
      </c>
      <c r="B940" s="22" t="s">
        <v>3785</v>
      </c>
      <c r="C940" s="22" t="s">
        <v>3478</v>
      </c>
      <c r="D940" s="22" t="s">
        <v>5695</v>
      </c>
      <c r="E940" s="22" t="s">
        <v>3787</v>
      </c>
      <c r="F940" s="22" t="s">
        <v>5532</v>
      </c>
      <c r="G940" s="22" t="s">
        <v>853</v>
      </c>
      <c r="H940" s="63" t="n">
        <v>34.88</v>
      </c>
      <c r="I940" s="22" t="s">
        <v>112</v>
      </c>
      <c r="J940" s="22" t="s">
        <v>4102</v>
      </c>
      <c r="K940" s="63" t="n">
        <v>46.2632686168206</v>
      </c>
      <c r="L940" s="22" t="s">
        <v>2367</v>
      </c>
      <c r="M940" s="22" t="n">
        <v>17</v>
      </c>
      <c r="N940" s="22" t="s">
        <v>5824</v>
      </c>
    </row>
    <row r="941" customFormat="false" ht="15" hidden="false" customHeight="false" outlineLevel="0" collapsed="false">
      <c r="A941" s="22" t="s">
        <v>5828</v>
      </c>
      <c r="B941" s="22" t="s">
        <v>3785</v>
      </c>
      <c r="C941" s="22" t="s">
        <v>3478</v>
      </c>
      <c r="D941" s="22" t="s">
        <v>5695</v>
      </c>
      <c r="E941" s="22" t="s">
        <v>3787</v>
      </c>
      <c r="F941" s="22" t="s">
        <v>5829</v>
      </c>
      <c r="G941" s="22" t="s">
        <v>4841</v>
      </c>
      <c r="H941" s="63" t="n">
        <v>4400</v>
      </c>
      <c r="I941" s="22" t="s">
        <v>601</v>
      </c>
      <c r="J941" s="22" t="s">
        <v>4226</v>
      </c>
      <c r="K941" s="63" t="n">
        <v>1999.43907915306</v>
      </c>
      <c r="L941" s="22" t="s">
        <v>2307</v>
      </c>
      <c r="M941" s="22" t="n">
        <v>6</v>
      </c>
      <c r="N941" s="22" t="s">
        <v>5830</v>
      </c>
    </row>
    <row r="942" customFormat="false" ht="15" hidden="false" customHeight="false" outlineLevel="0" collapsed="false">
      <c r="A942" s="22" t="s">
        <v>5831</v>
      </c>
      <c r="B942" s="22" t="s">
        <v>3785</v>
      </c>
      <c r="C942" s="22" t="s">
        <v>3478</v>
      </c>
      <c r="D942" s="22" t="s">
        <v>5695</v>
      </c>
      <c r="E942" s="22" t="s">
        <v>3787</v>
      </c>
      <c r="F942" s="22" t="s">
        <v>5832</v>
      </c>
      <c r="G942" s="22" t="s">
        <v>853</v>
      </c>
      <c r="H942" s="63" t="n">
        <v>4.77</v>
      </c>
      <c r="I942" s="22" t="s">
        <v>601</v>
      </c>
      <c r="J942" s="22" t="s">
        <v>4102</v>
      </c>
      <c r="K942" s="63" t="n">
        <v>2.16757372899093</v>
      </c>
      <c r="L942" s="22" t="s">
        <v>2307</v>
      </c>
      <c r="M942" s="22" t="n">
        <v>12</v>
      </c>
      <c r="N942" s="22" t="s">
        <v>5697</v>
      </c>
    </row>
    <row r="943" customFormat="false" ht="15" hidden="false" customHeight="false" outlineLevel="0" collapsed="false">
      <c r="A943" s="22" t="s">
        <v>5833</v>
      </c>
      <c r="B943" s="22" t="s">
        <v>3785</v>
      </c>
      <c r="C943" s="22" t="s">
        <v>3478</v>
      </c>
      <c r="D943" s="22" t="s">
        <v>5695</v>
      </c>
      <c r="E943" s="22" t="s">
        <v>3787</v>
      </c>
      <c r="F943" s="22" t="s">
        <v>5834</v>
      </c>
      <c r="G943" s="22" t="s">
        <v>853</v>
      </c>
      <c r="H943" s="63" t="n">
        <v>5.6</v>
      </c>
      <c r="I943" s="22" t="s">
        <v>601</v>
      </c>
      <c r="J943" s="22" t="s">
        <v>4102</v>
      </c>
      <c r="K943" s="63" t="n">
        <v>2.5447406461948</v>
      </c>
      <c r="L943" s="22" t="s">
        <v>2367</v>
      </c>
      <c r="M943" s="22" t="n">
        <v>9</v>
      </c>
      <c r="N943" s="22" t="s">
        <v>5697</v>
      </c>
    </row>
    <row r="944" customFormat="false" ht="15" hidden="false" customHeight="false" outlineLevel="0" collapsed="false">
      <c r="A944" s="22" t="s">
        <v>5835</v>
      </c>
      <c r="B944" s="22" t="s">
        <v>3785</v>
      </c>
      <c r="C944" s="22" t="s">
        <v>3478</v>
      </c>
      <c r="D944" s="22" t="s">
        <v>5695</v>
      </c>
      <c r="E944" s="22" t="s">
        <v>3787</v>
      </c>
      <c r="F944" s="22" t="s">
        <v>5836</v>
      </c>
      <c r="G944" s="22" t="s">
        <v>853</v>
      </c>
      <c r="H944" s="63" t="n">
        <v>7.08</v>
      </c>
      <c r="I944" s="22" t="s">
        <v>601</v>
      </c>
      <c r="J944" s="22" t="s">
        <v>4102</v>
      </c>
      <c r="K944" s="63" t="n">
        <v>3.21727924554629</v>
      </c>
      <c r="L944" s="22" t="s">
        <v>2335</v>
      </c>
      <c r="M944" s="22" t="n">
        <v>1</v>
      </c>
      <c r="N944" s="22" t="s">
        <v>5697</v>
      </c>
    </row>
    <row r="945" customFormat="false" ht="15" hidden="false" customHeight="false" outlineLevel="0" collapsed="false">
      <c r="A945" s="22" t="s">
        <v>5837</v>
      </c>
      <c r="B945" s="22" t="s">
        <v>3785</v>
      </c>
      <c r="C945" s="22" t="s">
        <v>3478</v>
      </c>
      <c r="D945" s="22" t="s">
        <v>5695</v>
      </c>
      <c r="E945" s="22" t="s">
        <v>3787</v>
      </c>
      <c r="F945" s="22" t="s">
        <v>5838</v>
      </c>
      <c r="G945" s="22" t="s">
        <v>4841</v>
      </c>
      <c r="H945" s="63" t="n">
        <v>1805</v>
      </c>
      <c r="I945" s="22" t="s">
        <v>112</v>
      </c>
      <c r="J945" s="22" t="s">
        <v>4102</v>
      </c>
      <c r="K945" s="63" t="n">
        <v>2394.07109671334</v>
      </c>
      <c r="L945" s="22" t="s">
        <v>2846</v>
      </c>
      <c r="M945" s="22" t="n">
        <v>1</v>
      </c>
      <c r="N945" s="22" t="s">
        <v>5839</v>
      </c>
    </row>
    <row r="946" customFormat="false" ht="15" hidden="false" customHeight="false" outlineLevel="0" collapsed="false">
      <c r="A946" s="22" t="s">
        <v>5840</v>
      </c>
      <c r="B946" s="22" t="s">
        <v>3785</v>
      </c>
      <c r="C946" s="22" t="s">
        <v>3478</v>
      </c>
      <c r="D946" s="22" t="s">
        <v>5695</v>
      </c>
      <c r="E946" s="22" t="s">
        <v>3787</v>
      </c>
      <c r="F946" s="22" t="s">
        <v>5841</v>
      </c>
      <c r="G946" s="22" t="s">
        <v>4841</v>
      </c>
      <c r="H946" s="63" t="n">
        <v>37550</v>
      </c>
      <c r="I946" s="22" t="s">
        <v>112</v>
      </c>
      <c r="J946" s="22" t="s">
        <v>4102</v>
      </c>
      <c r="K946" s="63" t="n">
        <v>49804.6369427068</v>
      </c>
      <c r="L946" s="22" t="s">
        <v>2846</v>
      </c>
      <c r="M946" s="22" t="n">
        <v>1</v>
      </c>
      <c r="N946" s="22" t="s">
        <v>5842</v>
      </c>
    </row>
    <row r="947" customFormat="false" ht="15" hidden="false" customHeight="false" outlineLevel="0" collapsed="false">
      <c r="A947" s="22" t="s">
        <v>5843</v>
      </c>
      <c r="B947" s="22" t="s">
        <v>3785</v>
      </c>
      <c r="C947" s="22" t="s">
        <v>3478</v>
      </c>
      <c r="D947" s="22" t="s">
        <v>5695</v>
      </c>
      <c r="E947" s="22" t="s">
        <v>3787</v>
      </c>
      <c r="F947" s="22" t="s">
        <v>5844</v>
      </c>
      <c r="G947" s="22" t="s">
        <v>4841</v>
      </c>
      <c r="H947" s="63" t="n">
        <v>9560</v>
      </c>
      <c r="I947" s="22" t="s">
        <v>112</v>
      </c>
      <c r="J947" s="22" t="s">
        <v>4102</v>
      </c>
      <c r="K947" s="63" t="n">
        <v>12679.9555039222</v>
      </c>
      <c r="L947" s="22" t="s">
        <v>2846</v>
      </c>
      <c r="M947" s="22" t="n">
        <v>1</v>
      </c>
      <c r="N947" s="22" t="s">
        <v>5697</v>
      </c>
    </row>
    <row r="948" customFormat="false" ht="15" hidden="false" customHeight="false" outlineLevel="0" collapsed="false">
      <c r="A948" s="22" t="s">
        <v>5845</v>
      </c>
      <c r="B948" s="22" t="s">
        <v>3785</v>
      </c>
      <c r="C948" s="22" t="s">
        <v>3478</v>
      </c>
      <c r="D948" s="22" t="s">
        <v>5695</v>
      </c>
      <c r="E948" s="22" t="s">
        <v>3787</v>
      </c>
      <c r="F948" s="22" t="s">
        <v>5846</v>
      </c>
      <c r="G948" s="22" t="s">
        <v>4005</v>
      </c>
      <c r="H948" s="63" t="n">
        <v>1226</v>
      </c>
      <c r="I948" s="22" t="s">
        <v>112</v>
      </c>
      <c r="J948" s="22" t="s">
        <v>4102</v>
      </c>
      <c r="K948" s="63" t="n">
        <v>1626.11144851554</v>
      </c>
      <c r="L948" s="22" t="s">
        <v>2846</v>
      </c>
      <c r="M948" s="22" t="n">
        <v>1</v>
      </c>
      <c r="N948" s="22" t="s">
        <v>5697</v>
      </c>
    </row>
    <row r="949" customFormat="false" ht="15" hidden="false" customHeight="false" outlineLevel="0" collapsed="false">
      <c r="A949" s="22" t="s">
        <v>5847</v>
      </c>
      <c r="B949" s="22" t="s">
        <v>3785</v>
      </c>
      <c r="C949" s="22" t="s">
        <v>3478</v>
      </c>
      <c r="D949" s="22" t="s">
        <v>5695</v>
      </c>
      <c r="E949" s="22" t="s">
        <v>3787</v>
      </c>
      <c r="F949" s="22" t="s">
        <v>5848</v>
      </c>
      <c r="G949" s="22" t="s">
        <v>4005</v>
      </c>
      <c r="H949" s="63" t="n">
        <v>381</v>
      </c>
      <c r="I949" s="22" t="s">
        <v>112</v>
      </c>
      <c r="J949" s="22" t="s">
        <v>4102</v>
      </c>
      <c r="K949" s="63" t="n">
        <v>505.341322907358</v>
      </c>
      <c r="L949" s="22" t="s">
        <v>2846</v>
      </c>
      <c r="M949" s="22" t="n">
        <v>1</v>
      </c>
      <c r="N949" s="22" t="s">
        <v>5697</v>
      </c>
    </row>
    <row r="950" customFormat="false" ht="15" hidden="false" customHeight="false" outlineLevel="0" collapsed="false">
      <c r="A950" s="22" t="s">
        <v>5849</v>
      </c>
      <c r="B950" s="22" t="s">
        <v>3785</v>
      </c>
      <c r="C950" s="22" t="s">
        <v>3478</v>
      </c>
      <c r="D950" s="22" t="s">
        <v>5850</v>
      </c>
      <c r="E950" s="22" t="s">
        <v>5851</v>
      </c>
      <c r="F950" s="22" t="s">
        <v>5852</v>
      </c>
      <c r="G950" s="22" t="s">
        <v>4114</v>
      </c>
      <c r="H950" s="63" t="n">
        <v>108</v>
      </c>
      <c r="I950" s="22" t="s">
        <v>601</v>
      </c>
      <c r="J950" s="22"/>
      <c r="K950" s="63" t="n">
        <v>47.9053269385273</v>
      </c>
      <c r="L950" s="22" t="s">
        <v>2730</v>
      </c>
      <c r="M950" s="22" t="n">
        <v>3</v>
      </c>
      <c r="N950" s="22" t="s">
        <v>5853</v>
      </c>
    </row>
    <row r="951" customFormat="false" ht="15" hidden="false" customHeight="false" outlineLevel="0" collapsed="false">
      <c r="A951" s="22" t="s">
        <v>5854</v>
      </c>
      <c r="B951" s="22" t="s">
        <v>3785</v>
      </c>
      <c r="C951" s="22" t="s">
        <v>3478</v>
      </c>
      <c r="D951" s="22" t="s">
        <v>5850</v>
      </c>
      <c r="E951" s="22" t="s">
        <v>5851</v>
      </c>
      <c r="F951" s="22" t="s">
        <v>5855</v>
      </c>
      <c r="G951" s="22" t="s">
        <v>5318</v>
      </c>
      <c r="H951" s="63" t="n">
        <v>126</v>
      </c>
      <c r="I951" s="22" t="s">
        <v>601</v>
      </c>
      <c r="J951" s="22"/>
      <c r="K951" s="63" t="n">
        <v>55.8895480949485</v>
      </c>
      <c r="L951" s="22" t="s">
        <v>2730</v>
      </c>
      <c r="M951" s="22" t="n">
        <v>1</v>
      </c>
      <c r="N951" s="22" t="s">
        <v>5853</v>
      </c>
    </row>
    <row r="952" customFormat="false" ht="15" hidden="false" customHeight="false" outlineLevel="0" collapsed="false">
      <c r="A952" s="22" t="s">
        <v>5856</v>
      </c>
      <c r="B952" s="22" t="s">
        <v>3785</v>
      </c>
      <c r="C952" s="22" t="s">
        <v>3478</v>
      </c>
      <c r="D952" s="22" t="s">
        <v>5850</v>
      </c>
      <c r="E952" s="22" t="s">
        <v>5851</v>
      </c>
      <c r="F952" s="22" t="s">
        <v>5857</v>
      </c>
      <c r="G952" s="22" t="s">
        <v>4114</v>
      </c>
      <c r="H952" s="63" t="n">
        <v>129</v>
      </c>
      <c r="I952" s="22" t="s">
        <v>601</v>
      </c>
      <c r="J952" s="22"/>
      <c r="K952" s="63" t="n">
        <v>57.2202516210187</v>
      </c>
      <c r="L952" s="22" t="s">
        <v>2730</v>
      </c>
      <c r="M952" s="22" t="n">
        <v>3</v>
      </c>
      <c r="N952" s="22" t="s">
        <v>5853</v>
      </c>
    </row>
    <row r="953" customFormat="false" ht="15" hidden="false" customHeight="false" outlineLevel="0" collapsed="false">
      <c r="A953" s="22" t="s">
        <v>5858</v>
      </c>
      <c r="B953" s="22" t="s">
        <v>3785</v>
      </c>
      <c r="C953" s="22" t="s">
        <v>3478</v>
      </c>
      <c r="D953" s="22" t="s">
        <v>5850</v>
      </c>
      <c r="E953" s="22" t="s">
        <v>5851</v>
      </c>
      <c r="F953" s="22" t="s">
        <v>5859</v>
      </c>
      <c r="G953" s="22" t="s">
        <v>4114</v>
      </c>
      <c r="H953" s="63" t="n">
        <v>141</v>
      </c>
      <c r="I953" s="22" t="s">
        <v>601</v>
      </c>
      <c r="J953" s="22"/>
      <c r="K953" s="63" t="n">
        <v>62.5430657252995</v>
      </c>
      <c r="L953" s="22" t="s">
        <v>2730</v>
      </c>
      <c r="M953" s="22" t="n">
        <v>1</v>
      </c>
      <c r="N953" s="22" t="s">
        <v>5853</v>
      </c>
    </row>
    <row r="954" customFormat="false" ht="15" hidden="false" customHeight="false" outlineLevel="0" collapsed="false">
      <c r="A954" s="22" t="s">
        <v>5860</v>
      </c>
      <c r="B954" s="22" t="s">
        <v>3785</v>
      </c>
      <c r="C954" s="22" t="s">
        <v>3478</v>
      </c>
      <c r="D954" s="22" t="s">
        <v>5850</v>
      </c>
      <c r="E954" s="22" t="s">
        <v>5851</v>
      </c>
      <c r="F954" s="22" t="s">
        <v>5861</v>
      </c>
      <c r="G954" s="22" t="s">
        <v>4114</v>
      </c>
      <c r="H954" s="63" t="n">
        <v>260</v>
      </c>
      <c r="I954" s="22" t="s">
        <v>601</v>
      </c>
      <c r="J954" s="22"/>
      <c r="K954" s="63" t="n">
        <v>115.327638926084</v>
      </c>
      <c r="L954" s="22" t="s">
        <v>2730</v>
      </c>
      <c r="M954" s="22" t="n">
        <v>1</v>
      </c>
      <c r="N954" s="22" t="s">
        <v>5853</v>
      </c>
    </row>
    <row r="955" customFormat="false" ht="15" hidden="false" customHeight="false" outlineLevel="0" collapsed="false">
      <c r="A955" s="22" t="s">
        <v>5862</v>
      </c>
      <c r="B955" s="22" t="s">
        <v>3785</v>
      </c>
      <c r="C955" s="22" t="s">
        <v>3478</v>
      </c>
      <c r="D955" s="22" t="s">
        <v>5850</v>
      </c>
      <c r="E955" s="22" t="s">
        <v>5851</v>
      </c>
      <c r="F955" s="22" t="s">
        <v>5863</v>
      </c>
      <c r="G955" s="22" t="s">
        <v>5318</v>
      </c>
      <c r="H955" s="63" t="n">
        <v>185</v>
      </c>
      <c r="I955" s="22" t="s">
        <v>601</v>
      </c>
      <c r="J955" s="22"/>
      <c r="K955" s="63" t="n">
        <v>82.0600507743292</v>
      </c>
      <c r="L955" s="22" t="s">
        <v>2730</v>
      </c>
      <c r="M955" s="22" t="n">
        <v>1</v>
      </c>
      <c r="N955" s="22" t="s">
        <v>5853</v>
      </c>
    </row>
    <row r="956" customFormat="false" ht="15" hidden="false" customHeight="false" outlineLevel="0" collapsed="false">
      <c r="A956" s="22" t="s">
        <v>5864</v>
      </c>
      <c r="B956" s="22" t="s">
        <v>3785</v>
      </c>
      <c r="C956" s="22" t="s">
        <v>3478</v>
      </c>
      <c r="D956" s="22" t="s">
        <v>5850</v>
      </c>
      <c r="E956" s="22" t="s">
        <v>5851</v>
      </c>
      <c r="F956" s="22" t="s">
        <v>5865</v>
      </c>
      <c r="G956" s="22" t="s">
        <v>4114</v>
      </c>
      <c r="H956" s="63" t="n">
        <v>165</v>
      </c>
      <c r="I956" s="22" t="s">
        <v>601</v>
      </c>
      <c r="J956" s="22"/>
      <c r="K956" s="63" t="n">
        <v>73.1886939338612</v>
      </c>
      <c r="L956" s="22" t="s">
        <v>2730</v>
      </c>
      <c r="M956" s="22" t="n">
        <v>1</v>
      </c>
      <c r="N956" s="22" t="s">
        <v>5853</v>
      </c>
    </row>
    <row r="957" customFormat="false" ht="15" hidden="false" customHeight="false" outlineLevel="0" collapsed="false">
      <c r="A957" s="22" t="s">
        <v>5866</v>
      </c>
      <c r="B957" s="22" t="s">
        <v>3785</v>
      </c>
      <c r="C957" s="22" t="s">
        <v>3478</v>
      </c>
      <c r="D957" s="22" t="s">
        <v>5850</v>
      </c>
      <c r="E957" s="22" t="s">
        <v>5851</v>
      </c>
      <c r="F957" s="22" t="s">
        <v>5867</v>
      </c>
      <c r="G957" s="22" t="s">
        <v>4114</v>
      </c>
      <c r="H957" s="63" t="n">
        <v>72</v>
      </c>
      <c r="I957" s="22" t="s">
        <v>601</v>
      </c>
      <c r="J957" s="22"/>
      <c r="K957" s="63" t="n">
        <v>31.9368846256849</v>
      </c>
      <c r="L957" s="22" t="s">
        <v>2654</v>
      </c>
      <c r="M957" s="22" t="n">
        <v>6</v>
      </c>
      <c r="N957" s="22" t="s">
        <v>5853</v>
      </c>
    </row>
    <row r="958" customFormat="false" ht="15" hidden="false" customHeight="false" outlineLevel="0" collapsed="false">
      <c r="A958" s="22" t="s">
        <v>5868</v>
      </c>
      <c r="B958" s="22" t="s">
        <v>3785</v>
      </c>
      <c r="C958" s="22" t="s">
        <v>3478</v>
      </c>
      <c r="D958" s="22" t="s">
        <v>5850</v>
      </c>
      <c r="E958" s="22" t="s">
        <v>5851</v>
      </c>
      <c r="F958" s="22" t="s">
        <v>5869</v>
      </c>
      <c r="G958" s="22" t="s">
        <v>4114</v>
      </c>
      <c r="H958" s="63" t="n">
        <v>8650</v>
      </c>
      <c r="I958" s="22" t="s">
        <v>601</v>
      </c>
      <c r="J958" s="22"/>
      <c r="K958" s="63" t="n">
        <v>3836.86183350242</v>
      </c>
      <c r="L958" s="22" t="s">
        <v>2730</v>
      </c>
      <c r="M958" s="22" t="n">
        <v>1</v>
      </c>
      <c r="N958" s="22" t="s">
        <v>5870</v>
      </c>
    </row>
    <row r="959" customFormat="false" ht="15" hidden="false" customHeight="false" outlineLevel="0" collapsed="false">
      <c r="A959" s="22" t="s">
        <v>5871</v>
      </c>
      <c r="B959" s="22" t="s">
        <v>3785</v>
      </c>
      <c r="C959" s="22" t="s">
        <v>3478</v>
      </c>
      <c r="D959" s="22" t="s">
        <v>5850</v>
      </c>
      <c r="E959" s="22" t="s">
        <v>5851</v>
      </c>
      <c r="F959" s="22" t="s">
        <v>5872</v>
      </c>
      <c r="G959" s="22" t="s">
        <v>4114</v>
      </c>
      <c r="H959" s="63" t="n">
        <v>2640</v>
      </c>
      <c r="I959" s="22" t="s">
        <v>601</v>
      </c>
      <c r="J959" s="22"/>
      <c r="K959" s="63" t="n">
        <v>1171.01910294178</v>
      </c>
      <c r="L959" s="22" t="s">
        <v>2730</v>
      </c>
      <c r="M959" s="22" t="n">
        <v>1</v>
      </c>
      <c r="N959" s="22" t="s">
        <v>5873</v>
      </c>
    </row>
    <row r="960" customFormat="false" ht="15" hidden="false" customHeight="false" outlineLevel="0" collapsed="false">
      <c r="A960" s="22" t="s">
        <v>5874</v>
      </c>
      <c r="B960" s="22" t="s">
        <v>3785</v>
      </c>
      <c r="C960" s="22" t="s">
        <v>3478</v>
      </c>
      <c r="D960" s="22" t="s">
        <v>5850</v>
      </c>
      <c r="E960" s="22" t="s">
        <v>5851</v>
      </c>
      <c r="F960" s="22" t="s">
        <v>5449</v>
      </c>
      <c r="G960" s="22" t="s">
        <v>4125</v>
      </c>
      <c r="H960" s="63" t="n">
        <v>10.9</v>
      </c>
      <c r="I960" s="22" t="s">
        <v>601</v>
      </c>
      <c r="J960" s="22"/>
      <c r="K960" s="63" t="n">
        <v>4.83488947805507</v>
      </c>
      <c r="L960" s="22" t="s">
        <v>2846</v>
      </c>
      <c r="M960" s="22" t="n">
        <v>1</v>
      </c>
      <c r="N960" s="22" t="s">
        <v>5875</v>
      </c>
    </row>
    <row r="961" customFormat="false" ht="15" hidden="false" customHeight="false" outlineLevel="0" collapsed="false">
      <c r="A961" s="22" t="s">
        <v>5876</v>
      </c>
      <c r="B961" s="22" t="s">
        <v>3785</v>
      </c>
      <c r="C961" s="22" t="s">
        <v>3478</v>
      </c>
      <c r="D961" s="22" t="s">
        <v>5850</v>
      </c>
      <c r="E961" s="22" t="s">
        <v>5851</v>
      </c>
      <c r="F961" s="22" t="s">
        <v>5451</v>
      </c>
      <c r="G961" s="22" t="s">
        <v>4125</v>
      </c>
      <c r="H961" s="63" t="n">
        <v>19.9</v>
      </c>
      <c r="I961" s="22" t="s">
        <v>601</v>
      </c>
      <c r="J961" s="22"/>
      <c r="K961" s="63" t="n">
        <v>8.82700005626568</v>
      </c>
      <c r="L961" s="22" t="s">
        <v>2846</v>
      </c>
      <c r="M961" s="22" t="n">
        <v>1</v>
      </c>
      <c r="N961" s="22" t="s">
        <v>5875</v>
      </c>
    </row>
    <row r="962" customFormat="false" ht="15" hidden="false" customHeight="false" outlineLevel="0" collapsed="false">
      <c r="A962" s="22" t="s">
        <v>5877</v>
      </c>
      <c r="B962" s="22" t="s">
        <v>3785</v>
      </c>
      <c r="C962" s="22" t="s">
        <v>3478</v>
      </c>
      <c r="D962" s="22" t="s">
        <v>5850</v>
      </c>
      <c r="E962" s="22" t="s">
        <v>5851</v>
      </c>
      <c r="F962" s="22" t="s">
        <v>5453</v>
      </c>
      <c r="G962" s="22" t="s">
        <v>4125</v>
      </c>
      <c r="H962" s="63" t="n">
        <v>24.2</v>
      </c>
      <c r="I962" s="22" t="s">
        <v>601</v>
      </c>
      <c r="J962" s="22"/>
      <c r="K962" s="63" t="n">
        <v>10.7343417769663</v>
      </c>
      <c r="L962" s="22" t="s">
        <v>2846</v>
      </c>
      <c r="M962" s="22" t="n">
        <v>1</v>
      </c>
      <c r="N962" s="22" t="s">
        <v>5875</v>
      </c>
    </row>
    <row r="963" customFormat="false" ht="15" hidden="false" customHeight="false" outlineLevel="0" collapsed="false">
      <c r="A963" s="22" t="s">
        <v>5878</v>
      </c>
      <c r="B963" s="22" t="s">
        <v>3785</v>
      </c>
      <c r="C963" s="22" t="s">
        <v>3478</v>
      </c>
      <c r="D963" s="22" t="s">
        <v>5850</v>
      </c>
      <c r="E963" s="22" t="s">
        <v>5851</v>
      </c>
      <c r="F963" s="22" t="s">
        <v>5457</v>
      </c>
      <c r="G963" s="22" t="s">
        <v>4125</v>
      </c>
      <c r="H963" s="63" t="n">
        <v>49.8</v>
      </c>
      <c r="I963" s="22" t="s">
        <v>601</v>
      </c>
      <c r="J963" s="22"/>
      <c r="K963" s="63" t="n">
        <v>22.0896785327654</v>
      </c>
      <c r="L963" s="22" t="s">
        <v>2550</v>
      </c>
      <c r="M963" s="22" t="n">
        <v>3</v>
      </c>
      <c r="N963" s="22" t="s">
        <v>5875</v>
      </c>
    </row>
    <row r="964" customFormat="false" ht="15" hidden="false" customHeight="false" outlineLevel="0" collapsed="false">
      <c r="A964" s="22" t="s">
        <v>5879</v>
      </c>
      <c r="B964" s="22" t="s">
        <v>3785</v>
      </c>
      <c r="C964" s="22" t="s">
        <v>3478</v>
      </c>
      <c r="D964" s="22" t="s">
        <v>5850</v>
      </c>
      <c r="E964" s="22" t="s">
        <v>5851</v>
      </c>
      <c r="F964" s="22" t="s">
        <v>5880</v>
      </c>
      <c r="G964" s="22" t="s">
        <v>4125</v>
      </c>
      <c r="H964" s="63" t="n">
        <v>63.2</v>
      </c>
      <c r="I964" s="22" t="s">
        <v>601</v>
      </c>
      <c r="J964" s="22"/>
      <c r="K964" s="63" t="n">
        <v>28.0334876158789</v>
      </c>
      <c r="L964" s="22" t="s">
        <v>2846</v>
      </c>
      <c r="M964" s="22" t="n">
        <v>2</v>
      </c>
      <c r="N964" s="22" t="s">
        <v>5875</v>
      </c>
    </row>
    <row r="965" customFormat="false" ht="15" hidden="false" customHeight="false" outlineLevel="0" collapsed="false">
      <c r="A965" s="22" t="s">
        <v>5881</v>
      </c>
      <c r="B965" s="22" t="s">
        <v>3785</v>
      </c>
      <c r="C965" s="22" t="s">
        <v>3478</v>
      </c>
      <c r="D965" s="22" t="s">
        <v>5850</v>
      </c>
      <c r="E965" s="22" t="s">
        <v>5851</v>
      </c>
      <c r="F965" s="22" t="s">
        <v>5882</v>
      </c>
      <c r="G965" s="22" t="s">
        <v>4125</v>
      </c>
      <c r="H965" s="63" t="n">
        <v>88.3</v>
      </c>
      <c r="I965" s="22" t="s">
        <v>601</v>
      </c>
      <c r="J965" s="22"/>
      <c r="K965" s="63" t="n">
        <v>39.1670404506663</v>
      </c>
      <c r="L965" s="22" t="s">
        <v>2550</v>
      </c>
      <c r="M965" s="22" t="n">
        <v>3</v>
      </c>
      <c r="N965" s="22" t="s">
        <v>5875</v>
      </c>
    </row>
    <row r="966" customFormat="false" ht="15" hidden="false" customHeight="false" outlineLevel="0" collapsed="false">
      <c r="A966" s="22" t="s">
        <v>5883</v>
      </c>
      <c r="B966" s="22" t="s">
        <v>3785</v>
      </c>
      <c r="C966" s="22" t="s">
        <v>3478</v>
      </c>
      <c r="D966" s="22" t="s">
        <v>5850</v>
      </c>
      <c r="E966" s="22" t="s">
        <v>5851</v>
      </c>
      <c r="F966" s="22" t="s">
        <v>5469</v>
      </c>
      <c r="G966" s="22" t="s">
        <v>4125</v>
      </c>
      <c r="H966" s="63" t="n">
        <v>10.4</v>
      </c>
      <c r="I966" s="22" t="s">
        <v>601</v>
      </c>
      <c r="J966" s="22"/>
      <c r="K966" s="63" t="n">
        <v>4.61310555704337</v>
      </c>
      <c r="L966" s="22" t="s">
        <v>2819</v>
      </c>
      <c r="M966" s="22" t="n">
        <v>1</v>
      </c>
      <c r="N966" s="22" t="s">
        <v>5884</v>
      </c>
    </row>
    <row r="967" customFormat="false" ht="15" hidden="false" customHeight="false" outlineLevel="0" collapsed="false">
      <c r="A967" s="22" t="s">
        <v>5885</v>
      </c>
      <c r="B967" s="22" t="s">
        <v>3785</v>
      </c>
      <c r="C967" s="22" t="s">
        <v>3478</v>
      </c>
      <c r="D967" s="22" t="s">
        <v>5850</v>
      </c>
      <c r="E967" s="22" t="s">
        <v>5851</v>
      </c>
      <c r="F967" s="22" t="s">
        <v>5471</v>
      </c>
      <c r="G967" s="22" t="s">
        <v>4125</v>
      </c>
      <c r="H967" s="63" t="n">
        <v>15.45</v>
      </c>
      <c r="I967" s="22" t="s">
        <v>601</v>
      </c>
      <c r="J967" s="22"/>
      <c r="K967" s="63" t="n">
        <v>6.85312315926154</v>
      </c>
      <c r="L967" s="22" t="s">
        <v>2819</v>
      </c>
      <c r="M967" s="22" t="n">
        <v>4</v>
      </c>
      <c r="N967" s="22" t="s">
        <v>5884</v>
      </c>
    </row>
    <row r="968" customFormat="false" ht="15" hidden="false" customHeight="false" outlineLevel="0" collapsed="false">
      <c r="A968" s="22" t="s">
        <v>5886</v>
      </c>
      <c r="B968" s="22" t="s">
        <v>3785</v>
      </c>
      <c r="C968" s="22" t="s">
        <v>3478</v>
      </c>
      <c r="D968" s="22" t="s">
        <v>5850</v>
      </c>
      <c r="E968" s="22" t="s">
        <v>5851</v>
      </c>
      <c r="F968" s="22" t="s">
        <v>5473</v>
      </c>
      <c r="G968" s="22" t="s">
        <v>4125</v>
      </c>
      <c r="H968" s="63" t="n">
        <v>24.2</v>
      </c>
      <c r="I968" s="22" t="s">
        <v>601</v>
      </c>
      <c r="J968" s="22"/>
      <c r="K968" s="63" t="n">
        <v>10.7343417769663</v>
      </c>
      <c r="L968" s="22" t="s">
        <v>2819</v>
      </c>
      <c r="M968" s="22" t="n">
        <v>21</v>
      </c>
      <c r="N968" s="22" t="s">
        <v>5884</v>
      </c>
    </row>
    <row r="969" customFormat="false" ht="15" hidden="false" customHeight="false" outlineLevel="0" collapsed="false">
      <c r="A969" s="22" t="s">
        <v>5887</v>
      </c>
      <c r="B969" s="22" t="s">
        <v>3785</v>
      </c>
      <c r="C969" s="22" t="s">
        <v>3478</v>
      </c>
      <c r="D969" s="22" t="s">
        <v>5850</v>
      </c>
      <c r="E969" s="22" t="s">
        <v>5851</v>
      </c>
      <c r="F969" s="22" t="s">
        <v>5475</v>
      </c>
      <c r="G969" s="22" t="s">
        <v>4125</v>
      </c>
      <c r="H969" s="63" t="n">
        <v>36.2</v>
      </c>
      <c r="I969" s="22" t="s">
        <v>601</v>
      </c>
      <c r="J969" s="22"/>
      <c r="K969" s="63" t="n">
        <v>16.0571558812471</v>
      </c>
      <c r="L969" s="22" t="s">
        <v>2819</v>
      </c>
      <c r="M969" s="22" t="n">
        <v>4</v>
      </c>
      <c r="N969" s="22" t="s">
        <v>5884</v>
      </c>
    </row>
    <row r="970" customFormat="false" ht="15" hidden="false" customHeight="false" outlineLevel="0" collapsed="false">
      <c r="A970" s="22" t="s">
        <v>5888</v>
      </c>
      <c r="B970" s="22" t="s">
        <v>3785</v>
      </c>
      <c r="C970" s="22" t="s">
        <v>3478</v>
      </c>
      <c r="D970" s="22" t="s">
        <v>5850</v>
      </c>
      <c r="E970" s="22" t="s">
        <v>5851</v>
      </c>
      <c r="F970" s="22" t="s">
        <v>5608</v>
      </c>
      <c r="G970" s="22" t="s">
        <v>4125</v>
      </c>
      <c r="H970" s="63" t="n">
        <v>41.2</v>
      </c>
      <c r="I970" s="22" t="s">
        <v>601</v>
      </c>
      <c r="J970" s="22"/>
      <c r="K970" s="63" t="n">
        <v>18.2749950913641</v>
      </c>
      <c r="L970" s="22"/>
      <c r="M970" s="22" t="n">
        <v>1</v>
      </c>
      <c r="N970" s="22" t="s">
        <v>5884</v>
      </c>
    </row>
    <row r="971" customFormat="false" ht="15" hidden="false" customHeight="false" outlineLevel="0" collapsed="false">
      <c r="A971" s="22" t="s">
        <v>5889</v>
      </c>
      <c r="B971" s="22" t="s">
        <v>3785</v>
      </c>
      <c r="C971" s="22" t="s">
        <v>3478</v>
      </c>
      <c r="D971" s="22" t="s">
        <v>5850</v>
      </c>
      <c r="E971" s="22" t="s">
        <v>5851</v>
      </c>
      <c r="F971" s="22" t="s">
        <v>5477</v>
      </c>
      <c r="G971" s="22" t="s">
        <v>4125</v>
      </c>
      <c r="H971" s="63" t="n">
        <v>45.2</v>
      </c>
      <c r="I971" s="22" t="s">
        <v>601</v>
      </c>
      <c r="J971" s="22"/>
      <c r="K971" s="63" t="n">
        <v>20.0492664594577</v>
      </c>
      <c r="L971" s="22"/>
      <c r="M971" s="22" t="n">
        <v>1</v>
      </c>
      <c r="N971" s="22" t="s">
        <v>5884</v>
      </c>
    </row>
    <row r="972" customFormat="false" ht="15" hidden="false" customHeight="false" outlineLevel="0" collapsed="false">
      <c r="A972" s="22" t="s">
        <v>5890</v>
      </c>
      <c r="B972" s="22" t="s">
        <v>3785</v>
      </c>
      <c r="C972" s="22" t="s">
        <v>3478</v>
      </c>
      <c r="D972" s="22" t="s">
        <v>5850</v>
      </c>
      <c r="E972" s="22" t="s">
        <v>5851</v>
      </c>
      <c r="F972" s="22" t="s">
        <v>5891</v>
      </c>
      <c r="G972" s="22" t="s">
        <v>5892</v>
      </c>
      <c r="H972" s="63" t="n">
        <v>23800</v>
      </c>
      <c r="I972" s="22" t="s">
        <v>601</v>
      </c>
      <c r="J972" s="22"/>
      <c r="K972" s="63" t="n">
        <v>10556.9146401569</v>
      </c>
      <c r="L972" s="22" t="s">
        <v>2722</v>
      </c>
      <c r="M972" s="22" t="n">
        <v>1</v>
      </c>
      <c r="N972" s="22" t="s">
        <v>5853</v>
      </c>
    </row>
    <row r="973" customFormat="false" ht="15" hidden="false" customHeight="false" outlineLevel="0" collapsed="false">
      <c r="A973" s="22" t="s">
        <v>5893</v>
      </c>
      <c r="B973" s="22" t="s">
        <v>3785</v>
      </c>
      <c r="C973" s="22" t="s">
        <v>3478</v>
      </c>
      <c r="D973" s="22" t="s">
        <v>5850</v>
      </c>
      <c r="E973" s="22" t="s">
        <v>5851</v>
      </c>
      <c r="F973" s="22" t="s">
        <v>5459</v>
      </c>
      <c r="G973" s="22" t="s">
        <v>4125</v>
      </c>
      <c r="H973" s="63" t="n">
        <v>4.45</v>
      </c>
      <c r="I973" s="22" t="s">
        <v>601</v>
      </c>
      <c r="J973" s="22"/>
      <c r="K973" s="63" t="n">
        <v>1.97387689700413</v>
      </c>
      <c r="L973" s="22" t="s">
        <v>2730</v>
      </c>
      <c r="M973" s="22" t="n">
        <v>12</v>
      </c>
      <c r="N973" s="22" t="s">
        <v>5894</v>
      </c>
    </row>
    <row r="974" customFormat="false" ht="15" hidden="false" customHeight="false" outlineLevel="0" collapsed="false">
      <c r="A974" s="22" t="s">
        <v>5895</v>
      </c>
      <c r="B974" s="22" t="s">
        <v>3785</v>
      </c>
      <c r="C974" s="22" t="s">
        <v>3478</v>
      </c>
      <c r="D974" s="22" t="s">
        <v>5850</v>
      </c>
      <c r="E974" s="22" t="s">
        <v>5851</v>
      </c>
      <c r="F974" s="22" t="s">
        <v>5461</v>
      </c>
      <c r="G974" s="22" t="s">
        <v>4125</v>
      </c>
      <c r="H974" s="63" t="n">
        <v>6.8</v>
      </c>
      <c r="I974" s="22" t="s">
        <v>601</v>
      </c>
      <c r="J974" s="22"/>
      <c r="K974" s="63" t="n">
        <v>3.01626132575913</v>
      </c>
      <c r="L974" s="22" t="s">
        <v>2730</v>
      </c>
      <c r="M974" s="22" t="n">
        <v>15</v>
      </c>
      <c r="N974" s="22" t="s">
        <v>5894</v>
      </c>
    </row>
    <row r="975" customFormat="false" ht="15" hidden="false" customHeight="false" outlineLevel="0" collapsed="false">
      <c r="A975" s="22" t="s">
        <v>5896</v>
      </c>
      <c r="B975" s="22" t="s">
        <v>3785</v>
      </c>
      <c r="C975" s="22" t="s">
        <v>3478</v>
      </c>
      <c r="D975" s="22" t="s">
        <v>5850</v>
      </c>
      <c r="E975" s="22" t="s">
        <v>5851</v>
      </c>
      <c r="F975" s="22" t="s">
        <v>5463</v>
      </c>
      <c r="G975" s="22" t="s">
        <v>4125</v>
      </c>
      <c r="H975" s="63" t="n">
        <v>9.95</v>
      </c>
      <c r="I975" s="22" t="s">
        <v>601</v>
      </c>
      <c r="J975" s="22"/>
      <c r="K975" s="63" t="n">
        <v>4.41350002813284</v>
      </c>
      <c r="L975" s="22" t="s">
        <v>2730</v>
      </c>
      <c r="M975" s="22" t="n">
        <v>5</v>
      </c>
      <c r="N975" s="22" t="s">
        <v>5894</v>
      </c>
    </row>
    <row r="976" customFormat="false" ht="15" hidden="false" customHeight="false" outlineLevel="0" collapsed="false">
      <c r="A976" s="22" t="s">
        <v>5897</v>
      </c>
      <c r="B976" s="22" t="s">
        <v>3785</v>
      </c>
      <c r="C976" s="22" t="s">
        <v>3478</v>
      </c>
      <c r="D976" s="22" t="s">
        <v>5850</v>
      </c>
      <c r="E976" s="22" t="s">
        <v>5851</v>
      </c>
      <c r="F976" s="22" t="s">
        <v>5465</v>
      </c>
      <c r="G976" s="22" t="s">
        <v>4125</v>
      </c>
      <c r="H976" s="63" t="n">
        <v>13.2</v>
      </c>
      <c r="I976" s="22" t="s">
        <v>601</v>
      </c>
      <c r="J976" s="22"/>
      <c r="K976" s="63" t="n">
        <v>5.85509551470889</v>
      </c>
      <c r="L976" s="22" t="s">
        <v>2730</v>
      </c>
      <c r="M976" s="22" t="n">
        <v>1</v>
      </c>
      <c r="N976" s="22" t="s">
        <v>5894</v>
      </c>
    </row>
    <row r="977" customFormat="false" ht="15" hidden="false" customHeight="false" outlineLevel="0" collapsed="false">
      <c r="A977" s="22" t="s">
        <v>5898</v>
      </c>
      <c r="B977" s="22" t="s">
        <v>3785</v>
      </c>
      <c r="C977" s="22" t="s">
        <v>3478</v>
      </c>
      <c r="D977" s="22" t="s">
        <v>5850</v>
      </c>
      <c r="E977" s="22" t="s">
        <v>5851</v>
      </c>
      <c r="F977" s="22" t="s">
        <v>5467</v>
      </c>
      <c r="G977" s="22" t="s">
        <v>4125</v>
      </c>
      <c r="H977" s="63" t="n">
        <v>16.3</v>
      </c>
      <c r="I977" s="22" t="s">
        <v>601</v>
      </c>
      <c r="J977" s="22"/>
      <c r="K977" s="63" t="n">
        <v>7.23015582498144</v>
      </c>
      <c r="L977" s="22" t="s">
        <v>2730</v>
      </c>
      <c r="M977" s="22" t="n">
        <v>1</v>
      </c>
      <c r="N977" s="22" t="s">
        <v>5894</v>
      </c>
    </row>
    <row r="978" customFormat="false" ht="15" hidden="false" customHeight="false" outlineLevel="0" collapsed="false">
      <c r="A978" s="22" t="s">
        <v>5899</v>
      </c>
      <c r="B978" s="22" t="s">
        <v>3785</v>
      </c>
      <c r="C978" s="22" t="s">
        <v>3478</v>
      </c>
      <c r="D978" s="22" t="s">
        <v>5850</v>
      </c>
      <c r="E978" s="22" t="s">
        <v>5851</v>
      </c>
      <c r="F978" s="22" t="s">
        <v>5900</v>
      </c>
      <c r="G978" s="22" t="s">
        <v>4114</v>
      </c>
      <c r="H978" s="63" t="n">
        <v>1160</v>
      </c>
      <c r="I978" s="22" t="s">
        <v>601</v>
      </c>
      <c r="J978" s="22"/>
      <c r="K978" s="63" t="n">
        <v>514.538696747145</v>
      </c>
      <c r="L978" s="22" t="s">
        <v>2730</v>
      </c>
      <c r="M978" s="22" t="n">
        <v>2</v>
      </c>
      <c r="N978" s="22" t="s">
        <v>5853</v>
      </c>
    </row>
    <row r="979" customFormat="false" ht="15" hidden="false" customHeight="false" outlineLevel="0" collapsed="false">
      <c r="A979" s="22" t="s">
        <v>5901</v>
      </c>
      <c r="B979" s="22" t="s">
        <v>3785</v>
      </c>
      <c r="C979" s="22" t="s">
        <v>3478</v>
      </c>
      <c r="D979" s="22" t="s">
        <v>5850</v>
      </c>
      <c r="E979" s="22" t="s">
        <v>5851</v>
      </c>
      <c r="F979" s="22" t="s">
        <v>5902</v>
      </c>
      <c r="G979" s="22" t="s">
        <v>4114</v>
      </c>
      <c r="H979" s="63" t="n">
        <v>2980</v>
      </c>
      <c r="I979" s="22" t="s">
        <v>601</v>
      </c>
      <c r="J979" s="22"/>
      <c r="K979" s="63" t="n">
        <v>1321.83216922973</v>
      </c>
      <c r="L979" s="22" t="s">
        <v>2678</v>
      </c>
      <c r="M979" s="22" t="n">
        <v>1</v>
      </c>
      <c r="N979" s="22" t="s">
        <v>5853</v>
      </c>
    </row>
    <row r="980" customFormat="false" ht="15" hidden="false" customHeight="false" outlineLevel="0" collapsed="false">
      <c r="A980" s="22" t="s">
        <v>5903</v>
      </c>
      <c r="B980" s="22" t="s">
        <v>3785</v>
      </c>
      <c r="C980" s="22" t="s">
        <v>3478</v>
      </c>
      <c r="D980" s="22" t="s">
        <v>5850</v>
      </c>
      <c r="E980" s="22" t="s">
        <v>5851</v>
      </c>
      <c r="F980" s="22" t="s">
        <v>5904</v>
      </c>
      <c r="G980" s="22" t="s">
        <v>4114</v>
      </c>
      <c r="H980" s="63" t="n">
        <v>3240</v>
      </c>
      <c r="I980" s="22" t="s">
        <v>601</v>
      </c>
      <c r="J980" s="22"/>
      <c r="K980" s="63" t="n">
        <v>1437.15980815582</v>
      </c>
      <c r="L980" s="22" t="s">
        <v>2819</v>
      </c>
      <c r="M980" s="22" t="n">
        <v>2</v>
      </c>
      <c r="N980" s="22" t="s">
        <v>5853</v>
      </c>
    </row>
    <row r="981" customFormat="false" ht="15" hidden="false" customHeight="false" outlineLevel="0" collapsed="false">
      <c r="A981" s="22" t="s">
        <v>5905</v>
      </c>
      <c r="B981" s="22" t="s">
        <v>3785</v>
      </c>
      <c r="C981" s="22" t="s">
        <v>3478</v>
      </c>
      <c r="D981" s="22" t="s">
        <v>5850</v>
      </c>
      <c r="E981" s="22" t="s">
        <v>5851</v>
      </c>
      <c r="F981" s="22" t="s">
        <v>5906</v>
      </c>
      <c r="G981" s="22" t="s">
        <v>4125</v>
      </c>
      <c r="H981" s="63" t="n">
        <v>11.2</v>
      </c>
      <c r="I981" s="22" t="s">
        <v>601</v>
      </c>
      <c r="J981" s="22"/>
      <c r="K981" s="63" t="n">
        <v>4.96795983066209</v>
      </c>
      <c r="L981" s="22" t="s">
        <v>2730</v>
      </c>
      <c r="M981" s="22" t="n">
        <v>2</v>
      </c>
      <c r="N981" s="22" t="s">
        <v>5853</v>
      </c>
    </row>
    <row r="982" customFormat="false" ht="15" hidden="false" customHeight="false" outlineLevel="0" collapsed="false">
      <c r="A982" s="22" t="s">
        <v>5907</v>
      </c>
      <c r="B982" s="22" t="s">
        <v>3785</v>
      </c>
      <c r="C982" s="22" t="s">
        <v>3478</v>
      </c>
      <c r="D982" s="22" t="s">
        <v>5850</v>
      </c>
      <c r="E982" s="22" t="s">
        <v>5851</v>
      </c>
      <c r="F982" s="22" t="s">
        <v>5908</v>
      </c>
      <c r="G982" s="22" t="s">
        <v>4114</v>
      </c>
      <c r="H982" s="63" t="n">
        <v>343</v>
      </c>
      <c r="I982" s="22" t="s">
        <v>601</v>
      </c>
      <c r="J982" s="22"/>
      <c r="K982" s="63" t="n">
        <v>152.143769814027</v>
      </c>
      <c r="L982" s="22" t="s">
        <v>2458</v>
      </c>
      <c r="M982" s="22" t="n">
        <v>1</v>
      </c>
      <c r="N982" s="22" t="s">
        <v>5853</v>
      </c>
    </row>
    <row r="983" customFormat="false" ht="15" hidden="false" customHeight="false" outlineLevel="0" collapsed="false">
      <c r="A983" s="22" t="s">
        <v>5909</v>
      </c>
      <c r="B983" s="22" t="s">
        <v>3785</v>
      </c>
      <c r="C983" s="22" t="s">
        <v>3478</v>
      </c>
      <c r="D983" s="22" t="s">
        <v>5850</v>
      </c>
      <c r="E983" s="22" t="s">
        <v>5851</v>
      </c>
      <c r="F983" s="22" t="s">
        <v>5910</v>
      </c>
      <c r="G983" s="22" t="s">
        <v>4114</v>
      </c>
      <c r="H983" s="63" t="n">
        <v>372</v>
      </c>
      <c r="I983" s="22" t="s">
        <v>601</v>
      </c>
      <c r="J983" s="22"/>
      <c r="K983" s="63" t="n">
        <v>165.007237232705</v>
      </c>
      <c r="L983" s="22" t="s">
        <v>2458</v>
      </c>
      <c r="M983" s="22" t="n">
        <v>1</v>
      </c>
      <c r="N983" s="22" t="s">
        <v>5853</v>
      </c>
    </row>
    <row r="984" customFormat="false" ht="15" hidden="false" customHeight="false" outlineLevel="0" collapsed="false">
      <c r="A984" s="22" t="s">
        <v>5911</v>
      </c>
      <c r="B984" s="22" t="s">
        <v>3785</v>
      </c>
      <c r="C984" s="22" t="s">
        <v>3478</v>
      </c>
      <c r="D984" s="22" t="s">
        <v>5850</v>
      </c>
      <c r="E984" s="22" t="s">
        <v>5851</v>
      </c>
      <c r="F984" s="22" t="s">
        <v>5397</v>
      </c>
      <c r="G984" s="22" t="s">
        <v>5245</v>
      </c>
      <c r="H984" s="63" t="n">
        <v>48</v>
      </c>
      <c r="I984" s="22" t="s">
        <v>601</v>
      </c>
      <c r="J984" s="22"/>
      <c r="K984" s="63" t="n">
        <v>21.2912564171232</v>
      </c>
      <c r="L984" s="22" t="s">
        <v>2458</v>
      </c>
      <c r="M984" s="22" t="n">
        <v>1</v>
      </c>
      <c r="N984" s="22" t="s">
        <v>5912</v>
      </c>
    </row>
    <row r="985" customFormat="false" ht="15" hidden="false" customHeight="false" outlineLevel="0" collapsed="false">
      <c r="A985" s="22" t="s">
        <v>5913</v>
      </c>
      <c r="B985" s="22" t="s">
        <v>3785</v>
      </c>
      <c r="C985" s="22" t="s">
        <v>3478</v>
      </c>
      <c r="D985" s="22" t="s">
        <v>5850</v>
      </c>
      <c r="E985" s="22" t="s">
        <v>5851</v>
      </c>
      <c r="F985" s="22" t="s">
        <v>5914</v>
      </c>
      <c r="G985" s="22" t="s">
        <v>4114</v>
      </c>
      <c r="H985" s="63" t="n">
        <v>24.96</v>
      </c>
      <c r="I985" s="22" t="s">
        <v>601</v>
      </c>
      <c r="J985" s="22"/>
      <c r="K985" s="63" t="n">
        <v>11.0714533369041</v>
      </c>
      <c r="L985" s="22" t="s">
        <v>2458</v>
      </c>
      <c r="M985" s="22" t="n">
        <v>2</v>
      </c>
      <c r="N985" s="22" t="s">
        <v>5853</v>
      </c>
    </row>
    <row r="986" customFormat="false" ht="15" hidden="false" customHeight="false" outlineLevel="0" collapsed="false">
      <c r="A986" s="22" t="s">
        <v>5915</v>
      </c>
      <c r="B986" s="22" t="s">
        <v>3785</v>
      </c>
      <c r="C986" s="22" t="s">
        <v>3478</v>
      </c>
      <c r="D986" s="22" t="s">
        <v>5850</v>
      </c>
      <c r="E986" s="22" t="s">
        <v>5851</v>
      </c>
      <c r="F986" s="22" t="s">
        <v>5916</v>
      </c>
      <c r="G986" s="22" t="s">
        <v>4114</v>
      </c>
      <c r="H986" s="63" t="n">
        <v>75450</v>
      </c>
      <c r="I986" s="22" t="s">
        <v>601</v>
      </c>
      <c r="J986" s="22"/>
      <c r="K986" s="63" t="n">
        <v>33467.1936806656</v>
      </c>
      <c r="L986" s="22" t="s">
        <v>2550</v>
      </c>
      <c r="M986" s="22" t="n">
        <v>1</v>
      </c>
      <c r="N986" s="22" t="s">
        <v>5917</v>
      </c>
    </row>
    <row r="987" customFormat="false" ht="15" hidden="false" customHeight="false" outlineLevel="0" collapsed="false">
      <c r="A987" s="22" t="s">
        <v>5918</v>
      </c>
      <c r="B987" s="22" t="s">
        <v>3785</v>
      </c>
      <c r="C987" s="22" t="s">
        <v>3478</v>
      </c>
      <c r="D987" s="22" t="s">
        <v>5850</v>
      </c>
      <c r="E987" s="22" t="s">
        <v>5851</v>
      </c>
      <c r="F987" s="22" t="s">
        <v>5919</v>
      </c>
      <c r="G987" s="22" t="s">
        <v>4114</v>
      </c>
      <c r="H987" s="63" t="n">
        <v>843</v>
      </c>
      <c r="I987" s="22" t="s">
        <v>601</v>
      </c>
      <c r="J987" s="22"/>
      <c r="K987" s="63" t="n">
        <v>373.927690825727</v>
      </c>
      <c r="L987" s="22" t="s">
        <v>2550</v>
      </c>
      <c r="M987" s="22" t="n">
        <v>1</v>
      </c>
      <c r="N987" s="22" t="s">
        <v>5853</v>
      </c>
    </row>
    <row r="988" customFormat="false" ht="15" hidden="false" customHeight="false" outlineLevel="0" collapsed="false">
      <c r="A988" s="22" t="s">
        <v>5920</v>
      </c>
      <c r="B988" s="22" t="s">
        <v>3785</v>
      </c>
      <c r="C988" s="22" t="s">
        <v>3478</v>
      </c>
      <c r="D988" s="22" t="s">
        <v>5850</v>
      </c>
      <c r="E988" s="22" t="s">
        <v>5851</v>
      </c>
      <c r="F988" s="22" t="s">
        <v>5430</v>
      </c>
      <c r="G988" s="22" t="s">
        <v>4114</v>
      </c>
      <c r="H988" s="63" t="n">
        <v>873</v>
      </c>
      <c r="I988" s="22" t="s">
        <v>601</v>
      </c>
      <c r="J988" s="22"/>
      <c r="K988" s="63" t="n">
        <v>387.234726086429</v>
      </c>
      <c r="L988" s="22" t="s">
        <v>2550</v>
      </c>
      <c r="M988" s="22" t="n">
        <v>2</v>
      </c>
      <c r="N988" s="22" t="s">
        <v>5853</v>
      </c>
    </row>
    <row r="989" customFormat="false" ht="15" hidden="false" customHeight="false" outlineLevel="0" collapsed="false">
      <c r="A989" s="22" t="s">
        <v>5921</v>
      </c>
      <c r="B989" s="22" t="s">
        <v>3785</v>
      </c>
      <c r="C989" s="22" t="s">
        <v>3478</v>
      </c>
      <c r="D989" s="22" t="s">
        <v>5850</v>
      </c>
      <c r="E989" s="22" t="s">
        <v>5851</v>
      </c>
      <c r="F989" s="22" t="s">
        <v>5922</v>
      </c>
      <c r="G989" s="22" t="s">
        <v>4125</v>
      </c>
      <c r="H989" s="63" t="n">
        <v>22.5</v>
      </c>
      <c r="I989" s="22" t="s">
        <v>601</v>
      </c>
      <c r="J989" s="22"/>
      <c r="K989" s="63" t="n">
        <v>9.98027644552652</v>
      </c>
      <c r="L989" s="22" t="s">
        <v>2550</v>
      </c>
      <c r="M989" s="22" t="n">
        <v>2</v>
      </c>
      <c r="N989" s="22" t="s">
        <v>5853</v>
      </c>
    </row>
    <row r="990" customFormat="false" ht="15" hidden="false" customHeight="false" outlineLevel="0" collapsed="false">
      <c r="A990" s="22" t="s">
        <v>5923</v>
      </c>
      <c r="B990" s="22" t="s">
        <v>3785</v>
      </c>
      <c r="C990" s="22" t="s">
        <v>3478</v>
      </c>
      <c r="D990" s="22" t="s">
        <v>5850</v>
      </c>
      <c r="E990" s="22" t="s">
        <v>5851</v>
      </c>
      <c r="F990" s="22" t="s">
        <v>5924</v>
      </c>
      <c r="G990" s="22" t="s">
        <v>5318</v>
      </c>
      <c r="H990" s="63" t="n">
        <v>175550</v>
      </c>
      <c r="I990" s="22" t="s">
        <v>601</v>
      </c>
      <c r="J990" s="22"/>
      <c r="K990" s="63" t="n">
        <v>77868.334667208</v>
      </c>
      <c r="L990" s="22" t="s">
        <v>2550</v>
      </c>
      <c r="M990" s="22" t="n">
        <v>1</v>
      </c>
      <c r="N990" s="22" t="s">
        <v>5925</v>
      </c>
    </row>
    <row r="991" customFormat="false" ht="15" hidden="false" customHeight="false" outlineLevel="0" collapsed="false">
      <c r="A991" s="22" t="s">
        <v>5926</v>
      </c>
      <c r="B991" s="22" t="s">
        <v>3785</v>
      </c>
      <c r="C991" s="22" t="s">
        <v>3478</v>
      </c>
      <c r="D991" s="22" t="s">
        <v>5850</v>
      </c>
      <c r="E991" s="22" t="s">
        <v>5851</v>
      </c>
      <c r="F991" s="22" t="s">
        <v>5927</v>
      </c>
      <c r="G991" s="22" t="s">
        <v>4114</v>
      </c>
      <c r="H991" s="63" t="n">
        <v>73</v>
      </c>
      <c r="I991" s="22" t="s">
        <v>601</v>
      </c>
      <c r="J991" s="22"/>
      <c r="K991" s="63" t="n">
        <v>32.3804524677083</v>
      </c>
      <c r="L991" s="22" t="s">
        <v>2534</v>
      </c>
      <c r="M991" s="22" t="n">
        <v>9</v>
      </c>
      <c r="N991" s="22" t="s">
        <v>5853</v>
      </c>
    </row>
    <row r="992" customFormat="false" ht="15" hidden="false" customHeight="false" outlineLevel="0" collapsed="false">
      <c r="A992" s="22" t="s">
        <v>5928</v>
      </c>
      <c r="B992" s="22" t="s">
        <v>3785</v>
      </c>
      <c r="C992" s="22" t="s">
        <v>3478</v>
      </c>
      <c r="D992" s="22" t="s">
        <v>5850</v>
      </c>
      <c r="E992" s="22" t="s">
        <v>5851</v>
      </c>
      <c r="F992" s="22" t="s">
        <v>5929</v>
      </c>
      <c r="G992" s="22" t="s">
        <v>4114</v>
      </c>
      <c r="H992" s="63" t="n">
        <v>20320</v>
      </c>
      <c r="I992" s="22" t="s">
        <v>601</v>
      </c>
      <c r="J992" s="22"/>
      <c r="K992" s="63" t="n">
        <v>9013.29854991551</v>
      </c>
      <c r="L992" s="22" t="s">
        <v>2367</v>
      </c>
      <c r="M992" s="22" t="n">
        <v>2</v>
      </c>
      <c r="N992" s="22" t="s">
        <v>5853</v>
      </c>
    </row>
    <row r="993" customFormat="false" ht="15" hidden="false" customHeight="false" outlineLevel="0" collapsed="false">
      <c r="A993" s="22" t="s">
        <v>5930</v>
      </c>
      <c r="B993" s="22" t="s">
        <v>3785</v>
      </c>
      <c r="C993" s="22" t="s">
        <v>3478</v>
      </c>
      <c r="D993" s="22" t="s">
        <v>5850</v>
      </c>
      <c r="E993" s="22" t="s">
        <v>5851</v>
      </c>
      <c r="F993" s="22" t="s">
        <v>5931</v>
      </c>
      <c r="G993" s="22" t="s">
        <v>4114</v>
      </c>
      <c r="H993" s="63" t="n">
        <v>24160</v>
      </c>
      <c r="I993" s="22" t="s">
        <v>601</v>
      </c>
      <c r="J993" s="22"/>
      <c r="K993" s="63" t="n">
        <v>10716.5990632854</v>
      </c>
      <c r="L993" s="22" t="s">
        <v>2367</v>
      </c>
      <c r="M993" s="22" t="n">
        <v>1</v>
      </c>
      <c r="N993" s="22" t="s">
        <v>5853</v>
      </c>
    </row>
    <row r="994" customFormat="false" ht="15" hidden="false" customHeight="false" outlineLevel="0" collapsed="false">
      <c r="A994" s="22" t="s">
        <v>5932</v>
      </c>
      <c r="B994" s="22" t="s">
        <v>3785</v>
      </c>
      <c r="C994" s="22" t="s">
        <v>3478</v>
      </c>
      <c r="D994" s="22" t="s">
        <v>5850</v>
      </c>
      <c r="E994" s="22" t="s">
        <v>5851</v>
      </c>
      <c r="F994" s="22" t="s">
        <v>5933</v>
      </c>
      <c r="G994" s="22" t="s">
        <v>4114</v>
      </c>
      <c r="H994" s="63" t="n">
        <v>1850</v>
      </c>
      <c r="I994" s="22" t="s">
        <v>601</v>
      </c>
      <c r="J994" s="22"/>
      <c r="K994" s="63" t="n">
        <v>820.600507743292</v>
      </c>
      <c r="L994" s="22" t="s">
        <v>2367</v>
      </c>
      <c r="M994" s="22" t="n">
        <v>1</v>
      </c>
      <c r="N994" s="22" t="s">
        <v>5934</v>
      </c>
    </row>
    <row r="995" customFormat="false" ht="15" hidden="false" customHeight="false" outlineLevel="0" collapsed="false">
      <c r="A995" s="22" t="s">
        <v>5935</v>
      </c>
      <c r="B995" s="22" t="s">
        <v>3785</v>
      </c>
      <c r="C995" s="22" t="s">
        <v>3478</v>
      </c>
      <c r="D995" s="22" t="s">
        <v>5850</v>
      </c>
      <c r="E995" s="22" t="s">
        <v>5851</v>
      </c>
      <c r="F995" s="22" t="s">
        <v>5936</v>
      </c>
      <c r="G995" s="22" t="s">
        <v>4114</v>
      </c>
      <c r="H995" s="63" t="n">
        <v>1690</v>
      </c>
      <c r="I995" s="22" t="s">
        <v>601</v>
      </c>
      <c r="J995" s="22"/>
      <c r="K995" s="63" t="n">
        <v>749.629653019548</v>
      </c>
      <c r="L995" s="22" t="s">
        <v>2367</v>
      </c>
      <c r="M995" s="22" t="n">
        <v>1</v>
      </c>
      <c r="N995" s="22" t="s">
        <v>5853</v>
      </c>
    </row>
    <row r="996" customFormat="false" ht="15" hidden="false" customHeight="false" outlineLevel="0" collapsed="false">
      <c r="A996" s="22" t="s">
        <v>5937</v>
      </c>
      <c r="B996" s="22" t="s">
        <v>3785</v>
      </c>
      <c r="C996" s="22" t="s">
        <v>3478</v>
      </c>
      <c r="D996" s="22" t="s">
        <v>5850</v>
      </c>
      <c r="E996" s="22" t="s">
        <v>5851</v>
      </c>
      <c r="F996" s="22" t="s">
        <v>5938</v>
      </c>
      <c r="G996" s="22" t="s">
        <v>4114</v>
      </c>
      <c r="H996" s="63" t="n">
        <v>2386</v>
      </c>
      <c r="I996" s="22" t="s">
        <v>601</v>
      </c>
      <c r="J996" s="22"/>
      <c r="K996" s="63" t="n">
        <v>1058.35287106783</v>
      </c>
      <c r="L996" s="22" t="s">
        <v>2367</v>
      </c>
      <c r="M996" s="22" t="n">
        <v>1</v>
      </c>
      <c r="N996" s="22" t="s">
        <v>5853</v>
      </c>
    </row>
    <row r="997" customFormat="false" ht="15" hidden="false" customHeight="false" outlineLevel="0" collapsed="false">
      <c r="A997" s="22" t="s">
        <v>5939</v>
      </c>
      <c r="B997" s="22" t="s">
        <v>3785</v>
      </c>
      <c r="C997" s="22" t="s">
        <v>3478</v>
      </c>
      <c r="D997" s="22" t="s">
        <v>5850</v>
      </c>
      <c r="E997" s="22" t="s">
        <v>5851</v>
      </c>
      <c r="F997" s="22" t="s">
        <v>5940</v>
      </c>
      <c r="G997" s="22" t="s">
        <v>4114</v>
      </c>
      <c r="H997" s="63" t="n">
        <v>2965</v>
      </c>
      <c r="I997" s="22" t="s">
        <v>601</v>
      </c>
      <c r="J997" s="22"/>
      <c r="K997" s="63" t="n">
        <v>1315.17865159938</v>
      </c>
      <c r="L997" s="22" t="s">
        <v>2367</v>
      </c>
      <c r="M997" s="22" t="n">
        <v>1</v>
      </c>
      <c r="N997" s="22" t="s">
        <v>5853</v>
      </c>
    </row>
    <row r="998" customFormat="false" ht="15" hidden="false" customHeight="false" outlineLevel="0" collapsed="false">
      <c r="A998" s="22" t="s">
        <v>5941</v>
      </c>
      <c r="B998" s="22" t="s">
        <v>3785</v>
      </c>
      <c r="C998" s="22" t="s">
        <v>3478</v>
      </c>
      <c r="D998" s="22" t="s">
        <v>5850</v>
      </c>
      <c r="E998" s="22" t="s">
        <v>5851</v>
      </c>
      <c r="F998" s="22" t="s">
        <v>5942</v>
      </c>
      <c r="G998" s="22" t="s">
        <v>4114</v>
      </c>
      <c r="H998" s="63" t="n">
        <v>3115</v>
      </c>
      <c r="I998" s="22" t="s">
        <v>601</v>
      </c>
      <c r="J998" s="22"/>
      <c r="K998" s="63" t="n">
        <v>1381.71382790289</v>
      </c>
      <c r="L998" s="22" t="s">
        <v>2335</v>
      </c>
      <c r="M998" s="22" t="n">
        <v>2</v>
      </c>
      <c r="N998" s="22" t="s">
        <v>5943</v>
      </c>
    </row>
    <row r="999" customFormat="false" ht="15" hidden="false" customHeight="false" outlineLevel="0" collapsed="false">
      <c r="A999" s="22" t="s">
        <v>5944</v>
      </c>
      <c r="B999" s="22" t="s">
        <v>3785</v>
      </c>
      <c r="C999" s="22" t="s">
        <v>3478</v>
      </c>
      <c r="D999" s="22" t="s">
        <v>5850</v>
      </c>
      <c r="E999" s="22" t="s">
        <v>5851</v>
      </c>
      <c r="F999" s="22" t="s">
        <v>5521</v>
      </c>
      <c r="G999" s="22" t="s">
        <v>4114</v>
      </c>
      <c r="H999" s="63" t="n">
        <v>210</v>
      </c>
      <c r="I999" s="22" t="s">
        <v>601</v>
      </c>
      <c r="J999" s="22"/>
      <c r="K999" s="63" t="n">
        <v>93.1492468249142</v>
      </c>
      <c r="L999" s="22" t="s">
        <v>2367</v>
      </c>
      <c r="M999" s="22" t="n">
        <v>3</v>
      </c>
      <c r="N999" s="22" t="s">
        <v>5853</v>
      </c>
    </row>
    <row r="1000" customFormat="false" ht="15" hidden="false" customHeight="false" outlineLevel="0" collapsed="false">
      <c r="A1000" s="22" t="s">
        <v>5945</v>
      </c>
      <c r="B1000" s="22" t="s">
        <v>3785</v>
      </c>
      <c r="C1000" s="22" t="s">
        <v>3478</v>
      </c>
      <c r="D1000" s="22" t="s">
        <v>5850</v>
      </c>
      <c r="E1000" s="22" t="s">
        <v>5851</v>
      </c>
      <c r="F1000" s="22" t="s">
        <v>5946</v>
      </c>
      <c r="G1000" s="22" t="s">
        <v>4114</v>
      </c>
      <c r="H1000" s="63" t="n">
        <v>3100</v>
      </c>
      <c r="I1000" s="22" t="s">
        <v>601</v>
      </c>
      <c r="J1000" s="22"/>
      <c r="K1000" s="63" t="n">
        <v>1375.06031027254</v>
      </c>
      <c r="L1000" s="22" t="s">
        <v>2367</v>
      </c>
      <c r="M1000" s="22" t="n">
        <v>2</v>
      </c>
      <c r="N1000" s="22" t="s">
        <v>5853</v>
      </c>
    </row>
    <row r="1001" customFormat="false" ht="15" hidden="false" customHeight="false" outlineLevel="0" collapsed="false">
      <c r="A1001" s="22" t="s">
        <v>5947</v>
      </c>
      <c r="B1001" s="22" t="s">
        <v>3785</v>
      </c>
      <c r="C1001" s="22" t="s">
        <v>3478</v>
      </c>
      <c r="D1001" s="22" t="s">
        <v>5850</v>
      </c>
      <c r="E1001" s="22" t="s">
        <v>5851</v>
      </c>
      <c r="F1001" s="22" t="s">
        <v>5948</v>
      </c>
      <c r="G1001" s="22" t="s">
        <v>5318</v>
      </c>
      <c r="H1001" s="63" t="n">
        <v>174</v>
      </c>
      <c r="I1001" s="22" t="s">
        <v>601</v>
      </c>
      <c r="J1001" s="22"/>
      <c r="K1001" s="63" t="n">
        <v>77.1808045120718</v>
      </c>
      <c r="L1001" s="22" t="s">
        <v>2367</v>
      </c>
      <c r="M1001" s="22" t="n">
        <v>2</v>
      </c>
      <c r="N1001" s="22" t="s">
        <v>5853</v>
      </c>
    </row>
    <row r="1002" customFormat="false" ht="15" hidden="false" customHeight="false" outlineLevel="0" collapsed="false">
      <c r="A1002" s="22" t="s">
        <v>5949</v>
      </c>
      <c r="B1002" s="22" t="s">
        <v>3785</v>
      </c>
      <c r="C1002" s="22" t="s">
        <v>3478</v>
      </c>
      <c r="D1002" s="22" t="s">
        <v>5850</v>
      </c>
      <c r="E1002" s="22" t="s">
        <v>5851</v>
      </c>
      <c r="F1002" s="22" t="s">
        <v>5950</v>
      </c>
      <c r="G1002" s="22" t="s">
        <v>4125</v>
      </c>
      <c r="H1002" s="63" t="n">
        <v>4.3</v>
      </c>
      <c r="I1002" s="22" t="s">
        <v>601</v>
      </c>
      <c r="J1002" s="22"/>
      <c r="K1002" s="63" t="n">
        <v>1.90734172070062</v>
      </c>
      <c r="L1002" s="22" t="s">
        <v>2307</v>
      </c>
      <c r="M1002" s="22" t="n">
        <v>12</v>
      </c>
      <c r="N1002" s="22" t="s">
        <v>5853</v>
      </c>
    </row>
    <row r="1003" customFormat="false" ht="15" hidden="false" customHeight="false" outlineLevel="0" collapsed="false">
      <c r="A1003" s="22" t="s">
        <v>5951</v>
      </c>
      <c r="B1003" s="22" t="s">
        <v>3785</v>
      </c>
      <c r="C1003" s="22" t="s">
        <v>3478</v>
      </c>
      <c r="D1003" s="22" t="s">
        <v>5850</v>
      </c>
      <c r="E1003" s="22" t="s">
        <v>5851</v>
      </c>
      <c r="F1003" s="22" t="s">
        <v>5952</v>
      </c>
      <c r="G1003" s="22" t="s">
        <v>4125</v>
      </c>
      <c r="H1003" s="63" t="n">
        <v>6.8</v>
      </c>
      <c r="I1003" s="22" t="s">
        <v>601</v>
      </c>
      <c r="J1003" s="22"/>
      <c r="K1003" s="63" t="n">
        <v>3.01626132575913</v>
      </c>
      <c r="L1003" s="22" t="s">
        <v>2367</v>
      </c>
      <c r="M1003" s="22" t="n">
        <v>9</v>
      </c>
      <c r="N1003" s="22" t="s">
        <v>5853</v>
      </c>
    </row>
    <row r="1004" customFormat="false" ht="15" hidden="false" customHeight="false" outlineLevel="0" collapsed="false">
      <c r="A1004" s="22" t="s">
        <v>5953</v>
      </c>
      <c r="B1004" s="22" t="s">
        <v>3785</v>
      </c>
      <c r="C1004" s="22" t="s">
        <v>3478</v>
      </c>
      <c r="D1004" s="22" t="s">
        <v>5850</v>
      </c>
      <c r="E1004" s="22" t="s">
        <v>5851</v>
      </c>
      <c r="F1004" s="22" t="s">
        <v>5525</v>
      </c>
      <c r="G1004" s="22" t="s">
        <v>4125</v>
      </c>
      <c r="H1004" s="63" t="n">
        <v>19.3</v>
      </c>
      <c r="I1004" s="22" t="s">
        <v>601</v>
      </c>
      <c r="J1004" s="22"/>
      <c r="K1004" s="63" t="n">
        <v>8.56085935105164</v>
      </c>
      <c r="L1004" s="22" t="s">
        <v>2367</v>
      </c>
      <c r="M1004" s="22" t="n">
        <v>17</v>
      </c>
      <c r="N1004" s="22" t="s">
        <v>5954</v>
      </c>
    </row>
    <row r="1005" customFormat="false" ht="15" hidden="false" customHeight="false" outlineLevel="0" collapsed="false">
      <c r="A1005" s="22" t="s">
        <v>5955</v>
      </c>
      <c r="B1005" s="22" t="s">
        <v>3785</v>
      </c>
      <c r="C1005" s="22" t="s">
        <v>3478</v>
      </c>
      <c r="D1005" s="22" t="s">
        <v>5850</v>
      </c>
      <c r="E1005" s="22" t="s">
        <v>5851</v>
      </c>
      <c r="F1005" s="22" t="s">
        <v>5528</v>
      </c>
      <c r="G1005" s="22" t="s">
        <v>4125</v>
      </c>
      <c r="H1005" s="63" t="n">
        <v>36.2</v>
      </c>
      <c r="I1005" s="22" t="s">
        <v>601</v>
      </c>
      <c r="J1005" s="22"/>
      <c r="K1005" s="63" t="n">
        <v>16.0571558812471</v>
      </c>
      <c r="L1005" s="22" t="s">
        <v>2367</v>
      </c>
      <c r="M1005" s="22" t="n">
        <v>17</v>
      </c>
      <c r="N1005" s="22" t="s">
        <v>5954</v>
      </c>
    </row>
    <row r="1006" customFormat="false" ht="15" hidden="false" customHeight="false" outlineLevel="0" collapsed="false">
      <c r="A1006" s="22" t="s">
        <v>5956</v>
      </c>
      <c r="B1006" s="22" t="s">
        <v>3785</v>
      </c>
      <c r="C1006" s="22" t="s">
        <v>3478</v>
      </c>
      <c r="D1006" s="22" t="s">
        <v>5850</v>
      </c>
      <c r="E1006" s="22" t="s">
        <v>5851</v>
      </c>
      <c r="F1006" s="22" t="s">
        <v>5530</v>
      </c>
      <c r="G1006" s="22" t="s">
        <v>4125</v>
      </c>
      <c r="H1006" s="63" t="n">
        <v>52.3</v>
      </c>
      <c r="I1006" s="22" t="s">
        <v>601</v>
      </c>
      <c r="J1006" s="22"/>
      <c r="K1006" s="63" t="n">
        <v>23.1985981378239</v>
      </c>
      <c r="L1006" s="22" t="s">
        <v>2367</v>
      </c>
      <c r="M1006" s="22" t="n">
        <v>18</v>
      </c>
      <c r="N1006" s="22" t="s">
        <v>5954</v>
      </c>
    </row>
    <row r="1007" customFormat="false" ht="15" hidden="false" customHeight="false" outlineLevel="0" collapsed="false">
      <c r="A1007" s="22" t="s">
        <v>5957</v>
      </c>
      <c r="B1007" s="22" t="s">
        <v>3785</v>
      </c>
      <c r="C1007" s="22" t="s">
        <v>3478</v>
      </c>
      <c r="D1007" s="22" t="s">
        <v>5850</v>
      </c>
      <c r="E1007" s="22" t="s">
        <v>5851</v>
      </c>
      <c r="F1007" s="22" t="s">
        <v>5532</v>
      </c>
      <c r="G1007" s="22" t="s">
        <v>4125</v>
      </c>
      <c r="H1007" s="63" t="n">
        <v>81.2</v>
      </c>
      <c r="I1007" s="22" t="s">
        <v>601</v>
      </c>
      <c r="J1007" s="22"/>
      <c r="K1007" s="63" t="n">
        <v>36.0177087723002</v>
      </c>
      <c r="L1007" s="22" t="s">
        <v>2367</v>
      </c>
      <c r="M1007" s="22" t="n">
        <v>17</v>
      </c>
      <c r="N1007" s="22" t="s">
        <v>5954</v>
      </c>
    </row>
    <row r="1008" customFormat="false" ht="15" hidden="false" customHeight="false" outlineLevel="0" collapsed="false">
      <c r="A1008" s="22" t="s">
        <v>5958</v>
      </c>
      <c r="B1008" s="22" t="s">
        <v>3785</v>
      </c>
      <c r="C1008" s="22" t="s">
        <v>3478</v>
      </c>
      <c r="D1008" s="22" t="s">
        <v>5850</v>
      </c>
      <c r="E1008" s="22" t="s">
        <v>5851</v>
      </c>
      <c r="F1008" s="22" t="s">
        <v>5959</v>
      </c>
      <c r="G1008" s="22" t="s">
        <v>4114</v>
      </c>
      <c r="H1008" s="63" t="n">
        <v>3150</v>
      </c>
      <c r="I1008" s="22" t="s">
        <v>601</v>
      </c>
      <c r="J1008" s="22"/>
      <c r="K1008" s="63" t="n">
        <v>1397.23870237371</v>
      </c>
      <c r="L1008" s="22" t="s">
        <v>2846</v>
      </c>
      <c r="M1008" s="22" t="n">
        <v>1</v>
      </c>
      <c r="N1008" s="22" t="s">
        <v>5960</v>
      </c>
    </row>
    <row r="1009" customFormat="false" ht="15" hidden="false" customHeight="false" outlineLevel="0" collapsed="false">
      <c r="A1009" s="22" t="s">
        <v>5961</v>
      </c>
      <c r="B1009" s="22" t="s">
        <v>3785</v>
      </c>
      <c r="C1009" s="22" t="s">
        <v>3478</v>
      </c>
      <c r="D1009" s="22" t="s">
        <v>5850</v>
      </c>
      <c r="E1009" s="22" t="s">
        <v>5851</v>
      </c>
      <c r="F1009" s="22" t="s">
        <v>5962</v>
      </c>
      <c r="G1009" s="22" t="s">
        <v>4114</v>
      </c>
      <c r="H1009" s="63" t="n">
        <v>23750</v>
      </c>
      <c r="I1009" s="22" t="s">
        <v>601</v>
      </c>
      <c r="J1009" s="22"/>
      <c r="K1009" s="63" t="n">
        <v>10534.7362480558</v>
      </c>
      <c r="L1009" s="22" t="s">
        <v>2846</v>
      </c>
      <c r="M1009" s="22" t="n">
        <v>1</v>
      </c>
      <c r="N1009" s="22" t="s">
        <v>5963</v>
      </c>
    </row>
    <row r="1010" customFormat="false" ht="15" hidden="false" customHeight="false" outlineLevel="0" collapsed="false">
      <c r="A1010" s="22" t="s">
        <v>5964</v>
      </c>
      <c r="B1010" s="22" t="s">
        <v>3785</v>
      </c>
      <c r="C1010" s="22" t="s">
        <v>3478</v>
      </c>
      <c r="D1010" s="22" t="s">
        <v>5850</v>
      </c>
      <c r="E1010" s="22" t="s">
        <v>5851</v>
      </c>
      <c r="F1010" s="22" t="s">
        <v>5965</v>
      </c>
      <c r="G1010" s="22" t="s">
        <v>4114</v>
      </c>
      <c r="H1010" s="63" t="n">
        <v>11750</v>
      </c>
      <c r="I1010" s="22" t="s">
        <v>601</v>
      </c>
      <c r="J1010" s="22"/>
      <c r="K1010" s="63" t="n">
        <v>5211.92214377496</v>
      </c>
      <c r="L1010" s="22" t="s">
        <v>2846</v>
      </c>
      <c r="M1010" s="22" t="n">
        <v>1</v>
      </c>
      <c r="N1010" s="22" t="s">
        <v>5966</v>
      </c>
    </row>
    <row r="1011" customFormat="false" ht="15" hidden="false" customHeight="false" outlineLevel="0" collapsed="false">
      <c r="A1011" s="22" t="s">
        <v>5967</v>
      </c>
      <c r="B1011" s="22" t="s">
        <v>3785</v>
      </c>
      <c r="C1011" s="22" t="s">
        <v>3478</v>
      </c>
      <c r="D1011" s="22" t="s">
        <v>5850</v>
      </c>
      <c r="E1011" s="22" t="s">
        <v>5851</v>
      </c>
      <c r="F1011" s="22" t="s">
        <v>5968</v>
      </c>
      <c r="G1011" s="22" t="s">
        <v>4114</v>
      </c>
      <c r="H1011" s="63" t="n">
        <v>750</v>
      </c>
      <c r="I1011" s="22" t="s">
        <v>601</v>
      </c>
      <c r="J1011" s="22"/>
      <c r="K1011" s="63" t="n">
        <v>332.675881517551</v>
      </c>
      <c r="L1011" s="22" t="s">
        <v>2846</v>
      </c>
      <c r="M1011" s="22" t="n">
        <v>1</v>
      </c>
      <c r="N1011" s="22" t="s">
        <v>5853</v>
      </c>
    </row>
    <row r="1012" customFormat="false" ht="15" hidden="false" customHeight="false" outlineLevel="0" collapsed="false">
      <c r="A1012" s="22" t="s">
        <v>5969</v>
      </c>
      <c r="B1012" s="22" t="s">
        <v>3785</v>
      </c>
      <c r="C1012" s="22" t="s">
        <v>3478</v>
      </c>
      <c r="D1012" s="22" t="s">
        <v>5850</v>
      </c>
      <c r="E1012" s="22" t="s">
        <v>5851</v>
      </c>
      <c r="F1012" s="22" t="s">
        <v>5970</v>
      </c>
      <c r="G1012" s="22" t="s">
        <v>4114</v>
      </c>
      <c r="H1012" s="63" t="n">
        <v>650</v>
      </c>
      <c r="I1012" s="22" t="s">
        <v>601</v>
      </c>
      <c r="J1012" s="22"/>
      <c r="K1012" s="63" t="n">
        <v>288.319097315211</v>
      </c>
      <c r="L1012" s="22" t="s">
        <v>2846</v>
      </c>
      <c r="M1012" s="22" t="n">
        <v>1</v>
      </c>
      <c r="N1012" s="22" t="s">
        <v>5853</v>
      </c>
    </row>
    <row r="1013" customFormat="false" ht="15" hidden="false" customHeight="false" outlineLevel="0" collapsed="false">
      <c r="A1013" s="22" t="s">
        <v>5971</v>
      </c>
      <c r="B1013" s="22" t="s">
        <v>3785</v>
      </c>
      <c r="C1013" s="22" t="s">
        <v>3478</v>
      </c>
      <c r="D1013" s="22" t="s">
        <v>5850</v>
      </c>
      <c r="E1013" s="22" t="s">
        <v>5851</v>
      </c>
      <c r="F1013" s="22" t="s">
        <v>5972</v>
      </c>
      <c r="G1013" s="22" t="s">
        <v>4114</v>
      </c>
      <c r="H1013" s="63" t="n">
        <v>540</v>
      </c>
      <c r="I1013" s="22" t="s">
        <v>601</v>
      </c>
      <c r="J1013" s="22"/>
      <c r="K1013" s="63" t="n">
        <v>239.526634692637</v>
      </c>
      <c r="L1013" s="22" t="s">
        <v>2846</v>
      </c>
      <c r="M1013" s="22" t="n">
        <v>1</v>
      </c>
      <c r="N1013" s="22" t="s">
        <v>5853</v>
      </c>
    </row>
    <row r="1014" customFormat="false" ht="15" hidden="false" customHeight="false" outlineLevel="0" collapsed="false">
      <c r="A1014" s="22" t="s">
        <v>5973</v>
      </c>
      <c r="B1014" s="22" t="s">
        <v>3785</v>
      </c>
      <c r="C1014" s="22" t="s">
        <v>3478</v>
      </c>
      <c r="D1014" s="22" t="s">
        <v>5850</v>
      </c>
      <c r="E1014" s="22" t="s">
        <v>5851</v>
      </c>
      <c r="F1014" s="22" t="s">
        <v>5974</v>
      </c>
      <c r="G1014" s="22" t="s">
        <v>4114</v>
      </c>
      <c r="H1014" s="63" t="n">
        <v>95</v>
      </c>
      <c r="I1014" s="22" t="s">
        <v>601</v>
      </c>
      <c r="J1014" s="22"/>
      <c r="K1014" s="63" t="n">
        <v>42.1389449922231</v>
      </c>
      <c r="L1014" s="22" t="s">
        <v>2846</v>
      </c>
      <c r="M1014" s="22" t="n">
        <v>1</v>
      </c>
      <c r="N1014" s="22" t="s">
        <v>5853</v>
      </c>
    </row>
    <row r="1015" customFormat="false" ht="15" hidden="false" customHeight="false" outlineLevel="0" collapsed="false">
      <c r="A1015" s="22" t="s">
        <v>5975</v>
      </c>
      <c r="B1015" s="22" t="s">
        <v>3785</v>
      </c>
      <c r="C1015" s="22" t="s">
        <v>3478</v>
      </c>
      <c r="D1015" s="22" t="s">
        <v>5850</v>
      </c>
      <c r="E1015" s="22" t="s">
        <v>5851</v>
      </c>
      <c r="F1015" s="22" t="s">
        <v>5976</v>
      </c>
      <c r="G1015" s="22" t="s">
        <v>4114</v>
      </c>
      <c r="H1015" s="63" t="n">
        <v>75</v>
      </c>
      <c r="I1015" s="22" t="s">
        <v>601</v>
      </c>
      <c r="J1015" s="22"/>
      <c r="K1015" s="63" t="n">
        <v>33.2675881517551</v>
      </c>
      <c r="L1015" s="22" t="s">
        <v>2846</v>
      </c>
      <c r="M1015" s="22" t="n">
        <v>1</v>
      </c>
      <c r="N1015" s="22" t="s">
        <v>5853</v>
      </c>
    </row>
    <row r="1016" customFormat="false" ht="15" hidden="false" customHeight="false" outlineLevel="0" collapsed="false">
      <c r="A1016" s="22" t="s">
        <v>5977</v>
      </c>
      <c r="B1016" s="22" t="s">
        <v>3785</v>
      </c>
      <c r="C1016" s="22" t="s">
        <v>3478</v>
      </c>
      <c r="D1016" s="22" t="s">
        <v>5850</v>
      </c>
      <c r="E1016" s="22" t="s">
        <v>5851</v>
      </c>
      <c r="F1016" s="22" t="s">
        <v>5978</v>
      </c>
      <c r="G1016" s="22" t="s">
        <v>4114</v>
      </c>
      <c r="H1016" s="63" t="n">
        <v>4250</v>
      </c>
      <c r="I1016" s="22" t="s">
        <v>601</v>
      </c>
      <c r="J1016" s="22"/>
      <c r="K1016" s="63" t="n">
        <v>1885.16332859945</v>
      </c>
      <c r="L1016" s="22" t="s">
        <v>2307</v>
      </c>
      <c r="M1016" s="22" t="n">
        <v>6</v>
      </c>
      <c r="N1016" s="22" t="s">
        <v>5853</v>
      </c>
    </row>
    <row r="1017" customFormat="false" ht="15" hidden="false" customHeight="false" outlineLevel="0" collapsed="false">
      <c r="A1017" s="22" t="s">
        <v>5979</v>
      </c>
      <c r="B1017" s="22" t="s">
        <v>3785</v>
      </c>
      <c r="C1017" s="22" t="s">
        <v>3478</v>
      </c>
      <c r="D1017" s="22" t="s">
        <v>5980</v>
      </c>
      <c r="E1017" s="22" t="s">
        <v>3922</v>
      </c>
      <c r="F1017" s="22" t="s">
        <v>5981</v>
      </c>
      <c r="G1017" s="22" t="s">
        <v>727</v>
      </c>
      <c r="H1017" s="63" t="n">
        <v>26659.02</v>
      </c>
      <c r="I1017" s="22" t="s">
        <v>601</v>
      </c>
      <c r="J1017" s="22"/>
      <c r="K1017" s="63" t="n">
        <v>11454.9873861851</v>
      </c>
      <c r="L1017" s="22" t="s">
        <v>2367</v>
      </c>
      <c r="M1017" s="22" t="n">
        <v>2</v>
      </c>
      <c r="N1017" s="22" t="s">
        <v>5982</v>
      </c>
    </row>
    <row r="1018" customFormat="false" ht="15" hidden="false" customHeight="false" outlineLevel="0" collapsed="false">
      <c r="A1018" s="22" t="s">
        <v>5983</v>
      </c>
      <c r="B1018" s="22" t="s">
        <v>3785</v>
      </c>
      <c r="C1018" s="22" t="s">
        <v>3478</v>
      </c>
      <c r="D1018" s="22" t="s">
        <v>5980</v>
      </c>
      <c r="E1018" s="22" t="s">
        <v>3922</v>
      </c>
      <c r="F1018" s="22" t="s">
        <v>5984</v>
      </c>
      <c r="G1018" s="22" t="s">
        <v>727</v>
      </c>
      <c r="H1018" s="63" t="n">
        <v>32484.75</v>
      </c>
      <c r="I1018" s="22" t="s">
        <v>601</v>
      </c>
      <c r="J1018" s="22"/>
      <c r="K1018" s="63" t="n">
        <v>13958.2175748912</v>
      </c>
      <c r="L1018" s="22" t="s">
        <v>2367</v>
      </c>
      <c r="M1018" s="22" t="n">
        <v>1</v>
      </c>
      <c r="N1018" s="22" t="s">
        <v>5982</v>
      </c>
    </row>
    <row r="1019" customFormat="false" ht="15" hidden="false" customHeight="false" outlineLevel="0" collapsed="false">
      <c r="A1019" s="22" t="s">
        <v>5985</v>
      </c>
      <c r="B1019" s="22" t="s">
        <v>3785</v>
      </c>
      <c r="C1019" s="22" t="s">
        <v>3478</v>
      </c>
      <c r="D1019" s="22" t="s">
        <v>5980</v>
      </c>
      <c r="E1019" s="22" t="s">
        <v>3922</v>
      </c>
      <c r="F1019" s="22" t="s">
        <v>5986</v>
      </c>
      <c r="G1019" s="22" t="s">
        <v>727</v>
      </c>
      <c r="H1019" s="63" t="n">
        <v>620.57</v>
      </c>
      <c r="I1019" s="22" t="s">
        <v>601</v>
      </c>
      <c r="J1019" s="22"/>
      <c r="K1019" s="63" t="n">
        <v>266.649768905417</v>
      </c>
      <c r="L1019" s="22" t="s">
        <v>2550</v>
      </c>
      <c r="M1019" s="22" t="n">
        <v>1</v>
      </c>
      <c r="N1019" s="22" t="s">
        <v>5982</v>
      </c>
    </row>
    <row r="1020" customFormat="false" ht="15" hidden="false" customHeight="false" outlineLevel="0" collapsed="false">
      <c r="A1020" s="22" t="s">
        <v>5987</v>
      </c>
      <c r="B1020" s="22" t="s">
        <v>3785</v>
      </c>
      <c r="C1020" s="22" t="s">
        <v>3478</v>
      </c>
      <c r="D1020" s="22" t="s">
        <v>5980</v>
      </c>
      <c r="E1020" s="22" t="s">
        <v>3922</v>
      </c>
      <c r="F1020" s="22" t="s">
        <v>5988</v>
      </c>
      <c r="G1020" s="22" t="s">
        <v>727</v>
      </c>
      <c r="H1020" s="63" t="n">
        <v>49468</v>
      </c>
      <c r="I1020" s="22" t="s">
        <v>601</v>
      </c>
      <c r="J1020" s="22"/>
      <c r="K1020" s="63" t="n">
        <v>21255.6694139471</v>
      </c>
      <c r="L1020" s="22" t="s">
        <v>2846</v>
      </c>
      <c r="M1020" s="22" t="n">
        <v>1</v>
      </c>
      <c r="N1020" s="22" t="s">
        <v>5982</v>
      </c>
    </row>
    <row r="1021" customFormat="false" ht="15" hidden="false" customHeight="false" outlineLevel="0" collapsed="false">
      <c r="A1021" s="22" t="s">
        <v>5989</v>
      </c>
      <c r="B1021" s="22" t="s">
        <v>3785</v>
      </c>
      <c r="C1021" s="22" t="s">
        <v>3478</v>
      </c>
      <c r="D1021" s="22" t="s">
        <v>5980</v>
      </c>
      <c r="E1021" s="22" t="s">
        <v>3922</v>
      </c>
      <c r="F1021" s="22" t="s">
        <v>5990</v>
      </c>
      <c r="G1021" s="22" t="s">
        <v>727</v>
      </c>
      <c r="H1021" s="63" t="n">
        <v>13544.81</v>
      </c>
      <c r="I1021" s="22" t="s">
        <v>601</v>
      </c>
      <c r="J1021" s="22"/>
      <c r="K1021" s="63" t="n">
        <v>5820.00492509753</v>
      </c>
      <c r="L1021" s="22" t="s">
        <v>2846</v>
      </c>
      <c r="M1021" s="22" t="n">
        <v>1</v>
      </c>
      <c r="N1021" s="22" t="s">
        <v>5982</v>
      </c>
    </row>
    <row r="1022" customFormat="false" ht="15" hidden="false" customHeight="false" outlineLevel="0" collapsed="false">
      <c r="A1022" s="22" t="s">
        <v>5991</v>
      </c>
      <c r="B1022" s="22" t="s">
        <v>3785</v>
      </c>
      <c r="C1022" s="22" t="s">
        <v>3478</v>
      </c>
      <c r="D1022" s="22" t="s">
        <v>5980</v>
      </c>
      <c r="E1022" s="22" t="s">
        <v>3922</v>
      </c>
      <c r="F1022" s="22" t="s">
        <v>5992</v>
      </c>
      <c r="G1022" s="22" t="s">
        <v>727</v>
      </c>
      <c r="H1022" s="63" t="n">
        <v>2885.63</v>
      </c>
      <c r="I1022" s="22" t="s">
        <v>601</v>
      </c>
      <c r="J1022" s="22"/>
      <c r="K1022" s="63" t="n">
        <v>1239.91261686278</v>
      </c>
      <c r="L1022" s="22" t="s">
        <v>2846</v>
      </c>
      <c r="M1022" s="22" t="n">
        <v>1</v>
      </c>
      <c r="N1022" s="22" t="s">
        <v>5982</v>
      </c>
    </row>
    <row r="1023" customFormat="false" ht="15" hidden="false" customHeight="false" outlineLevel="0" collapsed="false">
      <c r="A1023" s="22" t="s">
        <v>5993</v>
      </c>
      <c r="B1023" s="22" t="s">
        <v>3785</v>
      </c>
      <c r="C1023" s="22" t="s">
        <v>3478</v>
      </c>
      <c r="D1023" s="22" t="s">
        <v>5980</v>
      </c>
      <c r="E1023" s="22" t="s">
        <v>3922</v>
      </c>
      <c r="F1023" s="22" t="s">
        <v>5397</v>
      </c>
      <c r="G1023" s="22" t="s">
        <v>5994</v>
      </c>
      <c r="H1023" s="63" t="n">
        <v>63.32</v>
      </c>
      <c r="I1023" s="22" t="s">
        <v>601</v>
      </c>
      <c r="J1023" s="22"/>
      <c r="K1023" s="63" t="n">
        <v>27.2076693476819</v>
      </c>
      <c r="L1023" s="22" t="s">
        <v>2458</v>
      </c>
      <c r="M1023" s="22" t="n">
        <v>1</v>
      </c>
      <c r="N1023" s="22" t="s">
        <v>5982</v>
      </c>
    </row>
    <row r="1024" customFormat="false" ht="15" hidden="false" customHeight="false" outlineLevel="0" collapsed="false">
      <c r="A1024" s="22" t="s">
        <v>5995</v>
      </c>
      <c r="B1024" s="22" t="s">
        <v>5996</v>
      </c>
      <c r="C1024" s="22" t="s">
        <v>3431</v>
      </c>
      <c r="D1024" s="22" t="s">
        <v>5997</v>
      </c>
      <c r="E1024" s="22" t="s">
        <v>5998</v>
      </c>
      <c r="F1024" s="22" t="s">
        <v>5999</v>
      </c>
      <c r="G1024" s="22" t="s">
        <v>3444</v>
      </c>
      <c r="H1024" s="63" t="n">
        <v>135.46</v>
      </c>
      <c r="I1024" s="22" t="s">
        <v>112</v>
      </c>
      <c r="J1024" s="22" t="s">
        <v>4102</v>
      </c>
      <c r="K1024" s="63" t="n">
        <v>142.396880269143</v>
      </c>
      <c r="L1024" s="22" t="s">
        <v>2458</v>
      </c>
      <c r="M1024" s="22" t="n">
        <v>1</v>
      </c>
      <c r="N1024" s="22" t="s">
        <v>6000</v>
      </c>
    </row>
    <row r="1025" customFormat="false" ht="15" hidden="false" customHeight="false" outlineLevel="0" collapsed="false">
      <c r="A1025" s="22" t="s">
        <v>6001</v>
      </c>
      <c r="B1025" s="22" t="s">
        <v>5996</v>
      </c>
      <c r="C1025" s="22" t="s">
        <v>3431</v>
      </c>
      <c r="D1025" s="22" t="s">
        <v>5997</v>
      </c>
      <c r="E1025" s="22" t="s">
        <v>5998</v>
      </c>
      <c r="F1025" s="22" t="s">
        <v>6002</v>
      </c>
      <c r="G1025" s="22" t="s">
        <v>3444</v>
      </c>
      <c r="H1025" s="63" t="n">
        <v>103.31</v>
      </c>
      <c r="I1025" s="22" t="s">
        <v>112</v>
      </c>
      <c r="J1025" s="22" t="s">
        <v>4102</v>
      </c>
      <c r="K1025" s="63" t="n">
        <v>108.600485018494</v>
      </c>
      <c r="L1025" s="22" t="s">
        <v>2458</v>
      </c>
      <c r="M1025" s="22" t="n">
        <v>3</v>
      </c>
      <c r="N1025" s="22" t="s">
        <v>6003</v>
      </c>
    </row>
    <row r="1026" customFormat="false" ht="15" hidden="false" customHeight="false" outlineLevel="0" collapsed="false">
      <c r="A1026" s="22" t="s">
        <v>6004</v>
      </c>
      <c r="B1026" s="22" t="s">
        <v>5996</v>
      </c>
      <c r="C1026" s="22" t="s">
        <v>3431</v>
      </c>
      <c r="D1026" s="22" t="s">
        <v>5997</v>
      </c>
      <c r="E1026" s="22" t="s">
        <v>5998</v>
      </c>
      <c r="F1026" s="22" t="s">
        <v>6005</v>
      </c>
      <c r="G1026" s="22" t="s">
        <v>3444</v>
      </c>
      <c r="H1026" s="63" t="n">
        <v>120.99</v>
      </c>
      <c r="I1026" s="22" t="s">
        <v>112</v>
      </c>
      <c r="J1026" s="22" t="s">
        <v>4102</v>
      </c>
      <c r="K1026" s="63" t="n">
        <v>127.185874381837</v>
      </c>
      <c r="L1026" s="22" t="s">
        <v>2458</v>
      </c>
      <c r="M1026" s="22" t="n">
        <v>4</v>
      </c>
      <c r="N1026" s="22" t="s">
        <v>6006</v>
      </c>
    </row>
    <row r="1027" customFormat="false" ht="15" hidden="false" customHeight="false" outlineLevel="0" collapsed="false">
      <c r="A1027" s="22" t="s">
        <v>6007</v>
      </c>
      <c r="B1027" s="22" t="s">
        <v>5996</v>
      </c>
      <c r="C1027" s="22" t="s">
        <v>3431</v>
      </c>
      <c r="D1027" s="22" t="s">
        <v>5997</v>
      </c>
      <c r="E1027" s="22" t="s">
        <v>5998</v>
      </c>
      <c r="F1027" s="22" t="s">
        <v>6008</v>
      </c>
      <c r="G1027" s="22" t="s">
        <v>3444</v>
      </c>
      <c r="H1027" s="63" t="n">
        <v>810.65</v>
      </c>
      <c r="I1027" s="22" t="s">
        <v>112</v>
      </c>
      <c r="J1027" s="22" t="s">
        <v>4102</v>
      </c>
      <c r="K1027" s="63" t="n">
        <v>852.163228925002</v>
      </c>
      <c r="L1027" s="22" t="s">
        <v>2448</v>
      </c>
      <c r="M1027" s="22" t="n">
        <v>4</v>
      </c>
      <c r="N1027" s="22" t="s">
        <v>6009</v>
      </c>
    </row>
    <row r="1028" customFormat="false" ht="15" hidden="false" customHeight="false" outlineLevel="0" collapsed="false">
      <c r="A1028" s="22" t="s">
        <v>6010</v>
      </c>
      <c r="B1028" s="22" t="s">
        <v>5996</v>
      </c>
      <c r="C1028" s="22" t="s">
        <v>3431</v>
      </c>
      <c r="D1028" s="22" t="s">
        <v>5997</v>
      </c>
      <c r="E1028" s="22" t="s">
        <v>5998</v>
      </c>
      <c r="F1028" s="22" t="s">
        <v>6011</v>
      </c>
      <c r="G1028" s="22" t="s">
        <v>3444</v>
      </c>
      <c r="H1028" s="63" t="n">
        <v>810.65</v>
      </c>
      <c r="I1028" s="22" t="s">
        <v>112</v>
      </c>
      <c r="J1028" s="22" t="s">
        <v>4102</v>
      </c>
      <c r="K1028" s="63" t="n">
        <v>852.163228925002</v>
      </c>
      <c r="L1028" s="22" t="s">
        <v>2448</v>
      </c>
      <c r="M1028" s="22" t="n">
        <v>4</v>
      </c>
      <c r="N1028" s="22" t="s">
        <v>6009</v>
      </c>
    </row>
    <row r="1029" customFormat="false" ht="15" hidden="false" customHeight="false" outlineLevel="0" collapsed="false">
      <c r="A1029" s="22" t="s">
        <v>6012</v>
      </c>
      <c r="B1029" s="22" t="s">
        <v>5996</v>
      </c>
      <c r="C1029" s="22" t="s">
        <v>3431</v>
      </c>
      <c r="D1029" s="22" t="s">
        <v>5997</v>
      </c>
      <c r="E1029" s="22" t="s">
        <v>5998</v>
      </c>
      <c r="F1029" s="22" t="s">
        <v>6013</v>
      </c>
      <c r="G1029" s="22" t="s">
        <v>3444</v>
      </c>
      <c r="H1029" s="63" t="n">
        <v>98.49</v>
      </c>
      <c r="I1029" s="22" t="s">
        <v>112</v>
      </c>
      <c r="J1029" s="22" t="s">
        <v>4102</v>
      </c>
      <c r="K1029" s="63" t="n">
        <v>103.53365375541</v>
      </c>
      <c r="L1029" s="22" t="s">
        <v>2458</v>
      </c>
      <c r="M1029" s="22" t="n">
        <v>3</v>
      </c>
      <c r="N1029" s="22" t="s">
        <v>6014</v>
      </c>
    </row>
    <row r="1030" customFormat="false" ht="15" hidden="false" customHeight="false" outlineLevel="0" collapsed="false">
      <c r="A1030" s="22" t="s">
        <v>6015</v>
      </c>
      <c r="B1030" s="22" t="s">
        <v>5996</v>
      </c>
      <c r="C1030" s="22" t="s">
        <v>3431</v>
      </c>
      <c r="D1030" s="22" t="s">
        <v>5997</v>
      </c>
      <c r="E1030" s="22" t="s">
        <v>5998</v>
      </c>
      <c r="F1030" s="22" t="s">
        <v>6016</v>
      </c>
      <c r="G1030" s="22" t="s">
        <v>3444</v>
      </c>
      <c r="H1030" s="63" t="n">
        <v>109.45</v>
      </c>
      <c r="I1030" s="22" t="s">
        <v>112</v>
      </c>
      <c r="J1030" s="22" t="s">
        <v>4102</v>
      </c>
      <c r="K1030" s="63" t="n">
        <v>115.054913224994</v>
      </c>
      <c r="L1030" s="22" t="s">
        <v>2458</v>
      </c>
      <c r="M1030" s="22" t="n">
        <v>1</v>
      </c>
      <c r="N1030" s="22" t="s">
        <v>6017</v>
      </c>
    </row>
    <row r="1031" customFormat="false" ht="15" hidden="false" customHeight="false" outlineLevel="0" collapsed="false">
      <c r="A1031" s="22" t="s">
        <v>6018</v>
      </c>
      <c r="B1031" s="22" t="s">
        <v>5996</v>
      </c>
      <c r="C1031" s="22" t="s">
        <v>3431</v>
      </c>
      <c r="D1031" s="22" t="s">
        <v>5997</v>
      </c>
      <c r="E1031" s="22" t="s">
        <v>5998</v>
      </c>
      <c r="F1031" s="22" t="s">
        <v>6019</v>
      </c>
      <c r="G1031" s="22" t="s">
        <v>3444</v>
      </c>
      <c r="H1031" s="63" t="n">
        <v>187.05</v>
      </c>
      <c r="I1031" s="22" t="s">
        <v>112</v>
      </c>
      <c r="J1031" s="22" t="s">
        <v>4102</v>
      </c>
      <c r="K1031" s="63" t="n">
        <v>196.628794141025</v>
      </c>
      <c r="L1031" s="22" t="s">
        <v>2458</v>
      </c>
      <c r="M1031" s="22" t="n">
        <v>1</v>
      </c>
      <c r="N1031" s="22" t="s">
        <v>6020</v>
      </c>
    </row>
    <row r="1032" customFormat="false" ht="15" hidden="false" customHeight="false" outlineLevel="0" collapsed="false">
      <c r="A1032" s="22" t="s">
        <v>6021</v>
      </c>
      <c r="B1032" s="22" t="s">
        <v>5996</v>
      </c>
      <c r="C1032" s="22" t="s">
        <v>3431</v>
      </c>
      <c r="D1032" s="22" t="s">
        <v>5997</v>
      </c>
      <c r="E1032" s="22" t="s">
        <v>5998</v>
      </c>
      <c r="F1032" s="22" t="s">
        <v>6022</v>
      </c>
      <c r="G1032" s="22" t="s">
        <v>3444</v>
      </c>
      <c r="H1032" s="63" t="n">
        <v>303.4</v>
      </c>
      <c r="I1032" s="22" t="s">
        <v>112</v>
      </c>
      <c r="J1032" s="22" t="s">
        <v>4102</v>
      </c>
      <c r="K1032" s="63" t="n">
        <v>318.937055024789</v>
      </c>
      <c r="L1032" s="22" t="s">
        <v>2458</v>
      </c>
      <c r="M1032" s="22" t="n">
        <v>1</v>
      </c>
      <c r="N1032" s="22" t="s">
        <v>6023</v>
      </c>
    </row>
    <row r="1033" customFormat="false" ht="15" hidden="false" customHeight="false" outlineLevel="0" collapsed="false">
      <c r="A1033" s="22" t="s">
        <v>6024</v>
      </c>
      <c r="B1033" s="22" t="s">
        <v>5996</v>
      </c>
      <c r="C1033" s="22" t="s">
        <v>3431</v>
      </c>
      <c r="D1033" s="22" t="s">
        <v>5997</v>
      </c>
      <c r="E1033" s="22" t="s">
        <v>5998</v>
      </c>
      <c r="F1033" s="22" t="s">
        <v>6025</v>
      </c>
      <c r="G1033" s="22" t="s">
        <v>3444</v>
      </c>
      <c r="H1033" s="63" t="n">
        <v>409.31</v>
      </c>
      <c r="I1033" s="22" t="s">
        <v>112</v>
      </c>
      <c r="J1033" s="22" t="s">
        <v>4102</v>
      </c>
      <c r="K1033" s="63" t="n">
        <v>430.270685537892</v>
      </c>
      <c r="L1033" s="22" t="s">
        <v>2458</v>
      </c>
      <c r="M1033" s="22" t="n">
        <v>1</v>
      </c>
      <c r="N1033" s="22" t="s">
        <v>6026</v>
      </c>
    </row>
    <row r="1034" customFormat="false" ht="15" hidden="false" customHeight="false" outlineLevel="0" collapsed="false">
      <c r="A1034" s="22" t="s">
        <v>6027</v>
      </c>
      <c r="B1034" s="22" t="s">
        <v>5996</v>
      </c>
      <c r="C1034" s="22" t="s">
        <v>3431</v>
      </c>
      <c r="D1034" s="22" t="s">
        <v>5997</v>
      </c>
      <c r="E1034" s="22" t="s">
        <v>5998</v>
      </c>
      <c r="F1034" s="22" t="s">
        <v>6028</v>
      </c>
      <c r="G1034" s="22" t="s">
        <v>3444</v>
      </c>
      <c r="H1034" s="63" t="n">
        <v>221.61</v>
      </c>
      <c r="I1034" s="22" t="s">
        <v>112</v>
      </c>
      <c r="J1034" s="22" t="s">
        <v>4102</v>
      </c>
      <c r="K1034" s="63" t="n">
        <v>232.958605023216</v>
      </c>
      <c r="L1034" s="22" t="s">
        <v>2458</v>
      </c>
      <c r="M1034" s="22" t="n">
        <v>1</v>
      </c>
      <c r="N1034" s="22" t="s">
        <v>6029</v>
      </c>
    </row>
    <row r="1035" customFormat="false" ht="15" hidden="false" customHeight="false" outlineLevel="0" collapsed="false">
      <c r="A1035" s="22" t="s">
        <v>6030</v>
      </c>
      <c r="B1035" s="22" t="s">
        <v>5996</v>
      </c>
      <c r="C1035" s="22" t="s">
        <v>3431</v>
      </c>
      <c r="D1035" s="22" t="s">
        <v>5997</v>
      </c>
      <c r="E1035" s="22" t="s">
        <v>5998</v>
      </c>
      <c r="F1035" s="22" t="s">
        <v>6031</v>
      </c>
      <c r="G1035" s="22" t="s">
        <v>3444</v>
      </c>
      <c r="H1035" s="63" t="n">
        <v>43.89</v>
      </c>
      <c r="I1035" s="22" t="s">
        <v>112</v>
      </c>
      <c r="J1035" s="22" t="s">
        <v>4102</v>
      </c>
      <c r="K1035" s="63" t="n">
        <v>46.1375983686157</v>
      </c>
      <c r="L1035" s="22" t="s">
        <v>2448</v>
      </c>
      <c r="M1035" s="22" t="n">
        <v>1</v>
      </c>
      <c r="N1035" s="22" t="s">
        <v>6032</v>
      </c>
    </row>
    <row r="1036" customFormat="false" ht="15" hidden="false" customHeight="false" outlineLevel="0" collapsed="false">
      <c r="A1036" s="22" t="s">
        <v>6033</v>
      </c>
      <c r="B1036" s="22" t="s">
        <v>5996</v>
      </c>
      <c r="C1036" s="22" t="s">
        <v>3431</v>
      </c>
      <c r="D1036" s="22" t="s">
        <v>5997</v>
      </c>
      <c r="E1036" s="22" t="s">
        <v>5998</v>
      </c>
      <c r="F1036" s="22" t="s">
        <v>6034</v>
      </c>
      <c r="G1036" s="22" t="s">
        <v>3444</v>
      </c>
      <c r="H1036" s="63" t="n">
        <v>91.75</v>
      </c>
      <c r="I1036" s="22" t="s">
        <v>112</v>
      </c>
      <c r="J1036" s="22" t="s">
        <v>4102</v>
      </c>
      <c r="K1036" s="63" t="n">
        <v>96.4484996655387</v>
      </c>
      <c r="L1036" s="22" t="s">
        <v>2458</v>
      </c>
      <c r="M1036" s="22" t="n">
        <v>3</v>
      </c>
      <c r="N1036" s="22" t="s">
        <v>6035</v>
      </c>
    </row>
    <row r="1037" customFormat="false" ht="15" hidden="false" customHeight="false" outlineLevel="0" collapsed="false">
      <c r="A1037" s="22" t="s">
        <v>6036</v>
      </c>
      <c r="B1037" s="22" t="s">
        <v>5996</v>
      </c>
      <c r="C1037" s="22" t="s">
        <v>3431</v>
      </c>
      <c r="D1037" s="22" t="s">
        <v>5997</v>
      </c>
      <c r="E1037" s="22" t="s">
        <v>5998</v>
      </c>
      <c r="F1037" s="22" t="s">
        <v>6037</v>
      </c>
      <c r="G1037" s="22" t="s">
        <v>3444</v>
      </c>
      <c r="H1037" s="63" t="n">
        <v>62.08</v>
      </c>
      <c r="I1037" s="22" t="s">
        <v>112</v>
      </c>
      <c r="J1037" s="22" t="s">
        <v>4102</v>
      </c>
      <c r="K1037" s="63" t="n">
        <v>65.2591047328244</v>
      </c>
      <c r="L1037" s="22" t="s">
        <v>2458</v>
      </c>
      <c r="M1037" s="22" t="n">
        <v>1</v>
      </c>
      <c r="N1037" s="22" t="s">
        <v>6038</v>
      </c>
    </row>
    <row r="1038" customFormat="false" ht="15" hidden="false" customHeight="false" outlineLevel="0" collapsed="false">
      <c r="A1038" s="22" t="s">
        <v>6039</v>
      </c>
      <c r="B1038" s="22" t="s">
        <v>5996</v>
      </c>
      <c r="C1038" s="22" t="s">
        <v>3431</v>
      </c>
      <c r="D1038" s="22" t="s">
        <v>5997</v>
      </c>
      <c r="E1038" s="22" t="s">
        <v>5998</v>
      </c>
      <c r="F1038" s="22" t="s">
        <v>6040</v>
      </c>
      <c r="G1038" s="22" t="s">
        <v>3444</v>
      </c>
      <c r="H1038" s="63" t="n">
        <v>350.49</v>
      </c>
      <c r="I1038" s="22" t="s">
        <v>112</v>
      </c>
      <c r="J1038" s="22" t="s">
        <v>4102</v>
      </c>
      <c r="K1038" s="63" t="n">
        <v>368.438524771386</v>
      </c>
      <c r="L1038" s="22" t="s">
        <v>2458</v>
      </c>
      <c r="M1038" s="22" t="n">
        <v>1</v>
      </c>
      <c r="N1038" s="22" t="s">
        <v>6041</v>
      </c>
    </row>
    <row r="1039" customFormat="false" ht="15" hidden="false" customHeight="false" outlineLevel="0" collapsed="false">
      <c r="A1039" s="22" t="s">
        <v>6042</v>
      </c>
      <c r="B1039" s="22" t="s">
        <v>5996</v>
      </c>
      <c r="C1039" s="22" t="s">
        <v>3431</v>
      </c>
      <c r="D1039" s="22" t="s">
        <v>5997</v>
      </c>
      <c r="E1039" s="22" t="s">
        <v>5998</v>
      </c>
      <c r="F1039" s="22" t="s">
        <v>6043</v>
      </c>
      <c r="G1039" s="22" t="s">
        <v>5398</v>
      </c>
      <c r="H1039" s="63" t="n">
        <v>45.75</v>
      </c>
      <c r="I1039" s="22" t="s">
        <v>112</v>
      </c>
      <c r="J1039" s="22" t="s">
        <v>4102</v>
      </c>
      <c r="K1039" s="63" t="n">
        <v>48.092848607067</v>
      </c>
      <c r="L1039" s="22" t="s">
        <v>2458</v>
      </c>
      <c r="M1039" s="22" t="n">
        <v>1</v>
      </c>
      <c r="N1039" s="22" t="s">
        <v>6044</v>
      </c>
    </row>
    <row r="1040" customFormat="false" ht="15" hidden="false" customHeight="false" outlineLevel="0" collapsed="false">
      <c r="A1040" s="22" t="s">
        <v>6045</v>
      </c>
      <c r="B1040" s="22" t="s">
        <v>5996</v>
      </c>
      <c r="C1040" s="22" t="s">
        <v>3431</v>
      </c>
      <c r="D1040" s="22" t="s">
        <v>5997</v>
      </c>
      <c r="E1040" s="22" t="s">
        <v>5998</v>
      </c>
      <c r="F1040" s="22" t="s">
        <v>6046</v>
      </c>
      <c r="G1040" s="22" t="s">
        <v>5398</v>
      </c>
      <c r="H1040" s="63" t="n">
        <v>48.47</v>
      </c>
      <c r="I1040" s="22" t="s">
        <v>112</v>
      </c>
      <c r="J1040" s="22" t="s">
        <v>4102</v>
      </c>
      <c r="K1040" s="63" t="n">
        <v>50.9521392783505</v>
      </c>
      <c r="L1040" s="22" t="s">
        <v>2458</v>
      </c>
      <c r="M1040" s="22" t="n">
        <v>1</v>
      </c>
      <c r="N1040" s="22" t="s">
        <v>6047</v>
      </c>
    </row>
    <row r="1041" customFormat="false" ht="15" hidden="false" customHeight="false" outlineLevel="0" collapsed="false">
      <c r="A1041" s="22" t="s">
        <v>6048</v>
      </c>
      <c r="B1041" s="22" t="s">
        <v>5996</v>
      </c>
      <c r="C1041" s="22" t="s">
        <v>3431</v>
      </c>
      <c r="D1041" s="22" t="s">
        <v>5997</v>
      </c>
      <c r="E1041" s="22" t="s">
        <v>5998</v>
      </c>
      <c r="F1041" s="22" t="s">
        <v>6049</v>
      </c>
      <c r="G1041" s="22" t="s">
        <v>4857</v>
      </c>
      <c r="H1041" s="63" t="n">
        <v>10.64</v>
      </c>
      <c r="I1041" s="22" t="s">
        <v>112</v>
      </c>
      <c r="J1041" s="22" t="s">
        <v>4102</v>
      </c>
      <c r="K1041" s="63" t="n">
        <v>11.1848723317856</v>
      </c>
      <c r="L1041" s="22" t="s">
        <v>2458</v>
      </c>
      <c r="M1041" s="22" t="n">
        <v>1</v>
      </c>
      <c r="N1041" s="22" t="s">
        <v>6050</v>
      </c>
    </row>
    <row r="1042" customFormat="false" ht="15" hidden="false" customHeight="false" outlineLevel="0" collapsed="false">
      <c r="A1042" s="22" t="s">
        <v>6051</v>
      </c>
      <c r="B1042" s="22" t="s">
        <v>5996</v>
      </c>
      <c r="C1042" s="22" t="s">
        <v>3431</v>
      </c>
      <c r="D1042" s="22" t="s">
        <v>5997</v>
      </c>
      <c r="E1042" s="22" t="s">
        <v>5998</v>
      </c>
      <c r="F1042" s="22" t="s">
        <v>6052</v>
      </c>
      <c r="G1042" s="22" t="s">
        <v>4857</v>
      </c>
      <c r="H1042" s="63" t="n">
        <v>12.02</v>
      </c>
      <c r="I1042" s="22" t="s">
        <v>112</v>
      </c>
      <c r="J1042" s="22" t="s">
        <v>4102</v>
      </c>
      <c r="K1042" s="63" t="n">
        <v>12.6355418635398</v>
      </c>
      <c r="L1042" s="22" t="s">
        <v>2458</v>
      </c>
      <c r="M1042" s="22" t="n">
        <v>1</v>
      </c>
      <c r="N1042" s="22" t="s">
        <v>6053</v>
      </c>
    </row>
    <row r="1043" customFormat="false" ht="15" hidden="false" customHeight="false" outlineLevel="0" collapsed="false">
      <c r="A1043" s="22" t="s">
        <v>6054</v>
      </c>
      <c r="B1043" s="22" t="s">
        <v>5996</v>
      </c>
      <c r="C1043" s="22" t="s">
        <v>3431</v>
      </c>
      <c r="D1043" s="22" t="s">
        <v>5997</v>
      </c>
      <c r="E1043" s="22" t="s">
        <v>5998</v>
      </c>
      <c r="F1043" s="22" t="s">
        <v>6055</v>
      </c>
      <c r="G1043" s="22" t="s">
        <v>3444</v>
      </c>
      <c r="H1043" s="63" t="n">
        <v>174.17</v>
      </c>
      <c r="I1043" s="22" t="s">
        <v>112</v>
      </c>
      <c r="J1043" s="22" t="s">
        <v>4102</v>
      </c>
      <c r="K1043" s="63" t="n">
        <v>183.089211844653</v>
      </c>
      <c r="L1043" s="22" t="s">
        <v>2367</v>
      </c>
      <c r="M1043" s="22" t="n">
        <v>1</v>
      </c>
      <c r="N1043" s="22" t="s">
        <v>6056</v>
      </c>
    </row>
    <row r="1044" customFormat="false" ht="15" hidden="false" customHeight="false" outlineLevel="0" collapsed="false">
      <c r="A1044" s="22" t="s">
        <v>6057</v>
      </c>
      <c r="B1044" s="22" t="s">
        <v>5996</v>
      </c>
      <c r="C1044" s="22" t="s">
        <v>3431</v>
      </c>
      <c r="D1044" s="22" t="s">
        <v>5997</v>
      </c>
      <c r="E1044" s="22" t="s">
        <v>5998</v>
      </c>
      <c r="F1044" s="22" t="s">
        <v>6058</v>
      </c>
      <c r="G1044" s="22" t="s">
        <v>3444</v>
      </c>
      <c r="H1044" s="63" t="n">
        <v>154.56</v>
      </c>
      <c r="I1044" s="22" t="s">
        <v>112</v>
      </c>
      <c r="J1044" s="22" t="s">
        <v>4102</v>
      </c>
      <c r="K1044" s="63" t="n">
        <v>162.474987556465</v>
      </c>
      <c r="L1044" s="22" t="s">
        <v>2367</v>
      </c>
      <c r="M1044" s="22" t="n">
        <v>1</v>
      </c>
      <c r="N1044" s="22" t="s">
        <v>6059</v>
      </c>
    </row>
    <row r="1045" customFormat="false" ht="15" hidden="false" customHeight="false" outlineLevel="0" collapsed="false">
      <c r="A1045" s="22" t="s">
        <v>6060</v>
      </c>
      <c r="B1045" s="22" t="s">
        <v>5996</v>
      </c>
      <c r="C1045" s="22" t="s">
        <v>3431</v>
      </c>
      <c r="D1045" s="22" t="s">
        <v>5997</v>
      </c>
      <c r="E1045" s="22" t="s">
        <v>5998</v>
      </c>
      <c r="F1045" s="22" t="s">
        <v>6061</v>
      </c>
      <c r="G1045" s="22" t="s">
        <v>4857</v>
      </c>
      <c r="H1045" s="63" t="n">
        <v>28.03</v>
      </c>
      <c r="I1045" s="22" t="s">
        <v>112</v>
      </c>
      <c r="J1045" s="22" t="s">
        <v>4102</v>
      </c>
      <c r="K1045" s="63" t="n">
        <v>29.4654108514992</v>
      </c>
      <c r="L1045" s="22" t="s">
        <v>2846</v>
      </c>
      <c r="M1045" s="22" t="n">
        <v>1</v>
      </c>
      <c r="N1045" s="22" t="s">
        <v>6062</v>
      </c>
    </row>
    <row r="1046" customFormat="false" ht="15" hidden="false" customHeight="false" outlineLevel="0" collapsed="false">
      <c r="A1046" s="22" t="s">
        <v>6063</v>
      </c>
      <c r="B1046" s="22" t="s">
        <v>5996</v>
      </c>
      <c r="C1046" s="22" t="s">
        <v>3431</v>
      </c>
      <c r="D1046" s="22" t="s">
        <v>5997</v>
      </c>
      <c r="E1046" s="22" t="s">
        <v>5998</v>
      </c>
      <c r="F1046" s="22" t="s">
        <v>6064</v>
      </c>
      <c r="G1046" s="22" t="s">
        <v>4857</v>
      </c>
      <c r="H1046" s="63" t="n">
        <v>31.27</v>
      </c>
      <c r="I1046" s="22" t="s">
        <v>112</v>
      </c>
      <c r="J1046" s="22" t="s">
        <v>4102</v>
      </c>
      <c r="K1046" s="63" t="n">
        <v>32.8713306217046</v>
      </c>
      <c r="L1046" s="22" t="s">
        <v>2846</v>
      </c>
      <c r="M1046" s="22" t="n">
        <v>1</v>
      </c>
      <c r="N1046" s="22" t="s">
        <v>6065</v>
      </c>
    </row>
    <row r="1047" customFormat="false" ht="15" hidden="false" customHeight="false" outlineLevel="0" collapsed="false">
      <c r="A1047" s="22" t="s">
        <v>6066</v>
      </c>
      <c r="B1047" s="22" t="s">
        <v>5996</v>
      </c>
      <c r="C1047" s="22" t="s">
        <v>3431</v>
      </c>
      <c r="D1047" s="22" t="s">
        <v>5997</v>
      </c>
      <c r="E1047" s="22" t="s">
        <v>5998</v>
      </c>
      <c r="F1047" s="22" t="s">
        <v>6067</v>
      </c>
      <c r="G1047" s="22" t="s">
        <v>3444</v>
      </c>
      <c r="H1047" s="63" t="n">
        <v>96.47</v>
      </c>
      <c r="I1047" s="22" t="s">
        <v>112</v>
      </c>
      <c r="J1047" s="22" t="s">
        <v>4102</v>
      </c>
      <c r="K1047" s="63" t="n">
        <v>101.41020994806</v>
      </c>
      <c r="L1047" s="22" t="s">
        <v>2534</v>
      </c>
      <c r="M1047" s="22" t="n">
        <v>11</v>
      </c>
      <c r="N1047" s="22" t="s">
        <v>6068</v>
      </c>
    </row>
    <row r="1048" customFormat="false" ht="15" hidden="false" customHeight="false" outlineLevel="0" collapsed="false">
      <c r="A1048" s="22" t="s">
        <v>6069</v>
      </c>
      <c r="B1048" s="22" t="s">
        <v>5996</v>
      </c>
      <c r="C1048" s="22" t="s">
        <v>3431</v>
      </c>
      <c r="D1048" s="22" t="s">
        <v>5997</v>
      </c>
      <c r="E1048" s="22" t="s">
        <v>5998</v>
      </c>
      <c r="F1048" s="22" t="s">
        <v>6070</v>
      </c>
      <c r="G1048" s="22" t="s">
        <v>3444</v>
      </c>
      <c r="H1048" s="63" t="n">
        <v>49.32</v>
      </c>
      <c r="I1048" s="22" t="s">
        <v>112</v>
      </c>
      <c r="J1048" s="22" t="s">
        <v>4102</v>
      </c>
      <c r="K1048" s="63" t="n">
        <v>51.8456676131266</v>
      </c>
      <c r="L1048" s="22" t="s">
        <v>2534</v>
      </c>
      <c r="M1048" s="22" t="n">
        <v>9</v>
      </c>
      <c r="N1048" s="22" t="s">
        <v>6071</v>
      </c>
    </row>
    <row r="1049" customFormat="false" ht="15" hidden="false" customHeight="false" outlineLevel="0" collapsed="false">
      <c r="A1049" s="22" t="s">
        <v>6072</v>
      </c>
      <c r="B1049" s="22" t="s">
        <v>5996</v>
      </c>
      <c r="C1049" s="22" t="s">
        <v>3431</v>
      </c>
      <c r="D1049" s="22" t="s">
        <v>5997</v>
      </c>
      <c r="E1049" s="22" t="s">
        <v>5998</v>
      </c>
      <c r="F1049" s="22" t="s">
        <v>6073</v>
      </c>
      <c r="G1049" s="22" t="s">
        <v>3444</v>
      </c>
      <c r="H1049" s="63" t="n">
        <v>415.09</v>
      </c>
      <c r="I1049" s="22" t="s">
        <v>112</v>
      </c>
      <c r="J1049" s="22" t="s">
        <v>4102</v>
      </c>
      <c r="K1049" s="63" t="n">
        <v>436.34667821437</v>
      </c>
      <c r="L1049" s="22" t="s">
        <v>2550</v>
      </c>
      <c r="M1049" s="22" t="n">
        <v>1</v>
      </c>
      <c r="N1049" s="22" t="s">
        <v>6074</v>
      </c>
    </row>
    <row r="1050" customFormat="false" ht="15" hidden="false" customHeight="false" outlineLevel="0" collapsed="false">
      <c r="A1050" s="22" t="s">
        <v>6075</v>
      </c>
      <c r="B1050" s="22" t="s">
        <v>5996</v>
      </c>
      <c r="C1050" s="22" t="s">
        <v>3431</v>
      </c>
      <c r="D1050" s="22" t="s">
        <v>5997</v>
      </c>
      <c r="E1050" s="22" t="s">
        <v>5998</v>
      </c>
      <c r="F1050" s="22" t="s">
        <v>6076</v>
      </c>
      <c r="G1050" s="22" t="s">
        <v>3444</v>
      </c>
      <c r="H1050" s="63" t="n">
        <v>435.49</v>
      </c>
      <c r="I1050" s="22" t="s">
        <v>112</v>
      </c>
      <c r="J1050" s="22" t="s">
        <v>4102</v>
      </c>
      <c r="K1050" s="63" t="n">
        <v>457.791358248997</v>
      </c>
      <c r="L1050" s="22" t="s">
        <v>2550</v>
      </c>
      <c r="M1050" s="22" t="n">
        <v>1</v>
      </c>
      <c r="N1050" s="22" t="s">
        <v>6077</v>
      </c>
    </row>
    <row r="1051" customFormat="false" ht="15" hidden="false" customHeight="false" outlineLevel="0" collapsed="false">
      <c r="A1051" s="22" t="s">
        <v>6078</v>
      </c>
      <c r="B1051" s="22" t="s">
        <v>5996</v>
      </c>
      <c r="C1051" s="22" t="s">
        <v>3431</v>
      </c>
      <c r="D1051" s="22" t="s">
        <v>5997</v>
      </c>
      <c r="E1051" s="22" t="s">
        <v>5998</v>
      </c>
      <c r="F1051" s="22" t="s">
        <v>6079</v>
      </c>
      <c r="G1051" s="22" t="s">
        <v>4857</v>
      </c>
      <c r="H1051" s="63" t="n">
        <v>41.1</v>
      </c>
      <c r="I1051" s="22" t="s">
        <v>112</v>
      </c>
      <c r="J1051" s="22" t="s">
        <v>4102</v>
      </c>
      <c r="K1051" s="63" t="n">
        <v>43.2047230109389</v>
      </c>
      <c r="L1051" s="22" t="s">
        <v>2550</v>
      </c>
      <c r="M1051" s="22" t="n">
        <v>1</v>
      </c>
      <c r="N1051" s="22" t="s">
        <v>6080</v>
      </c>
    </row>
    <row r="1052" customFormat="false" ht="15" hidden="false" customHeight="false" outlineLevel="0" collapsed="false">
      <c r="A1052" s="22" t="s">
        <v>6081</v>
      </c>
      <c r="B1052" s="22" t="s">
        <v>5996</v>
      </c>
      <c r="C1052" s="22" t="s">
        <v>3431</v>
      </c>
      <c r="D1052" s="22" t="s">
        <v>5997</v>
      </c>
      <c r="E1052" s="22" t="s">
        <v>5998</v>
      </c>
      <c r="F1052" s="22" t="s">
        <v>6082</v>
      </c>
      <c r="G1052" s="22" t="s">
        <v>4857</v>
      </c>
      <c r="H1052" s="63" t="n">
        <v>28.33</v>
      </c>
      <c r="I1052" s="22" t="s">
        <v>112</v>
      </c>
      <c r="J1052" s="22" t="s">
        <v>4102</v>
      </c>
      <c r="K1052" s="63" t="n">
        <v>29.7807737931849</v>
      </c>
      <c r="L1052" s="22" t="s">
        <v>2550</v>
      </c>
      <c r="M1052" s="22" t="n">
        <v>1</v>
      </c>
      <c r="N1052" s="22" t="s">
        <v>6083</v>
      </c>
    </row>
    <row r="1053" customFormat="false" ht="15" hidden="false" customHeight="false" outlineLevel="0" collapsed="false">
      <c r="A1053" s="22" t="s">
        <v>6084</v>
      </c>
      <c r="B1053" s="22" t="s">
        <v>5996</v>
      </c>
      <c r="C1053" s="22" t="s">
        <v>3431</v>
      </c>
      <c r="D1053" s="22" t="s">
        <v>5997</v>
      </c>
      <c r="E1053" s="22" t="s">
        <v>5998</v>
      </c>
      <c r="F1053" s="22" t="s">
        <v>6085</v>
      </c>
      <c r="G1053" s="22" t="s">
        <v>4857</v>
      </c>
      <c r="H1053" s="63" t="n">
        <v>49.11</v>
      </c>
      <c r="I1053" s="22" t="s">
        <v>112</v>
      </c>
      <c r="J1053" s="22" t="s">
        <v>4102</v>
      </c>
      <c r="K1053" s="63" t="n">
        <v>51.6249135539466</v>
      </c>
      <c r="L1053" s="22" t="s">
        <v>2550</v>
      </c>
      <c r="M1053" s="22" t="n">
        <v>4</v>
      </c>
      <c r="N1053" s="22" t="s">
        <v>6086</v>
      </c>
    </row>
    <row r="1054" customFormat="false" ht="15" hidden="false" customHeight="false" outlineLevel="0" collapsed="false">
      <c r="A1054" s="22" t="s">
        <v>6087</v>
      </c>
      <c r="B1054" s="22" t="s">
        <v>5996</v>
      </c>
      <c r="C1054" s="22" t="s">
        <v>3431</v>
      </c>
      <c r="D1054" s="22" t="s">
        <v>5997</v>
      </c>
      <c r="E1054" s="22" t="s">
        <v>5998</v>
      </c>
      <c r="F1054" s="22" t="s">
        <v>6088</v>
      </c>
      <c r="G1054" s="22" t="s">
        <v>4857</v>
      </c>
      <c r="H1054" s="63" t="n">
        <v>68.21</v>
      </c>
      <c r="I1054" s="22" t="s">
        <v>112</v>
      </c>
      <c r="J1054" s="22" t="s">
        <v>4102</v>
      </c>
      <c r="K1054" s="63" t="n">
        <v>71.7030208412686</v>
      </c>
      <c r="L1054" s="22" t="s">
        <v>2550</v>
      </c>
      <c r="M1054" s="22" t="n">
        <v>3</v>
      </c>
      <c r="N1054" s="22" t="s">
        <v>6089</v>
      </c>
    </row>
    <row r="1055" customFormat="false" ht="15" hidden="false" customHeight="false" outlineLevel="0" collapsed="false">
      <c r="A1055" s="22" t="s">
        <v>6090</v>
      </c>
      <c r="B1055" s="22" t="s">
        <v>5996</v>
      </c>
      <c r="C1055" s="22" t="s">
        <v>3431</v>
      </c>
      <c r="D1055" s="22" t="s">
        <v>5997</v>
      </c>
      <c r="E1055" s="22" t="s">
        <v>5998</v>
      </c>
      <c r="F1055" s="22" t="s">
        <v>6091</v>
      </c>
      <c r="G1055" s="22" t="s">
        <v>4857</v>
      </c>
      <c r="H1055" s="63" t="n">
        <v>63.54</v>
      </c>
      <c r="I1055" s="22" t="s">
        <v>112</v>
      </c>
      <c r="J1055" s="22" t="s">
        <v>4102</v>
      </c>
      <c r="K1055" s="63" t="n">
        <v>66.7938710490281</v>
      </c>
      <c r="L1055" s="22" t="s">
        <v>2550</v>
      </c>
      <c r="M1055" s="22" t="n">
        <v>2</v>
      </c>
      <c r="N1055" s="22" t="s">
        <v>6092</v>
      </c>
    </row>
    <row r="1056" customFormat="false" ht="15" hidden="false" customHeight="false" outlineLevel="0" collapsed="false">
      <c r="A1056" s="22" t="s">
        <v>6093</v>
      </c>
      <c r="B1056" s="22" t="s">
        <v>5996</v>
      </c>
      <c r="C1056" s="22" t="s">
        <v>3431</v>
      </c>
      <c r="D1056" s="22" t="s">
        <v>5997</v>
      </c>
      <c r="E1056" s="22" t="s">
        <v>5998</v>
      </c>
      <c r="F1056" s="22" t="s">
        <v>6094</v>
      </c>
      <c r="G1056" s="22" t="s">
        <v>4857</v>
      </c>
      <c r="H1056" s="63" t="n">
        <v>75.96</v>
      </c>
      <c r="I1056" s="22" t="s">
        <v>112</v>
      </c>
      <c r="J1056" s="22" t="s">
        <v>4102</v>
      </c>
      <c r="K1056" s="63" t="n">
        <v>79.8498968348154</v>
      </c>
      <c r="L1056" s="22" t="s">
        <v>2550</v>
      </c>
      <c r="M1056" s="22" t="n">
        <v>3</v>
      </c>
      <c r="N1056" s="22" t="s">
        <v>6095</v>
      </c>
    </row>
    <row r="1057" customFormat="false" ht="15" hidden="false" customHeight="false" outlineLevel="0" collapsed="false">
      <c r="A1057" s="22" t="s">
        <v>6096</v>
      </c>
      <c r="B1057" s="22" t="s">
        <v>5996</v>
      </c>
      <c r="C1057" s="22" t="s">
        <v>3431</v>
      </c>
      <c r="D1057" s="22" t="s">
        <v>5997</v>
      </c>
      <c r="E1057" s="22" t="s">
        <v>5998</v>
      </c>
      <c r="F1057" s="22" t="s">
        <v>6097</v>
      </c>
      <c r="G1057" s="22" t="s">
        <v>4857</v>
      </c>
      <c r="H1057" s="63" t="n">
        <v>164.96</v>
      </c>
      <c r="I1057" s="22" t="s">
        <v>112</v>
      </c>
      <c r="J1057" s="22" t="s">
        <v>4102</v>
      </c>
      <c r="K1057" s="63" t="n">
        <v>173.407569534902</v>
      </c>
      <c r="L1057" s="22" t="s">
        <v>2550</v>
      </c>
      <c r="M1057" s="22" t="n">
        <v>2</v>
      </c>
      <c r="N1057" s="22" t="s">
        <v>6098</v>
      </c>
    </row>
    <row r="1058" customFormat="false" ht="15" hidden="false" customHeight="false" outlineLevel="0" collapsed="false">
      <c r="A1058" s="22" t="s">
        <v>6099</v>
      </c>
      <c r="B1058" s="22" t="s">
        <v>5996</v>
      </c>
      <c r="C1058" s="22" t="s">
        <v>3431</v>
      </c>
      <c r="D1058" s="22" t="s">
        <v>5997</v>
      </c>
      <c r="E1058" s="22" t="s">
        <v>5998</v>
      </c>
      <c r="F1058" s="22" t="s">
        <v>6100</v>
      </c>
      <c r="G1058" s="22" t="s">
        <v>3444</v>
      </c>
      <c r="H1058" s="63" t="n">
        <v>242.36</v>
      </c>
      <c r="I1058" s="22" t="s">
        <v>112</v>
      </c>
      <c r="J1058" s="22" t="s">
        <v>4102</v>
      </c>
      <c r="K1058" s="63" t="n">
        <v>254.771208489809</v>
      </c>
      <c r="L1058" s="22" t="s">
        <v>2550</v>
      </c>
      <c r="M1058" s="22" t="n">
        <v>2</v>
      </c>
      <c r="N1058" s="22" t="s">
        <v>6101</v>
      </c>
    </row>
    <row r="1059" customFormat="false" ht="15" hidden="false" customHeight="false" outlineLevel="0" collapsed="false">
      <c r="A1059" s="22" t="s">
        <v>6102</v>
      </c>
      <c r="B1059" s="22" t="s">
        <v>5996</v>
      </c>
      <c r="C1059" s="22" t="s">
        <v>3431</v>
      </c>
      <c r="D1059" s="22" t="s">
        <v>5997</v>
      </c>
      <c r="E1059" s="22" t="s">
        <v>5998</v>
      </c>
      <c r="F1059" s="22" t="s">
        <v>6103</v>
      </c>
      <c r="G1059" s="22" t="s">
        <v>3444</v>
      </c>
      <c r="H1059" s="63" t="n">
        <v>8316.09</v>
      </c>
      <c r="I1059" s="22" t="s">
        <v>112</v>
      </c>
      <c r="J1059" s="22" t="s">
        <v>4102</v>
      </c>
      <c r="K1059" s="63" t="n">
        <v>8741.95535240969</v>
      </c>
      <c r="L1059" s="22" t="s">
        <v>2550</v>
      </c>
      <c r="M1059" s="22" t="n">
        <v>1</v>
      </c>
      <c r="N1059" s="22" t="s">
        <v>6104</v>
      </c>
    </row>
    <row r="1060" customFormat="false" ht="15" hidden="false" customHeight="false" outlineLevel="0" collapsed="false">
      <c r="A1060" s="22" t="s">
        <v>6105</v>
      </c>
      <c r="B1060" s="22" t="s">
        <v>5996</v>
      </c>
      <c r="C1060" s="22" t="s">
        <v>3431</v>
      </c>
      <c r="D1060" s="22" t="s">
        <v>5997</v>
      </c>
      <c r="E1060" s="22" t="s">
        <v>5998</v>
      </c>
      <c r="F1060" s="22" t="s">
        <v>6106</v>
      </c>
      <c r="G1060" s="22" t="s">
        <v>3444</v>
      </c>
      <c r="H1060" s="63" t="n">
        <v>163.82</v>
      </c>
      <c r="I1060" s="22" t="s">
        <v>112</v>
      </c>
      <c r="J1060" s="22" t="s">
        <v>4102</v>
      </c>
      <c r="K1060" s="63" t="n">
        <v>172.209190356496</v>
      </c>
      <c r="L1060" s="22" t="s">
        <v>2550</v>
      </c>
      <c r="M1060" s="22" t="n">
        <v>1</v>
      </c>
      <c r="N1060" s="22" t="s">
        <v>6107</v>
      </c>
    </row>
    <row r="1061" customFormat="false" ht="15" hidden="false" customHeight="false" outlineLevel="0" collapsed="false">
      <c r="A1061" s="22" t="s">
        <v>6108</v>
      </c>
      <c r="B1061" s="22" t="s">
        <v>5996</v>
      </c>
      <c r="C1061" s="22" t="s">
        <v>3431</v>
      </c>
      <c r="D1061" s="22" t="s">
        <v>5997</v>
      </c>
      <c r="E1061" s="22" t="s">
        <v>5998</v>
      </c>
      <c r="F1061" s="22" t="s">
        <v>6109</v>
      </c>
      <c r="G1061" s="22" t="s">
        <v>3444</v>
      </c>
      <c r="H1061" s="63" t="n">
        <v>17.68</v>
      </c>
      <c r="I1061" s="22" t="s">
        <v>112</v>
      </c>
      <c r="J1061" s="22" t="s">
        <v>4102</v>
      </c>
      <c r="K1061" s="63" t="n">
        <v>18.585389363343</v>
      </c>
      <c r="L1061" s="22" t="s">
        <v>2550</v>
      </c>
      <c r="M1061" s="22" t="n">
        <v>2</v>
      </c>
      <c r="N1061" s="22" t="s">
        <v>6110</v>
      </c>
    </row>
    <row r="1062" customFormat="false" ht="15" hidden="false" customHeight="false" outlineLevel="0" collapsed="false">
      <c r="A1062" s="22" t="s">
        <v>6111</v>
      </c>
      <c r="B1062" s="22" t="s">
        <v>5996</v>
      </c>
      <c r="C1062" s="22" t="s">
        <v>3431</v>
      </c>
      <c r="D1062" s="22" t="s">
        <v>5997</v>
      </c>
      <c r="E1062" s="22" t="s">
        <v>5998</v>
      </c>
      <c r="F1062" s="22" t="s">
        <v>6112</v>
      </c>
      <c r="G1062" s="22" t="s">
        <v>3444</v>
      </c>
      <c r="H1062" s="63" t="n">
        <v>18.71</v>
      </c>
      <c r="I1062" s="22" t="s">
        <v>112</v>
      </c>
      <c r="J1062" s="22" t="s">
        <v>4102</v>
      </c>
      <c r="K1062" s="63" t="n">
        <v>19.6681354631306</v>
      </c>
      <c r="L1062" s="22" t="s">
        <v>2550</v>
      </c>
      <c r="M1062" s="22" t="n">
        <v>1</v>
      </c>
      <c r="N1062" s="22" t="s">
        <v>6113</v>
      </c>
    </row>
    <row r="1063" customFormat="false" ht="15" hidden="false" customHeight="false" outlineLevel="0" collapsed="false">
      <c r="A1063" s="22" t="s">
        <v>6114</v>
      </c>
      <c r="B1063" s="22" t="s">
        <v>5996</v>
      </c>
      <c r="C1063" s="22" t="s">
        <v>3431</v>
      </c>
      <c r="D1063" s="22" t="s">
        <v>5997</v>
      </c>
      <c r="E1063" s="22" t="s">
        <v>5998</v>
      </c>
      <c r="F1063" s="22" t="s">
        <v>6115</v>
      </c>
      <c r="G1063" s="22" t="s">
        <v>3444</v>
      </c>
      <c r="H1063" s="63" t="n">
        <v>219.05</v>
      </c>
      <c r="I1063" s="22" t="s">
        <v>112</v>
      </c>
      <c r="J1063" s="22" t="s">
        <v>4102</v>
      </c>
      <c r="K1063" s="63" t="n">
        <v>230.267507920831</v>
      </c>
      <c r="L1063" s="22" t="s">
        <v>2550</v>
      </c>
      <c r="M1063" s="22" t="n">
        <v>1</v>
      </c>
      <c r="N1063" s="22" t="s">
        <v>6116</v>
      </c>
    </row>
    <row r="1064" customFormat="false" ht="15" hidden="false" customHeight="false" outlineLevel="0" collapsed="false">
      <c r="A1064" s="22" t="s">
        <v>6117</v>
      </c>
      <c r="B1064" s="22" t="s">
        <v>5996</v>
      </c>
      <c r="C1064" s="22" t="s">
        <v>3431</v>
      </c>
      <c r="D1064" s="22" t="s">
        <v>5997</v>
      </c>
      <c r="E1064" s="22" t="s">
        <v>5998</v>
      </c>
      <c r="F1064" s="22" t="s">
        <v>6118</v>
      </c>
      <c r="G1064" s="22" t="s">
        <v>3444</v>
      </c>
      <c r="H1064" s="63" t="n">
        <v>118.99</v>
      </c>
      <c r="I1064" s="22" t="s">
        <v>112</v>
      </c>
      <c r="J1064" s="22" t="s">
        <v>4102</v>
      </c>
      <c r="K1064" s="63" t="n">
        <v>125.083454770599</v>
      </c>
      <c r="L1064" s="22" t="s">
        <v>2550</v>
      </c>
      <c r="M1064" s="22" t="n">
        <v>1</v>
      </c>
      <c r="N1064" s="22" t="s">
        <v>6119</v>
      </c>
    </row>
    <row r="1065" customFormat="false" ht="15" hidden="false" customHeight="false" outlineLevel="0" collapsed="false">
      <c r="A1065" s="22" t="s">
        <v>6120</v>
      </c>
      <c r="B1065" s="22" t="s">
        <v>5996</v>
      </c>
      <c r="C1065" s="22" t="s">
        <v>3431</v>
      </c>
      <c r="D1065" s="22" t="s">
        <v>5997</v>
      </c>
      <c r="E1065" s="22" t="s">
        <v>5998</v>
      </c>
      <c r="F1065" s="22" t="s">
        <v>6121</v>
      </c>
      <c r="G1065" s="22" t="s">
        <v>3444</v>
      </c>
      <c r="H1065" s="63" t="n">
        <v>113.02</v>
      </c>
      <c r="I1065" s="22" t="s">
        <v>112</v>
      </c>
      <c r="J1065" s="22" t="s">
        <v>4102</v>
      </c>
      <c r="K1065" s="63" t="n">
        <v>118.807732231054</v>
      </c>
      <c r="L1065" s="22" t="s">
        <v>2730</v>
      </c>
      <c r="M1065" s="22" t="n">
        <v>1</v>
      </c>
      <c r="N1065" s="22" t="s">
        <v>6122</v>
      </c>
    </row>
    <row r="1066" customFormat="false" ht="15" hidden="false" customHeight="false" outlineLevel="0" collapsed="false">
      <c r="A1066" s="22" t="s">
        <v>6123</v>
      </c>
      <c r="B1066" s="22" t="s">
        <v>5996</v>
      </c>
      <c r="C1066" s="22" t="s">
        <v>3431</v>
      </c>
      <c r="D1066" s="22" t="s">
        <v>5997</v>
      </c>
      <c r="E1066" s="22" t="s">
        <v>5998</v>
      </c>
      <c r="F1066" s="22" t="s">
        <v>6124</v>
      </c>
      <c r="G1066" s="22" t="s">
        <v>3444</v>
      </c>
      <c r="H1066" s="63" t="n">
        <v>315.76</v>
      </c>
      <c r="I1066" s="22" t="s">
        <v>112</v>
      </c>
      <c r="J1066" s="22" t="s">
        <v>4102</v>
      </c>
      <c r="K1066" s="63" t="n">
        <v>331.93000822224</v>
      </c>
      <c r="L1066" s="22" t="s">
        <v>2730</v>
      </c>
      <c r="M1066" s="22" t="n">
        <v>1</v>
      </c>
      <c r="N1066" s="22" t="s">
        <v>6125</v>
      </c>
    </row>
    <row r="1067" customFormat="false" ht="15" hidden="false" customHeight="false" outlineLevel="0" collapsed="false">
      <c r="A1067" s="22" t="s">
        <v>6126</v>
      </c>
      <c r="B1067" s="22" t="s">
        <v>5996</v>
      </c>
      <c r="C1067" s="22" t="s">
        <v>3431</v>
      </c>
      <c r="D1067" s="22" t="s">
        <v>5997</v>
      </c>
      <c r="E1067" s="22" t="s">
        <v>5998</v>
      </c>
      <c r="F1067" s="22" t="s">
        <v>6127</v>
      </c>
      <c r="G1067" s="22" t="s">
        <v>3444</v>
      </c>
      <c r="H1067" s="63" t="n">
        <v>2439.43</v>
      </c>
      <c r="I1067" s="22" t="s">
        <v>112</v>
      </c>
      <c r="J1067" s="22" t="s">
        <v>4102</v>
      </c>
      <c r="K1067" s="63" t="n">
        <v>2564.35273612104</v>
      </c>
      <c r="L1067" s="22" t="s">
        <v>2730</v>
      </c>
      <c r="M1067" s="22" t="n">
        <v>1</v>
      </c>
      <c r="N1067" s="22" t="s">
        <v>6128</v>
      </c>
    </row>
    <row r="1068" customFormat="false" ht="15" hidden="false" customHeight="false" outlineLevel="0" collapsed="false">
      <c r="A1068" s="22" t="s">
        <v>6129</v>
      </c>
      <c r="B1068" s="22" t="s">
        <v>5996</v>
      </c>
      <c r="C1068" s="22" t="s">
        <v>3431</v>
      </c>
      <c r="D1068" s="22" t="s">
        <v>5997</v>
      </c>
      <c r="E1068" s="22" t="s">
        <v>5998</v>
      </c>
      <c r="F1068" s="22" t="s">
        <v>6130</v>
      </c>
      <c r="G1068" s="22" t="s">
        <v>3444</v>
      </c>
      <c r="H1068" s="63" t="n">
        <v>506.69</v>
      </c>
      <c r="I1068" s="22" t="s">
        <v>112</v>
      </c>
      <c r="J1068" s="22" t="s">
        <v>4102</v>
      </c>
      <c r="K1068" s="63" t="n">
        <v>532.637496409066</v>
      </c>
      <c r="L1068" s="22"/>
      <c r="M1068" s="22" t="n">
        <v>1</v>
      </c>
      <c r="N1068" s="22" t="s">
        <v>6131</v>
      </c>
    </row>
    <row r="1069" customFormat="false" ht="15" hidden="false" customHeight="false" outlineLevel="0" collapsed="false">
      <c r="A1069" s="22" t="s">
        <v>6132</v>
      </c>
      <c r="B1069" s="22" t="s">
        <v>5996</v>
      </c>
      <c r="C1069" s="22" t="s">
        <v>3431</v>
      </c>
      <c r="D1069" s="22" t="s">
        <v>5997</v>
      </c>
      <c r="E1069" s="22" t="s">
        <v>5998</v>
      </c>
      <c r="F1069" s="22" t="s">
        <v>6133</v>
      </c>
      <c r="G1069" s="22" t="s">
        <v>3444</v>
      </c>
      <c r="H1069" s="63" t="n">
        <v>398.41</v>
      </c>
      <c r="I1069" s="22" t="s">
        <v>112</v>
      </c>
      <c r="J1069" s="22" t="s">
        <v>4102</v>
      </c>
      <c r="K1069" s="63" t="n">
        <v>418.812498656646</v>
      </c>
      <c r="L1069" s="22" t="s">
        <v>2730</v>
      </c>
      <c r="M1069" s="22" t="n">
        <v>1</v>
      </c>
      <c r="N1069" s="22" t="s">
        <v>6134</v>
      </c>
    </row>
    <row r="1070" customFormat="false" ht="15" hidden="false" customHeight="false" outlineLevel="0" collapsed="false">
      <c r="A1070" s="22" t="s">
        <v>6135</v>
      </c>
      <c r="B1070" s="22" t="s">
        <v>5996</v>
      </c>
      <c r="C1070" s="22" t="s">
        <v>3431</v>
      </c>
      <c r="D1070" s="22" t="s">
        <v>5997</v>
      </c>
      <c r="E1070" s="22" t="s">
        <v>5998</v>
      </c>
      <c r="F1070" s="22" t="s">
        <v>6136</v>
      </c>
      <c r="G1070" s="22" t="s">
        <v>4857</v>
      </c>
      <c r="H1070" s="63" t="n">
        <v>11.37</v>
      </c>
      <c r="I1070" s="22" t="s">
        <v>112</v>
      </c>
      <c r="J1070" s="22" t="s">
        <v>4102</v>
      </c>
      <c r="K1070" s="63" t="n">
        <v>11.9522554898875</v>
      </c>
      <c r="L1070" s="22" t="s">
        <v>2730</v>
      </c>
      <c r="M1070" s="22" t="n">
        <v>12</v>
      </c>
      <c r="N1070" s="22" t="s">
        <v>6137</v>
      </c>
    </row>
    <row r="1071" customFormat="false" ht="15" hidden="false" customHeight="false" outlineLevel="0" collapsed="false">
      <c r="A1071" s="22" t="s">
        <v>6138</v>
      </c>
      <c r="B1071" s="22" t="s">
        <v>5996</v>
      </c>
      <c r="C1071" s="22" t="s">
        <v>3431</v>
      </c>
      <c r="D1071" s="22" t="s">
        <v>5997</v>
      </c>
      <c r="E1071" s="22" t="s">
        <v>5998</v>
      </c>
      <c r="F1071" s="22" t="s">
        <v>6139</v>
      </c>
      <c r="G1071" s="22" t="s">
        <v>4857</v>
      </c>
      <c r="H1071" s="63" t="n">
        <v>12.93</v>
      </c>
      <c r="I1071" s="22" t="s">
        <v>112</v>
      </c>
      <c r="J1071" s="22" t="s">
        <v>4102</v>
      </c>
      <c r="K1071" s="63" t="n">
        <v>13.592142786653</v>
      </c>
      <c r="L1071" s="22" t="s">
        <v>2730</v>
      </c>
      <c r="M1071" s="22" t="n">
        <v>15</v>
      </c>
      <c r="N1071" s="22" t="s">
        <v>6140</v>
      </c>
    </row>
    <row r="1072" customFormat="false" ht="15" hidden="false" customHeight="false" outlineLevel="0" collapsed="false">
      <c r="A1072" s="22" t="s">
        <v>6141</v>
      </c>
      <c r="B1072" s="22" t="s">
        <v>5996</v>
      </c>
      <c r="C1072" s="22" t="s">
        <v>3431</v>
      </c>
      <c r="D1072" s="22" t="s">
        <v>5997</v>
      </c>
      <c r="E1072" s="22" t="s">
        <v>5998</v>
      </c>
      <c r="F1072" s="22" t="s">
        <v>6142</v>
      </c>
      <c r="G1072" s="22" t="s">
        <v>3444</v>
      </c>
      <c r="H1072" s="63" t="n">
        <v>37.1</v>
      </c>
      <c r="I1072" s="22" t="s">
        <v>112</v>
      </c>
      <c r="J1072" s="22" t="s">
        <v>4102</v>
      </c>
      <c r="K1072" s="63" t="n">
        <v>38.9998837884631</v>
      </c>
      <c r="L1072" s="22" t="s">
        <v>2819</v>
      </c>
      <c r="M1072" s="22" t="n">
        <v>4</v>
      </c>
      <c r="N1072" s="22" t="s">
        <v>6143</v>
      </c>
    </row>
    <row r="1073" customFormat="false" ht="15" hidden="false" customHeight="false" outlineLevel="0" collapsed="false">
      <c r="A1073" s="22" t="s">
        <v>6144</v>
      </c>
      <c r="B1073" s="22" t="s">
        <v>5996</v>
      </c>
      <c r="C1073" s="22" t="s">
        <v>3431</v>
      </c>
      <c r="D1073" s="22" t="s">
        <v>5997</v>
      </c>
      <c r="E1073" s="22" t="s">
        <v>5998</v>
      </c>
      <c r="F1073" s="22" t="s">
        <v>6145</v>
      </c>
      <c r="G1073" s="22" t="s">
        <v>3444</v>
      </c>
      <c r="H1073" s="63" t="n">
        <v>39.58</v>
      </c>
      <c r="I1073" s="22" t="s">
        <v>112</v>
      </c>
      <c r="J1073" s="22" t="s">
        <v>4102</v>
      </c>
      <c r="K1073" s="63" t="n">
        <v>41.606884106398</v>
      </c>
      <c r="L1073" s="22" t="s">
        <v>2654</v>
      </c>
      <c r="M1073" s="22" t="n">
        <v>6</v>
      </c>
      <c r="N1073" s="22" t="s">
        <v>6146</v>
      </c>
    </row>
    <row r="1074" customFormat="false" ht="15" hidden="false" customHeight="false" outlineLevel="0" collapsed="false">
      <c r="A1074" s="22" t="s">
        <v>6147</v>
      </c>
      <c r="B1074" s="22" t="s">
        <v>5996</v>
      </c>
      <c r="C1074" s="22" t="s">
        <v>3431</v>
      </c>
      <c r="D1074" s="22" t="s">
        <v>5997</v>
      </c>
      <c r="E1074" s="22" t="s">
        <v>5998</v>
      </c>
      <c r="F1074" s="22" t="s">
        <v>6148</v>
      </c>
      <c r="G1074" s="22" t="s">
        <v>3444</v>
      </c>
      <c r="H1074" s="63" t="n">
        <v>28.88</v>
      </c>
      <c r="I1074" s="22" t="s">
        <v>112</v>
      </c>
      <c r="J1074" s="22" t="s">
        <v>4102</v>
      </c>
      <c r="K1074" s="63" t="n">
        <v>30.3589391862753</v>
      </c>
      <c r="L1074" s="22" t="s">
        <v>2678</v>
      </c>
      <c r="M1074" s="22" t="n">
        <v>3</v>
      </c>
      <c r="N1074" s="22" t="s">
        <v>6149</v>
      </c>
    </row>
    <row r="1075" customFormat="false" ht="15" hidden="false" customHeight="false" outlineLevel="0" collapsed="false">
      <c r="A1075" s="22" t="s">
        <v>6150</v>
      </c>
      <c r="B1075" s="22" t="s">
        <v>4054</v>
      </c>
      <c r="C1075" s="22" t="s">
        <v>3431</v>
      </c>
      <c r="D1075" s="22" t="s">
        <v>6151</v>
      </c>
      <c r="E1075" s="22" t="s">
        <v>6152</v>
      </c>
      <c r="F1075" s="22" t="s">
        <v>6153</v>
      </c>
      <c r="G1075" s="22" t="s">
        <v>727</v>
      </c>
      <c r="H1075" s="63" t="n">
        <v>48.6</v>
      </c>
      <c r="I1075" s="22" t="s">
        <v>112</v>
      </c>
      <c r="J1075" s="22"/>
      <c r="K1075" s="63" t="n">
        <v>61.6393218571971</v>
      </c>
      <c r="L1075" s="22" t="s">
        <v>2458</v>
      </c>
      <c r="M1075" s="22" t="n">
        <v>4</v>
      </c>
      <c r="N1075" s="22" t="s">
        <v>6154</v>
      </c>
    </row>
    <row r="1076" customFormat="false" ht="15" hidden="false" customHeight="false" outlineLevel="0" collapsed="false">
      <c r="A1076" s="22" t="s">
        <v>6155</v>
      </c>
      <c r="B1076" s="22" t="s">
        <v>4054</v>
      </c>
      <c r="C1076" s="22" t="s">
        <v>3431</v>
      </c>
      <c r="D1076" s="22" t="s">
        <v>6151</v>
      </c>
      <c r="E1076" s="22" t="s">
        <v>6152</v>
      </c>
      <c r="F1076" s="22" t="s">
        <v>6156</v>
      </c>
      <c r="G1076" s="22" t="s">
        <v>727</v>
      </c>
      <c r="H1076" s="63" t="n">
        <v>94.95</v>
      </c>
      <c r="I1076" s="22" t="s">
        <v>112</v>
      </c>
      <c r="J1076" s="22"/>
      <c r="K1076" s="63" t="n">
        <v>120.424971406191</v>
      </c>
      <c r="L1076" s="22" t="s">
        <v>2458</v>
      </c>
      <c r="M1076" s="22" t="n">
        <v>1</v>
      </c>
      <c r="N1076" s="22" t="s">
        <v>6154</v>
      </c>
    </row>
    <row r="1077" customFormat="false" ht="15" hidden="false" customHeight="false" outlineLevel="0" collapsed="false">
      <c r="A1077" s="22" t="s">
        <v>6157</v>
      </c>
      <c r="B1077" s="22" t="s">
        <v>4054</v>
      </c>
      <c r="C1077" s="22" t="s">
        <v>3431</v>
      </c>
      <c r="D1077" s="22" t="s">
        <v>6158</v>
      </c>
      <c r="E1077" s="22" t="s">
        <v>6159</v>
      </c>
      <c r="F1077" s="22" t="s">
        <v>6160</v>
      </c>
      <c r="G1077" s="22" t="s">
        <v>727</v>
      </c>
      <c r="H1077" s="63" t="n">
        <v>3798.78</v>
      </c>
      <c r="I1077" s="22" t="s">
        <v>601</v>
      </c>
      <c r="J1077" s="22"/>
      <c r="K1077" s="63" t="n">
        <v>553.26056335779</v>
      </c>
      <c r="L1077" s="22" t="s">
        <v>2307</v>
      </c>
      <c r="M1077" s="22" t="n">
        <v>6</v>
      </c>
      <c r="N1077" s="22" t="s">
        <v>6161</v>
      </c>
    </row>
    <row r="1078" customFormat="false" ht="15" hidden="false" customHeight="false" outlineLevel="0" collapsed="false">
      <c r="A1078" s="22" t="s">
        <v>6162</v>
      </c>
      <c r="B1078" s="22" t="s">
        <v>4054</v>
      </c>
      <c r="C1078" s="22" t="s">
        <v>3431</v>
      </c>
      <c r="D1078" s="22" t="s">
        <v>6158</v>
      </c>
      <c r="E1078" s="22" t="s">
        <v>6159</v>
      </c>
      <c r="F1078" s="22" t="s">
        <v>6163</v>
      </c>
      <c r="G1078" s="22" t="s">
        <v>727</v>
      </c>
      <c r="H1078" s="63" t="n">
        <v>4333.56</v>
      </c>
      <c r="I1078" s="22" t="s">
        <v>601</v>
      </c>
      <c r="J1078" s="22"/>
      <c r="K1078" s="63" t="n">
        <v>631.146801590191</v>
      </c>
      <c r="L1078" s="22" t="s">
        <v>2367</v>
      </c>
      <c r="M1078" s="22" t="n">
        <v>3</v>
      </c>
      <c r="N1078" s="22" t="s">
        <v>6164</v>
      </c>
    </row>
    <row r="1079" customFormat="false" ht="15" hidden="false" customHeight="false" outlineLevel="0" collapsed="false">
      <c r="A1079" s="22" t="s">
        <v>6165</v>
      </c>
      <c r="B1079" s="22" t="s">
        <v>4054</v>
      </c>
      <c r="C1079" s="22" t="s">
        <v>3431</v>
      </c>
      <c r="D1079" s="22" t="s">
        <v>6158</v>
      </c>
      <c r="E1079" s="22" t="s">
        <v>6159</v>
      </c>
      <c r="F1079" s="22" t="s">
        <v>6166</v>
      </c>
      <c r="G1079" s="22" t="s">
        <v>727</v>
      </c>
      <c r="H1079" s="63" t="n">
        <v>6896.81</v>
      </c>
      <c r="I1079" s="22" t="s">
        <v>601</v>
      </c>
      <c r="J1079" s="22"/>
      <c r="K1079" s="63" t="n">
        <v>1004.46274487379</v>
      </c>
      <c r="L1079" s="22" t="s">
        <v>2307</v>
      </c>
      <c r="M1079" s="22" t="n">
        <v>6</v>
      </c>
      <c r="N1079" s="22" t="s">
        <v>6167</v>
      </c>
    </row>
    <row r="1080" customFormat="false" ht="15" hidden="false" customHeight="false" outlineLevel="0" collapsed="false">
      <c r="A1080" s="22" t="s">
        <v>6168</v>
      </c>
      <c r="B1080" s="22" t="s">
        <v>6169</v>
      </c>
      <c r="C1080" s="22" t="s">
        <v>3478</v>
      </c>
      <c r="D1080" s="22" t="s">
        <v>6170</v>
      </c>
      <c r="E1080" s="22" t="s">
        <v>6171</v>
      </c>
      <c r="F1080" s="22" t="s">
        <v>6172</v>
      </c>
      <c r="G1080" s="22" t="s">
        <v>4621</v>
      </c>
      <c r="H1080" s="63" t="n">
        <v>44000</v>
      </c>
      <c r="I1080" s="22" t="s">
        <v>601</v>
      </c>
      <c r="J1080" s="22" t="s">
        <v>4102</v>
      </c>
      <c r="K1080" s="63" t="n">
        <v>33480.6571585079</v>
      </c>
      <c r="L1080" s="22" t="s">
        <v>2730</v>
      </c>
      <c r="M1080" s="22" t="n">
        <v>1</v>
      </c>
      <c r="N1080" s="22" t="s">
        <v>6173</v>
      </c>
    </row>
    <row r="1081" customFormat="false" ht="15" hidden="false" customHeight="false" outlineLevel="0" collapsed="false">
      <c r="A1081" s="22" t="s">
        <v>6174</v>
      </c>
      <c r="B1081" s="22" t="s">
        <v>6169</v>
      </c>
      <c r="C1081" s="22" t="s">
        <v>3478</v>
      </c>
      <c r="D1081" s="22" t="s">
        <v>6170</v>
      </c>
      <c r="E1081" s="22" t="s">
        <v>6171</v>
      </c>
      <c r="F1081" s="22" t="s">
        <v>6175</v>
      </c>
      <c r="G1081" s="22" t="s">
        <v>4042</v>
      </c>
      <c r="H1081" s="63" t="n">
        <v>35</v>
      </c>
      <c r="I1081" s="22" t="s">
        <v>601</v>
      </c>
      <c r="J1081" s="22" t="s">
        <v>4102</v>
      </c>
      <c r="K1081" s="63" t="n">
        <v>26.6323409215404</v>
      </c>
      <c r="L1081" s="22" t="s">
        <v>2846</v>
      </c>
      <c r="M1081" s="22" t="n">
        <v>1</v>
      </c>
      <c r="N1081" s="22" t="s">
        <v>6176</v>
      </c>
    </row>
    <row r="1082" customFormat="false" ht="15" hidden="false" customHeight="false" outlineLevel="0" collapsed="false">
      <c r="A1082" s="22" t="s">
        <v>6177</v>
      </c>
      <c r="B1082" s="22" t="s">
        <v>6178</v>
      </c>
      <c r="C1082" s="22" t="s">
        <v>4190</v>
      </c>
      <c r="D1082" s="22" t="s">
        <v>6179</v>
      </c>
      <c r="E1082" s="22" t="s">
        <v>6180</v>
      </c>
      <c r="F1082" s="22" t="s">
        <v>6181</v>
      </c>
      <c r="G1082" s="22" t="s">
        <v>4114</v>
      </c>
      <c r="H1082" s="63" t="n">
        <v>5282.86</v>
      </c>
      <c r="I1082" s="22" t="s">
        <v>601</v>
      </c>
      <c r="J1082" s="22"/>
      <c r="K1082" s="63" t="n">
        <v>120.404941769102</v>
      </c>
      <c r="L1082" s="22" t="s">
        <v>2730</v>
      </c>
      <c r="M1082" s="22" t="n">
        <v>3</v>
      </c>
      <c r="N1082" s="22" t="s">
        <v>6182</v>
      </c>
    </row>
    <row r="1083" customFormat="false" ht="15" hidden="false" customHeight="false" outlineLevel="0" collapsed="false">
      <c r="A1083" s="22" t="s">
        <v>6183</v>
      </c>
      <c r="B1083" s="22" t="s">
        <v>6178</v>
      </c>
      <c r="C1083" s="22" t="s">
        <v>4190</v>
      </c>
      <c r="D1083" s="22" t="s">
        <v>6179</v>
      </c>
      <c r="E1083" s="22" t="s">
        <v>6180</v>
      </c>
      <c r="F1083" s="22" t="s">
        <v>6184</v>
      </c>
      <c r="G1083" s="22" t="s">
        <v>5318</v>
      </c>
      <c r="H1083" s="63" t="n">
        <v>17845.33</v>
      </c>
      <c r="I1083" s="22" t="s">
        <v>601</v>
      </c>
      <c r="J1083" s="22"/>
      <c r="K1083" s="63" t="n">
        <v>406.723994105543</v>
      </c>
      <c r="L1083" s="22" t="s">
        <v>2730</v>
      </c>
      <c r="M1083" s="22" t="n">
        <v>1</v>
      </c>
      <c r="N1083" s="22" t="s">
        <v>6185</v>
      </c>
    </row>
    <row r="1084" customFormat="false" ht="15" hidden="false" customHeight="false" outlineLevel="0" collapsed="false">
      <c r="A1084" s="22" t="s">
        <v>6186</v>
      </c>
      <c r="B1084" s="22" t="s">
        <v>6178</v>
      </c>
      <c r="C1084" s="22" t="s">
        <v>4190</v>
      </c>
      <c r="D1084" s="22" t="s">
        <v>6179</v>
      </c>
      <c r="E1084" s="22" t="s">
        <v>6180</v>
      </c>
      <c r="F1084" s="22" t="s">
        <v>6187</v>
      </c>
      <c r="G1084" s="22" t="s">
        <v>4114</v>
      </c>
      <c r="H1084" s="63" t="n">
        <v>11020.43</v>
      </c>
      <c r="I1084" s="22" t="s">
        <v>601</v>
      </c>
      <c r="J1084" s="22"/>
      <c r="K1084" s="63" t="n">
        <v>251.173461424392</v>
      </c>
      <c r="L1084" s="22" t="s">
        <v>2730</v>
      </c>
      <c r="M1084" s="22" t="n">
        <v>3</v>
      </c>
      <c r="N1084" s="22" t="s">
        <v>6185</v>
      </c>
    </row>
    <row r="1085" customFormat="false" ht="15" hidden="false" customHeight="false" outlineLevel="0" collapsed="false">
      <c r="A1085" s="22" t="s">
        <v>6188</v>
      </c>
      <c r="B1085" s="22" t="s">
        <v>6178</v>
      </c>
      <c r="C1085" s="22" t="s">
        <v>4190</v>
      </c>
      <c r="D1085" s="22" t="s">
        <v>6179</v>
      </c>
      <c r="E1085" s="22" t="s">
        <v>6180</v>
      </c>
      <c r="F1085" s="22" t="s">
        <v>6189</v>
      </c>
      <c r="G1085" s="22" t="s">
        <v>4114</v>
      </c>
      <c r="H1085" s="63" t="n">
        <v>9006.17</v>
      </c>
      <c r="I1085" s="22" t="s">
        <v>601</v>
      </c>
      <c r="J1085" s="22"/>
      <c r="K1085" s="63" t="n">
        <v>205.265211346247</v>
      </c>
      <c r="L1085" s="22" t="s">
        <v>2730</v>
      </c>
      <c r="M1085" s="22" t="n">
        <v>1</v>
      </c>
      <c r="N1085" s="22" t="s">
        <v>6185</v>
      </c>
    </row>
    <row r="1086" customFormat="false" ht="15" hidden="false" customHeight="false" outlineLevel="0" collapsed="false">
      <c r="A1086" s="22" t="s">
        <v>6190</v>
      </c>
      <c r="B1086" s="22" t="s">
        <v>6178</v>
      </c>
      <c r="C1086" s="22" t="s">
        <v>4190</v>
      </c>
      <c r="D1086" s="22" t="s">
        <v>6179</v>
      </c>
      <c r="E1086" s="22" t="s">
        <v>6180</v>
      </c>
      <c r="F1086" s="22" t="s">
        <v>6191</v>
      </c>
      <c r="G1086" s="22" t="s">
        <v>4114</v>
      </c>
      <c r="H1086" s="63" t="n">
        <v>20658.96</v>
      </c>
      <c r="I1086" s="22" t="s">
        <v>601</v>
      </c>
      <c r="J1086" s="22"/>
      <c r="K1086" s="63" t="n">
        <v>470.851182088908</v>
      </c>
      <c r="L1086" s="22" t="s">
        <v>2730</v>
      </c>
      <c r="M1086" s="22" t="n">
        <v>1</v>
      </c>
      <c r="N1086" s="22" t="s">
        <v>6185</v>
      </c>
    </row>
    <row r="1087" customFormat="false" ht="15" hidden="false" customHeight="false" outlineLevel="0" collapsed="false">
      <c r="A1087" s="22" t="s">
        <v>6192</v>
      </c>
      <c r="B1087" s="22" t="s">
        <v>6178</v>
      </c>
      <c r="C1087" s="22" t="s">
        <v>4190</v>
      </c>
      <c r="D1087" s="22" t="s">
        <v>6179</v>
      </c>
      <c r="E1087" s="22" t="s">
        <v>6180</v>
      </c>
      <c r="F1087" s="22" t="s">
        <v>6193</v>
      </c>
      <c r="G1087" s="22" t="s">
        <v>5318</v>
      </c>
      <c r="H1087" s="63" t="n">
        <v>15800.27</v>
      </c>
      <c r="I1087" s="22" t="s">
        <v>601</v>
      </c>
      <c r="J1087" s="22"/>
      <c r="K1087" s="63" t="n">
        <v>360.113762107284</v>
      </c>
      <c r="L1087" s="22" t="s">
        <v>2730</v>
      </c>
      <c r="M1087" s="22" t="n">
        <v>1</v>
      </c>
      <c r="N1087" s="22" t="s">
        <v>6185</v>
      </c>
    </row>
    <row r="1088" customFormat="false" ht="15" hidden="false" customHeight="false" outlineLevel="0" collapsed="false">
      <c r="A1088" s="22" t="s">
        <v>6194</v>
      </c>
      <c r="B1088" s="22" t="s">
        <v>6178</v>
      </c>
      <c r="C1088" s="22" t="s">
        <v>4190</v>
      </c>
      <c r="D1088" s="22" t="s">
        <v>6179</v>
      </c>
      <c r="E1088" s="22" t="s">
        <v>6180</v>
      </c>
      <c r="F1088" s="22" t="s">
        <v>6195</v>
      </c>
      <c r="G1088" s="22" t="s">
        <v>4114</v>
      </c>
      <c r="H1088" s="63" t="n">
        <v>4521.64</v>
      </c>
      <c r="I1088" s="22" t="s">
        <v>601</v>
      </c>
      <c r="J1088" s="22"/>
      <c r="K1088" s="63" t="n">
        <v>103.05550419675</v>
      </c>
      <c r="L1088" s="22" t="s">
        <v>2730</v>
      </c>
      <c r="M1088" s="22" t="n">
        <v>5</v>
      </c>
      <c r="N1088" s="22" t="s">
        <v>6185</v>
      </c>
    </row>
    <row r="1089" customFormat="false" ht="15" hidden="false" customHeight="false" outlineLevel="0" collapsed="false">
      <c r="A1089" s="22" t="s">
        <v>6196</v>
      </c>
      <c r="B1089" s="22" t="s">
        <v>6178</v>
      </c>
      <c r="C1089" s="22" t="s">
        <v>4190</v>
      </c>
      <c r="D1089" s="22" t="s">
        <v>6179</v>
      </c>
      <c r="E1089" s="22" t="s">
        <v>6180</v>
      </c>
      <c r="F1089" s="22" t="s">
        <v>6197</v>
      </c>
      <c r="G1089" s="22" t="s">
        <v>4114</v>
      </c>
      <c r="H1089" s="63" t="n">
        <v>2075.7</v>
      </c>
      <c r="I1089" s="22" t="s">
        <v>601</v>
      </c>
      <c r="J1089" s="22"/>
      <c r="K1089" s="63" t="n">
        <v>47.3085672590462</v>
      </c>
      <c r="L1089" s="22"/>
      <c r="M1089" s="22" t="n">
        <v>1</v>
      </c>
      <c r="N1089" s="22" t="s">
        <v>6185</v>
      </c>
    </row>
    <row r="1090" customFormat="false" ht="15" hidden="false" customHeight="false" outlineLevel="0" collapsed="false">
      <c r="A1090" s="22" t="s">
        <v>6198</v>
      </c>
      <c r="B1090" s="22" t="s">
        <v>6178</v>
      </c>
      <c r="C1090" s="22" t="s">
        <v>4190</v>
      </c>
      <c r="D1090" s="22" t="s">
        <v>6179</v>
      </c>
      <c r="E1090" s="22" t="s">
        <v>6180</v>
      </c>
      <c r="F1090" s="22" t="s">
        <v>6199</v>
      </c>
      <c r="G1090" s="22" t="s">
        <v>4114</v>
      </c>
      <c r="H1090" s="63" t="n">
        <v>2177.6</v>
      </c>
      <c r="I1090" s="22" t="s">
        <v>601</v>
      </c>
      <c r="J1090" s="22"/>
      <c r="K1090" s="63" t="n">
        <v>49.6310334168228</v>
      </c>
      <c r="L1090" s="22" t="s">
        <v>2819</v>
      </c>
      <c r="M1090" s="22" t="n">
        <v>4</v>
      </c>
      <c r="N1090" s="22" t="s">
        <v>6185</v>
      </c>
    </row>
    <row r="1091" customFormat="false" ht="15" hidden="false" customHeight="false" outlineLevel="0" collapsed="false">
      <c r="A1091" s="22" t="s">
        <v>6200</v>
      </c>
      <c r="B1091" s="22" t="s">
        <v>6178</v>
      </c>
      <c r="C1091" s="22" t="s">
        <v>4190</v>
      </c>
      <c r="D1091" s="22" t="s">
        <v>6179</v>
      </c>
      <c r="E1091" s="22" t="s">
        <v>6180</v>
      </c>
      <c r="F1091" s="22" t="s">
        <v>6201</v>
      </c>
      <c r="G1091" s="22" t="s">
        <v>4114</v>
      </c>
      <c r="H1091" s="63" t="n">
        <v>347516.24</v>
      </c>
      <c r="I1091" s="22" t="s">
        <v>601</v>
      </c>
      <c r="J1091" s="22"/>
      <c r="K1091" s="63" t="n">
        <v>7920.45835797603</v>
      </c>
      <c r="L1091" s="22" t="s">
        <v>2730</v>
      </c>
      <c r="M1091" s="22" t="n">
        <v>1</v>
      </c>
      <c r="N1091" s="22" t="s">
        <v>6202</v>
      </c>
    </row>
    <row r="1092" customFormat="false" ht="15" hidden="false" customHeight="false" outlineLevel="0" collapsed="false">
      <c r="A1092" s="22" t="s">
        <v>6203</v>
      </c>
      <c r="B1092" s="22" t="s">
        <v>6178</v>
      </c>
      <c r="C1092" s="22" t="s">
        <v>4190</v>
      </c>
      <c r="D1092" s="22" t="s">
        <v>6179</v>
      </c>
      <c r="E1092" s="22" t="s">
        <v>6180</v>
      </c>
      <c r="F1092" s="22" t="s">
        <v>6204</v>
      </c>
      <c r="G1092" s="22" t="s">
        <v>4114</v>
      </c>
      <c r="H1092" s="63" t="n">
        <v>315351.53</v>
      </c>
      <c r="I1092" s="22" t="s">
        <v>601</v>
      </c>
      <c r="J1092" s="22"/>
      <c r="K1092" s="63" t="n">
        <v>7187.37248506438</v>
      </c>
      <c r="L1092" s="22" t="s">
        <v>2730</v>
      </c>
      <c r="M1092" s="22" t="n">
        <v>2</v>
      </c>
      <c r="N1092" s="22" t="s">
        <v>6185</v>
      </c>
    </row>
    <row r="1093" customFormat="false" ht="15" hidden="false" customHeight="false" outlineLevel="0" collapsed="false">
      <c r="A1093" s="22" t="s">
        <v>6205</v>
      </c>
      <c r="B1093" s="22" t="s">
        <v>6178</v>
      </c>
      <c r="C1093" s="22" t="s">
        <v>4190</v>
      </c>
      <c r="D1093" s="22" t="s">
        <v>6179</v>
      </c>
      <c r="E1093" s="22" t="s">
        <v>6180</v>
      </c>
      <c r="F1093" s="22" t="s">
        <v>6206</v>
      </c>
      <c r="G1093" s="22" t="s">
        <v>4114</v>
      </c>
      <c r="H1093" s="63" t="n">
        <v>417411.53</v>
      </c>
      <c r="I1093" s="22" t="s">
        <v>601</v>
      </c>
      <c r="J1093" s="22"/>
      <c r="K1093" s="63" t="n">
        <v>9513.4853021662</v>
      </c>
      <c r="L1093" s="22" t="s">
        <v>2730</v>
      </c>
      <c r="M1093" s="22" t="n">
        <v>1</v>
      </c>
      <c r="N1093" s="22" t="s">
        <v>6207</v>
      </c>
    </row>
    <row r="1094" customFormat="false" ht="15" hidden="false" customHeight="false" outlineLevel="0" collapsed="false">
      <c r="A1094" s="22" t="s">
        <v>6208</v>
      </c>
      <c r="B1094" s="22" t="s">
        <v>6178</v>
      </c>
      <c r="C1094" s="22" t="s">
        <v>4190</v>
      </c>
      <c r="D1094" s="22" t="s">
        <v>6179</v>
      </c>
      <c r="E1094" s="22" t="s">
        <v>6180</v>
      </c>
      <c r="F1094" s="22" t="s">
        <v>6209</v>
      </c>
      <c r="G1094" s="22" t="s">
        <v>4125</v>
      </c>
      <c r="H1094" s="63" t="n">
        <v>702.34</v>
      </c>
      <c r="I1094" s="22" t="s">
        <v>601</v>
      </c>
      <c r="J1094" s="22"/>
      <c r="K1094" s="63" t="n">
        <v>16.0074669406555</v>
      </c>
      <c r="L1094" s="22" t="s">
        <v>2846</v>
      </c>
      <c r="M1094" s="22" t="n">
        <v>1</v>
      </c>
      <c r="N1094" s="22" t="s">
        <v>6185</v>
      </c>
    </row>
    <row r="1095" customFormat="false" ht="15" hidden="false" customHeight="false" outlineLevel="0" collapsed="false">
      <c r="A1095" s="22" t="s">
        <v>6210</v>
      </c>
      <c r="B1095" s="22" t="s">
        <v>6178</v>
      </c>
      <c r="C1095" s="22" t="s">
        <v>4190</v>
      </c>
      <c r="D1095" s="22" t="s">
        <v>6179</v>
      </c>
      <c r="E1095" s="22" t="s">
        <v>6180</v>
      </c>
      <c r="F1095" s="22" t="s">
        <v>6211</v>
      </c>
      <c r="G1095" s="22" t="s">
        <v>4125</v>
      </c>
      <c r="H1095" s="63" t="n">
        <v>983.76</v>
      </c>
      <c r="I1095" s="22" t="s">
        <v>601</v>
      </c>
      <c r="J1095" s="22"/>
      <c r="K1095" s="63" t="n">
        <v>22.4214848613766</v>
      </c>
      <c r="L1095" s="22" t="s">
        <v>2846</v>
      </c>
      <c r="M1095" s="22" t="n">
        <v>2</v>
      </c>
      <c r="N1095" s="22" t="s">
        <v>6185</v>
      </c>
    </row>
    <row r="1096" customFormat="false" ht="15" hidden="false" customHeight="false" outlineLevel="0" collapsed="false">
      <c r="A1096" s="22" t="s">
        <v>6212</v>
      </c>
      <c r="B1096" s="22" t="s">
        <v>6178</v>
      </c>
      <c r="C1096" s="22" t="s">
        <v>4190</v>
      </c>
      <c r="D1096" s="22" t="s">
        <v>6179</v>
      </c>
      <c r="E1096" s="22" t="s">
        <v>6180</v>
      </c>
      <c r="F1096" s="22" t="s">
        <v>6213</v>
      </c>
      <c r="G1096" s="22" t="s">
        <v>4125</v>
      </c>
      <c r="H1096" s="63" t="n">
        <v>1140.43</v>
      </c>
      <c r="I1096" s="22" t="s">
        <v>601</v>
      </c>
      <c r="J1096" s="22"/>
      <c r="K1096" s="63" t="n">
        <v>25.992248089432</v>
      </c>
      <c r="L1096" s="22" t="s">
        <v>2846</v>
      </c>
      <c r="M1096" s="22" t="n">
        <v>2</v>
      </c>
      <c r="N1096" s="22" t="s">
        <v>6185</v>
      </c>
    </row>
    <row r="1097" customFormat="false" ht="15" hidden="false" customHeight="false" outlineLevel="0" collapsed="false">
      <c r="A1097" s="22" t="s">
        <v>6214</v>
      </c>
      <c r="B1097" s="22" t="s">
        <v>6178</v>
      </c>
      <c r="C1097" s="22" t="s">
        <v>4190</v>
      </c>
      <c r="D1097" s="22" t="s">
        <v>6179</v>
      </c>
      <c r="E1097" s="22" t="s">
        <v>6180</v>
      </c>
      <c r="F1097" s="22" t="s">
        <v>6215</v>
      </c>
      <c r="G1097" s="22" t="s">
        <v>4125</v>
      </c>
      <c r="H1097" s="63" t="n">
        <v>1583.4</v>
      </c>
      <c r="I1097" s="22" t="s">
        <v>601</v>
      </c>
      <c r="J1097" s="22"/>
      <c r="K1097" s="63" t="n">
        <v>36.0882523476291</v>
      </c>
      <c r="L1097" s="22" t="s">
        <v>2846</v>
      </c>
      <c r="M1097" s="22" t="n">
        <v>1</v>
      </c>
      <c r="N1097" s="22" t="s">
        <v>6185</v>
      </c>
    </row>
    <row r="1098" customFormat="false" ht="15" hidden="false" customHeight="false" outlineLevel="0" collapsed="false">
      <c r="A1098" s="22" t="s">
        <v>6216</v>
      </c>
      <c r="B1098" s="22" t="s">
        <v>6178</v>
      </c>
      <c r="C1098" s="22" t="s">
        <v>4190</v>
      </c>
      <c r="D1098" s="22" t="s">
        <v>6179</v>
      </c>
      <c r="E1098" s="22" t="s">
        <v>6180</v>
      </c>
      <c r="F1098" s="22" t="s">
        <v>6217</v>
      </c>
      <c r="G1098" s="22" t="s">
        <v>4125</v>
      </c>
      <c r="H1098" s="63" t="n">
        <v>1583.4</v>
      </c>
      <c r="I1098" s="22" t="s">
        <v>601</v>
      </c>
      <c r="J1098" s="22"/>
      <c r="K1098" s="63" t="n">
        <v>36.0882523476291</v>
      </c>
      <c r="L1098" s="22" t="s">
        <v>2550</v>
      </c>
      <c r="M1098" s="22" t="n">
        <v>3</v>
      </c>
      <c r="N1098" s="22" t="s">
        <v>6185</v>
      </c>
    </row>
    <row r="1099" customFormat="false" ht="15" hidden="false" customHeight="false" outlineLevel="0" collapsed="false">
      <c r="A1099" s="22" t="s">
        <v>6218</v>
      </c>
      <c r="B1099" s="22" t="s">
        <v>6178</v>
      </c>
      <c r="C1099" s="22" t="s">
        <v>4190</v>
      </c>
      <c r="D1099" s="22" t="s">
        <v>6179</v>
      </c>
      <c r="E1099" s="22" t="s">
        <v>6180</v>
      </c>
      <c r="F1099" s="22" t="s">
        <v>6219</v>
      </c>
      <c r="G1099" s="22" t="s">
        <v>4125</v>
      </c>
      <c r="H1099" s="63" t="n">
        <v>1896</v>
      </c>
      <c r="I1099" s="22" t="s">
        <v>601</v>
      </c>
      <c r="J1099" s="22"/>
      <c r="K1099" s="63" t="n">
        <v>43.2129130043608</v>
      </c>
      <c r="L1099" s="22" t="s">
        <v>2550</v>
      </c>
      <c r="M1099" s="22" t="n">
        <v>3</v>
      </c>
      <c r="N1099" s="22" t="s">
        <v>6185</v>
      </c>
    </row>
    <row r="1100" customFormat="false" ht="15" hidden="false" customHeight="false" outlineLevel="0" collapsed="false">
      <c r="A1100" s="22" t="s">
        <v>6220</v>
      </c>
      <c r="B1100" s="22" t="s">
        <v>6178</v>
      </c>
      <c r="C1100" s="22" t="s">
        <v>4190</v>
      </c>
      <c r="D1100" s="22" t="s">
        <v>6179</v>
      </c>
      <c r="E1100" s="22" t="s">
        <v>6180</v>
      </c>
      <c r="F1100" s="22" t="s">
        <v>6221</v>
      </c>
      <c r="G1100" s="22" t="s">
        <v>4125</v>
      </c>
      <c r="H1100" s="63" t="n">
        <v>2950.51</v>
      </c>
      <c r="I1100" s="22" t="s">
        <v>601</v>
      </c>
      <c r="J1100" s="22"/>
      <c r="K1100" s="63" t="n">
        <v>67.2469050361268</v>
      </c>
      <c r="L1100" s="22" t="s">
        <v>2550</v>
      </c>
      <c r="M1100" s="22" t="n">
        <v>3</v>
      </c>
      <c r="N1100" s="22" t="s">
        <v>6185</v>
      </c>
    </row>
    <row r="1101" customFormat="false" ht="15" hidden="false" customHeight="false" outlineLevel="0" collapsed="false">
      <c r="A1101" s="22" t="s">
        <v>6222</v>
      </c>
      <c r="B1101" s="22" t="s">
        <v>6178</v>
      </c>
      <c r="C1101" s="22" t="s">
        <v>4190</v>
      </c>
      <c r="D1101" s="22" t="s">
        <v>6179</v>
      </c>
      <c r="E1101" s="22" t="s">
        <v>6180</v>
      </c>
      <c r="F1101" s="22" t="s">
        <v>6223</v>
      </c>
      <c r="G1101" s="22" t="s">
        <v>4125</v>
      </c>
      <c r="H1101" s="63" t="n">
        <v>530.42</v>
      </c>
      <c r="I1101" s="22" t="s">
        <v>601</v>
      </c>
      <c r="J1101" s="22"/>
      <c r="K1101" s="63" t="n">
        <v>12.0891314956609</v>
      </c>
      <c r="L1101" s="22" t="s">
        <v>2730</v>
      </c>
      <c r="M1101" s="22" t="n">
        <v>12</v>
      </c>
      <c r="N1101" s="22" t="s">
        <v>6224</v>
      </c>
    </row>
    <row r="1102" customFormat="false" ht="15" hidden="false" customHeight="false" outlineLevel="0" collapsed="false">
      <c r="A1102" s="22" t="s">
        <v>6225</v>
      </c>
      <c r="B1102" s="22" t="s">
        <v>6178</v>
      </c>
      <c r="C1102" s="22" t="s">
        <v>4190</v>
      </c>
      <c r="D1102" s="22" t="s">
        <v>6179</v>
      </c>
      <c r="E1102" s="22" t="s">
        <v>6180</v>
      </c>
      <c r="F1102" s="22" t="s">
        <v>6226</v>
      </c>
      <c r="G1102" s="22" t="s">
        <v>4125</v>
      </c>
      <c r="H1102" s="63" t="n">
        <v>584.27</v>
      </c>
      <c r="I1102" s="22" t="s">
        <v>601</v>
      </c>
      <c r="J1102" s="22"/>
      <c r="K1102" s="63" t="n">
        <v>13.3164602748195</v>
      </c>
      <c r="L1102" s="22" t="s">
        <v>2730</v>
      </c>
      <c r="M1102" s="22" t="n">
        <v>15</v>
      </c>
      <c r="N1102" s="22" t="s">
        <v>6224</v>
      </c>
    </row>
    <row r="1103" customFormat="false" ht="15" hidden="false" customHeight="false" outlineLevel="0" collapsed="false">
      <c r="A1103" s="22" t="s">
        <v>6227</v>
      </c>
      <c r="B1103" s="22" t="s">
        <v>6178</v>
      </c>
      <c r="C1103" s="22" t="s">
        <v>4190</v>
      </c>
      <c r="D1103" s="22" t="s">
        <v>6179</v>
      </c>
      <c r="E1103" s="22" t="s">
        <v>6180</v>
      </c>
      <c r="F1103" s="22" t="s">
        <v>6228</v>
      </c>
      <c r="G1103" s="22" t="s">
        <v>4125</v>
      </c>
      <c r="H1103" s="63" t="n">
        <v>655.95</v>
      </c>
      <c r="I1103" s="22" t="s">
        <v>601</v>
      </c>
      <c r="J1103" s="22"/>
      <c r="K1103" s="63" t="n">
        <v>14.9501636525372</v>
      </c>
      <c r="L1103" s="22" t="s">
        <v>2730</v>
      </c>
      <c r="M1103" s="22" t="n">
        <v>5</v>
      </c>
      <c r="N1103" s="22" t="s">
        <v>6224</v>
      </c>
    </row>
    <row r="1104" customFormat="false" ht="15" hidden="false" customHeight="false" outlineLevel="0" collapsed="false">
      <c r="A1104" s="22" t="s">
        <v>6229</v>
      </c>
      <c r="B1104" s="22" t="s">
        <v>6178</v>
      </c>
      <c r="C1104" s="22" t="s">
        <v>4190</v>
      </c>
      <c r="D1104" s="22" t="s">
        <v>6179</v>
      </c>
      <c r="E1104" s="22" t="s">
        <v>6180</v>
      </c>
      <c r="F1104" s="22" t="s">
        <v>6230</v>
      </c>
      <c r="G1104" s="22" t="s">
        <v>4125</v>
      </c>
      <c r="H1104" s="63" t="n">
        <v>763.65</v>
      </c>
      <c r="I1104" s="22" t="s">
        <v>601</v>
      </c>
      <c r="J1104" s="22"/>
      <c r="K1104" s="63" t="n">
        <v>17.4048212108545</v>
      </c>
      <c r="L1104" s="22" t="s">
        <v>2819</v>
      </c>
      <c r="M1104" s="22" t="n">
        <v>1</v>
      </c>
      <c r="N1104" s="22" t="s">
        <v>6185</v>
      </c>
    </row>
    <row r="1105" customFormat="false" ht="15" hidden="false" customHeight="false" outlineLevel="0" collapsed="false">
      <c r="A1105" s="22" t="s">
        <v>6231</v>
      </c>
      <c r="B1105" s="22" t="s">
        <v>6178</v>
      </c>
      <c r="C1105" s="22" t="s">
        <v>4190</v>
      </c>
      <c r="D1105" s="22" t="s">
        <v>6179</v>
      </c>
      <c r="E1105" s="22" t="s">
        <v>6180</v>
      </c>
      <c r="F1105" s="22" t="s">
        <v>6232</v>
      </c>
      <c r="G1105" s="22" t="s">
        <v>4125</v>
      </c>
      <c r="H1105" s="63" t="n">
        <v>995.26</v>
      </c>
      <c r="I1105" s="22" t="s">
        <v>601</v>
      </c>
      <c r="J1105" s="22"/>
      <c r="K1105" s="63" t="n">
        <v>22.6835885003798</v>
      </c>
      <c r="L1105" s="22" t="s">
        <v>2819</v>
      </c>
      <c r="M1105" s="22" t="n">
        <v>4</v>
      </c>
      <c r="N1105" s="22" t="s">
        <v>6185</v>
      </c>
    </row>
    <row r="1106" customFormat="false" ht="15" hidden="false" customHeight="false" outlineLevel="0" collapsed="false">
      <c r="A1106" s="22" t="s">
        <v>6233</v>
      </c>
      <c r="B1106" s="22" t="s">
        <v>6178</v>
      </c>
      <c r="C1106" s="22" t="s">
        <v>4190</v>
      </c>
      <c r="D1106" s="22" t="s">
        <v>6179</v>
      </c>
      <c r="E1106" s="22" t="s">
        <v>6180</v>
      </c>
      <c r="F1106" s="22" t="s">
        <v>6234</v>
      </c>
      <c r="G1106" s="22" t="s">
        <v>4125</v>
      </c>
      <c r="H1106" s="63" t="n">
        <v>1256.03</v>
      </c>
      <c r="I1106" s="22" t="s">
        <v>601</v>
      </c>
      <c r="J1106" s="22"/>
      <c r="K1106" s="63" t="n">
        <v>28.6269594519342</v>
      </c>
      <c r="L1106" s="22" t="s">
        <v>2819</v>
      </c>
      <c r="M1106" s="22" t="n">
        <v>21</v>
      </c>
      <c r="N1106" s="22" t="s">
        <v>6185</v>
      </c>
    </row>
    <row r="1107" customFormat="false" ht="15" hidden="false" customHeight="false" outlineLevel="0" collapsed="false">
      <c r="A1107" s="22" t="s">
        <v>6235</v>
      </c>
      <c r="B1107" s="22" t="s">
        <v>6178</v>
      </c>
      <c r="C1107" s="22" t="s">
        <v>4190</v>
      </c>
      <c r="D1107" s="22" t="s">
        <v>6179</v>
      </c>
      <c r="E1107" s="22" t="s">
        <v>6180</v>
      </c>
      <c r="F1107" s="22" t="s">
        <v>6236</v>
      </c>
      <c r="G1107" s="22" t="s">
        <v>4125</v>
      </c>
      <c r="H1107" s="63" t="n">
        <v>1500.6</v>
      </c>
      <c r="I1107" s="22" t="s">
        <v>601</v>
      </c>
      <c r="J1107" s="22"/>
      <c r="K1107" s="63" t="n">
        <v>34.2011061468058</v>
      </c>
      <c r="L1107" s="22" t="s">
        <v>2819</v>
      </c>
      <c r="M1107" s="22" t="n">
        <v>4</v>
      </c>
      <c r="N1107" s="22" t="s">
        <v>6185</v>
      </c>
    </row>
    <row r="1108" customFormat="false" ht="15" hidden="false" customHeight="false" outlineLevel="0" collapsed="false">
      <c r="A1108" s="22" t="s">
        <v>6237</v>
      </c>
      <c r="B1108" s="22" t="s">
        <v>6178</v>
      </c>
      <c r="C1108" s="22" t="s">
        <v>4190</v>
      </c>
      <c r="D1108" s="22" t="s">
        <v>6179</v>
      </c>
      <c r="E1108" s="22" t="s">
        <v>6180</v>
      </c>
      <c r="F1108" s="22" t="s">
        <v>6238</v>
      </c>
      <c r="G1108" s="22" t="s">
        <v>4114</v>
      </c>
      <c r="H1108" s="63" t="n">
        <v>1688.46</v>
      </c>
      <c r="I1108" s="22" t="s">
        <v>601</v>
      </c>
      <c r="J1108" s="22"/>
      <c r="K1108" s="63" t="n">
        <v>38.4827400270796</v>
      </c>
      <c r="L1108" s="22" t="s">
        <v>2819</v>
      </c>
      <c r="M1108" s="22" t="n">
        <v>1</v>
      </c>
      <c r="N1108" s="22" t="s">
        <v>6185</v>
      </c>
    </row>
    <row r="1109" customFormat="false" ht="15" hidden="false" customHeight="false" outlineLevel="0" collapsed="false">
      <c r="A1109" s="22" t="s">
        <v>6239</v>
      </c>
      <c r="B1109" s="22" t="s">
        <v>6178</v>
      </c>
      <c r="C1109" s="22" t="s">
        <v>4190</v>
      </c>
      <c r="D1109" s="22" t="s">
        <v>6179</v>
      </c>
      <c r="E1109" s="22" t="s">
        <v>6180</v>
      </c>
      <c r="F1109" s="22" t="s">
        <v>6240</v>
      </c>
      <c r="G1109" s="22" t="s">
        <v>4114</v>
      </c>
      <c r="H1109" s="63" t="n">
        <v>55984.12</v>
      </c>
      <c r="I1109" s="22" t="s">
        <v>601</v>
      </c>
      <c r="J1109" s="22"/>
      <c r="K1109" s="63" t="n">
        <v>1275.96883290385</v>
      </c>
      <c r="L1109" s="22" t="s">
        <v>2730</v>
      </c>
      <c r="M1109" s="22" t="n">
        <v>1</v>
      </c>
      <c r="N1109" s="22" t="s">
        <v>6185</v>
      </c>
    </row>
    <row r="1110" customFormat="false" ht="15" hidden="false" customHeight="false" outlineLevel="0" collapsed="false">
      <c r="A1110" s="22" t="s">
        <v>6241</v>
      </c>
      <c r="B1110" s="22" t="s">
        <v>6178</v>
      </c>
      <c r="C1110" s="22" t="s">
        <v>4190</v>
      </c>
      <c r="D1110" s="22" t="s">
        <v>6179</v>
      </c>
      <c r="E1110" s="22" t="s">
        <v>6180</v>
      </c>
      <c r="F1110" s="22" t="s">
        <v>6242</v>
      </c>
      <c r="G1110" s="22" t="s">
        <v>4114</v>
      </c>
      <c r="H1110" s="63" t="n">
        <v>15599.06</v>
      </c>
      <c r="I1110" s="22" t="s">
        <v>601</v>
      </c>
      <c r="J1110" s="22"/>
      <c r="K1110" s="63" t="n">
        <v>355.527860089559</v>
      </c>
      <c r="L1110" s="22" t="s">
        <v>2367</v>
      </c>
      <c r="M1110" s="22" t="n">
        <v>1</v>
      </c>
      <c r="N1110" s="22" t="s">
        <v>6185</v>
      </c>
    </row>
    <row r="1111" customFormat="false" ht="15" hidden="false" customHeight="false" outlineLevel="0" collapsed="false">
      <c r="A1111" s="22" t="s">
        <v>6243</v>
      </c>
      <c r="B1111" s="22" t="s">
        <v>6178</v>
      </c>
      <c r="C1111" s="22" t="s">
        <v>4190</v>
      </c>
      <c r="D1111" s="22" t="s">
        <v>6179</v>
      </c>
      <c r="E1111" s="22" t="s">
        <v>6180</v>
      </c>
      <c r="F1111" s="22" t="s">
        <v>6244</v>
      </c>
      <c r="G1111" s="22" t="s">
        <v>4167</v>
      </c>
      <c r="H1111" s="63" t="n">
        <v>60828.43</v>
      </c>
      <c r="I1111" s="22" t="s">
        <v>601</v>
      </c>
      <c r="J1111" s="22"/>
      <c r="K1111" s="63" t="n">
        <v>1386.37850937861</v>
      </c>
      <c r="L1111" s="22" t="s">
        <v>2458</v>
      </c>
      <c r="M1111" s="22" t="n">
        <v>2</v>
      </c>
      <c r="N1111" s="22" t="s">
        <v>6185</v>
      </c>
    </row>
    <row r="1112" customFormat="false" ht="15" hidden="false" customHeight="false" outlineLevel="0" collapsed="false">
      <c r="A1112" s="22" t="s">
        <v>6245</v>
      </c>
      <c r="B1112" s="22" t="s">
        <v>6178</v>
      </c>
      <c r="C1112" s="22" t="s">
        <v>4190</v>
      </c>
      <c r="D1112" s="22" t="s">
        <v>6179</v>
      </c>
      <c r="E1112" s="22" t="s">
        <v>6180</v>
      </c>
      <c r="F1112" s="22" t="s">
        <v>6246</v>
      </c>
      <c r="G1112" s="22" t="s">
        <v>4114</v>
      </c>
      <c r="H1112" s="63" t="n">
        <v>106551.65</v>
      </c>
      <c r="I1112" s="22" t="s">
        <v>601</v>
      </c>
      <c r="J1112" s="22"/>
      <c r="K1112" s="63" t="n">
        <v>2428.4848005913</v>
      </c>
      <c r="L1112" s="22" t="s">
        <v>2458</v>
      </c>
      <c r="M1112" s="22" t="n">
        <v>2</v>
      </c>
      <c r="N1112" s="22" t="s">
        <v>6185</v>
      </c>
    </row>
    <row r="1113" customFormat="false" ht="15" hidden="false" customHeight="false" outlineLevel="0" collapsed="false">
      <c r="A1113" s="22" t="s">
        <v>6247</v>
      </c>
      <c r="B1113" s="22" t="s">
        <v>6178</v>
      </c>
      <c r="C1113" s="22" t="s">
        <v>4190</v>
      </c>
      <c r="D1113" s="22" t="s">
        <v>6179</v>
      </c>
      <c r="E1113" s="22" t="s">
        <v>6180</v>
      </c>
      <c r="F1113" s="22" t="s">
        <v>5625</v>
      </c>
      <c r="G1113" s="22" t="s">
        <v>5245</v>
      </c>
      <c r="H1113" s="63" t="n">
        <v>1757.44</v>
      </c>
      <c r="I1113" s="22" t="s">
        <v>601</v>
      </c>
      <c r="J1113" s="22"/>
      <c r="K1113" s="63" t="n">
        <v>40.0549060286834</v>
      </c>
      <c r="L1113" s="22" t="s">
        <v>2458</v>
      </c>
      <c r="M1113" s="22" t="n">
        <v>1</v>
      </c>
      <c r="N1113" s="22" t="s">
        <v>6224</v>
      </c>
    </row>
    <row r="1114" customFormat="false" ht="15" hidden="false" customHeight="false" outlineLevel="0" collapsed="false">
      <c r="A1114" s="22" t="s">
        <v>6248</v>
      </c>
      <c r="B1114" s="22" t="s">
        <v>6178</v>
      </c>
      <c r="C1114" s="22" t="s">
        <v>4190</v>
      </c>
      <c r="D1114" s="22" t="s">
        <v>6179</v>
      </c>
      <c r="E1114" s="22" t="s">
        <v>6180</v>
      </c>
      <c r="F1114" s="22" t="s">
        <v>5628</v>
      </c>
      <c r="G1114" s="22" t="s">
        <v>5245</v>
      </c>
      <c r="H1114" s="63" t="n">
        <v>1887.83</v>
      </c>
      <c r="I1114" s="22" t="s">
        <v>601</v>
      </c>
      <c r="J1114" s="22"/>
      <c r="K1114" s="63" t="n">
        <v>43.0267054625645</v>
      </c>
      <c r="L1114" s="22" t="s">
        <v>2458</v>
      </c>
      <c r="M1114" s="22" t="n">
        <v>1</v>
      </c>
      <c r="N1114" s="22" t="s">
        <v>6185</v>
      </c>
    </row>
    <row r="1115" customFormat="false" ht="15" hidden="false" customHeight="false" outlineLevel="0" collapsed="false">
      <c r="A1115" s="22" t="s">
        <v>6249</v>
      </c>
      <c r="B1115" s="22" t="s">
        <v>6178</v>
      </c>
      <c r="C1115" s="22" t="s">
        <v>4190</v>
      </c>
      <c r="D1115" s="22" t="s">
        <v>6179</v>
      </c>
      <c r="E1115" s="22" t="s">
        <v>6180</v>
      </c>
      <c r="F1115" s="22" t="s">
        <v>5504</v>
      </c>
      <c r="G1115" s="22" t="s">
        <v>5245</v>
      </c>
      <c r="H1115" s="63" t="n">
        <v>8818.25</v>
      </c>
      <c r="I1115" s="22" t="s">
        <v>601</v>
      </c>
      <c r="J1115" s="22"/>
      <c r="K1115" s="63" t="n">
        <v>200.982209968726</v>
      </c>
      <c r="L1115" s="22" t="s">
        <v>2458</v>
      </c>
      <c r="M1115" s="22" t="n">
        <v>1</v>
      </c>
      <c r="N1115" s="22" t="s">
        <v>6250</v>
      </c>
    </row>
    <row r="1116" customFormat="false" ht="15" hidden="false" customHeight="false" outlineLevel="0" collapsed="false">
      <c r="A1116" s="22" t="s">
        <v>6251</v>
      </c>
      <c r="B1116" s="22" t="s">
        <v>6178</v>
      </c>
      <c r="C1116" s="22" t="s">
        <v>4190</v>
      </c>
      <c r="D1116" s="22" t="s">
        <v>6179</v>
      </c>
      <c r="E1116" s="22" t="s">
        <v>6180</v>
      </c>
      <c r="F1116" s="22" t="s">
        <v>6252</v>
      </c>
      <c r="G1116" s="22" t="s">
        <v>4114</v>
      </c>
      <c r="H1116" s="63" t="n">
        <v>667310.09</v>
      </c>
      <c r="I1116" s="22" t="s">
        <v>601</v>
      </c>
      <c r="J1116" s="22"/>
      <c r="K1116" s="63" t="n">
        <v>15209.0785158767</v>
      </c>
      <c r="L1116" s="22" t="s">
        <v>2335</v>
      </c>
      <c r="M1116" s="22" t="n">
        <v>3</v>
      </c>
      <c r="N1116" s="22" t="s">
        <v>6185</v>
      </c>
    </row>
    <row r="1117" customFormat="false" ht="15" hidden="false" customHeight="false" outlineLevel="0" collapsed="false">
      <c r="A1117" s="22" t="s">
        <v>6253</v>
      </c>
      <c r="B1117" s="22" t="s">
        <v>6178</v>
      </c>
      <c r="C1117" s="22" t="s">
        <v>4190</v>
      </c>
      <c r="D1117" s="22" t="s">
        <v>6179</v>
      </c>
      <c r="E1117" s="22" t="s">
        <v>6180</v>
      </c>
      <c r="F1117" s="22" t="s">
        <v>6254</v>
      </c>
      <c r="G1117" s="22" t="s">
        <v>4114</v>
      </c>
      <c r="H1117" s="63" t="n">
        <v>31736.05</v>
      </c>
      <c r="I1117" s="22" t="s">
        <v>601</v>
      </c>
      <c r="J1117" s="22"/>
      <c r="K1117" s="63" t="n">
        <v>723.316016746858</v>
      </c>
      <c r="L1117" s="22" t="s">
        <v>2367</v>
      </c>
      <c r="M1117" s="22" t="n">
        <v>1</v>
      </c>
      <c r="N1117" s="22" t="s">
        <v>6185</v>
      </c>
    </row>
    <row r="1118" customFormat="false" ht="15" hidden="false" customHeight="false" outlineLevel="0" collapsed="false">
      <c r="A1118" s="22" t="s">
        <v>6255</v>
      </c>
      <c r="B1118" s="22" t="s">
        <v>6178</v>
      </c>
      <c r="C1118" s="22" t="s">
        <v>4190</v>
      </c>
      <c r="D1118" s="22" t="s">
        <v>6179</v>
      </c>
      <c r="E1118" s="22" t="s">
        <v>6180</v>
      </c>
      <c r="F1118" s="22" t="s">
        <v>6256</v>
      </c>
      <c r="G1118" s="22" t="s">
        <v>4114</v>
      </c>
      <c r="H1118" s="63" t="n">
        <v>36133.25</v>
      </c>
      <c r="I1118" s="22" t="s">
        <v>601</v>
      </c>
      <c r="J1118" s="22"/>
      <c r="K1118" s="63" t="n">
        <v>823.535331653385</v>
      </c>
      <c r="L1118" s="22" t="s">
        <v>2367</v>
      </c>
      <c r="M1118" s="22" t="n">
        <v>1</v>
      </c>
      <c r="N1118" s="22" t="s">
        <v>6185</v>
      </c>
    </row>
    <row r="1119" customFormat="false" ht="15" hidden="false" customHeight="false" outlineLevel="0" collapsed="false">
      <c r="A1119" s="22" t="s">
        <v>6257</v>
      </c>
      <c r="B1119" s="22" t="s">
        <v>6178</v>
      </c>
      <c r="C1119" s="22" t="s">
        <v>4190</v>
      </c>
      <c r="D1119" s="22" t="s">
        <v>6179</v>
      </c>
      <c r="E1119" s="22" t="s">
        <v>6180</v>
      </c>
      <c r="F1119" s="22" t="s">
        <v>5521</v>
      </c>
      <c r="G1119" s="22" t="s">
        <v>4114</v>
      </c>
      <c r="H1119" s="63" t="n">
        <v>5133.29</v>
      </c>
      <c r="I1119" s="22" t="s">
        <v>601</v>
      </c>
      <c r="J1119" s="22"/>
      <c r="K1119" s="63" t="n">
        <v>116.995999048605</v>
      </c>
      <c r="L1119" s="22" t="s">
        <v>2367</v>
      </c>
      <c r="M1119" s="22" t="n">
        <v>3</v>
      </c>
      <c r="N1119" s="22" t="s">
        <v>6185</v>
      </c>
    </row>
    <row r="1120" customFormat="false" ht="15" hidden="false" customHeight="false" outlineLevel="0" collapsed="false">
      <c r="A1120" s="22" t="s">
        <v>6258</v>
      </c>
      <c r="B1120" s="22" t="s">
        <v>6178</v>
      </c>
      <c r="C1120" s="22" t="s">
        <v>4190</v>
      </c>
      <c r="D1120" s="22" t="s">
        <v>6179</v>
      </c>
      <c r="E1120" s="22" t="s">
        <v>6180</v>
      </c>
      <c r="F1120" s="22" t="s">
        <v>5523</v>
      </c>
      <c r="G1120" s="22" t="s">
        <v>4114</v>
      </c>
      <c r="H1120" s="63" t="n">
        <v>152178.25</v>
      </c>
      <c r="I1120" s="22" t="s">
        <v>601</v>
      </c>
      <c r="J1120" s="22"/>
      <c r="K1120" s="63" t="n">
        <v>3468.38896540394</v>
      </c>
      <c r="L1120" s="22" t="s">
        <v>2367</v>
      </c>
      <c r="M1120" s="22" t="n">
        <v>1</v>
      </c>
      <c r="N1120" s="22" t="s">
        <v>6185</v>
      </c>
    </row>
    <row r="1121" customFormat="false" ht="15" hidden="false" customHeight="false" outlineLevel="0" collapsed="false">
      <c r="A1121" s="22" t="s">
        <v>6259</v>
      </c>
      <c r="B1121" s="22" t="s">
        <v>6178</v>
      </c>
      <c r="C1121" s="22" t="s">
        <v>4190</v>
      </c>
      <c r="D1121" s="22" t="s">
        <v>6179</v>
      </c>
      <c r="E1121" s="22" t="s">
        <v>6180</v>
      </c>
      <c r="F1121" s="22" t="s">
        <v>5525</v>
      </c>
      <c r="G1121" s="22" t="s">
        <v>4125</v>
      </c>
      <c r="H1121" s="63" t="n">
        <v>659.75</v>
      </c>
      <c r="I1121" s="22" t="s">
        <v>601</v>
      </c>
      <c r="J1121" s="22"/>
      <c r="K1121" s="63" t="n">
        <v>15.0367718115121</v>
      </c>
      <c r="L1121" s="22" t="s">
        <v>2367</v>
      </c>
      <c r="M1121" s="22" t="n">
        <v>15</v>
      </c>
      <c r="N1121" s="22" t="s">
        <v>6260</v>
      </c>
    </row>
    <row r="1122" customFormat="false" ht="15" hidden="false" customHeight="false" outlineLevel="0" collapsed="false">
      <c r="A1122" s="22" t="s">
        <v>6261</v>
      </c>
      <c r="B1122" s="22" t="s">
        <v>6178</v>
      </c>
      <c r="C1122" s="22" t="s">
        <v>4190</v>
      </c>
      <c r="D1122" s="22" t="s">
        <v>6179</v>
      </c>
      <c r="E1122" s="22" t="s">
        <v>6180</v>
      </c>
      <c r="F1122" s="22" t="s">
        <v>5528</v>
      </c>
      <c r="G1122" s="22" t="s">
        <v>4125</v>
      </c>
      <c r="H1122" s="63" t="n">
        <v>746.15</v>
      </c>
      <c r="I1122" s="22" t="s">
        <v>601</v>
      </c>
      <c r="J1122" s="22"/>
      <c r="K1122" s="63" t="n">
        <v>17.0059678471539</v>
      </c>
      <c r="L1122" s="22" t="s">
        <v>2367</v>
      </c>
      <c r="M1122" s="22" t="n">
        <v>15</v>
      </c>
      <c r="N1122" s="22" t="s">
        <v>6260</v>
      </c>
    </row>
    <row r="1123" customFormat="false" ht="15" hidden="false" customHeight="false" outlineLevel="0" collapsed="false">
      <c r="A1123" s="22" t="s">
        <v>6262</v>
      </c>
      <c r="B1123" s="22" t="s">
        <v>6178</v>
      </c>
      <c r="C1123" s="22" t="s">
        <v>4190</v>
      </c>
      <c r="D1123" s="22" t="s">
        <v>6179</v>
      </c>
      <c r="E1123" s="22" t="s">
        <v>6180</v>
      </c>
      <c r="F1123" s="22" t="s">
        <v>5530</v>
      </c>
      <c r="G1123" s="22" t="s">
        <v>4125</v>
      </c>
      <c r="H1123" s="63" t="n">
        <v>901.73</v>
      </c>
      <c r="I1123" s="22" t="s">
        <v>601</v>
      </c>
      <c r="J1123" s="22"/>
      <c r="K1123" s="63" t="n">
        <v>20.551888208556</v>
      </c>
      <c r="L1123" s="22" t="s">
        <v>2367</v>
      </c>
      <c r="M1123" s="22" t="n">
        <v>16</v>
      </c>
      <c r="N1123" s="22" t="s">
        <v>6260</v>
      </c>
    </row>
    <row r="1124" customFormat="false" ht="15" hidden="false" customHeight="false" outlineLevel="0" collapsed="false">
      <c r="A1124" s="22" t="s">
        <v>6263</v>
      </c>
      <c r="B1124" s="22" t="s">
        <v>6178</v>
      </c>
      <c r="C1124" s="22" t="s">
        <v>4190</v>
      </c>
      <c r="D1124" s="22" t="s">
        <v>6179</v>
      </c>
      <c r="E1124" s="22" t="s">
        <v>6180</v>
      </c>
      <c r="F1124" s="22" t="s">
        <v>5661</v>
      </c>
      <c r="G1124" s="22" t="s">
        <v>4125</v>
      </c>
      <c r="H1124" s="63" t="n">
        <v>944.93</v>
      </c>
      <c r="I1124" s="22" t="s">
        <v>601</v>
      </c>
      <c r="J1124" s="22"/>
      <c r="K1124" s="63" t="n">
        <v>21.5364862263769</v>
      </c>
      <c r="L1124" s="22" t="s">
        <v>2367</v>
      </c>
      <c r="M1124" s="22" t="n">
        <v>15</v>
      </c>
      <c r="N1124" s="22" t="s">
        <v>6260</v>
      </c>
    </row>
    <row r="1125" customFormat="false" ht="15" hidden="false" customHeight="false" outlineLevel="0" collapsed="false">
      <c r="A1125" s="22" t="s">
        <v>6264</v>
      </c>
      <c r="B1125" s="22" t="s">
        <v>6178</v>
      </c>
      <c r="C1125" s="22" t="s">
        <v>4190</v>
      </c>
      <c r="D1125" s="22" t="s">
        <v>6179</v>
      </c>
      <c r="E1125" s="22" t="s">
        <v>6180</v>
      </c>
      <c r="F1125" s="22" t="s">
        <v>6265</v>
      </c>
      <c r="G1125" s="22" t="s">
        <v>5318</v>
      </c>
      <c r="H1125" s="63" t="n">
        <v>3515.53</v>
      </c>
      <c r="I1125" s="22" t="s">
        <v>601</v>
      </c>
      <c r="J1125" s="22"/>
      <c r="K1125" s="63" t="n">
        <v>80.1246266108757</v>
      </c>
      <c r="L1125" s="22" t="s">
        <v>2367</v>
      </c>
      <c r="M1125" s="22" t="n">
        <v>1</v>
      </c>
      <c r="N1125" s="22" t="s">
        <v>6185</v>
      </c>
    </row>
    <row r="1126" customFormat="false" ht="15" hidden="false" customHeight="false" outlineLevel="0" collapsed="false">
      <c r="A1126" s="22" t="s">
        <v>6266</v>
      </c>
      <c r="B1126" s="22" t="s">
        <v>6178</v>
      </c>
      <c r="C1126" s="22" t="s">
        <v>4190</v>
      </c>
      <c r="D1126" s="22" t="s">
        <v>6179</v>
      </c>
      <c r="E1126" s="22" t="s">
        <v>6180</v>
      </c>
      <c r="F1126" s="22" t="s">
        <v>6267</v>
      </c>
      <c r="G1126" s="22" t="s">
        <v>4114</v>
      </c>
      <c r="H1126" s="63" t="n">
        <v>75118.12</v>
      </c>
      <c r="I1126" s="22" t="s">
        <v>601</v>
      </c>
      <c r="J1126" s="22"/>
      <c r="K1126" s="63" t="n">
        <v>1712.06370496368</v>
      </c>
      <c r="L1126" s="22" t="s">
        <v>2307</v>
      </c>
      <c r="M1126" s="22" t="n">
        <v>6</v>
      </c>
      <c r="N1126" s="22" t="s">
        <v>6185</v>
      </c>
    </row>
    <row r="1127" customFormat="false" ht="15" hidden="false" customHeight="false" outlineLevel="0" collapsed="false">
      <c r="A1127" s="22" t="s">
        <v>6268</v>
      </c>
      <c r="B1127" s="22" t="s">
        <v>6178</v>
      </c>
      <c r="C1127" s="22" t="s">
        <v>4190</v>
      </c>
      <c r="D1127" s="22" t="s">
        <v>6179</v>
      </c>
      <c r="E1127" s="22" t="s">
        <v>6180</v>
      </c>
      <c r="F1127" s="22" t="s">
        <v>6269</v>
      </c>
      <c r="G1127" s="22" t="s">
        <v>4114</v>
      </c>
      <c r="H1127" s="63" t="n">
        <v>25018.59</v>
      </c>
      <c r="I1127" s="22" t="s">
        <v>601</v>
      </c>
      <c r="J1127" s="22"/>
      <c r="K1127" s="63" t="n">
        <v>570.214215802621</v>
      </c>
      <c r="L1127" s="22" t="s">
        <v>2550</v>
      </c>
      <c r="M1127" s="22" t="n">
        <v>1</v>
      </c>
      <c r="N1127" s="22" t="s">
        <v>6185</v>
      </c>
    </row>
    <row r="1128" customFormat="false" ht="15" hidden="false" customHeight="false" outlineLevel="0" collapsed="false">
      <c r="A1128" s="22" t="s">
        <v>6270</v>
      </c>
      <c r="B1128" s="22" t="s">
        <v>6178</v>
      </c>
      <c r="C1128" s="22" t="s">
        <v>4190</v>
      </c>
      <c r="D1128" s="22" t="s">
        <v>6179</v>
      </c>
      <c r="E1128" s="22" t="s">
        <v>6180</v>
      </c>
      <c r="F1128" s="22" t="s">
        <v>6271</v>
      </c>
      <c r="G1128" s="22" t="s">
        <v>4114</v>
      </c>
      <c r="H1128" s="63" t="n">
        <v>4555.61</v>
      </c>
      <c r="I1128" s="22" t="s">
        <v>601</v>
      </c>
      <c r="J1128" s="22"/>
      <c r="K1128" s="63" t="n">
        <v>103.829735554745</v>
      </c>
      <c r="L1128" s="22" t="s">
        <v>2534</v>
      </c>
      <c r="M1128" s="22" t="n">
        <v>9</v>
      </c>
      <c r="N1128" s="22" t="s">
        <v>6185</v>
      </c>
    </row>
    <row r="1129" customFormat="false" ht="15" hidden="false" customHeight="false" outlineLevel="0" collapsed="false">
      <c r="A1129" s="22" t="s">
        <v>6272</v>
      </c>
      <c r="B1129" s="22" t="s">
        <v>4093</v>
      </c>
      <c r="C1129" s="22" t="s">
        <v>3431</v>
      </c>
      <c r="D1129" s="22" t="s">
        <v>6273</v>
      </c>
      <c r="E1129" s="22" t="s">
        <v>6274</v>
      </c>
      <c r="F1129" s="22" t="s">
        <v>6275</v>
      </c>
      <c r="G1129" s="22" t="s">
        <v>727</v>
      </c>
      <c r="H1129" s="63" t="n">
        <v>6300</v>
      </c>
      <c r="I1129" s="22" t="s">
        <v>112</v>
      </c>
      <c r="J1129" s="22"/>
      <c r="K1129" s="63" t="n">
        <v>8827.61511591314</v>
      </c>
      <c r="L1129" s="22" t="s">
        <v>2550</v>
      </c>
      <c r="M1129" s="22" t="n">
        <v>1</v>
      </c>
      <c r="N1129" s="22" t="s">
        <v>6276</v>
      </c>
    </row>
    <row r="1130" customFormat="false" ht="15" hidden="false" customHeight="false" outlineLevel="0" collapsed="false">
      <c r="A1130" s="22" t="s">
        <v>6277</v>
      </c>
      <c r="B1130" s="22" t="s">
        <v>4093</v>
      </c>
      <c r="C1130" s="22" t="s">
        <v>3431</v>
      </c>
      <c r="D1130" s="22" t="s">
        <v>6278</v>
      </c>
      <c r="E1130" s="22" t="s">
        <v>6279</v>
      </c>
      <c r="F1130" s="22" t="s">
        <v>6280</v>
      </c>
      <c r="G1130" s="22" t="s">
        <v>727</v>
      </c>
      <c r="H1130" s="63" t="n">
        <v>10197</v>
      </c>
      <c r="I1130" s="22" t="s">
        <v>113</v>
      </c>
      <c r="J1130" s="22"/>
      <c r="K1130" s="63" t="n">
        <v>9972.86568542964</v>
      </c>
      <c r="L1130" s="22" t="s">
        <v>2367</v>
      </c>
      <c r="M1130" s="22" t="n">
        <v>1</v>
      </c>
      <c r="N1130" s="22" t="s">
        <v>6281</v>
      </c>
    </row>
    <row r="1131" customFormat="false" ht="15" hidden="false" customHeight="false" outlineLevel="0" collapsed="false">
      <c r="A1131" s="22" t="s">
        <v>6282</v>
      </c>
      <c r="B1131" s="22" t="s">
        <v>4093</v>
      </c>
      <c r="C1131" s="22" t="s">
        <v>3431</v>
      </c>
      <c r="D1131" s="22" t="s">
        <v>6278</v>
      </c>
      <c r="E1131" s="22" t="s">
        <v>6279</v>
      </c>
      <c r="F1131" s="22" t="s">
        <v>6283</v>
      </c>
      <c r="G1131" s="22" t="s">
        <v>727</v>
      </c>
      <c r="H1131" s="63" t="n">
        <v>34974</v>
      </c>
      <c r="I1131" s="22" t="s">
        <v>113</v>
      </c>
      <c r="J1131" s="22"/>
      <c r="K1131" s="63" t="n">
        <v>34205.2568875371</v>
      </c>
      <c r="L1131" s="22" t="s">
        <v>2367</v>
      </c>
      <c r="M1131" s="22" t="n">
        <v>1</v>
      </c>
      <c r="N1131" s="22" t="s">
        <v>6281</v>
      </c>
    </row>
    <row r="1132" customFormat="false" ht="15" hidden="false" customHeight="false" outlineLevel="0" collapsed="false">
      <c r="A1132" s="22" t="s">
        <v>6284</v>
      </c>
      <c r="B1132" s="22" t="s">
        <v>4093</v>
      </c>
      <c r="C1132" s="22" t="s">
        <v>3431</v>
      </c>
      <c r="D1132" s="22" t="s">
        <v>6278</v>
      </c>
      <c r="E1132" s="22" t="s">
        <v>6279</v>
      </c>
      <c r="F1132" s="22" t="s">
        <v>6285</v>
      </c>
      <c r="G1132" s="22" t="s">
        <v>727</v>
      </c>
      <c r="H1132" s="63" t="n">
        <v>2268</v>
      </c>
      <c r="I1132" s="22" t="s">
        <v>113</v>
      </c>
      <c r="J1132" s="22"/>
      <c r="K1132" s="63" t="n">
        <v>2218.14841370544</v>
      </c>
      <c r="L1132" s="22" t="s">
        <v>2335</v>
      </c>
      <c r="M1132" s="22" t="n">
        <v>2</v>
      </c>
      <c r="N1132" s="22" t="s">
        <v>6281</v>
      </c>
    </row>
    <row r="1133" customFormat="false" ht="15" hidden="false" customHeight="false" outlineLevel="0" collapsed="false">
      <c r="A1133" s="22" t="s">
        <v>6286</v>
      </c>
      <c r="B1133" s="22" t="s">
        <v>4093</v>
      </c>
      <c r="C1133" s="22" t="s">
        <v>3431</v>
      </c>
      <c r="D1133" s="22" t="s">
        <v>6287</v>
      </c>
      <c r="E1133" s="22" t="s">
        <v>6288</v>
      </c>
      <c r="F1133" s="22" t="s">
        <v>6289</v>
      </c>
      <c r="G1133" s="22" t="s">
        <v>3444</v>
      </c>
      <c r="H1133" s="63" t="n">
        <v>69.84</v>
      </c>
      <c r="I1133" s="22" t="s">
        <v>112</v>
      </c>
      <c r="J1133" s="22" t="s">
        <v>4102</v>
      </c>
      <c r="K1133" s="63" t="n">
        <v>97.6759893539943</v>
      </c>
      <c r="L1133" s="22" t="s">
        <v>2458</v>
      </c>
      <c r="M1133" s="22" t="n">
        <v>1</v>
      </c>
      <c r="N1133" s="22" t="s">
        <v>6290</v>
      </c>
    </row>
    <row r="1134" customFormat="false" ht="15" hidden="false" customHeight="false" outlineLevel="0" collapsed="false">
      <c r="A1134" s="22" t="s">
        <v>6291</v>
      </c>
      <c r="B1134" s="22" t="s">
        <v>4093</v>
      </c>
      <c r="C1134" s="22" t="s">
        <v>3431</v>
      </c>
      <c r="D1134" s="22" t="s">
        <v>6287</v>
      </c>
      <c r="E1134" s="22" t="s">
        <v>6288</v>
      </c>
      <c r="F1134" s="22" t="s">
        <v>6292</v>
      </c>
      <c r="G1134" s="22" t="s">
        <v>6293</v>
      </c>
      <c r="H1134" s="63" t="n">
        <v>20536.27</v>
      </c>
      <c r="I1134" s="22" t="s">
        <v>112</v>
      </c>
      <c r="J1134" s="22" t="s">
        <v>4102</v>
      </c>
      <c r="K1134" s="63" t="n">
        <v>28721.3701301654</v>
      </c>
      <c r="L1134" s="22" t="s">
        <v>2550</v>
      </c>
      <c r="M1134" s="22" t="n">
        <v>1</v>
      </c>
      <c r="N1134" s="22" t="s">
        <v>6290</v>
      </c>
    </row>
    <row r="1135" customFormat="false" ht="15" hidden="false" customHeight="false" outlineLevel="0" collapsed="false">
      <c r="A1135" s="22" t="s">
        <v>6294</v>
      </c>
      <c r="B1135" s="22" t="s">
        <v>3439</v>
      </c>
      <c r="C1135" s="22" t="s">
        <v>3440</v>
      </c>
      <c r="D1135" s="22" t="s">
        <v>6295</v>
      </c>
      <c r="E1135" s="22" t="s">
        <v>6296</v>
      </c>
      <c r="F1135" s="22" t="s">
        <v>6297</v>
      </c>
      <c r="G1135" s="22" t="s">
        <v>727</v>
      </c>
      <c r="H1135" s="63" t="n">
        <v>11541.5</v>
      </c>
      <c r="I1135" s="22" t="s">
        <v>112</v>
      </c>
      <c r="J1135" s="22"/>
      <c r="K1135" s="63" t="n">
        <v>15673.8674262403</v>
      </c>
      <c r="L1135" s="22" t="s">
        <v>3040</v>
      </c>
      <c r="M1135" s="22" t="n">
        <v>1</v>
      </c>
      <c r="N1135" s="22" t="s">
        <v>6298</v>
      </c>
    </row>
    <row r="1136" customFormat="false" ht="15" hidden="false" customHeight="false" outlineLevel="0" collapsed="false">
      <c r="A1136" s="22" t="s">
        <v>6299</v>
      </c>
      <c r="B1136" s="22" t="s">
        <v>6300</v>
      </c>
      <c r="C1136" s="22" t="s">
        <v>3478</v>
      </c>
      <c r="D1136" s="22" t="s">
        <v>6301</v>
      </c>
      <c r="E1136" s="22" t="s">
        <v>6302</v>
      </c>
      <c r="F1136" s="22" t="s">
        <v>6303</v>
      </c>
      <c r="G1136" s="22" t="s">
        <v>727</v>
      </c>
      <c r="H1136" s="63" t="n">
        <v>11508</v>
      </c>
      <c r="I1136" s="22" t="s">
        <v>112</v>
      </c>
      <c r="J1136" s="22"/>
      <c r="K1136" s="63" t="n">
        <v>15254.6071533194</v>
      </c>
      <c r="L1136" s="22" t="s">
        <v>2907</v>
      </c>
      <c r="M1136" s="22" t="n">
        <v>1</v>
      </c>
      <c r="N1136" s="22" t="s">
        <v>6304</v>
      </c>
    </row>
    <row r="1137" customFormat="false" ht="15" hidden="false" customHeight="false" outlineLevel="0" collapsed="false">
      <c r="A1137" s="22" t="s">
        <v>6305</v>
      </c>
      <c r="B1137" s="22" t="s">
        <v>6300</v>
      </c>
      <c r="C1137" s="22" t="s">
        <v>3478</v>
      </c>
      <c r="D1137" s="22" t="s">
        <v>6301</v>
      </c>
      <c r="E1137" s="22" t="s">
        <v>6302</v>
      </c>
      <c r="F1137" s="22" t="s">
        <v>6306</v>
      </c>
      <c r="G1137" s="22" t="s">
        <v>727</v>
      </c>
      <c r="H1137" s="63" t="n">
        <v>6881</v>
      </c>
      <c r="I1137" s="22" t="s">
        <v>112</v>
      </c>
      <c r="J1137" s="22"/>
      <c r="K1137" s="63" t="n">
        <v>9121.21583437531</v>
      </c>
      <c r="L1137" s="22" t="s">
        <v>2984</v>
      </c>
      <c r="M1137" s="22" t="n">
        <v>1</v>
      </c>
      <c r="N1137" s="22" t="s">
        <v>6307</v>
      </c>
    </row>
    <row r="1138" customFormat="false" ht="15" hidden="false" customHeight="false" outlineLevel="0" collapsed="false">
      <c r="A1138" s="22" t="s">
        <v>6308</v>
      </c>
      <c r="B1138" s="22" t="s">
        <v>6300</v>
      </c>
      <c r="C1138" s="22" t="s">
        <v>3478</v>
      </c>
      <c r="D1138" s="22" t="s">
        <v>6301</v>
      </c>
      <c r="E1138" s="22" t="s">
        <v>6302</v>
      </c>
      <c r="F1138" s="22" t="s">
        <v>6309</v>
      </c>
      <c r="G1138" s="22" t="s">
        <v>727</v>
      </c>
      <c r="H1138" s="63" t="n">
        <v>3727</v>
      </c>
      <c r="I1138" s="22" t="s">
        <v>112</v>
      </c>
      <c r="J1138" s="22"/>
      <c r="K1138" s="63" t="n">
        <v>4940.38241748536</v>
      </c>
      <c r="L1138" s="22" t="s">
        <v>2907</v>
      </c>
      <c r="M1138" s="22" t="n">
        <v>2</v>
      </c>
      <c r="N1138" s="22" t="s">
        <v>6307</v>
      </c>
    </row>
    <row r="1139" customFormat="false" ht="15" hidden="false" customHeight="false" outlineLevel="0" collapsed="false">
      <c r="A1139" s="22" t="s">
        <v>6310</v>
      </c>
      <c r="B1139" s="22" t="s">
        <v>6300</v>
      </c>
      <c r="C1139" s="22" t="s">
        <v>3478</v>
      </c>
      <c r="D1139" s="22" t="s">
        <v>6301</v>
      </c>
      <c r="E1139" s="22" t="s">
        <v>6302</v>
      </c>
      <c r="F1139" s="22" t="s">
        <v>6311</v>
      </c>
      <c r="G1139" s="22" t="s">
        <v>6312</v>
      </c>
      <c r="H1139" s="63" t="n">
        <v>3724</v>
      </c>
      <c r="I1139" s="22" t="s">
        <v>112</v>
      </c>
      <c r="J1139" s="22"/>
      <c r="K1139" s="63" t="n">
        <v>4936.40572114717</v>
      </c>
      <c r="L1139" s="22" t="s">
        <v>3023</v>
      </c>
      <c r="M1139" s="22" t="n">
        <v>4</v>
      </c>
      <c r="N1139" s="22" t="s">
        <v>6313</v>
      </c>
    </row>
    <row r="1140" customFormat="false" ht="15" hidden="false" customHeight="false" outlineLevel="0" collapsed="false">
      <c r="A1140" s="22" t="s">
        <v>6314</v>
      </c>
      <c r="B1140" s="22" t="s">
        <v>6300</v>
      </c>
      <c r="C1140" s="22" t="s">
        <v>3478</v>
      </c>
      <c r="D1140" s="22" t="s">
        <v>6301</v>
      </c>
      <c r="E1140" s="22" t="s">
        <v>6302</v>
      </c>
      <c r="F1140" s="22" t="s">
        <v>6315</v>
      </c>
      <c r="G1140" s="22" t="s">
        <v>732</v>
      </c>
      <c r="H1140" s="63" t="n">
        <v>44462</v>
      </c>
      <c r="I1140" s="22" t="s">
        <v>112</v>
      </c>
      <c r="J1140" s="22"/>
      <c r="K1140" s="63" t="n">
        <v>58937.2908629552</v>
      </c>
      <c r="L1140" s="22"/>
      <c r="M1140" s="22" t="n">
        <v>1</v>
      </c>
      <c r="N1140" s="22" t="s">
        <v>6316</v>
      </c>
    </row>
    <row r="1141" customFormat="false" ht="15" hidden="false" customHeight="false" outlineLevel="0" collapsed="false">
      <c r="A1141" s="22" t="s">
        <v>6317</v>
      </c>
      <c r="B1141" s="22" t="s">
        <v>6300</v>
      </c>
      <c r="C1141" s="22" t="s">
        <v>3478</v>
      </c>
      <c r="D1141" s="22" t="s">
        <v>6301</v>
      </c>
      <c r="E1141" s="22" t="s">
        <v>6302</v>
      </c>
      <c r="F1141" s="22" t="s">
        <v>6318</v>
      </c>
      <c r="G1141" s="22" t="s">
        <v>727</v>
      </c>
      <c r="H1141" s="63" t="n">
        <v>66089</v>
      </c>
      <c r="I1141" s="22" t="s">
        <v>112</v>
      </c>
      <c r="J1141" s="22"/>
      <c r="K1141" s="63" t="n">
        <v>87605.2947650094</v>
      </c>
      <c r="L1141" s="22" t="s">
        <v>2907</v>
      </c>
      <c r="M1141" s="22" t="n">
        <v>1</v>
      </c>
      <c r="N1141" s="22" t="s">
        <v>6307</v>
      </c>
    </row>
    <row r="1142" customFormat="false" ht="15" hidden="false" customHeight="false" outlineLevel="0" collapsed="false">
      <c r="A1142" s="22" t="s">
        <v>6319</v>
      </c>
      <c r="B1142" s="22" t="s">
        <v>6300</v>
      </c>
      <c r="C1142" s="22" t="s">
        <v>3478</v>
      </c>
      <c r="D1142" s="22" t="s">
        <v>6301</v>
      </c>
      <c r="E1142" s="22" t="s">
        <v>6302</v>
      </c>
      <c r="F1142" s="22" t="s">
        <v>6320</v>
      </c>
      <c r="G1142" s="22" t="s">
        <v>727</v>
      </c>
      <c r="H1142" s="63" t="n">
        <v>5240</v>
      </c>
      <c r="I1142" s="22" t="s">
        <v>112</v>
      </c>
      <c r="J1142" s="22"/>
      <c r="K1142" s="63" t="n">
        <v>6945.96293738216</v>
      </c>
      <c r="L1142" s="22" t="s">
        <v>2907</v>
      </c>
      <c r="M1142" s="22" t="n">
        <v>2</v>
      </c>
      <c r="N1142" s="22" t="s">
        <v>6321</v>
      </c>
    </row>
    <row r="1143" customFormat="false" ht="15" hidden="false" customHeight="false" outlineLevel="0" collapsed="false">
      <c r="A1143" s="22" t="s">
        <v>6322</v>
      </c>
      <c r="B1143" s="22" t="s">
        <v>6300</v>
      </c>
      <c r="C1143" s="22" t="s">
        <v>3478</v>
      </c>
      <c r="D1143" s="22" t="s">
        <v>6301</v>
      </c>
      <c r="E1143" s="22" t="s">
        <v>6302</v>
      </c>
      <c r="F1143" s="22" t="s">
        <v>6323</v>
      </c>
      <c r="G1143" s="22" t="s">
        <v>6324</v>
      </c>
      <c r="H1143" s="63" t="n">
        <v>3110</v>
      </c>
      <c r="I1143" s="22" t="s">
        <v>112</v>
      </c>
      <c r="J1143" s="22"/>
      <c r="K1143" s="63" t="n">
        <v>4122.50853726307</v>
      </c>
      <c r="L1143" s="22" t="s">
        <v>2907</v>
      </c>
      <c r="M1143" s="22" t="n">
        <v>2</v>
      </c>
      <c r="N1143" s="22" t="s">
        <v>6325</v>
      </c>
    </row>
    <row r="1144" customFormat="false" ht="15" hidden="false" customHeight="false" outlineLevel="0" collapsed="false">
      <c r="A1144" s="22" t="s">
        <v>6326</v>
      </c>
      <c r="B1144" s="22" t="s">
        <v>6300</v>
      </c>
      <c r="C1144" s="22" t="s">
        <v>3478</v>
      </c>
      <c r="D1144" s="22" t="s">
        <v>6301</v>
      </c>
      <c r="E1144" s="22" t="s">
        <v>6302</v>
      </c>
      <c r="F1144" s="22" t="s">
        <v>6327</v>
      </c>
      <c r="G1144" s="22" t="s">
        <v>732</v>
      </c>
      <c r="H1144" s="63" t="n">
        <v>52935</v>
      </c>
      <c r="I1144" s="22" t="s">
        <v>112</v>
      </c>
      <c r="J1144" s="22"/>
      <c r="K1144" s="63" t="n">
        <v>70168.8068874665</v>
      </c>
      <c r="L1144" s="22" t="s">
        <v>2984</v>
      </c>
      <c r="M1144" s="22" t="n">
        <v>1</v>
      </c>
      <c r="N1144" s="22" t="s">
        <v>6307</v>
      </c>
    </row>
    <row r="1145" customFormat="false" ht="15" hidden="false" customHeight="false" outlineLevel="0" collapsed="false">
      <c r="A1145" s="22" t="s">
        <v>6328</v>
      </c>
      <c r="B1145" s="22" t="s">
        <v>6300</v>
      </c>
      <c r="C1145" s="22" t="s">
        <v>3478</v>
      </c>
      <c r="D1145" s="22" t="s">
        <v>6301</v>
      </c>
      <c r="E1145" s="22" t="s">
        <v>6302</v>
      </c>
      <c r="F1145" s="22" t="s">
        <v>6329</v>
      </c>
      <c r="G1145" s="22" t="s">
        <v>732</v>
      </c>
      <c r="H1145" s="63" t="n">
        <v>156345</v>
      </c>
      <c r="I1145" s="22" t="s">
        <v>112</v>
      </c>
      <c r="J1145" s="22"/>
      <c r="K1145" s="63" t="n">
        <v>207245.529665079</v>
      </c>
      <c r="L1145" s="22" t="s">
        <v>2903</v>
      </c>
      <c r="M1145" s="22" t="n">
        <v>1</v>
      </c>
      <c r="N1145" s="22" t="s">
        <v>6330</v>
      </c>
    </row>
    <row r="1146" customFormat="false" ht="15" hidden="false" customHeight="false" outlineLevel="0" collapsed="false">
      <c r="A1146" s="22" t="s">
        <v>6331</v>
      </c>
      <c r="B1146" s="22" t="s">
        <v>6300</v>
      </c>
      <c r="C1146" s="22" t="s">
        <v>3478</v>
      </c>
      <c r="D1146" s="22" t="s">
        <v>6301</v>
      </c>
      <c r="E1146" s="22" t="s">
        <v>6302</v>
      </c>
      <c r="F1146" s="22" t="s">
        <v>6332</v>
      </c>
      <c r="G1146" s="22" t="s">
        <v>732</v>
      </c>
      <c r="H1146" s="63" t="n">
        <v>44793</v>
      </c>
      <c r="I1146" s="22" t="s">
        <v>112</v>
      </c>
      <c r="J1146" s="22"/>
      <c r="K1146" s="63" t="n">
        <v>59376.0530256029</v>
      </c>
      <c r="L1146" s="22" t="s">
        <v>2907</v>
      </c>
      <c r="M1146" s="22" t="n">
        <v>1</v>
      </c>
      <c r="N1146" s="22" t="s">
        <v>6307</v>
      </c>
    </row>
    <row r="1147" customFormat="false" ht="15" hidden="false" customHeight="false" outlineLevel="0" collapsed="false">
      <c r="A1147" s="22" t="s">
        <v>6333</v>
      </c>
      <c r="B1147" s="22" t="s">
        <v>6300</v>
      </c>
      <c r="C1147" s="22" t="s">
        <v>3478</v>
      </c>
      <c r="D1147" s="22" t="s">
        <v>6301</v>
      </c>
      <c r="E1147" s="22" t="s">
        <v>6302</v>
      </c>
      <c r="F1147" s="22" t="s">
        <v>6334</v>
      </c>
      <c r="G1147" s="22" t="s">
        <v>6335</v>
      </c>
      <c r="H1147" s="63" t="n">
        <v>6227</v>
      </c>
      <c r="I1147" s="22" t="s">
        <v>112</v>
      </c>
      <c r="J1147" s="22"/>
      <c r="K1147" s="63" t="n">
        <v>8254.29603264861</v>
      </c>
      <c r="L1147" s="22" t="s">
        <v>3040</v>
      </c>
      <c r="M1147" s="22" t="n">
        <v>1</v>
      </c>
      <c r="N1147" s="22" t="s">
        <v>6307</v>
      </c>
    </row>
    <row r="1148" customFormat="false" ht="15" hidden="false" customHeight="false" outlineLevel="0" collapsed="false">
      <c r="A1148" s="22" t="s">
        <v>6336</v>
      </c>
      <c r="B1148" s="22" t="s">
        <v>3477</v>
      </c>
      <c r="C1148" s="22" t="s">
        <v>3478</v>
      </c>
      <c r="D1148" s="22" t="s">
        <v>6337</v>
      </c>
      <c r="E1148" s="22" t="s">
        <v>6338</v>
      </c>
      <c r="F1148" s="22" t="s">
        <v>6339</v>
      </c>
      <c r="G1148" s="22" t="s">
        <v>727</v>
      </c>
      <c r="H1148" s="63" t="n">
        <v>14336</v>
      </c>
      <c r="I1148" s="22" t="s">
        <v>112</v>
      </c>
      <c r="J1148" s="22"/>
      <c r="K1148" s="63" t="n">
        <v>19315.7471180149</v>
      </c>
      <c r="L1148" s="22" t="s">
        <v>2907</v>
      </c>
      <c r="M1148" s="22" t="n">
        <v>1</v>
      </c>
      <c r="N1148" s="22" t="s">
        <v>6340</v>
      </c>
    </row>
    <row r="1149" customFormat="false" ht="15" hidden="false" customHeight="false" outlineLevel="0" collapsed="false">
      <c r="A1149" s="22" t="s">
        <v>6341</v>
      </c>
      <c r="B1149" s="22" t="s">
        <v>3477</v>
      </c>
      <c r="C1149" s="22" t="s">
        <v>3478</v>
      </c>
      <c r="D1149" s="22" t="s">
        <v>6337</v>
      </c>
      <c r="E1149" s="22" t="s">
        <v>6338</v>
      </c>
      <c r="F1149" s="22" t="s">
        <v>6342</v>
      </c>
      <c r="G1149" s="22" t="s">
        <v>727</v>
      </c>
      <c r="H1149" s="63" t="n">
        <v>10920</v>
      </c>
      <c r="I1149" s="22" t="s">
        <v>112</v>
      </c>
      <c r="J1149" s="22"/>
      <c r="K1149" s="63" t="n">
        <v>14713.1667500504</v>
      </c>
      <c r="L1149" s="22" t="s">
        <v>2984</v>
      </c>
      <c r="M1149" s="22" t="n">
        <v>1</v>
      </c>
      <c r="N1149" s="22" t="s">
        <v>6343</v>
      </c>
    </row>
    <row r="1150" customFormat="false" ht="15" hidden="false" customHeight="false" outlineLevel="0" collapsed="false">
      <c r="A1150" s="22" t="s">
        <v>6344</v>
      </c>
      <c r="B1150" s="22" t="s">
        <v>3477</v>
      </c>
      <c r="C1150" s="22" t="s">
        <v>3478</v>
      </c>
      <c r="D1150" s="22" t="s">
        <v>6337</v>
      </c>
      <c r="E1150" s="22" t="s">
        <v>6338</v>
      </c>
      <c r="F1150" s="22" t="s">
        <v>6345</v>
      </c>
      <c r="G1150" s="22" t="s">
        <v>727</v>
      </c>
      <c r="H1150" s="63" t="n">
        <v>3752</v>
      </c>
      <c r="I1150" s="22" t="s">
        <v>112</v>
      </c>
      <c r="J1150" s="22"/>
      <c r="K1150" s="63" t="n">
        <v>5055.29319104297</v>
      </c>
      <c r="L1150" s="22" t="s">
        <v>2984</v>
      </c>
      <c r="M1150" s="22" t="n">
        <v>2</v>
      </c>
      <c r="N1150" s="22" t="s">
        <v>6346</v>
      </c>
    </row>
    <row r="1151" customFormat="false" ht="15" hidden="false" customHeight="false" outlineLevel="0" collapsed="false">
      <c r="A1151" s="22" t="s">
        <v>6347</v>
      </c>
      <c r="B1151" s="22" t="s">
        <v>3477</v>
      </c>
      <c r="C1151" s="22" t="s">
        <v>3478</v>
      </c>
      <c r="D1151" s="22" t="s">
        <v>6337</v>
      </c>
      <c r="E1151" s="22" t="s">
        <v>6338</v>
      </c>
      <c r="F1151" s="22" t="s">
        <v>6348</v>
      </c>
      <c r="G1151" s="22" t="s">
        <v>727</v>
      </c>
      <c r="H1151" s="63" t="n">
        <v>16912</v>
      </c>
      <c r="I1151" s="22" t="s">
        <v>112</v>
      </c>
      <c r="J1151" s="22"/>
      <c r="K1151" s="63" t="n">
        <v>22786.5454282832</v>
      </c>
      <c r="L1151" s="22" t="s">
        <v>2907</v>
      </c>
      <c r="M1151" s="22" t="n">
        <v>1</v>
      </c>
      <c r="N1151" s="22" t="s">
        <v>6349</v>
      </c>
    </row>
    <row r="1152" customFormat="false" ht="15" hidden="false" customHeight="false" outlineLevel="0" collapsed="false">
      <c r="A1152" s="22" t="s">
        <v>6350</v>
      </c>
      <c r="B1152" s="22" t="s">
        <v>3477</v>
      </c>
      <c r="C1152" s="22" t="s">
        <v>3478</v>
      </c>
      <c r="D1152" s="22" t="s">
        <v>6337</v>
      </c>
      <c r="E1152" s="22" t="s">
        <v>6338</v>
      </c>
      <c r="F1152" s="22" t="s">
        <v>6351</v>
      </c>
      <c r="G1152" s="22" t="s">
        <v>727</v>
      </c>
      <c r="H1152" s="63" t="n">
        <v>69552</v>
      </c>
      <c r="I1152" s="22" t="s">
        <v>112</v>
      </c>
      <c r="J1152" s="22"/>
      <c r="K1152" s="63" t="n">
        <v>93711.5543772443</v>
      </c>
      <c r="L1152" s="22" t="s">
        <v>2907</v>
      </c>
      <c r="M1152" s="22" t="n">
        <v>1</v>
      </c>
      <c r="N1152" s="22" t="s">
        <v>6352</v>
      </c>
    </row>
    <row r="1153" customFormat="false" ht="15" hidden="false" customHeight="false" outlineLevel="0" collapsed="false">
      <c r="A1153" s="22" t="s">
        <v>6353</v>
      </c>
      <c r="B1153" s="22" t="s">
        <v>3477</v>
      </c>
      <c r="C1153" s="22" t="s">
        <v>3478</v>
      </c>
      <c r="D1153" s="22" t="s">
        <v>6337</v>
      </c>
      <c r="E1153" s="22" t="s">
        <v>6338</v>
      </c>
      <c r="F1153" s="22" t="s">
        <v>6354</v>
      </c>
      <c r="G1153" s="22" t="s">
        <v>732</v>
      </c>
      <c r="H1153" s="63" t="n">
        <v>206808</v>
      </c>
      <c r="I1153" s="22" t="s">
        <v>112</v>
      </c>
      <c r="J1153" s="22"/>
      <c r="K1153" s="63" t="n">
        <v>278644.742604801</v>
      </c>
      <c r="L1153" s="22" t="s">
        <v>2984</v>
      </c>
      <c r="M1153" s="22" t="n">
        <v>1</v>
      </c>
      <c r="N1153" s="22" t="s">
        <v>6355</v>
      </c>
    </row>
    <row r="1154" customFormat="false" ht="15" hidden="false" customHeight="false" outlineLevel="0" collapsed="false">
      <c r="A1154" s="22" t="s">
        <v>6356</v>
      </c>
      <c r="B1154" s="22" t="s">
        <v>3477</v>
      </c>
      <c r="C1154" s="22" t="s">
        <v>3478</v>
      </c>
      <c r="D1154" s="22" t="s">
        <v>6337</v>
      </c>
      <c r="E1154" s="22" t="s">
        <v>6338</v>
      </c>
      <c r="F1154" s="22" t="s">
        <v>6357</v>
      </c>
      <c r="G1154" s="22" t="s">
        <v>732</v>
      </c>
      <c r="H1154" s="63" t="n">
        <v>30464</v>
      </c>
      <c r="I1154" s="22" t="s">
        <v>112</v>
      </c>
      <c r="J1154" s="22"/>
      <c r="K1154" s="63" t="n">
        <v>41045.9626257817</v>
      </c>
      <c r="L1154" s="22" t="s">
        <v>2907</v>
      </c>
      <c r="M1154" s="22" t="n">
        <v>1</v>
      </c>
      <c r="N1154" s="22" t="s">
        <v>6355</v>
      </c>
    </row>
    <row r="1155" customFormat="false" ht="15" hidden="false" customHeight="false" outlineLevel="0" collapsed="false">
      <c r="A1155" s="22" t="s">
        <v>6358</v>
      </c>
      <c r="B1155" s="22" t="s">
        <v>3477</v>
      </c>
      <c r="C1155" s="22" t="s">
        <v>3478</v>
      </c>
      <c r="D1155" s="22" t="s">
        <v>6337</v>
      </c>
      <c r="E1155" s="22" t="s">
        <v>6338</v>
      </c>
      <c r="F1155" s="22" t="s">
        <v>6359</v>
      </c>
      <c r="G1155" s="22" t="s">
        <v>732</v>
      </c>
      <c r="H1155" s="63" t="n">
        <v>29904</v>
      </c>
      <c r="I1155" s="22" t="s">
        <v>112</v>
      </c>
      <c r="J1155" s="22"/>
      <c r="K1155" s="63" t="n">
        <v>40291.4412539843</v>
      </c>
      <c r="L1155" s="22" t="s">
        <v>2907</v>
      </c>
      <c r="M1155" s="22" t="n">
        <v>1</v>
      </c>
      <c r="N1155" s="22" t="s">
        <v>6355</v>
      </c>
    </row>
    <row r="1156" customFormat="false" ht="15" hidden="false" customHeight="false" outlineLevel="0" collapsed="false">
      <c r="A1156" s="22" t="s">
        <v>6360</v>
      </c>
      <c r="B1156" s="22" t="s">
        <v>3477</v>
      </c>
      <c r="C1156" s="22" t="s">
        <v>3478</v>
      </c>
      <c r="D1156" s="22" t="s">
        <v>6337</v>
      </c>
      <c r="E1156" s="22" t="s">
        <v>6338</v>
      </c>
      <c r="F1156" s="22" t="s">
        <v>6361</v>
      </c>
      <c r="G1156" s="22" t="s">
        <v>6362</v>
      </c>
      <c r="H1156" s="63" t="n">
        <v>3746</v>
      </c>
      <c r="I1156" s="22" t="s">
        <v>112</v>
      </c>
      <c r="J1156" s="22"/>
      <c r="K1156" s="63" t="n">
        <v>5047.209033488</v>
      </c>
      <c r="L1156" s="22" t="s">
        <v>3023</v>
      </c>
      <c r="M1156" s="22" t="n">
        <v>4</v>
      </c>
      <c r="N1156" s="22" t="s">
        <v>6363</v>
      </c>
    </row>
    <row r="1157" customFormat="false" ht="15" hidden="false" customHeight="false" outlineLevel="0" collapsed="false">
      <c r="A1157" s="22" t="s">
        <v>6364</v>
      </c>
      <c r="B1157" s="22" t="s">
        <v>3477</v>
      </c>
      <c r="C1157" s="22" t="s">
        <v>3478</v>
      </c>
      <c r="D1157" s="22" t="s">
        <v>6337</v>
      </c>
      <c r="E1157" s="22" t="s">
        <v>6338</v>
      </c>
      <c r="F1157" s="22" t="s">
        <v>6365</v>
      </c>
      <c r="G1157" s="22" t="s">
        <v>732</v>
      </c>
      <c r="H1157" s="63" t="n">
        <v>101360</v>
      </c>
      <c r="I1157" s="22" t="s">
        <v>112</v>
      </c>
      <c r="J1157" s="22"/>
      <c r="K1157" s="63" t="n">
        <v>136568.36829534</v>
      </c>
      <c r="L1157" s="22" t="s">
        <v>3066</v>
      </c>
      <c r="M1157" s="22" t="n">
        <v>1</v>
      </c>
      <c r="N1157" s="22" t="s">
        <v>6355</v>
      </c>
    </row>
    <row r="1158" customFormat="false" ht="15" hidden="false" customHeight="false" outlineLevel="0" collapsed="false">
      <c r="A1158" s="22" t="s">
        <v>6366</v>
      </c>
      <c r="B1158" s="22" t="s">
        <v>3477</v>
      </c>
      <c r="C1158" s="22" t="s">
        <v>3478</v>
      </c>
      <c r="D1158" s="22" t="s">
        <v>6337</v>
      </c>
      <c r="E1158" s="22" t="s">
        <v>6338</v>
      </c>
      <c r="F1158" s="22" t="s">
        <v>6367</v>
      </c>
      <c r="G1158" s="22" t="s">
        <v>732</v>
      </c>
      <c r="H1158" s="63" t="n">
        <v>6360</v>
      </c>
      <c r="I1158" s="22" t="s">
        <v>112</v>
      </c>
      <c r="J1158" s="22"/>
      <c r="K1158" s="63" t="n">
        <v>8569.20700827113</v>
      </c>
      <c r="L1158" s="22" t="s">
        <v>3040</v>
      </c>
      <c r="M1158" s="22" t="n">
        <v>1</v>
      </c>
      <c r="N1158" s="22" t="s">
        <v>6355</v>
      </c>
    </row>
    <row r="1159" customFormat="false" ht="15" hidden="false" customHeight="false" outlineLevel="0" collapsed="false">
      <c r="A1159" s="22" t="s">
        <v>6368</v>
      </c>
      <c r="B1159" s="22" t="s">
        <v>3477</v>
      </c>
      <c r="C1159" s="22" t="s">
        <v>3478</v>
      </c>
      <c r="D1159" s="22" t="s">
        <v>6369</v>
      </c>
      <c r="E1159" s="22" t="s">
        <v>6370</v>
      </c>
      <c r="F1159" s="22" t="s">
        <v>6371</v>
      </c>
      <c r="G1159" s="22" t="s">
        <v>727</v>
      </c>
      <c r="H1159" s="63" t="n">
        <v>28078.79</v>
      </c>
      <c r="I1159" s="22" t="s">
        <v>112</v>
      </c>
      <c r="J1159" s="22"/>
      <c r="K1159" s="63" t="n">
        <v>37832.2270521656</v>
      </c>
      <c r="L1159" s="22" t="s">
        <v>2907</v>
      </c>
      <c r="M1159" s="22" t="n">
        <v>1</v>
      </c>
      <c r="N1159" s="22" t="s">
        <v>6372</v>
      </c>
    </row>
    <row r="1160" customFormat="false" ht="15" hidden="false" customHeight="false" outlineLevel="0" collapsed="false">
      <c r="A1160" s="22" t="s">
        <v>6373</v>
      </c>
      <c r="B1160" s="22" t="s">
        <v>3477</v>
      </c>
      <c r="C1160" s="22" t="s">
        <v>3478</v>
      </c>
      <c r="D1160" s="22" t="s">
        <v>6369</v>
      </c>
      <c r="E1160" s="22" t="s">
        <v>6370</v>
      </c>
      <c r="F1160" s="22" t="s">
        <v>6374</v>
      </c>
      <c r="G1160" s="22" t="s">
        <v>727</v>
      </c>
      <c r="H1160" s="63" t="n">
        <v>2289.92</v>
      </c>
      <c r="I1160" s="22" t="s">
        <v>112</v>
      </c>
      <c r="J1160" s="22"/>
      <c r="K1160" s="63" t="n">
        <v>3085.34567804721</v>
      </c>
      <c r="L1160" s="22" t="s">
        <v>2907</v>
      </c>
      <c r="M1160" s="22" t="n">
        <v>2</v>
      </c>
      <c r="N1160" s="22" t="s">
        <v>6375</v>
      </c>
    </row>
    <row r="1161" customFormat="false" ht="15" hidden="false" customHeight="false" outlineLevel="0" collapsed="false">
      <c r="A1161" s="22" t="s">
        <v>6376</v>
      </c>
      <c r="B1161" s="22" t="s">
        <v>3477</v>
      </c>
      <c r="C1161" s="22" t="s">
        <v>3478</v>
      </c>
      <c r="D1161" s="22" t="s">
        <v>6369</v>
      </c>
      <c r="E1161" s="22" t="s">
        <v>6370</v>
      </c>
      <c r="F1161" s="22" t="s">
        <v>6377</v>
      </c>
      <c r="G1161" s="22" t="s">
        <v>727</v>
      </c>
      <c r="H1161" s="63" t="n">
        <v>121.1</v>
      </c>
      <c r="I1161" s="22" t="s">
        <v>112</v>
      </c>
      <c r="J1161" s="22"/>
      <c r="K1161" s="63" t="n">
        <v>163.1652466512</v>
      </c>
      <c r="L1161" s="22" t="s">
        <v>2907</v>
      </c>
      <c r="M1161" s="22" t="n">
        <v>2</v>
      </c>
      <c r="N1161" s="22" t="s">
        <v>6378</v>
      </c>
    </row>
    <row r="1162" customFormat="false" ht="15" hidden="false" customHeight="false" outlineLevel="0" collapsed="false">
      <c r="A1162" s="22" t="s">
        <v>6379</v>
      </c>
      <c r="B1162" s="22" t="s">
        <v>3477</v>
      </c>
      <c r="C1162" s="22" t="s">
        <v>3478</v>
      </c>
      <c r="D1162" s="22" t="s">
        <v>6369</v>
      </c>
      <c r="E1162" s="22" t="s">
        <v>6370</v>
      </c>
      <c r="F1162" s="22" t="s">
        <v>6380</v>
      </c>
      <c r="G1162" s="22" t="s">
        <v>727</v>
      </c>
      <c r="H1162" s="63" t="n">
        <v>1421.54</v>
      </c>
      <c r="I1162" s="22" t="s">
        <v>112</v>
      </c>
      <c r="J1162" s="22"/>
      <c r="K1162" s="63" t="n">
        <v>1915.325555116</v>
      </c>
      <c r="L1162" s="22" t="s">
        <v>2907</v>
      </c>
      <c r="M1162" s="22" t="n">
        <v>2</v>
      </c>
      <c r="N1162" s="22" t="s">
        <v>6375</v>
      </c>
    </row>
    <row r="1163" customFormat="false" ht="15" hidden="false" customHeight="false" outlineLevel="0" collapsed="false">
      <c r="A1163" s="22" t="s">
        <v>6381</v>
      </c>
      <c r="B1163" s="22" t="s">
        <v>3477</v>
      </c>
      <c r="C1163" s="22" t="s">
        <v>3478</v>
      </c>
      <c r="D1163" s="22" t="s">
        <v>6369</v>
      </c>
      <c r="E1163" s="22" t="s">
        <v>6370</v>
      </c>
      <c r="F1163" s="22" t="s">
        <v>6382</v>
      </c>
      <c r="G1163" s="22" t="s">
        <v>727</v>
      </c>
      <c r="H1163" s="63" t="n">
        <v>1118.08</v>
      </c>
      <c r="I1163" s="22" t="s">
        <v>112</v>
      </c>
      <c r="J1163" s="22"/>
      <c r="K1163" s="63" t="n">
        <v>1506.45581317733</v>
      </c>
      <c r="L1163" s="22" t="s">
        <v>2907</v>
      </c>
      <c r="M1163" s="22" t="n">
        <v>2</v>
      </c>
      <c r="N1163" s="22" t="s">
        <v>6375</v>
      </c>
    </row>
    <row r="1164" customFormat="false" ht="15" hidden="false" customHeight="false" outlineLevel="0" collapsed="false">
      <c r="A1164" s="22" t="s">
        <v>6383</v>
      </c>
      <c r="B1164" s="22" t="s">
        <v>3477</v>
      </c>
      <c r="C1164" s="22" t="s">
        <v>3478</v>
      </c>
      <c r="D1164" s="22" t="s">
        <v>6369</v>
      </c>
      <c r="E1164" s="22" t="s">
        <v>6370</v>
      </c>
      <c r="F1164" s="22" t="s">
        <v>6384</v>
      </c>
      <c r="G1164" s="22" t="s">
        <v>727</v>
      </c>
      <c r="H1164" s="63" t="n">
        <v>13200</v>
      </c>
      <c r="I1164" s="22" t="s">
        <v>112</v>
      </c>
      <c r="J1164" s="22"/>
      <c r="K1164" s="63" t="n">
        <v>17785.1466209401</v>
      </c>
      <c r="L1164" s="22" t="s">
        <v>2907</v>
      </c>
      <c r="M1164" s="22" t="n">
        <v>1</v>
      </c>
      <c r="N1164" s="22" t="s">
        <v>6375</v>
      </c>
    </row>
    <row r="1165" customFormat="false" ht="15" hidden="false" customHeight="false" outlineLevel="0" collapsed="false">
      <c r="A1165" s="22" t="s">
        <v>6385</v>
      </c>
      <c r="B1165" s="22" t="s">
        <v>3477</v>
      </c>
      <c r="C1165" s="22" t="s">
        <v>3478</v>
      </c>
      <c r="D1165" s="22" t="s">
        <v>6369</v>
      </c>
      <c r="E1165" s="22" t="s">
        <v>6370</v>
      </c>
      <c r="F1165" s="22" t="s">
        <v>6386</v>
      </c>
      <c r="G1165" s="22" t="s">
        <v>727</v>
      </c>
      <c r="H1165" s="63" t="n">
        <v>3600</v>
      </c>
      <c r="I1165" s="22" t="s">
        <v>112</v>
      </c>
      <c r="J1165" s="22"/>
      <c r="K1165" s="63" t="n">
        <v>4850.49453298366</v>
      </c>
      <c r="L1165" s="22" t="s">
        <v>2907</v>
      </c>
      <c r="M1165" s="22" t="n">
        <v>2</v>
      </c>
      <c r="N1165" s="22" t="s">
        <v>6387</v>
      </c>
    </row>
    <row r="1166" customFormat="false" ht="15" hidden="false" customHeight="false" outlineLevel="0" collapsed="false">
      <c r="A1166" s="22" t="s">
        <v>6388</v>
      </c>
      <c r="B1166" s="22" t="s">
        <v>3477</v>
      </c>
      <c r="C1166" s="22" t="s">
        <v>3478</v>
      </c>
      <c r="D1166" s="22" t="s">
        <v>6369</v>
      </c>
      <c r="E1166" s="22" t="s">
        <v>6370</v>
      </c>
      <c r="F1166" s="22" t="s">
        <v>6389</v>
      </c>
      <c r="G1166" s="22" t="s">
        <v>727</v>
      </c>
      <c r="H1166" s="63" t="n">
        <v>6403.17</v>
      </c>
      <c r="I1166" s="22" t="s">
        <v>112</v>
      </c>
      <c r="J1166" s="22"/>
      <c r="K1166" s="63" t="n">
        <v>8627.37252187916</v>
      </c>
      <c r="L1166" s="22" t="s">
        <v>2907</v>
      </c>
      <c r="M1166" s="22" t="n">
        <v>1</v>
      </c>
      <c r="N1166" s="22" t="s">
        <v>6390</v>
      </c>
    </row>
    <row r="1167" customFormat="false" ht="15" hidden="false" customHeight="false" outlineLevel="0" collapsed="false">
      <c r="A1167" s="22" t="s">
        <v>6391</v>
      </c>
      <c r="B1167" s="22" t="s">
        <v>3477</v>
      </c>
      <c r="C1167" s="22" t="s">
        <v>3478</v>
      </c>
      <c r="D1167" s="22" t="s">
        <v>6369</v>
      </c>
      <c r="E1167" s="22" t="s">
        <v>6370</v>
      </c>
      <c r="F1167" s="22" t="s">
        <v>6392</v>
      </c>
      <c r="G1167" s="22" t="s">
        <v>727</v>
      </c>
      <c r="H1167" s="63" t="n">
        <v>85475.93</v>
      </c>
      <c r="I1167" s="22" t="s">
        <v>112</v>
      </c>
      <c r="J1167" s="22"/>
      <c r="K1167" s="63" t="n">
        <v>115166.814212971</v>
      </c>
      <c r="L1167" s="22" t="s">
        <v>2984</v>
      </c>
      <c r="M1167" s="22" t="n">
        <v>1</v>
      </c>
      <c r="N1167" s="22" t="s">
        <v>6393</v>
      </c>
    </row>
    <row r="1168" customFormat="false" ht="15" hidden="false" customHeight="false" outlineLevel="0" collapsed="false">
      <c r="A1168" s="22" t="s">
        <v>6394</v>
      </c>
      <c r="B1168" s="22" t="s">
        <v>3477</v>
      </c>
      <c r="C1168" s="22" t="s">
        <v>3478</v>
      </c>
      <c r="D1168" s="22" t="s">
        <v>6369</v>
      </c>
      <c r="E1168" s="22" t="s">
        <v>6370</v>
      </c>
      <c r="F1168" s="22" t="s">
        <v>6395</v>
      </c>
      <c r="G1168" s="22" t="s">
        <v>727</v>
      </c>
      <c r="H1168" s="63" t="n">
        <v>648.9</v>
      </c>
      <c r="I1168" s="22" t="s">
        <v>112</v>
      </c>
      <c r="J1168" s="22"/>
      <c r="K1168" s="63" t="n">
        <v>874.301639570305</v>
      </c>
      <c r="L1168" s="22" t="s">
        <v>2984</v>
      </c>
      <c r="M1168" s="22" t="n">
        <v>1</v>
      </c>
      <c r="N1168" s="22" t="s">
        <v>6393</v>
      </c>
    </row>
    <row r="1169" customFormat="false" ht="15" hidden="false" customHeight="false" outlineLevel="0" collapsed="false">
      <c r="A1169" s="22" t="s">
        <v>6396</v>
      </c>
      <c r="B1169" s="22" t="s">
        <v>3477</v>
      </c>
      <c r="C1169" s="22" t="s">
        <v>3478</v>
      </c>
      <c r="D1169" s="22" t="s">
        <v>6369</v>
      </c>
      <c r="E1169" s="22" t="s">
        <v>6370</v>
      </c>
      <c r="F1169" s="22" t="s">
        <v>6397</v>
      </c>
      <c r="G1169" s="22" t="s">
        <v>727</v>
      </c>
      <c r="H1169" s="63" t="n">
        <v>878.69</v>
      </c>
      <c r="I1169" s="22" t="s">
        <v>112</v>
      </c>
      <c r="J1169" s="22"/>
      <c r="K1169" s="63" t="n">
        <v>1183.91140032984</v>
      </c>
      <c r="L1169" s="22" t="s">
        <v>2984</v>
      </c>
      <c r="M1169" s="22" t="n">
        <v>1</v>
      </c>
      <c r="N1169" s="22" t="s">
        <v>6393</v>
      </c>
    </row>
    <row r="1170" customFormat="false" ht="15" hidden="false" customHeight="false" outlineLevel="0" collapsed="false">
      <c r="A1170" s="22" t="s">
        <v>6398</v>
      </c>
      <c r="B1170" s="22" t="s">
        <v>3477</v>
      </c>
      <c r="C1170" s="22" t="s">
        <v>3478</v>
      </c>
      <c r="D1170" s="22" t="s">
        <v>6369</v>
      </c>
      <c r="E1170" s="22" t="s">
        <v>6370</v>
      </c>
      <c r="F1170" s="22" t="s">
        <v>6399</v>
      </c>
      <c r="G1170" s="22" t="s">
        <v>727</v>
      </c>
      <c r="H1170" s="63" t="n">
        <v>1502.73</v>
      </c>
      <c r="I1170" s="22" t="s">
        <v>112</v>
      </c>
      <c r="J1170" s="22"/>
      <c r="K1170" s="63" t="n">
        <v>2024.7176804307</v>
      </c>
      <c r="L1170" s="22" t="s">
        <v>2984</v>
      </c>
      <c r="M1170" s="22" t="n">
        <v>1</v>
      </c>
      <c r="N1170" s="22" t="s">
        <v>6393</v>
      </c>
    </row>
    <row r="1171" customFormat="false" ht="15" hidden="false" customHeight="false" outlineLevel="0" collapsed="false">
      <c r="A1171" s="22" t="s">
        <v>6400</v>
      </c>
      <c r="B1171" s="22" t="s">
        <v>3477</v>
      </c>
      <c r="C1171" s="22" t="s">
        <v>3478</v>
      </c>
      <c r="D1171" s="22" t="s">
        <v>6369</v>
      </c>
      <c r="E1171" s="22" t="s">
        <v>6370</v>
      </c>
      <c r="F1171" s="22" t="s">
        <v>6401</v>
      </c>
      <c r="G1171" s="22" t="s">
        <v>727</v>
      </c>
      <c r="H1171" s="63" t="n">
        <v>11200</v>
      </c>
      <c r="I1171" s="22" t="s">
        <v>112</v>
      </c>
      <c r="J1171" s="22"/>
      <c r="K1171" s="63" t="n">
        <v>15090.4274359492</v>
      </c>
      <c r="L1171" s="22" t="s">
        <v>2984</v>
      </c>
      <c r="M1171" s="22" t="n">
        <v>1</v>
      </c>
      <c r="N1171" s="22" t="s">
        <v>6393</v>
      </c>
    </row>
    <row r="1172" customFormat="false" ht="15" hidden="false" customHeight="false" outlineLevel="0" collapsed="false">
      <c r="A1172" s="22" t="s">
        <v>6402</v>
      </c>
      <c r="B1172" s="22" t="s">
        <v>3492</v>
      </c>
      <c r="C1172" s="22" t="s">
        <v>3431</v>
      </c>
      <c r="D1172" s="22" t="s">
        <v>6403</v>
      </c>
      <c r="E1172" s="22" t="s">
        <v>5025</v>
      </c>
      <c r="F1172" s="22" t="s">
        <v>6404</v>
      </c>
      <c r="G1172" s="22" t="s">
        <v>6405</v>
      </c>
      <c r="H1172" s="63" t="n">
        <v>2287.55</v>
      </c>
      <c r="I1172" s="22" t="s">
        <v>112</v>
      </c>
      <c r="J1172" s="22"/>
      <c r="K1172" s="63" t="n">
        <v>2969.24101143232</v>
      </c>
      <c r="L1172" s="22" t="s">
        <v>2907</v>
      </c>
      <c r="M1172" s="22" t="n">
        <v>2</v>
      </c>
      <c r="N1172" s="22" t="s">
        <v>6406</v>
      </c>
    </row>
    <row r="1173" customFormat="false" ht="15" hidden="false" customHeight="false" outlineLevel="0" collapsed="false">
      <c r="A1173" s="22" t="s">
        <v>6407</v>
      </c>
      <c r="B1173" s="22" t="s">
        <v>3492</v>
      </c>
      <c r="C1173" s="22" t="s">
        <v>3431</v>
      </c>
      <c r="D1173" s="22" t="s">
        <v>6403</v>
      </c>
      <c r="E1173" s="22" t="s">
        <v>5025</v>
      </c>
      <c r="F1173" s="22" t="s">
        <v>6408</v>
      </c>
      <c r="G1173" s="22" t="s">
        <v>6409</v>
      </c>
      <c r="H1173" s="63" t="n">
        <v>1.13</v>
      </c>
      <c r="I1173" s="22" t="s">
        <v>112</v>
      </c>
      <c r="J1173" s="22"/>
      <c r="K1173" s="63" t="n">
        <v>1.46674054902342</v>
      </c>
      <c r="L1173" s="22" t="s">
        <v>2907</v>
      </c>
      <c r="M1173" s="22" t="n">
        <v>3</v>
      </c>
      <c r="N1173" s="22" t="s">
        <v>6410</v>
      </c>
    </row>
    <row r="1174" customFormat="false" ht="15" hidden="false" customHeight="false" outlineLevel="0" collapsed="false">
      <c r="A1174" s="22" t="s">
        <v>6411</v>
      </c>
      <c r="B1174" s="22" t="s">
        <v>3492</v>
      </c>
      <c r="C1174" s="22" t="s">
        <v>3431</v>
      </c>
      <c r="D1174" s="22" t="s">
        <v>6403</v>
      </c>
      <c r="E1174" s="22" t="s">
        <v>5025</v>
      </c>
      <c r="F1174" s="22" t="s">
        <v>6412</v>
      </c>
      <c r="G1174" s="22" t="s">
        <v>6409</v>
      </c>
      <c r="H1174" s="63" t="n">
        <v>1.88</v>
      </c>
      <c r="I1174" s="22" t="s">
        <v>112</v>
      </c>
      <c r="J1174" s="22"/>
      <c r="K1174" s="63" t="n">
        <v>2.44024091341949</v>
      </c>
      <c r="L1174" s="22"/>
      <c r="M1174" s="22" t="n">
        <v>3</v>
      </c>
      <c r="N1174" s="22" t="s">
        <v>6410</v>
      </c>
    </row>
    <row r="1175" customFormat="false" ht="15" hidden="false" customHeight="false" outlineLevel="0" collapsed="false">
      <c r="A1175" s="22" t="s">
        <v>6413</v>
      </c>
      <c r="B1175" s="22" t="s">
        <v>3492</v>
      </c>
      <c r="C1175" s="22" t="s">
        <v>3431</v>
      </c>
      <c r="D1175" s="22" t="s">
        <v>6403</v>
      </c>
      <c r="E1175" s="22" t="s">
        <v>5025</v>
      </c>
      <c r="F1175" s="22" t="s">
        <v>6414</v>
      </c>
      <c r="G1175" s="22" t="s">
        <v>6405</v>
      </c>
      <c r="H1175" s="63" t="n">
        <v>4821.64</v>
      </c>
      <c r="I1175" s="22" t="s">
        <v>112</v>
      </c>
      <c r="J1175" s="22"/>
      <c r="K1175" s="63" t="n">
        <v>6258.49106264892</v>
      </c>
      <c r="L1175" s="22"/>
      <c r="M1175" s="22" t="n">
        <v>7</v>
      </c>
      <c r="N1175" s="22" t="s">
        <v>6415</v>
      </c>
    </row>
    <row r="1176" customFormat="false" ht="15" hidden="false" customHeight="false" outlineLevel="0" collapsed="false">
      <c r="A1176" s="22" t="s">
        <v>6416</v>
      </c>
      <c r="B1176" s="22" t="s">
        <v>5133</v>
      </c>
      <c r="C1176" s="22" t="s">
        <v>3478</v>
      </c>
      <c r="D1176" s="22" t="s">
        <v>6417</v>
      </c>
      <c r="E1176" s="22" t="s">
        <v>5135</v>
      </c>
      <c r="F1176" s="22" t="s">
        <v>6418</v>
      </c>
      <c r="G1176" s="22" t="s">
        <v>727</v>
      </c>
      <c r="H1176" s="63" t="n">
        <v>13280</v>
      </c>
      <c r="I1176" s="22" t="s">
        <v>601</v>
      </c>
      <c r="J1176" s="22"/>
      <c r="K1176" s="63" t="n">
        <v>6257.71492919763</v>
      </c>
      <c r="L1176" s="22" t="s">
        <v>2907</v>
      </c>
      <c r="M1176" s="22" t="n">
        <v>1</v>
      </c>
      <c r="N1176" s="22" t="s">
        <v>6419</v>
      </c>
    </row>
    <row r="1177" customFormat="false" ht="15" hidden="false" customHeight="false" outlineLevel="0" collapsed="false">
      <c r="A1177" s="22" t="s">
        <v>6420</v>
      </c>
      <c r="B1177" s="22" t="s">
        <v>5133</v>
      </c>
      <c r="C1177" s="22" t="s">
        <v>3478</v>
      </c>
      <c r="D1177" s="22" t="s">
        <v>6417</v>
      </c>
      <c r="E1177" s="22" t="s">
        <v>5135</v>
      </c>
      <c r="F1177" s="22" t="s">
        <v>6421</v>
      </c>
      <c r="G1177" s="22" t="s">
        <v>727</v>
      </c>
      <c r="H1177" s="63" t="n">
        <v>15425</v>
      </c>
      <c r="I1177" s="22" t="s">
        <v>601</v>
      </c>
      <c r="J1177" s="22"/>
      <c r="K1177" s="63" t="n">
        <v>7268.46783003565</v>
      </c>
      <c r="L1177" s="22" t="s">
        <v>2907</v>
      </c>
      <c r="M1177" s="22" t="n">
        <v>1</v>
      </c>
      <c r="N1177" s="22" t="s">
        <v>6419</v>
      </c>
    </row>
    <row r="1178" customFormat="false" ht="15" hidden="false" customHeight="false" outlineLevel="0" collapsed="false">
      <c r="A1178" s="22" t="s">
        <v>6422</v>
      </c>
      <c r="B1178" s="22" t="s">
        <v>5133</v>
      </c>
      <c r="C1178" s="22" t="s">
        <v>3478</v>
      </c>
      <c r="D1178" s="22" t="s">
        <v>6417</v>
      </c>
      <c r="E1178" s="22" t="s">
        <v>5135</v>
      </c>
      <c r="F1178" s="22" t="s">
        <v>6423</v>
      </c>
      <c r="G1178" s="22" t="s">
        <v>727</v>
      </c>
      <c r="H1178" s="63" t="n">
        <v>17890</v>
      </c>
      <c r="I1178" s="22" t="s">
        <v>601</v>
      </c>
      <c r="J1178" s="22"/>
      <c r="K1178" s="63" t="n">
        <v>8430.0090424206</v>
      </c>
      <c r="L1178" s="22" t="s">
        <v>2907</v>
      </c>
      <c r="M1178" s="22" t="n">
        <v>1</v>
      </c>
      <c r="N1178" s="22" t="s">
        <v>6419</v>
      </c>
    </row>
    <row r="1179" customFormat="false" ht="15" hidden="false" customHeight="false" outlineLevel="0" collapsed="false">
      <c r="A1179" s="22" t="s">
        <v>6424</v>
      </c>
      <c r="B1179" s="22" t="s">
        <v>5133</v>
      </c>
      <c r="C1179" s="22" t="s">
        <v>3478</v>
      </c>
      <c r="D1179" s="22" t="s">
        <v>6417</v>
      </c>
      <c r="E1179" s="22" t="s">
        <v>5135</v>
      </c>
      <c r="F1179" s="22" t="s">
        <v>6425</v>
      </c>
      <c r="G1179" s="22" t="s">
        <v>727</v>
      </c>
      <c r="H1179" s="63" t="n">
        <v>21960</v>
      </c>
      <c r="I1179" s="22" t="s">
        <v>601</v>
      </c>
      <c r="J1179" s="22"/>
      <c r="K1179" s="63" t="n">
        <v>10347.8478799081</v>
      </c>
      <c r="L1179" s="22" t="s">
        <v>2907</v>
      </c>
      <c r="M1179" s="22" t="n">
        <v>1</v>
      </c>
      <c r="N1179" s="22" t="s">
        <v>6419</v>
      </c>
    </row>
    <row r="1180" customFormat="false" ht="15" hidden="false" customHeight="false" outlineLevel="0" collapsed="false">
      <c r="A1180" s="22" t="s">
        <v>6426</v>
      </c>
      <c r="B1180" s="22" t="s">
        <v>5133</v>
      </c>
      <c r="C1180" s="22" t="s">
        <v>3478</v>
      </c>
      <c r="D1180" s="22" t="s">
        <v>6417</v>
      </c>
      <c r="E1180" s="22" t="s">
        <v>5135</v>
      </c>
      <c r="F1180" s="22" t="s">
        <v>6427</v>
      </c>
      <c r="G1180" s="22" t="s">
        <v>727</v>
      </c>
      <c r="H1180" s="63" t="n">
        <v>17280</v>
      </c>
      <c r="I1180" s="22" t="s">
        <v>601</v>
      </c>
      <c r="J1180" s="22"/>
      <c r="K1180" s="63" t="n">
        <v>8142.56882353427</v>
      </c>
      <c r="L1180" s="22" t="s">
        <v>2907</v>
      </c>
      <c r="M1180" s="22" t="n">
        <v>1</v>
      </c>
      <c r="N1180" s="22" t="s">
        <v>6419</v>
      </c>
    </row>
    <row r="1181" customFormat="false" ht="15" hidden="false" customHeight="false" outlineLevel="0" collapsed="false">
      <c r="A1181" s="22" t="s">
        <v>6428</v>
      </c>
      <c r="B1181" s="22" t="s">
        <v>4606</v>
      </c>
      <c r="C1181" s="22" t="s">
        <v>3478</v>
      </c>
      <c r="D1181" s="22" t="s">
        <v>6337</v>
      </c>
      <c r="E1181" s="22" t="s">
        <v>6429</v>
      </c>
      <c r="F1181" s="22" t="s">
        <v>6430</v>
      </c>
      <c r="G1181" s="22" t="s">
        <v>727</v>
      </c>
      <c r="H1181" s="63" t="n">
        <v>13800</v>
      </c>
      <c r="I1181" s="22" t="s">
        <v>112</v>
      </c>
      <c r="J1181" s="22"/>
      <c r="K1181" s="63" t="n">
        <v>18483.5633610749</v>
      </c>
      <c r="L1181" s="22" t="s">
        <v>2907</v>
      </c>
      <c r="M1181" s="22" t="n">
        <v>1</v>
      </c>
      <c r="N1181" s="22" t="s">
        <v>6431</v>
      </c>
    </row>
    <row r="1182" customFormat="false" ht="15" hidden="false" customHeight="false" outlineLevel="0" collapsed="false">
      <c r="A1182" s="22" t="s">
        <v>6432</v>
      </c>
      <c r="B1182" s="22" t="s">
        <v>4606</v>
      </c>
      <c r="C1182" s="22" t="s">
        <v>3478</v>
      </c>
      <c r="D1182" s="22" t="s">
        <v>6337</v>
      </c>
      <c r="E1182" s="22" t="s">
        <v>6429</v>
      </c>
      <c r="F1182" s="22" t="s">
        <v>6433</v>
      </c>
      <c r="G1182" s="22" t="s">
        <v>727</v>
      </c>
      <c r="H1182" s="63" t="n">
        <v>39100</v>
      </c>
      <c r="I1182" s="22" t="s">
        <v>112</v>
      </c>
      <c r="J1182" s="22"/>
      <c r="K1182" s="63" t="n">
        <v>52370.0961897122</v>
      </c>
      <c r="L1182" s="22" t="s">
        <v>2907</v>
      </c>
      <c r="M1182" s="22" t="n">
        <v>1</v>
      </c>
      <c r="N1182" s="22" t="s">
        <v>6434</v>
      </c>
    </row>
    <row r="1183" customFormat="false" ht="15" hidden="false" customHeight="false" outlineLevel="0" collapsed="false">
      <c r="A1183" s="22" t="s">
        <v>6435</v>
      </c>
      <c r="B1183" s="22" t="s">
        <v>4606</v>
      </c>
      <c r="C1183" s="22" t="s">
        <v>3478</v>
      </c>
      <c r="D1183" s="22" t="s">
        <v>6337</v>
      </c>
      <c r="E1183" s="22" t="s">
        <v>6429</v>
      </c>
      <c r="F1183" s="22" t="s">
        <v>6436</v>
      </c>
      <c r="G1183" s="22" t="s">
        <v>6312</v>
      </c>
      <c r="H1183" s="63" t="n">
        <v>6910</v>
      </c>
      <c r="I1183" s="22" t="s">
        <v>112</v>
      </c>
      <c r="J1183" s="22"/>
      <c r="K1183" s="63" t="n">
        <v>9255.17556703098</v>
      </c>
      <c r="L1183" s="22" t="s">
        <v>3023</v>
      </c>
      <c r="M1183" s="22" t="n">
        <v>4</v>
      </c>
      <c r="N1183" s="22" t="s">
        <v>6431</v>
      </c>
    </row>
    <row r="1184" customFormat="false" ht="15" hidden="false" customHeight="false" outlineLevel="0" collapsed="false">
      <c r="A1184" s="22" t="s">
        <v>6437</v>
      </c>
      <c r="B1184" s="22" t="s">
        <v>4606</v>
      </c>
      <c r="C1184" s="22" t="s">
        <v>3478</v>
      </c>
      <c r="D1184" s="22" t="s">
        <v>6337</v>
      </c>
      <c r="E1184" s="22" t="s">
        <v>6429</v>
      </c>
      <c r="F1184" s="22" t="s">
        <v>6438</v>
      </c>
      <c r="G1184" s="22" t="s">
        <v>6312</v>
      </c>
      <c r="H1184" s="63" t="n">
        <v>2200</v>
      </c>
      <c r="I1184" s="22" t="s">
        <v>112</v>
      </c>
      <c r="J1184" s="22"/>
      <c r="K1184" s="63" t="n">
        <v>2946.65502857716</v>
      </c>
      <c r="L1184" s="22" t="s">
        <v>3023</v>
      </c>
      <c r="M1184" s="22" t="n">
        <v>1</v>
      </c>
      <c r="N1184" s="22" t="s">
        <v>6431</v>
      </c>
    </row>
    <row r="1185" customFormat="false" ht="15" hidden="false" customHeight="false" outlineLevel="0" collapsed="false">
      <c r="A1185" s="22" t="s">
        <v>6439</v>
      </c>
      <c r="B1185" s="22" t="s">
        <v>4606</v>
      </c>
      <c r="C1185" s="22" t="s">
        <v>3478</v>
      </c>
      <c r="D1185" s="22" t="s">
        <v>6337</v>
      </c>
      <c r="E1185" s="22" t="s">
        <v>6429</v>
      </c>
      <c r="F1185" s="22" t="s">
        <v>6440</v>
      </c>
      <c r="G1185" s="22" t="s">
        <v>6312</v>
      </c>
      <c r="H1185" s="63" t="n">
        <v>1400</v>
      </c>
      <c r="I1185" s="22" t="s">
        <v>112</v>
      </c>
      <c r="J1185" s="22"/>
      <c r="K1185" s="63" t="n">
        <v>1875.14410909456</v>
      </c>
      <c r="L1185" s="22" t="s">
        <v>3023</v>
      </c>
      <c r="M1185" s="22" t="n">
        <v>1</v>
      </c>
      <c r="N1185" s="22" t="s">
        <v>6431</v>
      </c>
    </row>
    <row r="1186" customFormat="false" ht="15" hidden="false" customHeight="false" outlineLevel="0" collapsed="false">
      <c r="A1186" s="22" t="s">
        <v>6441</v>
      </c>
      <c r="B1186" s="22" t="s">
        <v>6442</v>
      </c>
      <c r="C1186" s="22" t="s">
        <v>3440</v>
      </c>
      <c r="D1186" s="22" t="s">
        <v>6443</v>
      </c>
      <c r="E1186" s="22" t="s">
        <v>6444</v>
      </c>
      <c r="F1186" s="22" t="s">
        <v>6445</v>
      </c>
      <c r="G1186" s="22"/>
      <c r="H1186" s="63" t="n">
        <v>8372.86</v>
      </c>
      <c r="I1186" s="22" t="s">
        <v>112</v>
      </c>
      <c r="J1186" s="22" t="s">
        <v>4226</v>
      </c>
      <c r="K1186" s="63" t="n">
        <v>11924.7621918947</v>
      </c>
      <c r="L1186" s="22" t="s">
        <v>3040</v>
      </c>
      <c r="M1186" s="22" t="n">
        <v>1</v>
      </c>
      <c r="N1186" s="22" t="s">
        <v>6446</v>
      </c>
    </row>
    <row r="1187" customFormat="false" ht="15" hidden="false" customHeight="false" outlineLevel="0" collapsed="false">
      <c r="A1187" s="22" t="s">
        <v>6447</v>
      </c>
      <c r="B1187" s="22" t="s">
        <v>4093</v>
      </c>
      <c r="C1187" s="22" t="s">
        <v>3431</v>
      </c>
      <c r="D1187" s="22" t="s">
        <v>6295</v>
      </c>
      <c r="E1187" s="22" t="s">
        <v>6448</v>
      </c>
      <c r="F1187" s="22" t="s">
        <v>6449</v>
      </c>
      <c r="G1187" s="22"/>
      <c r="H1187" s="63" t="n">
        <v>6597.26</v>
      </c>
      <c r="I1187" s="22" t="s">
        <v>112</v>
      </c>
      <c r="J1187" s="22" t="s">
        <v>4226</v>
      </c>
      <c r="K1187" s="63" t="n">
        <v>9159.58545254963</v>
      </c>
      <c r="L1187" s="22" t="s">
        <v>3040</v>
      </c>
      <c r="M1187" s="22" t="n">
        <v>1</v>
      </c>
      <c r="N1187" s="22" t="s">
        <v>6450</v>
      </c>
    </row>
  </sheetData>
  <autoFilter ref="A4:N1187"/>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34"/>
    <col collapsed="false" customWidth="true" hidden="false" outlineLevel="0" max="4" min="4" style="0" width="7"/>
    <col collapsed="false" customWidth="true" hidden="false" outlineLevel="0" max="5" min="5" style="0" width="20"/>
    <col collapsed="false" customWidth="true" hidden="false" outlineLevel="0" max="6" min="6" style="0" width="15"/>
    <col collapsed="false" customWidth="true" hidden="false" outlineLevel="0" max="7" min="7" style="0" width="11"/>
    <col collapsed="false" customWidth="true" hidden="false" outlineLevel="0" max="8" min="8" style="0" width="9"/>
    <col collapsed="false" customWidth="true" hidden="false" outlineLevel="0" max="9" min="9" style="0" width="34"/>
    <col collapsed="false" customWidth="true" hidden="false" outlineLevel="0" max="10" min="10" style="0" width="40"/>
  </cols>
  <sheetData>
    <row r="1" customFormat="false" ht="16.15" hidden="false" customHeight="false" outlineLevel="0" collapsed="false">
      <c r="A1" s="1" t="s">
        <v>6451</v>
      </c>
    </row>
    <row r="3" customFormat="false" ht="15" hidden="false" customHeight="false" outlineLevel="0" collapsed="false">
      <c r="A3" s="19" t="s">
        <v>6452</v>
      </c>
      <c r="B3" s="22" t="n">
        <v>302</v>
      </c>
      <c r="D3" s="64" t="s">
        <v>6453</v>
      </c>
      <c r="E3" s="64"/>
      <c r="F3" s="64"/>
      <c r="G3" s="64"/>
      <c r="H3" s="64"/>
      <c r="I3" s="64"/>
      <c r="J3" s="64"/>
    </row>
    <row r="5" customFormat="false" ht="35.05" hidden="false" customHeight="false" outlineLevel="0" collapsed="false">
      <c r="A5" s="3" t="s">
        <v>110</v>
      </c>
      <c r="B5" s="3" t="s">
        <v>6454</v>
      </c>
      <c r="C5" s="3" t="s">
        <v>6455</v>
      </c>
      <c r="D5" s="3" t="s">
        <v>6456</v>
      </c>
      <c r="E5" s="3" t="s">
        <v>6457</v>
      </c>
      <c r="F5" s="3" t="s">
        <v>6458</v>
      </c>
      <c r="G5" s="3" t="s">
        <v>6459</v>
      </c>
      <c r="H5" s="3" t="s">
        <v>6460</v>
      </c>
      <c r="I5" s="3" t="s">
        <v>6461</v>
      </c>
      <c r="J5" s="3" t="s">
        <v>724</v>
      </c>
    </row>
    <row r="6" customFormat="false" ht="26.85" hidden="false" customHeight="false" outlineLevel="0" collapsed="false">
      <c r="A6" s="7" t="s">
        <v>6462</v>
      </c>
      <c r="B6" s="7" t="s">
        <v>6463</v>
      </c>
      <c r="C6" s="7" t="s">
        <v>6464</v>
      </c>
      <c r="D6" s="7" t="s">
        <v>6465</v>
      </c>
      <c r="E6" s="7" t="s">
        <v>6466</v>
      </c>
      <c r="F6" s="37" t="s">
        <v>6467</v>
      </c>
      <c r="G6" s="7" t="s">
        <v>6468</v>
      </c>
      <c r="H6" s="7" t="s">
        <v>6469</v>
      </c>
      <c r="I6" s="7" t="s">
        <v>6470</v>
      </c>
      <c r="J6" s="7" t="s">
        <v>6471</v>
      </c>
    </row>
    <row r="7" customFormat="false" ht="26.85" hidden="false" customHeight="false" outlineLevel="0" collapsed="false">
      <c r="A7" s="7" t="s">
        <v>6472</v>
      </c>
      <c r="B7" s="7" t="s">
        <v>6473</v>
      </c>
      <c r="C7" s="7" t="s">
        <v>6474</v>
      </c>
      <c r="D7" s="7" t="s">
        <v>6465</v>
      </c>
      <c r="E7" s="7" t="s">
        <v>6466</v>
      </c>
      <c r="F7" s="65" t="s">
        <v>6475</v>
      </c>
      <c r="G7" s="7" t="s">
        <v>6468</v>
      </c>
      <c r="H7" s="7" t="s">
        <v>6469</v>
      </c>
      <c r="I7" s="7" t="s">
        <v>6476</v>
      </c>
      <c r="J7" s="7"/>
    </row>
    <row r="8" customFormat="false" ht="26.85" hidden="false" customHeight="false" outlineLevel="0" collapsed="false">
      <c r="A8" s="7" t="s">
        <v>6477</v>
      </c>
      <c r="B8" s="7" t="s">
        <v>6473</v>
      </c>
      <c r="C8" s="7" t="s">
        <v>6474</v>
      </c>
      <c r="D8" s="7" t="s">
        <v>6465</v>
      </c>
      <c r="E8" s="7" t="s">
        <v>6466</v>
      </c>
      <c r="F8" s="65" t="s">
        <v>6475</v>
      </c>
      <c r="G8" s="7" t="s">
        <v>6468</v>
      </c>
      <c r="H8" s="7" t="s">
        <v>6469</v>
      </c>
      <c r="I8" s="7" t="s">
        <v>6478</v>
      </c>
      <c r="J8" s="7"/>
    </row>
    <row r="9" customFormat="false" ht="26.85" hidden="false" customHeight="false" outlineLevel="0" collapsed="false">
      <c r="A9" s="7" t="s">
        <v>6479</v>
      </c>
      <c r="B9" s="7" t="s">
        <v>6463</v>
      </c>
      <c r="C9" s="7" t="s">
        <v>6480</v>
      </c>
      <c r="D9" s="7" t="s">
        <v>6465</v>
      </c>
      <c r="E9" s="7" t="s">
        <v>6466</v>
      </c>
      <c r="F9" s="65" t="s">
        <v>6475</v>
      </c>
      <c r="G9" s="7" t="s">
        <v>6468</v>
      </c>
      <c r="H9" s="7" t="s">
        <v>6469</v>
      </c>
      <c r="I9" s="7" t="s">
        <v>6481</v>
      </c>
      <c r="J9" s="7" t="s">
        <v>6482</v>
      </c>
    </row>
    <row r="10" customFormat="false" ht="26.85" hidden="false" customHeight="false" outlineLevel="0" collapsed="false">
      <c r="A10" s="7" t="s">
        <v>6483</v>
      </c>
      <c r="B10" s="7" t="s">
        <v>6484</v>
      </c>
      <c r="C10" s="7" t="s">
        <v>6485</v>
      </c>
      <c r="D10" s="7" t="s">
        <v>6465</v>
      </c>
      <c r="E10" s="7" t="s">
        <v>6466</v>
      </c>
      <c r="F10" s="65" t="s">
        <v>6475</v>
      </c>
      <c r="G10" s="7" t="s">
        <v>6468</v>
      </c>
      <c r="H10" s="7" t="s">
        <v>6469</v>
      </c>
      <c r="I10" s="7" t="s">
        <v>6486</v>
      </c>
      <c r="J10" s="7"/>
    </row>
    <row r="11" customFormat="false" ht="26.85" hidden="false" customHeight="false" outlineLevel="0" collapsed="false">
      <c r="A11" s="7" t="s">
        <v>6487</v>
      </c>
      <c r="B11" s="7" t="s">
        <v>6488</v>
      </c>
      <c r="C11" s="7" t="s">
        <v>6489</v>
      </c>
      <c r="D11" s="7" t="s">
        <v>6465</v>
      </c>
      <c r="E11" s="7" t="s">
        <v>6466</v>
      </c>
      <c r="F11" s="65" t="s">
        <v>6475</v>
      </c>
      <c r="G11" s="7" t="s">
        <v>6468</v>
      </c>
      <c r="H11" s="7" t="s">
        <v>6469</v>
      </c>
      <c r="I11" s="7" t="s">
        <v>6490</v>
      </c>
      <c r="J11" s="7"/>
    </row>
    <row r="12" customFormat="false" ht="64.9" hidden="false" customHeight="false" outlineLevel="0" collapsed="false">
      <c r="A12" s="7" t="s">
        <v>6491</v>
      </c>
      <c r="B12" s="7" t="s">
        <v>6492</v>
      </c>
      <c r="C12" s="7" t="s">
        <v>6493</v>
      </c>
      <c r="D12" s="7" t="s">
        <v>6494</v>
      </c>
      <c r="E12" s="7" t="s">
        <v>6466</v>
      </c>
      <c r="F12" s="66" t="s">
        <v>6495</v>
      </c>
      <c r="G12" s="7" t="s">
        <v>6496</v>
      </c>
      <c r="H12" s="7" t="s">
        <v>6469</v>
      </c>
      <c r="I12" s="7" t="s">
        <v>6497</v>
      </c>
      <c r="J12" s="7" t="s">
        <v>6498</v>
      </c>
    </row>
    <row r="13" customFormat="false" ht="26.85" hidden="false" customHeight="false" outlineLevel="0" collapsed="false">
      <c r="A13" s="7" t="s">
        <v>6499</v>
      </c>
      <c r="B13" s="7" t="s">
        <v>6473</v>
      </c>
      <c r="C13" s="7" t="s">
        <v>6474</v>
      </c>
      <c r="D13" s="7" t="s">
        <v>6465</v>
      </c>
      <c r="E13" s="7" t="s">
        <v>6466</v>
      </c>
      <c r="F13" s="65" t="s">
        <v>6475</v>
      </c>
      <c r="G13" s="7" t="s">
        <v>6468</v>
      </c>
      <c r="H13" s="7" t="s">
        <v>6469</v>
      </c>
      <c r="I13" s="7" t="s">
        <v>6500</v>
      </c>
      <c r="J13" s="7"/>
    </row>
    <row r="14" customFormat="false" ht="26.85" hidden="false" customHeight="false" outlineLevel="0" collapsed="false">
      <c r="A14" s="7" t="s">
        <v>6501</v>
      </c>
      <c r="B14" s="7" t="s">
        <v>6463</v>
      </c>
      <c r="C14" s="7" t="s">
        <v>6502</v>
      </c>
      <c r="D14" s="7" t="s">
        <v>6465</v>
      </c>
      <c r="E14" s="7" t="s">
        <v>6466</v>
      </c>
      <c r="F14" s="65" t="s">
        <v>6475</v>
      </c>
      <c r="G14" s="7" t="s">
        <v>6468</v>
      </c>
      <c r="H14" s="7" t="s">
        <v>6469</v>
      </c>
      <c r="I14" s="7" t="s">
        <v>6503</v>
      </c>
      <c r="J14" s="7"/>
    </row>
    <row r="15" customFormat="false" ht="26.85" hidden="false" customHeight="false" outlineLevel="0" collapsed="false">
      <c r="A15" s="7" t="s">
        <v>6504</v>
      </c>
      <c r="B15" s="7" t="s">
        <v>6463</v>
      </c>
      <c r="C15" s="7" t="s">
        <v>6505</v>
      </c>
      <c r="D15" s="7" t="s">
        <v>6465</v>
      </c>
      <c r="E15" s="7" t="s">
        <v>6466</v>
      </c>
      <c r="F15" s="65" t="s">
        <v>6475</v>
      </c>
      <c r="G15" s="7" t="s">
        <v>6468</v>
      </c>
      <c r="H15" s="7" t="s">
        <v>6469</v>
      </c>
      <c r="I15" s="7" t="s">
        <v>6506</v>
      </c>
      <c r="J15" s="7"/>
    </row>
    <row r="16" customFormat="false" ht="26.85" hidden="false" customHeight="false" outlineLevel="0" collapsed="false">
      <c r="A16" s="7" t="s">
        <v>6507</v>
      </c>
      <c r="B16" s="7" t="s">
        <v>6484</v>
      </c>
      <c r="C16" s="7" t="s">
        <v>6508</v>
      </c>
      <c r="D16" s="7" t="s">
        <v>6465</v>
      </c>
      <c r="E16" s="7" t="s">
        <v>6466</v>
      </c>
      <c r="F16" s="65" t="s">
        <v>6475</v>
      </c>
      <c r="G16" s="7" t="s">
        <v>6468</v>
      </c>
      <c r="H16" s="7" t="s">
        <v>6509</v>
      </c>
      <c r="I16" s="7" t="s">
        <v>6510</v>
      </c>
      <c r="J16" s="7"/>
    </row>
    <row r="17" customFormat="false" ht="26.85" hidden="false" customHeight="false" outlineLevel="0" collapsed="false">
      <c r="A17" s="7" t="s">
        <v>6511</v>
      </c>
      <c r="B17" s="7" t="s">
        <v>6484</v>
      </c>
      <c r="C17" s="7" t="s">
        <v>6512</v>
      </c>
      <c r="D17" s="7" t="s">
        <v>6465</v>
      </c>
      <c r="E17" s="7" t="s">
        <v>6466</v>
      </c>
      <c r="F17" s="65" t="s">
        <v>6475</v>
      </c>
      <c r="G17" s="7" t="s">
        <v>6468</v>
      </c>
      <c r="H17" s="7" t="s">
        <v>6469</v>
      </c>
      <c r="I17" s="7" t="s">
        <v>6513</v>
      </c>
      <c r="J17" s="7"/>
    </row>
    <row r="18" customFormat="false" ht="39.55" hidden="false" customHeight="false" outlineLevel="0" collapsed="false">
      <c r="A18" s="7" t="s">
        <v>6514</v>
      </c>
      <c r="B18" s="7" t="s">
        <v>6463</v>
      </c>
      <c r="C18" s="7" t="s">
        <v>6515</v>
      </c>
      <c r="D18" s="7" t="s">
        <v>6465</v>
      </c>
      <c r="E18" s="7" t="s">
        <v>6466</v>
      </c>
      <c r="F18" s="67" t="s">
        <v>6516</v>
      </c>
      <c r="G18" s="7" t="s">
        <v>6468</v>
      </c>
      <c r="H18" s="7" t="s">
        <v>6469</v>
      </c>
      <c r="I18" s="7" t="s">
        <v>6517</v>
      </c>
      <c r="J18" s="7" t="s">
        <v>6518</v>
      </c>
    </row>
    <row r="19" customFormat="false" ht="39.55" hidden="false" customHeight="false" outlineLevel="0" collapsed="false">
      <c r="A19" s="7" t="s">
        <v>6519</v>
      </c>
      <c r="B19" s="7" t="s">
        <v>6463</v>
      </c>
      <c r="C19" s="7" t="s">
        <v>6520</v>
      </c>
      <c r="D19" s="7" t="s">
        <v>6465</v>
      </c>
      <c r="E19" s="7" t="s">
        <v>6466</v>
      </c>
      <c r="F19" s="67" t="s">
        <v>6516</v>
      </c>
      <c r="G19" s="7" t="s">
        <v>6468</v>
      </c>
      <c r="H19" s="7" t="s">
        <v>6469</v>
      </c>
      <c r="I19" s="7" t="s">
        <v>6521</v>
      </c>
      <c r="J19" s="7" t="s">
        <v>6522</v>
      </c>
    </row>
    <row r="20" customFormat="false" ht="26.85" hidden="false" customHeight="false" outlineLevel="0" collapsed="false">
      <c r="A20" s="7" t="s">
        <v>6523</v>
      </c>
      <c r="B20" s="7" t="s">
        <v>6463</v>
      </c>
      <c r="C20" s="7" t="s">
        <v>6524</v>
      </c>
      <c r="D20" s="7" t="s">
        <v>6465</v>
      </c>
      <c r="E20" s="7" t="s">
        <v>6525</v>
      </c>
      <c r="F20" s="65" t="s">
        <v>6475</v>
      </c>
      <c r="G20" s="7" t="s">
        <v>6468</v>
      </c>
      <c r="H20" s="7" t="s">
        <v>6509</v>
      </c>
      <c r="I20" s="7" t="s">
        <v>6526</v>
      </c>
      <c r="J20" s="7"/>
    </row>
    <row r="21" customFormat="false" ht="26.85" hidden="false" customHeight="false" outlineLevel="0" collapsed="false">
      <c r="A21" s="7" t="s">
        <v>6527</v>
      </c>
      <c r="B21" s="7" t="s">
        <v>6473</v>
      </c>
      <c r="C21" s="7" t="s">
        <v>6528</v>
      </c>
      <c r="D21" s="7" t="s">
        <v>6465</v>
      </c>
      <c r="E21" s="7" t="s">
        <v>6466</v>
      </c>
      <c r="F21" s="65" t="s">
        <v>6475</v>
      </c>
      <c r="G21" s="7" t="s">
        <v>6468</v>
      </c>
      <c r="H21" s="7" t="s">
        <v>6509</v>
      </c>
      <c r="I21" s="7" t="s">
        <v>6529</v>
      </c>
      <c r="J21" s="7"/>
    </row>
    <row r="22" customFormat="false" ht="64.9" hidden="false" customHeight="false" outlineLevel="0" collapsed="false">
      <c r="A22" s="7" t="s">
        <v>6530</v>
      </c>
      <c r="B22" s="7" t="s">
        <v>6484</v>
      </c>
      <c r="C22" s="7" t="s">
        <v>6531</v>
      </c>
      <c r="D22" s="7" t="s">
        <v>6465</v>
      </c>
      <c r="E22" s="7" t="s">
        <v>6466</v>
      </c>
      <c r="F22" s="67" t="s">
        <v>6532</v>
      </c>
      <c r="G22" s="7" t="s">
        <v>6468</v>
      </c>
      <c r="H22" s="7" t="s">
        <v>6469</v>
      </c>
      <c r="I22" s="7" t="s">
        <v>6533</v>
      </c>
      <c r="J22" s="7" t="s">
        <v>6534</v>
      </c>
    </row>
    <row r="23" customFormat="false" ht="26.85" hidden="false" customHeight="false" outlineLevel="0" collapsed="false">
      <c r="A23" s="7" t="s">
        <v>6535</v>
      </c>
      <c r="B23" s="7" t="s">
        <v>6473</v>
      </c>
      <c r="C23" s="7" t="s">
        <v>6474</v>
      </c>
      <c r="D23" s="7" t="s">
        <v>6465</v>
      </c>
      <c r="E23" s="7" t="s">
        <v>6466</v>
      </c>
      <c r="F23" s="65" t="s">
        <v>6475</v>
      </c>
      <c r="G23" s="7" t="s">
        <v>6468</v>
      </c>
      <c r="H23" s="7" t="s">
        <v>6469</v>
      </c>
      <c r="I23" s="7" t="s">
        <v>6536</v>
      </c>
      <c r="J23" s="7"/>
    </row>
    <row r="24" customFormat="false" ht="26.85" hidden="false" customHeight="false" outlineLevel="0" collapsed="false">
      <c r="A24" s="7" t="s">
        <v>6537</v>
      </c>
      <c r="B24" s="7" t="s">
        <v>6473</v>
      </c>
      <c r="C24" s="7" t="s">
        <v>6474</v>
      </c>
      <c r="D24" s="7" t="s">
        <v>6465</v>
      </c>
      <c r="E24" s="7" t="s">
        <v>6466</v>
      </c>
      <c r="F24" s="65" t="s">
        <v>6475</v>
      </c>
      <c r="G24" s="7" t="s">
        <v>6468</v>
      </c>
      <c r="H24" s="7" t="s">
        <v>6509</v>
      </c>
      <c r="I24" s="7" t="s">
        <v>6538</v>
      </c>
      <c r="J24" s="7"/>
    </row>
    <row r="25" customFormat="false" ht="26.85" hidden="false" customHeight="false" outlineLevel="0" collapsed="false">
      <c r="A25" s="7" t="s">
        <v>6539</v>
      </c>
      <c r="B25" s="7" t="s">
        <v>6473</v>
      </c>
      <c r="C25" s="7" t="s">
        <v>6474</v>
      </c>
      <c r="D25" s="7" t="s">
        <v>6465</v>
      </c>
      <c r="E25" s="7" t="s">
        <v>6466</v>
      </c>
      <c r="F25" s="65" t="s">
        <v>6475</v>
      </c>
      <c r="G25" s="7" t="s">
        <v>6468</v>
      </c>
      <c r="H25" s="7" t="s">
        <v>6469</v>
      </c>
      <c r="I25" s="7" t="s">
        <v>6540</v>
      </c>
      <c r="J25" s="7"/>
    </row>
    <row r="26" customFormat="false" ht="26.85" hidden="false" customHeight="false" outlineLevel="0" collapsed="false">
      <c r="A26" s="7" t="s">
        <v>6541</v>
      </c>
      <c r="B26" s="7" t="s">
        <v>6473</v>
      </c>
      <c r="C26" s="7" t="s">
        <v>6542</v>
      </c>
      <c r="D26" s="7" t="s">
        <v>6465</v>
      </c>
      <c r="E26" s="7" t="s">
        <v>6543</v>
      </c>
      <c r="F26" s="65" t="s">
        <v>6475</v>
      </c>
      <c r="G26" s="7" t="s">
        <v>6468</v>
      </c>
      <c r="H26" s="7" t="s">
        <v>6509</v>
      </c>
      <c r="I26" s="7" t="s">
        <v>6544</v>
      </c>
      <c r="J26" s="7"/>
    </row>
    <row r="27" customFormat="false" ht="26.85" hidden="false" customHeight="false" outlineLevel="0" collapsed="false">
      <c r="A27" s="7" t="s">
        <v>6545</v>
      </c>
      <c r="B27" s="7" t="s">
        <v>6463</v>
      </c>
      <c r="C27" s="7" t="s">
        <v>6546</v>
      </c>
      <c r="D27" s="7" t="s">
        <v>6465</v>
      </c>
      <c r="E27" s="7" t="s">
        <v>6466</v>
      </c>
      <c r="F27" s="65" t="s">
        <v>6475</v>
      </c>
      <c r="G27" s="7" t="s">
        <v>6468</v>
      </c>
      <c r="H27" s="7" t="s">
        <v>6469</v>
      </c>
      <c r="I27" s="7" t="s">
        <v>6547</v>
      </c>
      <c r="J27" s="7"/>
    </row>
    <row r="28" customFormat="false" ht="26.85" hidden="false" customHeight="false" outlineLevel="0" collapsed="false">
      <c r="A28" s="7" t="s">
        <v>6548</v>
      </c>
      <c r="B28" s="7" t="s">
        <v>6473</v>
      </c>
      <c r="C28" s="7" t="s">
        <v>6542</v>
      </c>
      <c r="D28" s="7" t="s">
        <v>6465</v>
      </c>
      <c r="E28" s="7" t="s">
        <v>6543</v>
      </c>
      <c r="F28" s="66" t="s">
        <v>6495</v>
      </c>
      <c r="G28" s="7" t="s">
        <v>6468</v>
      </c>
      <c r="H28" s="7" t="s">
        <v>6509</v>
      </c>
      <c r="I28" s="7" t="s">
        <v>6549</v>
      </c>
      <c r="J28" s="7" t="s">
        <v>6550</v>
      </c>
    </row>
    <row r="29" customFormat="false" ht="26.85" hidden="false" customHeight="false" outlineLevel="0" collapsed="false">
      <c r="A29" s="7" t="s">
        <v>6551</v>
      </c>
      <c r="B29" s="7" t="s">
        <v>6463</v>
      </c>
      <c r="C29" s="7" t="s">
        <v>6552</v>
      </c>
      <c r="D29" s="7" t="s">
        <v>6465</v>
      </c>
      <c r="E29" s="7" t="s">
        <v>6466</v>
      </c>
      <c r="F29" s="37" t="s">
        <v>6467</v>
      </c>
      <c r="G29" s="7" t="s">
        <v>6553</v>
      </c>
      <c r="H29" s="7" t="s">
        <v>6469</v>
      </c>
      <c r="I29" s="7" t="s">
        <v>6554</v>
      </c>
      <c r="J29" s="7" t="s">
        <v>6555</v>
      </c>
    </row>
    <row r="30" customFormat="false" ht="26.85" hidden="false" customHeight="false" outlineLevel="0" collapsed="false">
      <c r="A30" s="7" t="s">
        <v>6556</v>
      </c>
      <c r="B30" s="7" t="s">
        <v>6488</v>
      </c>
      <c r="C30" s="7" t="s">
        <v>6489</v>
      </c>
      <c r="D30" s="7" t="s">
        <v>6465</v>
      </c>
      <c r="E30" s="7" t="s">
        <v>6466</v>
      </c>
      <c r="F30" s="37" t="s">
        <v>6467</v>
      </c>
      <c r="G30" s="7" t="s">
        <v>6468</v>
      </c>
      <c r="H30" s="7" t="s">
        <v>6469</v>
      </c>
      <c r="I30" s="7" t="s">
        <v>6557</v>
      </c>
      <c r="J30" s="7" t="s">
        <v>6558</v>
      </c>
    </row>
    <row r="31" customFormat="false" ht="26.85" hidden="false" customHeight="false" outlineLevel="0" collapsed="false">
      <c r="A31" s="7" t="s">
        <v>6559</v>
      </c>
      <c r="B31" s="7" t="s">
        <v>6473</v>
      </c>
      <c r="C31" s="7" t="s">
        <v>6474</v>
      </c>
      <c r="D31" s="7" t="s">
        <v>6465</v>
      </c>
      <c r="E31" s="7" t="s">
        <v>6466</v>
      </c>
      <c r="F31" s="65" t="s">
        <v>6475</v>
      </c>
      <c r="G31" s="7" t="s">
        <v>6468</v>
      </c>
      <c r="H31" s="7" t="s">
        <v>6469</v>
      </c>
      <c r="I31" s="7" t="s">
        <v>6560</v>
      </c>
      <c r="J31" s="7"/>
    </row>
    <row r="32" customFormat="false" ht="26.85" hidden="false" customHeight="false" outlineLevel="0" collapsed="false">
      <c r="A32" s="7" t="s">
        <v>6561</v>
      </c>
      <c r="B32" s="7" t="s">
        <v>6473</v>
      </c>
      <c r="C32" s="7" t="s">
        <v>6474</v>
      </c>
      <c r="D32" s="7" t="s">
        <v>6465</v>
      </c>
      <c r="E32" s="7" t="s">
        <v>6466</v>
      </c>
      <c r="F32" s="65" t="s">
        <v>6475</v>
      </c>
      <c r="G32" s="7" t="s">
        <v>6468</v>
      </c>
      <c r="H32" s="7" t="s">
        <v>6469</v>
      </c>
      <c r="I32" s="7" t="s">
        <v>6562</v>
      </c>
      <c r="J32" s="7"/>
    </row>
    <row r="33" customFormat="false" ht="26.85" hidden="false" customHeight="false" outlineLevel="0" collapsed="false">
      <c r="A33" s="7" t="s">
        <v>6563</v>
      </c>
      <c r="B33" s="7" t="s">
        <v>6463</v>
      </c>
      <c r="C33" s="7" t="s">
        <v>6564</v>
      </c>
      <c r="D33" s="7" t="s">
        <v>6465</v>
      </c>
      <c r="E33" s="7" t="s">
        <v>6466</v>
      </c>
      <c r="F33" s="65" t="s">
        <v>6475</v>
      </c>
      <c r="G33" s="7" t="s">
        <v>6468</v>
      </c>
      <c r="H33" s="7" t="s">
        <v>6469</v>
      </c>
      <c r="I33" s="7" t="s">
        <v>6565</v>
      </c>
      <c r="J33" s="7"/>
    </row>
    <row r="34" customFormat="false" ht="26.85" hidden="false" customHeight="false" outlineLevel="0" collapsed="false">
      <c r="A34" s="7" t="s">
        <v>6566</v>
      </c>
      <c r="B34" s="7" t="s">
        <v>6484</v>
      </c>
      <c r="C34" s="7" t="s">
        <v>6567</v>
      </c>
      <c r="D34" s="7" t="s">
        <v>6465</v>
      </c>
      <c r="E34" s="7" t="s">
        <v>6466</v>
      </c>
      <c r="F34" s="65" t="s">
        <v>6475</v>
      </c>
      <c r="G34" s="7" t="s">
        <v>6468</v>
      </c>
      <c r="H34" s="7" t="s">
        <v>6469</v>
      </c>
      <c r="I34" s="7" t="s">
        <v>6568</v>
      </c>
      <c r="J34" s="7"/>
    </row>
    <row r="35" customFormat="false" ht="26.85" hidden="false" customHeight="false" outlineLevel="0" collapsed="false">
      <c r="A35" s="7" t="s">
        <v>6569</v>
      </c>
      <c r="B35" s="7" t="s">
        <v>6484</v>
      </c>
      <c r="C35" s="7" t="s">
        <v>6570</v>
      </c>
      <c r="D35" s="7" t="s">
        <v>6465</v>
      </c>
      <c r="E35" s="7" t="s">
        <v>6466</v>
      </c>
      <c r="F35" s="65" t="s">
        <v>6475</v>
      </c>
      <c r="G35" s="7" t="s">
        <v>6468</v>
      </c>
      <c r="H35" s="7" t="s">
        <v>6469</v>
      </c>
      <c r="I35" s="7" t="s">
        <v>6571</v>
      </c>
      <c r="J35" s="7"/>
    </row>
    <row r="36" customFormat="false" ht="26.85" hidden="false" customHeight="false" outlineLevel="0" collapsed="false">
      <c r="A36" s="7" t="s">
        <v>6572</v>
      </c>
      <c r="B36" s="7" t="s">
        <v>6473</v>
      </c>
      <c r="C36" s="7" t="s">
        <v>6474</v>
      </c>
      <c r="D36" s="7" t="s">
        <v>6465</v>
      </c>
      <c r="E36" s="7" t="s">
        <v>6466</v>
      </c>
      <c r="F36" s="65" t="s">
        <v>6475</v>
      </c>
      <c r="G36" s="7" t="s">
        <v>6553</v>
      </c>
      <c r="H36" s="7" t="s">
        <v>6469</v>
      </c>
      <c r="I36" s="7" t="s">
        <v>6573</v>
      </c>
      <c r="J36" s="7"/>
    </row>
    <row r="37" customFormat="false" ht="26.85" hidden="false" customHeight="false" outlineLevel="0" collapsed="false">
      <c r="A37" s="7" t="s">
        <v>6574</v>
      </c>
      <c r="B37" s="7" t="s">
        <v>6484</v>
      </c>
      <c r="C37" s="7" t="s">
        <v>6575</v>
      </c>
      <c r="D37" s="7" t="s">
        <v>6465</v>
      </c>
      <c r="E37" s="7" t="s">
        <v>6466</v>
      </c>
      <c r="F37" s="66" t="s">
        <v>6495</v>
      </c>
      <c r="G37" s="7" t="s">
        <v>6468</v>
      </c>
      <c r="H37" s="7" t="s">
        <v>6469</v>
      </c>
      <c r="I37" s="7" t="s">
        <v>6576</v>
      </c>
      <c r="J37" s="7" t="s">
        <v>6577</v>
      </c>
    </row>
    <row r="38" customFormat="false" ht="26.85" hidden="false" customHeight="false" outlineLevel="0" collapsed="false">
      <c r="A38" s="7" t="s">
        <v>6578</v>
      </c>
      <c r="B38" s="7" t="s">
        <v>6492</v>
      </c>
      <c r="C38" s="7" t="s">
        <v>6579</v>
      </c>
      <c r="D38" s="7" t="s">
        <v>6580</v>
      </c>
      <c r="E38" s="7" t="s">
        <v>6466</v>
      </c>
      <c r="F38" s="67" t="s">
        <v>6532</v>
      </c>
      <c r="G38" s="7" t="s">
        <v>6468</v>
      </c>
      <c r="H38" s="7" t="s">
        <v>6469</v>
      </c>
      <c r="I38" s="7" t="s">
        <v>6581</v>
      </c>
      <c r="J38" s="7" t="s">
        <v>6582</v>
      </c>
    </row>
    <row r="39" customFormat="false" ht="26.85" hidden="false" customHeight="false" outlineLevel="0" collapsed="false">
      <c r="A39" s="7" t="s">
        <v>6583</v>
      </c>
      <c r="B39" s="7" t="s">
        <v>6473</v>
      </c>
      <c r="C39" s="7" t="s">
        <v>6584</v>
      </c>
      <c r="D39" s="7" t="s">
        <v>6465</v>
      </c>
      <c r="E39" s="7" t="s">
        <v>6466</v>
      </c>
      <c r="F39" s="65" t="s">
        <v>6475</v>
      </c>
      <c r="G39" s="7" t="s">
        <v>6468</v>
      </c>
      <c r="H39" s="7" t="s">
        <v>6469</v>
      </c>
      <c r="I39" s="7" t="s">
        <v>6585</v>
      </c>
      <c r="J39" s="7"/>
    </row>
    <row r="40" customFormat="false" ht="26.85" hidden="false" customHeight="false" outlineLevel="0" collapsed="false">
      <c r="A40" s="7" t="s">
        <v>6586</v>
      </c>
      <c r="B40" s="7" t="s">
        <v>6488</v>
      </c>
      <c r="C40" s="7" t="s">
        <v>6489</v>
      </c>
      <c r="D40" s="7" t="s">
        <v>6465</v>
      </c>
      <c r="E40" s="7" t="s">
        <v>6466</v>
      </c>
      <c r="F40" s="65" t="s">
        <v>6475</v>
      </c>
      <c r="G40" s="7" t="s">
        <v>6553</v>
      </c>
      <c r="H40" s="7" t="s">
        <v>6469</v>
      </c>
      <c r="I40" s="7" t="s">
        <v>6587</v>
      </c>
      <c r="J40" s="7"/>
    </row>
    <row r="41" customFormat="false" ht="64.9" hidden="false" customHeight="false" outlineLevel="0" collapsed="false">
      <c r="A41" s="7" t="s">
        <v>6588</v>
      </c>
      <c r="B41" s="7" t="s">
        <v>6484</v>
      </c>
      <c r="C41" s="7" t="s">
        <v>6589</v>
      </c>
      <c r="D41" s="7" t="s">
        <v>6465</v>
      </c>
      <c r="E41" s="7" t="s">
        <v>6466</v>
      </c>
      <c r="F41" s="65" t="s">
        <v>6475</v>
      </c>
      <c r="G41" s="7" t="s">
        <v>6553</v>
      </c>
      <c r="H41" s="7" t="s">
        <v>6469</v>
      </c>
      <c r="I41" s="7" t="s">
        <v>6590</v>
      </c>
      <c r="J41" s="7"/>
    </row>
    <row r="42" customFormat="false" ht="26.85" hidden="false" customHeight="false" outlineLevel="0" collapsed="false">
      <c r="A42" s="7" t="s">
        <v>6591</v>
      </c>
      <c r="B42" s="7" t="s">
        <v>6484</v>
      </c>
      <c r="C42" s="7" t="s">
        <v>6592</v>
      </c>
      <c r="D42" s="7" t="s">
        <v>6465</v>
      </c>
      <c r="E42" s="7" t="s">
        <v>6466</v>
      </c>
      <c r="F42" s="65" t="s">
        <v>6475</v>
      </c>
      <c r="G42" s="7" t="s">
        <v>6468</v>
      </c>
      <c r="H42" s="7" t="s">
        <v>6469</v>
      </c>
      <c r="I42" s="7" t="s">
        <v>6593</v>
      </c>
      <c r="J42" s="7"/>
    </row>
    <row r="43" customFormat="false" ht="26.85" hidden="false" customHeight="false" outlineLevel="0" collapsed="false">
      <c r="A43" s="7" t="s">
        <v>6594</v>
      </c>
      <c r="B43" s="7" t="s">
        <v>6473</v>
      </c>
      <c r="C43" s="7" t="s">
        <v>6474</v>
      </c>
      <c r="D43" s="7" t="s">
        <v>6465</v>
      </c>
      <c r="E43" s="7" t="s">
        <v>6466</v>
      </c>
      <c r="F43" s="65" t="s">
        <v>6475</v>
      </c>
      <c r="G43" s="7" t="s">
        <v>6468</v>
      </c>
      <c r="H43" s="7" t="s">
        <v>6469</v>
      </c>
      <c r="I43" s="7" t="s">
        <v>6595</v>
      </c>
      <c r="J43" s="7"/>
    </row>
    <row r="44" customFormat="false" ht="26.85" hidden="false" customHeight="false" outlineLevel="0" collapsed="false">
      <c r="A44" s="7" t="s">
        <v>6596</v>
      </c>
      <c r="B44" s="7" t="s">
        <v>6473</v>
      </c>
      <c r="C44" s="7" t="s">
        <v>6474</v>
      </c>
      <c r="D44" s="7" t="s">
        <v>6465</v>
      </c>
      <c r="E44" s="7" t="s">
        <v>6466</v>
      </c>
      <c r="F44" s="65" t="s">
        <v>6475</v>
      </c>
      <c r="G44" s="7" t="s">
        <v>6553</v>
      </c>
      <c r="H44" s="7" t="s">
        <v>6469</v>
      </c>
      <c r="I44" s="7" t="s">
        <v>6597</v>
      </c>
      <c r="J44" s="7"/>
    </row>
    <row r="45" customFormat="false" ht="26.85" hidden="false" customHeight="false" outlineLevel="0" collapsed="false">
      <c r="A45" s="7" t="s">
        <v>6598</v>
      </c>
      <c r="B45" s="7" t="s">
        <v>6488</v>
      </c>
      <c r="C45" s="7" t="s">
        <v>6489</v>
      </c>
      <c r="D45" s="7" t="s">
        <v>6465</v>
      </c>
      <c r="E45" s="7" t="s">
        <v>6466</v>
      </c>
      <c r="F45" s="65" t="s">
        <v>6475</v>
      </c>
      <c r="G45" s="7" t="s">
        <v>6553</v>
      </c>
      <c r="H45" s="7" t="s">
        <v>6469</v>
      </c>
      <c r="I45" s="7" t="s">
        <v>6599</v>
      </c>
      <c r="J45" s="7"/>
    </row>
    <row r="46" customFormat="false" ht="26.85" hidden="false" customHeight="false" outlineLevel="0" collapsed="false">
      <c r="A46" s="7" t="s">
        <v>6600</v>
      </c>
      <c r="B46" s="7" t="s">
        <v>6484</v>
      </c>
      <c r="C46" s="7" t="s">
        <v>6601</v>
      </c>
      <c r="D46" s="7" t="s">
        <v>6465</v>
      </c>
      <c r="E46" s="7" t="s">
        <v>6466</v>
      </c>
      <c r="F46" s="65" t="s">
        <v>6475</v>
      </c>
      <c r="G46" s="7" t="s">
        <v>6468</v>
      </c>
      <c r="H46" s="7" t="s">
        <v>6469</v>
      </c>
      <c r="I46" s="7" t="s">
        <v>6602</v>
      </c>
      <c r="J46" s="7"/>
    </row>
    <row r="47" customFormat="false" ht="39.55" hidden="false" customHeight="false" outlineLevel="0" collapsed="false">
      <c r="A47" s="7" t="s">
        <v>6603</v>
      </c>
      <c r="B47" s="7" t="s">
        <v>6473</v>
      </c>
      <c r="C47" s="7" t="s">
        <v>6604</v>
      </c>
      <c r="D47" s="7" t="s">
        <v>6465</v>
      </c>
      <c r="E47" s="7" t="s">
        <v>6605</v>
      </c>
      <c r="F47" s="65" t="s">
        <v>6475</v>
      </c>
      <c r="G47" s="7" t="s">
        <v>6468</v>
      </c>
      <c r="H47" s="7" t="s">
        <v>6509</v>
      </c>
      <c r="I47" s="7" t="s">
        <v>6606</v>
      </c>
      <c r="J47" s="7"/>
    </row>
    <row r="48" customFormat="false" ht="26.85" hidden="false" customHeight="false" outlineLevel="0" collapsed="false">
      <c r="A48" s="7" t="s">
        <v>6607</v>
      </c>
      <c r="B48" s="7" t="s">
        <v>6608</v>
      </c>
      <c r="C48" s="7" t="s">
        <v>6609</v>
      </c>
      <c r="D48" s="7" t="s">
        <v>6465</v>
      </c>
      <c r="E48" s="7" t="s">
        <v>6466</v>
      </c>
      <c r="F48" s="65" t="s">
        <v>6475</v>
      </c>
      <c r="G48" s="7" t="s">
        <v>6553</v>
      </c>
      <c r="H48" s="7" t="s">
        <v>6469</v>
      </c>
      <c r="I48" s="7" t="s">
        <v>6610</v>
      </c>
      <c r="J48" s="7"/>
    </row>
    <row r="49" customFormat="false" ht="26.85" hidden="false" customHeight="false" outlineLevel="0" collapsed="false">
      <c r="A49" s="7" t="s">
        <v>6611</v>
      </c>
      <c r="B49" s="7" t="s">
        <v>6488</v>
      </c>
      <c r="C49" s="7" t="s">
        <v>6489</v>
      </c>
      <c r="D49" s="7" t="s">
        <v>6465</v>
      </c>
      <c r="E49" s="7" t="s">
        <v>6466</v>
      </c>
      <c r="F49" s="65" t="s">
        <v>6475</v>
      </c>
      <c r="G49" s="7" t="s">
        <v>6468</v>
      </c>
      <c r="H49" s="7" t="s">
        <v>6469</v>
      </c>
      <c r="I49" s="7" t="s">
        <v>6612</v>
      </c>
      <c r="J49" s="7"/>
    </row>
    <row r="50" customFormat="false" ht="26.85" hidden="false" customHeight="false" outlineLevel="0" collapsed="false">
      <c r="A50" s="7" t="s">
        <v>6613</v>
      </c>
      <c r="B50" s="7" t="s">
        <v>6473</v>
      </c>
      <c r="C50" s="7" t="s">
        <v>6474</v>
      </c>
      <c r="D50" s="7" t="s">
        <v>6465</v>
      </c>
      <c r="E50" s="7" t="s">
        <v>6466</v>
      </c>
      <c r="F50" s="65" t="s">
        <v>6475</v>
      </c>
      <c r="G50" s="7" t="s">
        <v>6553</v>
      </c>
      <c r="H50" s="7" t="s">
        <v>6469</v>
      </c>
      <c r="I50" s="7" t="s">
        <v>6614</v>
      </c>
      <c r="J50" s="7"/>
    </row>
    <row r="51" customFormat="false" ht="26.85" hidden="false" customHeight="false" outlineLevel="0" collapsed="false">
      <c r="A51" s="7" t="s">
        <v>6615</v>
      </c>
      <c r="B51" s="7" t="s">
        <v>6484</v>
      </c>
      <c r="C51" s="7" t="s">
        <v>6616</v>
      </c>
      <c r="D51" s="7" t="s">
        <v>6465</v>
      </c>
      <c r="E51" s="7" t="s">
        <v>6466</v>
      </c>
      <c r="F51" s="65" t="s">
        <v>6475</v>
      </c>
      <c r="G51" s="7" t="s">
        <v>6468</v>
      </c>
      <c r="H51" s="7" t="s">
        <v>6469</v>
      </c>
      <c r="I51" s="7" t="s">
        <v>6617</v>
      </c>
      <c r="J51" s="7"/>
    </row>
    <row r="52" customFormat="false" ht="26.85" hidden="false" customHeight="false" outlineLevel="0" collapsed="false">
      <c r="A52" s="7" t="s">
        <v>6618</v>
      </c>
      <c r="B52" s="7" t="s">
        <v>6473</v>
      </c>
      <c r="C52" s="7" t="s">
        <v>6474</v>
      </c>
      <c r="D52" s="7" t="s">
        <v>6465</v>
      </c>
      <c r="E52" s="7" t="s">
        <v>6466</v>
      </c>
      <c r="F52" s="65" t="s">
        <v>6475</v>
      </c>
      <c r="G52" s="7" t="s">
        <v>6553</v>
      </c>
      <c r="H52" s="7" t="s">
        <v>6469</v>
      </c>
      <c r="I52" s="7" t="s">
        <v>6619</v>
      </c>
      <c r="J52" s="7"/>
    </row>
    <row r="53" customFormat="false" ht="26.85" hidden="false" customHeight="false" outlineLevel="0" collapsed="false">
      <c r="A53" s="7" t="s">
        <v>6620</v>
      </c>
      <c r="B53" s="7" t="s">
        <v>6473</v>
      </c>
      <c r="C53" s="7" t="s">
        <v>6474</v>
      </c>
      <c r="D53" s="7" t="s">
        <v>6465</v>
      </c>
      <c r="E53" s="7" t="s">
        <v>6466</v>
      </c>
      <c r="F53" s="65" t="s">
        <v>6475</v>
      </c>
      <c r="G53" s="7" t="s">
        <v>6553</v>
      </c>
      <c r="H53" s="7" t="s">
        <v>6469</v>
      </c>
      <c r="I53" s="7" t="s">
        <v>6621</v>
      </c>
      <c r="J53" s="7"/>
    </row>
    <row r="54" customFormat="false" ht="26.85" hidden="false" customHeight="false" outlineLevel="0" collapsed="false">
      <c r="A54" s="7" t="s">
        <v>6622</v>
      </c>
      <c r="B54" s="7" t="s">
        <v>6463</v>
      </c>
      <c r="C54" s="7" t="s">
        <v>6623</v>
      </c>
      <c r="D54" s="7" t="s">
        <v>6465</v>
      </c>
      <c r="E54" s="7" t="s">
        <v>6466</v>
      </c>
      <c r="F54" s="65" t="s">
        <v>6475</v>
      </c>
      <c r="G54" s="7" t="s">
        <v>6468</v>
      </c>
      <c r="H54" s="7" t="s">
        <v>6509</v>
      </c>
      <c r="I54" s="7" t="s">
        <v>6624</v>
      </c>
      <c r="J54" s="7"/>
    </row>
    <row r="55" customFormat="false" ht="26.85" hidden="false" customHeight="false" outlineLevel="0" collapsed="false">
      <c r="A55" s="7" t="s">
        <v>6625</v>
      </c>
      <c r="B55" s="7" t="s">
        <v>6473</v>
      </c>
      <c r="C55" s="7" t="s">
        <v>6474</v>
      </c>
      <c r="D55" s="7" t="s">
        <v>6465</v>
      </c>
      <c r="E55" s="7" t="s">
        <v>6466</v>
      </c>
      <c r="F55" s="65" t="s">
        <v>6475</v>
      </c>
      <c r="G55" s="7" t="s">
        <v>6468</v>
      </c>
      <c r="H55" s="7" t="s">
        <v>6469</v>
      </c>
      <c r="I55" s="7" t="s">
        <v>6626</v>
      </c>
      <c r="J55" s="7"/>
    </row>
    <row r="56" customFormat="false" ht="26.85" hidden="false" customHeight="false" outlineLevel="0" collapsed="false">
      <c r="A56" s="7" t="s">
        <v>6627</v>
      </c>
      <c r="B56" s="7" t="s">
        <v>6473</v>
      </c>
      <c r="C56" s="7" t="s">
        <v>6474</v>
      </c>
      <c r="D56" s="7" t="s">
        <v>6465</v>
      </c>
      <c r="E56" s="7" t="s">
        <v>6466</v>
      </c>
      <c r="F56" s="65" t="s">
        <v>6475</v>
      </c>
      <c r="G56" s="7" t="s">
        <v>6468</v>
      </c>
      <c r="H56" s="7" t="s">
        <v>6509</v>
      </c>
      <c r="I56" s="7" t="s">
        <v>6628</v>
      </c>
      <c r="J56" s="7"/>
    </row>
    <row r="57" customFormat="false" ht="39.55" hidden="false" customHeight="false" outlineLevel="0" collapsed="false">
      <c r="A57" s="7" t="s">
        <v>6629</v>
      </c>
      <c r="B57" s="7" t="s">
        <v>6473</v>
      </c>
      <c r="C57" s="7" t="s">
        <v>6474</v>
      </c>
      <c r="D57" s="7" t="s">
        <v>6465</v>
      </c>
      <c r="E57" s="7" t="s">
        <v>6466</v>
      </c>
      <c r="F57" s="65" t="s">
        <v>6475</v>
      </c>
      <c r="G57" s="7" t="s">
        <v>6468</v>
      </c>
      <c r="H57" s="7" t="s">
        <v>6509</v>
      </c>
      <c r="I57" s="7" t="s">
        <v>6630</v>
      </c>
      <c r="J57" s="7"/>
    </row>
    <row r="58" customFormat="false" ht="26.85" hidden="false" customHeight="false" outlineLevel="0" collapsed="false">
      <c r="A58" s="7" t="s">
        <v>6631</v>
      </c>
      <c r="B58" s="7" t="s">
        <v>6473</v>
      </c>
      <c r="C58" s="7" t="s">
        <v>6632</v>
      </c>
      <c r="D58" s="7" t="s">
        <v>6465</v>
      </c>
      <c r="E58" s="7" t="s">
        <v>6466</v>
      </c>
      <c r="F58" s="65" t="s">
        <v>6475</v>
      </c>
      <c r="G58" s="7" t="s">
        <v>6468</v>
      </c>
      <c r="H58" s="7" t="s">
        <v>6469</v>
      </c>
      <c r="I58" s="7" t="s">
        <v>6633</v>
      </c>
      <c r="J58" s="7"/>
    </row>
    <row r="59" customFormat="false" ht="26.85" hidden="false" customHeight="false" outlineLevel="0" collapsed="false">
      <c r="A59" s="7" t="s">
        <v>6634</v>
      </c>
      <c r="B59" s="7" t="s">
        <v>6473</v>
      </c>
      <c r="C59" s="7" t="s">
        <v>6474</v>
      </c>
      <c r="D59" s="7" t="s">
        <v>6465</v>
      </c>
      <c r="E59" s="7" t="s">
        <v>6466</v>
      </c>
      <c r="F59" s="65" t="s">
        <v>6475</v>
      </c>
      <c r="G59" s="7" t="s">
        <v>6468</v>
      </c>
      <c r="H59" s="7" t="s">
        <v>6469</v>
      </c>
      <c r="I59" s="7" t="s">
        <v>6635</v>
      </c>
      <c r="J59" s="7"/>
    </row>
    <row r="60" customFormat="false" ht="26.85" hidden="false" customHeight="false" outlineLevel="0" collapsed="false">
      <c r="A60" s="7" t="s">
        <v>6636</v>
      </c>
      <c r="B60" s="7" t="s">
        <v>6463</v>
      </c>
      <c r="C60" s="7" t="s">
        <v>6637</v>
      </c>
      <c r="D60" s="7" t="s">
        <v>6465</v>
      </c>
      <c r="E60" s="7" t="s">
        <v>6466</v>
      </c>
      <c r="F60" s="65" t="s">
        <v>6475</v>
      </c>
      <c r="G60" s="7" t="s">
        <v>6468</v>
      </c>
      <c r="H60" s="7" t="s">
        <v>6469</v>
      </c>
      <c r="I60" s="7" t="s">
        <v>6638</v>
      </c>
      <c r="J60" s="7"/>
    </row>
    <row r="61" customFormat="false" ht="77.6" hidden="false" customHeight="false" outlineLevel="0" collapsed="false">
      <c r="A61" s="7" t="s">
        <v>6639</v>
      </c>
      <c r="B61" s="7" t="s">
        <v>6492</v>
      </c>
      <c r="C61" s="7" t="s">
        <v>6640</v>
      </c>
      <c r="D61" s="7" t="s">
        <v>6641</v>
      </c>
      <c r="E61" s="7" t="s">
        <v>6466</v>
      </c>
      <c r="F61" s="67" t="s">
        <v>6532</v>
      </c>
      <c r="G61" s="7" t="s">
        <v>6468</v>
      </c>
      <c r="H61" s="7" t="s">
        <v>6469</v>
      </c>
      <c r="I61" s="7" t="s">
        <v>6642</v>
      </c>
      <c r="J61" s="7" t="s">
        <v>6643</v>
      </c>
    </row>
    <row r="62" customFormat="false" ht="26.85" hidden="false" customHeight="false" outlineLevel="0" collapsed="false">
      <c r="A62" s="7" t="s">
        <v>6644</v>
      </c>
      <c r="B62" s="7" t="s">
        <v>6484</v>
      </c>
      <c r="C62" s="7" t="s">
        <v>6645</v>
      </c>
      <c r="D62" s="7" t="s">
        <v>6465</v>
      </c>
      <c r="E62" s="7" t="s">
        <v>6466</v>
      </c>
      <c r="F62" s="65" t="s">
        <v>6475</v>
      </c>
      <c r="G62" s="7" t="s">
        <v>6468</v>
      </c>
      <c r="H62" s="7" t="s">
        <v>6469</v>
      </c>
      <c r="I62" s="7" t="s">
        <v>6646</v>
      </c>
      <c r="J62" s="7"/>
    </row>
    <row r="63" customFormat="false" ht="26.85" hidden="false" customHeight="false" outlineLevel="0" collapsed="false">
      <c r="A63" s="7" t="s">
        <v>6647</v>
      </c>
      <c r="B63" s="7" t="s">
        <v>6473</v>
      </c>
      <c r="C63" s="7" t="s">
        <v>6474</v>
      </c>
      <c r="D63" s="7" t="s">
        <v>6465</v>
      </c>
      <c r="E63" s="7" t="s">
        <v>6466</v>
      </c>
      <c r="F63" s="65" t="s">
        <v>6475</v>
      </c>
      <c r="G63" s="7" t="s">
        <v>6553</v>
      </c>
      <c r="H63" s="7" t="s">
        <v>6469</v>
      </c>
      <c r="I63" s="7" t="s">
        <v>6648</v>
      </c>
      <c r="J63" s="7"/>
    </row>
    <row r="64" customFormat="false" ht="26.85" hidden="false" customHeight="false" outlineLevel="0" collapsed="false">
      <c r="A64" s="7" t="s">
        <v>6649</v>
      </c>
      <c r="B64" s="7" t="s">
        <v>6463</v>
      </c>
      <c r="C64" s="7" t="s">
        <v>6650</v>
      </c>
      <c r="D64" s="7" t="s">
        <v>6465</v>
      </c>
      <c r="E64" s="7" t="s">
        <v>6525</v>
      </c>
      <c r="F64" s="65" t="s">
        <v>6475</v>
      </c>
      <c r="G64" s="7" t="s">
        <v>6468</v>
      </c>
      <c r="H64" s="7" t="s">
        <v>6509</v>
      </c>
      <c r="I64" s="7" t="s">
        <v>6651</v>
      </c>
      <c r="J64" s="7"/>
    </row>
    <row r="65" customFormat="false" ht="26.85" hidden="false" customHeight="false" outlineLevel="0" collapsed="false">
      <c r="A65" s="7" t="s">
        <v>6652</v>
      </c>
      <c r="B65" s="7" t="s">
        <v>6463</v>
      </c>
      <c r="C65" s="7" t="s">
        <v>6653</v>
      </c>
      <c r="D65" s="7" t="s">
        <v>6465</v>
      </c>
      <c r="E65" s="7" t="s">
        <v>6466</v>
      </c>
      <c r="F65" s="65" t="s">
        <v>6475</v>
      </c>
      <c r="G65" s="7" t="s">
        <v>6468</v>
      </c>
      <c r="H65" s="7" t="s">
        <v>6509</v>
      </c>
      <c r="I65" s="7" t="s">
        <v>6654</v>
      </c>
      <c r="J65" s="7"/>
    </row>
    <row r="66" customFormat="false" ht="26.85" hidden="false" customHeight="false" outlineLevel="0" collapsed="false">
      <c r="A66" s="7" t="s">
        <v>6655</v>
      </c>
      <c r="B66" s="7" t="s">
        <v>6463</v>
      </c>
      <c r="C66" s="7" t="s">
        <v>6656</v>
      </c>
      <c r="D66" s="7" t="s">
        <v>6465</v>
      </c>
      <c r="E66" s="7" t="s">
        <v>6466</v>
      </c>
      <c r="F66" s="65" t="s">
        <v>6475</v>
      </c>
      <c r="G66" s="7" t="s">
        <v>6496</v>
      </c>
      <c r="H66" s="7" t="s">
        <v>6469</v>
      </c>
      <c r="I66" s="7" t="s">
        <v>6657</v>
      </c>
      <c r="J66" s="7"/>
    </row>
    <row r="67" customFormat="false" ht="26.85" hidden="false" customHeight="false" outlineLevel="0" collapsed="false">
      <c r="A67" s="7" t="s">
        <v>6658</v>
      </c>
      <c r="B67" s="7" t="s">
        <v>6463</v>
      </c>
      <c r="C67" s="7" t="s">
        <v>6659</v>
      </c>
      <c r="D67" s="7" t="s">
        <v>6465</v>
      </c>
      <c r="E67" s="7" t="s">
        <v>6466</v>
      </c>
      <c r="F67" s="65" t="s">
        <v>6475</v>
      </c>
      <c r="G67" s="7" t="s">
        <v>6468</v>
      </c>
      <c r="H67" s="7" t="s">
        <v>6469</v>
      </c>
      <c r="I67" s="7" t="s">
        <v>6660</v>
      </c>
      <c r="J67" s="7"/>
    </row>
    <row r="68" customFormat="false" ht="26.85" hidden="false" customHeight="false" outlineLevel="0" collapsed="false">
      <c r="A68" s="7" t="s">
        <v>6661</v>
      </c>
      <c r="B68" s="7" t="s">
        <v>6473</v>
      </c>
      <c r="C68" s="7" t="s">
        <v>6474</v>
      </c>
      <c r="D68" s="7" t="s">
        <v>6465</v>
      </c>
      <c r="E68" s="7" t="s">
        <v>6466</v>
      </c>
      <c r="F68" s="65" t="s">
        <v>6475</v>
      </c>
      <c r="G68" s="7" t="s">
        <v>6468</v>
      </c>
      <c r="H68" s="7" t="s">
        <v>6469</v>
      </c>
      <c r="I68" s="7" t="s">
        <v>6662</v>
      </c>
      <c r="J68" s="7"/>
    </row>
    <row r="69" customFormat="false" ht="26.85" hidden="false" customHeight="false" outlineLevel="0" collapsed="false">
      <c r="A69" s="7" t="s">
        <v>6663</v>
      </c>
      <c r="B69" s="7" t="s">
        <v>6484</v>
      </c>
      <c r="C69" s="7" t="s">
        <v>6664</v>
      </c>
      <c r="D69" s="7" t="s">
        <v>6465</v>
      </c>
      <c r="E69" s="7" t="s">
        <v>6466</v>
      </c>
      <c r="F69" s="65" t="s">
        <v>6475</v>
      </c>
      <c r="G69" s="7" t="s">
        <v>6468</v>
      </c>
      <c r="H69" s="7" t="s">
        <v>6469</v>
      </c>
      <c r="I69" s="7" t="s">
        <v>6665</v>
      </c>
      <c r="J69" s="7"/>
    </row>
    <row r="70" customFormat="false" ht="26.85" hidden="false" customHeight="false" outlineLevel="0" collapsed="false">
      <c r="A70" s="7" t="s">
        <v>6666</v>
      </c>
      <c r="B70" s="7" t="s">
        <v>6473</v>
      </c>
      <c r="C70" s="7" t="s">
        <v>6474</v>
      </c>
      <c r="D70" s="7" t="s">
        <v>6465</v>
      </c>
      <c r="E70" s="7" t="s">
        <v>6466</v>
      </c>
      <c r="F70" s="65" t="s">
        <v>6475</v>
      </c>
      <c r="G70" s="7" t="s">
        <v>6468</v>
      </c>
      <c r="H70" s="7" t="s">
        <v>6509</v>
      </c>
      <c r="I70" s="7" t="s">
        <v>6667</v>
      </c>
      <c r="J70" s="7"/>
    </row>
    <row r="71" customFormat="false" ht="26.85" hidden="false" customHeight="false" outlineLevel="0" collapsed="false">
      <c r="A71" s="7" t="s">
        <v>6668</v>
      </c>
      <c r="B71" s="7" t="s">
        <v>6473</v>
      </c>
      <c r="C71" s="7" t="s">
        <v>6474</v>
      </c>
      <c r="D71" s="7" t="s">
        <v>6465</v>
      </c>
      <c r="E71" s="7" t="s">
        <v>6466</v>
      </c>
      <c r="F71" s="65" t="s">
        <v>6475</v>
      </c>
      <c r="G71" s="7" t="s">
        <v>6553</v>
      </c>
      <c r="H71" s="7" t="s">
        <v>6469</v>
      </c>
      <c r="I71" s="7" t="s">
        <v>6669</v>
      </c>
      <c r="J71" s="7"/>
    </row>
    <row r="72" customFormat="false" ht="26.85" hidden="false" customHeight="false" outlineLevel="0" collapsed="false">
      <c r="A72" s="7" t="s">
        <v>6670</v>
      </c>
      <c r="B72" s="7" t="s">
        <v>6473</v>
      </c>
      <c r="C72" s="7" t="s">
        <v>6671</v>
      </c>
      <c r="D72" s="7" t="s">
        <v>6465</v>
      </c>
      <c r="E72" s="7" t="s">
        <v>6672</v>
      </c>
      <c r="F72" s="65" t="s">
        <v>6475</v>
      </c>
      <c r="G72" s="7" t="s">
        <v>6468</v>
      </c>
      <c r="H72" s="7" t="s">
        <v>6509</v>
      </c>
      <c r="I72" s="7" t="s">
        <v>6673</v>
      </c>
      <c r="J72" s="7"/>
    </row>
    <row r="73" customFormat="false" ht="26.85" hidden="false" customHeight="false" outlineLevel="0" collapsed="false">
      <c r="A73" s="7" t="s">
        <v>6674</v>
      </c>
      <c r="B73" s="7" t="s">
        <v>6484</v>
      </c>
      <c r="C73" s="7" t="s">
        <v>6675</v>
      </c>
      <c r="D73" s="7" t="s">
        <v>6465</v>
      </c>
      <c r="E73" s="7" t="s">
        <v>6466</v>
      </c>
      <c r="F73" s="65" t="s">
        <v>6475</v>
      </c>
      <c r="G73" s="7" t="s">
        <v>6468</v>
      </c>
      <c r="H73" s="7" t="s">
        <v>6469</v>
      </c>
      <c r="I73" s="7" t="s">
        <v>6676</v>
      </c>
      <c r="J73" s="7"/>
    </row>
    <row r="74" customFormat="false" ht="26.85" hidden="false" customHeight="false" outlineLevel="0" collapsed="false">
      <c r="A74" s="7" t="s">
        <v>6677</v>
      </c>
      <c r="B74" s="7" t="s">
        <v>6463</v>
      </c>
      <c r="C74" s="7" t="s">
        <v>6678</v>
      </c>
      <c r="D74" s="7" t="s">
        <v>6465</v>
      </c>
      <c r="E74" s="7" t="s">
        <v>6466</v>
      </c>
      <c r="F74" s="65" t="s">
        <v>6475</v>
      </c>
      <c r="G74" s="7" t="s">
        <v>6468</v>
      </c>
      <c r="H74" s="7" t="s">
        <v>6469</v>
      </c>
      <c r="I74" s="7" t="s">
        <v>6679</v>
      </c>
      <c r="J74" s="7"/>
    </row>
    <row r="75" customFormat="false" ht="26.85" hidden="false" customHeight="false" outlineLevel="0" collapsed="false">
      <c r="A75" s="7" t="s">
        <v>6680</v>
      </c>
      <c r="B75" s="7" t="s">
        <v>6463</v>
      </c>
      <c r="C75" s="7" t="s">
        <v>6681</v>
      </c>
      <c r="D75" s="7" t="s">
        <v>6465</v>
      </c>
      <c r="E75" s="7" t="s">
        <v>6466</v>
      </c>
      <c r="F75" s="65" t="s">
        <v>6475</v>
      </c>
      <c r="G75" s="7" t="s">
        <v>6553</v>
      </c>
      <c r="H75" s="7" t="s">
        <v>6469</v>
      </c>
      <c r="I75" s="7" t="s">
        <v>6682</v>
      </c>
      <c r="J75" s="7"/>
    </row>
    <row r="76" customFormat="false" ht="26.85" hidden="false" customHeight="false" outlineLevel="0" collapsed="false">
      <c r="A76" s="7" t="s">
        <v>6683</v>
      </c>
      <c r="B76" s="7" t="s">
        <v>6463</v>
      </c>
      <c r="C76" s="7" t="s">
        <v>6684</v>
      </c>
      <c r="D76" s="7" t="s">
        <v>6465</v>
      </c>
      <c r="E76" s="7" t="s">
        <v>6466</v>
      </c>
      <c r="F76" s="65" t="s">
        <v>6475</v>
      </c>
      <c r="G76" s="7" t="s">
        <v>6468</v>
      </c>
      <c r="H76" s="7" t="s">
        <v>6469</v>
      </c>
      <c r="I76" s="7" t="s">
        <v>6685</v>
      </c>
      <c r="J76" s="7"/>
    </row>
    <row r="77" customFormat="false" ht="26.85" hidden="false" customHeight="false" outlineLevel="0" collapsed="false">
      <c r="A77" s="7" t="s">
        <v>6686</v>
      </c>
      <c r="B77" s="7" t="s">
        <v>6463</v>
      </c>
      <c r="C77" s="7" t="s">
        <v>6502</v>
      </c>
      <c r="D77" s="7" t="s">
        <v>6465</v>
      </c>
      <c r="E77" s="7" t="s">
        <v>6466</v>
      </c>
      <c r="F77" s="65" t="s">
        <v>6475</v>
      </c>
      <c r="G77" s="7" t="s">
        <v>6468</v>
      </c>
      <c r="H77" s="7" t="s">
        <v>6469</v>
      </c>
      <c r="I77" s="7" t="s">
        <v>6687</v>
      </c>
      <c r="J77" s="7"/>
    </row>
    <row r="78" customFormat="false" ht="26.85" hidden="false" customHeight="false" outlineLevel="0" collapsed="false">
      <c r="A78" s="7" t="s">
        <v>6688</v>
      </c>
      <c r="B78" s="7" t="s">
        <v>6463</v>
      </c>
      <c r="C78" s="7" t="s">
        <v>6689</v>
      </c>
      <c r="D78" s="7" t="s">
        <v>6465</v>
      </c>
      <c r="E78" s="7" t="s">
        <v>6466</v>
      </c>
      <c r="F78" s="65" t="s">
        <v>6475</v>
      </c>
      <c r="G78" s="7" t="s">
        <v>6468</v>
      </c>
      <c r="H78" s="7" t="s">
        <v>6469</v>
      </c>
      <c r="I78" s="7" t="s">
        <v>6690</v>
      </c>
      <c r="J78" s="7"/>
    </row>
    <row r="79" customFormat="false" ht="39.55" hidden="false" customHeight="false" outlineLevel="0" collapsed="false">
      <c r="A79" s="7" t="s">
        <v>681</v>
      </c>
      <c r="B79" s="7" t="s">
        <v>6484</v>
      </c>
      <c r="C79" s="7" t="s">
        <v>6691</v>
      </c>
      <c r="D79" s="7" t="s">
        <v>6465</v>
      </c>
      <c r="E79" s="7" t="s">
        <v>6466</v>
      </c>
      <c r="F79" s="35" t="s">
        <v>6692</v>
      </c>
      <c r="G79" s="7" t="s">
        <v>6468</v>
      </c>
      <c r="H79" s="7" t="s">
        <v>6469</v>
      </c>
      <c r="I79" s="7" t="s">
        <v>6693</v>
      </c>
      <c r="J79" s="7" t="s">
        <v>6694</v>
      </c>
    </row>
    <row r="80" customFormat="false" ht="52.2" hidden="false" customHeight="false" outlineLevel="0" collapsed="false">
      <c r="A80" s="7" t="s">
        <v>6695</v>
      </c>
      <c r="B80" s="7" t="s">
        <v>6473</v>
      </c>
      <c r="C80" s="7" t="s">
        <v>6696</v>
      </c>
      <c r="D80" s="7" t="s">
        <v>6465</v>
      </c>
      <c r="E80" s="7" t="s">
        <v>6605</v>
      </c>
      <c r="F80" s="65" t="s">
        <v>6475</v>
      </c>
      <c r="G80" s="7" t="s">
        <v>6468</v>
      </c>
      <c r="H80" s="7" t="s">
        <v>6509</v>
      </c>
      <c r="I80" s="7" t="s">
        <v>6697</v>
      </c>
      <c r="J80" s="7"/>
    </row>
    <row r="81" customFormat="false" ht="26.85" hidden="false" customHeight="false" outlineLevel="0" collapsed="false">
      <c r="A81" s="7" t="s">
        <v>6698</v>
      </c>
      <c r="B81" s="7" t="s">
        <v>6488</v>
      </c>
      <c r="C81" s="7" t="s">
        <v>6699</v>
      </c>
      <c r="D81" s="7" t="s">
        <v>6465</v>
      </c>
      <c r="E81" s="7" t="s">
        <v>6466</v>
      </c>
      <c r="F81" s="65" t="s">
        <v>6475</v>
      </c>
      <c r="G81" s="7" t="s">
        <v>6468</v>
      </c>
      <c r="H81" s="7" t="s">
        <v>6469</v>
      </c>
      <c r="I81" s="7" t="s">
        <v>6700</v>
      </c>
      <c r="J81" s="7"/>
    </row>
    <row r="82" customFormat="false" ht="26.85" hidden="false" customHeight="false" outlineLevel="0" collapsed="false">
      <c r="A82" s="7" t="s">
        <v>6701</v>
      </c>
      <c r="B82" s="7" t="s">
        <v>6473</v>
      </c>
      <c r="C82" s="7" t="s">
        <v>6474</v>
      </c>
      <c r="D82" s="7" t="s">
        <v>6465</v>
      </c>
      <c r="E82" s="7" t="s">
        <v>6466</v>
      </c>
      <c r="F82" s="65" t="s">
        <v>6475</v>
      </c>
      <c r="G82" s="7" t="s">
        <v>6468</v>
      </c>
      <c r="H82" s="7" t="s">
        <v>6509</v>
      </c>
      <c r="I82" s="7" t="s">
        <v>6702</v>
      </c>
      <c r="J82" s="7"/>
    </row>
    <row r="83" customFormat="false" ht="64.9" hidden="false" customHeight="false" outlineLevel="0" collapsed="false">
      <c r="A83" s="7" t="s">
        <v>6703</v>
      </c>
      <c r="B83" s="7" t="s">
        <v>6463</v>
      </c>
      <c r="C83" s="7" t="s">
        <v>6704</v>
      </c>
      <c r="D83" s="7" t="s">
        <v>6465</v>
      </c>
      <c r="E83" s="7" t="s">
        <v>6466</v>
      </c>
      <c r="F83" s="67" t="s">
        <v>6516</v>
      </c>
      <c r="G83" s="7" t="s">
        <v>6553</v>
      </c>
      <c r="H83" s="7" t="s">
        <v>6469</v>
      </c>
      <c r="I83" s="7" t="s">
        <v>6705</v>
      </c>
      <c r="J83" s="7" t="s">
        <v>6706</v>
      </c>
    </row>
    <row r="84" customFormat="false" ht="26.85" hidden="false" customHeight="false" outlineLevel="0" collapsed="false">
      <c r="A84" s="7" t="s">
        <v>6707</v>
      </c>
      <c r="B84" s="7" t="s">
        <v>6492</v>
      </c>
      <c r="C84" s="7" t="s">
        <v>6708</v>
      </c>
      <c r="D84" s="7" t="s">
        <v>6709</v>
      </c>
      <c r="E84" s="7" t="s">
        <v>6466</v>
      </c>
      <c r="F84" s="65" t="s">
        <v>6475</v>
      </c>
      <c r="G84" s="7" t="s">
        <v>6468</v>
      </c>
      <c r="H84" s="7" t="s">
        <v>6469</v>
      </c>
      <c r="I84" s="7" t="s">
        <v>6710</v>
      </c>
      <c r="J84" s="7"/>
    </row>
    <row r="85" customFormat="false" ht="26.85" hidden="false" customHeight="false" outlineLevel="0" collapsed="false">
      <c r="A85" s="7" t="s">
        <v>6711</v>
      </c>
      <c r="B85" s="7" t="s">
        <v>6463</v>
      </c>
      <c r="C85" s="7" t="s">
        <v>6712</v>
      </c>
      <c r="D85" s="7" t="s">
        <v>6465</v>
      </c>
      <c r="E85" s="7" t="s">
        <v>6466</v>
      </c>
      <c r="F85" s="65" t="s">
        <v>6475</v>
      </c>
      <c r="G85" s="7" t="s">
        <v>6468</v>
      </c>
      <c r="H85" s="7" t="s">
        <v>6469</v>
      </c>
      <c r="I85" s="7" t="s">
        <v>6713</v>
      </c>
      <c r="J85" s="7"/>
    </row>
    <row r="86" customFormat="false" ht="26.85" hidden="false" customHeight="false" outlineLevel="0" collapsed="false">
      <c r="A86" s="7" t="s">
        <v>6714</v>
      </c>
      <c r="B86" s="7" t="s">
        <v>6484</v>
      </c>
      <c r="C86" s="7" t="s">
        <v>6715</v>
      </c>
      <c r="D86" s="7" t="s">
        <v>6465</v>
      </c>
      <c r="E86" s="7" t="s">
        <v>6466</v>
      </c>
      <c r="F86" s="65" t="s">
        <v>6475</v>
      </c>
      <c r="G86" s="7" t="s">
        <v>6468</v>
      </c>
      <c r="H86" s="7" t="s">
        <v>6469</v>
      </c>
      <c r="I86" s="7" t="s">
        <v>6716</v>
      </c>
      <c r="J86" s="7"/>
    </row>
    <row r="87" customFormat="false" ht="26.85" hidden="false" customHeight="false" outlineLevel="0" collapsed="false">
      <c r="A87" s="7" t="s">
        <v>6717</v>
      </c>
      <c r="B87" s="7" t="s">
        <v>6463</v>
      </c>
      <c r="C87" s="7" t="s">
        <v>6718</v>
      </c>
      <c r="D87" s="7" t="s">
        <v>6465</v>
      </c>
      <c r="E87" s="7" t="s">
        <v>6466</v>
      </c>
      <c r="F87" s="65" t="s">
        <v>6475</v>
      </c>
      <c r="G87" s="7" t="s">
        <v>6468</v>
      </c>
      <c r="H87" s="7" t="s">
        <v>6469</v>
      </c>
      <c r="I87" s="7" t="s">
        <v>6719</v>
      </c>
      <c r="J87" s="7"/>
    </row>
    <row r="88" customFormat="false" ht="26.85" hidden="false" customHeight="false" outlineLevel="0" collapsed="false">
      <c r="A88" s="7" t="s">
        <v>6720</v>
      </c>
      <c r="B88" s="7" t="s">
        <v>6488</v>
      </c>
      <c r="C88" s="7" t="s">
        <v>6489</v>
      </c>
      <c r="D88" s="7" t="s">
        <v>6465</v>
      </c>
      <c r="E88" s="7" t="s">
        <v>6466</v>
      </c>
      <c r="F88" s="65" t="s">
        <v>6475</v>
      </c>
      <c r="G88" s="7" t="s">
        <v>6553</v>
      </c>
      <c r="H88" s="7" t="s">
        <v>6469</v>
      </c>
      <c r="I88" s="7" t="s">
        <v>6721</v>
      </c>
      <c r="J88" s="7"/>
    </row>
    <row r="89" customFormat="false" ht="26.85" hidden="false" customHeight="false" outlineLevel="0" collapsed="false">
      <c r="A89" s="7" t="s">
        <v>6722</v>
      </c>
      <c r="B89" s="7" t="s">
        <v>6488</v>
      </c>
      <c r="C89" s="7" t="s">
        <v>6723</v>
      </c>
      <c r="D89" s="7" t="s">
        <v>6465</v>
      </c>
      <c r="E89" s="7" t="s">
        <v>6466</v>
      </c>
      <c r="F89" s="65" t="s">
        <v>6475</v>
      </c>
      <c r="G89" s="7" t="s">
        <v>6468</v>
      </c>
      <c r="H89" s="7" t="s">
        <v>6469</v>
      </c>
      <c r="I89" s="7" t="s">
        <v>6724</v>
      </c>
      <c r="J89" s="7"/>
    </row>
    <row r="90" customFormat="false" ht="26.85" hidden="false" customHeight="false" outlineLevel="0" collapsed="false">
      <c r="A90" s="7" t="s">
        <v>6725</v>
      </c>
      <c r="B90" s="7" t="s">
        <v>6488</v>
      </c>
      <c r="C90" s="7" t="s">
        <v>6699</v>
      </c>
      <c r="D90" s="7" t="s">
        <v>6465</v>
      </c>
      <c r="E90" s="7" t="s">
        <v>6466</v>
      </c>
      <c r="F90" s="37" t="s">
        <v>6467</v>
      </c>
      <c r="G90" s="7" t="s">
        <v>6468</v>
      </c>
      <c r="H90" s="7" t="s">
        <v>6469</v>
      </c>
      <c r="I90" s="7" t="s">
        <v>6726</v>
      </c>
      <c r="J90" s="7" t="s">
        <v>6727</v>
      </c>
    </row>
    <row r="91" customFormat="false" ht="64.9" hidden="false" customHeight="false" outlineLevel="0" collapsed="false">
      <c r="A91" s="7" t="s">
        <v>6728</v>
      </c>
      <c r="B91" s="7" t="s">
        <v>6473</v>
      </c>
      <c r="C91" s="7" t="s">
        <v>6729</v>
      </c>
      <c r="D91" s="7" t="s">
        <v>6465</v>
      </c>
      <c r="E91" s="7" t="s">
        <v>6466</v>
      </c>
      <c r="F91" s="67" t="s">
        <v>6516</v>
      </c>
      <c r="G91" s="7" t="s">
        <v>6468</v>
      </c>
      <c r="H91" s="7" t="s">
        <v>6469</v>
      </c>
      <c r="I91" s="7" t="s">
        <v>6730</v>
      </c>
      <c r="J91" s="7" t="s">
        <v>6731</v>
      </c>
    </row>
    <row r="92" customFormat="false" ht="26.85" hidden="false" customHeight="false" outlineLevel="0" collapsed="false">
      <c r="A92" s="7" t="s">
        <v>6732</v>
      </c>
      <c r="B92" s="7" t="s">
        <v>6473</v>
      </c>
      <c r="C92" s="7" t="s">
        <v>6733</v>
      </c>
      <c r="D92" s="7" t="s">
        <v>6465</v>
      </c>
      <c r="E92" s="7" t="s">
        <v>6672</v>
      </c>
      <c r="F92" s="66" t="s">
        <v>6495</v>
      </c>
      <c r="G92" s="7" t="s">
        <v>6468</v>
      </c>
      <c r="H92" s="7" t="s">
        <v>6509</v>
      </c>
      <c r="I92" s="7" t="s">
        <v>6734</v>
      </c>
      <c r="J92" s="7" t="s">
        <v>6735</v>
      </c>
    </row>
    <row r="93" customFormat="false" ht="26.85" hidden="false" customHeight="false" outlineLevel="0" collapsed="false">
      <c r="A93" s="7" t="s">
        <v>6736</v>
      </c>
      <c r="B93" s="7" t="s">
        <v>6488</v>
      </c>
      <c r="C93" s="7" t="s">
        <v>6489</v>
      </c>
      <c r="D93" s="7" t="s">
        <v>6465</v>
      </c>
      <c r="E93" s="7" t="s">
        <v>6466</v>
      </c>
      <c r="F93" s="65" t="s">
        <v>6475</v>
      </c>
      <c r="G93" s="7" t="s">
        <v>6468</v>
      </c>
      <c r="H93" s="7" t="s">
        <v>6469</v>
      </c>
      <c r="I93" s="7" t="s">
        <v>6737</v>
      </c>
      <c r="J93" s="7"/>
    </row>
    <row r="94" customFormat="false" ht="26.85" hidden="false" customHeight="false" outlineLevel="0" collapsed="false">
      <c r="A94" s="7" t="s">
        <v>6738</v>
      </c>
      <c r="B94" s="7" t="s">
        <v>6463</v>
      </c>
      <c r="C94" s="7" t="s">
        <v>6689</v>
      </c>
      <c r="D94" s="7" t="s">
        <v>6465</v>
      </c>
      <c r="E94" s="7" t="s">
        <v>6466</v>
      </c>
      <c r="F94" s="65" t="s">
        <v>6475</v>
      </c>
      <c r="G94" s="7" t="s">
        <v>6468</v>
      </c>
      <c r="H94" s="7" t="s">
        <v>6469</v>
      </c>
      <c r="I94" s="7" t="s">
        <v>6739</v>
      </c>
      <c r="J94" s="7"/>
    </row>
    <row r="95" customFormat="false" ht="26.85" hidden="false" customHeight="false" outlineLevel="0" collapsed="false">
      <c r="A95" s="7" t="s">
        <v>6740</v>
      </c>
      <c r="B95" s="7" t="s">
        <v>6473</v>
      </c>
      <c r="C95" s="7" t="s">
        <v>6474</v>
      </c>
      <c r="D95" s="7" t="s">
        <v>6465</v>
      </c>
      <c r="E95" s="7" t="s">
        <v>6466</v>
      </c>
      <c r="F95" s="65" t="s">
        <v>6475</v>
      </c>
      <c r="G95" s="7" t="s">
        <v>6553</v>
      </c>
      <c r="H95" s="7" t="s">
        <v>6469</v>
      </c>
      <c r="I95" s="7" t="s">
        <v>6741</v>
      </c>
      <c r="J95" s="7"/>
    </row>
    <row r="96" customFormat="false" ht="26.85" hidden="false" customHeight="false" outlineLevel="0" collapsed="false">
      <c r="A96" s="7" t="s">
        <v>6742</v>
      </c>
      <c r="B96" s="7" t="s">
        <v>6463</v>
      </c>
      <c r="C96" s="7" t="s">
        <v>6743</v>
      </c>
      <c r="D96" s="7" t="s">
        <v>6465</v>
      </c>
      <c r="E96" s="7" t="s">
        <v>6466</v>
      </c>
      <c r="F96" s="65" t="s">
        <v>6475</v>
      </c>
      <c r="G96" s="7" t="s">
        <v>6468</v>
      </c>
      <c r="H96" s="7" t="s">
        <v>6469</v>
      </c>
      <c r="I96" s="7" t="s">
        <v>6744</v>
      </c>
      <c r="J96" s="7"/>
    </row>
    <row r="97" customFormat="false" ht="90.25" hidden="false" customHeight="false" outlineLevel="0" collapsed="false">
      <c r="A97" s="7" t="s">
        <v>6745</v>
      </c>
      <c r="B97" s="7" t="s">
        <v>6484</v>
      </c>
      <c r="C97" s="7" t="s">
        <v>6746</v>
      </c>
      <c r="D97" s="7" t="s">
        <v>6465</v>
      </c>
      <c r="E97" s="7" t="s">
        <v>6466</v>
      </c>
      <c r="F97" s="67" t="s">
        <v>6532</v>
      </c>
      <c r="G97" s="7" t="s">
        <v>6468</v>
      </c>
      <c r="H97" s="7" t="s">
        <v>6469</v>
      </c>
      <c r="I97" s="7" t="s">
        <v>6747</v>
      </c>
      <c r="J97" s="7" t="s">
        <v>6748</v>
      </c>
    </row>
    <row r="98" customFormat="false" ht="39.55" hidden="false" customHeight="false" outlineLevel="0" collapsed="false">
      <c r="A98" s="7" t="s">
        <v>6749</v>
      </c>
      <c r="B98" s="7" t="s">
        <v>6750</v>
      </c>
      <c r="C98" s="7" t="s">
        <v>6751</v>
      </c>
      <c r="D98" s="7" t="s">
        <v>6465</v>
      </c>
      <c r="E98" s="7" t="s">
        <v>6466</v>
      </c>
      <c r="F98" s="67" t="s">
        <v>6532</v>
      </c>
      <c r="G98" s="7" t="s">
        <v>6496</v>
      </c>
      <c r="H98" s="7" t="s">
        <v>6469</v>
      </c>
      <c r="I98" s="7" t="s">
        <v>6752</v>
      </c>
      <c r="J98" s="7" t="s">
        <v>6753</v>
      </c>
    </row>
    <row r="99" customFormat="false" ht="52.2" hidden="false" customHeight="false" outlineLevel="0" collapsed="false">
      <c r="A99" s="7" t="s">
        <v>6754</v>
      </c>
      <c r="B99" s="7" t="s">
        <v>6473</v>
      </c>
      <c r="C99" s="7" t="s">
        <v>6474</v>
      </c>
      <c r="D99" s="7" t="s">
        <v>6465</v>
      </c>
      <c r="E99" s="7" t="s">
        <v>6466</v>
      </c>
      <c r="F99" s="66" t="s">
        <v>6495</v>
      </c>
      <c r="G99" s="7" t="s">
        <v>6468</v>
      </c>
      <c r="H99" s="7" t="s">
        <v>6469</v>
      </c>
      <c r="I99" s="7" t="s">
        <v>6755</v>
      </c>
      <c r="J99" s="7" t="s">
        <v>6756</v>
      </c>
    </row>
    <row r="100" customFormat="false" ht="26.85" hidden="false" customHeight="false" outlineLevel="0" collapsed="false">
      <c r="A100" s="7" t="s">
        <v>6757</v>
      </c>
      <c r="B100" s="7" t="s">
        <v>6463</v>
      </c>
      <c r="C100" s="7" t="s">
        <v>6758</v>
      </c>
      <c r="D100" s="7" t="s">
        <v>6465</v>
      </c>
      <c r="E100" s="7" t="s">
        <v>6466</v>
      </c>
      <c r="F100" s="65" t="s">
        <v>6475</v>
      </c>
      <c r="G100" s="7" t="s">
        <v>6468</v>
      </c>
      <c r="H100" s="7" t="s">
        <v>6469</v>
      </c>
      <c r="I100" s="7" t="s">
        <v>6759</v>
      </c>
      <c r="J100" s="7"/>
    </row>
    <row r="101" customFormat="false" ht="26.85" hidden="false" customHeight="false" outlineLevel="0" collapsed="false">
      <c r="A101" s="7" t="s">
        <v>6760</v>
      </c>
      <c r="B101" s="7" t="s">
        <v>6473</v>
      </c>
      <c r="C101" s="7" t="s">
        <v>6474</v>
      </c>
      <c r="D101" s="7" t="s">
        <v>6465</v>
      </c>
      <c r="E101" s="7" t="s">
        <v>6466</v>
      </c>
      <c r="F101" s="65" t="s">
        <v>6475</v>
      </c>
      <c r="G101" s="7" t="s">
        <v>6468</v>
      </c>
      <c r="H101" s="7" t="s">
        <v>6469</v>
      </c>
      <c r="I101" s="7" t="s">
        <v>6761</v>
      </c>
      <c r="J101" s="7"/>
    </row>
    <row r="102" customFormat="false" ht="26.85" hidden="false" customHeight="false" outlineLevel="0" collapsed="false">
      <c r="A102" s="7" t="s">
        <v>6762</v>
      </c>
      <c r="B102" s="7" t="s">
        <v>6463</v>
      </c>
      <c r="C102" s="7" t="s">
        <v>6678</v>
      </c>
      <c r="D102" s="7" t="s">
        <v>6465</v>
      </c>
      <c r="E102" s="7" t="s">
        <v>6466</v>
      </c>
      <c r="F102" s="65" t="s">
        <v>6475</v>
      </c>
      <c r="G102" s="7" t="s">
        <v>6468</v>
      </c>
      <c r="H102" s="7" t="s">
        <v>6469</v>
      </c>
      <c r="I102" s="7" t="s">
        <v>6763</v>
      </c>
      <c r="J102" s="7"/>
    </row>
    <row r="103" customFormat="false" ht="26.85" hidden="false" customHeight="false" outlineLevel="0" collapsed="false">
      <c r="A103" s="7" t="s">
        <v>4218</v>
      </c>
      <c r="B103" s="7" t="s">
        <v>6463</v>
      </c>
      <c r="C103" s="7" t="s">
        <v>6764</v>
      </c>
      <c r="D103" s="7" t="s">
        <v>6465</v>
      </c>
      <c r="E103" s="7" t="s">
        <v>6466</v>
      </c>
      <c r="F103" s="65" t="s">
        <v>6475</v>
      </c>
      <c r="G103" s="7" t="s">
        <v>6468</v>
      </c>
      <c r="H103" s="7" t="s">
        <v>6469</v>
      </c>
      <c r="I103" s="7" t="s">
        <v>6765</v>
      </c>
      <c r="J103" s="7"/>
    </row>
    <row r="104" customFormat="false" ht="26.85" hidden="false" customHeight="false" outlineLevel="0" collapsed="false">
      <c r="A104" s="7" t="s">
        <v>6766</v>
      </c>
      <c r="B104" s="7" t="s">
        <v>6488</v>
      </c>
      <c r="C104" s="7" t="s">
        <v>6489</v>
      </c>
      <c r="D104" s="7" t="s">
        <v>6465</v>
      </c>
      <c r="E104" s="7" t="s">
        <v>6466</v>
      </c>
      <c r="F104" s="65" t="s">
        <v>6475</v>
      </c>
      <c r="G104" s="7" t="s">
        <v>6468</v>
      </c>
      <c r="H104" s="7" t="s">
        <v>6469</v>
      </c>
      <c r="I104" s="7" t="s">
        <v>6767</v>
      </c>
      <c r="J104" s="7"/>
    </row>
    <row r="105" customFormat="false" ht="26.85" hidden="false" customHeight="false" outlineLevel="0" collapsed="false">
      <c r="A105" s="7" t="s">
        <v>6768</v>
      </c>
      <c r="B105" s="7" t="s">
        <v>6488</v>
      </c>
      <c r="C105" s="7" t="s">
        <v>6489</v>
      </c>
      <c r="D105" s="7" t="s">
        <v>6465</v>
      </c>
      <c r="E105" s="7" t="s">
        <v>6466</v>
      </c>
      <c r="F105" s="65" t="s">
        <v>6475</v>
      </c>
      <c r="G105" s="7" t="s">
        <v>6468</v>
      </c>
      <c r="H105" s="7" t="s">
        <v>6469</v>
      </c>
      <c r="I105" s="7" t="s">
        <v>6769</v>
      </c>
      <c r="J105" s="7"/>
    </row>
    <row r="106" customFormat="false" ht="26.85" hidden="false" customHeight="false" outlineLevel="0" collapsed="false">
      <c r="A106" s="7" t="s">
        <v>6770</v>
      </c>
      <c r="B106" s="7" t="s">
        <v>6473</v>
      </c>
      <c r="C106" s="7" t="s">
        <v>6474</v>
      </c>
      <c r="D106" s="7" t="s">
        <v>6465</v>
      </c>
      <c r="E106" s="7" t="s">
        <v>6466</v>
      </c>
      <c r="F106" s="65" t="s">
        <v>6475</v>
      </c>
      <c r="G106" s="7" t="s">
        <v>6553</v>
      </c>
      <c r="H106" s="7" t="s">
        <v>6469</v>
      </c>
      <c r="I106" s="7" t="s">
        <v>6771</v>
      </c>
      <c r="J106" s="7"/>
    </row>
    <row r="107" customFormat="false" ht="26.85" hidden="false" customHeight="false" outlineLevel="0" collapsed="false">
      <c r="A107" s="7" t="s">
        <v>6772</v>
      </c>
      <c r="B107" s="7" t="s">
        <v>6473</v>
      </c>
      <c r="C107" s="7" t="s">
        <v>6474</v>
      </c>
      <c r="D107" s="7" t="s">
        <v>6465</v>
      </c>
      <c r="E107" s="7" t="s">
        <v>6466</v>
      </c>
      <c r="F107" s="65" t="s">
        <v>6475</v>
      </c>
      <c r="G107" s="7" t="s">
        <v>6468</v>
      </c>
      <c r="H107" s="7" t="s">
        <v>6469</v>
      </c>
      <c r="I107" s="7" t="s">
        <v>6773</v>
      </c>
      <c r="J107" s="7"/>
    </row>
    <row r="108" customFormat="false" ht="26.85" hidden="false" customHeight="false" outlineLevel="0" collapsed="false">
      <c r="A108" s="7" t="s">
        <v>6774</v>
      </c>
      <c r="B108" s="7" t="s">
        <v>6473</v>
      </c>
      <c r="C108" s="7" t="s">
        <v>6474</v>
      </c>
      <c r="D108" s="7" t="s">
        <v>6465</v>
      </c>
      <c r="E108" s="7" t="s">
        <v>6466</v>
      </c>
      <c r="F108" s="37" t="s">
        <v>6467</v>
      </c>
      <c r="G108" s="7" t="s">
        <v>6553</v>
      </c>
      <c r="H108" s="7" t="s">
        <v>6469</v>
      </c>
      <c r="I108" s="7" t="s">
        <v>6775</v>
      </c>
      <c r="J108" s="7" t="s">
        <v>6776</v>
      </c>
    </row>
    <row r="109" customFormat="false" ht="26.85" hidden="false" customHeight="false" outlineLevel="0" collapsed="false">
      <c r="A109" s="7" t="s">
        <v>6777</v>
      </c>
      <c r="B109" s="7" t="s">
        <v>6473</v>
      </c>
      <c r="C109" s="7" t="s">
        <v>6778</v>
      </c>
      <c r="D109" s="7" t="s">
        <v>6465</v>
      </c>
      <c r="E109" s="7" t="s">
        <v>6525</v>
      </c>
      <c r="F109" s="65" t="s">
        <v>6475</v>
      </c>
      <c r="G109" s="7" t="s">
        <v>6468</v>
      </c>
      <c r="H109" s="7" t="s">
        <v>6509</v>
      </c>
      <c r="I109" s="7" t="s">
        <v>6779</v>
      </c>
      <c r="J109" s="7"/>
    </row>
    <row r="110" customFormat="false" ht="26.85" hidden="false" customHeight="false" outlineLevel="0" collapsed="false">
      <c r="A110" s="7" t="s">
        <v>6780</v>
      </c>
      <c r="B110" s="7" t="s">
        <v>6473</v>
      </c>
      <c r="C110" s="7" t="s">
        <v>6474</v>
      </c>
      <c r="D110" s="7" t="s">
        <v>6465</v>
      </c>
      <c r="E110" s="7" t="s">
        <v>6466</v>
      </c>
      <c r="F110" s="65" t="s">
        <v>6475</v>
      </c>
      <c r="G110" s="7" t="s">
        <v>6468</v>
      </c>
      <c r="H110" s="7" t="s">
        <v>6469</v>
      </c>
      <c r="I110" s="7" t="s">
        <v>6781</v>
      </c>
      <c r="J110" s="7"/>
    </row>
    <row r="111" customFormat="false" ht="26.85" hidden="false" customHeight="false" outlineLevel="0" collapsed="false">
      <c r="A111" s="7" t="s">
        <v>6782</v>
      </c>
      <c r="B111" s="7" t="s">
        <v>6473</v>
      </c>
      <c r="C111" s="7" t="s">
        <v>6474</v>
      </c>
      <c r="D111" s="7" t="s">
        <v>6465</v>
      </c>
      <c r="E111" s="7" t="s">
        <v>6466</v>
      </c>
      <c r="F111" s="65" t="s">
        <v>6475</v>
      </c>
      <c r="G111" s="7" t="s">
        <v>6553</v>
      </c>
      <c r="H111" s="7" t="s">
        <v>6469</v>
      </c>
      <c r="I111" s="7" t="s">
        <v>6783</v>
      </c>
      <c r="J111" s="7"/>
    </row>
    <row r="112" customFormat="false" ht="26.85" hidden="false" customHeight="false" outlineLevel="0" collapsed="false">
      <c r="A112" s="7" t="s">
        <v>6784</v>
      </c>
      <c r="B112" s="7" t="s">
        <v>6473</v>
      </c>
      <c r="C112" s="7" t="s">
        <v>6785</v>
      </c>
      <c r="D112" s="7" t="s">
        <v>6465</v>
      </c>
      <c r="E112" s="7" t="s">
        <v>6786</v>
      </c>
      <c r="F112" s="65" t="s">
        <v>6475</v>
      </c>
      <c r="G112" s="7" t="s">
        <v>6468</v>
      </c>
      <c r="H112" s="7" t="s">
        <v>6469</v>
      </c>
      <c r="I112" s="7" t="s">
        <v>6787</v>
      </c>
      <c r="J112" s="7"/>
    </row>
    <row r="113" customFormat="false" ht="26.85" hidden="false" customHeight="false" outlineLevel="0" collapsed="false">
      <c r="A113" s="7" t="s">
        <v>6788</v>
      </c>
      <c r="B113" s="7" t="s">
        <v>6473</v>
      </c>
      <c r="C113" s="7" t="s">
        <v>6785</v>
      </c>
      <c r="D113" s="7" t="s">
        <v>6465</v>
      </c>
      <c r="E113" s="7" t="s">
        <v>6786</v>
      </c>
      <c r="F113" s="65" t="s">
        <v>6475</v>
      </c>
      <c r="G113" s="7" t="s">
        <v>6468</v>
      </c>
      <c r="H113" s="7" t="s">
        <v>6469</v>
      </c>
      <c r="I113" s="7" t="s">
        <v>6789</v>
      </c>
      <c r="J113" s="7"/>
    </row>
    <row r="114" customFormat="false" ht="26.85" hidden="false" customHeight="false" outlineLevel="0" collapsed="false">
      <c r="A114" s="7" t="s">
        <v>6790</v>
      </c>
      <c r="B114" s="7" t="s">
        <v>6473</v>
      </c>
      <c r="C114" s="7" t="s">
        <v>6785</v>
      </c>
      <c r="D114" s="7" t="s">
        <v>6465</v>
      </c>
      <c r="E114" s="7" t="s">
        <v>6786</v>
      </c>
      <c r="F114" s="65" t="s">
        <v>6475</v>
      </c>
      <c r="G114" s="7" t="s">
        <v>6468</v>
      </c>
      <c r="H114" s="7" t="s">
        <v>6469</v>
      </c>
      <c r="I114" s="7" t="s">
        <v>6791</v>
      </c>
      <c r="J114" s="7"/>
    </row>
    <row r="115" customFormat="false" ht="26.85" hidden="false" customHeight="false" outlineLevel="0" collapsed="false">
      <c r="A115" s="7" t="s">
        <v>6792</v>
      </c>
      <c r="B115" s="7" t="s">
        <v>6473</v>
      </c>
      <c r="C115" s="7" t="s">
        <v>6785</v>
      </c>
      <c r="D115" s="7" t="s">
        <v>6465</v>
      </c>
      <c r="E115" s="7" t="s">
        <v>6786</v>
      </c>
      <c r="F115" s="65" t="s">
        <v>6475</v>
      </c>
      <c r="G115" s="7" t="s">
        <v>6553</v>
      </c>
      <c r="H115" s="7" t="s">
        <v>6469</v>
      </c>
      <c r="I115" s="7" t="s">
        <v>6793</v>
      </c>
      <c r="J115" s="7"/>
    </row>
    <row r="116" customFormat="false" ht="26.85" hidden="false" customHeight="false" outlineLevel="0" collapsed="false">
      <c r="A116" s="7" t="s">
        <v>6794</v>
      </c>
      <c r="B116" s="7" t="s">
        <v>6473</v>
      </c>
      <c r="C116" s="7" t="s">
        <v>6785</v>
      </c>
      <c r="D116" s="7" t="s">
        <v>6465</v>
      </c>
      <c r="E116" s="7" t="s">
        <v>6786</v>
      </c>
      <c r="F116" s="65" t="s">
        <v>6475</v>
      </c>
      <c r="G116" s="7" t="s">
        <v>6468</v>
      </c>
      <c r="H116" s="7" t="s">
        <v>6469</v>
      </c>
      <c r="I116" s="7" t="s">
        <v>6795</v>
      </c>
      <c r="J116" s="7"/>
    </row>
    <row r="117" customFormat="false" ht="26.85" hidden="false" customHeight="false" outlineLevel="0" collapsed="false">
      <c r="A117" s="7" t="s">
        <v>6796</v>
      </c>
      <c r="B117" s="7" t="s">
        <v>6473</v>
      </c>
      <c r="C117" s="7" t="s">
        <v>6785</v>
      </c>
      <c r="D117" s="7" t="s">
        <v>6465</v>
      </c>
      <c r="E117" s="7" t="s">
        <v>6786</v>
      </c>
      <c r="F117" s="65" t="s">
        <v>6475</v>
      </c>
      <c r="G117" s="7" t="s">
        <v>6553</v>
      </c>
      <c r="H117" s="7" t="s">
        <v>6469</v>
      </c>
      <c r="I117" s="7" t="s">
        <v>6797</v>
      </c>
      <c r="J117" s="7"/>
    </row>
    <row r="118" customFormat="false" ht="26.85" hidden="false" customHeight="false" outlineLevel="0" collapsed="false">
      <c r="A118" s="7" t="s">
        <v>6798</v>
      </c>
      <c r="B118" s="7" t="s">
        <v>6473</v>
      </c>
      <c r="C118" s="7" t="s">
        <v>6542</v>
      </c>
      <c r="D118" s="7" t="s">
        <v>6465</v>
      </c>
      <c r="E118" s="7" t="s">
        <v>6786</v>
      </c>
      <c r="F118" s="65" t="s">
        <v>6475</v>
      </c>
      <c r="G118" s="7" t="s">
        <v>6468</v>
      </c>
      <c r="H118" s="7" t="s">
        <v>6469</v>
      </c>
      <c r="I118" s="7" t="s">
        <v>6799</v>
      </c>
      <c r="J118" s="7"/>
    </row>
    <row r="119" customFormat="false" ht="26.85" hidden="false" customHeight="false" outlineLevel="0" collapsed="false">
      <c r="A119" s="7" t="s">
        <v>6800</v>
      </c>
      <c r="B119" s="7" t="s">
        <v>6473</v>
      </c>
      <c r="C119" s="7" t="s">
        <v>6801</v>
      </c>
      <c r="D119" s="7" t="s">
        <v>6465</v>
      </c>
      <c r="E119" s="7" t="s">
        <v>6786</v>
      </c>
      <c r="F119" s="65" t="s">
        <v>6475</v>
      </c>
      <c r="G119" s="7" t="s">
        <v>6553</v>
      </c>
      <c r="H119" s="7" t="s">
        <v>6469</v>
      </c>
      <c r="I119" s="7" t="s">
        <v>6802</v>
      </c>
      <c r="J119" s="7"/>
    </row>
    <row r="120" customFormat="false" ht="26.85" hidden="false" customHeight="false" outlineLevel="0" collapsed="false">
      <c r="A120" s="7" t="s">
        <v>6803</v>
      </c>
      <c r="B120" s="7" t="s">
        <v>6473</v>
      </c>
      <c r="C120" s="7" t="s">
        <v>6785</v>
      </c>
      <c r="D120" s="7" t="s">
        <v>6465</v>
      </c>
      <c r="E120" s="7" t="s">
        <v>6786</v>
      </c>
      <c r="F120" s="65" t="s">
        <v>6475</v>
      </c>
      <c r="G120" s="7" t="s">
        <v>6468</v>
      </c>
      <c r="H120" s="7" t="s">
        <v>6469</v>
      </c>
      <c r="I120" s="7" t="s">
        <v>6804</v>
      </c>
      <c r="J120" s="7"/>
    </row>
    <row r="121" customFormat="false" ht="26.85" hidden="false" customHeight="false" outlineLevel="0" collapsed="false">
      <c r="A121" s="7" t="s">
        <v>6805</v>
      </c>
      <c r="B121" s="7" t="s">
        <v>6473</v>
      </c>
      <c r="C121" s="7" t="s">
        <v>6785</v>
      </c>
      <c r="D121" s="7" t="s">
        <v>6465</v>
      </c>
      <c r="E121" s="7" t="s">
        <v>6786</v>
      </c>
      <c r="F121" s="65" t="s">
        <v>6475</v>
      </c>
      <c r="G121" s="7" t="s">
        <v>6468</v>
      </c>
      <c r="H121" s="7" t="s">
        <v>6509</v>
      </c>
      <c r="I121" s="7" t="s">
        <v>6806</v>
      </c>
      <c r="J121" s="7"/>
    </row>
    <row r="122" customFormat="false" ht="26.85" hidden="false" customHeight="false" outlineLevel="0" collapsed="false">
      <c r="A122" s="7" t="s">
        <v>6807</v>
      </c>
      <c r="B122" s="7" t="s">
        <v>6473</v>
      </c>
      <c r="C122" s="7" t="s">
        <v>6785</v>
      </c>
      <c r="D122" s="7" t="s">
        <v>6465</v>
      </c>
      <c r="E122" s="7" t="s">
        <v>6786</v>
      </c>
      <c r="F122" s="65" t="s">
        <v>6475</v>
      </c>
      <c r="G122" s="7" t="s">
        <v>6553</v>
      </c>
      <c r="H122" s="7" t="s">
        <v>6469</v>
      </c>
      <c r="I122" s="7" t="s">
        <v>6808</v>
      </c>
      <c r="J122" s="7"/>
    </row>
    <row r="123" customFormat="false" ht="26.85" hidden="false" customHeight="false" outlineLevel="0" collapsed="false">
      <c r="A123" s="7" t="s">
        <v>6809</v>
      </c>
      <c r="B123" s="7" t="s">
        <v>6473</v>
      </c>
      <c r="C123" s="7" t="s">
        <v>6785</v>
      </c>
      <c r="D123" s="7" t="s">
        <v>6465</v>
      </c>
      <c r="E123" s="7" t="s">
        <v>6786</v>
      </c>
      <c r="F123" s="65" t="s">
        <v>6475</v>
      </c>
      <c r="G123" s="7" t="s">
        <v>6468</v>
      </c>
      <c r="H123" s="7" t="s">
        <v>6469</v>
      </c>
      <c r="I123" s="7" t="s">
        <v>6810</v>
      </c>
      <c r="J123" s="7"/>
    </row>
    <row r="124" customFormat="false" ht="26.85" hidden="false" customHeight="false" outlineLevel="0" collapsed="false">
      <c r="A124" s="7" t="s">
        <v>6811</v>
      </c>
      <c r="B124" s="7" t="s">
        <v>6473</v>
      </c>
      <c r="C124" s="7" t="s">
        <v>6785</v>
      </c>
      <c r="D124" s="7" t="s">
        <v>6465</v>
      </c>
      <c r="E124" s="7" t="s">
        <v>6786</v>
      </c>
      <c r="F124" s="66" t="s">
        <v>6495</v>
      </c>
      <c r="G124" s="7" t="s">
        <v>6468</v>
      </c>
      <c r="H124" s="7" t="s">
        <v>6509</v>
      </c>
      <c r="I124" s="7" t="s">
        <v>6812</v>
      </c>
      <c r="J124" s="7" t="s">
        <v>6813</v>
      </c>
    </row>
    <row r="125" customFormat="false" ht="26.85" hidden="false" customHeight="false" outlineLevel="0" collapsed="false">
      <c r="A125" s="7" t="s">
        <v>6814</v>
      </c>
      <c r="B125" s="7" t="s">
        <v>6488</v>
      </c>
      <c r="C125" s="7" t="s">
        <v>6815</v>
      </c>
      <c r="D125" s="7" t="s">
        <v>6465</v>
      </c>
      <c r="E125" s="7" t="s">
        <v>6786</v>
      </c>
      <c r="F125" s="65" t="s">
        <v>6475</v>
      </c>
      <c r="G125" s="7" t="s">
        <v>6468</v>
      </c>
      <c r="H125" s="7" t="s">
        <v>6509</v>
      </c>
      <c r="I125" s="7" t="s">
        <v>6816</v>
      </c>
      <c r="J125" s="7"/>
    </row>
    <row r="126" customFormat="false" ht="26.85" hidden="false" customHeight="false" outlineLevel="0" collapsed="false">
      <c r="A126" s="7" t="s">
        <v>6817</v>
      </c>
      <c r="B126" s="7" t="s">
        <v>6473</v>
      </c>
      <c r="C126" s="7" t="s">
        <v>6785</v>
      </c>
      <c r="D126" s="7" t="s">
        <v>6465</v>
      </c>
      <c r="E126" s="7" t="s">
        <v>6786</v>
      </c>
      <c r="F126" s="65" t="s">
        <v>6475</v>
      </c>
      <c r="G126" s="7" t="s">
        <v>6468</v>
      </c>
      <c r="H126" s="7" t="s">
        <v>6469</v>
      </c>
      <c r="I126" s="7" t="s">
        <v>6818</v>
      </c>
      <c r="J126" s="7"/>
    </row>
    <row r="127" customFormat="false" ht="26.85" hidden="false" customHeight="false" outlineLevel="0" collapsed="false">
      <c r="A127" s="7" t="s">
        <v>6819</v>
      </c>
      <c r="B127" s="7" t="s">
        <v>6473</v>
      </c>
      <c r="C127" s="7" t="s">
        <v>6785</v>
      </c>
      <c r="D127" s="7" t="s">
        <v>6465</v>
      </c>
      <c r="E127" s="7" t="s">
        <v>6786</v>
      </c>
      <c r="F127" s="65" t="s">
        <v>6475</v>
      </c>
      <c r="G127" s="7" t="s">
        <v>6468</v>
      </c>
      <c r="H127" s="7" t="s">
        <v>6509</v>
      </c>
      <c r="I127" s="7" t="s">
        <v>6820</v>
      </c>
      <c r="J127" s="7"/>
    </row>
    <row r="128" customFormat="false" ht="26.85" hidden="false" customHeight="false" outlineLevel="0" collapsed="false">
      <c r="A128" s="7" t="s">
        <v>6821</v>
      </c>
      <c r="B128" s="7" t="s">
        <v>6473</v>
      </c>
      <c r="C128" s="7" t="s">
        <v>6785</v>
      </c>
      <c r="D128" s="7" t="s">
        <v>6465</v>
      </c>
      <c r="E128" s="7" t="s">
        <v>6786</v>
      </c>
      <c r="F128" s="66" t="s">
        <v>6495</v>
      </c>
      <c r="G128" s="7" t="s">
        <v>6468</v>
      </c>
      <c r="H128" s="7" t="s">
        <v>6469</v>
      </c>
      <c r="I128" s="7" t="s">
        <v>6822</v>
      </c>
      <c r="J128" s="7" t="s">
        <v>6823</v>
      </c>
    </row>
    <row r="129" customFormat="false" ht="39.55" hidden="false" customHeight="false" outlineLevel="0" collapsed="false">
      <c r="A129" s="7" t="s">
        <v>6824</v>
      </c>
      <c r="B129" s="7" t="s">
        <v>6473</v>
      </c>
      <c r="C129" s="7" t="s">
        <v>6785</v>
      </c>
      <c r="D129" s="7" t="s">
        <v>6465</v>
      </c>
      <c r="E129" s="7" t="s">
        <v>6786</v>
      </c>
      <c r="F129" s="65" t="s">
        <v>6475</v>
      </c>
      <c r="G129" s="7" t="s">
        <v>6468</v>
      </c>
      <c r="H129" s="7" t="s">
        <v>6469</v>
      </c>
      <c r="I129" s="7" t="s">
        <v>6825</v>
      </c>
      <c r="J129" s="7" t="s">
        <v>6826</v>
      </c>
    </row>
    <row r="130" customFormat="false" ht="26.85" hidden="false" customHeight="false" outlineLevel="0" collapsed="false">
      <c r="A130" s="7" t="s">
        <v>6827</v>
      </c>
      <c r="B130" s="7" t="s">
        <v>6473</v>
      </c>
      <c r="C130" s="7" t="s">
        <v>6785</v>
      </c>
      <c r="D130" s="7" t="s">
        <v>6465</v>
      </c>
      <c r="E130" s="7" t="s">
        <v>6786</v>
      </c>
      <c r="F130" s="37" t="s">
        <v>6467</v>
      </c>
      <c r="G130" s="7" t="s">
        <v>6553</v>
      </c>
      <c r="H130" s="7" t="s">
        <v>6469</v>
      </c>
      <c r="I130" s="7" t="s">
        <v>6828</v>
      </c>
      <c r="J130" s="7" t="s">
        <v>6829</v>
      </c>
    </row>
    <row r="131" customFormat="false" ht="26.85" hidden="false" customHeight="false" outlineLevel="0" collapsed="false">
      <c r="A131" s="7" t="s">
        <v>6830</v>
      </c>
      <c r="B131" s="7" t="s">
        <v>6473</v>
      </c>
      <c r="C131" s="7" t="s">
        <v>6785</v>
      </c>
      <c r="D131" s="7" t="s">
        <v>6465</v>
      </c>
      <c r="E131" s="7" t="s">
        <v>6786</v>
      </c>
      <c r="F131" s="65" t="s">
        <v>6475</v>
      </c>
      <c r="G131" s="7" t="s">
        <v>6553</v>
      </c>
      <c r="H131" s="7" t="s">
        <v>6469</v>
      </c>
      <c r="I131" s="7" t="s">
        <v>6831</v>
      </c>
      <c r="J131" s="7"/>
    </row>
    <row r="132" customFormat="false" ht="26.85" hidden="false" customHeight="false" outlineLevel="0" collapsed="false">
      <c r="A132" s="7" t="s">
        <v>6832</v>
      </c>
      <c r="B132" s="7" t="s">
        <v>6608</v>
      </c>
      <c r="C132" s="7" t="s">
        <v>6833</v>
      </c>
      <c r="D132" s="7" t="s">
        <v>6465</v>
      </c>
      <c r="E132" s="7" t="s">
        <v>6786</v>
      </c>
      <c r="F132" s="65" t="s">
        <v>6475</v>
      </c>
      <c r="G132" s="7" t="s">
        <v>6553</v>
      </c>
      <c r="H132" s="7" t="s">
        <v>6469</v>
      </c>
      <c r="I132" s="7" t="s">
        <v>6834</v>
      </c>
      <c r="J132" s="7"/>
    </row>
    <row r="133" customFormat="false" ht="26.85" hidden="false" customHeight="false" outlineLevel="0" collapsed="false">
      <c r="A133" s="7" t="s">
        <v>6835</v>
      </c>
      <c r="B133" s="7" t="s">
        <v>6473</v>
      </c>
      <c r="C133" s="7" t="s">
        <v>6785</v>
      </c>
      <c r="D133" s="7" t="s">
        <v>6465</v>
      </c>
      <c r="E133" s="7" t="s">
        <v>6786</v>
      </c>
      <c r="F133" s="65" t="s">
        <v>6475</v>
      </c>
      <c r="G133" s="7" t="s">
        <v>6468</v>
      </c>
      <c r="H133" s="7" t="s">
        <v>6469</v>
      </c>
      <c r="I133" s="7" t="s">
        <v>6836</v>
      </c>
      <c r="J133" s="7"/>
    </row>
    <row r="134" customFormat="false" ht="64.9" hidden="false" customHeight="false" outlineLevel="0" collapsed="false">
      <c r="A134" s="7" t="s">
        <v>6837</v>
      </c>
      <c r="B134" s="7" t="s">
        <v>6473</v>
      </c>
      <c r="C134" s="7" t="s">
        <v>6785</v>
      </c>
      <c r="D134" s="7" t="s">
        <v>6465</v>
      </c>
      <c r="E134" s="7" t="s">
        <v>6786</v>
      </c>
      <c r="F134" s="36" t="s">
        <v>6838</v>
      </c>
      <c r="G134" s="7" t="s">
        <v>6468</v>
      </c>
      <c r="H134" s="7" t="s">
        <v>6469</v>
      </c>
      <c r="I134" s="7" t="s">
        <v>6839</v>
      </c>
      <c r="J134" s="7" t="s">
        <v>6840</v>
      </c>
    </row>
    <row r="135" customFormat="false" ht="26.85" hidden="false" customHeight="false" outlineLevel="0" collapsed="false">
      <c r="A135" s="7" t="s">
        <v>6841</v>
      </c>
      <c r="B135" s="7" t="s">
        <v>6473</v>
      </c>
      <c r="C135" s="7" t="s">
        <v>6785</v>
      </c>
      <c r="D135" s="7" t="s">
        <v>6465</v>
      </c>
      <c r="E135" s="7" t="s">
        <v>6786</v>
      </c>
      <c r="F135" s="65" t="s">
        <v>6475</v>
      </c>
      <c r="G135" s="7" t="s">
        <v>6468</v>
      </c>
      <c r="H135" s="7" t="s">
        <v>6509</v>
      </c>
      <c r="I135" s="7" t="s">
        <v>6842</v>
      </c>
      <c r="J135" s="7"/>
    </row>
    <row r="136" customFormat="false" ht="26.85" hidden="false" customHeight="false" outlineLevel="0" collapsed="false">
      <c r="A136" s="7" t="s">
        <v>6843</v>
      </c>
      <c r="B136" s="7" t="s">
        <v>6473</v>
      </c>
      <c r="C136" s="7" t="s">
        <v>6785</v>
      </c>
      <c r="D136" s="7" t="s">
        <v>6465</v>
      </c>
      <c r="E136" s="7" t="s">
        <v>6786</v>
      </c>
      <c r="F136" s="65" t="s">
        <v>6475</v>
      </c>
      <c r="G136" s="7" t="s">
        <v>6468</v>
      </c>
      <c r="H136" s="7" t="s">
        <v>6469</v>
      </c>
      <c r="I136" s="7" t="s">
        <v>6844</v>
      </c>
      <c r="J136" s="7"/>
    </row>
    <row r="137" customFormat="false" ht="26.85" hidden="false" customHeight="false" outlineLevel="0" collapsed="false">
      <c r="A137" s="7" t="s">
        <v>6845</v>
      </c>
      <c r="B137" s="7" t="s">
        <v>6488</v>
      </c>
      <c r="C137" s="7" t="s">
        <v>6846</v>
      </c>
      <c r="D137" s="7" t="s">
        <v>6465</v>
      </c>
      <c r="E137" s="7" t="s">
        <v>6786</v>
      </c>
      <c r="F137" s="65" t="s">
        <v>6475</v>
      </c>
      <c r="G137" s="7" t="s">
        <v>6468</v>
      </c>
      <c r="H137" s="7" t="s">
        <v>6509</v>
      </c>
      <c r="I137" s="7" t="s">
        <v>6847</v>
      </c>
      <c r="J137" s="7" t="s">
        <v>6848</v>
      </c>
    </row>
    <row r="138" customFormat="false" ht="26.85" hidden="false" customHeight="false" outlineLevel="0" collapsed="false">
      <c r="A138" s="7" t="s">
        <v>6849</v>
      </c>
      <c r="B138" s="7" t="s">
        <v>6473</v>
      </c>
      <c r="C138" s="7" t="s">
        <v>6785</v>
      </c>
      <c r="D138" s="7" t="s">
        <v>6465</v>
      </c>
      <c r="E138" s="7" t="s">
        <v>6786</v>
      </c>
      <c r="F138" s="65" t="s">
        <v>6475</v>
      </c>
      <c r="G138" s="7" t="s">
        <v>6553</v>
      </c>
      <c r="H138" s="7" t="s">
        <v>6469</v>
      </c>
      <c r="I138" s="7" t="s">
        <v>6850</v>
      </c>
      <c r="J138" s="7"/>
    </row>
    <row r="139" customFormat="false" ht="26.85" hidden="false" customHeight="false" outlineLevel="0" collapsed="false">
      <c r="A139" s="7" t="s">
        <v>6851</v>
      </c>
      <c r="B139" s="7" t="s">
        <v>6473</v>
      </c>
      <c r="C139" s="7" t="s">
        <v>6852</v>
      </c>
      <c r="D139" s="7" t="s">
        <v>6465</v>
      </c>
      <c r="E139" s="7" t="s">
        <v>6786</v>
      </c>
      <c r="F139" s="65" t="s">
        <v>6475</v>
      </c>
      <c r="G139" s="7" t="s">
        <v>6553</v>
      </c>
      <c r="H139" s="7" t="s">
        <v>6469</v>
      </c>
      <c r="I139" s="7" t="s">
        <v>6853</v>
      </c>
      <c r="J139" s="7"/>
    </row>
    <row r="140" customFormat="false" ht="39.55" hidden="false" customHeight="false" outlineLevel="0" collapsed="false">
      <c r="A140" s="7" t="s">
        <v>6854</v>
      </c>
      <c r="B140" s="7" t="s">
        <v>6473</v>
      </c>
      <c r="C140" s="7" t="s">
        <v>6785</v>
      </c>
      <c r="D140" s="7" t="s">
        <v>6465</v>
      </c>
      <c r="E140" s="7" t="s">
        <v>6786</v>
      </c>
      <c r="F140" s="66" t="s">
        <v>6495</v>
      </c>
      <c r="G140" s="7" t="s">
        <v>6468</v>
      </c>
      <c r="H140" s="7" t="s">
        <v>6509</v>
      </c>
      <c r="I140" s="7" t="s">
        <v>6855</v>
      </c>
      <c r="J140" s="7" t="s">
        <v>6856</v>
      </c>
    </row>
    <row r="141" customFormat="false" ht="26.85" hidden="false" customHeight="false" outlineLevel="0" collapsed="false">
      <c r="A141" s="7" t="s">
        <v>6857</v>
      </c>
      <c r="B141" s="7" t="s">
        <v>6473</v>
      </c>
      <c r="C141" s="7" t="s">
        <v>6785</v>
      </c>
      <c r="D141" s="7" t="s">
        <v>6465</v>
      </c>
      <c r="E141" s="7" t="s">
        <v>6786</v>
      </c>
      <c r="F141" s="65" t="s">
        <v>6475</v>
      </c>
      <c r="G141" s="7" t="s">
        <v>6553</v>
      </c>
      <c r="H141" s="7" t="s">
        <v>6469</v>
      </c>
      <c r="I141" s="7" t="s">
        <v>6858</v>
      </c>
      <c r="J141" s="7"/>
    </row>
    <row r="142" customFormat="false" ht="26.85" hidden="false" customHeight="false" outlineLevel="0" collapsed="false">
      <c r="A142" s="7" t="s">
        <v>6859</v>
      </c>
      <c r="B142" s="7" t="s">
        <v>6473</v>
      </c>
      <c r="C142" s="7" t="s">
        <v>6785</v>
      </c>
      <c r="D142" s="7" t="s">
        <v>6465</v>
      </c>
      <c r="E142" s="7" t="s">
        <v>6786</v>
      </c>
      <c r="F142" s="65" t="s">
        <v>6475</v>
      </c>
      <c r="G142" s="7" t="s">
        <v>6468</v>
      </c>
      <c r="H142" s="7" t="s">
        <v>6469</v>
      </c>
      <c r="I142" s="7" t="s">
        <v>6860</v>
      </c>
      <c r="J142" s="7"/>
    </row>
    <row r="143" customFormat="false" ht="26.85" hidden="false" customHeight="false" outlineLevel="0" collapsed="false">
      <c r="A143" s="7" t="s">
        <v>6861</v>
      </c>
      <c r="B143" s="7" t="s">
        <v>6473</v>
      </c>
      <c r="C143" s="7" t="s">
        <v>6785</v>
      </c>
      <c r="D143" s="7" t="s">
        <v>6465</v>
      </c>
      <c r="E143" s="7" t="s">
        <v>6786</v>
      </c>
      <c r="F143" s="65" t="s">
        <v>6475</v>
      </c>
      <c r="G143" s="7" t="s">
        <v>6468</v>
      </c>
      <c r="H143" s="7" t="s">
        <v>6469</v>
      </c>
      <c r="I143" s="7" t="s">
        <v>6862</v>
      </c>
      <c r="J143" s="7"/>
    </row>
    <row r="144" customFormat="false" ht="26.85" hidden="false" customHeight="false" outlineLevel="0" collapsed="false">
      <c r="A144" s="7" t="s">
        <v>6863</v>
      </c>
      <c r="B144" s="7" t="s">
        <v>6473</v>
      </c>
      <c r="C144" s="7" t="s">
        <v>6785</v>
      </c>
      <c r="D144" s="7" t="s">
        <v>6465</v>
      </c>
      <c r="E144" s="7" t="s">
        <v>6786</v>
      </c>
      <c r="F144" s="65" t="s">
        <v>6475</v>
      </c>
      <c r="G144" s="7" t="s">
        <v>6553</v>
      </c>
      <c r="H144" s="7" t="s">
        <v>6469</v>
      </c>
      <c r="I144" s="7" t="s">
        <v>6864</v>
      </c>
      <c r="J144" s="7"/>
    </row>
    <row r="145" customFormat="false" ht="26.85" hidden="false" customHeight="false" outlineLevel="0" collapsed="false">
      <c r="A145" s="7" t="s">
        <v>6865</v>
      </c>
      <c r="B145" s="7" t="s">
        <v>6473</v>
      </c>
      <c r="C145" s="7" t="s">
        <v>6785</v>
      </c>
      <c r="D145" s="7" t="s">
        <v>6465</v>
      </c>
      <c r="E145" s="7" t="s">
        <v>6786</v>
      </c>
      <c r="F145" s="65" t="s">
        <v>6475</v>
      </c>
      <c r="G145" s="7" t="s">
        <v>6468</v>
      </c>
      <c r="H145" s="7" t="s">
        <v>6469</v>
      </c>
      <c r="I145" s="7" t="s">
        <v>6866</v>
      </c>
      <c r="J145" s="7"/>
    </row>
    <row r="146" customFormat="false" ht="26.85" hidden="false" customHeight="false" outlineLevel="0" collapsed="false">
      <c r="A146" s="7" t="s">
        <v>6867</v>
      </c>
      <c r="B146" s="7" t="s">
        <v>6473</v>
      </c>
      <c r="C146" s="7" t="s">
        <v>6785</v>
      </c>
      <c r="D146" s="7" t="s">
        <v>6465</v>
      </c>
      <c r="E146" s="7" t="s">
        <v>6786</v>
      </c>
      <c r="F146" s="65" t="s">
        <v>6475</v>
      </c>
      <c r="G146" s="7" t="s">
        <v>6553</v>
      </c>
      <c r="H146" s="7" t="s">
        <v>6469</v>
      </c>
      <c r="I146" s="7" t="s">
        <v>6868</v>
      </c>
      <c r="J146" s="7"/>
    </row>
    <row r="147" customFormat="false" ht="26.85" hidden="false" customHeight="false" outlineLevel="0" collapsed="false">
      <c r="A147" s="7" t="s">
        <v>6869</v>
      </c>
      <c r="B147" s="7" t="s">
        <v>6473</v>
      </c>
      <c r="C147" s="7" t="s">
        <v>6785</v>
      </c>
      <c r="D147" s="7" t="s">
        <v>6465</v>
      </c>
      <c r="E147" s="7" t="s">
        <v>6786</v>
      </c>
      <c r="F147" s="65" t="s">
        <v>6475</v>
      </c>
      <c r="G147" s="7" t="s">
        <v>6553</v>
      </c>
      <c r="H147" s="7" t="s">
        <v>6469</v>
      </c>
      <c r="I147" s="7" t="s">
        <v>6870</v>
      </c>
      <c r="J147" s="7"/>
    </row>
    <row r="148" customFormat="false" ht="39.55" hidden="false" customHeight="false" outlineLevel="0" collapsed="false">
      <c r="A148" s="7" t="s">
        <v>6871</v>
      </c>
      <c r="B148" s="7" t="s">
        <v>6473</v>
      </c>
      <c r="C148" s="7" t="s">
        <v>6785</v>
      </c>
      <c r="D148" s="7" t="s">
        <v>6465</v>
      </c>
      <c r="E148" s="7" t="s">
        <v>6786</v>
      </c>
      <c r="F148" s="66" t="s">
        <v>6495</v>
      </c>
      <c r="G148" s="7" t="s">
        <v>6468</v>
      </c>
      <c r="H148" s="7" t="s">
        <v>6469</v>
      </c>
      <c r="I148" s="7" t="s">
        <v>6872</v>
      </c>
      <c r="J148" s="7" t="s">
        <v>6873</v>
      </c>
    </row>
    <row r="149" customFormat="false" ht="26.85" hidden="false" customHeight="false" outlineLevel="0" collapsed="false">
      <c r="A149" s="7" t="s">
        <v>6874</v>
      </c>
      <c r="B149" s="7" t="s">
        <v>6473</v>
      </c>
      <c r="C149" s="7" t="s">
        <v>6785</v>
      </c>
      <c r="D149" s="7" t="s">
        <v>6465</v>
      </c>
      <c r="E149" s="7" t="s">
        <v>6786</v>
      </c>
      <c r="F149" s="65" t="s">
        <v>6475</v>
      </c>
      <c r="G149" s="7" t="s">
        <v>6468</v>
      </c>
      <c r="H149" s="7" t="s">
        <v>6469</v>
      </c>
      <c r="I149" s="7" t="s">
        <v>6875</v>
      </c>
      <c r="J149" s="7"/>
    </row>
    <row r="150" customFormat="false" ht="26.85" hidden="false" customHeight="false" outlineLevel="0" collapsed="false">
      <c r="A150" s="7" t="s">
        <v>6876</v>
      </c>
      <c r="B150" s="7" t="s">
        <v>6473</v>
      </c>
      <c r="C150" s="7" t="s">
        <v>6785</v>
      </c>
      <c r="D150" s="7" t="s">
        <v>6465</v>
      </c>
      <c r="E150" s="7" t="s">
        <v>6786</v>
      </c>
      <c r="F150" s="65" t="s">
        <v>6475</v>
      </c>
      <c r="G150" s="7" t="s">
        <v>6553</v>
      </c>
      <c r="H150" s="7" t="s">
        <v>6469</v>
      </c>
      <c r="I150" s="7" t="s">
        <v>6877</v>
      </c>
      <c r="J150" s="7"/>
    </row>
    <row r="151" customFormat="false" ht="26.85" hidden="false" customHeight="false" outlineLevel="0" collapsed="false">
      <c r="A151" s="7" t="s">
        <v>6878</v>
      </c>
      <c r="B151" s="7" t="s">
        <v>6473</v>
      </c>
      <c r="C151" s="7" t="s">
        <v>6785</v>
      </c>
      <c r="D151" s="7" t="s">
        <v>6465</v>
      </c>
      <c r="E151" s="7" t="s">
        <v>6786</v>
      </c>
      <c r="F151" s="65" t="s">
        <v>6475</v>
      </c>
      <c r="G151" s="7" t="s">
        <v>6468</v>
      </c>
      <c r="H151" s="7" t="s">
        <v>6469</v>
      </c>
      <c r="I151" s="7" t="s">
        <v>6879</v>
      </c>
      <c r="J151" s="7"/>
    </row>
    <row r="152" customFormat="false" ht="26.85" hidden="false" customHeight="false" outlineLevel="0" collapsed="false">
      <c r="A152" s="7" t="s">
        <v>6880</v>
      </c>
      <c r="B152" s="7" t="s">
        <v>6473</v>
      </c>
      <c r="C152" s="7" t="s">
        <v>6785</v>
      </c>
      <c r="D152" s="7" t="s">
        <v>6465</v>
      </c>
      <c r="E152" s="7" t="s">
        <v>6786</v>
      </c>
      <c r="F152" s="65" t="s">
        <v>6475</v>
      </c>
      <c r="G152" s="7" t="s">
        <v>6468</v>
      </c>
      <c r="H152" s="7" t="s">
        <v>6469</v>
      </c>
      <c r="I152" s="7" t="s">
        <v>6881</v>
      </c>
      <c r="J152" s="7"/>
    </row>
    <row r="153" customFormat="false" ht="26.85" hidden="false" customHeight="false" outlineLevel="0" collapsed="false">
      <c r="A153" s="7" t="s">
        <v>6882</v>
      </c>
      <c r="B153" s="7" t="s">
        <v>6473</v>
      </c>
      <c r="C153" s="7" t="s">
        <v>6785</v>
      </c>
      <c r="D153" s="7" t="s">
        <v>6465</v>
      </c>
      <c r="E153" s="7" t="s">
        <v>6786</v>
      </c>
      <c r="F153" s="37" t="s">
        <v>6467</v>
      </c>
      <c r="G153" s="7" t="s">
        <v>6553</v>
      </c>
      <c r="H153" s="7" t="s">
        <v>6469</v>
      </c>
      <c r="I153" s="7" t="s">
        <v>6883</v>
      </c>
      <c r="J153" s="7" t="s">
        <v>6884</v>
      </c>
    </row>
    <row r="154" customFormat="false" ht="26.85" hidden="false" customHeight="false" outlineLevel="0" collapsed="false">
      <c r="A154" s="7" t="s">
        <v>6885</v>
      </c>
      <c r="B154" s="7" t="s">
        <v>6473</v>
      </c>
      <c r="C154" s="7" t="s">
        <v>6785</v>
      </c>
      <c r="D154" s="7" t="s">
        <v>6465</v>
      </c>
      <c r="E154" s="7" t="s">
        <v>6786</v>
      </c>
      <c r="F154" s="65" t="s">
        <v>6475</v>
      </c>
      <c r="G154" s="7" t="s">
        <v>6468</v>
      </c>
      <c r="H154" s="7" t="s">
        <v>6469</v>
      </c>
      <c r="I154" s="7" t="s">
        <v>6886</v>
      </c>
      <c r="J154" s="7"/>
    </row>
    <row r="155" customFormat="false" ht="26.85" hidden="false" customHeight="false" outlineLevel="0" collapsed="false">
      <c r="A155" s="7" t="s">
        <v>6887</v>
      </c>
      <c r="B155" s="7" t="s">
        <v>6473</v>
      </c>
      <c r="C155" s="7" t="s">
        <v>6785</v>
      </c>
      <c r="D155" s="7" t="s">
        <v>6465</v>
      </c>
      <c r="E155" s="7" t="s">
        <v>6786</v>
      </c>
      <c r="F155" s="65" t="s">
        <v>6475</v>
      </c>
      <c r="G155" s="7" t="s">
        <v>6468</v>
      </c>
      <c r="H155" s="7" t="s">
        <v>6469</v>
      </c>
      <c r="I155" s="7" t="s">
        <v>6888</v>
      </c>
      <c r="J155" s="7"/>
    </row>
    <row r="156" customFormat="false" ht="26.85" hidden="false" customHeight="false" outlineLevel="0" collapsed="false">
      <c r="A156" s="7" t="s">
        <v>6889</v>
      </c>
      <c r="B156" s="7" t="s">
        <v>6473</v>
      </c>
      <c r="C156" s="7" t="s">
        <v>6785</v>
      </c>
      <c r="D156" s="7" t="s">
        <v>6465</v>
      </c>
      <c r="E156" s="7" t="s">
        <v>6786</v>
      </c>
      <c r="F156" s="65" t="s">
        <v>6475</v>
      </c>
      <c r="G156" s="7" t="s">
        <v>6468</v>
      </c>
      <c r="H156" s="7" t="s">
        <v>6469</v>
      </c>
      <c r="I156" s="7" t="s">
        <v>6890</v>
      </c>
      <c r="J156" s="7"/>
    </row>
    <row r="157" customFormat="false" ht="26.85" hidden="false" customHeight="false" outlineLevel="0" collapsed="false">
      <c r="A157" s="7" t="s">
        <v>6891</v>
      </c>
      <c r="B157" s="7" t="s">
        <v>6473</v>
      </c>
      <c r="C157" s="7" t="s">
        <v>6785</v>
      </c>
      <c r="D157" s="7" t="s">
        <v>6465</v>
      </c>
      <c r="E157" s="7" t="s">
        <v>6786</v>
      </c>
      <c r="F157" s="65" t="s">
        <v>6475</v>
      </c>
      <c r="G157" s="7" t="s">
        <v>6468</v>
      </c>
      <c r="H157" s="7" t="s">
        <v>6469</v>
      </c>
      <c r="I157" s="7" t="s">
        <v>6892</v>
      </c>
      <c r="J157" s="7"/>
    </row>
    <row r="158" customFormat="false" ht="26.85" hidden="false" customHeight="false" outlineLevel="0" collapsed="false">
      <c r="A158" s="7" t="s">
        <v>6893</v>
      </c>
      <c r="B158" s="7" t="s">
        <v>6473</v>
      </c>
      <c r="C158" s="7" t="s">
        <v>6785</v>
      </c>
      <c r="D158" s="7" t="s">
        <v>6465</v>
      </c>
      <c r="E158" s="7" t="s">
        <v>6786</v>
      </c>
      <c r="F158" s="65" t="s">
        <v>6475</v>
      </c>
      <c r="G158" s="7" t="s">
        <v>6553</v>
      </c>
      <c r="H158" s="7" t="s">
        <v>6469</v>
      </c>
      <c r="I158" s="7" t="s">
        <v>6894</v>
      </c>
      <c r="J158" s="7"/>
    </row>
    <row r="159" customFormat="false" ht="26.85" hidden="false" customHeight="false" outlineLevel="0" collapsed="false">
      <c r="A159" s="7" t="s">
        <v>6895</v>
      </c>
      <c r="B159" s="7" t="s">
        <v>6473</v>
      </c>
      <c r="C159" s="7" t="s">
        <v>6785</v>
      </c>
      <c r="D159" s="7" t="s">
        <v>6465</v>
      </c>
      <c r="E159" s="7" t="s">
        <v>6786</v>
      </c>
      <c r="F159" s="65" t="s">
        <v>6475</v>
      </c>
      <c r="G159" s="7" t="s">
        <v>6553</v>
      </c>
      <c r="H159" s="7" t="s">
        <v>6469</v>
      </c>
      <c r="I159" s="7" t="s">
        <v>6896</v>
      </c>
      <c r="J159" s="7"/>
    </row>
    <row r="160" customFormat="false" ht="26.85" hidden="false" customHeight="false" outlineLevel="0" collapsed="false">
      <c r="A160" s="7" t="s">
        <v>6897</v>
      </c>
      <c r="B160" s="7" t="s">
        <v>6473</v>
      </c>
      <c r="C160" s="7" t="s">
        <v>6785</v>
      </c>
      <c r="D160" s="7" t="s">
        <v>6465</v>
      </c>
      <c r="E160" s="7" t="s">
        <v>6786</v>
      </c>
      <c r="F160" s="65" t="s">
        <v>6475</v>
      </c>
      <c r="G160" s="7" t="s">
        <v>6468</v>
      </c>
      <c r="H160" s="7" t="s">
        <v>6469</v>
      </c>
      <c r="I160" s="7" t="s">
        <v>6898</v>
      </c>
      <c r="J160" s="7"/>
    </row>
    <row r="161" customFormat="false" ht="26.85" hidden="false" customHeight="false" outlineLevel="0" collapsed="false">
      <c r="A161" s="7" t="s">
        <v>6899</v>
      </c>
      <c r="B161" s="7" t="s">
        <v>6473</v>
      </c>
      <c r="C161" s="7" t="s">
        <v>6785</v>
      </c>
      <c r="D161" s="7" t="s">
        <v>6465</v>
      </c>
      <c r="E161" s="7" t="s">
        <v>6786</v>
      </c>
      <c r="F161" s="65" t="s">
        <v>6475</v>
      </c>
      <c r="G161" s="7" t="s">
        <v>6468</v>
      </c>
      <c r="H161" s="7" t="s">
        <v>6469</v>
      </c>
      <c r="I161" s="7" t="s">
        <v>6900</v>
      </c>
      <c r="J161" s="7"/>
    </row>
    <row r="162" customFormat="false" ht="26.85" hidden="false" customHeight="false" outlineLevel="0" collapsed="false">
      <c r="A162" s="7" t="s">
        <v>6901</v>
      </c>
      <c r="B162" s="7" t="s">
        <v>6473</v>
      </c>
      <c r="C162" s="7" t="s">
        <v>6785</v>
      </c>
      <c r="D162" s="7" t="s">
        <v>6465</v>
      </c>
      <c r="E162" s="7" t="s">
        <v>6786</v>
      </c>
      <c r="F162" s="65" t="s">
        <v>6475</v>
      </c>
      <c r="G162" s="7" t="s">
        <v>6468</v>
      </c>
      <c r="H162" s="7" t="s">
        <v>6509</v>
      </c>
      <c r="I162" s="7" t="s">
        <v>6902</v>
      </c>
      <c r="J162" s="7"/>
    </row>
    <row r="163" customFormat="false" ht="26.85" hidden="false" customHeight="false" outlineLevel="0" collapsed="false">
      <c r="A163" s="7" t="s">
        <v>6903</v>
      </c>
      <c r="B163" s="7" t="s">
        <v>6473</v>
      </c>
      <c r="C163" s="7" t="s">
        <v>6785</v>
      </c>
      <c r="D163" s="7" t="s">
        <v>6465</v>
      </c>
      <c r="E163" s="7" t="s">
        <v>6786</v>
      </c>
      <c r="F163" s="65" t="s">
        <v>6475</v>
      </c>
      <c r="G163" s="7" t="s">
        <v>6553</v>
      </c>
      <c r="H163" s="7" t="s">
        <v>6469</v>
      </c>
      <c r="I163" s="7" t="s">
        <v>6904</v>
      </c>
      <c r="J163" s="7"/>
    </row>
    <row r="164" customFormat="false" ht="26.85" hidden="false" customHeight="false" outlineLevel="0" collapsed="false">
      <c r="A164" s="7" t="s">
        <v>6905</v>
      </c>
      <c r="B164" s="7" t="s">
        <v>6473</v>
      </c>
      <c r="C164" s="7" t="s">
        <v>6785</v>
      </c>
      <c r="D164" s="7" t="s">
        <v>6465</v>
      </c>
      <c r="E164" s="7" t="s">
        <v>6786</v>
      </c>
      <c r="F164" s="65" t="s">
        <v>6475</v>
      </c>
      <c r="G164" s="7" t="s">
        <v>6468</v>
      </c>
      <c r="H164" s="7" t="s">
        <v>6469</v>
      </c>
      <c r="I164" s="7" t="s">
        <v>6906</v>
      </c>
      <c r="J164" s="7"/>
    </row>
    <row r="165" customFormat="false" ht="26.85" hidden="false" customHeight="false" outlineLevel="0" collapsed="false">
      <c r="A165" s="7" t="s">
        <v>6907</v>
      </c>
      <c r="B165" s="7" t="s">
        <v>6473</v>
      </c>
      <c r="C165" s="7" t="s">
        <v>6785</v>
      </c>
      <c r="D165" s="7" t="s">
        <v>6465</v>
      </c>
      <c r="E165" s="7" t="s">
        <v>6786</v>
      </c>
      <c r="F165" s="37" t="s">
        <v>6467</v>
      </c>
      <c r="G165" s="7" t="s">
        <v>6468</v>
      </c>
      <c r="H165" s="7" t="s">
        <v>6469</v>
      </c>
      <c r="I165" s="7" t="s">
        <v>6908</v>
      </c>
      <c r="J165" s="7" t="s">
        <v>6909</v>
      </c>
    </row>
    <row r="166" customFormat="false" ht="26.85" hidden="false" customHeight="false" outlineLevel="0" collapsed="false">
      <c r="A166" s="7" t="s">
        <v>6910</v>
      </c>
      <c r="B166" s="7" t="s">
        <v>6473</v>
      </c>
      <c r="C166" s="7" t="s">
        <v>6785</v>
      </c>
      <c r="D166" s="7" t="s">
        <v>6465</v>
      </c>
      <c r="E166" s="7" t="s">
        <v>6786</v>
      </c>
      <c r="F166" s="65" t="s">
        <v>6475</v>
      </c>
      <c r="G166" s="7" t="s">
        <v>6468</v>
      </c>
      <c r="H166" s="7" t="s">
        <v>6469</v>
      </c>
      <c r="I166" s="7" t="s">
        <v>6911</v>
      </c>
      <c r="J166" s="7"/>
    </row>
    <row r="167" customFormat="false" ht="26.85" hidden="false" customHeight="false" outlineLevel="0" collapsed="false">
      <c r="A167" s="7" t="s">
        <v>6912</v>
      </c>
      <c r="B167" s="7" t="s">
        <v>6473</v>
      </c>
      <c r="C167" s="7" t="s">
        <v>6785</v>
      </c>
      <c r="D167" s="7" t="s">
        <v>6465</v>
      </c>
      <c r="E167" s="7" t="s">
        <v>6786</v>
      </c>
      <c r="F167" s="65" t="s">
        <v>6475</v>
      </c>
      <c r="G167" s="7" t="s">
        <v>6468</v>
      </c>
      <c r="H167" s="7" t="s">
        <v>6509</v>
      </c>
      <c r="I167" s="7" t="s">
        <v>6913</v>
      </c>
      <c r="J167" s="7"/>
    </row>
    <row r="168" customFormat="false" ht="26.85" hidden="false" customHeight="false" outlineLevel="0" collapsed="false">
      <c r="A168" s="7" t="s">
        <v>6914</v>
      </c>
      <c r="B168" s="7" t="s">
        <v>6473</v>
      </c>
      <c r="C168" s="7" t="s">
        <v>6785</v>
      </c>
      <c r="D168" s="7" t="s">
        <v>6465</v>
      </c>
      <c r="E168" s="7" t="s">
        <v>6786</v>
      </c>
      <c r="F168" s="65" t="s">
        <v>6475</v>
      </c>
      <c r="G168" s="7" t="s">
        <v>6468</v>
      </c>
      <c r="H168" s="7" t="s">
        <v>6509</v>
      </c>
      <c r="I168" s="7" t="s">
        <v>6915</v>
      </c>
      <c r="J168" s="7"/>
    </row>
    <row r="169" customFormat="false" ht="26.85" hidden="false" customHeight="false" outlineLevel="0" collapsed="false">
      <c r="A169" s="7" t="s">
        <v>6916</v>
      </c>
      <c r="B169" s="7" t="s">
        <v>6484</v>
      </c>
      <c r="C169" s="7" t="s">
        <v>6917</v>
      </c>
      <c r="D169" s="7" t="s">
        <v>6465</v>
      </c>
      <c r="E169" s="7" t="s">
        <v>6786</v>
      </c>
      <c r="F169" s="65" t="s">
        <v>6475</v>
      </c>
      <c r="G169" s="7" t="s">
        <v>6468</v>
      </c>
      <c r="H169" s="7" t="s">
        <v>6469</v>
      </c>
      <c r="I169" s="7" t="s">
        <v>6918</v>
      </c>
      <c r="J169" s="7"/>
    </row>
    <row r="170" customFormat="false" ht="26.85" hidden="false" customHeight="false" outlineLevel="0" collapsed="false">
      <c r="A170" s="7" t="s">
        <v>6919</v>
      </c>
      <c r="B170" s="7" t="s">
        <v>6473</v>
      </c>
      <c r="C170" s="7" t="s">
        <v>6785</v>
      </c>
      <c r="D170" s="7" t="s">
        <v>6465</v>
      </c>
      <c r="E170" s="7" t="s">
        <v>6786</v>
      </c>
      <c r="F170" s="65" t="s">
        <v>6475</v>
      </c>
      <c r="G170" s="7" t="s">
        <v>6468</v>
      </c>
      <c r="H170" s="7" t="s">
        <v>6469</v>
      </c>
      <c r="I170" s="7" t="s">
        <v>6920</v>
      </c>
      <c r="J170" s="7"/>
    </row>
    <row r="171" customFormat="false" ht="26.85" hidden="false" customHeight="false" outlineLevel="0" collapsed="false">
      <c r="A171" s="7" t="s">
        <v>6921</v>
      </c>
      <c r="B171" s="7" t="s">
        <v>6473</v>
      </c>
      <c r="C171" s="7" t="s">
        <v>6785</v>
      </c>
      <c r="D171" s="7" t="s">
        <v>6465</v>
      </c>
      <c r="E171" s="7" t="s">
        <v>6786</v>
      </c>
      <c r="F171" s="65" t="s">
        <v>6475</v>
      </c>
      <c r="G171" s="7" t="s">
        <v>6468</v>
      </c>
      <c r="H171" s="7" t="s">
        <v>6469</v>
      </c>
      <c r="I171" s="7" t="s">
        <v>6922</v>
      </c>
      <c r="J171" s="7"/>
    </row>
    <row r="172" customFormat="false" ht="26.85" hidden="false" customHeight="false" outlineLevel="0" collapsed="false">
      <c r="A172" s="7" t="s">
        <v>6923</v>
      </c>
      <c r="B172" s="7" t="s">
        <v>6473</v>
      </c>
      <c r="C172" s="7" t="s">
        <v>6924</v>
      </c>
      <c r="D172" s="7" t="s">
        <v>6465</v>
      </c>
      <c r="E172" s="7" t="s">
        <v>6925</v>
      </c>
      <c r="F172" s="65" t="s">
        <v>6475</v>
      </c>
      <c r="G172" s="7" t="s">
        <v>6553</v>
      </c>
      <c r="H172" s="7" t="s">
        <v>6469</v>
      </c>
      <c r="I172" s="7" t="s">
        <v>6926</v>
      </c>
      <c r="J172" s="7"/>
    </row>
    <row r="173" customFormat="false" ht="26.85" hidden="false" customHeight="false" outlineLevel="0" collapsed="false">
      <c r="A173" s="7" t="s">
        <v>6927</v>
      </c>
      <c r="B173" s="7" t="s">
        <v>6750</v>
      </c>
      <c r="C173" s="7" t="s">
        <v>6928</v>
      </c>
      <c r="D173" s="7" t="s">
        <v>6465</v>
      </c>
      <c r="E173" s="7" t="s">
        <v>6925</v>
      </c>
      <c r="F173" s="65" t="s">
        <v>6475</v>
      </c>
      <c r="G173" s="7" t="s">
        <v>6468</v>
      </c>
      <c r="H173" s="7" t="s">
        <v>6469</v>
      </c>
      <c r="I173" s="7" t="s">
        <v>6929</v>
      </c>
      <c r="J173" s="7"/>
    </row>
    <row r="174" customFormat="false" ht="64.9" hidden="false" customHeight="false" outlineLevel="0" collapsed="false">
      <c r="A174" s="7" t="s">
        <v>6930</v>
      </c>
      <c r="B174" s="7" t="s">
        <v>6750</v>
      </c>
      <c r="C174" s="7" t="s">
        <v>6931</v>
      </c>
      <c r="D174" s="7" t="s">
        <v>6465</v>
      </c>
      <c r="E174" s="7" t="s">
        <v>6925</v>
      </c>
      <c r="F174" s="67" t="s">
        <v>6516</v>
      </c>
      <c r="G174" s="7" t="s">
        <v>6468</v>
      </c>
      <c r="H174" s="7" t="s">
        <v>6469</v>
      </c>
      <c r="I174" s="7" t="s">
        <v>6932</v>
      </c>
      <c r="J174" s="7" t="s">
        <v>6933</v>
      </c>
    </row>
    <row r="175" customFormat="false" ht="26.85" hidden="false" customHeight="false" outlineLevel="0" collapsed="false">
      <c r="A175" s="7" t="s">
        <v>6934</v>
      </c>
      <c r="B175" s="7" t="s">
        <v>6473</v>
      </c>
      <c r="C175" s="7" t="s">
        <v>6924</v>
      </c>
      <c r="D175" s="7" t="s">
        <v>6465</v>
      </c>
      <c r="E175" s="7" t="s">
        <v>6925</v>
      </c>
      <c r="F175" s="65" t="s">
        <v>6475</v>
      </c>
      <c r="G175" s="7" t="s">
        <v>6468</v>
      </c>
      <c r="H175" s="7" t="s">
        <v>6469</v>
      </c>
      <c r="I175" s="7" t="s">
        <v>6935</v>
      </c>
      <c r="J175" s="7"/>
    </row>
    <row r="176" customFormat="false" ht="26.85" hidden="false" customHeight="false" outlineLevel="0" collapsed="false">
      <c r="A176" s="7" t="s">
        <v>6936</v>
      </c>
      <c r="B176" s="7" t="s">
        <v>6484</v>
      </c>
      <c r="C176" s="7" t="s">
        <v>6937</v>
      </c>
      <c r="D176" s="7" t="s">
        <v>6465</v>
      </c>
      <c r="E176" s="7" t="s">
        <v>6925</v>
      </c>
      <c r="F176" s="65" t="s">
        <v>6475</v>
      </c>
      <c r="G176" s="7" t="s">
        <v>6468</v>
      </c>
      <c r="H176" s="7" t="s">
        <v>6509</v>
      </c>
      <c r="I176" s="7" t="s">
        <v>6938</v>
      </c>
      <c r="J176" s="7"/>
    </row>
    <row r="177" customFormat="false" ht="26.85" hidden="false" customHeight="false" outlineLevel="0" collapsed="false">
      <c r="A177" s="7" t="s">
        <v>6939</v>
      </c>
      <c r="B177" s="7" t="s">
        <v>6473</v>
      </c>
      <c r="C177" s="7" t="s">
        <v>6924</v>
      </c>
      <c r="D177" s="7" t="s">
        <v>6465</v>
      </c>
      <c r="E177" s="7" t="s">
        <v>6925</v>
      </c>
      <c r="F177" s="65" t="s">
        <v>6475</v>
      </c>
      <c r="G177" s="7" t="s">
        <v>6553</v>
      </c>
      <c r="H177" s="7" t="s">
        <v>6469</v>
      </c>
      <c r="I177" s="7" t="s">
        <v>6940</v>
      </c>
      <c r="J177" s="7"/>
    </row>
    <row r="178" customFormat="false" ht="26.85" hidden="false" customHeight="false" outlineLevel="0" collapsed="false">
      <c r="A178" s="7" t="s">
        <v>6941</v>
      </c>
      <c r="B178" s="7" t="s">
        <v>6484</v>
      </c>
      <c r="C178" s="7" t="s">
        <v>6942</v>
      </c>
      <c r="D178" s="7" t="s">
        <v>6465</v>
      </c>
      <c r="E178" s="7" t="s">
        <v>6925</v>
      </c>
      <c r="F178" s="65" t="s">
        <v>6475</v>
      </c>
      <c r="G178" s="7" t="s">
        <v>6553</v>
      </c>
      <c r="H178" s="7" t="s">
        <v>6469</v>
      </c>
      <c r="I178" s="7" t="s">
        <v>6943</v>
      </c>
      <c r="J178" s="7"/>
    </row>
    <row r="179" customFormat="false" ht="26.85" hidden="false" customHeight="false" outlineLevel="0" collapsed="false">
      <c r="A179" s="7" t="s">
        <v>6944</v>
      </c>
      <c r="B179" s="7" t="s">
        <v>6473</v>
      </c>
      <c r="C179" s="7" t="s">
        <v>6924</v>
      </c>
      <c r="D179" s="7" t="s">
        <v>6465</v>
      </c>
      <c r="E179" s="7" t="s">
        <v>6925</v>
      </c>
      <c r="F179" s="37" t="s">
        <v>6467</v>
      </c>
      <c r="G179" s="7" t="s">
        <v>6468</v>
      </c>
      <c r="H179" s="7" t="s">
        <v>6469</v>
      </c>
      <c r="I179" s="7" t="s">
        <v>6945</v>
      </c>
      <c r="J179" s="7" t="s">
        <v>6946</v>
      </c>
    </row>
    <row r="180" customFormat="false" ht="26.85" hidden="false" customHeight="false" outlineLevel="0" collapsed="false">
      <c r="A180" s="7" t="s">
        <v>6947</v>
      </c>
      <c r="B180" s="7" t="s">
        <v>6473</v>
      </c>
      <c r="C180" s="7" t="s">
        <v>6924</v>
      </c>
      <c r="D180" s="7" t="s">
        <v>6465</v>
      </c>
      <c r="E180" s="7" t="s">
        <v>6925</v>
      </c>
      <c r="F180" s="37" t="s">
        <v>6467</v>
      </c>
      <c r="G180" s="7" t="s">
        <v>6468</v>
      </c>
      <c r="H180" s="7" t="s">
        <v>6469</v>
      </c>
      <c r="I180" s="7" t="s">
        <v>6948</v>
      </c>
      <c r="J180" s="7" t="s">
        <v>6949</v>
      </c>
    </row>
    <row r="181" customFormat="false" ht="26.85" hidden="false" customHeight="false" outlineLevel="0" collapsed="false">
      <c r="A181" s="7" t="s">
        <v>6950</v>
      </c>
      <c r="B181" s="7" t="s">
        <v>6484</v>
      </c>
      <c r="C181" s="7" t="s">
        <v>6937</v>
      </c>
      <c r="D181" s="7" t="s">
        <v>6465</v>
      </c>
      <c r="E181" s="7" t="s">
        <v>6925</v>
      </c>
      <c r="F181" s="65" t="s">
        <v>6475</v>
      </c>
      <c r="G181" s="7" t="s">
        <v>6468</v>
      </c>
      <c r="H181" s="7" t="s">
        <v>6469</v>
      </c>
      <c r="I181" s="7" t="s">
        <v>6951</v>
      </c>
      <c r="J181" s="7"/>
    </row>
    <row r="182" customFormat="false" ht="26.85" hidden="false" customHeight="false" outlineLevel="0" collapsed="false">
      <c r="A182" s="7" t="s">
        <v>6952</v>
      </c>
      <c r="B182" s="7" t="s">
        <v>6473</v>
      </c>
      <c r="C182" s="7" t="s">
        <v>6924</v>
      </c>
      <c r="D182" s="7" t="s">
        <v>6465</v>
      </c>
      <c r="E182" s="7" t="s">
        <v>6925</v>
      </c>
      <c r="F182" s="65" t="s">
        <v>6475</v>
      </c>
      <c r="G182" s="7" t="s">
        <v>6468</v>
      </c>
      <c r="H182" s="7" t="s">
        <v>6469</v>
      </c>
      <c r="I182" s="7" t="s">
        <v>6953</v>
      </c>
      <c r="J182" s="7"/>
    </row>
    <row r="183" customFormat="false" ht="26.85" hidden="false" customHeight="false" outlineLevel="0" collapsed="false">
      <c r="A183" s="7" t="s">
        <v>6954</v>
      </c>
      <c r="B183" s="7" t="s">
        <v>6473</v>
      </c>
      <c r="C183" s="7" t="s">
        <v>6924</v>
      </c>
      <c r="D183" s="7" t="s">
        <v>6465</v>
      </c>
      <c r="E183" s="7" t="s">
        <v>6925</v>
      </c>
      <c r="F183" s="65" t="s">
        <v>6475</v>
      </c>
      <c r="G183" s="7" t="s">
        <v>6468</v>
      </c>
      <c r="H183" s="7" t="s">
        <v>6509</v>
      </c>
      <c r="I183" s="7" t="s">
        <v>6955</v>
      </c>
      <c r="J183" s="7"/>
    </row>
    <row r="184" customFormat="false" ht="26.85" hidden="false" customHeight="false" outlineLevel="0" collapsed="false">
      <c r="A184" s="7" t="s">
        <v>6956</v>
      </c>
      <c r="B184" s="7" t="s">
        <v>6473</v>
      </c>
      <c r="C184" s="7" t="s">
        <v>6924</v>
      </c>
      <c r="D184" s="7" t="s">
        <v>6465</v>
      </c>
      <c r="E184" s="7" t="s">
        <v>6925</v>
      </c>
      <c r="F184" s="65" t="s">
        <v>6475</v>
      </c>
      <c r="G184" s="7" t="s">
        <v>6553</v>
      </c>
      <c r="H184" s="7" t="s">
        <v>6469</v>
      </c>
      <c r="I184" s="7" t="s">
        <v>6957</v>
      </c>
      <c r="J184" s="7"/>
    </row>
    <row r="185" customFormat="false" ht="26.85" hidden="false" customHeight="false" outlineLevel="0" collapsed="false">
      <c r="A185" s="7" t="s">
        <v>6958</v>
      </c>
      <c r="B185" s="7" t="s">
        <v>6473</v>
      </c>
      <c r="C185" s="7" t="s">
        <v>6924</v>
      </c>
      <c r="D185" s="7" t="s">
        <v>6465</v>
      </c>
      <c r="E185" s="7" t="s">
        <v>6925</v>
      </c>
      <c r="F185" s="65" t="s">
        <v>6475</v>
      </c>
      <c r="G185" s="7" t="s">
        <v>6468</v>
      </c>
      <c r="H185" s="7" t="s">
        <v>6469</v>
      </c>
      <c r="I185" s="7" t="s">
        <v>6959</v>
      </c>
      <c r="J185" s="7"/>
    </row>
    <row r="186" customFormat="false" ht="26.85" hidden="false" customHeight="false" outlineLevel="0" collapsed="false">
      <c r="A186" s="7" t="s">
        <v>6960</v>
      </c>
      <c r="B186" s="7" t="s">
        <v>6473</v>
      </c>
      <c r="C186" s="7" t="s">
        <v>6924</v>
      </c>
      <c r="D186" s="7" t="s">
        <v>6465</v>
      </c>
      <c r="E186" s="7" t="s">
        <v>6925</v>
      </c>
      <c r="F186" s="37" t="s">
        <v>6467</v>
      </c>
      <c r="G186" s="7" t="s">
        <v>6553</v>
      </c>
      <c r="H186" s="7" t="s">
        <v>6469</v>
      </c>
      <c r="I186" s="7" t="s">
        <v>6961</v>
      </c>
      <c r="J186" s="7" t="s">
        <v>6962</v>
      </c>
    </row>
    <row r="187" customFormat="false" ht="39.55" hidden="false" customHeight="false" outlineLevel="0" collapsed="false">
      <c r="A187" s="7" t="s">
        <v>6963</v>
      </c>
      <c r="B187" s="7" t="s">
        <v>6484</v>
      </c>
      <c r="C187" s="7" t="s">
        <v>6937</v>
      </c>
      <c r="D187" s="7" t="s">
        <v>6465</v>
      </c>
      <c r="E187" s="7" t="s">
        <v>6925</v>
      </c>
      <c r="F187" s="36" t="s">
        <v>6838</v>
      </c>
      <c r="G187" s="7" t="s">
        <v>6468</v>
      </c>
      <c r="H187" s="7" t="s">
        <v>6509</v>
      </c>
      <c r="I187" s="7" t="s">
        <v>6964</v>
      </c>
      <c r="J187" s="7" t="s">
        <v>6965</v>
      </c>
    </row>
    <row r="188" customFormat="false" ht="26.85" hidden="false" customHeight="false" outlineLevel="0" collapsed="false">
      <c r="A188" s="7" t="s">
        <v>6966</v>
      </c>
      <c r="B188" s="7" t="s">
        <v>6473</v>
      </c>
      <c r="C188" s="7" t="s">
        <v>6924</v>
      </c>
      <c r="D188" s="7" t="s">
        <v>6465</v>
      </c>
      <c r="E188" s="7" t="s">
        <v>6925</v>
      </c>
      <c r="F188" s="65" t="s">
        <v>6475</v>
      </c>
      <c r="G188" s="7" t="s">
        <v>6468</v>
      </c>
      <c r="H188" s="7" t="s">
        <v>6509</v>
      </c>
      <c r="I188" s="7" t="s">
        <v>6967</v>
      </c>
      <c r="J188" s="7"/>
    </row>
    <row r="189" customFormat="false" ht="26.85" hidden="false" customHeight="false" outlineLevel="0" collapsed="false">
      <c r="A189" s="7" t="s">
        <v>6968</v>
      </c>
      <c r="B189" s="7" t="s">
        <v>6484</v>
      </c>
      <c r="C189" s="7" t="s">
        <v>6937</v>
      </c>
      <c r="D189" s="7" t="s">
        <v>6465</v>
      </c>
      <c r="E189" s="7" t="s">
        <v>6925</v>
      </c>
      <c r="F189" s="35" t="s">
        <v>6692</v>
      </c>
      <c r="G189" s="7" t="s">
        <v>6553</v>
      </c>
      <c r="H189" s="7" t="s">
        <v>6469</v>
      </c>
      <c r="I189" s="7" t="s">
        <v>6969</v>
      </c>
      <c r="J189" s="7" t="s">
        <v>6970</v>
      </c>
    </row>
    <row r="190" customFormat="false" ht="26.85" hidden="false" customHeight="false" outlineLevel="0" collapsed="false">
      <c r="A190" s="7" t="s">
        <v>6971</v>
      </c>
      <c r="B190" s="7" t="s">
        <v>6473</v>
      </c>
      <c r="C190" s="7" t="s">
        <v>6924</v>
      </c>
      <c r="D190" s="7" t="s">
        <v>6465</v>
      </c>
      <c r="E190" s="7" t="s">
        <v>6925</v>
      </c>
      <c r="F190" s="65" t="s">
        <v>6475</v>
      </c>
      <c r="G190" s="7" t="s">
        <v>6553</v>
      </c>
      <c r="H190" s="7" t="s">
        <v>6469</v>
      </c>
      <c r="I190" s="7" t="s">
        <v>6972</v>
      </c>
      <c r="J190" s="7"/>
    </row>
    <row r="191" customFormat="false" ht="26.85" hidden="false" customHeight="false" outlineLevel="0" collapsed="false">
      <c r="A191" s="7" t="s">
        <v>6973</v>
      </c>
      <c r="B191" s="7" t="s">
        <v>6473</v>
      </c>
      <c r="C191" s="7" t="s">
        <v>6924</v>
      </c>
      <c r="D191" s="7" t="s">
        <v>6465</v>
      </c>
      <c r="E191" s="7" t="s">
        <v>6925</v>
      </c>
      <c r="F191" s="65" t="s">
        <v>6475</v>
      </c>
      <c r="G191" s="7" t="s">
        <v>6468</v>
      </c>
      <c r="H191" s="7" t="s">
        <v>6469</v>
      </c>
      <c r="I191" s="7" t="s">
        <v>6974</v>
      </c>
      <c r="J191" s="7"/>
    </row>
    <row r="192" customFormat="false" ht="26.85" hidden="false" customHeight="false" outlineLevel="0" collapsed="false">
      <c r="A192" s="7" t="s">
        <v>6975</v>
      </c>
      <c r="B192" s="7" t="s">
        <v>6473</v>
      </c>
      <c r="C192" s="7" t="s">
        <v>6924</v>
      </c>
      <c r="D192" s="7" t="s">
        <v>6465</v>
      </c>
      <c r="E192" s="7" t="s">
        <v>6925</v>
      </c>
      <c r="F192" s="37" t="s">
        <v>6467</v>
      </c>
      <c r="G192" s="7" t="s">
        <v>6553</v>
      </c>
      <c r="H192" s="7" t="s">
        <v>6469</v>
      </c>
      <c r="I192" s="7" t="s">
        <v>6976</v>
      </c>
      <c r="J192" s="7" t="s">
        <v>6977</v>
      </c>
    </row>
    <row r="193" customFormat="false" ht="26.85" hidden="false" customHeight="false" outlineLevel="0" collapsed="false">
      <c r="A193" s="7" t="s">
        <v>6978</v>
      </c>
      <c r="B193" s="7" t="s">
        <v>6473</v>
      </c>
      <c r="C193" s="7" t="s">
        <v>6924</v>
      </c>
      <c r="D193" s="7" t="s">
        <v>6465</v>
      </c>
      <c r="E193" s="7" t="s">
        <v>6925</v>
      </c>
      <c r="F193" s="65" t="s">
        <v>6475</v>
      </c>
      <c r="G193" s="7" t="s">
        <v>6468</v>
      </c>
      <c r="H193" s="7" t="s">
        <v>6469</v>
      </c>
      <c r="I193" s="7" t="s">
        <v>6979</v>
      </c>
      <c r="J193" s="7"/>
    </row>
    <row r="194" customFormat="false" ht="26.85" hidden="false" customHeight="false" outlineLevel="0" collapsed="false">
      <c r="A194" s="7" t="s">
        <v>6980</v>
      </c>
      <c r="B194" s="7" t="s">
        <v>6473</v>
      </c>
      <c r="C194" s="7" t="s">
        <v>6924</v>
      </c>
      <c r="D194" s="7" t="s">
        <v>6465</v>
      </c>
      <c r="E194" s="7" t="s">
        <v>6925</v>
      </c>
      <c r="F194" s="65" t="s">
        <v>6475</v>
      </c>
      <c r="G194" s="7" t="s">
        <v>6553</v>
      </c>
      <c r="H194" s="7" t="s">
        <v>6469</v>
      </c>
      <c r="I194" s="7" t="s">
        <v>6981</v>
      </c>
      <c r="J194" s="7"/>
    </row>
    <row r="195" customFormat="false" ht="26.85" hidden="false" customHeight="false" outlineLevel="0" collapsed="false">
      <c r="A195" s="7" t="s">
        <v>6982</v>
      </c>
      <c r="B195" s="7" t="s">
        <v>6484</v>
      </c>
      <c r="C195" s="7" t="s">
        <v>6937</v>
      </c>
      <c r="D195" s="7" t="s">
        <v>6465</v>
      </c>
      <c r="E195" s="7" t="s">
        <v>6925</v>
      </c>
      <c r="F195" s="65" t="s">
        <v>6475</v>
      </c>
      <c r="G195" s="7" t="s">
        <v>6468</v>
      </c>
      <c r="H195" s="7" t="s">
        <v>6469</v>
      </c>
      <c r="I195" s="7" t="s">
        <v>6983</v>
      </c>
      <c r="J195" s="7"/>
    </row>
    <row r="196" customFormat="false" ht="26.85" hidden="false" customHeight="false" outlineLevel="0" collapsed="false">
      <c r="A196" s="7" t="s">
        <v>6984</v>
      </c>
      <c r="B196" s="7" t="s">
        <v>6473</v>
      </c>
      <c r="C196" s="7" t="s">
        <v>6924</v>
      </c>
      <c r="D196" s="7" t="s">
        <v>6465</v>
      </c>
      <c r="E196" s="7" t="s">
        <v>6925</v>
      </c>
      <c r="F196" s="65" t="s">
        <v>6475</v>
      </c>
      <c r="G196" s="7" t="s">
        <v>6468</v>
      </c>
      <c r="H196" s="7" t="s">
        <v>6469</v>
      </c>
      <c r="I196" s="7" t="s">
        <v>6985</v>
      </c>
      <c r="J196" s="7"/>
    </row>
    <row r="197" customFormat="false" ht="26.85" hidden="false" customHeight="false" outlineLevel="0" collapsed="false">
      <c r="A197" s="7" t="s">
        <v>6986</v>
      </c>
      <c r="B197" s="7" t="s">
        <v>6484</v>
      </c>
      <c r="C197" s="7" t="s">
        <v>6937</v>
      </c>
      <c r="D197" s="7" t="s">
        <v>6465</v>
      </c>
      <c r="E197" s="7" t="s">
        <v>6925</v>
      </c>
      <c r="F197" s="65" t="s">
        <v>6475</v>
      </c>
      <c r="G197" s="7" t="s">
        <v>6468</v>
      </c>
      <c r="H197" s="7" t="s">
        <v>6469</v>
      </c>
      <c r="I197" s="7" t="s">
        <v>6987</v>
      </c>
      <c r="J197" s="7"/>
    </row>
    <row r="198" customFormat="false" ht="52.2" hidden="false" customHeight="false" outlineLevel="0" collapsed="false">
      <c r="A198" s="7" t="s">
        <v>6988</v>
      </c>
      <c r="B198" s="7" t="s">
        <v>6492</v>
      </c>
      <c r="C198" s="7" t="s">
        <v>6989</v>
      </c>
      <c r="D198" s="7" t="s">
        <v>6990</v>
      </c>
      <c r="E198" s="7" t="s">
        <v>6925</v>
      </c>
      <c r="F198" s="67" t="s">
        <v>6516</v>
      </c>
      <c r="G198" s="7" t="s">
        <v>6468</v>
      </c>
      <c r="H198" s="7" t="s">
        <v>6509</v>
      </c>
      <c r="I198" s="7" t="s">
        <v>6991</v>
      </c>
      <c r="J198" s="7" t="s">
        <v>6992</v>
      </c>
    </row>
    <row r="199" customFormat="false" ht="26.85" hidden="false" customHeight="false" outlineLevel="0" collapsed="false">
      <c r="A199" s="7" t="s">
        <v>6993</v>
      </c>
      <c r="B199" s="7" t="s">
        <v>6492</v>
      </c>
      <c r="C199" s="7" t="s">
        <v>6994</v>
      </c>
      <c r="D199" s="7" t="s">
        <v>6995</v>
      </c>
      <c r="E199" s="7" t="s">
        <v>6925</v>
      </c>
      <c r="F199" s="65" t="s">
        <v>6475</v>
      </c>
      <c r="G199" s="7" t="s">
        <v>6468</v>
      </c>
      <c r="H199" s="7" t="s">
        <v>6469</v>
      </c>
      <c r="I199" s="7" t="s">
        <v>6996</v>
      </c>
      <c r="J199" s="7"/>
    </row>
    <row r="200" customFormat="false" ht="26.85" hidden="false" customHeight="false" outlineLevel="0" collapsed="false">
      <c r="A200" s="7" t="s">
        <v>6997</v>
      </c>
      <c r="B200" s="7" t="s">
        <v>6473</v>
      </c>
      <c r="C200" s="7" t="s">
        <v>6924</v>
      </c>
      <c r="D200" s="7" t="s">
        <v>6465</v>
      </c>
      <c r="E200" s="7" t="s">
        <v>6925</v>
      </c>
      <c r="F200" s="65" t="s">
        <v>6475</v>
      </c>
      <c r="G200" s="7" t="s">
        <v>6468</v>
      </c>
      <c r="H200" s="7" t="s">
        <v>6469</v>
      </c>
      <c r="I200" s="7" t="s">
        <v>6998</v>
      </c>
      <c r="J200" s="7"/>
    </row>
    <row r="201" customFormat="false" ht="26.85" hidden="false" customHeight="false" outlineLevel="0" collapsed="false">
      <c r="A201" s="7" t="s">
        <v>6999</v>
      </c>
      <c r="B201" s="7" t="s">
        <v>6484</v>
      </c>
      <c r="C201" s="7" t="s">
        <v>6937</v>
      </c>
      <c r="D201" s="7" t="s">
        <v>6465</v>
      </c>
      <c r="E201" s="7" t="s">
        <v>6925</v>
      </c>
      <c r="F201" s="65" t="s">
        <v>6475</v>
      </c>
      <c r="G201" s="7" t="s">
        <v>6553</v>
      </c>
      <c r="H201" s="7" t="s">
        <v>6469</v>
      </c>
      <c r="I201" s="7" t="s">
        <v>7000</v>
      </c>
      <c r="J201" s="7"/>
    </row>
    <row r="202" customFormat="false" ht="26.85" hidden="false" customHeight="false" outlineLevel="0" collapsed="false">
      <c r="A202" s="7" t="s">
        <v>7001</v>
      </c>
      <c r="B202" s="7" t="s">
        <v>6473</v>
      </c>
      <c r="C202" s="7" t="s">
        <v>6924</v>
      </c>
      <c r="D202" s="7" t="s">
        <v>6465</v>
      </c>
      <c r="E202" s="7" t="s">
        <v>6925</v>
      </c>
      <c r="F202" s="65" t="s">
        <v>6475</v>
      </c>
      <c r="G202" s="7" t="s">
        <v>6553</v>
      </c>
      <c r="H202" s="7" t="s">
        <v>6469</v>
      </c>
      <c r="I202" s="7" t="s">
        <v>7002</v>
      </c>
      <c r="J202" s="7"/>
    </row>
    <row r="203" customFormat="false" ht="26.85" hidden="false" customHeight="false" outlineLevel="0" collapsed="false">
      <c r="A203" s="7" t="s">
        <v>7003</v>
      </c>
      <c r="B203" s="7" t="s">
        <v>6473</v>
      </c>
      <c r="C203" s="7" t="s">
        <v>6924</v>
      </c>
      <c r="D203" s="7" t="s">
        <v>6465</v>
      </c>
      <c r="E203" s="7" t="s">
        <v>6925</v>
      </c>
      <c r="F203" s="37" t="s">
        <v>6467</v>
      </c>
      <c r="G203" s="7" t="s">
        <v>6468</v>
      </c>
      <c r="H203" s="7" t="s">
        <v>6469</v>
      </c>
      <c r="I203" s="7" t="s">
        <v>7004</v>
      </c>
      <c r="J203" s="7" t="s">
        <v>7005</v>
      </c>
    </row>
    <row r="204" customFormat="false" ht="26.85" hidden="false" customHeight="false" outlineLevel="0" collapsed="false">
      <c r="A204" s="7" t="s">
        <v>7006</v>
      </c>
      <c r="B204" s="7" t="s">
        <v>6484</v>
      </c>
      <c r="C204" s="7" t="s">
        <v>6937</v>
      </c>
      <c r="D204" s="7" t="s">
        <v>6465</v>
      </c>
      <c r="E204" s="7" t="s">
        <v>6925</v>
      </c>
      <c r="F204" s="65" t="s">
        <v>6475</v>
      </c>
      <c r="G204" s="7" t="s">
        <v>6468</v>
      </c>
      <c r="H204" s="7" t="s">
        <v>6469</v>
      </c>
      <c r="I204" s="7" t="s">
        <v>7007</v>
      </c>
      <c r="J204" s="7"/>
    </row>
    <row r="205" customFormat="false" ht="26.85" hidden="false" customHeight="false" outlineLevel="0" collapsed="false">
      <c r="A205" s="7" t="s">
        <v>7008</v>
      </c>
      <c r="B205" s="7" t="s">
        <v>6473</v>
      </c>
      <c r="C205" s="7" t="s">
        <v>6924</v>
      </c>
      <c r="D205" s="7" t="s">
        <v>6465</v>
      </c>
      <c r="E205" s="7" t="s">
        <v>6925</v>
      </c>
      <c r="F205" s="37" t="s">
        <v>6467</v>
      </c>
      <c r="G205" s="7" t="s">
        <v>6468</v>
      </c>
      <c r="H205" s="7" t="s">
        <v>6469</v>
      </c>
      <c r="I205" s="7" t="s">
        <v>7009</v>
      </c>
      <c r="J205" s="7" t="s">
        <v>7010</v>
      </c>
    </row>
    <row r="206" customFormat="false" ht="26.85" hidden="false" customHeight="false" outlineLevel="0" collapsed="false">
      <c r="A206" s="7" t="s">
        <v>7011</v>
      </c>
      <c r="B206" s="7" t="s">
        <v>6484</v>
      </c>
      <c r="C206" s="7" t="s">
        <v>6937</v>
      </c>
      <c r="D206" s="7" t="s">
        <v>6465</v>
      </c>
      <c r="E206" s="7" t="s">
        <v>6925</v>
      </c>
      <c r="F206" s="65" t="s">
        <v>6475</v>
      </c>
      <c r="G206" s="7" t="s">
        <v>6553</v>
      </c>
      <c r="H206" s="7" t="s">
        <v>6469</v>
      </c>
      <c r="I206" s="7" t="s">
        <v>7012</v>
      </c>
      <c r="J206" s="7"/>
    </row>
    <row r="207" customFormat="false" ht="26.85" hidden="false" customHeight="false" outlineLevel="0" collapsed="false">
      <c r="A207" s="7" t="s">
        <v>7013</v>
      </c>
      <c r="B207" s="7" t="s">
        <v>6492</v>
      </c>
      <c r="C207" s="7" t="s">
        <v>6989</v>
      </c>
      <c r="D207" s="7" t="s">
        <v>6580</v>
      </c>
      <c r="E207" s="7" t="s">
        <v>6925</v>
      </c>
      <c r="F207" s="65" t="s">
        <v>6475</v>
      </c>
      <c r="G207" s="7" t="s">
        <v>6468</v>
      </c>
      <c r="H207" s="7" t="s">
        <v>6509</v>
      </c>
      <c r="I207" s="7" t="s">
        <v>7014</v>
      </c>
      <c r="J207" s="7"/>
    </row>
    <row r="208" customFormat="false" ht="26.85" hidden="false" customHeight="false" outlineLevel="0" collapsed="false">
      <c r="A208" s="7" t="s">
        <v>7015</v>
      </c>
      <c r="B208" s="7" t="s">
        <v>6473</v>
      </c>
      <c r="C208" s="7" t="s">
        <v>6924</v>
      </c>
      <c r="D208" s="7" t="s">
        <v>6465</v>
      </c>
      <c r="E208" s="7" t="s">
        <v>6925</v>
      </c>
      <c r="F208" s="65" t="s">
        <v>6475</v>
      </c>
      <c r="G208" s="7" t="s">
        <v>6468</v>
      </c>
      <c r="H208" s="7" t="s">
        <v>6509</v>
      </c>
      <c r="I208" s="7" t="s">
        <v>7016</v>
      </c>
      <c r="J208" s="7"/>
    </row>
    <row r="209" customFormat="false" ht="26.85" hidden="false" customHeight="false" outlineLevel="0" collapsed="false">
      <c r="A209" s="7" t="s">
        <v>7017</v>
      </c>
      <c r="B209" s="7" t="s">
        <v>6484</v>
      </c>
      <c r="C209" s="7" t="s">
        <v>6937</v>
      </c>
      <c r="D209" s="7" t="s">
        <v>6465</v>
      </c>
      <c r="E209" s="7" t="s">
        <v>6925</v>
      </c>
      <c r="F209" s="65" t="s">
        <v>6475</v>
      </c>
      <c r="G209" s="7" t="s">
        <v>6468</v>
      </c>
      <c r="H209" s="7" t="s">
        <v>6469</v>
      </c>
      <c r="I209" s="7" t="s">
        <v>7018</v>
      </c>
      <c r="J209" s="7"/>
    </row>
    <row r="210" customFormat="false" ht="77.6" hidden="false" customHeight="false" outlineLevel="0" collapsed="false">
      <c r="A210" s="7" t="s">
        <v>7019</v>
      </c>
      <c r="B210" s="7" t="s">
        <v>6492</v>
      </c>
      <c r="C210" s="7" t="s">
        <v>6989</v>
      </c>
      <c r="D210" s="7" t="s">
        <v>7020</v>
      </c>
      <c r="E210" s="7" t="s">
        <v>6925</v>
      </c>
      <c r="F210" s="35" t="s">
        <v>6692</v>
      </c>
      <c r="G210" s="7" t="s">
        <v>6468</v>
      </c>
      <c r="H210" s="7" t="s">
        <v>6509</v>
      </c>
      <c r="I210" s="7" t="s">
        <v>7021</v>
      </c>
      <c r="J210" s="7" t="s">
        <v>7022</v>
      </c>
    </row>
    <row r="211" customFormat="false" ht="26.85" hidden="false" customHeight="false" outlineLevel="0" collapsed="false">
      <c r="A211" s="7" t="s">
        <v>7023</v>
      </c>
      <c r="B211" s="7" t="s">
        <v>6473</v>
      </c>
      <c r="C211" s="7" t="s">
        <v>6924</v>
      </c>
      <c r="D211" s="7" t="s">
        <v>6465</v>
      </c>
      <c r="E211" s="7" t="s">
        <v>6925</v>
      </c>
      <c r="F211" s="65" t="s">
        <v>6475</v>
      </c>
      <c r="G211" s="7" t="s">
        <v>6468</v>
      </c>
      <c r="H211" s="7" t="s">
        <v>6469</v>
      </c>
      <c r="I211" s="7" t="s">
        <v>7024</v>
      </c>
      <c r="J211" s="7"/>
    </row>
    <row r="212" customFormat="false" ht="26.85" hidden="false" customHeight="false" outlineLevel="0" collapsed="false">
      <c r="A212" s="7" t="s">
        <v>7025</v>
      </c>
      <c r="B212" s="7" t="s">
        <v>6473</v>
      </c>
      <c r="C212" s="7" t="s">
        <v>6924</v>
      </c>
      <c r="D212" s="7" t="s">
        <v>6465</v>
      </c>
      <c r="E212" s="7" t="s">
        <v>6925</v>
      </c>
      <c r="F212" s="65" t="s">
        <v>6475</v>
      </c>
      <c r="G212" s="7" t="s">
        <v>6553</v>
      </c>
      <c r="H212" s="7" t="s">
        <v>6469</v>
      </c>
      <c r="I212" s="7" t="s">
        <v>7026</v>
      </c>
      <c r="J212" s="7"/>
    </row>
    <row r="213" customFormat="false" ht="52.2" hidden="false" customHeight="false" outlineLevel="0" collapsed="false">
      <c r="A213" s="7" t="s">
        <v>7027</v>
      </c>
      <c r="B213" s="7" t="s">
        <v>6492</v>
      </c>
      <c r="C213" s="7" t="s">
        <v>6989</v>
      </c>
      <c r="D213" s="7" t="s">
        <v>6641</v>
      </c>
      <c r="E213" s="7" t="s">
        <v>6925</v>
      </c>
      <c r="F213" s="35" t="s">
        <v>6692</v>
      </c>
      <c r="G213" s="7" t="s">
        <v>6468</v>
      </c>
      <c r="H213" s="7" t="s">
        <v>6509</v>
      </c>
      <c r="I213" s="7" t="s">
        <v>7028</v>
      </c>
      <c r="J213" s="7" t="s">
        <v>7029</v>
      </c>
    </row>
    <row r="214" customFormat="false" ht="26.85" hidden="false" customHeight="false" outlineLevel="0" collapsed="false">
      <c r="A214" s="7" t="s">
        <v>7030</v>
      </c>
      <c r="B214" s="7" t="s">
        <v>6473</v>
      </c>
      <c r="C214" s="7" t="s">
        <v>6924</v>
      </c>
      <c r="D214" s="7" t="s">
        <v>6465</v>
      </c>
      <c r="E214" s="7" t="s">
        <v>6925</v>
      </c>
      <c r="F214" s="37" t="s">
        <v>6467</v>
      </c>
      <c r="G214" s="7" t="s">
        <v>6468</v>
      </c>
      <c r="H214" s="7" t="s">
        <v>6469</v>
      </c>
      <c r="I214" s="7" t="s">
        <v>7031</v>
      </c>
      <c r="J214" s="7" t="s">
        <v>7032</v>
      </c>
    </row>
    <row r="215" customFormat="false" ht="26.85" hidden="false" customHeight="false" outlineLevel="0" collapsed="false">
      <c r="A215" s="7" t="s">
        <v>7033</v>
      </c>
      <c r="B215" s="7" t="s">
        <v>6473</v>
      </c>
      <c r="C215" s="7" t="s">
        <v>6924</v>
      </c>
      <c r="D215" s="7" t="s">
        <v>6465</v>
      </c>
      <c r="E215" s="7" t="s">
        <v>6925</v>
      </c>
      <c r="F215" s="65" t="s">
        <v>6475</v>
      </c>
      <c r="G215" s="7" t="s">
        <v>6468</v>
      </c>
      <c r="H215" s="7" t="s">
        <v>6469</v>
      </c>
      <c r="I215" s="7" t="s">
        <v>7034</v>
      </c>
      <c r="J215" s="7"/>
    </row>
    <row r="216" customFormat="false" ht="26.85" hidden="false" customHeight="false" outlineLevel="0" collapsed="false">
      <c r="A216" s="7" t="s">
        <v>7035</v>
      </c>
      <c r="B216" s="7" t="s">
        <v>6484</v>
      </c>
      <c r="C216" s="7" t="s">
        <v>6937</v>
      </c>
      <c r="D216" s="7" t="s">
        <v>6465</v>
      </c>
      <c r="E216" s="7" t="s">
        <v>6925</v>
      </c>
      <c r="F216" s="65" t="s">
        <v>6475</v>
      </c>
      <c r="G216" s="7" t="s">
        <v>6553</v>
      </c>
      <c r="H216" s="7" t="s">
        <v>6469</v>
      </c>
      <c r="I216" s="7" t="s">
        <v>7036</v>
      </c>
      <c r="J216" s="7"/>
    </row>
    <row r="217" customFormat="false" ht="26.85" hidden="false" customHeight="false" outlineLevel="0" collapsed="false">
      <c r="A217" s="7" t="s">
        <v>7037</v>
      </c>
      <c r="B217" s="7" t="s">
        <v>6473</v>
      </c>
      <c r="C217" s="7" t="s">
        <v>6924</v>
      </c>
      <c r="D217" s="7" t="s">
        <v>6465</v>
      </c>
      <c r="E217" s="7" t="s">
        <v>6925</v>
      </c>
      <c r="F217" s="65" t="s">
        <v>6475</v>
      </c>
      <c r="G217" s="7" t="s">
        <v>6553</v>
      </c>
      <c r="H217" s="7" t="s">
        <v>6469</v>
      </c>
      <c r="I217" s="7" t="s">
        <v>7038</v>
      </c>
      <c r="J217" s="7"/>
    </row>
    <row r="218" customFormat="false" ht="26.85" hidden="false" customHeight="false" outlineLevel="0" collapsed="false">
      <c r="A218" s="7" t="s">
        <v>7039</v>
      </c>
      <c r="B218" s="7" t="s">
        <v>6473</v>
      </c>
      <c r="C218" s="7" t="s">
        <v>6924</v>
      </c>
      <c r="D218" s="7" t="s">
        <v>6465</v>
      </c>
      <c r="E218" s="7" t="s">
        <v>6925</v>
      </c>
      <c r="F218" s="65" t="s">
        <v>6475</v>
      </c>
      <c r="G218" s="7" t="s">
        <v>6553</v>
      </c>
      <c r="H218" s="7" t="s">
        <v>6469</v>
      </c>
      <c r="I218" s="7" t="s">
        <v>7040</v>
      </c>
      <c r="J218" s="7"/>
    </row>
    <row r="219" customFormat="false" ht="26.85" hidden="false" customHeight="false" outlineLevel="0" collapsed="false">
      <c r="A219" s="7" t="s">
        <v>7041</v>
      </c>
      <c r="B219" s="7" t="s">
        <v>6473</v>
      </c>
      <c r="C219" s="7" t="s">
        <v>6924</v>
      </c>
      <c r="D219" s="7" t="s">
        <v>6465</v>
      </c>
      <c r="E219" s="7" t="s">
        <v>6925</v>
      </c>
      <c r="F219" s="65" t="s">
        <v>6475</v>
      </c>
      <c r="G219" s="7" t="s">
        <v>6468</v>
      </c>
      <c r="H219" s="7" t="s">
        <v>6469</v>
      </c>
      <c r="I219" s="7" t="s">
        <v>7042</v>
      </c>
      <c r="J219" s="7"/>
    </row>
    <row r="220" customFormat="false" ht="26.85" hidden="false" customHeight="false" outlineLevel="0" collapsed="false">
      <c r="A220" s="7" t="s">
        <v>7043</v>
      </c>
      <c r="B220" s="7" t="s">
        <v>6473</v>
      </c>
      <c r="C220" s="7" t="s">
        <v>6924</v>
      </c>
      <c r="D220" s="7" t="s">
        <v>6465</v>
      </c>
      <c r="E220" s="7" t="s">
        <v>6925</v>
      </c>
      <c r="F220" s="65" t="s">
        <v>6475</v>
      </c>
      <c r="G220" s="7" t="s">
        <v>6468</v>
      </c>
      <c r="H220" s="7" t="s">
        <v>6469</v>
      </c>
      <c r="I220" s="7" t="s">
        <v>7044</v>
      </c>
      <c r="J220" s="7"/>
    </row>
    <row r="221" customFormat="false" ht="26.85" hidden="false" customHeight="false" outlineLevel="0" collapsed="false">
      <c r="A221" s="7" t="s">
        <v>7045</v>
      </c>
      <c r="B221" s="7" t="s">
        <v>6473</v>
      </c>
      <c r="C221" s="7" t="s">
        <v>6924</v>
      </c>
      <c r="D221" s="7" t="s">
        <v>6465</v>
      </c>
      <c r="E221" s="7" t="s">
        <v>6925</v>
      </c>
      <c r="F221" s="65" t="s">
        <v>6475</v>
      </c>
      <c r="G221" s="7" t="s">
        <v>6468</v>
      </c>
      <c r="H221" s="7" t="s">
        <v>6469</v>
      </c>
      <c r="I221" s="7" t="s">
        <v>7046</v>
      </c>
      <c r="J221" s="7"/>
    </row>
    <row r="222" customFormat="false" ht="26.85" hidden="false" customHeight="false" outlineLevel="0" collapsed="false">
      <c r="A222" s="7" t="s">
        <v>7047</v>
      </c>
      <c r="B222" s="7" t="s">
        <v>6484</v>
      </c>
      <c r="C222" s="7" t="s">
        <v>7048</v>
      </c>
      <c r="D222" s="7" t="s">
        <v>6465</v>
      </c>
      <c r="E222" s="7" t="s">
        <v>7049</v>
      </c>
      <c r="F222" s="65" t="s">
        <v>6475</v>
      </c>
      <c r="G222" s="7" t="s">
        <v>6468</v>
      </c>
      <c r="H222" s="7" t="s">
        <v>6469</v>
      </c>
      <c r="I222" s="7" t="s">
        <v>7050</v>
      </c>
      <c r="J222" s="7"/>
    </row>
    <row r="223" customFormat="false" ht="26.85" hidden="false" customHeight="false" outlineLevel="0" collapsed="false">
      <c r="A223" s="7" t="s">
        <v>7051</v>
      </c>
      <c r="B223" s="7" t="s">
        <v>6484</v>
      </c>
      <c r="C223" s="7" t="s">
        <v>7052</v>
      </c>
      <c r="D223" s="7" t="s">
        <v>6465</v>
      </c>
      <c r="E223" s="7" t="s">
        <v>7049</v>
      </c>
      <c r="F223" s="65" t="s">
        <v>6475</v>
      </c>
      <c r="G223" s="7" t="s">
        <v>6553</v>
      </c>
      <c r="H223" s="7" t="s">
        <v>6469</v>
      </c>
      <c r="I223" s="7" t="s">
        <v>7053</v>
      </c>
      <c r="J223" s="7"/>
    </row>
    <row r="224" customFormat="false" ht="52.2" hidden="false" customHeight="false" outlineLevel="0" collapsed="false">
      <c r="A224" s="7" t="s">
        <v>7054</v>
      </c>
      <c r="B224" s="7" t="s">
        <v>6492</v>
      </c>
      <c r="C224" s="7" t="s">
        <v>7055</v>
      </c>
      <c r="D224" s="7" t="s">
        <v>7056</v>
      </c>
      <c r="E224" s="7" t="s">
        <v>7049</v>
      </c>
      <c r="F224" s="66" t="s">
        <v>6495</v>
      </c>
      <c r="G224" s="7" t="s">
        <v>6468</v>
      </c>
      <c r="H224" s="7" t="s">
        <v>6469</v>
      </c>
      <c r="I224" s="7" t="s">
        <v>7057</v>
      </c>
      <c r="J224" s="7" t="s">
        <v>7058</v>
      </c>
    </row>
    <row r="225" customFormat="false" ht="26.85" hidden="false" customHeight="false" outlineLevel="0" collapsed="false">
      <c r="A225" s="7" t="s">
        <v>7059</v>
      </c>
      <c r="B225" s="7" t="s">
        <v>6488</v>
      </c>
      <c r="C225" s="7" t="s">
        <v>7060</v>
      </c>
      <c r="D225" s="7" t="s">
        <v>6465</v>
      </c>
      <c r="E225" s="7" t="s">
        <v>7049</v>
      </c>
      <c r="F225" s="65" t="s">
        <v>6475</v>
      </c>
      <c r="G225" s="7" t="s">
        <v>6468</v>
      </c>
      <c r="H225" s="7" t="s">
        <v>6469</v>
      </c>
      <c r="I225" s="7" t="s">
        <v>7061</v>
      </c>
      <c r="J225" s="7"/>
    </row>
    <row r="226" customFormat="false" ht="26.85" hidden="false" customHeight="false" outlineLevel="0" collapsed="false">
      <c r="A226" s="7" t="s">
        <v>7062</v>
      </c>
      <c r="B226" s="7" t="s">
        <v>6484</v>
      </c>
      <c r="C226" s="7" t="s">
        <v>7063</v>
      </c>
      <c r="D226" s="7" t="s">
        <v>6465</v>
      </c>
      <c r="E226" s="7" t="s">
        <v>7049</v>
      </c>
      <c r="F226" s="66" t="s">
        <v>6495</v>
      </c>
      <c r="G226" s="7" t="s">
        <v>6553</v>
      </c>
      <c r="H226" s="7" t="s">
        <v>6469</v>
      </c>
      <c r="I226" s="7" t="s">
        <v>7064</v>
      </c>
      <c r="J226" s="7" t="s">
        <v>7065</v>
      </c>
    </row>
    <row r="227" customFormat="false" ht="26.85" hidden="false" customHeight="false" outlineLevel="0" collapsed="false">
      <c r="A227" s="7" t="s">
        <v>7066</v>
      </c>
      <c r="B227" s="7" t="s">
        <v>6484</v>
      </c>
      <c r="C227" s="7" t="s">
        <v>7067</v>
      </c>
      <c r="D227" s="7" t="s">
        <v>6465</v>
      </c>
      <c r="E227" s="7" t="s">
        <v>7049</v>
      </c>
      <c r="F227" s="65" t="s">
        <v>6475</v>
      </c>
      <c r="G227" s="7" t="s">
        <v>6468</v>
      </c>
      <c r="H227" s="7" t="s">
        <v>6469</v>
      </c>
      <c r="I227" s="7" t="s">
        <v>7068</v>
      </c>
      <c r="J227" s="7"/>
    </row>
    <row r="228" customFormat="false" ht="26.85" hidden="false" customHeight="false" outlineLevel="0" collapsed="false">
      <c r="A228" s="7" t="s">
        <v>7069</v>
      </c>
      <c r="B228" s="7" t="s">
        <v>6473</v>
      </c>
      <c r="C228" s="7" t="s">
        <v>7070</v>
      </c>
      <c r="D228" s="7" t="s">
        <v>6465</v>
      </c>
      <c r="E228" s="7" t="s">
        <v>7049</v>
      </c>
      <c r="F228" s="65" t="s">
        <v>6475</v>
      </c>
      <c r="G228" s="7" t="s">
        <v>6553</v>
      </c>
      <c r="H228" s="7" t="s">
        <v>6469</v>
      </c>
      <c r="I228" s="7" t="s">
        <v>7071</v>
      </c>
      <c r="J228" s="7"/>
    </row>
    <row r="229" customFormat="false" ht="26.85" hidden="false" customHeight="false" outlineLevel="0" collapsed="false">
      <c r="A229" s="7" t="s">
        <v>7072</v>
      </c>
      <c r="B229" s="7" t="s">
        <v>6484</v>
      </c>
      <c r="C229" s="7" t="s">
        <v>7073</v>
      </c>
      <c r="D229" s="7" t="s">
        <v>6465</v>
      </c>
      <c r="E229" s="7" t="s">
        <v>7049</v>
      </c>
      <c r="F229" s="65" t="s">
        <v>6475</v>
      </c>
      <c r="G229" s="7" t="s">
        <v>6468</v>
      </c>
      <c r="H229" s="7" t="s">
        <v>6469</v>
      </c>
      <c r="I229" s="7" t="s">
        <v>7074</v>
      </c>
      <c r="J229" s="7"/>
    </row>
    <row r="230" customFormat="false" ht="26.85" hidden="false" customHeight="false" outlineLevel="0" collapsed="false">
      <c r="A230" s="7" t="s">
        <v>7075</v>
      </c>
      <c r="B230" s="7" t="s">
        <v>6484</v>
      </c>
      <c r="C230" s="7" t="s">
        <v>7076</v>
      </c>
      <c r="D230" s="7" t="s">
        <v>6465</v>
      </c>
      <c r="E230" s="7" t="s">
        <v>7049</v>
      </c>
      <c r="F230" s="66" t="s">
        <v>6495</v>
      </c>
      <c r="G230" s="7" t="s">
        <v>6468</v>
      </c>
      <c r="H230" s="7" t="s">
        <v>6469</v>
      </c>
      <c r="I230" s="7" t="s">
        <v>7077</v>
      </c>
      <c r="J230" s="7" t="s">
        <v>7078</v>
      </c>
    </row>
    <row r="231" customFormat="false" ht="26.85" hidden="false" customHeight="false" outlineLevel="0" collapsed="false">
      <c r="A231" s="7" t="s">
        <v>7079</v>
      </c>
      <c r="B231" s="7" t="s">
        <v>6463</v>
      </c>
      <c r="C231" s="7" t="s">
        <v>7080</v>
      </c>
      <c r="D231" s="7" t="s">
        <v>6465</v>
      </c>
      <c r="E231" s="7" t="s">
        <v>7049</v>
      </c>
      <c r="F231" s="66" t="s">
        <v>6495</v>
      </c>
      <c r="G231" s="7" t="s">
        <v>6468</v>
      </c>
      <c r="H231" s="7" t="s">
        <v>6469</v>
      </c>
      <c r="I231" s="7" t="s">
        <v>7081</v>
      </c>
      <c r="J231" s="7" t="s">
        <v>7082</v>
      </c>
    </row>
    <row r="232" customFormat="false" ht="26.85" hidden="false" customHeight="false" outlineLevel="0" collapsed="false">
      <c r="A232" s="7" t="s">
        <v>7083</v>
      </c>
      <c r="B232" s="7" t="s">
        <v>6463</v>
      </c>
      <c r="C232" s="7" t="s">
        <v>7084</v>
      </c>
      <c r="D232" s="7" t="s">
        <v>6465</v>
      </c>
      <c r="E232" s="7" t="s">
        <v>7085</v>
      </c>
      <c r="F232" s="65" t="s">
        <v>6475</v>
      </c>
      <c r="G232" s="7" t="s">
        <v>6468</v>
      </c>
      <c r="H232" s="7" t="s">
        <v>6509</v>
      </c>
      <c r="I232" s="7" t="s">
        <v>7086</v>
      </c>
      <c r="J232" s="7"/>
    </row>
    <row r="233" customFormat="false" ht="26.85" hidden="false" customHeight="false" outlineLevel="0" collapsed="false">
      <c r="A233" s="7" t="s">
        <v>7087</v>
      </c>
      <c r="B233" s="7" t="s">
        <v>6463</v>
      </c>
      <c r="C233" s="7" t="s">
        <v>7088</v>
      </c>
      <c r="D233" s="7" t="s">
        <v>6465</v>
      </c>
      <c r="E233" s="7" t="s">
        <v>7049</v>
      </c>
      <c r="F233" s="65" t="s">
        <v>6475</v>
      </c>
      <c r="G233" s="7" t="s">
        <v>6553</v>
      </c>
      <c r="H233" s="7" t="s">
        <v>6469</v>
      </c>
      <c r="I233" s="7" t="s">
        <v>7089</v>
      </c>
      <c r="J233" s="7"/>
    </row>
    <row r="234" customFormat="false" ht="26.85" hidden="false" customHeight="false" outlineLevel="0" collapsed="false">
      <c r="A234" s="7" t="s">
        <v>7090</v>
      </c>
      <c r="B234" s="7" t="s">
        <v>6463</v>
      </c>
      <c r="C234" s="7" t="s">
        <v>7088</v>
      </c>
      <c r="D234" s="7" t="s">
        <v>6465</v>
      </c>
      <c r="E234" s="7" t="s">
        <v>7049</v>
      </c>
      <c r="F234" s="65" t="s">
        <v>6475</v>
      </c>
      <c r="G234" s="7" t="s">
        <v>6553</v>
      </c>
      <c r="H234" s="7" t="s">
        <v>6469</v>
      </c>
      <c r="I234" s="7" t="s">
        <v>7091</v>
      </c>
      <c r="J234" s="7"/>
    </row>
    <row r="235" customFormat="false" ht="26.85" hidden="false" customHeight="false" outlineLevel="0" collapsed="false">
      <c r="A235" s="7" t="s">
        <v>7092</v>
      </c>
      <c r="B235" s="7" t="s">
        <v>6488</v>
      </c>
      <c r="C235" s="7" t="s">
        <v>7093</v>
      </c>
      <c r="D235" s="7" t="s">
        <v>6465</v>
      </c>
      <c r="E235" s="7" t="s">
        <v>7049</v>
      </c>
      <c r="F235" s="65" t="s">
        <v>6475</v>
      </c>
      <c r="G235" s="7" t="s">
        <v>6553</v>
      </c>
      <c r="H235" s="7" t="s">
        <v>6469</v>
      </c>
      <c r="I235" s="7" t="s">
        <v>7094</v>
      </c>
      <c r="J235" s="7"/>
    </row>
    <row r="236" customFormat="false" ht="26.85" hidden="false" customHeight="false" outlineLevel="0" collapsed="false">
      <c r="A236" s="7" t="s">
        <v>7095</v>
      </c>
      <c r="B236" s="7" t="s">
        <v>6492</v>
      </c>
      <c r="C236" s="7" t="s">
        <v>7096</v>
      </c>
      <c r="D236" s="7" t="s">
        <v>7097</v>
      </c>
      <c r="E236" s="7" t="s">
        <v>7049</v>
      </c>
      <c r="F236" s="65" t="s">
        <v>6475</v>
      </c>
      <c r="G236" s="7" t="s">
        <v>6553</v>
      </c>
      <c r="H236" s="7" t="s">
        <v>6469</v>
      </c>
      <c r="I236" s="7" t="s">
        <v>7098</v>
      </c>
      <c r="J236" s="7"/>
    </row>
    <row r="237" customFormat="false" ht="26.85" hidden="false" customHeight="false" outlineLevel="0" collapsed="false">
      <c r="A237" s="7" t="s">
        <v>7099</v>
      </c>
      <c r="B237" s="7" t="s">
        <v>6473</v>
      </c>
      <c r="C237" s="7" t="s">
        <v>7100</v>
      </c>
      <c r="D237" s="7" t="s">
        <v>6465</v>
      </c>
      <c r="E237" s="7" t="s">
        <v>7085</v>
      </c>
      <c r="F237" s="65" t="s">
        <v>6475</v>
      </c>
      <c r="G237" s="7" t="s">
        <v>6468</v>
      </c>
      <c r="H237" s="7" t="s">
        <v>6469</v>
      </c>
      <c r="I237" s="7" t="s">
        <v>7101</v>
      </c>
      <c r="J237" s="7"/>
    </row>
    <row r="238" customFormat="false" ht="26.85" hidden="false" customHeight="false" outlineLevel="0" collapsed="false">
      <c r="A238" s="7" t="s">
        <v>6337</v>
      </c>
      <c r="B238" s="7" t="s">
        <v>6492</v>
      </c>
      <c r="C238" s="7" t="s">
        <v>7102</v>
      </c>
      <c r="D238" s="7" t="s">
        <v>6641</v>
      </c>
      <c r="E238" s="7" t="s">
        <v>7049</v>
      </c>
      <c r="F238" s="65" t="s">
        <v>6475</v>
      </c>
      <c r="G238" s="7" t="s">
        <v>6553</v>
      </c>
      <c r="H238" s="7" t="s">
        <v>6469</v>
      </c>
      <c r="I238" s="7" t="s">
        <v>7103</v>
      </c>
      <c r="J238" s="7" t="s">
        <v>7104</v>
      </c>
    </row>
    <row r="239" customFormat="false" ht="26.85" hidden="false" customHeight="false" outlineLevel="0" collapsed="false">
      <c r="A239" s="7" t="s">
        <v>7105</v>
      </c>
      <c r="B239" s="7" t="s">
        <v>6463</v>
      </c>
      <c r="C239" s="7" t="s">
        <v>7106</v>
      </c>
      <c r="D239" s="7" t="s">
        <v>6465</v>
      </c>
      <c r="E239" s="7" t="s">
        <v>7049</v>
      </c>
      <c r="F239" s="36" t="s">
        <v>6838</v>
      </c>
      <c r="G239" s="7" t="s">
        <v>6553</v>
      </c>
      <c r="H239" s="7" t="s">
        <v>6469</v>
      </c>
      <c r="I239" s="7" t="s">
        <v>7107</v>
      </c>
      <c r="J239" s="7" t="s">
        <v>7108</v>
      </c>
    </row>
    <row r="240" customFormat="false" ht="26.85" hidden="false" customHeight="false" outlineLevel="0" collapsed="false">
      <c r="A240" s="7" t="s">
        <v>7109</v>
      </c>
      <c r="B240" s="7" t="s">
        <v>6492</v>
      </c>
      <c r="C240" s="7" t="s">
        <v>7110</v>
      </c>
      <c r="D240" s="7" t="s">
        <v>6641</v>
      </c>
      <c r="E240" s="7" t="s">
        <v>7049</v>
      </c>
      <c r="F240" s="65" t="s">
        <v>6475</v>
      </c>
      <c r="G240" s="7" t="s">
        <v>6553</v>
      </c>
      <c r="H240" s="7" t="s">
        <v>6469</v>
      </c>
      <c r="I240" s="7" t="s">
        <v>7111</v>
      </c>
      <c r="J240" s="7"/>
    </row>
    <row r="241" customFormat="false" ht="26.85" hidden="false" customHeight="false" outlineLevel="0" collapsed="false">
      <c r="A241" s="7" t="s">
        <v>7112</v>
      </c>
      <c r="B241" s="7" t="s">
        <v>6463</v>
      </c>
      <c r="C241" s="7" t="s">
        <v>7113</v>
      </c>
      <c r="D241" s="7" t="s">
        <v>6465</v>
      </c>
      <c r="E241" s="7" t="s">
        <v>7049</v>
      </c>
      <c r="F241" s="65" t="s">
        <v>6475</v>
      </c>
      <c r="G241" s="7" t="s">
        <v>6553</v>
      </c>
      <c r="H241" s="7" t="s">
        <v>6469</v>
      </c>
      <c r="I241" s="7" t="s">
        <v>7114</v>
      </c>
      <c r="J241" s="7"/>
    </row>
    <row r="242" customFormat="false" ht="26.85" hidden="false" customHeight="false" outlineLevel="0" collapsed="false">
      <c r="A242" s="7" t="s">
        <v>7115</v>
      </c>
      <c r="B242" s="7" t="s">
        <v>6488</v>
      </c>
      <c r="C242" s="7" t="s">
        <v>7093</v>
      </c>
      <c r="D242" s="7" t="s">
        <v>6465</v>
      </c>
      <c r="E242" s="7" t="s">
        <v>7049</v>
      </c>
      <c r="F242" s="65" t="s">
        <v>6475</v>
      </c>
      <c r="G242" s="7" t="s">
        <v>6553</v>
      </c>
      <c r="H242" s="7" t="s">
        <v>6469</v>
      </c>
      <c r="I242" s="7" t="s">
        <v>7116</v>
      </c>
      <c r="J242" s="7"/>
    </row>
    <row r="243" customFormat="false" ht="26.85" hidden="false" customHeight="false" outlineLevel="0" collapsed="false">
      <c r="A243" s="7" t="s">
        <v>7117</v>
      </c>
      <c r="B243" s="7" t="s">
        <v>6473</v>
      </c>
      <c r="C243" s="7" t="s">
        <v>7118</v>
      </c>
      <c r="D243" s="7" t="s">
        <v>6465</v>
      </c>
      <c r="E243" s="7" t="s">
        <v>7049</v>
      </c>
      <c r="F243" s="65" t="s">
        <v>6475</v>
      </c>
      <c r="G243" s="7" t="s">
        <v>6553</v>
      </c>
      <c r="H243" s="7" t="s">
        <v>6469</v>
      </c>
      <c r="I243" s="7" t="s">
        <v>7119</v>
      </c>
      <c r="J243" s="7"/>
    </row>
    <row r="244" customFormat="false" ht="26.85" hidden="false" customHeight="false" outlineLevel="0" collapsed="false">
      <c r="A244" s="7" t="s">
        <v>7120</v>
      </c>
      <c r="B244" s="7" t="s">
        <v>6473</v>
      </c>
      <c r="C244" s="7" t="s">
        <v>7121</v>
      </c>
      <c r="D244" s="7" t="s">
        <v>6465</v>
      </c>
      <c r="E244" s="7" t="s">
        <v>7049</v>
      </c>
      <c r="F244" s="65" t="s">
        <v>6475</v>
      </c>
      <c r="G244" s="7" t="s">
        <v>6553</v>
      </c>
      <c r="H244" s="7" t="s">
        <v>6469</v>
      </c>
      <c r="I244" s="7" t="s">
        <v>7122</v>
      </c>
      <c r="J244" s="7"/>
    </row>
    <row r="245" customFormat="false" ht="26.85" hidden="false" customHeight="false" outlineLevel="0" collapsed="false">
      <c r="A245" s="7" t="s">
        <v>7123</v>
      </c>
      <c r="B245" s="7" t="s">
        <v>6492</v>
      </c>
      <c r="C245" s="7" t="s">
        <v>7124</v>
      </c>
      <c r="D245" s="7" t="s">
        <v>7125</v>
      </c>
      <c r="E245" s="7" t="s">
        <v>7049</v>
      </c>
      <c r="F245" s="65" t="s">
        <v>6475</v>
      </c>
      <c r="G245" s="7" t="s">
        <v>6468</v>
      </c>
      <c r="H245" s="7" t="s">
        <v>6469</v>
      </c>
      <c r="I245" s="7" t="s">
        <v>7126</v>
      </c>
      <c r="J245" s="7"/>
    </row>
    <row r="246" customFormat="false" ht="26.85" hidden="false" customHeight="false" outlineLevel="0" collapsed="false">
      <c r="A246" s="7" t="s">
        <v>7127</v>
      </c>
      <c r="B246" s="7" t="s">
        <v>6488</v>
      </c>
      <c r="C246" s="7" t="s">
        <v>6699</v>
      </c>
      <c r="D246" s="7" t="s">
        <v>6465</v>
      </c>
      <c r="E246" s="7" t="s">
        <v>7049</v>
      </c>
      <c r="F246" s="65" t="s">
        <v>6475</v>
      </c>
      <c r="G246" s="7" t="s">
        <v>6553</v>
      </c>
      <c r="H246" s="7" t="s">
        <v>6469</v>
      </c>
      <c r="I246" s="7" t="s">
        <v>7128</v>
      </c>
      <c r="J246" s="7"/>
    </row>
    <row r="247" customFormat="false" ht="26.85" hidden="false" customHeight="false" outlineLevel="0" collapsed="false">
      <c r="A247" s="7" t="s">
        <v>7129</v>
      </c>
      <c r="B247" s="7" t="s">
        <v>6484</v>
      </c>
      <c r="C247" s="7" t="s">
        <v>7130</v>
      </c>
      <c r="D247" s="7" t="s">
        <v>6465</v>
      </c>
      <c r="E247" s="7" t="s">
        <v>7049</v>
      </c>
      <c r="F247" s="65" t="s">
        <v>6475</v>
      </c>
      <c r="G247" s="7" t="s">
        <v>6553</v>
      </c>
      <c r="H247" s="7" t="s">
        <v>6469</v>
      </c>
      <c r="I247" s="7" t="s">
        <v>7131</v>
      </c>
      <c r="J247" s="7"/>
    </row>
    <row r="248" customFormat="false" ht="26.85" hidden="false" customHeight="false" outlineLevel="0" collapsed="false">
      <c r="A248" s="7" t="s">
        <v>7132</v>
      </c>
      <c r="B248" s="7" t="s">
        <v>6484</v>
      </c>
      <c r="C248" s="7" t="s">
        <v>7133</v>
      </c>
      <c r="D248" s="7" t="s">
        <v>6465</v>
      </c>
      <c r="E248" s="7" t="s">
        <v>7049</v>
      </c>
      <c r="F248" s="65" t="s">
        <v>6475</v>
      </c>
      <c r="G248" s="7" t="s">
        <v>6468</v>
      </c>
      <c r="H248" s="7" t="s">
        <v>6469</v>
      </c>
      <c r="I248" s="7" t="s">
        <v>7134</v>
      </c>
      <c r="J248" s="7"/>
    </row>
    <row r="249" customFormat="false" ht="90.25" hidden="false" customHeight="false" outlineLevel="0" collapsed="false">
      <c r="A249" s="7" t="s">
        <v>7135</v>
      </c>
      <c r="B249" s="7" t="s">
        <v>6463</v>
      </c>
      <c r="C249" s="7" t="s">
        <v>7136</v>
      </c>
      <c r="D249" s="7" t="s">
        <v>6465</v>
      </c>
      <c r="E249" s="7" t="s">
        <v>7085</v>
      </c>
      <c r="F249" s="35" t="s">
        <v>6692</v>
      </c>
      <c r="G249" s="7" t="s">
        <v>6553</v>
      </c>
      <c r="H249" s="7" t="s">
        <v>6469</v>
      </c>
      <c r="I249" s="7" t="s">
        <v>7137</v>
      </c>
      <c r="J249" s="7" t="s">
        <v>7138</v>
      </c>
    </row>
    <row r="250" customFormat="false" ht="26.85" hidden="false" customHeight="false" outlineLevel="0" collapsed="false">
      <c r="A250" s="7" t="s">
        <v>7139</v>
      </c>
      <c r="B250" s="7" t="s">
        <v>6484</v>
      </c>
      <c r="C250" s="7" t="s">
        <v>7140</v>
      </c>
      <c r="D250" s="7" t="s">
        <v>6465</v>
      </c>
      <c r="E250" s="7" t="s">
        <v>7049</v>
      </c>
      <c r="F250" s="65" t="s">
        <v>6475</v>
      </c>
      <c r="G250" s="7" t="s">
        <v>6468</v>
      </c>
      <c r="H250" s="7" t="s">
        <v>6469</v>
      </c>
      <c r="I250" s="7" t="s">
        <v>7141</v>
      </c>
      <c r="J250" s="7"/>
    </row>
    <row r="251" customFormat="false" ht="26.85" hidden="false" customHeight="false" outlineLevel="0" collapsed="false">
      <c r="A251" s="7" t="s">
        <v>7142</v>
      </c>
      <c r="B251" s="7" t="s">
        <v>6463</v>
      </c>
      <c r="C251" s="7" t="s">
        <v>7121</v>
      </c>
      <c r="D251" s="7" t="s">
        <v>6465</v>
      </c>
      <c r="E251" s="7" t="s">
        <v>7049</v>
      </c>
      <c r="F251" s="65" t="s">
        <v>6475</v>
      </c>
      <c r="G251" s="7" t="s">
        <v>6553</v>
      </c>
      <c r="H251" s="7" t="s">
        <v>6469</v>
      </c>
      <c r="I251" s="7" t="s">
        <v>7143</v>
      </c>
      <c r="J251" s="7"/>
    </row>
    <row r="252" customFormat="false" ht="26.85" hidden="false" customHeight="false" outlineLevel="0" collapsed="false">
      <c r="A252" s="7" t="s">
        <v>7144</v>
      </c>
      <c r="B252" s="7" t="s">
        <v>6492</v>
      </c>
      <c r="C252" s="7" t="s">
        <v>7145</v>
      </c>
      <c r="D252" s="7" t="s">
        <v>6641</v>
      </c>
      <c r="E252" s="7" t="s">
        <v>7049</v>
      </c>
      <c r="F252" s="65" t="s">
        <v>6475</v>
      </c>
      <c r="G252" s="7" t="s">
        <v>6553</v>
      </c>
      <c r="H252" s="7" t="s">
        <v>6469</v>
      </c>
      <c r="I252" s="7" t="s">
        <v>7146</v>
      </c>
      <c r="J252" s="7"/>
    </row>
    <row r="253" customFormat="false" ht="26.85" hidden="false" customHeight="false" outlineLevel="0" collapsed="false">
      <c r="A253" s="7" t="s">
        <v>7147</v>
      </c>
      <c r="B253" s="7" t="s">
        <v>6473</v>
      </c>
      <c r="C253" s="7" t="s">
        <v>7121</v>
      </c>
      <c r="D253" s="7" t="s">
        <v>6465</v>
      </c>
      <c r="E253" s="7" t="s">
        <v>7049</v>
      </c>
      <c r="F253" s="65" t="s">
        <v>6475</v>
      </c>
      <c r="G253" s="7" t="s">
        <v>6553</v>
      </c>
      <c r="H253" s="7" t="s">
        <v>6469</v>
      </c>
      <c r="I253" s="7" t="s">
        <v>7148</v>
      </c>
      <c r="J253" s="7"/>
    </row>
    <row r="254" customFormat="false" ht="26.85" hidden="false" customHeight="false" outlineLevel="0" collapsed="false">
      <c r="A254" s="7" t="s">
        <v>7149</v>
      </c>
      <c r="B254" s="7" t="s">
        <v>6463</v>
      </c>
      <c r="C254" s="7" t="s">
        <v>7150</v>
      </c>
      <c r="D254" s="7" t="s">
        <v>6465</v>
      </c>
      <c r="E254" s="7" t="s">
        <v>7085</v>
      </c>
      <c r="F254" s="65" t="s">
        <v>6475</v>
      </c>
      <c r="G254" s="7" t="s">
        <v>6553</v>
      </c>
      <c r="H254" s="7" t="s">
        <v>6469</v>
      </c>
      <c r="I254" s="7" t="s">
        <v>7151</v>
      </c>
      <c r="J254" s="7"/>
    </row>
    <row r="255" customFormat="false" ht="39.55" hidden="false" customHeight="false" outlineLevel="0" collapsed="false">
      <c r="A255" s="7" t="s">
        <v>7152</v>
      </c>
      <c r="B255" s="7" t="s">
        <v>6492</v>
      </c>
      <c r="C255" s="7" t="s">
        <v>7153</v>
      </c>
      <c r="D255" s="7" t="s">
        <v>6709</v>
      </c>
      <c r="E255" s="7" t="s">
        <v>7049</v>
      </c>
      <c r="F255" s="37" t="s">
        <v>6467</v>
      </c>
      <c r="G255" s="7" t="s">
        <v>6468</v>
      </c>
      <c r="H255" s="7" t="s">
        <v>6469</v>
      </c>
      <c r="I255" s="7" t="s">
        <v>7154</v>
      </c>
      <c r="J255" s="7" t="s">
        <v>7155</v>
      </c>
    </row>
    <row r="256" customFormat="false" ht="39.55" hidden="false" customHeight="false" outlineLevel="0" collapsed="false">
      <c r="A256" s="7" t="s">
        <v>7156</v>
      </c>
      <c r="B256" s="7" t="s">
        <v>6463</v>
      </c>
      <c r="C256" s="7" t="s">
        <v>7157</v>
      </c>
      <c r="D256" s="7" t="s">
        <v>6465</v>
      </c>
      <c r="E256" s="7" t="s">
        <v>7049</v>
      </c>
      <c r="F256" s="66" t="s">
        <v>6495</v>
      </c>
      <c r="G256" s="7" t="s">
        <v>6468</v>
      </c>
      <c r="H256" s="7" t="s">
        <v>6509</v>
      </c>
      <c r="I256" s="7" t="s">
        <v>7158</v>
      </c>
      <c r="J256" s="7" t="s">
        <v>7159</v>
      </c>
    </row>
    <row r="257" customFormat="false" ht="26.85" hidden="false" customHeight="false" outlineLevel="0" collapsed="false">
      <c r="A257" s="7" t="s">
        <v>5008</v>
      </c>
      <c r="B257" s="7" t="s">
        <v>6492</v>
      </c>
      <c r="C257" s="7" t="s">
        <v>7055</v>
      </c>
      <c r="D257" s="7" t="s">
        <v>6641</v>
      </c>
      <c r="E257" s="7" t="s">
        <v>7049</v>
      </c>
      <c r="F257" s="65" t="s">
        <v>6475</v>
      </c>
      <c r="G257" s="7" t="s">
        <v>6468</v>
      </c>
      <c r="H257" s="7" t="s">
        <v>6509</v>
      </c>
      <c r="I257" s="7" t="s">
        <v>7160</v>
      </c>
      <c r="J257" s="7"/>
    </row>
    <row r="258" customFormat="false" ht="26.85" hidden="false" customHeight="false" outlineLevel="0" collapsed="false">
      <c r="A258" s="7" t="s">
        <v>7161</v>
      </c>
      <c r="B258" s="7" t="s">
        <v>6473</v>
      </c>
      <c r="C258" s="7" t="s">
        <v>7121</v>
      </c>
      <c r="D258" s="7" t="s">
        <v>6465</v>
      </c>
      <c r="E258" s="7" t="s">
        <v>7049</v>
      </c>
      <c r="F258" s="65" t="s">
        <v>6475</v>
      </c>
      <c r="G258" s="7" t="s">
        <v>6553</v>
      </c>
      <c r="H258" s="7" t="s">
        <v>6469</v>
      </c>
      <c r="I258" s="7" t="s">
        <v>7162</v>
      </c>
      <c r="J258" s="7"/>
    </row>
    <row r="259" customFormat="false" ht="26.85" hidden="false" customHeight="false" outlineLevel="0" collapsed="false">
      <c r="A259" s="7" t="s">
        <v>7163</v>
      </c>
      <c r="B259" s="7" t="s">
        <v>6492</v>
      </c>
      <c r="C259" s="7" t="s">
        <v>7121</v>
      </c>
      <c r="D259" s="7" t="s">
        <v>7097</v>
      </c>
      <c r="E259" s="7" t="s">
        <v>7049</v>
      </c>
      <c r="F259" s="37" t="s">
        <v>6467</v>
      </c>
      <c r="G259" s="7" t="s">
        <v>6553</v>
      </c>
      <c r="H259" s="7" t="s">
        <v>6469</v>
      </c>
      <c r="I259" s="7" t="s">
        <v>7164</v>
      </c>
      <c r="J259" s="7" t="s">
        <v>7165</v>
      </c>
    </row>
    <row r="260" customFormat="false" ht="26.85" hidden="false" customHeight="false" outlineLevel="0" collapsed="false">
      <c r="A260" s="7" t="s">
        <v>7166</v>
      </c>
      <c r="B260" s="7" t="s">
        <v>6473</v>
      </c>
      <c r="C260" s="7" t="s">
        <v>7093</v>
      </c>
      <c r="D260" s="7" t="s">
        <v>6465</v>
      </c>
      <c r="E260" s="7" t="s">
        <v>7049</v>
      </c>
      <c r="F260" s="65" t="s">
        <v>6475</v>
      </c>
      <c r="G260" s="7" t="s">
        <v>6553</v>
      </c>
      <c r="H260" s="7" t="s">
        <v>6469</v>
      </c>
      <c r="I260" s="7" t="s">
        <v>7167</v>
      </c>
      <c r="J260" s="7"/>
    </row>
    <row r="261" customFormat="false" ht="26.85" hidden="false" customHeight="false" outlineLevel="0" collapsed="false">
      <c r="A261" s="7" t="s">
        <v>7168</v>
      </c>
      <c r="B261" s="7" t="s">
        <v>6473</v>
      </c>
      <c r="C261" s="7" t="s">
        <v>7121</v>
      </c>
      <c r="D261" s="7" t="s">
        <v>6465</v>
      </c>
      <c r="E261" s="7" t="s">
        <v>7049</v>
      </c>
      <c r="F261" s="65" t="s">
        <v>6475</v>
      </c>
      <c r="G261" s="7" t="s">
        <v>6553</v>
      </c>
      <c r="H261" s="7" t="s">
        <v>6469</v>
      </c>
      <c r="I261" s="7" t="s">
        <v>7169</v>
      </c>
      <c r="J261" s="7"/>
    </row>
    <row r="262" customFormat="false" ht="26.85" hidden="false" customHeight="false" outlineLevel="0" collapsed="false">
      <c r="A262" s="7" t="s">
        <v>7170</v>
      </c>
      <c r="B262" s="7" t="s">
        <v>6488</v>
      </c>
      <c r="C262" s="7" t="s">
        <v>7093</v>
      </c>
      <c r="D262" s="7" t="s">
        <v>6465</v>
      </c>
      <c r="E262" s="7" t="s">
        <v>7049</v>
      </c>
      <c r="F262" s="65" t="s">
        <v>6475</v>
      </c>
      <c r="G262" s="7" t="s">
        <v>6553</v>
      </c>
      <c r="H262" s="7" t="s">
        <v>6469</v>
      </c>
      <c r="I262" s="7" t="s">
        <v>7171</v>
      </c>
      <c r="J262" s="7"/>
    </row>
    <row r="263" customFormat="false" ht="26.85" hidden="false" customHeight="false" outlineLevel="0" collapsed="false">
      <c r="A263" s="7" t="s">
        <v>7172</v>
      </c>
      <c r="B263" s="7" t="s">
        <v>6463</v>
      </c>
      <c r="C263" s="7" t="s">
        <v>7173</v>
      </c>
      <c r="D263" s="7" t="s">
        <v>6465</v>
      </c>
      <c r="E263" s="7" t="s">
        <v>7085</v>
      </c>
      <c r="F263" s="65" t="s">
        <v>6475</v>
      </c>
      <c r="G263" s="7" t="s">
        <v>6553</v>
      </c>
      <c r="H263" s="7" t="s">
        <v>6469</v>
      </c>
      <c r="I263" s="7" t="s">
        <v>7174</v>
      </c>
      <c r="J263" s="7"/>
    </row>
    <row r="264" customFormat="false" ht="26.85" hidden="false" customHeight="false" outlineLevel="0" collapsed="false">
      <c r="A264" s="7" t="s">
        <v>7175</v>
      </c>
      <c r="B264" s="7" t="s">
        <v>6492</v>
      </c>
      <c r="C264" s="7" t="s">
        <v>7176</v>
      </c>
      <c r="D264" s="7" t="s">
        <v>7097</v>
      </c>
      <c r="E264" s="7" t="s">
        <v>7049</v>
      </c>
      <c r="F264" s="65" t="s">
        <v>6475</v>
      </c>
      <c r="G264" s="7" t="s">
        <v>6468</v>
      </c>
      <c r="H264" s="7" t="s">
        <v>6469</v>
      </c>
      <c r="I264" s="7" t="s">
        <v>7177</v>
      </c>
      <c r="J264" s="7"/>
    </row>
    <row r="265" customFormat="false" ht="26.85" hidden="false" customHeight="false" outlineLevel="0" collapsed="false">
      <c r="A265" s="7" t="s">
        <v>7178</v>
      </c>
      <c r="B265" s="7" t="s">
        <v>6473</v>
      </c>
      <c r="C265" s="7" t="s">
        <v>7121</v>
      </c>
      <c r="D265" s="7" t="s">
        <v>6465</v>
      </c>
      <c r="E265" s="7" t="s">
        <v>7049</v>
      </c>
      <c r="F265" s="37" t="s">
        <v>6467</v>
      </c>
      <c r="G265" s="7" t="s">
        <v>6468</v>
      </c>
      <c r="H265" s="7" t="s">
        <v>6469</v>
      </c>
      <c r="I265" s="7" t="s">
        <v>7179</v>
      </c>
      <c r="J265" s="7" t="s">
        <v>7180</v>
      </c>
    </row>
    <row r="266" customFormat="false" ht="26.85" hidden="false" customHeight="false" outlineLevel="0" collapsed="false">
      <c r="A266" s="7" t="s">
        <v>7181</v>
      </c>
      <c r="B266" s="7" t="s">
        <v>6463</v>
      </c>
      <c r="C266" s="7" t="s">
        <v>7182</v>
      </c>
      <c r="D266" s="7" t="s">
        <v>6465</v>
      </c>
      <c r="E266" s="7" t="s">
        <v>7049</v>
      </c>
      <c r="F266" s="65" t="s">
        <v>6475</v>
      </c>
      <c r="G266" s="7" t="s">
        <v>6468</v>
      </c>
      <c r="H266" s="7" t="s">
        <v>6509</v>
      </c>
      <c r="I266" s="7" t="s">
        <v>7183</v>
      </c>
      <c r="J266" s="7"/>
    </row>
    <row r="267" customFormat="false" ht="26.85" hidden="false" customHeight="false" outlineLevel="0" collapsed="false">
      <c r="A267" s="7" t="s">
        <v>7184</v>
      </c>
      <c r="B267" s="7" t="s">
        <v>6473</v>
      </c>
      <c r="C267" s="7" t="s">
        <v>7100</v>
      </c>
      <c r="D267" s="7" t="s">
        <v>6465</v>
      </c>
      <c r="E267" s="7" t="s">
        <v>7085</v>
      </c>
      <c r="F267" s="65" t="s">
        <v>6475</v>
      </c>
      <c r="G267" s="7" t="s">
        <v>6468</v>
      </c>
      <c r="H267" s="7" t="s">
        <v>6469</v>
      </c>
      <c r="I267" s="7" t="s">
        <v>7185</v>
      </c>
      <c r="J267" s="7"/>
    </row>
    <row r="268" customFormat="false" ht="26.85" hidden="false" customHeight="false" outlineLevel="0" collapsed="false">
      <c r="A268" s="7" t="s">
        <v>7186</v>
      </c>
      <c r="B268" s="7" t="s">
        <v>6492</v>
      </c>
      <c r="C268" s="7" t="s">
        <v>7187</v>
      </c>
      <c r="D268" s="7" t="s">
        <v>6641</v>
      </c>
      <c r="E268" s="7" t="s">
        <v>7049</v>
      </c>
      <c r="F268" s="65" t="s">
        <v>6475</v>
      </c>
      <c r="G268" s="7" t="s">
        <v>6468</v>
      </c>
      <c r="H268" s="7" t="s">
        <v>6469</v>
      </c>
      <c r="I268" s="7" t="s">
        <v>7188</v>
      </c>
      <c r="J268" s="7"/>
    </row>
    <row r="269" customFormat="false" ht="26.85" hidden="false" customHeight="false" outlineLevel="0" collapsed="false">
      <c r="A269" s="7" t="s">
        <v>7189</v>
      </c>
      <c r="B269" s="7" t="s">
        <v>6463</v>
      </c>
      <c r="C269" s="7" t="s">
        <v>7190</v>
      </c>
      <c r="D269" s="7" t="s">
        <v>6465</v>
      </c>
      <c r="E269" s="7" t="s">
        <v>7049</v>
      </c>
      <c r="F269" s="65" t="s">
        <v>6475</v>
      </c>
      <c r="G269" s="7" t="s">
        <v>6468</v>
      </c>
      <c r="H269" s="7" t="s">
        <v>6509</v>
      </c>
      <c r="I269" s="7" t="s">
        <v>7191</v>
      </c>
      <c r="J269" s="7"/>
    </row>
    <row r="270" customFormat="false" ht="26.85" hidden="false" customHeight="false" outlineLevel="0" collapsed="false">
      <c r="A270" s="7" t="s">
        <v>7192</v>
      </c>
      <c r="B270" s="7" t="s">
        <v>6463</v>
      </c>
      <c r="C270" s="7" t="s">
        <v>7193</v>
      </c>
      <c r="D270" s="7" t="s">
        <v>6465</v>
      </c>
      <c r="E270" s="7" t="s">
        <v>7049</v>
      </c>
      <c r="F270" s="65" t="s">
        <v>6475</v>
      </c>
      <c r="G270" s="7" t="s">
        <v>6468</v>
      </c>
      <c r="H270" s="7" t="s">
        <v>6509</v>
      </c>
      <c r="I270" s="7" t="s">
        <v>7194</v>
      </c>
      <c r="J270" s="7" t="s">
        <v>7195</v>
      </c>
    </row>
    <row r="271" customFormat="false" ht="26.85" hidden="false" customHeight="false" outlineLevel="0" collapsed="false">
      <c r="A271" s="7" t="s">
        <v>7196</v>
      </c>
      <c r="B271" s="7" t="s">
        <v>6463</v>
      </c>
      <c r="C271" s="7" t="s">
        <v>7106</v>
      </c>
      <c r="D271" s="7" t="s">
        <v>6465</v>
      </c>
      <c r="E271" s="7" t="s">
        <v>7049</v>
      </c>
      <c r="F271" s="67" t="s">
        <v>6532</v>
      </c>
      <c r="G271" s="7" t="s">
        <v>6553</v>
      </c>
      <c r="H271" s="7" t="s">
        <v>6469</v>
      </c>
      <c r="I271" s="7" t="s">
        <v>7197</v>
      </c>
      <c r="J271" s="7" t="s">
        <v>7198</v>
      </c>
    </row>
    <row r="272" customFormat="false" ht="26.85" hidden="false" customHeight="false" outlineLevel="0" collapsed="false">
      <c r="A272" s="7" t="s">
        <v>7199</v>
      </c>
      <c r="B272" s="7" t="s">
        <v>6463</v>
      </c>
      <c r="C272" s="7" t="s">
        <v>7121</v>
      </c>
      <c r="D272" s="7" t="s">
        <v>6465</v>
      </c>
      <c r="E272" s="7" t="s">
        <v>7049</v>
      </c>
      <c r="F272" s="65" t="s">
        <v>6475</v>
      </c>
      <c r="G272" s="7" t="s">
        <v>6553</v>
      </c>
      <c r="H272" s="7" t="s">
        <v>6469</v>
      </c>
      <c r="I272" s="7" t="s">
        <v>7200</v>
      </c>
      <c r="J272" s="7"/>
    </row>
    <row r="273" customFormat="false" ht="26.85" hidden="false" customHeight="false" outlineLevel="0" collapsed="false">
      <c r="A273" s="7" t="s">
        <v>7201</v>
      </c>
      <c r="B273" s="7" t="s">
        <v>6484</v>
      </c>
      <c r="C273" s="7" t="s">
        <v>7202</v>
      </c>
      <c r="D273" s="7" t="s">
        <v>6465</v>
      </c>
      <c r="E273" s="7" t="s">
        <v>7203</v>
      </c>
      <c r="F273" s="65" t="s">
        <v>6475</v>
      </c>
      <c r="G273" s="7" t="s">
        <v>6468</v>
      </c>
      <c r="H273" s="7" t="s">
        <v>6469</v>
      </c>
      <c r="I273" s="7" t="s">
        <v>7204</v>
      </c>
      <c r="J273" s="7"/>
    </row>
    <row r="274" customFormat="false" ht="26.85" hidden="false" customHeight="false" outlineLevel="0" collapsed="false">
      <c r="A274" s="7" t="s">
        <v>7205</v>
      </c>
      <c r="B274" s="7" t="s">
        <v>6488</v>
      </c>
      <c r="C274" s="7" t="s">
        <v>7206</v>
      </c>
      <c r="D274" s="7" t="s">
        <v>6465</v>
      </c>
      <c r="E274" s="7" t="s">
        <v>7203</v>
      </c>
      <c r="F274" s="37" t="s">
        <v>6467</v>
      </c>
      <c r="G274" s="7" t="s">
        <v>6553</v>
      </c>
      <c r="H274" s="7" t="s">
        <v>6469</v>
      </c>
      <c r="I274" s="7" t="s">
        <v>7207</v>
      </c>
      <c r="J274" s="7" t="s">
        <v>7208</v>
      </c>
    </row>
    <row r="275" customFormat="false" ht="26.85" hidden="false" customHeight="false" outlineLevel="0" collapsed="false">
      <c r="A275" s="7" t="s">
        <v>7209</v>
      </c>
      <c r="B275" s="7" t="s">
        <v>6484</v>
      </c>
      <c r="C275" s="7" t="s">
        <v>7210</v>
      </c>
      <c r="D275" s="7" t="s">
        <v>6465</v>
      </c>
      <c r="E275" s="7" t="s">
        <v>7203</v>
      </c>
      <c r="F275" s="65" t="s">
        <v>6475</v>
      </c>
      <c r="G275" s="7" t="s">
        <v>6553</v>
      </c>
      <c r="H275" s="7" t="s">
        <v>6469</v>
      </c>
      <c r="I275" s="7" t="s">
        <v>7211</v>
      </c>
      <c r="J275" s="7"/>
    </row>
    <row r="276" customFormat="false" ht="26.85" hidden="false" customHeight="false" outlineLevel="0" collapsed="false">
      <c r="A276" s="7" t="s">
        <v>7212</v>
      </c>
      <c r="B276" s="7" t="s">
        <v>6484</v>
      </c>
      <c r="C276" s="7" t="s">
        <v>7213</v>
      </c>
      <c r="D276" s="7" t="s">
        <v>6465</v>
      </c>
      <c r="E276" s="7" t="s">
        <v>7203</v>
      </c>
      <c r="F276" s="65" t="s">
        <v>6475</v>
      </c>
      <c r="G276" s="7" t="s">
        <v>6468</v>
      </c>
      <c r="H276" s="7" t="s">
        <v>6469</v>
      </c>
      <c r="I276" s="7" t="s">
        <v>7214</v>
      </c>
      <c r="J276" s="7"/>
    </row>
    <row r="277" customFormat="false" ht="26.85" hidden="false" customHeight="false" outlineLevel="0" collapsed="false">
      <c r="A277" s="7" t="s">
        <v>7215</v>
      </c>
      <c r="B277" s="7" t="s">
        <v>6473</v>
      </c>
      <c r="C277" s="7" t="s">
        <v>7216</v>
      </c>
      <c r="D277" s="7" t="s">
        <v>6465</v>
      </c>
      <c r="E277" s="7" t="s">
        <v>7203</v>
      </c>
      <c r="F277" s="65" t="s">
        <v>6475</v>
      </c>
      <c r="G277" s="7" t="s">
        <v>6468</v>
      </c>
      <c r="H277" s="7" t="s">
        <v>6509</v>
      </c>
      <c r="I277" s="7" t="s">
        <v>7217</v>
      </c>
      <c r="J277" s="7"/>
    </row>
    <row r="278" customFormat="false" ht="26.85" hidden="false" customHeight="false" outlineLevel="0" collapsed="false">
      <c r="A278" s="7" t="s">
        <v>7218</v>
      </c>
      <c r="B278" s="7" t="s">
        <v>6473</v>
      </c>
      <c r="C278" s="7" t="s">
        <v>7219</v>
      </c>
      <c r="D278" s="7" t="s">
        <v>6465</v>
      </c>
      <c r="E278" s="7" t="s">
        <v>7203</v>
      </c>
      <c r="F278" s="65" t="s">
        <v>6475</v>
      </c>
      <c r="G278" s="7" t="s">
        <v>6468</v>
      </c>
      <c r="H278" s="7" t="s">
        <v>6469</v>
      </c>
      <c r="I278" s="7" t="s">
        <v>7220</v>
      </c>
      <c r="J278" s="7"/>
    </row>
    <row r="279" customFormat="false" ht="52.2" hidden="false" customHeight="false" outlineLevel="0" collapsed="false">
      <c r="A279" s="7" t="s">
        <v>7221</v>
      </c>
      <c r="B279" s="7" t="s">
        <v>6750</v>
      </c>
      <c r="C279" s="7" t="s">
        <v>7222</v>
      </c>
      <c r="D279" s="7" t="s">
        <v>6465</v>
      </c>
      <c r="E279" s="7" t="s">
        <v>7203</v>
      </c>
      <c r="F279" s="67" t="s">
        <v>6516</v>
      </c>
      <c r="G279" s="7" t="s">
        <v>6468</v>
      </c>
      <c r="H279" s="7" t="s">
        <v>6469</v>
      </c>
      <c r="I279" s="7" t="s">
        <v>7223</v>
      </c>
      <c r="J279" s="7" t="s">
        <v>7224</v>
      </c>
    </row>
    <row r="280" customFormat="false" ht="26.85" hidden="false" customHeight="false" outlineLevel="0" collapsed="false">
      <c r="A280" s="7" t="s">
        <v>7225</v>
      </c>
      <c r="B280" s="7" t="s">
        <v>6488</v>
      </c>
      <c r="C280" s="7" t="s">
        <v>7226</v>
      </c>
      <c r="D280" s="7" t="s">
        <v>6465</v>
      </c>
      <c r="E280" s="7" t="s">
        <v>7203</v>
      </c>
      <c r="F280" s="65" t="s">
        <v>6475</v>
      </c>
      <c r="G280" s="7" t="s">
        <v>6553</v>
      </c>
      <c r="H280" s="7" t="s">
        <v>6469</v>
      </c>
      <c r="I280" s="7" t="s">
        <v>7227</v>
      </c>
      <c r="J280" s="7"/>
    </row>
    <row r="281" customFormat="false" ht="26.85" hidden="false" customHeight="false" outlineLevel="0" collapsed="false">
      <c r="A281" s="7" t="s">
        <v>7228</v>
      </c>
      <c r="B281" s="7" t="s">
        <v>6473</v>
      </c>
      <c r="C281" s="7" t="s">
        <v>7229</v>
      </c>
      <c r="D281" s="7" t="s">
        <v>6465</v>
      </c>
      <c r="E281" s="7" t="s">
        <v>7203</v>
      </c>
      <c r="F281" s="65" t="s">
        <v>6475</v>
      </c>
      <c r="G281" s="7" t="s">
        <v>6468</v>
      </c>
      <c r="H281" s="7" t="s">
        <v>6509</v>
      </c>
      <c r="I281" s="7" t="s">
        <v>7230</v>
      </c>
      <c r="J281" s="7"/>
    </row>
    <row r="282" customFormat="false" ht="26.85" hidden="false" customHeight="false" outlineLevel="0" collapsed="false">
      <c r="A282" s="7" t="s">
        <v>7231</v>
      </c>
      <c r="B282" s="7" t="s">
        <v>6484</v>
      </c>
      <c r="C282" s="7" t="s">
        <v>7232</v>
      </c>
      <c r="D282" s="7" t="s">
        <v>6465</v>
      </c>
      <c r="E282" s="7" t="s">
        <v>7203</v>
      </c>
      <c r="F282" s="66" t="s">
        <v>6495</v>
      </c>
      <c r="G282" s="7" t="s">
        <v>6553</v>
      </c>
      <c r="H282" s="7" t="s">
        <v>6469</v>
      </c>
      <c r="I282" s="7" t="s">
        <v>7233</v>
      </c>
      <c r="J282" s="7" t="s">
        <v>7234</v>
      </c>
    </row>
    <row r="283" customFormat="false" ht="52.2" hidden="false" customHeight="false" outlineLevel="0" collapsed="false">
      <c r="A283" s="7" t="s">
        <v>7235</v>
      </c>
      <c r="B283" s="7" t="s">
        <v>6484</v>
      </c>
      <c r="C283" s="7" t="s">
        <v>7236</v>
      </c>
      <c r="D283" s="7" t="s">
        <v>6465</v>
      </c>
      <c r="E283" s="7" t="s">
        <v>7203</v>
      </c>
      <c r="F283" s="67" t="s">
        <v>6516</v>
      </c>
      <c r="G283" s="7" t="s">
        <v>6468</v>
      </c>
      <c r="H283" s="7" t="s">
        <v>6469</v>
      </c>
      <c r="I283" s="7" t="s">
        <v>7237</v>
      </c>
      <c r="J283" s="7" t="s">
        <v>7238</v>
      </c>
    </row>
    <row r="284" customFormat="false" ht="26.85" hidden="false" customHeight="false" outlineLevel="0" collapsed="false">
      <c r="A284" s="7" t="s">
        <v>7239</v>
      </c>
      <c r="B284" s="7" t="s">
        <v>6488</v>
      </c>
      <c r="C284" s="7" t="s">
        <v>7240</v>
      </c>
      <c r="D284" s="7" t="s">
        <v>6465</v>
      </c>
      <c r="E284" s="7" t="s">
        <v>7203</v>
      </c>
      <c r="F284" s="65" t="s">
        <v>6475</v>
      </c>
      <c r="G284" s="7" t="s">
        <v>6553</v>
      </c>
      <c r="H284" s="7" t="s">
        <v>6469</v>
      </c>
      <c r="I284" s="7" t="s">
        <v>7241</v>
      </c>
      <c r="J284" s="7"/>
    </row>
    <row r="285" customFormat="false" ht="26.85" hidden="false" customHeight="false" outlineLevel="0" collapsed="false">
      <c r="A285" s="7" t="s">
        <v>7242</v>
      </c>
      <c r="B285" s="7" t="s">
        <v>6492</v>
      </c>
      <c r="C285" s="7" t="s">
        <v>7243</v>
      </c>
      <c r="D285" s="7" t="s">
        <v>7020</v>
      </c>
      <c r="E285" s="7" t="s">
        <v>7203</v>
      </c>
      <c r="F285" s="65" t="s">
        <v>6475</v>
      </c>
      <c r="G285" s="7" t="s">
        <v>6468</v>
      </c>
      <c r="H285" s="7" t="s">
        <v>6469</v>
      </c>
      <c r="I285" s="7" t="s">
        <v>7244</v>
      </c>
      <c r="J285" s="7"/>
    </row>
    <row r="286" customFormat="false" ht="26.85" hidden="false" customHeight="false" outlineLevel="0" collapsed="false">
      <c r="A286" s="7" t="s">
        <v>7245</v>
      </c>
      <c r="B286" s="7" t="s">
        <v>6492</v>
      </c>
      <c r="C286" s="7" t="s">
        <v>7246</v>
      </c>
      <c r="D286" s="7" t="s">
        <v>7056</v>
      </c>
      <c r="E286" s="7" t="s">
        <v>7203</v>
      </c>
      <c r="F286" s="65" t="s">
        <v>6475</v>
      </c>
      <c r="G286" s="7" t="s">
        <v>6553</v>
      </c>
      <c r="H286" s="7" t="s">
        <v>6469</v>
      </c>
      <c r="I286" s="7" t="s">
        <v>7247</v>
      </c>
      <c r="J286" s="7"/>
    </row>
    <row r="287" customFormat="false" ht="26.85" hidden="false" customHeight="false" outlineLevel="0" collapsed="false">
      <c r="A287" s="7" t="s">
        <v>7248</v>
      </c>
      <c r="B287" s="7" t="s">
        <v>6484</v>
      </c>
      <c r="C287" s="7" t="s">
        <v>7249</v>
      </c>
      <c r="D287" s="7" t="s">
        <v>6465</v>
      </c>
      <c r="E287" s="7" t="s">
        <v>7203</v>
      </c>
      <c r="F287" s="65" t="s">
        <v>6475</v>
      </c>
      <c r="G287" s="7" t="s">
        <v>6553</v>
      </c>
      <c r="H287" s="7" t="s">
        <v>6469</v>
      </c>
      <c r="I287" s="7" t="s">
        <v>7250</v>
      </c>
      <c r="J287" s="7"/>
    </row>
    <row r="288" customFormat="false" ht="26.85" hidden="false" customHeight="false" outlineLevel="0" collapsed="false">
      <c r="A288" s="7" t="s">
        <v>7251</v>
      </c>
      <c r="B288" s="7" t="s">
        <v>6473</v>
      </c>
      <c r="C288" s="7" t="s">
        <v>7206</v>
      </c>
      <c r="D288" s="7" t="s">
        <v>6465</v>
      </c>
      <c r="E288" s="7" t="s">
        <v>7203</v>
      </c>
      <c r="F288" s="65" t="s">
        <v>6475</v>
      </c>
      <c r="G288" s="7" t="s">
        <v>6553</v>
      </c>
      <c r="H288" s="7" t="s">
        <v>6469</v>
      </c>
      <c r="I288" s="7" t="s">
        <v>7252</v>
      </c>
      <c r="J288" s="7"/>
    </row>
    <row r="289" customFormat="false" ht="26.85" hidden="false" customHeight="false" outlineLevel="0" collapsed="false">
      <c r="A289" s="7" t="s">
        <v>7253</v>
      </c>
      <c r="B289" s="7" t="s">
        <v>6484</v>
      </c>
      <c r="C289" s="7" t="s">
        <v>7254</v>
      </c>
      <c r="D289" s="7" t="s">
        <v>6465</v>
      </c>
      <c r="E289" s="7" t="s">
        <v>7203</v>
      </c>
      <c r="F289" s="65" t="s">
        <v>6475</v>
      </c>
      <c r="G289" s="7" t="s">
        <v>6553</v>
      </c>
      <c r="H289" s="7" t="s">
        <v>6469</v>
      </c>
      <c r="I289" s="7" t="s">
        <v>7255</v>
      </c>
      <c r="J289" s="7"/>
    </row>
    <row r="290" customFormat="false" ht="64.9" hidden="false" customHeight="false" outlineLevel="0" collapsed="false">
      <c r="A290" s="7" t="s">
        <v>7256</v>
      </c>
      <c r="B290" s="7" t="s">
        <v>6484</v>
      </c>
      <c r="C290" s="7" t="s">
        <v>7257</v>
      </c>
      <c r="D290" s="7" t="s">
        <v>6465</v>
      </c>
      <c r="E290" s="7" t="s">
        <v>7203</v>
      </c>
      <c r="F290" s="66" t="s">
        <v>6495</v>
      </c>
      <c r="G290" s="7" t="s">
        <v>6553</v>
      </c>
      <c r="H290" s="7" t="s">
        <v>6469</v>
      </c>
      <c r="I290" s="7" t="s">
        <v>7258</v>
      </c>
      <c r="J290" s="7" t="s">
        <v>7259</v>
      </c>
    </row>
    <row r="291" customFormat="false" ht="52.2" hidden="false" customHeight="false" outlineLevel="0" collapsed="false">
      <c r="A291" s="7" t="s">
        <v>7260</v>
      </c>
      <c r="B291" s="7" t="s">
        <v>6484</v>
      </c>
      <c r="C291" s="7" t="s">
        <v>7257</v>
      </c>
      <c r="D291" s="7" t="s">
        <v>6465</v>
      </c>
      <c r="E291" s="7" t="s">
        <v>7203</v>
      </c>
      <c r="F291" s="67" t="s">
        <v>6516</v>
      </c>
      <c r="G291" s="7" t="s">
        <v>6553</v>
      </c>
      <c r="H291" s="7" t="s">
        <v>6469</v>
      </c>
      <c r="I291" s="7" t="s">
        <v>7261</v>
      </c>
      <c r="J291" s="7" t="s">
        <v>7262</v>
      </c>
    </row>
    <row r="292" customFormat="false" ht="26.85" hidden="false" customHeight="false" outlineLevel="0" collapsed="false">
      <c r="A292" s="7" t="s">
        <v>7263</v>
      </c>
      <c r="B292" s="7" t="s">
        <v>6473</v>
      </c>
      <c r="C292" s="7" t="s">
        <v>7264</v>
      </c>
      <c r="D292" s="7" t="s">
        <v>6465</v>
      </c>
      <c r="E292" s="7" t="s">
        <v>7203</v>
      </c>
      <c r="F292" s="65" t="s">
        <v>6475</v>
      </c>
      <c r="G292" s="7" t="s">
        <v>6468</v>
      </c>
      <c r="H292" s="7" t="s">
        <v>6469</v>
      </c>
      <c r="I292" s="7" t="s">
        <v>7265</v>
      </c>
      <c r="J292" s="7"/>
    </row>
    <row r="293" customFormat="false" ht="26.85" hidden="false" customHeight="false" outlineLevel="0" collapsed="false">
      <c r="A293" s="7" t="s">
        <v>7266</v>
      </c>
      <c r="B293" s="7" t="s">
        <v>6492</v>
      </c>
      <c r="C293" s="7" t="s">
        <v>7243</v>
      </c>
      <c r="D293" s="7" t="s">
        <v>7020</v>
      </c>
      <c r="E293" s="7" t="s">
        <v>7203</v>
      </c>
      <c r="F293" s="65" t="s">
        <v>6475</v>
      </c>
      <c r="G293" s="7" t="s">
        <v>6468</v>
      </c>
      <c r="H293" s="7" t="s">
        <v>6469</v>
      </c>
      <c r="I293" s="7" t="s">
        <v>7267</v>
      </c>
      <c r="J293" s="7"/>
    </row>
    <row r="294" customFormat="false" ht="26.85" hidden="false" customHeight="false" outlineLevel="0" collapsed="false">
      <c r="A294" s="7" t="s">
        <v>7268</v>
      </c>
      <c r="B294" s="7" t="s">
        <v>6492</v>
      </c>
      <c r="C294" s="7" t="s">
        <v>7269</v>
      </c>
      <c r="D294" s="7" t="s">
        <v>6709</v>
      </c>
      <c r="E294" s="7" t="s">
        <v>7203</v>
      </c>
      <c r="F294" s="65" t="s">
        <v>6475</v>
      </c>
      <c r="G294" s="7" t="s">
        <v>6553</v>
      </c>
      <c r="H294" s="7" t="s">
        <v>6469</v>
      </c>
      <c r="I294" s="7" t="s">
        <v>7270</v>
      </c>
      <c r="J294" s="7"/>
    </row>
    <row r="295" customFormat="false" ht="26.85" hidden="false" customHeight="false" outlineLevel="0" collapsed="false">
      <c r="A295" s="7" t="s">
        <v>7271</v>
      </c>
      <c r="B295" s="7" t="s">
        <v>6484</v>
      </c>
      <c r="C295" s="7" t="s">
        <v>7272</v>
      </c>
      <c r="D295" s="7" t="s">
        <v>6465</v>
      </c>
      <c r="E295" s="7" t="s">
        <v>7203</v>
      </c>
      <c r="F295" s="65" t="s">
        <v>6475</v>
      </c>
      <c r="G295" s="7" t="s">
        <v>6553</v>
      </c>
      <c r="H295" s="7" t="s">
        <v>6469</v>
      </c>
      <c r="I295" s="7" t="s">
        <v>7273</v>
      </c>
      <c r="J295" s="7"/>
    </row>
    <row r="296" customFormat="false" ht="26.85" hidden="false" customHeight="false" outlineLevel="0" collapsed="false">
      <c r="A296" s="7" t="s">
        <v>7274</v>
      </c>
      <c r="B296" s="7" t="s">
        <v>6484</v>
      </c>
      <c r="C296" s="7" t="s">
        <v>7275</v>
      </c>
      <c r="D296" s="7" t="s">
        <v>6465</v>
      </c>
      <c r="E296" s="7" t="s">
        <v>7203</v>
      </c>
      <c r="F296" s="65" t="s">
        <v>6475</v>
      </c>
      <c r="G296" s="7" t="s">
        <v>6468</v>
      </c>
      <c r="H296" s="7" t="s">
        <v>6469</v>
      </c>
      <c r="I296" s="7" t="s">
        <v>7276</v>
      </c>
      <c r="J296" s="7"/>
    </row>
    <row r="297" customFormat="false" ht="64.9" hidden="false" customHeight="false" outlineLevel="0" collapsed="false">
      <c r="A297" s="7" t="s">
        <v>7277</v>
      </c>
      <c r="B297" s="7" t="s">
        <v>6484</v>
      </c>
      <c r="C297" s="7" t="s">
        <v>7278</v>
      </c>
      <c r="D297" s="7" t="s">
        <v>6465</v>
      </c>
      <c r="E297" s="7" t="s">
        <v>7203</v>
      </c>
      <c r="F297" s="36" t="s">
        <v>6838</v>
      </c>
      <c r="G297" s="7" t="s">
        <v>6468</v>
      </c>
      <c r="H297" s="7" t="s">
        <v>6469</v>
      </c>
      <c r="I297" s="7" t="s">
        <v>7279</v>
      </c>
      <c r="J297" s="7" t="s">
        <v>7280</v>
      </c>
    </row>
    <row r="298" customFormat="false" ht="77.6" hidden="false" customHeight="false" outlineLevel="0" collapsed="false">
      <c r="A298" s="7" t="s">
        <v>115</v>
      </c>
      <c r="B298" s="7" t="s">
        <v>6473</v>
      </c>
      <c r="C298" s="7" t="s">
        <v>7281</v>
      </c>
      <c r="D298" s="7" t="s">
        <v>6465</v>
      </c>
      <c r="E298" s="7" t="s">
        <v>7203</v>
      </c>
      <c r="F298" s="35" t="s">
        <v>6692</v>
      </c>
      <c r="G298" s="7" t="s">
        <v>6553</v>
      </c>
      <c r="H298" s="7" t="s">
        <v>6469</v>
      </c>
      <c r="I298" s="7" t="s">
        <v>7282</v>
      </c>
      <c r="J298" s="7" t="s">
        <v>7283</v>
      </c>
    </row>
    <row r="299" customFormat="false" ht="26.85" hidden="false" customHeight="false" outlineLevel="0" collapsed="false">
      <c r="A299" s="7" t="s">
        <v>7284</v>
      </c>
      <c r="B299" s="7" t="s">
        <v>6484</v>
      </c>
      <c r="C299" s="7" t="s">
        <v>7285</v>
      </c>
      <c r="D299" s="7" t="s">
        <v>6465</v>
      </c>
      <c r="E299" s="7" t="s">
        <v>7203</v>
      </c>
      <c r="F299" s="65" t="s">
        <v>6475</v>
      </c>
      <c r="G299" s="7" t="s">
        <v>6553</v>
      </c>
      <c r="H299" s="7" t="s">
        <v>6469</v>
      </c>
      <c r="I299" s="7" t="s">
        <v>7286</v>
      </c>
      <c r="J299" s="7"/>
    </row>
    <row r="300" customFormat="false" ht="26.85" hidden="false" customHeight="false" outlineLevel="0" collapsed="false">
      <c r="A300" s="7" t="s">
        <v>7287</v>
      </c>
      <c r="B300" s="7" t="s">
        <v>6484</v>
      </c>
      <c r="C300" s="7" t="s">
        <v>7288</v>
      </c>
      <c r="D300" s="7" t="s">
        <v>6465</v>
      </c>
      <c r="E300" s="7" t="s">
        <v>7203</v>
      </c>
      <c r="F300" s="65" t="s">
        <v>6475</v>
      </c>
      <c r="G300" s="7" t="s">
        <v>6468</v>
      </c>
      <c r="H300" s="7" t="s">
        <v>6469</v>
      </c>
      <c r="I300" s="7" t="s">
        <v>7289</v>
      </c>
      <c r="J300" s="7"/>
    </row>
    <row r="301" customFormat="false" ht="26.85" hidden="false" customHeight="false" outlineLevel="0" collapsed="false">
      <c r="A301" s="7" t="s">
        <v>7290</v>
      </c>
      <c r="B301" s="7" t="s">
        <v>6484</v>
      </c>
      <c r="C301" s="7" t="s">
        <v>7291</v>
      </c>
      <c r="D301" s="7" t="s">
        <v>6465</v>
      </c>
      <c r="E301" s="7" t="s">
        <v>7203</v>
      </c>
      <c r="F301" s="65" t="s">
        <v>6475</v>
      </c>
      <c r="G301" s="7" t="s">
        <v>6468</v>
      </c>
      <c r="H301" s="7" t="s">
        <v>6469</v>
      </c>
      <c r="I301" s="7" t="s">
        <v>7292</v>
      </c>
      <c r="J301" s="7"/>
    </row>
    <row r="302" customFormat="false" ht="26.85" hidden="false" customHeight="false" outlineLevel="0" collapsed="false">
      <c r="A302" s="7" t="s">
        <v>7293</v>
      </c>
      <c r="B302" s="7" t="s">
        <v>6484</v>
      </c>
      <c r="C302" s="7" t="s">
        <v>7294</v>
      </c>
      <c r="D302" s="7" t="s">
        <v>6465</v>
      </c>
      <c r="E302" s="7" t="s">
        <v>7203</v>
      </c>
      <c r="F302" s="37" t="s">
        <v>6467</v>
      </c>
      <c r="G302" s="7" t="s">
        <v>6553</v>
      </c>
      <c r="H302" s="7" t="s">
        <v>6469</v>
      </c>
      <c r="I302" s="7" t="s">
        <v>7295</v>
      </c>
      <c r="J302" s="7" t="s">
        <v>7296</v>
      </c>
    </row>
    <row r="303" customFormat="false" ht="26.85" hidden="false" customHeight="false" outlineLevel="0" collapsed="false">
      <c r="A303" s="7" t="s">
        <v>7297</v>
      </c>
      <c r="B303" s="7" t="s">
        <v>6488</v>
      </c>
      <c r="C303" s="7" t="s">
        <v>7240</v>
      </c>
      <c r="D303" s="7" t="s">
        <v>6465</v>
      </c>
      <c r="E303" s="7" t="s">
        <v>7203</v>
      </c>
      <c r="F303" s="65" t="s">
        <v>6475</v>
      </c>
      <c r="G303" s="7" t="s">
        <v>6468</v>
      </c>
      <c r="H303" s="7" t="s">
        <v>6509</v>
      </c>
      <c r="I303" s="7" t="s">
        <v>7298</v>
      </c>
      <c r="J303" s="7"/>
    </row>
    <row r="304" customFormat="false" ht="26.85" hidden="false" customHeight="false" outlineLevel="0" collapsed="false">
      <c r="A304" s="7" t="s">
        <v>7299</v>
      </c>
      <c r="B304" s="7" t="s">
        <v>6473</v>
      </c>
      <c r="C304" s="7" t="s">
        <v>7300</v>
      </c>
      <c r="D304" s="7" t="s">
        <v>6465</v>
      </c>
      <c r="E304" s="7" t="s">
        <v>7203</v>
      </c>
      <c r="F304" s="65" t="s">
        <v>6475</v>
      </c>
      <c r="G304" s="7" t="s">
        <v>6553</v>
      </c>
      <c r="H304" s="7" t="s">
        <v>6469</v>
      </c>
      <c r="I304" s="7" t="s">
        <v>7301</v>
      </c>
      <c r="J304" s="7"/>
    </row>
    <row r="305" customFormat="false" ht="26.85" hidden="false" customHeight="false" outlineLevel="0" collapsed="false">
      <c r="A305" s="7" t="s">
        <v>7302</v>
      </c>
      <c r="B305" s="7" t="s">
        <v>6484</v>
      </c>
      <c r="C305" s="7" t="s">
        <v>7303</v>
      </c>
      <c r="D305" s="7" t="s">
        <v>6465</v>
      </c>
      <c r="E305" s="7" t="s">
        <v>7203</v>
      </c>
      <c r="F305" s="65" t="s">
        <v>6475</v>
      </c>
      <c r="G305" s="7" t="s">
        <v>6468</v>
      </c>
      <c r="H305" s="7" t="s">
        <v>6509</v>
      </c>
      <c r="I305" s="7" t="s">
        <v>7304</v>
      </c>
      <c r="J305" s="7"/>
    </row>
    <row r="306" customFormat="false" ht="26.85" hidden="false" customHeight="false" outlineLevel="0" collapsed="false">
      <c r="A306" s="7" t="s">
        <v>7305</v>
      </c>
      <c r="B306" s="7" t="s">
        <v>6488</v>
      </c>
      <c r="C306" s="7" t="s">
        <v>7240</v>
      </c>
      <c r="D306" s="7" t="s">
        <v>6465</v>
      </c>
      <c r="E306" s="7" t="s">
        <v>7203</v>
      </c>
      <c r="F306" s="65" t="s">
        <v>6475</v>
      </c>
      <c r="G306" s="7" t="s">
        <v>6553</v>
      </c>
      <c r="H306" s="7" t="s">
        <v>6469</v>
      </c>
      <c r="I306" s="7" t="s">
        <v>7306</v>
      </c>
      <c r="J306" s="7"/>
    </row>
    <row r="307" customFormat="false" ht="26.85" hidden="false" customHeight="false" outlineLevel="0" collapsed="false">
      <c r="A307" s="7" t="s">
        <v>7307</v>
      </c>
      <c r="B307" s="7" t="s">
        <v>6484</v>
      </c>
      <c r="C307" s="7" t="s">
        <v>7308</v>
      </c>
      <c r="D307" s="7" t="s">
        <v>6465</v>
      </c>
      <c r="E307" s="7" t="s">
        <v>7203</v>
      </c>
      <c r="F307" s="65" t="s">
        <v>6475</v>
      </c>
      <c r="G307" s="7" t="s">
        <v>6468</v>
      </c>
      <c r="H307" s="7" t="s">
        <v>6469</v>
      </c>
      <c r="I307" s="7" t="s">
        <v>7309</v>
      </c>
      <c r="J307" s="7"/>
    </row>
  </sheetData>
  <autoFilter ref="A5:J307"/>
  <mergeCells count="1">
    <mergeCell ref="D3:J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0"/>
    <col collapsed="false" customWidth="true" hidden="false" outlineLevel="0" max="4" min="4" style="0" width="15"/>
    <col collapsed="false" customWidth="true" hidden="false" outlineLevel="0" max="5" min="5" style="0" width="10"/>
    <col collapsed="false" customWidth="true" hidden="false" outlineLevel="0" max="6" min="6" style="0" width="15"/>
    <col collapsed="false" customWidth="true" hidden="false" outlineLevel="0" max="8" min="7" style="0" width="14"/>
    <col collapsed="false" customWidth="true" hidden="false" outlineLevel="0" max="9" min="9" style="0" width="48"/>
  </cols>
  <sheetData>
    <row r="1" customFormat="false" ht="15" hidden="false" customHeight="false" outlineLevel="0" collapsed="false">
      <c r="A1" s="20" t="s">
        <v>7310</v>
      </c>
    </row>
    <row r="3" customFormat="false" ht="23.85" hidden="false" customHeight="false" outlineLevel="0" collapsed="false">
      <c r="A3" s="3" t="s">
        <v>2</v>
      </c>
      <c r="B3" s="3" t="s">
        <v>110</v>
      </c>
      <c r="C3" s="3" t="s">
        <v>7311</v>
      </c>
      <c r="D3" s="3" t="s">
        <v>7312</v>
      </c>
      <c r="E3" s="3" t="s">
        <v>591</v>
      </c>
      <c r="F3" s="3" t="s">
        <v>7313</v>
      </c>
      <c r="G3" s="3" t="s">
        <v>7314</v>
      </c>
      <c r="H3" s="3" t="s">
        <v>7315</v>
      </c>
      <c r="I3" s="3" t="s">
        <v>647</v>
      </c>
    </row>
    <row r="4" customFormat="false" ht="26.85" hidden="false" customHeight="false" outlineLevel="0" collapsed="false">
      <c r="A4" s="7" t="s">
        <v>648</v>
      </c>
      <c r="B4" s="7" t="s">
        <v>7316</v>
      </c>
      <c r="C4" s="7" t="s">
        <v>7317</v>
      </c>
      <c r="D4" s="8" t="n">
        <v>480000</v>
      </c>
      <c r="E4" s="7" t="s">
        <v>113</v>
      </c>
      <c r="F4" s="8" t="n">
        <f aca="false">D4/IF(E4="USD",Varsayimlar!$B$4,IF(E4="TRY",Varsayimlar!$B$5,1))</f>
        <v>427616.926503341</v>
      </c>
      <c r="G4" s="8" t="n">
        <f aca="false">37000/Varsayimlar!$B$4</f>
        <v>32962.1380846325</v>
      </c>
      <c r="H4" s="8" t="n">
        <f aca="false">36000/Varsayimlar!$B$4</f>
        <v>32071.2694877506</v>
      </c>
      <c r="I4" s="7" t="s">
        <v>7318</v>
      </c>
    </row>
    <row r="5" customFormat="false" ht="26.85" hidden="false" customHeight="false" outlineLevel="0" collapsed="false">
      <c r="A5" s="7" t="s">
        <v>648</v>
      </c>
      <c r="B5" s="7" t="s">
        <v>7319</v>
      </c>
      <c r="C5" s="7" t="s">
        <v>7320</v>
      </c>
      <c r="D5" s="8" t="n">
        <v>414200</v>
      </c>
      <c r="E5" s="7" t="s">
        <v>112</v>
      </c>
      <c r="F5" s="8" t="n">
        <f aca="false">D5/IF(E5="USD",Varsayimlar!$B$4,IF(E5="TRY",Varsayimlar!$B$5,1))</f>
        <v>414200</v>
      </c>
      <c r="G5" s="8" t="n">
        <v>32000</v>
      </c>
      <c r="H5" s="8" t="n">
        <v>30200</v>
      </c>
      <c r="I5" s="7" t="s">
        <v>7318</v>
      </c>
    </row>
    <row r="6" customFormat="false" ht="39.55" hidden="false" customHeight="false" outlineLevel="0" collapsed="false">
      <c r="A6" s="7" t="s">
        <v>648</v>
      </c>
      <c r="B6" s="7" t="s">
        <v>7321</v>
      </c>
      <c r="C6" s="7" t="s">
        <v>7322</v>
      </c>
      <c r="D6" s="8" t="n">
        <v>19500000</v>
      </c>
      <c r="E6" s="7" t="s">
        <v>601</v>
      </c>
      <c r="F6" s="8" t="n">
        <f aca="false">D6/IF(E6="USD",Varsayimlar!$B$4,IF(E6="TRY",Varsayimlar!$B$5,1))</f>
        <v>353484.999546814</v>
      </c>
      <c r="G6" s="8" t="n">
        <f aca="false">1500000/Varsayimlar!$B$5</f>
        <v>27191.1538112934</v>
      </c>
      <c r="H6" s="8" t="n">
        <f aca="false">1500000/Varsayimlar!$B$5</f>
        <v>27191.1538112934</v>
      </c>
      <c r="I6" s="7" t="s">
        <v>7323</v>
      </c>
    </row>
    <row r="7" customFormat="false" ht="26.85" hidden="false" customHeight="false" outlineLevel="0" collapsed="false">
      <c r="A7" s="7" t="s">
        <v>7324</v>
      </c>
      <c r="B7" s="7" t="s">
        <v>695</v>
      </c>
      <c r="C7" s="7" t="s">
        <v>7325</v>
      </c>
      <c r="D7" s="8" t="n">
        <v>7281784</v>
      </c>
      <c r="E7" s="7" t="s">
        <v>112</v>
      </c>
      <c r="F7" s="8" t="n">
        <f aca="false">D7/IF(E7="USD",Varsayimlar!$B$4,IF(E7="TRY",Varsayimlar!$B$5,1))</f>
        <v>7281784</v>
      </c>
      <c r="G7" s="8"/>
      <c r="H7" s="8"/>
      <c r="I7" s="7" t="s">
        <v>7326</v>
      </c>
    </row>
    <row r="8" customFormat="false" ht="26.85" hidden="false" customHeight="false" outlineLevel="0" collapsed="false">
      <c r="A8" s="7" t="s">
        <v>7327</v>
      </c>
      <c r="B8" s="7" t="s">
        <v>7328</v>
      </c>
      <c r="C8" s="7" t="s">
        <v>7329</v>
      </c>
      <c r="D8" s="8" t="n">
        <v>3121990</v>
      </c>
      <c r="E8" s="7" t="s">
        <v>112</v>
      </c>
      <c r="F8" s="8" t="n">
        <f aca="false">D8/IF(E8="USD",Varsayimlar!$B$4,IF(E8="TRY",Varsayimlar!$B$5,1))</f>
        <v>3121990</v>
      </c>
      <c r="G8" s="8"/>
      <c r="H8" s="8"/>
      <c r="I8" s="7" t="s">
        <v>7330</v>
      </c>
    </row>
    <row r="9" customFormat="false" ht="26.85" hidden="false" customHeight="false" outlineLevel="0" collapsed="false">
      <c r="A9" s="7" t="s">
        <v>7327</v>
      </c>
      <c r="B9" s="7" t="s">
        <v>7331</v>
      </c>
      <c r="C9" s="7" t="s">
        <v>7332</v>
      </c>
      <c r="D9" s="8" t="n">
        <v>1802246</v>
      </c>
      <c r="E9" s="7" t="s">
        <v>112</v>
      </c>
      <c r="F9" s="8" t="n">
        <f aca="false">D9/IF(E9="USD",Varsayimlar!$B$4,IF(E9="TRY",Varsayimlar!$B$5,1))</f>
        <v>1802246</v>
      </c>
      <c r="G9" s="8"/>
      <c r="H9" s="8"/>
      <c r="I9" s="7" t="s">
        <v>7333</v>
      </c>
    </row>
    <row r="10" customFormat="false" ht="26.85" hidden="false" customHeight="false" outlineLevel="0" collapsed="false">
      <c r="A10" s="7" t="s">
        <v>80</v>
      </c>
      <c r="B10" s="7" t="s">
        <v>7334</v>
      </c>
      <c r="C10" s="7" t="s">
        <v>7335</v>
      </c>
      <c r="D10" s="8" t="n">
        <v>2340390</v>
      </c>
      <c r="E10" s="7" t="s">
        <v>112</v>
      </c>
      <c r="F10" s="8" t="n">
        <f aca="false">D10/IF(E10="USD",Varsayimlar!$B$4,IF(E10="TRY",Varsayimlar!$B$5,1))</f>
        <v>2340390</v>
      </c>
      <c r="G10" s="8"/>
      <c r="H10" s="8"/>
      <c r="I10" s="7" t="s">
        <v>7336</v>
      </c>
    </row>
    <row r="11" customFormat="false" ht="26.85" hidden="false" customHeight="false" outlineLevel="0" collapsed="false">
      <c r="A11" s="7" t="s">
        <v>80</v>
      </c>
      <c r="B11" s="7" t="s">
        <v>7337</v>
      </c>
      <c r="C11" s="7" t="s">
        <v>7338</v>
      </c>
      <c r="D11" s="8" t="n">
        <v>2590010</v>
      </c>
      <c r="E11" s="7" t="s">
        <v>112</v>
      </c>
      <c r="F11" s="8" t="n">
        <f aca="false">D11/IF(E11="USD",Varsayimlar!$B$4,IF(E11="TRY",Varsayimlar!$B$5,1))</f>
        <v>2590010</v>
      </c>
      <c r="G11" s="8"/>
      <c r="H11" s="8"/>
      <c r="I11" s="7" t="s">
        <v>7333</v>
      </c>
    </row>
    <row r="12" customFormat="false" ht="26.85" hidden="false" customHeight="false" outlineLevel="0" collapsed="false">
      <c r="A12" s="7" t="s">
        <v>7339</v>
      </c>
      <c r="B12" s="7" t="s">
        <v>7340</v>
      </c>
      <c r="C12" s="7" t="s">
        <v>7341</v>
      </c>
      <c r="D12" s="8" t="n">
        <v>3360189</v>
      </c>
      <c r="E12" s="7" t="s">
        <v>112</v>
      </c>
      <c r="F12" s="8" t="n">
        <f aca="false">D12/IF(E12="USD",Varsayimlar!$B$4,IF(E12="TRY",Varsayimlar!$B$5,1))</f>
        <v>3360189</v>
      </c>
      <c r="G12" s="8"/>
      <c r="H12" s="8"/>
      <c r="I12" s="7" t="s">
        <v>7336</v>
      </c>
    </row>
    <row r="13" customFormat="false" ht="39.55" hidden="false" customHeight="false" outlineLevel="0" collapsed="false">
      <c r="A13" s="7" t="s">
        <v>7342</v>
      </c>
      <c r="B13" s="7" t="s">
        <v>7343</v>
      </c>
      <c r="C13" s="7" t="s">
        <v>7344</v>
      </c>
      <c r="D13" s="8" t="n">
        <v>788000</v>
      </c>
      <c r="E13" s="7" t="s">
        <v>112</v>
      </c>
      <c r="F13" s="8" t="n">
        <f aca="false">D13/IF(E13="USD",Varsayimlar!$B$4,IF(E13="TRY",Varsayimlar!$B$5,1))</f>
        <v>788000</v>
      </c>
      <c r="G13" s="8"/>
      <c r="H13" s="8"/>
      <c r="I13" s="7" t="s">
        <v>7345</v>
      </c>
    </row>
    <row r="14" customFormat="false" ht="39.55" hidden="false" customHeight="false" outlineLevel="0" collapsed="false">
      <c r="A14" s="7" t="s">
        <v>7346</v>
      </c>
      <c r="B14" s="7" t="s">
        <v>7347</v>
      </c>
      <c r="C14" s="7" t="s">
        <v>7348</v>
      </c>
      <c r="D14" s="8" t="n">
        <v>1721471</v>
      </c>
      <c r="E14" s="7" t="s">
        <v>112</v>
      </c>
      <c r="F14" s="8" t="n">
        <f aca="false">D14/IF(E14="USD",Varsayimlar!$B$4,IF(E14="TRY",Varsayimlar!$B$5,1))</f>
        <v>1721471</v>
      </c>
      <c r="G14" s="8"/>
      <c r="H14" s="8"/>
      <c r="I14" s="7" t="s">
        <v>7349</v>
      </c>
    </row>
    <row r="15" customFormat="false" ht="39.55" hidden="false" customHeight="false" outlineLevel="0" collapsed="false">
      <c r="A15" s="7" t="s">
        <v>648</v>
      </c>
      <c r="B15" s="7" t="s">
        <v>7350</v>
      </c>
      <c r="C15" s="7" t="s">
        <v>7351</v>
      </c>
      <c r="D15" s="8" t="n">
        <v>647200</v>
      </c>
      <c r="E15" s="7" t="s">
        <v>112</v>
      </c>
      <c r="F15" s="8" t="n">
        <f aca="false">D15/IF(E15="USD",Varsayimlar!$B$4,IF(E15="TRY",Varsayimlar!$B$5,1))</f>
        <v>647200</v>
      </c>
      <c r="G15" s="8" t="n">
        <v>50992</v>
      </c>
      <c r="H15" s="8" t="n">
        <v>35293</v>
      </c>
      <c r="I15" s="7" t="s">
        <v>7352</v>
      </c>
    </row>
    <row r="17" customFormat="false" ht="45" hidden="false" customHeight="true" outlineLevel="0" collapsed="false">
      <c r="A17" s="2" t="s">
        <v>7353</v>
      </c>
      <c r="B17" s="2"/>
      <c r="C17" s="2"/>
      <c r="D17" s="2"/>
      <c r="E17" s="2"/>
      <c r="F17" s="2"/>
      <c r="G17" s="2"/>
      <c r="H17" s="2"/>
      <c r="I17" s="2"/>
    </row>
  </sheetData>
  <mergeCells count="1">
    <mergeCell ref="A17:I1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6" min="5" style="0" width="40"/>
    <col collapsed="false" customWidth="true" hidden="false" outlineLevel="0" max="7" min="7" style="0" width="50"/>
    <col collapsed="false" customWidth="true" hidden="false" outlineLevel="0" max="8" min="8" style="0" width="9"/>
    <col collapsed="false" customWidth="true" hidden="false" outlineLevel="0" max="10" min="9" style="0" width="12"/>
    <col collapsed="false" customWidth="true" hidden="false" outlineLevel="0" max="11" min="11" style="0" width="9"/>
    <col collapsed="false" customWidth="true" hidden="false" outlineLevel="0" max="12" min="12" style="0" width="14"/>
    <col collapsed="false" customWidth="true" hidden="false" outlineLevel="0" max="13" min="13" style="0" width="40"/>
  </cols>
  <sheetData>
    <row r="1" customFormat="false" ht="15" hidden="false" customHeight="false" outlineLevel="0" collapsed="false">
      <c r="A1" s="20" t="s">
        <v>7354</v>
      </c>
    </row>
    <row r="3" customFormat="false" ht="15" hidden="false" customHeight="false" outlineLevel="0" collapsed="false">
      <c r="A3" s="32" t="s">
        <v>636</v>
      </c>
      <c r="B3" s="32" t="s">
        <v>110</v>
      </c>
      <c r="C3" s="32" t="s">
        <v>2</v>
      </c>
      <c r="D3" s="32" t="s">
        <v>611</v>
      </c>
      <c r="E3" s="32" t="s">
        <v>3</v>
      </c>
      <c r="F3" s="32" t="s">
        <v>7355</v>
      </c>
      <c r="G3" s="32" t="s">
        <v>724</v>
      </c>
    </row>
    <row r="4" customFormat="false" ht="39.55" hidden="false" customHeight="false" outlineLevel="0" collapsed="false">
      <c r="A4" s="7" t="s">
        <v>6468</v>
      </c>
      <c r="B4" s="7" t="s">
        <v>6988</v>
      </c>
      <c r="C4" s="7" t="s">
        <v>6925</v>
      </c>
      <c r="D4" s="7" t="s">
        <v>7356</v>
      </c>
      <c r="E4" s="7" t="s">
        <v>7357</v>
      </c>
      <c r="F4" s="7"/>
      <c r="G4" s="7" t="s">
        <v>6992</v>
      </c>
    </row>
    <row r="5" customFormat="false" ht="26.85" hidden="false" customHeight="false" outlineLevel="0" collapsed="false">
      <c r="A5" s="7" t="s">
        <v>6496</v>
      </c>
      <c r="B5" s="7" t="s">
        <v>7358</v>
      </c>
      <c r="C5" s="7" t="s">
        <v>6925</v>
      </c>
      <c r="D5" s="7" t="s">
        <v>7356</v>
      </c>
      <c r="E5" s="7"/>
      <c r="F5" s="7"/>
      <c r="G5" s="7" t="s">
        <v>7359</v>
      </c>
    </row>
    <row r="6" customFormat="false" ht="64.9" hidden="false" customHeight="false" outlineLevel="0" collapsed="false">
      <c r="A6" s="7" t="s">
        <v>6496</v>
      </c>
      <c r="B6" s="7" t="s">
        <v>7360</v>
      </c>
      <c r="C6" s="7" t="s">
        <v>6925</v>
      </c>
      <c r="D6" s="7" t="s">
        <v>7361</v>
      </c>
      <c r="E6" s="7" t="s">
        <v>7357</v>
      </c>
      <c r="F6" s="7"/>
      <c r="G6" s="7" t="s">
        <v>7362</v>
      </c>
    </row>
    <row r="7" customFormat="false" ht="39.55" hidden="false" customHeight="false" outlineLevel="0" collapsed="false">
      <c r="A7" s="7" t="s">
        <v>6553</v>
      </c>
      <c r="B7" s="7" t="s">
        <v>7019</v>
      </c>
      <c r="C7" s="7" t="s">
        <v>6925</v>
      </c>
      <c r="D7" s="7" t="s">
        <v>7363</v>
      </c>
      <c r="E7" s="7" t="s">
        <v>7364</v>
      </c>
      <c r="F7" s="7" t="s">
        <v>7365</v>
      </c>
      <c r="G7" s="7" t="s">
        <v>7366</v>
      </c>
    </row>
    <row r="8" customFormat="false" ht="52.2" hidden="false" customHeight="false" outlineLevel="0" collapsed="false">
      <c r="A8" s="7" t="s">
        <v>6496</v>
      </c>
      <c r="B8" s="7" t="s">
        <v>7367</v>
      </c>
      <c r="C8" s="7" t="s">
        <v>6925</v>
      </c>
      <c r="D8" s="7" t="s">
        <v>7363</v>
      </c>
      <c r="E8" s="7" t="s">
        <v>7368</v>
      </c>
      <c r="F8" s="7" t="s">
        <v>7369</v>
      </c>
      <c r="G8" s="7" t="s">
        <v>7029</v>
      </c>
    </row>
    <row r="9" customFormat="false" ht="52.2" hidden="false" customHeight="false" outlineLevel="0" collapsed="false">
      <c r="A9" s="7" t="s">
        <v>7370</v>
      </c>
      <c r="B9" s="7" t="s">
        <v>6968</v>
      </c>
      <c r="C9" s="7" t="s">
        <v>6925</v>
      </c>
      <c r="D9" s="7" t="s">
        <v>7363</v>
      </c>
      <c r="E9" s="7" t="s">
        <v>7371</v>
      </c>
      <c r="F9" s="7" t="s">
        <v>7372</v>
      </c>
      <c r="G9" s="7" t="s">
        <v>6970</v>
      </c>
    </row>
    <row r="10" customFormat="false" ht="39.55" hidden="false" customHeight="false" outlineLevel="0" collapsed="false">
      <c r="A10" s="7" t="s">
        <v>6496</v>
      </c>
      <c r="B10" s="7" t="s">
        <v>6963</v>
      </c>
      <c r="C10" s="7" t="s">
        <v>6925</v>
      </c>
      <c r="D10" s="7" t="s">
        <v>6838</v>
      </c>
      <c r="E10" s="7" t="s">
        <v>7357</v>
      </c>
      <c r="F10" s="7"/>
      <c r="G10" s="7" t="s">
        <v>6965</v>
      </c>
    </row>
    <row r="11" customFormat="false" ht="77.6" hidden="false" customHeight="false" outlineLevel="0" collapsed="false">
      <c r="A11" s="7" t="s">
        <v>7370</v>
      </c>
      <c r="B11" s="7" t="s">
        <v>115</v>
      </c>
      <c r="C11" s="7" t="s">
        <v>7356</v>
      </c>
      <c r="D11" s="7" t="s">
        <v>7363</v>
      </c>
      <c r="E11" s="7" t="s">
        <v>7373</v>
      </c>
      <c r="F11" s="7" t="s">
        <v>7374</v>
      </c>
      <c r="G11" s="7" t="s">
        <v>7375</v>
      </c>
    </row>
    <row r="12" customFormat="false" ht="39.55" hidden="false" customHeight="false" outlineLevel="0" collapsed="false">
      <c r="A12" s="7" t="s">
        <v>6496</v>
      </c>
      <c r="B12" s="7" t="s">
        <v>6703</v>
      </c>
      <c r="C12" s="7" t="s">
        <v>6466</v>
      </c>
      <c r="D12" s="7" t="s">
        <v>7361</v>
      </c>
      <c r="E12" s="7" t="s">
        <v>7376</v>
      </c>
      <c r="F12" s="7"/>
      <c r="G12" s="7" t="s">
        <v>6706</v>
      </c>
    </row>
    <row r="13" customFormat="false" ht="64.9" hidden="false" customHeight="false" outlineLevel="0" collapsed="false">
      <c r="A13" s="7" t="s">
        <v>6496</v>
      </c>
      <c r="B13" s="7" t="s">
        <v>6491</v>
      </c>
      <c r="C13" s="7" t="s">
        <v>6466</v>
      </c>
      <c r="D13" s="7" t="s">
        <v>7377</v>
      </c>
      <c r="E13" s="7" t="s">
        <v>7378</v>
      </c>
      <c r="F13" s="7"/>
      <c r="G13" s="7" t="s">
        <v>7379</v>
      </c>
    </row>
    <row r="14" customFormat="false" ht="52.2" hidden="false" customHeight="false" outlineLevel="0" collapsed="false">
      <c r="A14" s="7" t="s">
        <v>6496</v>
      </c>
      <c r="B14" s="7" t="s">
        <v>6754</v>
      </c>
      <c r="C14" s="7" t="s">
        <v>6466</v>
      </c>
      <c r="D14" s="7" t="s">
        <v>7377</v>
      </c>
      <c r="E14" s="7"/>
      <c r="F14" s="7"/>
      <c r="G14" s="7" t="s">
        <v>6756</v>
      </c>
    </row>
    <row r="15" customFormat="false" ht="26.85" hidden="false" customHeight="false" outlineLevel="0" collapsed="false">
      <c r="A15" s="7" t="s">
        <v>6553</v>
      </c>
      <c r="B15" s="7" t="s">
        <v>6574</v>
      </c>
      <c r="C15" s="7" t="s">
        <v>6466</v>
      </c>
      <c r="D15" s="7" t="s">
        <v>7377</v>
      </c>
      <c r="E15" s="7" t="s">
        <v>7380</v>
      </c>
      <c r="F15" s="7"/>
      <c r="G15" s="7" t="s">
        <v>6577</v>
      </c>
    </row>
    <row r="16" customFormat="false" ht="26.85" hidden="false" customHeight="false" outlineLevel="0" collapsed="false">
      <c r="A16" s="7" t="s">
        <v>6553</v>
      </c>
      <c r="B16" s="7" t="s">
        <v>6548</v>
      </c>
      <c r="C16" s="7" t="s">
        <v>6466</v>
      </c>
      <c r="D16" s="7" t="s">
        <v>7377</v>
      </c>
      <c r="E16" s="7" t="s">
        <v>7381</v>
      </c>
      <c r="F16" s="7"/>
      <c r="G16" s="7" t="s">
        <v>6550</v>
      </c>
    </row>
    <row r="17" customFormat="false" ht="52.2" hidden="false" customHeight="false" outlineLevel="0" collapsed="false">
      <c r="A17" s="7" t="s">
        <v>6496</v>
      </c>
      <c r="B17" s="7" t="s">
        <v>7382</v>
      </c>
      <c r="C17" s="7" t="s">
        <v>6466</v>
      </c>
      <c r="D17" s="7" t="s">
        <v>7383</v>
      </c>
      <c r="E17" s="7" t="s">
        <v>7384</v>
      </c>
      <c r="F17" s="7"/>
      <c r="G17" s="7" t="s">
        <v>7385</v>
      </c>
    </row>
    <row r="18" customFormat="false" ht="64.9" hidden="false" customHeight="false" outlineLevel="0" collapsed="false">
      <c r="A18" s="7" t="s">
        <v>6496</v>
      </c>
      <c r="B18" s="7" t="s">
        <v>6530</v>
      </c>
      <c r="C18" s="7" t="s">
        <v>6466</v>
      </c>
      <c r="D18" s="7" t="s">
        <v>7383</v>
      </c>
      <c r="E18" s="7" t="s">
        <v>7386</v>
      </c>
      <c r="F18" s="7" t="s">
        <v>7387</v>
      </c>
      <c r="G18" s="7" t="s">
        <v>7388</v>
      </c>
    </row>
    <row r="19" customFormat="false" ht="26.85" hidden="false" customHeight="false" outlineLevel="0" collapsed="false">
      <c r="A19" s="7" t="s">
        <v>6553</v>
      </c>
      <c r="B19" s="7" t="s">
        <v>6578</v>
      </c>
      <c r="C19" s="7" t="s">
        <v>6466</v>
      </c>
      <c r="D19" s="7" t="s">
        <v>7383</v>
      </c>
      <c r="E19" s="7"/>
      <c r="F19" s="7"/>
      <c r="G19" s="7" t="s">
        <v>6582</v>
      </c>
    </row>
    <row r="20" customFormat="false" ht="26.85" hidden="false" customHeight="false" outlineLevel="0" collapsed="false">
      <c r="A20" s="7" t="s">
        <v>6553</v>
      </c>
      <c r="B20" s="7" t="s">
        <v>7389</v>
      </c>
      <c r="C20" s="7" t="s">
        <v>7390</v>
      </c>
      <c r="D20" s="7" t="s">
        <v>7356</v>
      </c>
      <c r="E20" s="7"/>
      <c r="F20" s="7"/>
      <c r="G20" s="7" t="s">
        <v>7391</v>
      </c>
    </row>
    <row r="21" customFormat="false" ht="39.55" hidden="false" customHeight="false" outlineLevel="0" collapsed="false">
      <c r="A21" s="7" t="s">
        <v>6468</v>
      </c>
      <c r="B21" s="7" t="s">
        <v>6514</v>
      </c>
      <c r="C21" s="7" t="s">
        <v>7390</v>
      </c>
      <c r="D21" s="7" t="s">
        <v>7356</v>
      </c>
      <c r="E21" s="7" t="s">
        <v>7392</v>
      </c>
      <c r="F21" s="7"/>
      <c r="G21" s="7" t="s">
        <v>6518</v>
      </c>
    </row>
    <row r="22" customFormat="false" ht="26.85" hidden="false" customHeight="false" outlineLevel="0" collapsed="false">
      <c r="A22" s="7" t="s">
        <v>6468</v>
      </c>
      <c r="B22" s="7" t="s">
        <v>6519</v>
      </c>
      <c r="C22" s="7" t="s">
        <v>7390</v>
      </c>
      <c r="D22" s="7" t="s">
        <v>7361</v>
      </c>
      <c r="E22" s="7"/>
      <c r="F22" s="7"/>
      <c r="G22" s="7" t="s">
        <v>6522</v>
      </c>
    </row>
    <row r="23" customFormat="false" ht="64.9" hidden="false" customHeight="false" outlineLevel="0" collapsed="false">
      <c r="A23" s="7" t="s">
        <v>7393</v>
      </c>
      <c r="B23" s="7" t="s">
        <v>681</v>
      </c>
      <c r="C23" s="7" t="s">
        <v>7390</v>
      </c>
      <c r="D23" s="7" t="s">
        <v>7363</v>
      </c>
      <c r="E23" s="7" t="s">
        <v>7394</v>
      </c>
      <c r="F23" s="7" t="s">
        <v>7395</v>
      </c>
      <c r="G23" s="7" t="s">
        <v>6694</v>
      </c>
    </row>
    <row r="24" customFormat="false" ht="26.85" hidden="false" customHeight="false" outlineLevel="0" collapsed="false">
      <c r="A24" s="7" t="s">
        <v>6496</v>
      </c>
      <c r="B24" s="7" t="s">
        <v>6749</v>
      </c>
      <c r="C24" s="7" t="s">
        <v>7390</v>
      </c>
      <c r="D24" s="7" t="s">
        <v>7383</v>
      </c>
      <c r="E24" s="7" t="s">
        <v>7396</v>
      </c>
      <c r="F24" s="7"/>
      <c r="G24" s="7" t="s">
        <v>6753</v>
      </c>
    </row>
    <row r="25" customFormat="false" ht="26.85" hidden="false" customHeight="false" outlineLevel="0" collapsed="false">
      <c r="A25" s="7" t="s">
        <v>6553</v>
      </c>
      <c r="B25" s="7" t="s">
        <v>7397</v>
      </c>
      <c r="C25" s="7" t="s">
        <v>7390</v>
      </c>
      <c r="D25" s="7" t="s">
        <v>7383</v>
      </c>
      <c r="E25" s="7" t="s">
        <v>7398</v>
      </c>
      <c r="F25" s="7"/>
      <c r="G25" s="7" t="s">
        <v>7399</v>
      </c>
    </row>
    <row r="26" customFormat="false" ht="39.55" hidden="false" customHeight="false" outlineLevel="0" collapsed="false">
      <c r="A26" s="7" t="s">
        <v>6553</v>
      </c>
      <c r="B26" s="7" t="s">
        <v>7221</v>
      </c>
      <c r="C26" s="7" t="s">
        <v>7203</v>
      </c>
      <c r="D26" s="7" t="s">
        <v>7361</v>
      </c>
      <c r="E26" s="7" t="s">
        <v>7400</v>
      </c>
      <c r="F26" s="7" t="s">
        <v>7401</v>
      </c>
      <c r="G26" s="7" t="s">
        <v>7224</v>
      </c>
    </row>
    <row r="27" customFormat="false" ht="39.55" hidden="false" customHeight="false" outlineLevel="0" collapsed="false">
      <c r="A27" s="7" t="s">
        <v>6496</v>
      </c>
      <c r="B27" s="7" t="s">
        <v>7235</v>
      </c>
      <c r="C27" s="7" t="s">
        <v>7203</v>
      </c>
      <c r="D27" s="7" t="s">
        <v>7361</v>
      </c>
      <c r="E27" s="7" t="s">
        <v>7402</v>
      </c>
      <c r="F27" s="7"/>
      <c r="G27" s="7" t="s">
        <v>7238</v>
      </c>
    </row>
    <row r="28" customFormat="false" ht="39.55" hidden="false" customHeight="false" outlineLevel="0" collapsed="false">
      <c r="A28" s="7" t="s">
        <v>7370</v>
      </c>
      <c r="B28" s="7" t="s">
        <v>7260</v>
      </c>
      <c r="C28" s="7" t="s">
        <v>7203</v>
      </c>
      <c r="D28" s="7" t="s">
        <v>7361</v>
      </c>
      <c r="E28" s="7" t="s">
        <v>7403</v>
      </c>
      <c r="F28" s="7"/>
      <c r="G28" s="7" t="s">
        <v>7262</v>
      </c>
    </row>
    <row r="29" customFormat="false" ht="90.25" hidden="false" customHeight="false" outlineLevel="0" collapsed="false">
      <c r="A29" s="7" t="s">
        <v>6553</v>
      </c>
      <c r="B29" s="7" t="s">
        <v>7277</v>
      </c>
      <c r="C29" s="7" t="s">
        <v>7203</v>
      </c>
      <c r="D29" s="7" t="s">
        <v>6838</v>
      </c>
      <c r="E29" s="7" t="s">
        <v>7404</v>
      </c>
      <c r="F29" s="7" t="s">
        <v>7405</v>
      </c>
      <c r="G29" s="7" t="s">
        <v>7406</v>
      </c>
    </row>
    <row r="30" customFormat="false" ht="26.85" hidden="false" customHeight="false" outlineLevel="0" collapsed="false">
      <c r="A30" s="7" t="s">
        <v>6553</v>
      </c>
      <c r="B30" s="7" t="s">
        <v>7231</v>
      </c>
      <c r="C30" s="7" t="s">
        <v>7203</v>
      </c>
      <c r="D30" s="7" t="s">
        <v>7377</v>
      </c>
      <c r="E30" s="7"/>
      <c r="F30" s="7"/>
      <c r="G30" s="7" t="s">
        <v>7234</v>
      </c>
    </row>
    <row r="31" customFormat="false" ht="52.2" hidden="false" customHeight="false" outlineLevel="0" collapsed="false">
      <c r="A31" s="7" t="s">
        <v>6553</v>
      </c>
      <c r="B31" s="7" t="s">
        <v>7407</v>
      </c>
      <c r="C31" s="7" t="s">
        <v>7203</v>
      </c>
      <c r="D31" s="7" t="s">
        <v>7377</v>
      </c>
      <c r="E31" s="7"/>
      <c r="F31" s="7"/>
      <c r="G31" s="7" t="s">
        <v>7259</v>
      </c>
    </row>
    <row r="32" customFormat="false" ht="26.85" hidden="false" customHeight="false" outlineLevel="0" collapsed="false">
      <c r="A32" s="7" t="s">
        <v>6468</v>
      </c>
      <c r="B32" s="7" t="s">
        <v>6732</v>
      </c>
      <c r="C32" s="7" t="s">
        <v>7203</v>
      </c>
      <c r="D32" s="7" t="s">
        <v>7377</v>
      </c>
      <c r="E32" s="7" t="s">
        <v>7408</v>
      </c>
      <c r="F32" s="7"/>
      <c r="G32" s="7" t="s">
        <v>6735</v>
      </c>
    </row>
    <row r="33" customFormat="false" ht="77.6" hidden="false" customHeight="false" outlineLevel="0" collapsed="false">
      <c r="A33" s="7" t="s">
        <v>7370</v>
      </c>
      <c r="B33" s="7" t="s">
        <v>6728</v>
      </c>
      <c r="C33" s="7" t="s">
        <v>6786</v>
      </c>
      <c r="D33" s="7" t="s">
        <v>7361</v>
      </c>
      <c r="E33" s="7" t="s">
        <v>7409</v>
      </c>
      <c r="F33" s="7"/>
      <c r="G33" s="7" t="s">
        <v>7410</v>
      </c>
    </row>
    <row r="34" customFormat="false" ht="52.2" hidden="false" customHeight="false" outlineLevel="0" collapsed="false">
      <c r="A34" s="7" t="s">
        <v>7411</v>
      </c>
      <c r="B34" s="7" t="s">
        <v>6837</v>
      </c>
      <c r="C34" s="7" t="s">
        <v>6786</v>
      </c>
      <c r="D34" s="7" t="s">
        <v>6838</v>
      </c>
      <c r="E34" s="7" t="s">
        <v>7412</v>
      </c>
      <c r="F34" s="7"/>
      <c r="G34" s="7" t="s">
        <v>6840</v>
      </c>
    </row>
    <row r="35" customFormat="false" ht="26.85" hidden="false" customHeight="false" outlineLevel="0" collapsed="false">
      <c r="A35" s="7" t="s">
        <v>7370</v>
      </c>
      <c r="B35" s="7" t="s">
        <v>6871</v>
      </c>
      <c r="C35" s="7" t="s">
        <v>6786</v>
      </c>
      <c r="D35" s="7" t="s">
        <v>7377</v>
      </c>
      <c r="E35" s="7"/>
      <c r="F35" s="7"/>
      <c r="G35" s="7" t="s">
        <v>6873</v>
      </c>
    </row>
    <row r="36" customFormat="false" ht="26.85" hidden="false" customHeight="false" outlineLevel="0" collapsed="false">
      <c r="A36" s="7" t="s">
        <v>7370</v>
      </c>
      <c r="B36" s="7" t="s">
        <v>6821</v>
      </c>
      <c r="C36" s="7" t="s">
        <v>6786</v>
      </c>
      <c r="D36" s="7" t="s">
        <v>7377</v>
      </c>
      <c r="E36" s="7"/>
      <c r="F36" s="7"/>
      <c r="G36" s="7" t="s">
        <v>6823</v>
      </c>
    </row>
    <row r="37" customFormat="false" ht="26.85" hidden="false" customHeight="false" outlineLevel="0" collapsed="false">
      <c r="A37" s="7" t="s">
        <v>6468</v>
      </c>
      <c r="B37" s="7" t="s">
        <v>6811</v>
      </c>
      <c r="C37" s="7" t="s">
        <v>6786</v>
      </c>
      <c r="D37" s="7" t="s">
        <v>7377</v>
      </c>
      <c r="E37" s="7"/>
      <c r="F37" s="7"/>
      <c r="G37" s="7" t="s">
        <v>6813</v>
      </c>
    </row>
    <row r="38" customFormat="false" ht="26.85" hidden="false" customHeight="false" outlineLevel="0" collapsed="false">
      <c r="A38" s="7" t="s">
        <v>6468</v>
      </c>
      <c r="B38" s="7" t="s">
        <v>6854</v>
      </c>
      <c r="C38" s="7" t="s">
        <v>6786</v>
      </c>
      <c r="D38" s="7" t="s">
        <v>7377</v>
      </c>
      <c r="E38" s="7"/>
      <c r="F38" s="7"/>
      <c r="G38" s="7" t="s">
        <v>6856</v>
      </c>
    </row>
    <row r="39" customFormat="false" ht="26.85" hidden="false" customHeight="false" outlineLevel="0" collapsed="false">
      <c r="A39" s="7" t="s">
        <v>6553</v>
      </c>
      <c r="B39" s="7" t="s">
        <v>6337</v>
      </c>
      <c r="C39" s="7" t="s">
        <v>7413</v>
      </c>
      <c r="D39" s="7" t="s">
        <v>7356</v>
      </c>
      <c r="E39" s="7"/>
      <c r="F39" s="7"/>
      <c r="G39" s="7" t="s">
        <v>7104</v>
      </c>
    </row>
    <row r="40" customFormat="false" ht="90.25" hidden="false" customHeight="false" outlineLevel="0" collapsed="false">
      <c r="A40" s="7" t="s">
        <v>7393</v>
      </c>
      <c r="B40" s="7" t="s">
        <v>7135</v>
      </c>
      <c r="C40" s="7" t="s">
        <v>7413</v>
      </c>
      <c r="D40" s="7" t="s">
        <v>7363</v>
      </c>
      <c r="E40" s="7" t="s">
        <v>7414</v>
      </c>
      <c r="F40" s="7" t="s">
        <v>7415</v>
      </c>
      <c r="G40" s="7" t="s">
        <v>7416</v>
      </c>
    </row>
    <row r="41" customFormat="false" ht="26.85" hidden="false" customHeight="false" outlineLevel="0" collapsed="false">
      <c r="A41" s="7" t="s">
        <v>6553</v>
      </c>
      <c r="B41" s="7" t="s">
        <v>7105</v>
      </c>
      <c r="C41" s="7" t="s">
        <v>7413</v>
      </c>
      <c r="D41" s="7" t="s">
        <v>6838</v>
      </c>
      <c r="E41" s="7" t="s">
        <v>7417</v>
      </c>
      <c r="F41" s="7"/>
      <c r="G41" s="7" t="s">
        <v>7108</v>
      </c>
    </row>
    <row r="42" customFormat="false" ht="39.55" hidden="false" customHeight="false" outlineLevel="0" collapsed="false">
      <c r="A42" s="7" t="s">
        <v>7370</v>
      </c>
      <c r="B42" s="7" t="s">
        <v>7054</v>
      </c>
      <c r="C42" s="7" t="s">
        <v>7413</v>
      </c>
      <c r="D42" s="7" t="s">
        <v>7377</v>
      </c>
      <c r="E42" s="7" t="s">
        <v>7417</v>
      </c>
      <c r="F42" s="7"/>
      <c r="G42" s="7" t="s">
        <v>7058</v>
      </c>
    </row>
    <row r="43" customFormat="false" ht="39.55" hidden="false" customHeight="false" outlineLevel="0" collapsed="false">
      <c r="A43" s="7" t="s">
        <v>6496</v>
      </c>
      <c r="B43" s="7" t="s">
        <v>7156</v>
      </c>
      <c r="C43" s="7" t="s">
        <v>7413</v>
      </c>
      <c r="D43" s="7" t="s">
        <v>7377</v>
      </c>
      <c r="E43" s="7" t="s">
        <v>7417</v>
      </c>
      <c r="F43" s="7"/>
      <c r="G43" s="7" t="s">
        <v>7159</v>
      </c>
    </row>
    <row r="44" customFormat="false" ht="26.85" hidden="false" customHeight="false" outlineLevel="0" collapsed="false">
      <c r="A44" s="7" t="s">
        <v>6553</v>
      </c>
      <c r="B44" s="7" t="s">
        <v>7062</v>
      </c>
      <c r="C44" s="7" t="s">
        <v>7413</v>
      </c>
      <c r="D44" s="7" t="s">
        <v>7377</v>
      </c>
      <c r="E44" s="7"/>
      <c r="F44" s="7"/>
      <c r="G44" s="7" t="s">
        <v>7065</v>
      </c>
    </row>
    <row r="45" customFormat="false" ht="26.85" hidden="false" customHeight="false" outlineLevel="0" collapsed="false">
      <c r="A45" s="7" t="s">
        <v>6553</v>
      </c>
      <c r="B45" s="7" t="s">
        <v>7075</v>
      </c>
      <c r="C45" s="7" t="s">
        <v>7413</v>
      </c>
      <c r="D45" s="7" t="s">
        <v>7377</v>
      </c>
      <c r="E45" s="7"/>
      <c r="F45" s="7" t="s">
        <v>7418</v>
      </c>
      <c r="G45" s="7" t="s">
        <v>7078</v>
      </c>
    </row>
    <row r="46" customFormat="false" ht="26.85" hidden="false" customHeight="false" outlineLevel="0" collapsed="false">
      <c r="A46" s="7" t="s">
        <v>6553</v>
      </c>
      <c r="B46" s="7" t="s">
        <v>7079</v>
      </c>
      <c r="C46" s="7" t="s">
        <v>7413</v>
      </c>
      <c r="D46" s="7" t="s">
        <v>7377</v>
      </c>
      <c r="E46" s="7"/>
      <c r="F46" s="7"/>
      <c r="G46" s="7" t="s">
        <v>7082</v>
      </c>
    </row>
    <row r="47" customFormat="false" ht="26.85" hidden="false" customHeight="false" outlineLevel="0" collapsed="false">
      <c r="A47" s="7" t="s">
        <v>6553</v>
      </c>
      <c r="B47" s="7" t="s">
        <v>7196</v>
      </c>
      <c r="C47" s="7" t="s">
        <v>7413</v>
      </c>
      <c r="D47" s="7" t="s">
        <v>7383</v>
      </c>
      <c r="E47" s="7" t="s">
        <v>7417</v>
      </c>
      <c r="F47" s="7"/>
      <c r="G47" s="7" t="s">
        <v>7198</v>
      </c>
    </row>
    <row r="50" customFormat="false" ht="15" hidden="false" customHeight="false" outlineLevel="0" collapsed="false">
      <c r="A50" s="20" t="s">
        <v>7419</v>
      </c>
    </row>
    <row r="51" customFormat="false" ht="15" hidden="false" customHeight="false" outlineLevel="0" collapsed="false">
      <c r="A51" s="32" t="s">
        <v>7420</v>
      </c>
      <c r="B51" s="32" t="s">
        <v>7421</v>
      </c>
      <c r="C51" s="32" t="s">
        <v>7422</v>
      </c>
      <c r="D51" s="32" t="s">
        <v>7423</v>
      </c>
      <c r="E51" s="32" t="s">
        <v>7424</v>
      </c>
      <c r="F51" s="32" t="s">
        <v>7425</v>
      </c>
      <c r="G51" s="32" t="s">
        <v>7426</v>
      </c>
      <c r="H51" s="32" t="s">
        <v>7427</v>
      </c>
      <c r="I51" s="32" t="s">
        <v>7428</v>
      </c>
      <c r="J51" s="32" t="s">
        <v>7429</v>
      </c>
      <c r="K51" s="32" t="s">
        <v>7430</v>
      </c>
      <c r="L51" s="32" t="s">
        <v>7431</v>
      </c>
      <c r="M51" s="32" t="s">
        <v>7432</v>
      </c>
    </row>
    <row r="52" customFormat="false" ht="64.9" hidden="false" customHeight="false" outlineLevel="0" collapsed="false">
      <c r="A52" s="7" t="s">
        <v>7027</v>
      </c>
      <c r="B52" s="7" t="s">
        <v>6496</v>
      </c>
      <c r="C52" s="7" t="s">
        <v>6925</v>
      </c>
      <c r="D52" s="7" t="s">
        <v>451</v>
      </c>
      <c r="E52" s="7" t="s">
        <v>2892</v>
      </c>
      <c r="F52" s="7" t="s">
        <v>7433</v>
      </c>
      <c r="G52" s="7" t="s">
        <v>727</v>
      </c>
      <c r="H52" s="7" t="n">
        <v>3</v>
      </c>
      <c r="I52" s="7" t="n">
        <v>24000</v>
      </c>
      <c r="J52" s="7" t="n">
        <v>8000</v>
      </c>
      <c r="K52" s="7" t="s">
        <v>112</v>
      </c>
      <c r="L52" s="7" t="n">
        <v>96000</v>
      </c>
      <c r="M52" s="7" t="s">
        <v>7434</v>
      </c>
    </row>
    <row r="53" customFormat="false" ht="64.9" hidden="false" customHeight="false" outlineLevel="0" collapsed="false">
      <c r="A53" s="7" t="s">
        <v>7027</v>
      </c>
      <c r="B53" s="7" t="s">
        <v>6496</v>
      </c>
      <c r="C53" s="7" t="s">
        <v>6925</v>
      </c>
      <c r="D53" s="7" t="s">
        <v>451</v>
      </c>
      <c r="E53" s="7" t="s">
        <v>2892</v>
      </c>
      <c r="F53" s="7" t="s">
        <v>7435</v>
      </c>
      <c r="G53" s="7" t="s">
        <v>727</v>
      </c>
      <c r="H53" s="7" t="n">
        <v>3</v>
      </c>
      <c r="I53" s="7" t="n">
        <v>24000</v>
      </c>
      <c r="J53" s="7" t="n">
        <v>8000</v>
      </c>
      <c r="K53" s="7" t="s">
        <v>112</v>
      </c>
      <c r="L53" s="7" t="n">
        <v>96000</v>
      </c>
      <c r="M53" s="7" t="s">
        <v>7434</v>
      </c>
    </row>
    <row r="54" customFormat="false" ht="64.9" hidden="false" customHeight="false" outlineLevel="0" collapsed="false">
      <c r="A54" s="7" t="s">
        <v>7027</v>
      </c>
      <c r="B54" s="7" t="s">
        <v>6496</v>
      </c>
      <c r="C54" s="7" t="s">
        <v>6925</v>
      </c>
      <c r="D54" s="7" t="s">
        <v>451</v>
      </c>
      <c r="E54" s="7" t="s">
        <v>2892</v>
      </c>
      <c r="F54" s="7" t="s">
        <v>7436</v>
      </c>
      <c r="G54" s="7" t="s">
        <v>727</v>
      </c>
      <c r="H54" s="7" t="n">
        <v>3</v>
      </c>
      <c r="I54" s="7" t="n">
        <v>24000</v>
      </c>
      <c r="J54" s="7" t="n">
        <v>8000</v>
      </c>
      <c r="K54" s="7" t="s">
        <v>112</v>
      </c>
      <c r="L54" s="7" t="n">
        <v>96000</v>
      </c>
      <c r="M54" s="7" t="s">
        <v>7434</v>
      </c>
    </row>
    <row r="55" customFormat="false" ht="64.9" hidden="false" customHeight="false" outlineLevel="0" collapsed="false">
      <c r="A55" s="7" t="s">
        <v>7027</v>
      </c>
      <c r="B55" s="7" t="s">
        <v>6496</v>
      </c>
      <c r="C55" s="7" t="s">
        <v>6925</v>
      </c>
      <c r="D55" s="7" t="s">
        <v>451</v>
      </c>
      <c r="E55" s="7" t="s">
        <v>2892</v>
      </c>
      <c r="F55" s="7" t="s">
        <v>7437</v>
      </c>
      <c r="G55" s="7" t="s">
        <v>727</v>
      </c>
      <c r="H55" s="7" t="n">
        <v>3</v>
      </c>
      <c r="I55" s="7" t="n">
        <v>24000</v>
      </c>
      <c r="J55" s="7" t="n">
        <v>8000</v>
      </c>
      <c r="K55" s="7" t="s">
        <v>112</v>
      </c>
      <c r="L55" s="7" t="n">
        <v>96000</v>
      </c>
      <c r="M55" s="7" t="s">
        <v>7434</v>
      </c>
    </row>
    <row r="56" customFormat="false" ht="52.2" hidden="false" customHeight="false" outlineLevel="0" collapsed="false">
      <c r="A56" s="7" t="s">
        <v>7027</v>
      </c>
      <c r="B56" s="7" t="s">
        <v>6496</v>
      </c>
      <c r="C56" s="7" t="s">
        <v>6925</v>
      </c>
      <c r="D56" s="7" t="s">
        <v>453</v>
      </c>
      <c r="E56" s="7" t="s">
        <v>2900</v>
      </c>
      <c r="F56" s="7" t="s">
        <v>7438</v>
      </c>
      <c r="G56" s="7" t="s">
        <v>727</v>
      </c>
      <c r="H56" s="7" t="n">
        <v>1</v>
      </c>
      <c r="I56" s="7" t="n">
        <v>22650</v>
      </c>
      <c r="J56" s="7" t="n">
        <v>7550</v>
      </c>
      <c r="K56" s="7" t="s">
        <v>112</v>
      </c>
      <c r="L56" s="7" t="n">
        <v>30200</v>
      </c>
      <c r="M56" s="7" t="s">
        <v>7434</v>
      </c>
    </row>
    <row r="57" customFormat="false" ht="64.9" hidden="false" customHeight="false" outlineLevel="0" collapsed="false">
      <c r="A57" s="7" t="s">
        <v>7439</v>
      </c>
      <c r="B57" s="7" t="s">
        <v>7370</v>
      </c>
      <c r="C57" s="7" t="s">
        <v>6925</v>
      </c>
      <c r="D57" s="7" t="s">
        <v>451</v>
      </c>
      <c r="E57" s="7" t="s">
        <v>2892</v>
      </c>
      <c r="F57" s="7" t="s">
        <v>7433</v>
      </c>
      <c r="G57" s="7" t="s">
        <v>727</v>
      </c>
      <c r="H57" s="7" t="n">
        <v>3</v>
      </c>
      <c r="I57" s="7" t="n">
        <v>1500000</v>
      </c>
      <c r="J57" s="7"/>
      <c r="K57" s="7" t="s">
        <v>114</v>
      </c>
      <c r="L57" s="7" t="n">
        <v>4500000</v>
      </c>
      <c r="M57" s="7" t="s">
        <v>7440</v>
      </c>
    </row>
    <row r="58" customFormat="false" ht="64.9" hidden="false" customHeight="false" outlineLevel="0" collapsed="false">
      <c r="A58" s="7" t="s">
        <v>7439</v>
      </c>
      <c r="B58" s="7" t="s">
        <v>7370</v>
      </c>
      <c r="C58" s="7" t="s">
        <v>6925</v>
      </c>
      <c r="D58" s="7" t="s">
        <v>451</v>
      </c>
      <c r="E58" s="7" t="s">
        <v>2892</v>
      </c>
      <c r="F58" s="7" t="s">
        <v>7435</v>
      </c>
      <c r="G58" s="7" t="s">
        <v>727</v>
      </c>
      <c r="H58" s="7" t="n">
        <v>3</v>
      </c>
      <c r="I58" s="7" t="n">
        <v>1500000</v>
      </c>
      <c r="J58" s="7"/>
      <c r="K58" s="7" t="s">
        <v>114</v>
      </c>
      <c r="L58" s="7" t="n">
        <v>4500000</v>
      </c>
      <c r="M58" s="7" t="s">
        <v>7440</v>
      </c>
    </row>
    <row r="59" customFormat="false" ht="64.9" hidden="false" customHeight="false" outlineLevel="0" collapsed="false">
      <c r="A59" s="7" t="s">
        <v>7439</v>
      </c>
      <c r="B59" s="7" t="s">
        <v>7370</v>
      </c>
      <c r="C59" s="7" t="s">
        <v>6925</v>
      </c>
      <c r="D59" s="7" t="s">
        <v>451</v>
      </c>
      <c r="E59" s="7" t="s">
        <v>2892</v>
      </c>
      <c r="F59" s="7" t="s">
        <v>7436</v>
      </c>
      <c r="G59" s="7" t="s">
        <v>727</v>
      </c>
      <c r="H59" s="7" t="n">
        <v>3</v>
      </c>
      <c r="I59" s="7" t="n">
        <v>1500000</v>
      </c>
      <c r="J59" s="7"/>
      <c r="K59" s="7" t="s">
        <v>114</v>
      </c>
      <c r="L59" s="7" t="n">
        <v>4500000</v>
      </c>
      <c r="M59" s="7" t="s">
        <v>7440</v>
      </c>
    </row>
    <row r="60" customFormat="false" ht="64.9" hidden="false" customHeight="false" outlineLevel="0" collapsed="false">
      <c r="A60" s="7" t="s">
        <v>7439</v>
      </c>
      <c r="B60" s="7" t="s">
        <v>7370</v>
      </c>
      <c r="C60" s="7" t="s">
        <v>6925</v>
      </c>
      <c r="D60" s="7" t="s">
        <v>451</v>
      </c>
      <c r="E60" s="7" t="s">
        <v>2892</v>
      </c>
      <c r="F60" s="7" t="s">
        <v>7437</v>
      </c>
      <c r="G60" s="7" t="s">
        <v>727</v>
      </c>
      <c r="H60" s="7" t="n">
        <v>3</v>
      </c>
      <c r="I60" s="7" t="n">
        <v>1500000</v>
      </c>
      <c r="J60" s="7"/>
      <c r="K60" s="7" t="s">
        <v>114</v>
      </c>
      <c r="L60" s="7" t="n">
        <v>4500000</v>
      </c>
      <c r="M60" s="7" t="s">
        <v>7440</v>
      </c>
    </row>
    <row r="61" customFormat="false" ht="39.55" hidden="false" customHeight="false" outlineLevel="0" collapsed="false">
      <c r="A61" s="7" t="s">
        <v>7439</v>
      </c>
      <c r="B61" s="7" t="s">
        <v>7370</v>
      </c>
      <c r="C61" s="7" t="s">
        <v>6925</v>
      </c>
      <c r="D61" s="7" t="s">
        <v>453</v>
      </c>
      <c r="E61" s="7" t="s">
        <v>2900</v>
      </c>
      <c r="F61" s="7" t="s">
        <v>7438</v>
      </c>
      <c r="G61" s="7" t="s">
        <v>727</v>
      </c>
      <c r="H61" s="7" t="n">
        <v>1</v>
      </c>
      <c r="I61" s="7" t="n">
        <v>1500000</v>
      </c>
      <c r="J61" s="7"/>
      <c r="K61" s="7" t="s">
        <v>114</v>
      </c>
      <c r="L61" s="7" t="n">
        <v>1500000</v>
      </c>
      <c r="M61" s="7" t="s">
        <v>7440</v>
      </c>
    </row>
    <row r="62" customFormat="false" ht="39.55" hidden="false" customHeight="false" outlineLevel="0" collapsed="false">
      <c r="A62" s="7" t="s">
        <v>672</v>
      </c>
      <c r="B62" s="7" t="s">
        <v>7370</v>
      </c>
      <c r="C62" s="7" t="s">
        <v>7441</v>
      </c>
      <c r="D62" s="7" t="s">
        <v>466</v>
      </c>
      <c r="E62" s="7" t="s">
        <v>3061</v>
      </c>
      <c r="F62" s="7" t="s">
        <v>7442</v>
      </c>
      <c r="G62" s="7" t="s">
        <v>727</v>
      </c>
      <c r="H62" s="7" t="n">
        <v>15</v>
      </c>
      <c r="I62" s="7" t="n">
        <v>7500</v>
      </c>
      <c r="J62" s="7"/>
      <c r="K62" s="7" t="s">
        <v>112</v>
      </c>
      <c r="L62" s="7" t="n">
        <v>112500</v>
      </c>
      <c r="M62" s="7" t="s">
        <v>7443</v>
      </c>
    </row>
    <row r="63" customFormat="false" ht="39.55" hidden="false" customHeight="false" outlineLevel="0" collapsed="false">
      <c r="A63" s="7" t="s">
        <v>672</v>
      </c>
      <c r="B63" s="7" t="s">
        <v>7370</v>
      </c>
      <c r="C63" s="7" t="s">
        <v>7441</v>
      </c>
      <c r="D63" s="7" t="s">
        <v>466</v>
      </c>
      <c r="E63" s="7" t="s">
        <v>3061</v>
      </c>
      <c r="F63" s="7" t="s">
        <v>7444</v>
      </c>
      <c r="G63" s="7" t="s">
        <v>727</v>
      </c>
      <c r="H63" s="7" t="n">
        <v>15</v>
      </c>
      <c r="I63" s="7" t="n">
        <v>1400</v>
      </c>
      <c r="J63" s="7"/>
      <c r="K63" s="7" t="s">
        <v>112</v>
      </c>
      <c r="L63" s="7" t="n">
        <v>21000</v>
      </c>
      <c r="M63" s="7" t="s">
        <v>7445</v>
      </c>
    </row>
    <row r="64" customFormat="false" ht="39.55" hidden="false" customHeight="false" outlineLevel="0" collapsed="false">
      <c r="A64" s="7" t="s">
        <v>672</v>
      </c>
      <c r="B64" s="7" t="s">
        <v>7370</v>
      </c>
      <c r="C64" s="7" t="s">
        <v>7441</v>
      </c>
      <c r="D64" s="7" t="s">
        <v>466</v>
      </c>
      <c r="E64" s="7" t="s">
        <v>3061</v>
      </c>
      <c r="F64" s="7" t="s">
        <v>7446</v>
      </c>
      <c r="G64" s="7" t="s">
        <v>727</v>
      </c>
      <c r="H64" s="7" t="n">
        <v>30</v>
      </c>
      <c r="I64" s="7" t="n">
        <v>3400</v>
      </c>
      <c r="J64" s="7"/>
      <c r="K64" s="7" t="s">
        <v>112</v>
      </c>
      <c r="L64" s="7" t="n">
        <v>102000</v>
      </c>
      <c r="M64" s="7" t="s">
        <v>7447</v>
      </c>
    </row>
    <row r="65" customFormat="false" ht="39.55" hidden="false" customHeight="false" outlineLevel="0" collapsed="false">
      <c r="A65" s="7" t="s">
        <v>672</v>
      </c>
      <c r="B65" s="7" t="s">
        <v>7370</v>
      </c>
      <c r="C65" s="7" t="s">
        <v>7441</v>
      </c>
      <c r="D65" s="7" t="s">
        <v>466</v>
      </c>
      <c r="E65" s="7" t="s">
        <v>3061</v>
      </c>
      <c r="F65" s="7" t="s">
        <v>7448</v>
      </c>
      <c r="G65" s="7" t="s">
        <v>732</v>
      </c>
      <c r="H65" s="7" t="n">
        <v>15</v>
      </c>
      <c r="I65" s="7" t="n">
        <v>2500</v>
      </c>
      <c r="J65" s="7"/>
      <c r="K65" s="7" t="s">
        <v>112</v>
      </c>
      <c r="L65" s="7" t="n">
        <v>37500</v>
      </c>
      <c r="M65" s="7" t="s">
        <v>7449</v>
      </c>
    </row>
    <row r="66" customFormat="false" ht="64.9" hidden="false" customHeight="false" outlineLevel="0" collapsed="false">
      <c r="A66" s="7" t="s">
        <v>672</v>
      </c>
      <c r="B66" s="7" t="s">
        <v>7370</v>
      </c>
      <c r="C66" s="7" t="s">
        <v>7441</v>
      </c>
      <c r="D66" s="7" t="s">
        <v>466</v>
      </c>
      <c r="E66" s="7" t="s">
        <v>3061</v>
      </c>
      <c r="F66" s="7" t="s">
        <v>7450</v>
      </c>
      <c r="G66" s="7" t="s">
        <v>727</v>
      </c>
      <c r="H66" s="7" t="n">
        <v>15</v>
      </c>
      <c r="I66" s="7" t="n">
        <v>300</v>
      </c>
      <c r="J66" s="7"/>
      <c r="K66" s="7" t="s">
        <v>112</v>
      </c>
      <c r="L66" s="7" t="n">
        <v>4500</v>
      </c>
      <c r="M66" s="7" t="s">
        <v>7451</v>
      </c>
    </row>
    <row r="67" customFormat="false" ht="39.55" hidden="false" customHeight="false" outlineLevel="0" collapsed="false">
      <c r="A67" s="7" t="s">
        <v>672</v>
      </c>
      <c r="B67" s="7" t="s">
        <v>7370</v>
      </c>
      <c r="C67" s="7" t="s">
        <v>7441</v>
      </c>
      <c r="D67" s="7" t="s">
        <v>466</v>
      </c>
      <c r="E67" s="7" t="s">
        <v>3061</v>
      </c>
      <c r="F67" s="7" t="s">
        <v>7452</v>
      </c>
      <c r="G67" s="7" t="s">
        <v>727</v>
      </c>
      <c r="H67" s="7" t="n">
        <v>2</v>
      </c>
      <c r="I67" s="7" t="n">
        <v>3500</v>
      </c>
      <c r="J67" s="7"/>
      <c r="K67" s="7" t="s">
        <v>112</v>
      </c>
      <c r="L67" s="7" t="n">
        <v>7000</v>
      </c>
      <c r="M67" s="7" t="s">
        <v>7453</v>
      </c>
    </row>
    <row r="68" customFormat="false" ht="64.9" hidden="false" customHeight="false" outlineLevel="0" collapsed="false">
      <c r="A68" s="7" t="s">
        <v>672</v>
      </c>
      <c r="B68" s="7" t="s">
        <v>7370</v>
      </c>
      <c r="C68" s="7" t="s">
        <v>7441</v>
      </c>
      <c r="D68" s="7" t="s">
        <v>466</v>
      </c>
      <c r="E68" s="7" t="s">
        <v>3061</v>
      </c>
      <c r="F68" s="7" t="s">
        <v>7454</v>
      </c>
      <c r="G68" s="7" t="s">
        <v>732</v>
      </c>
      <c r="H68" s="7" t="n">
        <v>1</v>
      </c>
      <c r="I68" s="7" t="n">
        <v>8500</v>
      </c>
      <c r="J68" s="7"/>
      <c r="K68" s="7" t="s">
        <v>112</v>
      </c>
      <c r="L68" s="7" t="n">
        <v>8500</v>
      </c>
      <c r="M68" s="7" t="s">
        <v>7455</v>
      </c>
    </row>
    <row r="69" customFormat="false" ht="39.55" hidden="false" customHeight="false" outlineLevel="0" collapsed="false">
      <c r="A69" s="7" t="s">
        <v>672</v>
      </c>
      <c r="B69" s="7" t="s">
        <v>7370</v>
      </c>
      <c r="C69" s="7" t="s">
        <v>7441</v>
      </c>
      <c r="D69" s="7" t="s">
        <v>466</v>
      </c>
      <c r="E69" s="7" t="s">
        <v>3061</v>
      </c>
      <c r="F69" s="7" t="s">
        <v>7456</v>
      </c>
      <c r="G69" s="7" t="s">
        <v>732</v>
      </c>
      <c r="H69" s="7" t="n">
        <v>1</v>
      </c>
      <c r="I69" s="7" t="n">
        <v>26500</v>
      </c>
      <c r="J69" s="7"/>
      <c r="K69" s="7" t="s">
        <v>112</v>
      </c>
      <c r="L69" s="7" t="n">
        <v>26500</v>
      </c>
      <c r="M69" s="7" t="s">
        <v>7457</v>
      </c>
    </row>
    <row r="70" customFormat="false" ht="39.55" hidden="false" customHeight="false" outlineLevel="0" collapsed="false">
      <c r="A70" s="7" t="s">
        <v>672</v>
      </c>
      <c r="B70" s="7" t="s">
        <v>7370</v>
      </c>
      <c r="C70" s="7" t="s">
        <v>7441</v>
      </c>
      <c r="D70" s="7" t="s">
        <v>468</v>
      </c>
      <c r="E70" s="7" t="s">
        <v>3066</v>
      </c>
      <c r="F70" s="7" t="s">
        <v>7458</v>
      </c>
      <c r="G70" s="7" t="s">
        <v>727</v>
      </c>
      <c r="H70" s="7" t="n">
        <v>2</v>
      </c>
      <c r="I70" s="7" t="n">
        <v>16000</v>
      </c>
      <c r="J70" s="7"/>
      <c r="K70" s="7" t="s">
        <v>112</v>
      </c>
      <c r="L70" s="7" t="n">
        <v>32000</v>
      </c>
      <c r="M70" s="7" t="s">
        <v>7459</v>
      </c>
    </row>
    <row r="71" customFormat="false" ht="39.55" hidden="false" customHeight="false" outlineLevel="0" collapsed="false">
      <c r="A71" s="7" t="s">
        <v>672</v>
      </c>
      <c r="B71" s="7" t="s">
        <v>7370</v>
      </c>
      <c r="C71" s="7" t="s">
        <v>7441</v>
      </c>
      <c r="D71" s="7" t="s">
        <v>468</v>
      </c>
      <c r="E71" s="7" t="s">
        <v>3066</v>
      </c>
      <c r="F71" s="7" t="s">
        <v>7460</v>
      </c>
      <c r="G71" s="7" t="s">
        <v>727</v>
      </c>
      <c r="H71" s="7" t="n">
        <v>1</v>
      </c>
      <c r="I71" s="7" t="n">
        <v>8000</v>
      </c>
      <c r="J71" s="7"/>
      <c r="K71" s="7" t="s">
        <v>112</v>
      </c>
      <c r="L71" s="7" t="n">
        <v>8000</v>
      </c>
      <c r="M71" s="7" t="s">
        <v>7461</v>
      </c>
    </row>
    <row r="72" customFormat="false" ht="39.55" hidden="false" customHeight="false" outlineLevel="0" collapsed="false">
      <c r="A72" s="7" t="s">
        <v>672</v>
      </c>
      <c r="B72" s="7" t="s">
        <v>7370</v>
      </c>
      <c r="C72" s="7" t="s">
        <v>7441</v>
      </c>
      <c r="D72" s="7" t="s">
        <v>468</v>
      </c>
      <c r="E72" s="7" t="s">
        <v>3066</v>
      </c>
      <c r="F72" s="7" t="s">
        <v>7462</v>
      </c>
      <c r="G72" s="7" t="s">
        <v>7463</v>
      </c>
      <c r="H72" s="7" t="n">
        <v>1</v>
      </c>
      <c r="I72" s="7" t="n">
        <v>5500</v>
      </c>
      <c r="J72" s="7"/>
      <c r="K72" s="7" t="s">
        <v>112</v>
      </c>
      <c r="L72" s="7" t="n">
        <v>5500</v>
      </c>
      <c r="M72" s="7" t="s">
        <v>7464</v>
      </c>
    </row>
    <row r="73" customFormat="false" ht="39.55" hidden="false" customHeight="false" outlineLevel="0" collapsed="false">
      <c r="A73" s="7" t="s">
        <v>672</v>
      </c>
      <c r="B73" s="7" t="s">
        <v>7370</v>
      </c>
      <c r="C73" s="7" t="s">
        <v>7441</v>
      </c>
      <c r="D73" s="7" t="s">
        <v>468</v>
      </c>
      <c r="E73" s="7" t="s">
        <v>3066</v>
      </c>
      <c r="F73" s="7" t="s">
        <v>7465</v>
      </c>
      <c r="G73" s="7" t="s">
        <v>727</v>
      </c>
      <c r="H73" s="7" t="n">
        <v>1</v>
      </c>
      <c r="I73" s="7" t="n">
        <v>7500</v>
      </c>
      <c r="J73" s="7"/>
      <c r="K73" s="7" t="s">
        <v>112</v>
      </c>
      <c r="L73" s="7" t="n">
        <v>7500</v>
      </c>
      <c r="M73" s="7" t="s">
        <v>7466</v>
      </c>
    </row>
    <row r="74" customFormat="false" ht="39.55" hidden="false" customHeight="false" outlineLevel="0" collapsed="false">
      <c r="A74" s="7" t="s">
        <v>672</v>
      </c>
      <c r="B74" s="7" t="s">
        <v>7370</v>
      </c>
      <c r="C74" s="7" t="s">
        <v>7441</v>
      </c>
      <c r="D74" s="7" t="s">
        <v>468</v>
      </c>
      <c r="E74" s="7" t="s">
        <v>3066</v>
      </c>
      <c r="F74" s="7" t="s">
        <v>7467</v>
      </c>
      <c r="G74" s="7" t="s">
        <v>727</v>
      </c>
      <c r="H74" s="7" t="n">
        <v>2</v>
      </c>
      <c r="I74" s="7" t="n">
        <v>5000</v>
      </c>
      <c r="J74" s="7"/>
      <c r="K74" s="7" t="s">
        <v>112</v>
      </c>
      <c r="L74" s="7" t="n">
        <v>10000</v>
      </c>
      <c r="M74" s="7" t="s">
        <v>7468</v>
      </c>
    </row>
    <row r="75" customFormat="false" ht="39.55" hidden="false" customHeight="false" outlineLevel="0" collapsed="false">
      <c r="A75" s="7" t="s">
        <v>672</v>
      </c>
      <c r="B75" s="7" t="s">
        <v>7370</v>
      </c>
      <c r="C75" s="7" t="s">
        <v>7441</v>
      </c>
      <c r="D75" s="7" t="s">
        <v>468</v>
      </c>
      <c r="E75" s="7" t="s">
        <v>3066</v>
      </c>
      <c r="F75" s="7" t="s">
        <v>7469</v>
      </c>
      <c r="G75" s="7" t="s">
        <v>727</v>
      </c>
      <c r="H75" s="7" t="n">
        <v>1</v>
      </c>
      <c r="I75" s="7" t="n">
        <v>4000</v>
      </c>
      <c r="J75" s="7"/>
      <c r="K75" s="7" t="s">
        <v>112</v>
      </c>
      <c r="L75" s="7" t="n">
        <v>4000</v>
      </c>
      <c r="M75" s="7" t="s">
        <v>7470</v>
      </c>
    </row>
    <row r="76" customFormat="false" ht="52.2" hidden="false" customHeight="false" outlineLevel="0" collapsed="false">
      <c r="A76" s="7" t="s">
        <v>672</v>
      </c>
      <c r="B76" s="7" t="s">
        <v>7370</v>
      </c>
      <c r="C76" s="7" t="s">
        <v>7441</v>
      </c>
      <c r="D76" s="7" t="s">
        <v>468</v>
      </c>
      <c r="E76" s="7" t="s">
        <v>3066</v>
      </c>
      <c r="F76" s="7" t="s">
        <v>7471</v>
      </c>
      <c r="G76" s="7" t="s">
        <v>732</v>
      </c>
      <c r="H76" s="7" t="n">
        <v>1</v>
      </c>
      <c r="I76" s="7" t="n">
        <v>172500</v>
      </c>
      <c r="J76" s="7"/>
      <c r="K76" s="7" t="s">
        <v>112</v>
      </c>
      <c r="L76" s="7" t="n">
        <v>172500</v>
      </c>
      <c r="M76" s="7" t="s">
        <v>7472</v>
      </c>
    </row>
    <row r="77" customFormat="false" ht="64.9" hidden="false" customHeight="false" outlineLevel="0" collapsed="false">
      <c r="A77" s="7" t="s">
        <v>672</v>
      </c>
      <c r="B77" s="7" t="s">
        <v>7370</v>
      </c>
      <c r="C77" s="7" t="s">
        <v>7441</v>
      </c>
      <c r="D77" s="7" t="s">
        <v>468</v>
      </c>
      <c r="E77" s="7" t="s">
        <v>3066</v>
      </c>
      <c r="F77" s="7" t="s">
        <v>7473</v>
      </c>
      <c r="G77" s="7" t="s">
        <v>732</v>
      </c>
      <c r="H77" s="7" t="n">
        <v>1</v>
      </c>
      <c r="I77" s="7" t="n">
        <v>19000</v>
      </c>
      <c r="J77" s="7"/>
      <c r="K77" s="7" t="s">
        <v>112</v>
      </c>
      <c r="L77" s="7" t="n">
        <v>19000</v>
      </c>
      <c r="M77" s="7" t="s">
        <v>7474</v>
      </c>
    </row>
    <row r="78" customFormat="false" ht="64.9" hidden="false" customHeight="false" outlineLevel="0" collapsed="false">
      <c r="A78" s="7" t="s">
        <v>672</v>
      </c>
      <c r="B78" s="7" t="s">
        <v>7370</v>
      </c>
      <c r="C78" s="7" t="s">
        <v>7441</v>
      </c>
      <c r="D78" s="7" t="s">
        <v>468</v>
      </c>
      <c r="E78" s="7" t="s">
        <v>3066</v>
      </c>
      <c r="F78" s="7" t="s">
        <v>7475</v>
      </c>
      <c r="G78" s="7" t="s">
        <v>732</v>
      </c>
      <c r="H78" s="7" t="n">
        <v>1</v>
      </c>
      <c r="I78" s="7" t="n">
        <v>4000</v>
      </c>
      <c r="J78" s="7"/>
      <c r="K78" s="7" t="s">
        <v>112</v>
      </c>
      <c r="L78" s="7" t="n">
        <v>4000</v>
      </c>
      <c r="M78" s="7" t="s">
        <v>7476</v>
      </c>
    </row>
    <row r="79" customFormat="false" ht="39.55" hidden="false" customHeight="false" outlineLevel="0" collapsed="false">
      <c r="A79" s="7" t="s">
        <v>672</v>
      </c>
      <c r="B79" s="7" t="s">
        <v>7370</v>
      </c>
      <c r="C79" s="7" t="s">
        <v>7441</v>
      </c>
      <c r="D79" s="7" t="s">
        <v>468</v>
      </c>
      <c r="E79" s="7" t="s">
        <v>3066</v>
      </c>
      <c r="F79" s="7" t="s">
        <v>7477</v>
      </c>
      <c r="G79" s="7" t="s">
        <v>732</v>
      </c>
      <c r="H79" s="7" t="n">
        <v>1</v>
      </c>
      <c r="I79" s="7" t="n">
        <v>52000</v>
      </c>
      <c r="J79" s="7"/>
      <c r="K79" s="7" t="s">
        <v>112</v>
      </c>
      <c r="L79" s="7" t="n">
        <v>52000</v>
      </c>
      <c r="M79" s="7" t="s">
        <v>7457</v>
      </c>
    </row>
    <row r="80" customFormat="false" ht="39.55" hidden="false" customHeight="false" outlineLevel="0" collapsed="false">
      <c r="A80" s="7" t="s">
        <v>672</v>
      </c>
      <c r="B80" s="7" t="s">
        <v>7370</v>
      </c>
      <c r="C80" s="7" t="s">
        <v>7441</v>
      </c>
      <c r="D80" s="7" t="s">
        <v>470</v>
      </c>
      <c r="E80" s="7" t="s">
        <v>3070</v>
      </c>
      <c r="F80" s="7" t="s">
        <v>7478</v>
      </c>
      <c r="G80" s="7" t="s">
        <v>732</v>
      </c>
      <c r="H80" s="7" t="n">
        <v>1</v>
      </c>
      <c r="I80" s="7" t="n">
        <v>47500</v>
      </c>
      <c r="J80" s="7"/>
      <c r="K80" s="7" t="s">
        <v>112</v>
      </c>
      <c r="L80" s="7" t="n">
        <v>47500</v>
      </c>
      <c r="M80" s="7" t="s">
        <v>7479</v>
      </c>
    </row>
    <row r="81" customFormat="false" ht="52.2" hidden="false" customHeight="false" outlineLevel="0" collapsed="false">
      <c r="A81" s="7" t="s">
        <v>672</v>
      </c>
      <c r="B81" s="7" t="s">
        <v>7370</v>
      </c>
      <c r="C81" s="7" t="s">
        <v>7441</v>
      </c>
      <c r="D81" s="7" t="s">
        <v>470</v>
      </c>
      <c r="E81" s="7" t="s">
        <v>3070</v>
      </c>
      <c r="F81" s="7" t="s">
        <v>7480</v>
      </c>
      <c r="G81" s="7" t="s">
        <v>732</v>
      </c>
      <c r="H81" s="7" t="n">
        <v>1</v>
      </c>
      <c r="I81" s="7" t="n">
        <v>26000</v>
      </c>
      <c r="J81" s="7"/>
      <c r="K81" s="7" t="s">
        <v>112</v>
      </c>
      <c r="L81" s="7" t="n">
        <v>26000</v>
      </c>
      <c r="M81" s="7" t="s">
        <v>7479</v>
      </c>
    </row>
    <row r="82" customFormat="false" ht="39.55" hidden="false" customHeight="false" outlineLevel="0" collapsed="false">
      <c r="A82" s="7" t="s">
        <v>672</v>
      </c>
      <c r="B82" s="7" t="s">
        <v>7370</v>
      </c>
      <c r="C82" s="7" t="s">
        <v>7441</v>
      </c>
      <c r="D82" s="7" t="s">
        <v>470</v>
      </c>
      <c r="E82" s="7" t="s">
        <v>3070</v>
      </c>
      <c r="F82" s="7" t="s">
        <v>7481</v>
      </c>
      <c r="G82" s="7" t="s">
        <v>732</v>
      </c>
      <c r="H82" s="7" t="n">
        <v>1</v>
      </c>
      <c r="I82" s="7" t="n">
        <v>21500</v>
      </c>
      <c r="J82" s="7"/>
      <c r="K82" s="7" t="s">
        <v>112</v>
      </c>
      <c r="L82" s="7" t="n">
        <v>21500</v>
      </c>
      <c r="M82" s="7" t="s">
        <v>7479</v>
      </c>
    </row>
    <row r="83" customFormat="false" ht="52.2" hidden="false" customHeight="false" outlineLevel="0" collapsed="false">
      <c r="A83" s="7" t="s">
        <v>672</v>
      </c>
      <c r="B83" s="7" t="s">
        <v>7370</v>
      </c>
      <c r="C83" s="7" t="s">
        <v>7441</v>
      </c>
      <c r="D83" s="7" t="s">
        <v>470</v>
      </c>
      <c r="E83" s="7" t="s">
        <v>3070</v>
      </c>
      <c r="F83" s="7" t="s">
        <v>7482</v>
      </c>
      <c r="G83" s="7" t="s">
        <v>732</v>
      </c>
      <c r="H83" s="7" t="n">
        <v>1</v>
      </c>
      <c r="I83" s="7" t="n">
        <v>25000</v>
      </c>
      <c r="J83" s="7"/>
      <c r="K83" s="7" t="s">
        <v>112</v>
      </c>
      <c r="L83" s="7" t="n">
        <v>25000</v>
      </c>
      <c r="M83" s="7" t="s">
        <v>7483</v>
      </c>
    </row>
    <row r="84" customFormat="false" ht="39.55" hidden="false" customHeight="false" outlineLevel="0" collapsed="false">
      <c r="A84" s="7" t="s">
        <v>672</v>
      </c>
      <c r="B84" s="7" t="s">
        <v>7370</v>
      </c>
      <c r="C84" s="7" t="s">
        <v>7441</v>
      </c>
      <c r="D84" s="7" t="s">
        <v>470</v>
      </c>
      <c r="E84" s="7" t="s">
        <v>3070</v>
      </c>
      <c r="F84" s="7" t="s">
        <v>7484</v>
      </c>
      <c r="G84" s="7" t="s">
        <v>732</v>
      </c>
      <c r="H84" s="7" t="n">
        <v>1</v>
      </c>
      <c r="I84" s="7" t="n">
        <v>34000</v>
      </c>
      <c r="J84" s="7"/>
      <c r="K84" s="7" t="s">
        <v>112</v>
      </c>
      <c r="L84" s="7" t="n">
        <v>34000</v>
      </c>
      <c r="M84" s="7" t="s">
        <v>7479</v>
      </c>
    </row>
    <row r="85" customFormat="false" ht="26.85" hidden="false" customHeight="false" outlineLevel="0" collapsed="false">
      <c r="A85" s="7" t="s">
        <v>649</v>
      </c>
      <c r="B85" s="7" t="s">
        <v>6553</v>
      </c>
      <c r="C85" s="7" t="s">
        <v>6925</v>
      </c>
      <c r="D85" s="7" t="s">
        <v>451</v>
      </c>
      <c r="E85" s="7" t="s">
        <v>2892</v>
      </c>
      <c r="F85" s="7" t="s">
        <v>7485</v>
      </c>
      <c r="G85" s="7" t="s">
        <v>727</v>
      </c>
      <c r="H85" s="7" t="n">
        <v>12</v>
      </c>
      <c r="I85" s="7" t="n">
        <v>37000</v>
      </c>
      <c r="J85" s="7" t="s">
        <v>7486</v>
      </c>
      <c r="K85" s="7" t="s">
        <v>113</v>
      </c>
      <c r="L85" s="7" t="n">
        <v>444000</v>
      </c>
      <c r="M85" s="7" t="s">
        <v>7487</v>
      </c>
    </row>
    <row r="86" customFormat="false" ht="26.85" hidden="false" customHeight="false" outlineLevel="0" collapsed="false">
      <c r="A86" s="7" t="s">
        <v>649</v>
      </c>
      <c r="B86" s="7" t="s">
        <v>6553</v>
      </c>
      <c r="C86" s="7" t="s">
        <v>6925</v>
      </c>
      <c r="D86" s="7" t="s">
        <v>453</v>
      </c>
      <c r="E86" s="7" t="s">
        <v>2900</v>
      </c>
      <c r="F86" s="7" t="s">
        <v>7488</v>
      </c>
      <c r="G86" s="7" t="s">
        <v>727</v>
      </c>
      <c r="H86" s="7" t="n">
        <v>1</v>
      </c>
      <c r="I86" s="7" t="n">
        <v>36000</v>
      </c>
      <c r="J86" s="7" t="s">
        <v>7486</v>
      </c>
      <c r="K86" s="7" t="s">
        <v>113</v>
      </c>
      <c r="L86" s="7" t="n">
        <v>36000</v>
      </c>
      <c r="M86" s="7" t="s">
        <v>7489</v>
      </c>
    </row>
    <row r="87" customFormat="false" ht="39.55" hidden="false" customHeight="false" outlineLevel="0" collapsed="false">
      <c r="A87" s="7" t="s">
        <v>681</v>
      </c>
      <c r="B87" s="7" t="s">
        <v>7393</v>
      </c>
      <c r="C87" s="7" t="s">
        <v>7490</v>
      </c>
      <c r="D87" s="7" t="s">
        <v>7491</v>
      </c>
      <c r="E87" s="7" t="s">
        <v>7492</v>
      </c>
      <c r="F87" s="7" t="s">
        <v>7493</v>
      </c>
      <c r="G87" s="7" t="s">
        <v>732</v>
      </c>
      <c r="H87" s="7" t="n">
        <v>1</v>
      </c>
      <c r="I87" s="7"/>
      <c r="J87" s="7"/>
      <c r="K87" s="7" t="s">
        <v>112</v>
      </c>
      <c r="L87" s="7" t="n">
        <v>81600</v>
      </c>
      <c r="M87" s="7" t="s">
        <v>7494</v>
      </c>
    </row>
    <row r="88" customFormat="false" ht="39.55" hidden="false" customHeight="false" outlineLevel="0" collapsed="false">
      <c r="A88" s="7" t="s">
        <v>681</v>
      </c>
      <c r="B88" s="7" t="s">
        <v>7393</v>
      </c>
      <c r="C88" s="7" t="s">
        <v>7490</v>
      </c>
      <c r="D88" s="7" t="s">
        <v>7495</v>
      </c>
      <c r="E88" s="7" t="s">
        <v>7496</v>
      </c>
      <c r="F88" s="7" t="s">
        <v>7497</v>
      </c>
      <c r="G88" s="7" t="s">
        <v>732</v>
      </c>
      <c r="H88" s="7" t="n">
        <v>1</v>
      </c>
      <c r="I88" s="7"/>
      <c r="J88" s="7"/>
      <c r="K88" s="7" t="s">
        <v>112</v>
      </c>
      <c r="L88" s="7" t="n">
        <v>171000</v>
      </c>
      <c r="M88" s="7" t="s">
        <v>7498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8"/>
    <col collapsed="false" customWidth="true" hidden="false" outlineLevel="0" max="4" min="4" style="0" width="40"/>
    <col collapsed="false" customWidth="true" hidden="false" outlineLevel="0" max="5" min="5" style="0" width="55"/>
    <col collapsed="false" customWidth="true" hidden="false" outlineLevel="0" max="6" min="6" style="0" width="14"/>
  </cols>
  <sheetData>
    <row r="1" customFormat="false" ht="15" hidden="false" customHeight="false" outlineLevel="0" collapsed="false">
      <c r="A1" s="20" t="s">
        <v>7499</v>
      </c>
    </row>
    <row r="3" customFormat="false" ht="15" hidden="false" customHeight="false" outlineLevel="0" collapsed="false">
      <c r="A3" s="32" t="s">
        <v>719</v>
      </c>
      <c r="B3" s="32" t="s">
        <v>7500</v>
      </c>
      <c r="C3" s="32" t="s">
        <v>7501</v>
      </c>
      <c r="D3" s="32" t="s">
        <v>7502</v>
      </c>
      <c r="E3" s="32" t="s">
        <v>7503</v>
      </c>
      <c r="F3" s="32" t="s">
        <v>7504</v>
      </c>
    </row>
    <row r="4" customFormat="false" ht="26.85" hidden="false" customHeight="false" outlineLevel="0" collapsed="false">
      <c r="A4" s="7" t="n">
        <v>1</v>
      </c>
      <c r="B4" s="7" t="s">
        <v>7505</v>
      </c>
      <c r="C4" s="7" t="s">
        <v>7506</v>
      </c>
      <c r="D4" s="7" t="s">
        <v>7507</v>
      </c>
      <c r="E4" s="7" t="s">
        <v>7508</v>
      </c>
      <c r="F4" s="7" t="s">
        <v>78</v>
      </c>
    </row>
    <row r="5" customFormat="false" ht="15" hidden="false" customHeight="false" outlineLevel="0" collapsed="false">
      <c r="A5" s="7" t="n">
        <v>2</v>
      </c>
      <c r="B5" s="7" t="s">
        <v>7509</v>
      </c>
      <c r="C5" s="7" t="s">
        <v>7510</v>
      </c>
      <c r="D5" s="7" t="s">
        <v>7511</v>
      </c>
      <c r="E5" s="7" t="s">
        <v>7512</v>
      </c>
      <c r="F5" s="7" t="s">
        <v>78</v>
      </c>
    </row>
    <row r="6" customFormat="false" ht="26.85" hidden="false" customHeight="false" outlineLevel="0" collapsed="false">
      <c r="A6" s="7" t="n">
        <v>3</v>
      </c>
      <c r="B6" s="7" t="s">
        <v>7513</v>
      </c>
      <c r="C6" s="7" t="s">
        <v>7514</v>
      </c>
      <c r="D6" s="7" t="s">
        <v>7515</v>
      </c>
      <c r="E6" s="7" t="s">
        <v>7516</v>
      </c>
      <c r="F6" s="7" t="s">
        <v>78</v>
      </c>
    </row>
    <row r="7" customFormat="false" ht="26.85" hidden="false" customHeight="false" outlineLevel="0" collapsed="false">
      <c r="A7" s="7" t="n">
        <v>4</v>
      </c>
      <c r="B7" s="7" t="s">
        <v>7517</v>
      </c>
      <c r="C7" s="7" t="s">
        <v>7518</v>
      </c>
      <c r="D7" s="7" t="s">
        <v>7519</v>
      </c>
      <c r="E7" s="7" t="s">
        <v>7520</v>
      </c>
      <c r="F7" s="7" t="s">
        <v>78</v>
      </c>
    </row>
    <row r="8" customFormat="false" ht="15" hidden="false" customHeight="false" outlineLevel="0" collapsed="false">
      <c r="A8" s="7" t="n">
        <v>6</v>
      </c>
      <c r="B8" s="7" t="s">
        <v>7521</v>
      </c>
      <c r="C8" s="7" t="s">
        <v>7522</v>
      </c>
      <c r="D8" s="7" t="s">
        <v>7523</v>
      </c>
      <c r="E8" s="7" t="s">
        <v>7524</v>
      </c>
      <c r="F8" s="7" t="s">
        <v>80</v>
      </c>
    </row>
    <row r="9" customFormat="false" ht="15" hidden="false" customHeight="false" outlineLevel="0" collapsed="false">
      <c r="A9" s="7" t="n">
        <v>7</v>
      </c>
      <c r="B9" s="7" t="s">
        <v>7525</v>
      </c>
      <c r="C9" s="7" t="s">
        <v>7526</v>
      </c>
      <c r="D9" s="7" t="s">
        <v>7527</v>
      </c>
      <c r="E9" s="7" t="s">
        <v>7528</v>
      </c>
      <c r="F9" s="7" t="s">
        <v>80</v>
      </c>
    </row>
    <row r="10" customFormat="false" ht="15" hidden="false" customHeight="false" outlineLevel="0" collapsed="false">
      <c r="A10" s="7" t="n">
        <v>11</v>
      </c>
      <c r="B10" s="7" t="s">
        <v>7529</v>
      </c>
      <c r="C10" s="7" t="s">
        <v>7530</v>
      </c>
      <c r="D10" s="7" t="s">
        <v>7531</v>
      </c>
      <c r="E10" s="7" t="s">
        <v>7532</v>
      </c>
      <c r="F10" s="7" t="s">
        <v>7533</v>
      </c>
    </row>
    <row r="11" customFormat="false" ht="26.85" hidden="false" customHeight="false" outlineLevel="0" collapsed="false">
      <c r="A11" s="7" t="n">
        <v>17</v>
      </c>
      <c r="B11" s="7" t="s">
        <v>7534</v>
      </c>
      <c r="C11" s="7" t="s">
        <v>7535</v>
      </c>
      <c r="D11" s="7" t="s">
        <v>7536</v>
      </c>
      <c r="E11" s="7" t="s">
        <v>7537</v>
      </c>
      <c r="F11" s="7" t="s">
        <v>78</v>
      </c>
    </row>
    <row r="12" customFormat="false" ht="26.85" hidden="false" customHeight="false" outlineLevel="0" collapsed="false">
      <c r="A12" s="7" t="n">
        <v>18</v>
      </c>
      <c r="B12" s="7" t="s">
        <v>7538</v>
      </c>
      <c r="C12" s="7" t="s">
        <v>7539</v>
      </c>
      <c r="D12" s="7" t="s">
        <v>7540</v>
      </c>
      <c r="E12" s="7" t="s">
        <v>7541</v>
      </c>
      <c r="F12" s="7" t="s">
        <v>7542</v>
      </c>
    </row>
    <row r="13" customFormat="false" ht="15" hidden="false" customHeight="false" outlineLevel="0" collapsed="false">
      <c r="A13" s="7" t="n">
        <v>21</v>
      </c>
      <c r="B13" s="7" t="s">
        <v>7543</v>
      </c>
      <c r="C13" s="7" t="s">
        <v>7544</v>
      </c>
      <c r="D13" s="7" t="s">
        <v>7545</v>
      </c>
      <c r="E13" s="7" t="s">
        <v>7546</v>
      </c>
      <c r="F13" s="7" t="s">
        <v>7533</v>
      </c>
    </row>
    <row r="14" customFormat="false" ht="15" hidden="false" customHeight="false" outlineLevel="0" collapsed="false">
      <c r="A14" s="7" t="n">
        <v>22</v>
      </c>
      <c r="B14" s="7" t="s">
        <v>7547</v>
      </c>
      <c r="C14" s="7" t="s">
        <v>7548</v>
      </c>
      <c r="D14" s="7" t="s">
        <v>7549</v>
      </c>
      <c r="E14" s="7" t="s">
        <v>7550</v>
      </c>
      <c r="F14" s="7" t="s">
        <v>7533</v>
      </c>
    </row>
    <row r="15" customFormat="false" ht="15" hidden="false" customHeight="false" outlineLevel="0" collapsed="false">
      <c r="A15" s="7" t="s">
        <v>7551</v>
      </c>
      <c r="B15" s="7" t="s">
        <v>7552</v>
      </c>
      <c r="C15" s="7" t="s">
        <v>7553</v>
      </c>
      <c r="D15" s="7" t="s">
        <v>7554</v>
      </c>
      <c r="E15" s="7" t="s">
        <v>7555</v>
      </c>
      <c r="F15" s="7" t="s">
        <v>7533</v>
      </c>
    </row>
    <row r="16" customFormat="false" ht="15" hidden="false" customHeight="false" outlineLevel="0" collapsed="false">
      <c r="A16" s="7" t="s">
        <v>7551</v>
      </c>
      <c r="B16" s="7" t="s">
        <v>7556</v>
      </c>
      <c r="C16" s="7" t="s">
        <v>7557</v>
      </c>
      <c r="D16" s="7" t="s">
        <v>7558</v>
      </c>
      <c r="E16" s="7" t="s">
        <v>7559</v>
      </c>
      <c r="F16" s="7" t="s">
        <v>78</v>
      </c>
    </row>
    <row r="17" customFormat="false" ht="15" hidden="false" customHeight="false" outlineLevel="0" collapsed="false">
      <c r="A17" s="7" t="n">
        <v>26</v>
      </c>
      <c r="B17" s="7" t="s">
        <v>7560</v>
      </c>
      <c r="C17" s="7" t="s">
        <v>7561</v>
      </c>
      <c r="D17" s="7" t="s">
        <v>7562</v>
      </c>
      <c r="E17" s="7" t="s">
        <v>7563</v>
      </c>
      <c r="F17" s="7" t="s">
        <v>82</v>
      </c>
    </row>
    <row r="18" customFormat="false" ht="15" hidden="false" customHeight="false" outlineLevel="0" collapsed="false">
      <c r="A18" s="7" t="n">
        <v>11</v>
      </c>
      <c r="B18" s="7" t="s">
        <v>7564</v>
      </c>
      <c r="C18" s="7" t="s">
        <v>7530</v>
      </c>
      <c r="D18" s="7" t="s">
        <v>7565</v>
      </c>
      <c r="E18" s="7" t="s">
        <v>7566</v>
      </c>
      <c r="F18" s="7" t="s">
        <v>84</v>
      </c>
    </row>
    <row r="19" customFormat="false" ht="26.85" hidden="false" customHeight="false" outlineLevel="0" collapsed="false">
      <c r="A19" s="7" t="n">
        <v>24</v>
      </c>
      <c r="B19" s="7" t="s">
        <v>7567</v>
      </c>
      <c r="C19" s="7" t="s">
        <v>7568</v>
      </c>
      <c r="D19" s="7" t="s">
        <v>7569</v>
      </c>
      <c r="E19" s="7" t="s">
        <v>7570</v>
      </c>
      <c r="F19" s="7" t="s">
        <v>84</v>
      </c>
    </row>
    <row r="20" customFormat="false" ht="15" hidden="false" customHeight="false" outlineLevel="0" collapsed="false">
      <c r="A20" s="7" t="n">
        <v>13</v>
      </c>
      <c r="B20" s="7" t="s">
        <v>7571</v>
      </c>
      <c r="C20" s="7" t="s">
        <v>7572</v>
      </c>
      <c r="D20" s="7" t="s">
        <v>7573</v>
      </c>
      <c r="E20" s="7" t="s">
        <v>7574</v>
      </c>
      <c r="F20" s="7" t="s">
        <v>86</v>
      </c>
    </row>
    <row r="21" customFormat="false" ht="15" hidden="false" customHeight="false" outlineLevel="0" collapsed="false">
      <c r="A21" s="7" t="n">
        <v>16</v>
      </c>
      <c r="B21" s="7" t="s">
        <v>7575</v>
      </c>
      <c r="C21" s="7" t="s">
        <v>7576</v>
      </c>
      <c r="D21" s="7" t="s">
        <v>7577</v>
      </c>
      <c r="E21" s="7" t="s">
        <v>7578</v>
      </c>
      <c r="F21" s="7" t="s">
        <v>86</v>
      </c>
    </row>
    <row r="22" customFormat="false" ht="15" hidden="false" customHeight="false" outlineLevel="0" collapsed="false">
      <c r="A22" s="7" t="n">
        <v>14</v>
      </c>
      <c r="B22" s="7" t="s">
        <v>7579</v>
      </c>
      <c r="C22" s="7" t="s">
        <v>7580</v>
      </c>
      <c r="D22" s="7" t="s">
        <v>7581</v>
      </c>
      <c r="E22" s="7" t="s">
        <v>7582</v>
      </c>
      <c r="F22" s="7" t="s">
        <v>86</v>
      </c>
    </row>
    <row r="23" customFormat="false" ht="26.85" hidden="false" customHeight="false" outlineLevel="0" collapsed="false">
      <c r="A23" s="7" t="s">
        <v>7551</v>
      </c>
      <c r="B23" s="7" t="s">
        <v>7583</v>
      </c>
      <c r="C23" s="7" t="s">
        <v>7551</v>
      </c>
      <c r="D23" s="7" t="s">
        <v>7584</v>
      </c>
      <c r="E23" s="7" t="s">
        <v>7585</v>
      </c>
      <c r="F23" s="7" t="s">
        <v>7551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95"/>
  </cols>
  <sheetData>
    <row r="1" customFormat="false" ht="15" hidden="false" customHeight="false" outlineLevel="0" collapsed="false">
      <c r="A1" s="20" t="s">
        <v>7586</v>
      </c>
    </row>
    <row r="3" customFormat="false" ht="15" hidden="false" customHeight="false" outlineLevel="0" collapsed="false">
      <c r="A3" s="32" t="s">
        <v>7587</v>
      </c>
      <c r="B3" s="32" t="s">
        <v>7588</v>
      </c>
      <c r="C3" s="32" t="s">
        <v>7589</v>
      </c>
    </row>
    <row r="4" customFormat="false" ht="15" hidden="false" customHeight="false" outlineLevel="0" collapsed="false">
      <c r="A4" s="27" t="s">
        <v>7590</v>
      </c>
      <c r="B4" s="68" t="n">
        <v>1.1225</v>
      </c>
      <c r="C4" s="27" t="s">
        <v>7591</v>
      </c>
    </row>
    <row r="5" customFormat="false" ht="15" hidden="false" customHeight="false" outlineLevel="0" collapsed="false">
      <c r="A5" s="27" t="s">
        <v>7592</v>
      </c>
      <c r="B5" s="68" t="n">
        <v>55.165</v>
      </c>
      <c r="C5" s="27" t="s">
        <v>7591</v>
      </c>
    </row>
    <row r="6" customFormat="false" ht="15" hidden="false" customHeight="false" outlineLevel="0" collapsed="false">
      <c r="A6" s="27" t="s">
        <v>7593</v>
      </c>
      <c r="B6" s="68" t="n">
        <v>6.56</v>
      </c>
      <c r="C6" s="27" t="s">
        <v>7594</v>
      </c>
    </row>
    <row r="7" customFormat="false" ht="15" hidden="false" customHeight="false" outlineLevel="0" collapsed="false">
      <c r="A7" s="27" t="s">
        <v>7595</v>
      </c>
      <c r="B7" s="68" t="n">
        <v>6.44</v>
      </c>
      <c r="C7" s="27" t="s">
        <v>7596</v>
      </c>
    </row>
    <row r="8" customFormat="false" ht="15" hidden="false" customHeight="false" outlineLevel="0" collapsed="false">
      <c r="A8" s="27" t="s">
        <v>7597</v>
      </c>
      <c r="B8" s="69" t="n">
        <f aca="false">B6/B5</f>
        <v>0.118915979334723</v>
      </c>
      <c r="C8" s="27" t="s">
        <v>7598</v>
      </c>
    </row>
    <row r="9" customFormat="false" ht="15" hidden="false" customHeight="false" outlineLevel="0" collapsed="false">
      <c r="A9" s="27" t="s">
        <v>7599</v>
      </c>
      <c r="B9" s="68" t="n">
        <v>15</v>
      </c>
      <c r="C9" s="27" t="s">
        <v>7600</v>
      </c>
    </row>
    <row r="10" customFormat="false" ht="15" hidden="false" customHeight="false" outlineLevel="0" collapsed="false">
      <c r="A10" s="27" t="s">
        <v>7601</v>
      </c>
      <c r="B10" s="68" t="n">
        <v>14</v>
      </c>
      <c r="C10" s="27" t="s">
        <v>7602</v>
      </c>
    </row>
    <row r="11" customFormat="false" ht="15" hidden="false" customHeight="false" outlineLevel="0" collapsed="false">
      <c r="A11" s="27" t="s">
        <v>7603</v>
      </c>
      <c r="B11" s="68" t="n">
        <v>7000</v>
      </c>
      <c r="C11" s="27" t="s">
        <v>7604</v>
      </c>
    </row>
    <row r="12" customFormat="false" ht="15" hidden="false" customHeight="false" outlineLevel="0" collapsed="false">
      <c r="A12" s="27" t="s">
        <v>7605</v>
      </c>
      <c r="B12" s="68" t="n">
        <v>7964</v>
      </c>
      <c r="C12" s="27" t="s">
        <v>7606</v>
      </c>
    </row>
    <row r="13" customFormat="false" ht="15" hidden="false" customHeight="false" outlineLevel="0" collapsed="false">
      <c r="A13" s="27" t="s">
        <v>7607</v>
      </c>
      <c r="B13" s="68" t="n">
        <v>2.2</v>
      </c>
      <c r="C13" s="27" t="s">
        <v>7608</v>
      </c>
    </row>
    <row r="14" customFormat="false" ht="15" hidden="false" customHeight="false" outlineLevel="0" collapsed="false">
      <c r="A14" s="27" t="s">
        <v>7609</v>
      </c>
      <c r="B14" s="70" t="n">
        <v>0.03</v>
      </c>
      <c r="C14" s="27" t="s">
        <v>7610</v>
      </c>
    </row>
    <row r="15" customFormat="false" ht="15" hidden="false" customHeight="false" outlineLevel="0" collapsed="false">
      <c r="A15" s="27" t="s">
        <v>7611</v>
      </c>
      <c r="B15" s="70" t="n">
        <v>0.1</v>
      </c>
      <c r="C15" s="27" t="s">
        <v>7612</v>
      </c>
    </row>
    <row r="16" customFormat="false" ht="15" hidden="false" customHeight="false" outlineLevel="0" collapsed="false">
      <c r="A16" s="27" t="s">
        <v>7613</v>
      </c>
      <c r="B16" s="70" t="n">
        <v>0.05</v>
      </c>
      <c r="C16" s="27" t="s">
        <v>7614</v>
      </c>
    </row>
    <row r="17" customFormat="false" ht="15" hidden="false" customHeight="false" outlineLevel="0" collapsed="false">
      <c r="A17" s="27" t="s">
        <v>7615</v>
      </c>
      <c r="B17" s="70" t="n">
        <v>0.05</v>
      </c>
      <c r="C17" s="27" t="s">
        <v>7616</v>
      </c>
    </row>
    <row r="18" customFormat="false" ht="15" hidden="false" customHeight="false" outlineLevel="0" collapsed="false">
      <c r="A18" s="27" t="s">
        <v>7617</v>
      </c>
      <c r="B18" s="70" t="n">
        <v>0.05</v>
      </c>
      <c r="C18" s="27" t="s">
        <v>7618</v>
      </c>
    </row>
    <row r="19" customFormat="false" ht="15" hidden="false" customHeight="false" outlineLevel="0" collapsed="false">
      <c r="A19" s="27" t="s">
        <v>7619</v>
      </c>
      <c r="B19" s="70" t="n">
        <v>0.05</v>
      </c>
      <c r="C19" s="27" t="s">
        <v>7620</v>
      </c>
    </row>
    <row r="20" customFormat="false" ht="15" hidden="false" customHeight="false" outlineLevel="0" collapsed="false">
      <c r="A20" s="27" t="s">
        <v>7621</v>
      </c>
      <c r="B20" s="70" t="n">
        <v>0.05</v>
      </c>
      <c r="C20" s="27" t="s">
        <v>7622</v>
      </c>
    </row>
    <row r="21" customFormat="false" ht="15" hidden="false" customHeight="false" outlineLevel="0" collapsed="false">
      <c r="A21" s="27" t="s">
        <v>7623</v>
      </c>
      <c r="B21" s="68" t="n">
        <v>1</v>
      </c>
      <c r="C21" s="27" t="s">
        <v>7624</v>
      </c>
    </row>
    <row r="22" customFormat="false" ht="15" hidden="false" customHeight="false" outlineLevel="0" collapsed="false">
      <c r="A22" s="27" t="s">
        <v>7625</v>
      </c>
      <c r="B22" s="27" t="s">
        <v>7626</v>
      </c>
      <c r="C22" s="2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2026-10-06T20:29:27Z</dcterms:created>
  <dc:creator>openpyxl</dc:creator>
  <dc:description/>
  <dc:language>en-US</dc:language>
  <cp:lastModifiedBy/>
  <dcterms:modified xsi:type="dcterms:W3CDTF">2026-10-06T20:29:35Z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